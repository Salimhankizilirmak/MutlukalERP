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Bilgiler" sheetId="2" r:id="rId1"/>
    <sheet name="Giriş" sheetId="3" r:id="rId2"/>
  </sheets>
  <definedNames>
    <definedName name="_xlnm._FilterDatabase" localSheetId="1" hidden="1">Giriş!$B$2:$O$250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9" i="3" l="1"/>
  <c r="J71" i="3" l="1"/>
  <c r="J70" i="3"/>
  <c r="J68" i="3" l="1"/>
  <c r="J65" i="3" l="1"/>
  <c r="J36" i="3" l="1"/>
  <c r="J35" i="3"/>
  <c r="H134" i="2" l="1"/>
  <c r="I134" i="2"/>
  <c r="J134" i="2"/>
  <c r="K134" i="2"/>
  <c r="H135" i="2"/>
  <c r="I135" i="2"/>
  <c r="J135" i="2"/>
  <c r="K135" i="2"/>
  <c r="H136" i="2"/>
  <c r="I136" i="2"/>
  <c r="J136" i="2"/>
  <c r="K136" i="2"/>
  <c r="H137" i="2"/>
  <c r="I137" i="2"/>
  <c r="J137" i="2"/>
  <c r="K137" i="2"/>
  <c r="H138" i="2"/>
  <c r="I138" i="2"/>
  <c r="J138" i="2"/>
  <c r="K138" i="2"/>
  <c r="H139" i="2"/>
  <c r="I139" i="2"/>
  <c r="J139" i="2"/>
  <c r="K139" i="2"/>
  <c r="H140" i="2"/>
  <c r="I140" i="2"/>
  <c r="J140" i="2"/>
  <c r="K140" i="2"/>
  <c r="H141" i="2"/>
  <c r="I141" i="2"/>
  <c r="J141" i="2"/>
  <c r="K141" i="2"/>
  <c r="H142" i="2"/>
  <c r="I142" i="2"/>
  <c r="J142" i="2"/>
  <c r="K142" i="2"/>
  <c r="H143" i="2"/>
  <c r="I143" i="2"/>
  <c r="J143" i="2"/>
  <c r="K143" i="2"/>
  <c r="H144" i="2"/>
  <c r="I144" i="2"/>
  <c r="J144" i="2"/>
  <c r="K144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H73" i="2"/>
  <c r="I73" i="2"/>
  <c r="J73" i="2"/>
  <c r="K73" i="2"/>
  <c r="H74" i="2"/>
  <c r="I74" i="2"/>
  <c r="J74" i="2"/>
  <c r="K74" i="2"/>
  <c r="H75" i="2"/>
  <c r="I75" i="2"/>
  <c r="J75" i="2"/>
  <c r="K75" i="2"/>
  <c r="H76" i="2"/>
  <c r="I76" i="2"/>
  <c r="J76" i="2"/>
  <c r="K76" i="2"/>
  <c r="H77" i="2"/>
  <c r="I77" i="2"/>
  <c r="J77" i="2"/>
  <c r="K77" i="2"/>
  <c r="H78" i="2"/>
  <c r="I78" i="2"/>
  <c r="J78" i="2"/>
  <c r="K78" i="2"/>
  <c r="H79" i="2"/>
  <c r="I79" i="2"/>
  <c r="J79" i="2"/>
  <c r="K79" i="2"/>
  <c r="H80" i="2"/>
  <c r="I80" i="2"/>
  <c r="J80" i="2"/>
  <c r="K80" i="2"/>
  <c r="H81" i="2"/>
  <c r="I81" i="2"/>
  <c r="J81" i="2"/>
  <c r="K81" i="2"/>
  <c r="H82" i="2"/>
  <c r="I82" i="2"/>
  <c r="J82" i="2"/>
  <c r="K82" i="2"/>
  <c r="H83" i="2"/>
  <c r="I83" i="2"/>
  <c r="J83" i="2"/>
  <c r="K83" i="2"/>
  <c r="H84" i="2"/>
  <c r="I84" i="2"/>
  <c r="J84" i="2"/>
  <c r="K84" i="2"/>
  <c r="H85" i="2"/>
  <c r="I85" i="2"/>
  <c r="J85" i="2"/>
  <c r="K85" i="2"/>
  <c r="H86" i="2"/>
  <c r="I86" i="2"/>
  <c r="J86" i="2"/>
  <c r="K86" i="2"/>
  <c r="H87" i="2"/>
  <c r="I87" i="2"/>
  <c r="J87" i="2"/>
  <c r="K87" i="2"/>
  <c r="H88" i="2"/>
  <c r="I88" i="2"/>
  <c r="J88" i="2"/>
  <c r="K88" i="2"/>
  <c r="H89" i="2"/>
  <c r="I89" i="2"/>
  <c r="J89" i="2"/>
  <c r="K89" i="2"/>
  <c r="H90" i="2"/>
  <c r="I90" i="2"/>
  <c r="J90" i="2"/>
  <c r="K90" i="2"/>
  <c r="H91" i="2"/>
  <c r="I91" i="2"/>
  <c r="J91" i="2"/>
  <c r="K91" i="2"/>
  <c r="H92" i="2"/>
  <c r="I92" i="2"/>
  <c r="J92" i="2"/>
  <c r="K92" i="2"/>
  <c r="H93" i="2"/>
  <c r="I93" i="2"/>
  <c r="J93" i="2"/>
  <c r="K93" i="2"/>
  <c r="H94" i="2"/>
  <c r="I94" i="2"/>
  <c r="J94" i="2"/>
  <c r="K94" i="2"/>
  <c r="H95" i="2"/>
  <c r="I95" i="2"/>
  <c r="J95" i="2"/>
  <c r="K95" i="2"/>
  <c r="H96" i="2"/>
  <c r="I96" i="2"/>
  <c r="J96" i="2"/>
  <c r="K96" i="2"/>
  <c r="H97" i="2"/>
  <c r="I97" i="2"/>
  <c r="J97" i="2"/>
  <c r="K97" i="2"/>
  <c r="H98" i="2"/>
  <c r="I98" i="2"/>
  <c r="J98" i="2"/>
  <c r="K98" i="2"/>
  <c r="H99" i="2"/>
  <c r="I99" i="2"/>
  <c r="J99" i="2"/>
  <c r="K99" i="2"/>
  <c r="H100" i="2"/>
  <c r="I100" i="2"/>
  <c r="J100" i="2"/>
  <c r="K100" i="2"/>
  <c r="H101" i="2"/>
  <c r="I101" i="2"/>
  <c r="J101" i="2"/>
  <c r="K101" i="2"/>
  <c r="H102" i="2"/>
  <c r="I102" i="2"/>
  <c r="J102" i="2"/>
  <c r="K102" i="2"/>
  <c r="H103" i="2"/>
  <c r="I103" i="2"/>
  <c r="J103" i="2"/>
  <c r="K103" i="2"/>
  <c r="H104" i="2"/>
  <c r="I104" i="2"/>
  <c r="J104" i="2"/>
  <c r="K104" i="2"/>
  <c r="H105" i="2"/>
  <c r="I105" i="2"/>
  <c r="J105" i="2"/>
  <c r="K105" i="2"/>
  <c r="H106" i="2"/>
  <c r="I106" i="2"/>
  <c r="J106" i="2"/>
  <c r="K106" i="2"/>
  <c r="H107" i="2"/>
  <c r="I107" i="2"/>
  <c r="J107" i="2"/>
  <c r="K107" i="2"/>
  <c r="H108" i="2"/>
  <c r="I108" i="2"/>
  <c r="J108" i="2"/>
  <c r="K108" i="2"/>
  <c r="H109" i="2"/>
  <c r="I109" i="2"/>
  <c r="J109" i="2"/>
  <c r="K109" i="2"/>
  <c r="H110" i="2"/>
  <c r="I110" i="2"/>
  <c r="J110" i="2"/>
  <c r="K110" i="2"/>
  <c r="H111" i="2"/>
  <c r="I111" i="2"/>
  <c r="J111" i="2"/>
  <c r="K111" i="2"/>
  <c r="H112" i="2"/>
  <c r="I112" i="2"/>
  <c r="J112" i="2"/>
  <c r="K112" i="2"/>
  <c r="H113" i="2"/>
  <c r="I113" i="2"/>
  <c r="J113" i="2"/>
  <c r="K113" i="2"/>
  <c r="H114" i="2"/>
  <c r="I114" i="2"/>
  <c r="J114" i="2"/>
  <c r="K114" i="2"/>
  <c r="H115" i="2"/>
  <c r="I115" i="2"/>
  <c r="J115" i="2"/>
  <c r="K115" i="2"/>
  <c r="H116" i="2"/>
  <c r="I116" i="2"/>
  <c r="J116" i="2"/>
  <c r="K116" i="2"/>
  <c r="H117" i="2"/>
  <c r="I117" i="2"/>
  <c r="J117" i="2"/>
  <c r="K117" i="2"/>
  <c r="H118" i="2"/>
  <c r="I118" i="2"/>
  <c r="J118" i="2"/>
  <c r="K118" i="2"/>
  <c r="H119" i="2"/>
  <c r="I119" i="2"/>
  <c r="J119" i="2"/>
  <c r="K119" i="2"/>
  <c r="H120" i="2"/>
  <c r="I120" i="2"/>
  <c r="J120" i="2"/>
  <c r="K120" i="2"/>
  <c r="H121" i="2"/>
  <c r="I121" i="2"/>
  <c r="J121" i="2"/>
  <c r="K121" i="2"/>
  <c r="H122" i="2"/>
  <c r="I122" i="2"/>
  <c r="J122" i="2"/>
  <c r="K122" i="2"/>
  <c r="H123" i="2"/>
  <c r="I123" i="2"/>
  <c r="J123" i="2"/>
  <c r="K123" i="2"/>
  <c r="H124" i="2"/>
  <c r="I124" i="2"/>
  <c r="J124" i="2"/>
  <c r="K124" i="2"/>
  <c r="H125" i="2"/>
  <c r="I125" i="2"/>
  <c r="J125" i="2"/>
  <c r="K125" i="2"/>
  <c r="H126" i="2"/>
  <c r="I126" i="2"/>
  <c r="J126" i="2"/>
  <c r="K126" i="2"/>
  <c r="H127" i="2"/>
  <c r="I127" i="2"/>
  <c r="J127" i="2"/>
  <c r="K127" i="2"/>
  <c r="H128" i="2"/>
  <c r="I128" i="2"/>
  <c r="J128" i="2"/>
  <c r="K128" i="2"/>
  <c r="H129" i="2"/>
  <c r="I129" i="2"/>
  <c r="J129" i="2"/>
  <c r="K129" i="2"/>
  <c r="H130" i="2"/>
  <c r="I130" i="2"/>
  <c r="J130" i="2"/>
  <c r="K130" i="2"/>
  <c r="H131" i="2"/>
  <c r="I131" i="2"/>
  <c r="J131" i="2"/>
  <c r="K131" i="2"/>
  <c r="H132" i="2"/>
  <c r="I132" i="2"/>
  <c r="J132" i="2"/>
  <c r="K132" i="2"/>
  <c r="H133" i="2"/>
  <c r="I133" i="2"/>
  <c r="J133" i="2"/>
  <c r="K133" i="2"/>
  <c r="L141" i="2" l="1"/>
  <c r="L63" i="2"/>
  <c r="L144" i="2"/>
  <c r="L143" i="2"/>
  <c r="L142" i="2"/>
  <c r="L137" i="2"/>
  <c r="L140" i="2"/>
  <c r="L139" i="2"/>
  <c r="L138" i="2"/>
  <c r="L60" i="2"/>
  <c r="L136" i="2"/>
  <c r="L135" i="2"/>
  <c r="L134" i="2"/>
  <c r="L121" i="2"/>
  <c r="L117" i="2"/>
  <c r="L113" i="2"/>
  <c r="L109" i="2"/>
  <c r="L105" i="2"/>
  <c r="L101" i="2"/>
  <c r="L97" i="2"/>
  <c r="L93" i="2"/>
  <c r="L89" i="2"/>
  <c r="L85" i="2"/>
  <c r="L81" i="2"/>
  <c r="L77" i="2"/>
  <c r="L73" i="2"/>
  <c r="L69" i="2"/>
  <c r="L65" i="2"/>
  <c r="L132" i="2"/>
  <c r="L130" i="2"/>
  <c r="L128" i="2"/>
  <c r="L126" i="2"/>
  <c r="L124" i="2"/>
  <c r="L122" i="2"/>
  <c r="L120" i="2"/>
  <c r="L118" i="2"/>
  <c r="L116" i="2"/>
  <c r="L114" i="2"/>
  <c r="L112" i="2"/>
  <c r="L110" i="2"/>
  <c r="L108" i="2"/>
  <c r="L106" i="2"/>
  <c r="L104" i="2"/>
  <c r="L102" i="2"/>
  <c r="L100" i="2"/>
  <c r="L98" i="2"/>
  <c r="L96" i="2"/>
  <c r="L94" i="2"/>
  <c r="L92" i="2"/>
  <c r="L90" i="2"/>
  <c r="L88" i="2"/>
  <c r="L86" i="2"/>
  <c r="L84" i="2"/>
  <c r="L82" i="2"/>
  <c r="L80" i="2"/>
  <c r="L78" i="2"/>
  <c r="L76" i="2"/>
  <c r="L74" i="2"/>
  <c r="L72" i="2"/>
  <c r="L70" i="2"/>
  <c r="L68" i="2"/>
  <c r="L66" i="2"/>
  <c r="L64" i="2"/>
  <c r="L61" i="2"/>
  <c r="L133" i="2"/>
  <c r="L131" i="2"/>
  <c r="L129" i="2"/>
  <c r="L127" i="2"/>
  <c r="L125" i="2"/>
  <c r="L123" i="2"/>
  <c r="L119" i="2"/>
  <c r="L115" i="2"/>
  <c r="L111" i="2"/>
  <c r="L107" i="2"/>
  <c r="L103" i="2"/>
  <c r="L99" i="2"/>
  <c r="L95" i="2"/>
  <c r="L91" i="2"/>
  <c r="L87" i="2"/>
  <c r="L83" i="2"/>
  <c r="L79" i="2"/>
  <c r="L75" i="2"/>
  <c r="L71" i="2"/>
  <c r="L67" i="2"/>
  <c r="L62" i="2"/>
  <c r="D3" i="3" l="1"/>
  <c r="K3" i="3"/>
  <c r="L3" i="3" s="1"/>
  <c r="D4" i="3"/>
  <c r="K4" i="3"/>
  <c r="D5" i="3"/>
  <c r="K5" i="3"/>
  <c r="M5" i="3" s="1"/>
  <c r="D6" i="3"/>
  <c r="K6" i="3"/>
  <c r="D7" i="3"/>
  <c r="K7" i="3"/>
  <c r="N7" i="3" s="1"/>
  <c r="D8" i="3"/>
  <c r="K8" i="3"/>
  <c r="D9" i="3"/>
  <c r="K9" i="3"/>
  <c r="N9" i="3" s="1"/>
  <c r="M7" i="3" l="1"/>
  <c r="O3" i="3"/>
  <c r="O9" i="3"/>
  <c r="O5" i="3"/>
  <c r="N3" i="3"/>
  <c r="O7" i="3"/>
  <c r="N5" i="3"/>
  <c r="L4" i="3"/>
  <c r="L5" i="3" s="1"/>
  <c r="M3" i="3"/>
  <c r="M9" i="3"/>
  <c r="O6" i="3"/>
  <c r="N8" i="3"/>
  <c r="N6" i="3"/>
  <c r="N4" i="3"/>
  <c r="M8" i="3"/>
  <c r="M6" i="3"/>
  <c r="M4" i="3"/>
  <c r="O8" i="3"/>
  <c r="O4" i="3"/>
  <c r="K10" i="3"/>
  <c r="K11" i="3"/>
  <c r="M11" i="3" s="1"/>
  <c r="K12" i="3"/>
  <c r="O12" i="3" s="1"/>
  <c r="K13" i="3"/>
  <c r="M13" i="3" s="1"/>
  <c r="K14" i="3"/>
  <c r="M14" i="3" s="1"/>
  <c r="K15" i="3"/>
  <c r="M15" i="3" s="1"/>
  <c r="K16" i="3"/>
  <c r="M16" i="3" s="1"/>
  <c r="K17" i="3"/>
  <c r="M17" i="3" s="1"/>
  <c r="K18" i="3"/>
  <c r="M18" i="3" s="1"/>
  <c r="K19" i="3"/>
  <c r="M19" i="3" s="1"/>
  <c r="K20" i="3"/>
  <c r="K21" i="3"/>
  <c r="K22" i="3"/>
  <c r="K23" i="3"/>
  <c r="K24" i="3"/>
  <c r="O24" i="3" s="1"/>
  <c r="K25" i="3"/>
  <c r="M25" i="3" s="1"/>
  <c r="K26" i="3"/>
  <c r="K27" i="3"/>
  <c r="K28" i="3"/>
  <c r="L28" i="3" s="1"/>
  <c r="K29" i="3"/>
  <c r="K30" i="3"/>
  <c r="K31" i="3"/>
  <c r="K32" i="3"/>
  <c r="K33" i="3"/>
  <c r="K34" i="3"/>
  <c r="K35" i="3"/>
  <c r="K36" i="3"/>
  <c r="K37" i="3"/>
  <c r="K38" i="3"/>
  <c r="K39" i="3"/>
  <c r="K40" i="3"/>
  <c r="O40" i="3" s="1"/>
  <c r="K41" i="3"/>
  <c r="M41" i="3" s="1"/>
  <c r="K42" i="3"/>
  <c r="K43" i="3"/>
  <c r="K44" i="3"/>
  <c r="L44" i="3" s="1"/>
  <c r="K45" i="3"/>
  <c r="K46" i="3"/>
  <c r="K47" i="3"/>
  <c r="K48" i="3"/>
  <c r="K49" i="3"/>
  <c r="K50" i="3"/>
  <c r="K51" i="3"/>
  <c r="K52" i="3"/>
  <c r="K53" i="3"/>
  <c r="K54" i="3"/>
  <c r="K55" i="3"/>
  <c r="K56" i="3"/>
  <c r="O56" i="3" s="1"/>
  <c r="K57" i="3"/>
  <c r="M57" i="3" s="1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O72" i="3" s="1"/>
  <c r="K73" i="3"/>
  <c r="M73" i="3" s="1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O88" i="3" s="1"/>
  <c r="K89" i="3"/>
  <c r="M89" i="3" s="1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O104" i="3" s="1"/>
  <c r="K105" i="3"/>
  <c r="M105" i="3" s="1"/>
  <c r="K106" i="3"/>
  <c r="K107" i="3"/>
  <c r="K108" i="3"/>
  <c r="N108" i="3" s="1"/>
  <c r="K109" i="3"/>
  <c r="K110" i="3"/>
  <c r="K111" i="3"/>
  <c r="K112" i="3"/>
  <c r="M112" i="3" s="1"/>
  <c r="K113" i="3"/>
  <c r="K114" i="3"/>
  <c r="K115" i="3"/>
  <c r="M115" i="3" s="1"/>
  <c r="K116" i="3"/>
  <c r="K117" i="3"/>
  <c r="O117" i="3" s="1"/>
  <c r="K118" i="3"/>
  <c r="K119" i="3"/>
  <c r="K120" i="3"/>
  <c r="K121" i="3"/>
  <c r="K122" i="3"/>
  <c r="O122" i="3" s="1"/>
  <c r="K123" i="3"/>
  <c r="K124" i="3"/>
  <c r="N124" i="3" s="1"/>
  <c r="K125" i="3"/>
  <c r="K126" i="3"/>
  <c r="K127" i="3"/>
  <c r="K128" i="3"/>
  <c r="K129" i="3"/>
  <c r="N129" i="3" s="1"/>
  <c r="K130" i="3"/>
  <c r="K131" i="3"/>
  <c r="K132" i="3"/>
  <c r="K133" i="3"/>
  <c r="O133" i="3" s="1"/>
  <c r="K134" i="3"/>
  <c r="K135" i="3"/>
  <c r="K136" i="3"/>
  <c r="K137" i="3"/>
  <c r="O137" i="3" s="1"/>
  <c r="K138" i="3"/>
  <c r="O138" i="3" s="1"/>
  <c r="K139" i="3"/>
  <c r="K140" i="3"/>
  <c r="M140" i="3" s="1"/>
  <c r="K141" i="3"/>
  <c r="O141" i="3" s="1"/>
  <c r="K142" i="3"/>
  <c r="K143" i="3"/>
  <c r="K144" i="3"/>
  <c r="N144" i="3" s="1"/>
  <c r="K145" i="3"/>
  <c r="O145" i="3" s="1"/>
  <c r="K146" i="3"/>
  <c r="K147" i="3"/>
  <c r="M147" i="3" s="1"/>
  <c r="K148" i="3"/>
  <c r="N148" i="3" s="1"/>
  <c r="K149" i="3"/>
  <c r="O149" i="3" s="1"/>
  <c r="K150" i="3"/>
  <c r="K151" i="3"/>
  <c r="K152" i="3"/>
  <c r="N152" i="3" s="1"/>
  <c r="K153" i="3"/>
  <c r="O153" i="3" s="1"/>
  <c r="K154" i="3"/>
  <c r="K155" i="3"/>
  <c r="K156" i="3"/>
  <c r="N156" i="3" s="1"/>
  <c r="K157" i="3"/>
  <c r="O157" i="3" s="1"/>
  <c r="K158" i="3"/>
  <c r="K159" i="3"/>
  <c r="K160" i="3"/>
  <c r="N160" i="3" s="1"/>
  <c r="K161" i="3"/>
  <c r="O161" i="3" s="1"/>
  <c r="K162" i="3"/>
  <c r="K163" i="3"/>
  <c r="M163" i="3" s="1"/>
  <c r="K164" i="3"/>
  <c r="N164" i="3" s="1"/>
  <c r="K165" i="3"/>
  <c r="O165" i="3" s="1"/>
  <c r="K166" i="3"/>
  <c r="K167" i="3"/>
  <c r="K168" i="3"/>
  <c r="N168" i="3" s="1"/>
  <c r="K169" i="3"/>
  <c r="O169" i="3" s="1"/>
  <c r="K170" i="3"/>
  <c r="K171" i="3"/>
  <c r="K172" i="3"/>
  <c r="N172" i="3" s="1"/>
  <c r="K173" i="3"/>
  <c r="O173" i="3" s="1"/>
  <c r="K174" i="3"/>
  <c r="K175" i="3"/>
  <c r="K176" i="3"/>
  <c r="N176" i="3" s="1"/>
  <c r="K177" i="3"/>
  <c r="O177" i="3" s="1"/>
  <c r="K178" i="3"/>
  <c r="K179" i="3"/>
  <c r="M179" i="3" s="1"/>
  <c r="K180" i="3"/>
  <c r="N180" i="3" s="1"/>
  <c r="K181" i="3"/>
  <c r="O181" i="3" s="1"/>
  <c r="K182" i="3"/>
  <c r="K183" i="3"/>
  <c r="K184" i="3"/>
  <c r="O184" i="3" s="1"/>
  <c r="K185" i="3"/>
  <c r="K186" i="3"/>
  <c r="K187" i="3"/>
  <c r="K188" i="3"/>
  <c r="O188" i="3" s="1"/>
  <c r="K189" i="3"/>
  <c r="K190" i="3"/>
  <c r="K191" i="3"/>
  <c r="K192" i="3"/>
  <c r="O192" i="3" s="1"/>
  <c r="K193" i="3"/>
  <c r="K194" i="3"/>
  <c r="K195" i="3"/>
  <c r="K196" i="3"/>
  <c r="O196" i="3" s="1"/>
  <c r="K197" i="3"/>
  <c r="K198" i="3"/>
  <c r="K199" i="3"/>
  <c r="K200" i="3"/>
  <c r="O200" i="3" s="1"/>
  <c r="K201" i="3"/>
  <c r="K202" i="3"/>
  <c r="K203" i="3"/>
  <c r="K204" i="3"/>
  <c r="O204" i="3" s="1"/>
  <c r="K205" i="3"/>
  <c r="K206" i="3"/>
  <c r="K207" i="3"/>
  <c r="K208" i="3"/>
  <c r="O208" i="3" s="1"/>
  <c r="K209" i="3"/>
  <c r="K210" i="3"/>
  <c r="K211" i="3"/>
  <c r="K212" i="3"/>
  <c r="O212" i="3" s="1"/>
  <c r="K213" i="3"/>
  <c r="K214" i="3"/>
  <c r="K215" i="3"/>
  <c r="K216" i="3"/>
  <c r="O216" i="3" s="1"/>
  <c r="K217" i="3"/>
  <c r="K218" i="3"/>
  <c r="K219" i="3"/>
  <c r="K220" i="3"/>
  <c r="O220" i="3" s="1"/>
  <c r="K221" i="3"/>
  <c r="K222" i="3"/>
  <c r="K223" i="3"/>
  <c r="K224" i="3"/>
  <c r="O224" i="3" s="1"/>
  <c r="K225" i="3"/>
  <c r="K226" i="3"/>
  <c r="K227" i="3"/>
  <c r="K228" i="3"/>
  <c r="O228" i="3" s="1"/>
  <c r="K229" i="3"/>
  <c r="L229" i="3" s="1"/>
  <c r="K230" i="3"/>
  <c r="K231" i="3"/>
  <c r="K232" i="3"/>
  <c r="O232" i="3" s="1"/>
  <c r="K233" i="3"/>
  <c r="L233" i="3" s="1"/>
  <c r="K234" i="3"/>
  <c r="K235" i="3"/>
  <c r="M235" i="3" s="1"/>
  <c r="K236" i="3"/>
  <c r="O236" i="3" s="1"/>
  <c r="K237" i="3"/>
  <c r="L237" i="3" s="1"/>
  <c r="K238" i="3"/>
  <c r="K239" i="3"/>
  <c r="K240" i="3"/>
  <c r="O240" i="3" s="1"/>
  <c r="K241" i="3"/>
  <c r="L241" i="3" s="1"/>
  <c r="K242" i="3"/>
  <c r="K243" i="3"/>
  <c r="K244" i="3"/>
  <c r="O244" i="3" s="1"/>
  <c r="K245" i="3"/>
  <c r="L245" i="3" s="1"/>
  <c r="K246" i="3"/>
  <c r="K247" i="3"/>
  <c r="K248" i="3"/>
  <c r="O248" i="3" s="1"/>
  <c r="K249" i="3"/>
  <c r="L249" i="3" s="1"/>
  <c r="K250" i="3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I4" i="2"/>
  <c r="J4" i="2"/>
  <c r="K4" i="2"/>
  <c r="H4" i="2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N221" i="3" l="1"/>
  <c r="N141" i="3"/>
  <c r="N205" i="3"/>
  <c r="N189" i="3"/>
  <c r="N237" i="3"/>
  <c r="M168" i="3"/>
  <c r="N249" i="3"/>
  <c r="N233" i="3"/>
  <c r="N217" i="3"/>
  <c r="N201" i="3"/>
  <c r="N185" i="3"/>
  <c r="N161" i="3"/>
  <c r="M136" i="3"/>
  <c r="L236" i="3"/>
  <c r="N245" i="3"/>
  <c r="N229" i="3"/>
  <c r="N213" i="3"/>
  <c r="N197" i="3"/>
  <c r="M181" i="3"/>
  <c r="M153" i="3"/>
  <c r="M128" i="3"/>
  <c r="N241" i="3"/>
  <c r="N225" i="3"/>
  <c r="N209" i="3"/>
  <c r="N193" i="3"/>
  <c r="O172" i="3"/>
  <c r="M149" i="3"/>
  <c r="O108" i="3"/>
  <c r="L6" i="3"/>
  <c r="L7" i="3" s="1"/>
  <c r="L8" i="3"/>
  <c r="L248" i="3"/>
  <c r="L232" i="3"/>
  <c r="N248" i="3"/>
  <c r="N244" i="3"/>
  <c r="N240" i="3"/>
  <c r="N236" i="3"/>
  <c r="N232" i="3"/>
  <c r="N228" i="3"/>
  <c r="N224" i="3"/>
  <c r="N220" i="3"/>
  <c r="N216" i="3"/>
  <c r="N212" i="3"/>
  <c r="N208" i="3"/>
  <c r="N204" i="3"/>
  <c r="N200" i="3"/>
  <c r="N196" i="3"/>
  <c r="N192" i="3"/>
  <c r="N188" i="3"/>
  <c r="N184" i="3"/>
  <c r="O180" i="3"/>
  <c r="M172" i="3"/>
  <c r="N165" i="3"/>
  <c r="M160" i="3"/>
  <c r="O152" i="3"/>
  <c r="O148" i="3"/>
  <c r="M141" i="3"/>
  <c r="N133" i="3"/>
  <c r="O124" i="3"/>
  <c r="M108" i="3"/>
  <c r="L244" i="3"/>
  <c r="L228" i="3"/>
  <c r="M248" i="3"/>
  <c r="M244" i="3"/>
  <c r="M240" i="3"/>
  <c r="M236" i="3"/>
  <c r="M232" i="3"/>
  <c r="M228" i="3"/>
  <c r="M224" i="3"/>
  <c r="M220" i="3"/>
  <c r="M216" i="3"/>
  <c r="M212" i="3"/>
  <c r="M208" i="3"/>
  <c r="M204" i="3"/>
  <c r="M200" i="3"/>
  <c r="M196" i="3"/>
  <c r="M192" i="3"/>
  <c r="M188" i="3"/>
  <c r="M184" i="3"/>
  <c r="N177" i="3"/>
  <c r="M169" i="3"/>
  <c r="M165" i="3"/>
  <c r="O156" i="3"/>
  <c r="M152" i="3"/>
  <c r="N145" i="3"/>
  <c r="M133" i="3"/>
  <c r="L240" i="3"/>
  <c r="O249" i="3"/>
  <c r="O245" i="3"/>
  <c r="O241" i="3"/>
  <c r="O237" i="3"/>
  <c r="O233" i="3"/>
  <c r="O229" i="3"/>
  <c r="O225" i="3"/>
  <c r="O221" i="3"/>
  <c r="O217" i="3"/>
  <c r="O213" i="3"/>
  <c r="O209" i="3"/>
  <c r="O205" i="3"/>
  <c r="O201" i="3"/>
  <c r="O197" i="3"/>
  <c r="O193" i="3"/>
  <c r="O189" i="3"/>
  <c r="O185" i="3"/>
  <c r="N181" i="3"/>
  <c r="M176" i="3"/>
  <c r="O168" i="3"/>
  <c r="O164" i="3"/>
  <c r="M156" i="3"/>
  <c r="N149" i="3"/>
  <c r="M144" i="3"/>
  <c r="N243" i="3"/>
  <c r="O243" i="3"/>
  <c r="N227" i="3"/>
  <c r="O227" i="3"/>
  <c r="N219" i="3"/>
  <c r="O219" i="3"/>
  <c r="N203" i="3"/>
  <c r="O203" i="3"/>
  <c r="N187" i="3"/>
  <c r="O187" i="3"/>
  <c r="M151" i="3"/>
  <c r="O151" i="3"/>
  <c r="M135" i="3"/>
  <c r="N135" i="3"/>
  <c r="M123" i="3"/>
  <c r="N123" i="3"/>
  <c r="O123" i="3"/>
  <c r="M111" i="3"/>
  <c r="N111" i="3"/>
  <c r="M95" i="3"/>
  <c r="N95" i="3"/>
  <c r="O95" i="3"/>
  <c r="M83" i="3"/>
  <c r="N83" i="3"/>
  <c r="M67" i="3"/>
  <c r="N67" i="3"/>
  <c r="M51" i="3"/>
  <c r="N51" i="3"/>
  <c r="M35" i="3"/>
  <c r="N35" i="3"/>
  <c r="M187" i="3"/>
  <c r="O51" i="3"/>
  <c r="N247" i="3"/>
  <c r="O247" i="3"/>
  <c r="N239" i="3"/>
  <c r="O239" i="3"/>
  <c r="N235" i="3"/>
  <c r="O235" i="3"/>
  <c r="N231" i="3"/>
  <c r="O231" i="3"/>
  <c r="N223" i="3"/>
  <c r="O223" i="3"/>
  <c r="N215" i="3"/>
  <c r="O215" i="3"/>
  <c r="N211" i="3"/>
  <c r="O211" i="3"/>
  <c r="N207" i="3"/>
  <c r="O207" i="3"/>
  <c r="N199" i="3"/>
  <c r="O199" i="3"/>
  <c r="N195" i="3"/>
  <c r="O195" i="3"/>
  <c r="N191" i="3"/>
  <c r="O191" i="3"/>
  <c r="N183" i="3"/>
  <c r="O183" i="3"/>
  <c r="M175" i="3"/>
  <c r="N175" i="3"/>
  <c r="M171" i="3"/>
  <c r="N171" i="3"/>
  <c r="O171" i="3"/>
  <c r="M167" i="3"/>
  <c r="O167" i="3"/>
  <c r="M159" i="3"/>
  <c r="N159" i="3"/>
  <c r="M155" i="3"/>
  <c r="N155" i="3"/>
  <c r="O155" i="3"/>
  <c r="M143" i="3"/>
  <c r="N143" i="3"/>
  <c r="M139" i="3"/>
  <c r="N139" i="3"/>
  <c r="O139" i="3"/>
  <c r="M131" i="3"/>
  <c r="N131" i="3"/>
  <c r="O131" i="3"/>
  <c r="M127" i="3"/>
  <c r="N127" i="3"/>
  <c r="O127" i="3"/>
  <c r="M119" i="3"/>
  <c r="O119" i="3"/>
  <c r="M107" i="3"/>
  <c r="N107" i="3"/>
  <c r="O107" i="3"/>
  <c r="M103" i="3"/>
  <c r="N103" i="3"/>
  <c r="O103" i="3"/>
  <c r="M99" i="3"/>
  <c r="N99" i="3"/>
  <c r="M91" i="3"/>
  <c r="N91" i="3"/>
  <c r="O91" i="3"/>
  <c r="M87" i="3"/>
  <c r="N87" i="3"/>
  <c r="O87" i="3"/>
  <c r="M79" i="3"/>
  <c r="N79" i="3"/>
  <c r="O79" i="3"/>
  <c r="M75" i="3"/>
  <c r="N75" i="3"/>
  <c r="O75" i="3"/>
  <c r="M71" i="3"/>
  <c r="N71" i="3"/>
  <c r="O71" i="3"/>
  <c r="M63" i="3"/>
  <c r="N63" i="3"/>
  <c r="O63" i="3"/>
  <c r="M59" i="3"/>
  <c r="N59" i="3"/>
  <c r="O59" i="3"/>
  <c r="M55" i="3"/>
  <c r="N55" i="3"/>
  <c r="O55" i="3"/>
  <c r="M47" i="3"/>
  <c r="N47" i="3"/>
  <c r="O47" i="3"/>
  <c r="M43" i="3"/>
  <c r="N43" i="3"/>
  <c r="O43" i="3"/>
  <c r="M39" i="3"/>
  <c r="N39" i="3"/>
  <c r="O39" i="3"/>
  <c r="M31" i="3"/>
  <c r="N31" i="3"/>
  <c r="O31" i="3"/>
  <c r="M27" i="3"/>
  <c r="N27" i="3"/>
  <c r="O27" i="3"/>
  <c r="M23" i="3"/>
  <c r="N23" i="3"/>
  <c r="O23" i="3"/>
  <c r="M243" i="3"/>
  <c r="M227" i="3"/>
  <c r="M219" i="3"/>
  <c r="M211" i="3"/>
  <c r="M203" i="3"/>
  <c r="M195" i="3"/>
  <c r="N179" i="3"/>
  <c r="O175" i="3"/>
  <c r="N163" i="3"/>
  <c r="O159" i="3"/>
  <c r="N147" i="3"/>
  <c r="O143" i="3"/>
  <c r="O115" i="3"/>
  <c r="O99" i="3"/>
  <c r="O83" i="3"/>
  <c r="O67" i="3"/>
  <c r="O35" i="3"/>
  <c r="M250" i="3"/>
  <c r="N250" i="3"/>
  <c r="L250" i="3"/>
  <c r="M246" i="3"/>
  <c r="N246" i="3"/>
  <c r="L246" i="3"/>
  <c r="M242" i="3"/>
  <c r="N242" i="3"/>
  <c r="L242" i="3"/>
  <c r="M238" i="3"/>
  <c r="N238" i="3"/>
  <c r="L238" i="3"/>
  <c r="M234" i="3"/>
  <c r="N234" i="3"/>
  <c r="L234" i="3"/>
  <c r="M230" i="3"/>
  <c r="N230" i="3"/>
  <c r="L230" i="3"/>
  <c r="M226" i="3"/>
  <c r="N226" i="3"/>
  <c r="M222" i="3"/>
  <c r="N222" i="3"/>
  <c r="M218" i="3"/>
  <c r="N218" i="3"/>
  <c r="M214" i="3"/>
  <c r="N214" i="3"/>
  <c r="M210" i="3"/>
  <c r="N210" i="3"/>
  <c r="M206" i="3"/>
  <c r="N206" i="3"/>
  <c r="M202" i="3"/>
  <c r="N202" i="3"/>
  <c r="M198" i="3"/>
  <c r="N198" i="3"/>
  <c r="M194" i="3"/>
  <c r="N194" i="3"/>
  <c r="M190" i="3"/>
  <c r="N190" i="3"/>
  <c r="M186" i="3"/>
  <c r="N186" i="3"/>
  <c r="M182" i="3"/>
  <c r="N182" i="3"/>
  <c r="N178" i="3"/>
  <c r="O178" i="3"/>
  <c r="O174" i="3"/>
  <c r="M170" i="3"/>
  <c r="M166" i="3"/>
  <c r="N166" i="3"/>
  <c r="N162" i="3"/>
  <c r="O162" i="3"/>
  <c r="O158" i="3"/>
  <c r="M154" i="3"/>
  <c r="M150" i="3"/>
  <c r="N150" i="3"/>
  <c r="N146" i="3"/>
  <c r="O146" i="3"/>
  <c r="M142" i="3"/>
  <c r="N142" i="3"/>
  <c r="O142" i="3"/>
  <c r="M138" i="3"/>
  <c r="M134" i="3"/>
  <c r="N134" i="3"/>
  <c r="O134" i="3"/>
  <c r="N130" i="3"/>
  <c r="O130" i="3"/>
  <c r="O126" i="3"/>
  <c r="M122" i="3"/>
  <c r="M118" i="3"/>
  <c r="N118" i="3"/>
  <c r="N114" i="3"/>
  <c r="O114" i="3"/>
  <c r="M114" i="3"/>
  <c r="O110" i="3"/>
  <c r="M110" i="3"/>
  <c r="N110" i="3"/>
  <c r="M106" i="3"/>
  <c r="N106" i="3"/>
  <c r="O106" i="3"/>
  <c r="O102" i="3"/>
  <c r="M102" i="3"/>
  <c r="N102" i="3"/>
  <c r="O98" i="3"/>
  <c r="M98" i="3"/>
  <c r="N98" i="3"/>
  <c r="O94" i="3"/>
  <c r="M94" i="3"/>
  <c r="O90" i="3"/>
  <c r="M90" i="3"/>
  <c r="N90" i="3"/>
  <c r="O86" i="3"/>
  <c r="M86" i="3"/>
  <c r="N86" i="3"/>
  <c r="O82" i="3"/>
  <c r="M82" i="3"/>
  <c r="N82" i="3"/>
  <c r="O78" i="3"/>
  <c r="M78" i="3"/>
  <c r="O74" i="3"/>
  <c r="M74" i="3"/>
  <c r="N74" i="3"/>
  <c r="O70" i="3"/>
  <c r="M70" i="3"/>
  <c r="N70" i="3"/>
  <c r="O66" i="3"/>
  <c r="M66" i="3"/>
  <c r="N66" i="3"/>
  <c r="O62" i="3"/>
  <c r="M62" i="3"/>
  <c r="O58" i="3"/>
  <c r="M58" i="3"/>
  <c r="N58" i="3"/>
  <c r="L58" i="3"/>
  <c r="O54" i="3"/>
  <c r="M54" i="3"/>
  <c r="N54" i="3"/>
  <c r="O50" i="3"/>
  <c r="M50" i="3"/>
  <c r="N50" i="3"/>
  <c r="O46" i="3"/>
  <c r="M46" i="3"/>
  <c r="O42" i="3"/>
  <c r="M42" i="3"/>
  <c r="N42" i="3"/>
  <c r="O38" i="3"/>
  <c r="M38" i="3"/>
  <c r="N38" i="3"/>
  <c r="O34" i="3"/>
  <c r="M34" i="3"/>
  <c r="N34" i="3"/>
  <c r="O30" i="3"/>
  <c r="L30" i="3"/>
  <c r="M30" i="3"/>
  <c r="O26" i="3"/>
  <c r="M26" i="3"/>
  <c r="N26" i="3"/>
  <c r="O22" i="3"/>
  <c r="M22" i="3"/>
  <c r="N22" i="3"/>
  <c r="L22" i="3"/>
  <c r="L243" i="3"/>
  <c r="L235" i="3"/>
  <c r="L227" i="3"/>
  <c r="L43" i="3"/>
  <c r="O250" i="3"/>
  <c r="O242" i="3"/>
  <c r="O234" i="3"/>
  <c r="O226" i="3"/>
  <c r="O218" i="3"/>
  <c r="O210" i="3"/>
  <c r="O202" i="3"/>
  <c r="O194" i="3"/>
  <c r="O186" i="3"/>
  <c r="M178" i="3"/>
  <c r="N174" i="3"/>
  <c r="O170" i="3"/>
  <c r="M162" i="3"/>
  <c r="N158" i="3"/>
  <c r="O154" i="3"/>
  <c r="M146" i="3"/>
  <c r="N138" i="3"/>
  <c r="N126" i="3"/>
  <c r="N122" i="3"/>
  <c r="N115" i="3"/>
  <c r="N94" i="3"/>
  <c r="N78" i="3"/>
  <c r="N62" i="3"/>
  <c r="N46" i="3"/>
  <c r="N30" i="3"/>
  <c r="M247" i="3"/>
  <c r="M239" i="3"/>
  <c r="M231" i="3"/>
  <c r="M223" i="3"/>
  <c r="M215" i="3"/>
  <c r="M207" i="3"/>
  <c r="M199" i="3"/>
  <c r="M191" i="3"/>
  <c r="M183" i="3"/>
  <c r="M174" i="3"/>
  <c r="N170" i="3"/>
  <c r="N167" i="3"/>
  <c r="M158" i="3"/>
  <c r="N154" i="3"/>
  <c r="N151" i="3"/>
  <c r="M130" i="3"/>
  <c r="M126" i="3"/>
  <c r="N119" i="3"/>
  <c r="L247" i="3"/>
  <c r="L239" i="3"/>
  <c r="L231" i="3"/>
  <c r="L55" i="3"/>
  <c r="L31" i="3"/>
  <c r="O246" i="3"/>
  <c r="O238" i="3"/>
  <c r="O230" i="3"/>
  <c r="O222" i="3"/>
  <c r="O214" i="3"/>
  <c r="O206" i="3"/>
  <c r="O198" i="3"/>
  <c r="O190" i="3"/>
  <c r="O182" i="3"/>
  <c r="O179" i="3"/>
  <c r="O166" i="3"/>
  <c r="O163" i="3"/>
  <c r="O150" i="3"/>
  <c r="O147" i="3"/>
  <c r="O135" i="3"/>
  <c r="O118" i="3"/>
  <c r="O111" i="3"/>
  <c r="O129" i="3"/>
  <c r="M129" i="3"/>
  <c r="O125" i="3"/>
  <c r="M125" i="3"/>
  <c r="N125" i="3"/>
  <c r="O121" i="3"/>
  <c r="N121" i="3"/>
  <c r="O113" i="3"/>
  <c r="M113" i="3"/>
  <c r="O109" i="3"/>
  <c r="M109" i="3"/>
  <c r="N109" i="3"/>
  <c r="O105" i="3"/>
  <c r="N105" i="3"/>
  <c r="N101" i="3"/>
  <c r="O101" i="3"/>
  <c r="M101" i="3"/>
  <c r="N97" i="3"/>
  <c r="O97" i="3"/>
  <c r="N93" i="3"/>
  <c r="O93" i="3"/>
  <c r="M93" i="3"/>
  <c r="N89" i="3"/>
  <c r="O89" i="3"/>
  <c r="N85" i="3"/>
  <c r="O85" i="3"/>
  <c r="M85" i="3"/>
  <c r="N81" i="3"/>
  <c r="O81" i="3"/>
  <c r="N77" i="3"/>
  <c r="O77" i="3"/>
  <c r="M77" i="3"/>
  <c r="N73" i="3"/>
  <c r="O73" i="3"/>
  <c r="N69" i="3"/>
  <c r="O69" i="3"/>
  <c r="M69" i="3"/>
  <c r="N65" i="3"/>
  <c r="O65" i="3"/>
  <c r="N61" i="3"/>
  <c r="O61" i="3"/>
  <c r="M61" i="3"/>
  <c r="N57" i="3"/>
  <c r="O57" i="3"/>
  <c r="N53" i="3"/>
  <c r="O53" i="3"/>
  <c r="M53" i="3"/>
  <c r="N49" i="3"/>
  <c r="O49" i="3"/>
  <c r="N45" i="3"/>
  <c r="O45" i="3"/>
  <c r="M45" i="3"/>
  <c r="N41" i="3"/>
  <c r="O41" i="3"/>
  <c r="N37" i="3"/>
  <c r="O37" i="3"/>
  <c r="M37" i="3"/>
  <c r="N33" i="3"/>
  <c r="O33" i="3"/>
  <c r="N29" i="3"/>
  <c r="O29" i="3"/>
  <c r="M29" i="3"/>
  <c r="N25" i="3"/>
  <c r="O25" i="3"/>
  <c r="N21" i="3"/>
  <c r="O21" i="3"/>
  <c r="M21" i="3"/>
  <c r="M249" i="3"/>
  <c r="M245" i="3"/>
  <c r="M241" i="3"/>
  <c r="M237" i="3"/>
  <c r="M233" i="3"/>
  <c r="M229" i="3"/>
  <c r="M225" i="3"/>
  <c r="M221" i="3"/>
  <c r="M217" i="3"/>
  <c r="M213" i="3"/>
  <c r="M209" i="3"/>
  <c r="M205" i="3"/>
  <c r="M201" i="3"/>
  <c r="M197" i="3"/>
  <c r="M193" i="3"/>
  <c r="M189" i="3"/>
  <c r="M185" i="3"/>
  <c r="M177" i="3"/>
  <c r="N173" i="3"/>
  <c r="M161" i="3"/>
  <c r="N157" i="3"/>
  <c r="M145" i="3"/>
  <c r="N137" i="3"/>
  <c r="M121" i="3"/>
  <c r="N117" i="3"/>
  <c r="M97" i="3"/>
  <c r="M81" i="3"/>
  <c r="M65" i="3"/>
  <c r="M49" i="3"/>
  <c r="M33" i="3"/>
  <c r="N140" i="3"/>
  <c r="O140" i="3"/>
  <c r="N136" i="3"/>
  <c r="O136" i="3"/>
  <c r="N132" i="3"/>
  <c r="M132" i="3"/>
  <c r="O132" i="3"/>
  <c r="N128" i="3"/>
  <c r="O128" i="3"/>
  <c r="N120" i="3"/>
  <c r="M120" i="3"/>
  <c r="N116" i="3"/>
  <c r="M116" i="3"/>
  <c r="O116" i="3"/>
  <c r="N112" i="3"/>
  <c r="O112" i="3"/>
  <c r="M104" i="3"/>
  <c r="N104" i="3"/>
  <c r="M100" i="3"/>
  <c r="N100" i="3"/>
  <c r="O100" i="3"/>
  <c r="M96" i="3"/>
  <c r="N96" i="3"/>
  <c r="M92" i="3"/>
  <c r="N92" i="3"/>
  <c r="O92" i="3"/>
  <c r="M88" i="3"/>
  <c r="N88" i="3"/>
  <c r="M84" i="3"/>
  <c r="N84" i="3"/>
  <c r="O84" i="3"/>
  <c r="M80" i="3"/>
  <c r="N80" i="3"/>
  <c r="M76" i="3"/>
  <c r="N76" i="3"/>
  <c r="O76" i="3"/>
  <c r="M72" i="3"/>
  <c r="N72" i="3"/>
  <c r="M68" i="3"/>
  <c r="N68" i="3"/>
  <c r="O68" i="3"/>
  <c r="M64" i="3"/>
  <c r="N64" i="3"/>
  <c r="M60" i="3"/>
  <c r="N60" i="3"/>
  <c r="O60" i="3"/>
  <c r="M56" i="3"/>
  <c r="N56" i="3"/>
  <c r="M52" i="3"/>
  <c r="N52" i="3"/>
  <c r="O52" i="3"/>
  <c r="M48" i="3"/>
  <c r="N48" i="3"/>
  <c r="M44" i="3"/>
  <c r="N44" i="3"/>
  <c r="O44" i="3"/>
  <c r="M40" i="3"/>
  <c r="N40" i="3"/>
  <c r="M36" i="3"/>
  <c r="N36" i="3"/>
  <c r="O36" i="3"/>
  <c r="M32" i="3"/>
  <c r="N32" i="3"/>
  <c r="M28" i="3"/>
  <c r="N28" i="3"/>
  <c r="O28" i="3"/>
  <c r="M24" i="3"/>
  <c r="N24" i="3"/>
  <c r="M20" i="3"/>
  <c r="N20" i="3"/>
  <c r="O20" i="3"/>
  <c r="L49" i="3"/>
  <c r="L33" i="3"/>
  <c r="L21" i="3"/>
  <c r="M180" i="3"/>
  <c r="O176" i="3"/>
  <c r="M173" i="3"/>
  <c r="N169" i="3"/>
  <c r="M164" i="3"/>
  <c r="O160" i="3"/>
  <c r="M157" i="3"/>
  <c r="N153" i="3"/>
  <c r="M148" i="3"/>
  <c r="O144" i="3"/>
  <c r="M137" i="3"/>
  <c r="M124" i="3"/>
  <c r="O120" i="3"/>
  <c r="M117" i="3"/>
  <c r="N113" i="3"/>
  <c r="O96" i="3"/>
  <c r="O80" i="3"/>
  <c r="O64" i="3"/>
  <c r="O48" i="3"/>
  <c r="O32" i="3"/>
  <c r="M12" i="3"/>
  <c r="O19" i="3"/>
  <c r="O11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N12" i="3"/>
  <c r="N11" i="3"/>
  <c r="N10" i="3"/>
  <c r="O10" i="3"/>
  <c r="M10" i="3"/>
  <c r="L30" i="2"/>
  <c r="L28" i="2"/>
  <c r="L26" i="2"/>
  <c r="L24" i="2"/>
  <c r="L22" i="2"/>
  <c r="L19" i="2"/>
  <c r="L17" i="2"/>
  <c r="L13" i="2"/>
  <c r="L11" i="2"/>
  <c r="L8" i="2"/>
  <c r="L59" i="2"/>
  <c r="L25" i="2"/>
  <c r="L20" i="2"/>
  <c r="L15" i="2"/>
  <c r="L10" i="2"/>
  <c r="L5" i="2"/>
  <c r="L51" i="2"/>
  <c r="L47" i="2"/>
  <c r="L43" i="2"/>
  <c r="L39" i="2"/>
  <c r="L44" i="2"/>
  <c r="L31" i="2"/>
  <c r="L29" i="2"/>
  <c r="L27" i="2"/>
  <c r="L23" i="2"/>
  <c r="L21" i="2"/>
  <c r="L18" i="2"/>
  <c r="L16" i="2"/>
  <c r="L14" i="2"/>
  <c r="L12" i="2"/>
  <c r="L9" i="2"/>
  <c r="L7" i="2"/>
  <c r="L6" i="2"/>
  <c r="L58" i="2"/>
  <c r="L57" i="2"/>
  <c r="L55" i="2"/>
  <c r="L54" i="2"/>
  <c r="L53" i="2"/>
  <c r="L50" i="2"/>
  <c r="L49" i="2"/>
  <c r="L46" i="2"/>
  <c r="L45" i="2"/>
  <c r="L42" i="2"/>
  <c r="L41" i="2"/>
  <c r="L38" i="2"/>
  <c r="L37" i="2"/>
  <c r="L35" i="2"/>
  <c r="L34" i="2"/>
  <c r="L33" i="2"/>
  <c r="L4" i="2"/>
  <c r="L56" i="2"/>
  <c r="L52" i="2"/>
  <c r="L48" i="2"/>
  <c r="L40" i="2"/>
  <c r="L36" i="2"/>
  <c r="L32" i="2"/>
  <c r="L9" i="3" l="1"/>
  <c r="L10" i="3"/>
  <c r="L11" i="3" l="1"/>
  <c r="L12" i="3" l="1"/>
  <c r="L13" i="3" l="1"/>
  <c r="L14" i="3"/>
  <c r="L15" i="3" s="1"/>
  <c r="L16" i="3" s="1"/>
  <c r="L17" i="3"/>
  <c r="L18" i="3"/>
  <c r="L19" i="3" l="1"/>
  <c r="Q4" i="2"/>
  <c r="O4" i="2"/>
  <c r="P4" i="2"/>
  <c r="L20" i="3" l="1"/>
  <c r="V4" i="2"/>
  <c r="W4" i="2"/>
  <c r="U4" i="2"/>
  <c r="T4" i="2"/>
  <c r="S4" i="2"/>
  <c r="L23" i="3" l="1"/>
  <c r="X4" i="2"/>
  <c r="R4" i="2" s="1"/>
  <c r="Y4" i="2" s="1"/>
  <c r="L24" i="3" l="1"/>
  <c r="L29" i="3"/>
  <c r="L25" i="3"/>
  <c r="L26" i="3" l="1"/>
  <c r="L27" i="3" l="1"/>
  <c r="L32" i="3" s="1"/>
  <c r="L34" i="3" s="1"/>
  <c r="L35" i="3" s="1"/>
  <c r="L36" i="3" s="1"/>
  <c r="L37" i="3" s="1"/>
  <c r="L48" i="3"/>
  <c r="L38" i="3" l="1"/>
  <c r="L39" i="3"/>
  <c r="L45" i="3" s="1"/>
  <c r="L40" i="3" l="1"/>
  <c r="L41" i="3" s="1"/>
  <c r="L42" i="3" l="1"/>
  <c r="L46" i="3" s="1"/>
  <c r="L47" i="3" s="1"/>
  <c r="L50" i="3" l="1"/>
  <c r="L51" i="3" l="1"/>
  <c r="L52" i="3" s="1"/>
  <c r="L53" i="3" s="1"/>
  <c r="L54" i="3" s="1"/>
  <c r="L56" i="3" l="1"/>
  <c r="L57" i="3" s="1"/>
  <c r="L59" i="3" s="1"/>
  <c r="L60" i="3" s="1"/>
  <c r="L61" i="3" s="1"/>
  <c r="L66" i="3" l="1"/>
  <c r="L72" i="3"/>
  <c r="L73" i="3"/>
  <c r="L65" i="3"/>
  <c r="L68" i="3"/>
  <c r="L67" i="3"/>
  <c r="L70" i="3"/>
  <c r="L63" i="3"/>
  <c r="L64" i="3" s="1"/>
  <c r="L62" i="3"/>
  <c r="L69" i="3" l="1"/>
  <c r="L71" i="3" s="1"/>
  <c r="L74" i="3" s="1"/>
  <c r="L75" i="3" s="1"/>
  <c r="L76" i="3" s="1"/>
  <c r="L78" i="3" l="1"/>
  <c r="L83" i="3"/>
  <c r="L81" i="3"/>
  <c r="L103" i="3"/>
  <c r="L101" i="3"/>
  <c r="L92" i="3"/>
  <c r="L89" i="3"/>
  <c r="L85" i="3"/>
  <c r="L77" i="3"/>
  <c r="L79" i="3" l="1"/>
  <c r="L100" i="3" s="1"/>
  <c r="L102" i="3" l="1"/>
  <c r="L118" i="3"/>
  <c r="L86" i="3"/>
  <c r="L80" i="3"/>
  <c r="L82" i="3" s="1"/>
  <c r="L107" i="3"/>
  <c r="L111" i="3"/>
  <c r="L84" i="3" l="1"/>
  <c r="L87" i="3" l="1"/>
  <c r="L130" i="3" l="1"/>
  <c r="L88" i="3"/>
  <c r="L90" i="3" s="1"/>
  <c r="L91" i="3" s="1"/>
  <c r="L93" i="3" s="1"/>
  <c r="L94" i="3" s="1"/>
  <c r="L132" i="3" l="1"/>
  <c r="L96" i="3"/>
  <c r="L95" i="3"/>
  <c r="L97" i="3" l="1"/>
  <c r="L98" i="3" s="1"/>
  <c r="L131" i="3" s="1"/>
  <c r="L99" i="3" l="1"/>
  <c r="L104" i="3" s="1"/>
  <c r="L213" i="3" s="1"/>
  <c r="L151" i="3"/>
  <c r="L124" i="3"/>
  <c r="L122" i="3"/>
  <c r="L105" i="3"/>
  <c r="L106" i="3" s="1"/>
  <c r="L108" i="3" s="1"/>
  <c r="L109" i="3" s="1"/>
  <c r="L110" i="3" s="1"/>
  <c r="L112" i="3" s="1"/>
  <c r="L113" i="3" s="1"/>
  <c r="L146" i="3"/>
  <c r="L117" i="3"/>
  <c r="L128" i="3"/>
  <c r="L143" i="3"/>
  <c r="L114" i="3"/>
  <c r="P26" i="2"/>
  <c r="Q26" i="2"/>
  <c r="L115" i="3" l="1"/>
  <c r="L116" i="3" s="1"/>
  <c r="U26" i="2"/>
  <c r="S26" i="2"/>
  <c r="V26" i="2"/>
  <c r="T26" i="2"/>
  <c r="W26" i="2"/>
  <c r="L119" i="3" l="1"/>
  <c r="L121" i="3" s="1"/>
  <c r="L120" i="3"/>
  <c r="X26" i="2"/>
  <c r="R26" i="2" s="1"/>
  <c r="Y26" i="2" s="1"/>
  <c r="L137" i="3" l="1"/>
  <c r="L163" i="3"/>
  <c r="L123" i="3"/>
  <c r="L125" i="3" l="1"/>
  <c r="L126" i="3" l="1"/>
  <c r="L127" i="3" l="1"/>
  <c r="L133" i="3" l="1"/>
  <c r="L129" i="3"/>
  <c r="L134" i="3" l="1"/>
  <c r="L135" i="3" s="1"/>
  <c r="L141" i="3" s="1"/>
  <c r="L136" i="3" l="1"/>
  <c r="L138" i="3" s="1"/>
  <c r="L139" i="3" s="1"/>
  <c r="L140" i="3" s="1"/>
  <c r="L142" i="3" l="1"/>
  <c r="L144" i="3" s="1"/>
  <c r="L145" i="3" s="1"/>
  <c r="L147" i="3" s="1"/>
  <c r="L192" i="3" l="1"/>
  <c r="L155" i="3"/>
  <c r="L194" i="3"/>
  <c r="L188" i="3"/>
  <c r="L162" i="3"/>
  <c r="L186" i="3"/>
  <c r="L148" i="3"/>
  <c r="L160" i="3"/>
  <c r="L156" i="3"/>
  <c r="L158" i="3" l="1"/>
  <c r="L157" i="3"/>
  <c r="L149" i="3"/>
  <c r="L150" i="3" l="1"/>
  <c r="L152" i="3" s="1"/>
  <c r="L153" i="3" s="1"/>
  <c r="L167" i="3" l="1"/>
  <c r="L159" i="3"/>
  <c r="L161" i="3"/>
  <c r="L154" i="3"/>
  <c r="L164" i="3" l="1"/>
  <c r="L165" i="3" s="1"/>
  <c r="L166" i="3" s="1"/>
  <c r="L175" i="3" s="1"/>
  <c r="L168" i="3" l="1"/>
  <c r="L169" i="3" s="1"/>
  <c r="L170" i="3" s="1"/>
  <c r="L171" i="3" s="1"/>
  <c r="L172" i="3" s="1"/>
  <c r="L173" i="3" s="1"/>
  <c r="L174" i="3" s="1"/>
  <c r="L176" i="3" l="1"/>
  <c r="L177" i="3" s="1"/>
  <c r="L178" i="3" s="1"/>
  <c r="L179" i="3" s="1"/>
  <c r="L180" i="3" s="1"/>
  <c r="L181" i="3" s="1"/>
  <c r="L182" i="3" s="1"/>
  <c r="L183" i="3" s="1"/>
  <c r="L184" i="3" s="1"/>
  <c r="L185" i="3" s="1"/>
  <c r="L187" i="3" s="1"/>
  <c r="L189" i="3" s="1"/>
  <c r="L190" i="3" s="1"/>
  <c r="L211" i="3" s="1"/>
  <c r="L202" i="3" l="1"/>
  <c r="L195" i="3"/>
  <c r="L196" i="3" s="1"/>
  <c r="L191" i="3"/>
  <c r="L193" i="3" s="1"/>
  <c r="L197" i="3" l="1"/>
  <c r="L198" i="3" s="1"/>
  <c r="L199" i="3" s="1"/>
  <c r="L212" i="3"/>
  <c r="L200" i="3" l="1"/>
  <c r="L220" i="3"/>
  <c r="L224" i="3"/>
  <c r="L222" i="3"/>
  <c r="L207" i="3"/>
  <c r="L223" i="3"/>
  <c r="L201" i="3" l="1"/>
  <c r="L205" i="3" s="1"/>
  <c r="L210" i="3"/>
  <c r="L203" i="3" l="1"/>
  <c r="L204" i="3" l="1"/>
  <c r="L206" i="3" s="1"/>
  <c r="L208" i="3" s="1"/>
  <c r="L209" i="3" s="1"/>
  <c r="L214" i="3" s="1"/>
  <c r="L215" i="3" s="1"/>
  <c r="L217" i="3" l="1"/>
  <c r="L218" i="3" s="1"/>
  <c r="L221" i="3" s="1"/>
  <c r="L216" i="3"/>
  <c r="L219" i="3" s="1"/>
  <c r="L225" i="3" s="1"/>
  <c r="L226" i="3" s="1"/>
  <c r="N5" i="2" l="1"/>
  <c r="N27" i="2"/>
  <c r="Q27" i="2" l="1"/>
  <c r="N28" i="2"/>
  <c r="O27" i="2"/>
  <c r="P27" i="2"/>
  <c r="O5" i="2"/>
  <c r="N6" i="2"/>
  <c r="Q5" i="2"/>
  <c r="P5" i="2"/>
  <c r="W27" i="2" l="1"/>
  <c r="U27" i="2"/>
  <c r="T27" i="2"/>
  <c r="V27" i="2"/>
  <c r="S27" i="2"/>
  <c r="Q6" i="2"/>
  <c r="O6" i="2"/>
  <c r="N7" i="2"/>
  <c r="P6" i="2"/>
  <c r="O28" i="2"/>
  <c r="P28" i="2"/>
  <c r="T28" i="2" s="1"/>
  <c r="Q28" i="2"/>
  <c r="N29" i="2"/>
  <c r="V5" i="2"/>
  <c r="U5" i="2"/>
  <c r="W5" i="2"/>
  <c r="T5" i="2"/>
  <c r="S5" i="2"/>
  <c r="N30" i="2" l="1"/>
  <c r="Q29" i="2"/>
  <c r="P29" i="2"/>
  <c r="O29" i="2"/>
  <c r="P7" i="2"/>
  <c r="N8" i="2"/>
  <c r="Q7" i="2"/>
  <c r="O7" i="2"/>
  <c r="X5" i="2"/>
  <c r="R5" i="2" s="1"/>
  <c r="Y5" i="2" s="1"/>
  <c r="S28" i="2"/>
  <c r="V28" i="2"/>
  <c r="W28" i="2"/>
  <c r="U28" i="2"/>
  <c r="S6" i="2"/>
  <c r="T6" i="2"/>
  <c r="V6" i="2"/>
  <c r="W6" i="2"/>
  <c r="U6" i="2"/>
  <c r="X27" i="2"/>
  <c r="R27" i="2" s="1"/>
  <c r="Y27" i="2" s="1"/>
  <c r="U7" i="2" l="1"/>
  <c r="T7" i="2"/>
  <c r="W7" i="2"/>
  <c r="S7" i="2"/>
  <c r="V7" i="2"/>
  <c r="S29" i="2"/>
  <c r="V29" i="2"/>
  <c r="U29" i="2"/>
  <c r="T29" i="2"/>
  <c r="W29" i="2"/>
  <c r="X6" i="2"/>
  <c r="R6" i="2" s="1"/>
  <c r="Y6" i="2" s="1"/>
  <c r="X28" i="2"/>
  <c r="R28" i="2" s="1"/>
  <c r="Y28" i="2" s="1"/>
  <c r="P8" i="2"/>
  <c r="O8" i="2"/>
  <c r="N9" i="2"/>
  <c r="Q8" i="2"/>
  <c r="N31" i="2"/>
  <c r="Q30" i="2"/>
  <c r="O30" i="2"/>
  <c r="P30" i="2"/>
  <c r="W8" i="2" l="1"/>
  <c r="U8" i="2"/>
  <c r="V8" i="2"/>
  <c r="T8" i="2"/>
  <c r="S8" i="2"/>
  <c r="X29" i="2"/>
  <c r="R29" i="2" s="1"/>
  <c r="Y29" i="2" s="1"/>
  <c r="Q31" i="2"/>
  <c r="N32" i="2"/>
  <c r="O31" i="2"/>
  <c r="P31" i="2"/>
  <c r="X7" i="2"/>
  <c r="R7" i="2" s="1"/>
  <c r="Y7" i="2" s="1"/>
  <c r="T30" i="2"/>
  <c r="S30" i="2"/>
  <c r="V30" i="2"/>
  <c r="W30" i="2"/>
  <c r="U30" i="2"/>
  <c r="N10" i="2"/>
  <c r="O9" i="2"/>
  <c r="P9" i="2"/>
  <c r="Q9" i="2"/>
  <c r="P10" i="2" l="1"/>
  <c r="O10" i="2"/>
  <c r="Q10" i="2"/>
  <c r="N11" i="2"/>
  <c r="P32" i="2"/>
  <c r="Q32" i="2"/>
  <c r="N33" i="2"/>
  <c r="O32" i="2"/>
  <c r="V9" i="2"/>
  <c r="T9" i="2"/>
  <c r="S9" i="2"/>
  <c r="W9" i="2"/>
  <c r="U9" i="2"/>
  <c r="X30" i="2"/>
  <c r="R30" i="2" s="1"/>
  <c r="Y30" i="2" s="1"/>
  <c r="U31" i="2"/>
  <c r="S31" i="2"/>
  <c r="T31" i="2"/>
  <c r="V31" i="2"/>
  <c r="W31" i="2"/>
  <c r="X8" i="2"/>
  <c r="R8" i="2" s="1"/>
  <c r="Y8" i="2" s="1"/>
  <c r="X31" i="2" l="1"/>
  <c r="R31" i="2" s="1"/>
  <c r="Y31" i="2" s="1"/>
  <c r="S32" i="2"/>
  <c r="U32" i="2"/>
  <c r="V32" i="2"/>
  <c r="W32" i="2"/>
  <c r="T32" i="2"/>
  <c r="O11" i="2"/>
  <c r="N12" i="2"/>
  <c r="Q11" i="2"/>
  <c r="P11" i="2"/>
  <c r="X9" i="2"/>
  <c r="R9" i="2" s="1"/>
  <c r="Y9" i="2" s="1"/>
  <c r="Q33" i="2"/>
  <c r="P33" i="2"/>
  <c r="O33" i="2"/>
  <c r="N34" i="2"/>
  <c r="W10" i="2"/>
  <c r="V10" i="2"/>
  <c r="T10" i="2"/>
  <c r="U10" i="2"/>
  <c r="S10" i="2"/>
  <c r="N13" i="2" l="1"/>
  <c r="Q12" i="2"/>
  <c r="O12" i="2"/>
  <c r="P12" i="2"/>
  <c r="X10" i="2"/>
  <c r="R10" i="2" s="1"/>
  <c r="Y10" i="2" s="1"/>
  <c r="P34" i="2"/>
  <c r="O34" i="2"/>
  <c r="N35" i="2"/>
  <c r="Q34" i="2"/>
  <c r="V11" i="2"/>
  <c r="U11" i="2"/>
  <c r="T11" i="2"/>
  <c r="W11" i="2"/>
  <c r="S11" i="2"/>
  <c r="X32" i="2"/>
  <c r="R32" i="2" s="1"/>
  <c r="Y32" i="2" s="1"/>
  <c r="S33" i="2"/>
  <c r="T33" i="2"/>
  <c r="V33" i="2"/>
  <c r="W33" i="2"/>
  <c r="U33" i="2"/>
  <c r="N36" i="2" l="1"/>
  <c r="O35" i="2"/>
  <c r="P35" i="2"/>
  <c r="Q35" i="2"/>
  <c r="X33" i="2"/>
  <c r="R33" i="2" s="1"/>
  <c r="Y33" i="2" s="1"/>
  <c r="V34" i="2"/>
  <c r="T34" i="2"/>
  <c r="W34" i="2"/>
  <c r="U34" i="2"/>
  <c r="S34" i="2"/>
  <c r="T12" i="2"/>
  <c r="S12" i="2"/>
  <c r="V12" i="2"/>
  <c r="U12" i="2"/>
  <c r="W12" i="2"/>
  <c r="X11" i="2"/>
  <c r="R11" i="2" s="1"/>
  <c r="Y11" i="2" s="1"/>
  <c r="N14" i="2"/>
  <c r="O13" i="2"/>
  <c r="P13" i="2"/>
  <c r="Q13" i="2"/>
  <c r="X12" i="2" l="1"/>
  <c r="R12" i="2" s="1"/>
  <c r="Y12" i="2" s="1"/>
  <c r="U13" i="2"/>
  <c r="T13" i="2"/>
  <c r="V13" i="2"/>
  <c r="W13" i="2"/>
  <c r="S13" i="2"/>
  <c r="X34" i="2"/>
  <c r="R34" i="2" s="1"/>
  <c r="Y34" i="2" s="1"/>
  <c r="W35" i="2"/>
  <c r="V35" i="2"/>
  <c r="S35" i="2"/>
  <c r="T35" i="2"/>
  <c r="U35" i="2"/>
  <c r="P14" i="2"/>
  <c r="Q14" i="2"/>
  <c r="N15" i="2"/>
  <c r="O14" i="2"/>
  <c r="O36" i="2"/>
  <c r="Q36" i="2"/>
  <c r="N37" i="2"/>
  <c r="P36" i="2"/>
  <c r="P37" i="2" l="1"/>
  <c r="O37" i="2"/>
  <c r="Q37" i="2"/>
  <c r="N38" i="2"/>
  <c r="Q15" i="2"/>
  <c r="P15" i="2"/>
  <c r="O15" i="2"/>
  <c r="N16" i="2"/>
  <c r="T14" i="2"/>
  <c r="W14" i="2"/>
  <c r="U14" i="2"/>
  <c r="V14" i="2"/>
  <c r="S14" i="2"/>
  <c r="X35" i="2"/>
  <c r="R35" i="2" s="1"/>
  <c r="Y35" i="2" s="1"/>
  <c r="X13" i="2"/>
  <c r="R13" i="2" s="1"/>
  <c r="Y13" i="2" s="1"/>
  <c r="V36" i="2"/>
  <c r="W36" i="2"/>
  <c r="T36" i="2"/>
  <c r="S36" i="2"/>
  <c r="U36" i="2"/>
  <c r="O16" i="2" l="1"/>
  <c r="N17" i="2"/>
  <c r="P16" i="2"/>
  <c r="Q16" i="2"/>
  <c r="N39" i="2"/>
  <c r="O38" i="2"/>
  <c r="P38" i="2"/>
  <c r="Q38" i="2"/>
  <c r="X14" i="2"/>
  <c r="R14" i="2" s="1"/>
  <c r="Y14" i="2" s="1"/>
  <c r="X36" i="2"/>
  <c r="R36" i="2" s="1"/>
  <c r="Y36" i="2" s="1"/>
  <c r="S15" i="2"/>
  <c r="U15" i="2"/>
  <c r="V15" i="2"/>
  <c r="T15" i="2"/>
  <c r="W15" i="2"/>
  <c r="U37" i="2"/>
  <c r="W37" i="2"/>
  <c r="T37" i="2"/>
  <c r="V37" i="2"/>
  <c r="S37" i="2"/>
  <c r="X37" i="2" l="1"/>
  <c r="R37" i="2" s="1"/>
  <c r="Y37" i="2" s="1"/>
  <c r="X15" i="2"/>
  <c r="R15" i="2" s="1"/>
  <c r="Y15" i="2" s="1"/>
  <c r="S38" i="2"/>
  <c r="T38" i="2"/>
  <c r="V38" i="2"/>
  <c r="U38" i="2"/>
  <c r="W38" i="2"/>
  <c r="N18" i="2"/>
  <c r="O17" i="2"/>
  <c r="P17" i="2"/>
  <c r="Q17" i="2"/>
  <c r="P39" i="2"/>
  <c r="O39" i="2"/>
  <c r="N40" i="2"/>
  <c r="Q39" i="2"/>
  <c r="T16" i="2"/>
  <c r="V16" i="2"/>
  <c r="U16" i="2"/>
  <c r="W16" i="2"/>
  <c r="S16" i="2"/>
  <c r="X16" i="2" l="1"/>
  <c r="R16" i="2" s="1"/>
  <c r="Y16" i="2" s="1"/>
  <c r="X38" i="2"/>
  <c r="R38" i="2" s="1"/>
  <c r="Y38" i="2" s="1"/>
  <c r="O40" i="2"/>
  <c r="P40" i="2"/>
  <c r="Q40" i="2"/>
  <c r="N41" i="2"/>
  <c r="O18" i="2"/>
  <c r="Q18" i="2"/>
  <c r="P18" i="2"/>
  <c r="N19" i="2"/>
  <c r="U39" i="2"/>
  <c r="T39" i="2"/>
  <c r="S39" i="2"/>
  <c r="V39" i="2"/>
  <c r="W39" i="2"/>
  <c r="S17" i="2"/>
  <c r="V17" i="2"/>
  <c r="W17" i="2"/>
  <c r="T17" i="2"/>
  <c r="U17" i="2"/>
  <c r="X17" i="2" l="1"/>
  <c r="R17" i="2" s="1"/>
  <c r="Y17" i="2" s="1"/>
  <c r="W18" i="2"/>
  <c r="T18" i="2"/>
  <c r="V18" i="2"/>
  <c r="S18" i="2"/>
  <c r="U18" i="2"/>
  <c r="V40" i="2"/>
  <c r="W40" i="2"/>
  <c r="S40" i="2"/>
  <c r="T40" i="2"/>
  <c r="U40" i="2"/>
  <c r="P19" i="2"/>
  <c r="Q19" i="2"/>
  <c r="N20" i="2"/>
  <c r="O19" i="2"/>
  <c r="N42" i="2"/>
  <c r="Q41" i="2"/>
  <c r="P41" i="2"/>
  <c r="O41" i="2"/>
  <c r="X39" i="2"/>
  <c r="R39" i="2" s="1"/>
  <c r="Y39" i="2" s="1"/>
  <c r="O20" i="2" l="1"/>
  <c r="Q20" i="2"/>
  <c r="P20" i="2"/>
  <c r="N21" i="2"/>
  <c r="Q42" i="2"/>
  <c r="N43" i="2"/>
  <c r="O42" i="2"/>
  <c r="P42" i="2"/>
  <c r="U41" i="2"/>
  <c r="S41" i="2"/>
  <c r="T41" i="2"/>
  <c r="W41" i="2"/>
  <c r="V41" i="2"/>
  <c r="W19" i="2"/>
  <c r="S19" i="2"/>
  <c r="V19" i="2"/>
  <c r="U19" i="2"/>
  <c r="T19" i="2"/>
  <c r="X40" i="2"/>
  <c r="R40" i="2" s="1"/>
  <c r="Y40" i="2" s="1"/>
  <c r="X18" i="2"/>
  <c r="R18" i="2" s="1"/>
  <c r="Y18" i="2" s="1"/>
  <c r="W42" i="2" l="1"/>
  <c r="U42" i="2"/>
  <c r="V42" i="2"/>
  <c r="S42" i="2"/>
  <c r="T42" i="2"/>
  <c r="O21" i="2"/>
  <c r="Q21" i="2"/>
  <c r="P21" i="2"/>
  <c r="N22" i="2"/>
  <c r="X19" i="2"/>
  <c r="R19" i="2" s="1"/>
  <c r="Y19" i="2" s="1"/>
  <c r="X41" i="2"/>
  <c r="R41" i="2" s="1"/>
  <c r="Y41" i="2" s="1"/>
  <c r="O43" i="2"/>
  <c r="Q43" i="2"/>
  <c r="N44" i="2"/>
  <c r="P43" i="2"/>
  <c r="T20" i="2"/>
  <c r="S20" i="2"/>
  <c r="U20" i="2"/>
  <c r="V20" i="2"/>
  <c r="W20" i="2"/>
  <c r="S43" i="2" l="1"/>
  <c r="U43" i="2"/>
  <c r="T43" i="2"/>
  <c r="W43" i="2"/>
  <c r="V43" i="2"/>
  <c r="O22" i="2"/>
  <c r="P22" i="2"/>
  <c r="Q22" i="2"/>
  <c r="N23" i="2"/>
  <c r="X42" i="2"/>
  <c r="R42" i="2" s="1"/>
  <c r="Y42" i="2" s="1"/>
  <c r="N45" i="2"/>
  <c r="Q44" i="2"/>
  <c r="P44" i="2"/>
  <c r="O44" i="2"/>
  <c r="W21" i="2"/>
  <c r="V21" i="2"/>
  <c r="T21" i="2"/>
  <c r="U21" i="2"/>
  <c r="S21" i="2"/>
  <c r="X20" i="2"/>
  <c r="R20" i="2" s="1"/>
  <c r="Y20" i="2" s="1"/>
  <c r="O45" i="2" l="1"/>
  <c r="P45" i="2"/>
  <c r="Q45" i="2"/>
  <c r="N46" i="2"/>
  <c r="V44" i="2"/>
  <c r="T44" i="2"/>
  <c r="W44" i="2"/>
  <c r="S44" i="2"/>
  <c r="U44" i="2"/>
  <c r="W22" i="2"/>
  <c r="S22" i="2"/>
  <c r="U22" i="2"/>
  <c r="T22" i="2"/>
  <c r="V22" i="2"/>
  <c r="X21" i="2"/>
  <c r="R21" i="2" s="1"/>
  <c r="Y21" i="2" s="1"/>
  <c r="O23" i="2"/>
  <c r="P23" i="2"/>
  <c r="Q23" i="2"/>
  <c r="N24" i="2"/>
  <c r="X43" i="2"/>
  <c r="R43" i="2" s="1"/>
  <c r="Y43" i="2" s="1"/>
  <c r="V23" i="2" l="1"/>
  <c r="S23" i="2"/>
  <c r="T23" i="2"/>
  <c r="W23" i="2"/>
  <c r="U23" i="2"/>
  <c r="X44" i="2"/>
  <c r="R44" i="2" s="1"/>
  <c r="Y44" i="2" s="1"/>
  <c r="N47" i="2"/>
  <c r="Q46" i="2"/>
  <c r="P46" i="2"/>
  <c r="O46" i="2"/>
  <c r="N25" i="2"/>
  <c r="Q24" i="2"/>
  <c r="O24" i="2"/>
  <c r="P24" i="2"/>
  <c r="X22" i="2"/>
  <c r="R22" i="2" s="1"/>
  <c r="Y22" i="2" s="1"/>
  <c r="U45" i="2"/>
  <c r="W45" i="2"/>
  <c r="S45" i="2"/>
  <c r="V45" i="2"/>
  <c r="T45" i="2"/>
  <c r="O25" i="2" l="1"/>
  <c r="Q25" i="2"/>
  <c r="P25" i="2"/>
  <c r="P47" i="2"/>
  <c r="O47" i="2"/>
  <c r="Q47" i="2"/>
  <c r="N48" i="2"/>
  <c r="X45" i="2"/>
  <c r="R45" i="2" s="1"/>
  <c r="Y45" i="2" s="1"/>
  <c r="S46" i="2"/>
  <c r="W46" i="2"/>
  <c r="T46" i="2"/>
  <c r="V46" i="2"/>
  <c r="U46" i="2"/>
  <c r="X23" i="2"/>
  <c r="R23" i="2" s="1"/>
  <c r="Y23" i="2" s="1"/>
  <c r="T24" i="2"/>
  <c r="S24" i="2"/>
  <c r="V24" i="2"/>
  <c r="W24" i="2"/>
  <c r="U24" i="2"/>
  <c r="X24" i="2" l="1"/>
  <c r="R24" i="2" s="1"/>
  <c r="Y24" i="2" s="1"/>
  <c r="O48" i="2"/>
  <c r="Q48" i="2"/>
  <c r="N49" i="2"/>
  <c r="P48" i="2"/>
  <c r="X46" i="2"/>
  <c r="R46" i="2" s="1"/>
  <c r="Y46" i="2" s="1"/>
  <c r="S47" i="2"/>
  <c r="V47" i="2"/>
  <c r="T47" i="2"/>
  <c r="U47" i="2"/>
  <c r="W47" i="2"/>
  <c r="V25" i="2"/>
  <c r="T25" i="2"/>
  <c r="W25" i="2"/>
  <c r="S25" i="2"/>
  <c r="U25" i="2"/>
  <c r="Q49" i="2" l="1"/>
  <c r="N50" i="2"/>
  <c r="P49" i="2"/>
  <c r="O49" i="2"/>
  <c r="X47" i="2"/>
  <c r="R47" i="2" s="1"/>
  <c r="Y47" i="2" s="1"/>
  <c r="X25" i="2"/>
  <c r="R25" i="2" s="1"/>
  <c r="Y25" i="2" s="1"/>
  <c r="W48" i="2"/>
  <c r="V48" i="2"/>
  <c r="U48" i="2"/>
  <c r="T48" i="2"/>
  <c r="S48" i="2"/>
  <c r="T49" i="2" l="1"/>
  <c r="S49" i="2"/>
  <c r="V49" i="2"/>
  <c r="U49" i="2"/>
  <c r="W49" i="2"/>
  <c r="Q50" i="2"/>
  <c r="O50" i="2"/>
  <c r="P50" i="2"/>
  <c r="N51" i="2"/>
  <c r="X48" i="2"/>
  <c r="R48" i="2" s="1"/>
  <c r="Y48" i="2" s="1"/>
  <c r="O51" i="2" l="1"/>
  <c r="Q51" i="2"/>
  <c r="P51" i="2"/>
  <c r="N52" i="2"/>
  <c r="T50" i="2"/>
  <c r="U50" i="2"/>
  <c r="V50" i="2"/>
  <c r="S50" i="2"/>
  <c r="W50" i="2"/>
  <c r="X49" i="2"/>
  <c r="R49" i="2" s="1"/>
  <c r="Y49" i="2" s="1"/>
  <c r="X50" i="2" l="1"/>
  <c r="R50" i="2" s="1"/>
  <c r="Y50" i="2" s="1"/>
  <c r="N53" i="2"/>
  <c r="O52" i="2"/>
  <c r="Q52" i="2"/>
  <c r="P52" i="2"/>
  <c r="V51" i="2"/>
  <c r="W51" i="2"/>
  <c r="T51" i="2"/>
  <c r="S51" i="2"/>
  <c r="U51" i="2"/>
  <c r="T52" i="2" l="1"/>
  <c r="U52" i="2"/>
  <c r="W52" i="2"/>
  <c r="S52" i="2"/>
  <c r="V52" i="2"/>
  <c r="N54" i="2"/>
  <c r="P53" i="2"/>
  <c r="Q53" i="2"/>
  <c r="O53" i="2"/>
  <c r="X51" i="2"/>
  <c r="R51" i="2" s="1"/>
  <c r="Y51" i="2" s="1"/>
  <c r="T53" i="2" l="1"/>
  <c r="S53" i="2"/>
  <c r="W53" i="2"/>
  <c r="U53" i="2"/>
  <c r="V53" i="2"/>
  <c r="X52" i="2"/>
  <c r="R52" i="2" s="1"/>
  <c r="Y52" i="2" s="1"/>
  <c r="Q54" i="2"/>
  <c r="N55" i="2"/>
  <c r="P54" i="2"/>
  <c r="O54" i="2"/>
  <c r="N56" i="2" l="1"/>
  <c r="Q55" i="2"/>
  <c r="O55" i="2"/>
  <c r="P55" i="2"/>
  <c r="V54" i="2"/>
  <c r="T54" i="2"/>
  <c r="S54" i="2"/>
  <c r="W54" i="2"/>
  <c r="U54" i="2"/>
  <c r="X53" i="2"/>
  <c r="R53" i="2" s="1"/>
  <c r="Y53" i="2" s="1"/>
  <c r="X54" i="2" l="1"/>
  <c r="R54" i="2" s="1"/>
  <c r="Y54" i="2" s="1"/>
  <c r="V55" i="2"/>
  <c r="U55" i="2"/>
  <c r="T55" i="2"/>
  <c r="W55" i="2"/>
  <c r="S55" i="2"/>
  <c r="P56" i="2"/>
  <c r="N57" i="2"/>
  <c r="Q56" i="2"/>
  <c r="O56" i="2"/>
  <c r="W56" i="2" l="1"/>
  <c r="V56" i="2"/>
  <c r="U56" i="2"/>
  <c r="S56" i="2"/>
  <c r="T56" i="2"/>
  <c r="N58" i="2"/>
  <c r="Q57" i="2"/>
  <c r="O57" i="2"/>
  <c r="P57" i="2"/>
  <c r="X55" i="2"/>
  <c r="R55" i="2" s="1"/>
  <c r="Y55" i="2" s="1"/>
  <c r="X56" i="2" l="1"/>
  <c r="R56" i="2" s="1"/>
  <c r="Y56" i="2" s="1"/>
  <c r="T57" i="2"/>
  <c r="S57" i="2"/>
  <c r="W57" i="2"/>
  <c r="V57" i="2"/>
  <c r="U57" i="2"/>
  <c r="N59" i="2"/>
  <c r="P58" i="2"/>
  <c r="O58" i="2"/>
  <c r="Q58" i="2"/>
  <c r="Q59" i="2" l="1"/>
  <c r="P59" i="2"/>
  <c r="O59" i="2"/>
  <c r="N60" i="2"/>
  <c r="X57" i="2"/>
  <c r="R57" i="2" s="1"/>
  <c r="Y57" i="2" s="1"/>
  <c r="V58" i="2"/>
  <c r="U58" i="2"/>
  <c r="W58" i="2"/>
  <c r="T58" i="2"/>
  <c r="S58" i="2"/>
  <c r="N61" i="2" l="1"/>
  <c r="P60" i="2"/>
  <c r="Q60" i="2"/>
  <c r="O60" i="2"/>
  <c r="U59" i="2"/>
  <c r="W59" i="2"/>
  <c r="T59" i="2"/>
  <c r="V59" i="2"/>
  <c r="S59" i="2"/>
  <c r="X58" i="2"/>
  <c r="R58" i="2" s="1"/>
  <c r="Y58" i="2" s="1"/>
  <c r="U60" i="2" l="1"/>
  <c r="T60" i="2"/>
  <c r="V60" i="2"/>
  <c r="S60" i="2"/>
  <c r="W60" i="2"/>
  <c r="X59" i="2"/>
  <c r="R59" i="2" s="1"/>
  <c r="Y59" i="2" s="1"/>
  <c r="N62" i="2"/>
  <c r="P61" i="2"/>
  <c r="O61" i="2"/>
  <c r="Q61" i="2"/>
  <c r="X60" i="2" l="1"/>
  <c r="R60" i="2" s="1"/>
  <c r="Y60" i="2" s="1"/>
  <c r="V61" i="2"/>
  <c r="U61" i="2"/>
  <c r="S61" i="2"/>
  <c r="W61" i="2"/>
  <c r="T61" i="2"/>
  <c r="P62" i="2"/>
  <c r="O62" i="2"/>
  <c r="N63" i="2"/>
  <c r="Q62" i="2"/>
  <c r="X61" i="2" l="1"/>
  <c r="R61" i="2" s="1"/>
  <c r="Y61" i="2" s="1"/>
  <c r="P63" i="2"/>
  <c r="O63" i="2"/>
  <c r="Q63" i="2"/>
  <c r="N64" i="2"/>
  <c r="S62" i="2"/>
  <c r="U62" i="2"/>
  <c r="W62" i="2"/>
  <c r="V62" i="2"/>
  <c r="T62" i="2"/>
  <c r="T63" i="2" l="1"/>
  <c r="W63" i="2"/>
  <c r="V63" i="2"/>
  <c r="U63" i="2"/>
  <c r="S63" i="2"/>
  <c r="X62" i="2"/>
  <c r="R62" i="2" s="1"/>
  <c r="Y62" i="2" s="1"/>
  <c r="Q64" i="2"/>
  <c r="O64" i="2"/>
  <c r="N65" i="2"/>
  <c r="P64" i="2"/>
  <c r="X63" i="2" l="1"/>
  <c r="R63" i="2" s="1"/>
  <c r="Y63" i="2" s="1"/>
  <c r="V64" i="2"/>
  <c r="T64" i="2"/>
  <c r="S64" i="2"/>
  <c r="U64" i="2"/>
  <c r="W64" i="2"/>
  <c r="P65" i="2"/>
  <c r="Q65" i="2"/>
  <c r="O65" i="2"/>
  <c r="N66" i="2"/>
  <c r="X64" i="2" l="1"/>
  <c r="R64" i="2" s="1"/>
  <c r="Y64" i="2" s="1"/>
  <c r="O66" i="2"/>
  <c r="N67" i="2"/>
  <c r="P66" i="2"/>
  <c r="Q66" i="2"/>
  <c r="W65" i="2"/>
  <c r="T65" i="2"/>
  <c r="S65" i="2"/>
  <c r="U65" i="2"/>
  <c r="V65" i="2"/>
  <c r="X65" i="2" l="1"/>
  <c r="R65" i="2" s="1"/>
  <c r="Y65" i="2" s="1"/>
  <c r="O67" i="2"/>
  <c r="P67" i="2"/>
  <c r="N68" i="2"/>
  <c r="Q67" i="2"/>
  <c r="V66" i="2"/>
  <c r="W66" i="2"/>
  <c r="S66" i="2"/>
  <c r="U66" i="2"/>
  <c r="T66" i="2"/>
  <c r="X66" i="2" l="1"/>
  <c r="R66" i="2" s="1"/>
  <c r="Y66" i="2" s="1"/>
  <c r="O68" i="2"/>
  <c r="Q68" i="2"/>
  <c r="P68" i="2"/>
  <c r="N69" i="2"/>
  <c r="V67" i="2"/>
  <c r="W67" i="2"/>
  <c r="U67" i="2"/>
  <c r="S67" i="2"/>
  <c r="T67" i="2"/>
  <c r="U68" i="2" l="1"/>
  <c r="T68" i="2"/>
  <c r="W68" i="2"/>
  <c r="V68" i="2"/>
  <c r="S68" i="2"/>
  <c r="X67" i="2"/>
  <c r="R67" i="2" s="1"/>
  <c r="Y67" i="2" s="1"/>
  <c r="P69" i="2"/>
  <c r="O69" i="2"/>
  <c r="N70" i="2"/>
  <c r="Q69" i="2"/>
  <c r="Q70" i="2" l="1"/>
  <c r="N71" i="2"/>
  <c r="P70" i="2"/>
  <c r="O70" i="2"/>
  <c r="U69" i="2"/>
  <c r="W69" i="2"/>
  <c r="V69" i="2"/>
  <c r="S69" i="2"/>
  <c r="T69" i="2"/>
  <c r="X68" i="2"/>
  <c r="R68" i="2" s="1"/>
  <c r="Y68" i="2" s="1"/>
  <c r="X69" i="2" l="1"/>
  <c r="R69" i="2" s="1"/>
  <c r="Y69" i="2" s="1"/>
  <c r="T70" i="2"/>
  <c r="W70" i="2"/>
  <c r="V70" i="2"/>
  <c r="S70" i="2"/>
  <c r="U70" i="2"/>
  <c r="P71" i="2"/>
  <c r="Q71" i="2"/>
  <c r="O71" i="2"/>
  <c r="N72" i="2"/>
  <c r="S71" i="2" l="1"/>
  <c r="U71" i="2"/>
  <c r="W71" i="2"/>
  <c r="T71" i="2"/>
  <c r="V71" i="2"/>
  <c r="O72" i="2"/>
  <c r="N73" i="2"/>
  <c r="Q72" i="2"/>
  <c r="P72" i="2"/>
  <c r="X70" i="2"/>
  <c r="R70" i="2" s="1"/>
  <c r="Y70" i="2" s="1"/>
  <c r="O73" i="2" l="1"/>
  <c r="N74" i="2"/>
  <c r="P73" i="2"/>
  <c r="Q73" i="2"/>
  <c r="V72" i="2"/>
  <c r="W72" i="2"/>
  <c r="T72" i="2"/>
  <c r="U72" i="2"/>
  <c r="S72" i="2"/>
  <c r="X71" i="2"/>
  <c r="R71" i="2" s="1"/>
  <c r="Y71" i="2" s="1"/>
  <c r="P74" i="2" l="1"/>
  <c r="N75" i="2"/>
  <c r="O74" i="2"/>
  <c r="Q74" i="2"/>
  <c r="X72" i="2"/>
  <c r="R72" i="2" s="1"/>
  <c r="Y72" i="2" s="1"/>
  <c r="T73" i="2"/>
  <c r="V73" i="2"/>
  <c r="W73" i="2"/>
  <c r="S73" i="2"/>
  <c r="U73" i="2"/>
  <c r="T74" i="2" l="1"/>
  <c r="U74" i="2"/>
  <c r="W74" i="2"/>
  <c r="S74" i="2"/>
  <c r="V74" i="2"/>
  <c r="O75" i="2"/>
  <c r="N76" i="2"/>
  <c r="P75" i="2"/>
  <c r="Q75" i="2"/>
  <c r="X73" i="2"/>
  <c r="R73" i="2" s="1"/>
  <c r="Y73" i="2" s="1"/>
  <c r="X74" i="2" l="1"/>
  <c r="R74" i="2" s="1"/>
  <c r="Y74" i="2" s="1"/>
  <c r="Q76" i="2"/>
  <c r="N77" i="2"/>
  <c r="P76" i="2"/>
  <c r="O76" i="2"/>
  <c r="V75" i="2"/>
  <c r="U75" i="2"/>
  <c r="S75" i="2"/>
  <c r="W75" i="2"/>
  <c r="T75" i="2"/>
  <c r="X75" i="2" l="1"/>
  <c r="R75" i="2" s="1"/>
  <c r="Y75" i="2" s="1"/>
  <c r="N78" i="2"/>
  <c r="O77" i="2"/>
  <c r="Q77" i="2"/>
  <c r="P77" i="2"/>
  <c r="W76" i="2"/>
  <c r="V76" i="2"/>
  <c r="U76" i="2"/>
  <c r="S76" i="2"/>
  <c r="T76" i="2"/>
  <c r="V77" i="2" l="1"/>
  <c r="T77" i="2"/>
  <c r="W77" i="2"/>
  <c r="S77" i="2"/>
  <c r="U77" i="2"/>
  <c r="P78" i="2"/>
  <c r="N79" i="2"/>
  <c r="Q78" i="2"/>
  <c r="O78" i="2"/>
  <c r="X76" i="2"/>
  <c r="R76" i="2" s="1"/>
  <c r="Y76" i="2" s="1"/>
  <c r="X77" i="2" l="1"/>
  <c r="R77" i="2" s="1"/>
  <c r="Y77" i="2" s="1"/>
  <c r="O79" i="2"/>
  <c r="P79" i="2"/>
  <c r="Q79" i="2"/>
  <c r="N80" i="2"/>
  <c r="T78" i="2"/>
  <c r="S78" i="2"/>
  <c r="W78" i="2"/>
  <c r="U78" i="2"/>
  <c r="V78" i="2"/>
  <c r="O80" i="2" l="1"/>
  <c r="P80" i="2"/>
  <c r="Q80" i="2"/>
  <c r="N81" i="2"/>
  <c r="X78" i="2"/>
  <c r="R78" i="2" s="1"/>
  <c r="Y78" i="2" s="1"/>
  <c r="U79" i="2"/>
  <c r="W79" i="2"/>
  <c r="V79" i="2"/>
  <c r="T79" i="2"/>
  <c r="S79" i="2"/>
  <c r="N82" i="2" l="1"/>
  <c r="P81" i="2"/>
  <c r="Q81" i="2"/>
  <c r="O81" i="2"/>
  <c r="X79" i="2"/>
  <c r="R79" i="2" s="1"/>
  <c r="Y79" i="2" s="1"/>
  <c r="W80" i="2"/>
  <c r="T80" i="2"/>
  <c r="V80" i="2"/>
  <c r="U80" i="2"/>
  <c r="S80" i="2"/>
  <c r="X80" i="2" l="1"/>
  <c r="R80" i="2" s="1"/>
  <c r="Y80" i="2" s="1"/>
  <c r="T81" i="2"/>
  <c r="V81" i="2"/>
  <c r="S81" i="2"/>
  <c r="W81" i="2"/>
  <c r="U81" i="2"/>
  <c r="P82" i="2"/>
  <c r="O82" i="2"/>
  <c r="Q82" i="2"/>
  <c r="N83" i="2"/>
  <c r="O83" i="2" l="1"/>
  <c r="P83" i="2"/>
  <c r="Q83" i="2"/>
  <c r="N84" i="2"/>
  <c r="X81" i="2"/>
  <c r="R81" i="2" s="1"/>
  <c r="Y81" i="2" s="1"/>
  <c r="S82" i="2"/>
  <c r="V82" i="2"/>
  <c r="U82" i="2"/>
  <c r="W82" i="2"/>
  <c r="T82" i="2"/>
  <c r="P84" i="2" l="1"/>
  <c r="Q84" i="2"/>
  <c r="O84" i="2"/>
  <c r="N85" i="2"/>
  <c r="X82" i="2"/>
  <c r="R82" i="2" s="1"/>
  <c r="Y82" i="2" s="1"/>
  <c r="V83" i="2"/>
  <c r="S83" i="2"/>
  <c r="T83" i="2"/>
  <c r="W83" i="2"/>
  <c r="U83" i="2"/>
  <c r="O85" i="2" l="1"/>
  <c r="N86" i="2"/>
  <c r="P85" i="2"/>
  <c r="Q85" i="2"/>
  <c r="X83" i="2"/>
  <c r="R83" i="2" s="1"/>
  <c r="Y83" i="2" s="1"/>
  <c r="W84" i="2"/>
  <c r="S84" i="2"/>
  <c r="U84" i="2"/>
  <c r="V84" i="2"/>
  <c r="T84" i="2"/>
  <c r="X84" i="2" l="1"/>
  <c r="R84" i="2" s="1"/>
  <c r="Y84" i="2" s="1"/>
  <c r="P86" i="2"/>
  <c r="N87" i="2"/>
  <c r="Q86" i="2"/>
  <c r="O86" i="2"/>
  <c r="S85" i="2"/>
  <c r="V85" i="2"/>
  <c r="W85" i="2"/>
  <c r="U85" i="2"/>
  <c r="T85" i="2"/>
  <c r="Q87" i="2" l="1"/>
  <c r="O87" i="2"/>
  <c r="P87" i="2"/>
  <c r="N88" i="2"/>
  <c r="X85" i="2"/>
  <c r="R85" i="2" s="1"/>
  <c r="Y85" i="2" s="1"/>
  <c r="W86" i="2"/>
  <c r="T86" i="2"/>
  <c r="S86" i="2"/>
  <c r="U86" i="2"/>
  <c r="V86" i="2"/>
  <c r="X86" i="2" l="1"/>
  <c r="R86" i="2" s="1"/>
  <c r="Y86" i="2" s="1"/>
  <c r="P88" i="2"/>
  <c r="Q88" i="2"/>
  <c r="N89" i="2"/>
  <c r="O88" i="2"/>
  <c r="W87" i="2"/>
  <c r="U87" i="2"/>
  <c r="S87" i="2"/>
  <c r="T87" i="2"/>
  <c r="V87" i="2"/>
  <c r="X87" i="2" l="1"/>
  <c r="R87" i="2" s="1"/>
  <c r="Y87" i="2" s="1"/>
  <c r="Q89" i="2"/>
  <c r="P89" i="2"/>
  <c r="N90" i="2"/>
  <c r="O89" i="2"/>
  <c r="T88" i="2"/>
  <c r="W88" i="2"/>
  <c r="V88" i="2"/>
  <c r="S88" i="2"/>
  <c r="U88" i="2"/>
  <c r="Q90" i="2" l="1"/>
  <c r="N91" i="2"/>
  <c r="P90" i="2"/>
  <c r="O90" i="2"/>
  <c r="X88" i="2"/>
  <c r="R88" i="2" s="1"/>
  <c r="Y88" i="2" s="1"/>
  <c r="T89" i="2"/>
  <c r="V89" i="2"/>
  <c r="W89" i="2"/>
  <c r="U89" i="2"/>
  <c r="S89" i="2"/>
  <c r="S90" i="2" l="1"/>
  <c r="T90" i="2"/>
  <c r="V90" i="2"/>
  <c r="W90" i="2"/>
  <c r="U90" i="2"/>
  <c r="N92" i="2"/>
  <c r="Q91" i="2"/>
  <c r="O91" i="2"/>
  <c r="P91" i="2"/>
  <c r="X89" i="2"/>
  <c r="R89" i="2" s="1"/>
  <c r="Y89" i="2" s="1"/>
  <c r="V91" i="2" l="1"/>
  <c r="T91" i="2"/>
  <c r="S91" i="2"/>
  <c r="U91" i="2"/>
  <c r="W91" i="2"/>
  <c r="P92" i="2"/>
  <c r="N93" i="2"/>
  <c r="O92" i="2"/>
  <c r="Q92" i="2"/>
  <c r="X90" i="2"/>
  <c r="R90" i="2" s="1"/>
  <c r="Y90" i="2" s="1"/>
  <c r="Q93" i="2" l="1"/>
  <c r="P93" i="2"/>
  <c r="O93" i="2"/>
  <c r="N94" i="2"/>
  <c r="U92" i="2"/>
  <c r="W92" i="2"/>
  <c r="V92" i="2"/>
  <c r="S92" i="2"/>
  <c r="T92" i="2"/>
  <c r="X91" i="2"/>
  <c r="R91" i="2" s="1"/>
  <c r="Y91" i="2" s="1"/>
  <c r="X92" i="2" l="1"/>
  <c r="R92" i="2" s="1"/>
  <c r="Y92" i="2" s="1"/>
  <c r="O94" i="2"/>
  <c r="Q94" i="2"/>
  <c r="P94" i="2"/>
  <c r="N95" i="2"/>
  <c r="V93" i="2"/>
  <c r="S93" i="2"/>
  <c r="W93" i="2"/>
  <c r="T93" i="2"/>
  <c r="U93" i="2"/>
  <c r="X93" i="2" l="1"/>
  <c r="R93" i="2" s="1"/>
  <c r="Y93" i="2" s="1"/>
  <c r="U94" i="2"/>
  <c r="S94" i="2"/>
  <c r="W94" i="2"/>
  <c r="V94" i="2"/>
  <c r="T94" i="2"/>
  <c r="N96" i="2"/>
  <c r="Q95" i="2"/>
  <c r="O95" i="2"/>
  <c r="P95" i="2"/>
  <c r="X94" i="2" l="1"/>
  <c r="R94" i="2" s="1"/>
  <c r="Y94" i="2" s="1"/>
  <c r="N97" i="2"/>
  <c r="P96" i="2"/>
  <c r="O96" i="2"/>
  <c r="Q96" i="2"/>
  <c r="T95" i="2"/>
  <c r="U95" i="2"/>
  <c r="S95" i="2"/>
  <c r="W95" i="2"/>
  <c r="V95" i="2"/>
  <c r="X95" i="2" l="1"/>
  <c r="R95" i="2" s="1"/>
  <c r="Y95" i="2" s="1"/>
  <c r="T96" i="2"/>
  <c r="U96" i="2"/>
  <c r="V96" i="2"/>
  <c r="W96" i="2"/>
  <c r="S96" i="2"/>
  <c r="P97" i="2"/>
  <c r="O97" i="2"/>
  <c r="Q97" i="2"/>
  <c r="N98" i="2"/>
  <c r="O98" i="2" l="1"/>
  <c r="Q98" i="2"/>
  <c r="P98" i="2"/>
  <c r="N99" i="2"/>
  <c r="V97" i="2"/>
  <c r="S97" i="2"/>
  <c r="W97" i="2"/>
  <c r="U97" i="2"/>
  <c r="T97" i="2"/>
  <c r="X96" i="2"/>
  <c r="R96" i="2" s="1"/>
  <c r="Y96" i="2" s="1"/>
  <c r="O99" i="2" l="1"/>
  <c r="P99" i="2"/>
  <c r="N100" i="2"/>
  <c r="Q99" i="2"/>
  <c r="X97" i="2"/>
  <c r="R97" i="2" s="1"/>
  <c r="Y97" i="2" s="1"/>
  <c r="W98" i="2"/>
  <c r="S98" i="2"/>
  <c r="U98" i="2"/>
  <c r="V98" i="2"/>
  <c r="T98" i="2"/>
  <c r="X98" i="2" l="1"/>
  <c r="R98" i="2" s="1"/>
  <c r="Y98" i="2" s="1"/>
  <c r="Q100" i="2"/>
  <c r="N101" i="2"/>
  <c r="O100" i="2"/>
  <c r="P100" i="2"/>
  <c r="U99" i="2"/>
  <c r="S99" i="2"/>
  <c r="W99" i="2"/>
  <c r="V99" i="2"/>
  <c r="T99" i="2"/>
  <c r="U100" i="2" l="1"/>
  <c r="S100" i="2"/>
  <c r="V100" i="2"/>
  <c r="W100" i="2"/>
  <c r="T100" i="2"/>
  <c r="X99" i="2"/>
  <c r="R99" i="2" s="1"/>
  <c r="Y99" i="2" s="1"/>
  <c r="Q101" i="2"/>
  <c r="N102" i="2"/>
  <c r="P101" i="2"/>
  <c r="O101" i="2"/>
  <c r="S101" i="2" l="1"/>
  <c r="V101" i="2"/>
  <c r="T101" i="2"/>
  <c r="W101" i="2"/>
  <c r="U101" i="2"/>
  <c r="P102" i="2"/>
  <c r="Q102" i="2"/>
  <c r="N103" i="2"/>
  <c r="O102" i="2"/>
  <c r="X100" i="2"/>
  <c r="R100" i="2" s="1"/>
  <c r="Y100" i="2" s="1"/>
  <c r="Q103" i="2" l="1"/>
  <c r="O103" i="2"/>
  <c r="P103" i="2"/>
  <c r="N104" i="2"/>
  <c r="T102" i="2"/>
  <c r="V102" i="2"/>
  <c r="W102" i="2"/>
  <c r="S102" i="2"/>
  <c r="U102" i="2"/>
  <c r="X101" i="2"/>
  <c r="R101" i="2" s="1"/>
  <c r="Y101" i="2" s="1"/>
  <c r="X102" i="2" l="1"/>
  <c r="R102" i="2" s="1"/>
  <c r="Y102" i="2" s="1"/>
  <c r="O104" i="2"/>
  <c r="N105" i="2"/>
  <c r="Q104" i="2"/>
  <c r="P104" i="2"/>
  <c r="U103" i="2"/>
  <c r="W103" i="2"/>
  <c r="S103" i="2"/>
  <c r="V103" i="2"/>
  <c r="T103" i="2"/>
  <c r="X103" i="2" l="1"/>
  <c r="R103" i="2" s="1"/>
  <c r="Y103" i="2" s="1"/>
  <c r="O105" i="2"/>
  <c r="P105" i="2"/>
  <c r="N106" i="2"/>
  <c r="Q105" i="2"/>
  <c r="W104" i="2"/>
  <c r="V104" i="2"/>
  <c r="T104" i="2"/>
  <c r="S104" i="2"/>
  <c r="U104" i="2"/>
  <c r="N107" i="2" l="1"/>
  <c r="P106" i="2"/>
  <c r="Q106" i="2"/>
  <c r="O106" i="2"/>
  <c r="U105" i="2"/>
  <c r="V105" i="2"/>
  <c r="T105" i="2"/>
  <c r="S105" i="2"/>
  <c r="W105" i="2"/>
  <c r="X104" i="2"/>
  <c r="R104" i="2" s="1"/>
  <c r="Y104" i="2" s="1"/>
  <c r="X105" i="2" l="1"/>
  <c r="R105" i="2" s="1"/>
  <c r="Y105" i="2" s="1"/>
  <c r="S106" i="2"/>
  <c r="U106" i="2"/>
  <c r="W106" i="2"/>
  <c r="T106" i="2"/>
  <c r="V106" i="2"/>
  <c r="N108" i="2"/>
  <c r="O107" i="2"/>
  <c r="P107" i="2"/>
  <c r="Q107" i="2"/>
  <c r="S107" i="2" l="1"/>
  <c r="U107" i="2"/>
  <c r="T107" i="2"/>
  <c r="V107" i="2"/>
  <c r="W107" i="2"/>
  <c r="Q108" i="2"/>
  <c r="O108" i="2"/>
  <c r="P108" i="2"/>
  <c r="N109" i="2"/>
  <c r="X106" i="2"/>
  <c r="R106" i="2" s="1"/>
  <c r="Y106" i="2" s="1"/>
  <c r="O109" i="2" l="1"/>
  <c r="Q109" i="2"/>
  <c r="N110" i="2"/>
  <c r="P109" i="2"/>
  <c r="U108" i="2"/>
  <c r="T108" i="2"/>
  <c r="W108" i="2"/>
  <c r="V108" i="2"/>
  <c r="S108" i="2"/>
  <c r="X107" i="2"/>
  <c r="R107" i="2" s="1"/>
  <c r="Y107" i="2" s="1"/>
  <c r="X108" i="2" l="1"/>
  <c r="R108" i="2" s="1"/>
  <c r="Y108" i="2" s="1"/>
  <c r="P110" i="2"/>
  <c r="Q110" i="2"/>
  <c r="O110" i="2"/>
  <c r="V109" i="2"/>
  <c r="T109" i="2"/>
  <c r="U109" i="2"/>
  <c r="W109" i="2"/>
  <c r="S109" i="2"/>
  <c r="W110" i="2" l="1"/>
  <c r="V110" i="2"/>
  <c r="T110" i="2"/>
  <c r="U110" i="2"/>
  <c r="S110" i="2"/>
  <c r="X109" i="2"/>
  <c r="R109" i="2" s="1"/>
  <c r="Y109" i="2" s="1"/>
  <c r="X110" i="2" l="1"/>
  <c r="R110" i="2" s="1"/>
  <c r="Y110" i="2" s="1"/>
</calcChain>
</file>

<file path=xl/sharedStrings.xml><?xml version="1.0" encoding="utf-8"?>
<sst xmlns="http://schemas.openxmlformats.org/spreadsheetml/2006/main" count="1553" uniqueCount="397">
  <si>
    <t>Aksiyon</t>
  </si>
  <si>
    <t>Stok Kodu</t>
  </si>
  <si>
    <t>Stok Adı</t>
  </si>
  <si>
    <t>Sayım (kg)</t>
  </si>
  <si>
    <t>Tarih</t>
  </si>
  <si>
    <t>Parti Numarası</t>
  </si>
  <si>
    <t>Son Kullanma Tarihi</t>
  </si>
  <si>
    <t>Açıklama</t>
  </si>
  <si>
    <t>Üretime Teslim Etme</t>
  </si>
  <si>
    <t>Üretimden Geri Alım</t>
  </si>
  <si>
    <t>Tedarikçiden Satın Alım</t>
  </si>
  <si>
    <t>Tedarikçiye Geri İade</t>
  </si>
  <si>
    <t>Kalem</t>
  </si>
  <si>
    <t>Aksiyon Bilgileri</t>
  </si>
  <si>
    <t>Miktar (kg)</t>
  </si>
  <si>
    <t>Son Durum</t>
  </si>
  <si>
    <t>Birleştir</t>
  </si>
  <si>
    <t>Parti Kod</t>
  </si>
  <si>
    <t>Mevcut</t>
  </si>
  <si>
    <t>Giriş</t>
  </si>
  <si>
    <t>Kod</t>
  </si>
  <si>
    <t>Ürün</t>
  </si>
  <si>
    <t>Analiz</t>
  </si>
  <si>
    <t>Kalan Süre (gün)</t>
  </si>
  <si>
    <t>Risk</t>
  </si>
  <si>
    <t>Tedarikçi</t>
  </si>
  <si>
    <t/>
  </si>
  <si>
    <t>Mutlukal Gıda Üretim</t>
  </si>
  <si>
    <t>Tedarikçi/Bölüm</t>
  </si>
  <si>
    <t>Kalite</t>
  </si>
  <si>
    <t>Uygun</t>
  </si>
  <si>
    <t>Uygun Değil</t>
  </si>
  <si>
    <t>Ambalaj Bilgiler</t>
  </si>
  <si>
    <t>150.01.055</t>
  </si>
  <si>
    <t>150.01.247</t>
  </si>
  <si>
    <t>150.01.246</t>
  </si>
  <si>
    <t>150.01.271</t>
  </si>
  <si>
    <t>150.01.248</t>
  </si>
  <si>
    <t>150.01.249</t>
  </si>
  <si>
    <t>150.01.250</t>
  </si>
  <si>
    <t>150.01.046</t>
  </si>
  <si>
    <t>150.01.209</t>
  </si>
  <si>
    <t>150.01.186</t>
  </si>
  <si>
    <t>150.01.230</t>
  </si>
  <si>
    <t>150.01.255</t>
  </si>
  <si>
    <t>150.01.256</t>
  </si>
  <si>
    <t>150.01.184</t>
  </si>
  <si>
    <t>150.01.185</t>
  </si>
  <si>
    <t>150.01.257</t>
  </si>
  <si>
    <t>150.01.251</t>
  </si>
  <si>
    <t>150.01.131</t>
  </si>
  <si>
    <t>150.01.272</t>
  </si>
  <si>
    <t>150.01.266</t>
  </si>
  <si>
    <t>150.01.267</t>
  </si>
  <si>
    <t>150.01.235</t>
  </si>
  <si>
    <t>150.01.234</t>
  </si>
  <si>
    <t>150.01.236</t>
  </si>
  <si>
    <t>150.01.265</t>
  </si>
  <si>
    <t>150.01.269</t>
  </si>
  <si>
    <t>150.01.270</t>
  </si>
  <si>
    <t>150.01.056</t>
  </si>
  <si>
    <t>150.01.254</t>
  </si>
  <si>
    <t>150.01.151</t>
  </si>
  <si>
    <t>150.01.150</t>
  </si>
  <si>
    <t>150.01.219</t>
  </si>
  <si>
    <t>150.01.220</t>
  </si>
  <si>
    <t>150.01.224</t>
  </si>
  <si>
    <t>150.01.221</t>
  </si>
  <si>
    <t>150.01.222</t>
  </si>
  <si>
    <t>150.01.223</t>
  </si>
  <si>
    <t>150.01.200</t>
  </si>
  <si>
    <t>150.01.164</t>
  </si>
  <si>
    <t>150.01.148</t>
  </si>
  <si>
    <t>150.01.187</t>
  </si>
  <si>
    <t>150.01.163</t>
  </si>
  <si>
    <t>150.01.183</t>
  </si>
  <si>
    <t>150.01.147</t>
  </si>
  <si>
    <t>150.01.033</t>
  </si>
  <si>
    <t>150.01.038</t>
  </si>
  <si>
    <t>150.01.068</t>
  </si>
  <si>
    <t>150.01.044</t>
  </si>
  <si>
    <t>150.01.064</t>
  </si>
  <si>
    <t>150.01.138</t>
  </si>
  <si>
    <t>150.01.037</t>
  </si>
  <si>
    <t>150.01.032</t>
  </si>
  <si>
    <t>150.01.259</t>
  </si>
  <si>
    <t>150.01.210</t>
  </si>
  <si>
    <t>150.01.211</t>
  </si>
  <si>
    <t>150.01.069</t>
  </si>
  <si>
    <t>150.01.216</t>
  </si>
  <si>
    <t>150.01.233</t>
  </si>
  <si>
    <t>150.01.041</t>
  </si>
  <si>
    <t>150.01.062</t>
  </si>
  <si>
    <t>150.01.274</t>
  </si>
  <si>
    <t>150.01.277</t>
  </si>
  <si>
    <t>150.01.278</t>
  </si>
  <si>
    <t>150.01.282</t>
  </si>
  <si>
    <t>150.01.036</t>
  </si>
  <si>
    <t>150.01.140</t>
  </si>
  <si>
    <t>150.01.063</t>
  </si>
  <si>
    <t>150.01.189</t>
  </si>
  <si>
    <t>150.01.258</t>
  </si>
  <si>
    <t>150.01.204</t>
  </si>
  <si>
    <t>150.01.205</t>
  </si>
  <si>
    <t>150.01.052</t>
  </si>
  <si>
    <t>150.01.053</t>
  </si>
  <si>
    <t>150.01.231</t>
  </si>
  <si>
    <t>150.01.188</t>
  </si>
  <si>
    <t>150.01.201</t>
  </si>
  <si>
    <t>150.01.207</t>
  </si>
  <si>
    <t>150.01.125</t>
  </si>
  <si>
    <t>150.01.071</t>
  </si>
  <si>
    <t>150.01.192</t>
  </si>
  <si>
    <t>150.01.190</t>
  </si>
  <si>
    <t>150.01.191</t>
  </si>
  <si>
    <t>150.01.165</t>
  </si>
  <si>
    <t>150.01.307</t>
  </si>
  <si>
    <t>150.01.284</t>
  </si>
  <si>
    <t>150.01.285</t>
  </si>
  <si>
    <t>150.01.288</t>
  </si>
  <si>
    <t>150.01.289</t>
  </si>
  <si>
    <t>150.01.291</t>
  </si>
  <si>
    <t>150.01.293</t>
  </si>
  <si>
    <t>150.01.308</t>
  </si>
  <si>
    <t>150.01.295</t>
  </si>
  <si>
    <t>150.01.300</t>
  </si>
  <si>
    <t>150.01.301</t>
  </si>
  <si>
    <t>150.01.305</t>
  </si>
  <si>
    <t>150.01.306</t>
  </si>
  <si>
    <t>150.01.309</t>
  </si>
  <si>
    <t>150.01.312</t>
  </si>
  <si>
    <t>150.01.311</t>
  </si>
  <si>
    <t>150.01.313</t>
  </si>
  <si>
    <t>150.01.314</t>
  </si>
  <si>
    <t>150.01.316</t>
  </si>
  <si>
    <t>150.01.315</t>
  </si>
  <si>
    <t>150.01.292</t>
  </si>
  <si>
    <t>150.01.317</t>
  </si>
  <si>
    <t>150.01.318</t>
  </si>
  <si>
    <t>150.01.319</t>
  </si>
  <si>
    <t>150.01.320</t>
  </si>
  <si>
    <t>150.01.322</t>
  </si>
  <si>
    <t>150.01.324</t>
  </si>
  <si>
    <t>150.01.331</t>
  </si>
  <si>
    <t>150.01.332</t>
  </si>
  <si>
    <t>150.01.329</t>
  </si>
  <si>
    <t>150.01.330</t>
  </si>
  <si>
    <t>150.01.333</t>
  </si>
  <si>
    <t>LV.AMB.0007</t>
  </si>
  <si>
    <t>LV.AMB.0008</t>
  </si>
  <si>
    <t>LV.AMB.0006</t>
  </si>
  <si>
    <t>LV.AMB.0005</t>
  </si>
  <si>
    <t>150.01.334</t>
  </si>
  <si>
    <t>150.01.058</t>
  </si>
  <si>
    <t>150.01.057</t>
  </si>
  <si>
    <t>150.01.034</t>
  </si>
  <si>
    <t>150.01.072</t>
  </si>
  <si>
    <t>150.01.335</t>
  </si>
  <si>
    <t>150.01.338</t>
  </si>
  <si>
    <t>150.01.146</t>
  </si>
  <si>
    <t>150.01.310</t>
  </si>
  <si>
    <t>150.01.337</t>
  </si>
  <si>
    <t>Poşet-15 cm B.sız Kilitli</t>
  </si>
  <si>
    <t>Poşet-15 cm Happylla Değişken</t>
  </si>
  <si>
    <t>Poşet-15 cm Unabella Sade 330 gr</t>
  </si>
  <si>
    <t>Poşet-20 cm B.sız Alüminyum</t>
  </si>
  <si>
    <t>Poşet-20 cm B.sız Kilitli</t>
  </si>
  <si>
    <t>Poşet-20 cm Happylla Değişken</t>
  </si>
  <si>
    <t>Poşet-20 cm Wıllı Food 540 gr</t>
  </si>
  <si>
    <t>Poşet-25 cm B.sız Kilitli</t>
  </si>
  <si>
    <t>Poşet-25 cm Connex</t>
  </si>
  <si>
    <t>Poşet-25 cm Harras T.Buğday</t>
  </si>
  <si>
    <t>Poşet-25 cm Lavagri</t>
  </si>
  <si>
    <t>Poşet-25 cm Nimet (Lam.Baskılı Zıp.Vakum )</t>
  </si>
  <si>
    <t>Poşet-25 cm Soor 600 gr</t>
  </si>
  <si>
    <t>Poşet-25 cm Unabella Sade 650 gr</t>
  </si>
  <si>
    <t>Poşet-25 cm Unabella T.Buğday 650 gr</t>
  </si>
  <si>
    <t>Poşet-25 cm Wıllı Food 840 gr</t>
  </si>
  <si>
    <t>Poşet-30 cm B.sız Kilitli</t>
  </si>
  <si>
    <t>Poşet-30 cm Happylla Değişken</t>
  </si>
  <si>
    <t>Poşet-30 cm Özma 1125 gr</t>
  </si>
  <si>
    <t>Poşet-30 cm Soor 680 gr</t>
  </si>
  <si>
    <t>Poşet-30 cm Unabella Sade 1020 gr</t>
  </si>
  <si>
    <t>Poşet-15 cm Soor 300 gr</t>
  </si>
  <si>
    <t>Poşet-25 cm Eyal 1620 gr ( Dış )</t>
  </si>
  <si>
    <t>Poşet-33 cm B.sız Kilitli</t>
  </si>
  <si>
    <t>Poşet-20 cm Eyal 540 gr ( İç )</t>
  </si>
  <si>
    <t>Poşet-33 cm Tortillove Değişken</t>
  </si>
  <si>
    <t>Poşet-25 cm Tortillove Değişken</t>
  </si>
  <si>
    <t>Poşet-20 cm Sofias</t>
  </si>
  <si>
    <t>Poşet-25 cm Sofias</t>
  </si>
  <si>
    <t>Poşet-30 cm Tortillove Değişken</t>
  </si>
  <si>
    <t>Poşet-15 cm Tortillove Değişken</t>
  </si>
  <si>
    <t>Poşet-25 cm Tortillove T.Buğday Değişken</t>
  </si>
  <si>
    <t>Poşet-25 cm Alkafeel</t>
  </si>
  <si>
    <t>Poşet-30 cm Alkafeel</t>
  </si>
  <si>
    <t>Poşet-25 cm Dürümek</t>
  </si>
  <si>
    <t>Poşet-20 cm Tortillove Değişken</t>
  </si>
  <si>
    <t>Poşet-25 cm Unistanbul 650 Gr</t>
  </si>
  <si>
    <t>Poşet-25 cm Unistanbul T.Buğday 650 Gr</t>
  </si>
  <si>
    <t>Poşet-30 cm Unistanbul 1020 Gr</t>
  </si>
  <si>
    <t>Poşet-15 cm Unistanbul 330 Gr</t>
  </si>
  <si>
    <t>Poşet-26 cm Mutlukal Tortillas Pizza</t>
  </si>
  <si>
    <t>Poşet-25 cm Sofias T.Buğday 420 Gr.</t>
  </si>
  <si>
    <t>Poşet-25 cm Farina</t>
  </si>
  <si>
    <t>Poşet-30 cm Farina</t>
  </si>
  <si>
    <t>Poşet-20 cm Sofias T.Buğday 320 Gr.</t>
  </si>
  <si>
    <t>Poşet-25 cm Al Şerif</t>
  </si>
  <si>
    <t>Poşet-25 cm Tıme Food</t>
  </si>
  <si>
    <t>Poşet-30 cm Tıme Food</t>
  </si>
  <si>
    <t>Poşet-15 cm Delight</t>
  </si>
  <si>
    <t>Poşet-20 cm Delight Sade</t>
  </si>
  <si>
    <t>Poşet-25 cm Delight</t>
  </si>
  <si>
    <t>Poşet-30 cm Delight</t>
  </si>
  <si>
    <t>Poşet-26 cm Delight Pizza Tabanı</t>
  </si>
  <si>
    <t>Poşet-20 cm Delight Tam Buğday</t>
  </si>
  <si>
    <t>Poşet-33 cm Dürümek 1.000 gr</t>
  </si>
  <si>
    <t>Poşet-30 cm Rihanna 1080 Gr.</t>
  </si>
  <si>
    <t>Poşet-26 cm Pizza 6 ( 480 gr ) Wıllı Food</t>
  </si>
  <si>
    <t>Poşet-25 cm Bonita 650 gr</t>
  </si>
  <si>
    <t>Poşet-15 cm Bonita 250 gr</t>
  </si>
  <si>
    <t>Poşet-20 cm Bonita 450 gr</t>
  </si>
  <si>
    <t>Poşet-25 cm Lazeza</t>
  </si>
  <si>
    <t>Poşet-30 cm Lazeza</t>
  </si>
  <si>
    <t>Poşet-25 cm Batel 650 Gr</t>
  </si>
  <si>
    <t>Poşet-20 cm Batel 450 Gr</t>
  </si>
  <si>
    <t>Poşet-15 cm Batel 250 Gr</t>
  </si>
  <si>
    <t>Poşet-20 Cm Eyal Avel Tortilla</t>
  </si>
  <si>
    <t>Poşet-25 cm Soor 390 gr</t>
  </si>
  <si>
    <t>Poşet-15 cm Alkafeel 10 Adet</t>
  </si>
  <si>
    <t>Poşet-20 cm Alkafeel 10 Adet</t>
  </si>
  <si>
    <t>Poşet-33 cm Alkafeel 10 Adet</t>
  </si>
  <si>
    <t>Poşet-26 cm Alkafeel Pizza Tabanı</t>
  </si>
  <si>
    <t>Poşet-25 cm Bisto</t>
  </si>
  <si>
    <t>Poşet-20 cm Pronto 250 Gr</t>
  </si>
  <si>
    <t>Poşet-26 cm Bonita Pizza ( 480 gr )</t>
  </si>
  <si>
    <t>Poşet-19 cm Bonita Pizza ( 340 gr )</t>
  </si>
  <si>
    <t>Poşet-20 cm Pronto 250 Gr Tam Buğday</t>
  </si>
  <si>
    <t>Poşet-25 cm Pronto 390 Gr</t>
  </si>
  <si>
    <t>Poşet-20 cm Lazeza</t>
  </si>
  <si>
    <t>Poşet- 20 Cm Eyal Berman Tortilla 360 gr.</t>
  </si>
  <si>
    <t>Poşet-30 cm Seheta 850 gr</t>
  </si>
  <si>
    <t>Poşet-30 cm Sofias</t>
  </si>
  <si>
    <t>Poşet-30 cm Sofias ( Tam Buğdaylı )</t>
  </si>
  <si>
    <t>Poşet-25 cm Tazaj 650 gr</t>
  </si>
  <si>
    <t>Poşet-30 cm Mutlukal Tortillas Değişken</t>
  </si>
  <si>
    <t>Poşet-30 cm Tazaj 850 gr</t>
  </si>
  <si>
    <t>Poşet-30 cm Seheta 510 gr</t>
  </si>
  <si>
    <t>Poşet-25 cm Seheta 390 gr</t>
  </si>
  <si>
    <t>Poşet-15 cm Komagene Tako Lavaşı</t>
  </si>
  <si>
    <t>Poşet-25 cm Mutlukal Tortillas Kırmızı Değişken ( Beyaz Rusya )</t>
  </si>
  <si>
    <t>Poşet-30 cm Diyos 900 gr.</t>
  </si>
  <si>
    <t>Poşet-25 cm Mutlukal Tortillas 260 Gr ( Rusca )</t>
  </si>
  <si>
    <t>Poşet-25 cm Happylla 500 gr</t>
  </si>
  <si>
    <t>Poşet-15 cm Mutlukal Taco</t>
  </si>
  <si>
    <t>Poşet--15 cm Mutlukal Tortillas Mavi Değişken</t>
  </si>
  <si>
    <t>Poşet--20 cm Mutlukal Tortillas Mavi Değişken</t>
  </si>
  <si>
    <t>Poşet-25 cm Mutlukal Tortillas Mavi Değişken</t>
  </si>
  <si>
    <t>Poşet-25 cm Happylla Değişken</t>
  </si>
  <si>
    <t>Poşet-25 cm Atyab</t>
  </si>
  <si>
    <t>Poşet-20 cm Eyal Durum 540 gr ( İç ) Tam Buğday</t>
  </si>
  <si>
    <t>Poşet-25 cm Eyal Durum 1620 gr ( Dış ) Tam Buğday</t>
  </si>
  <si>
    <t>Poşet-30 cm Eyal Durum 1620 gr</t>
  </si>
  <si>
    <t>Poşet-33 cm Mutlukal Tortillas Mavi Değişken</t>
  </si>
  <si>
    <t>Poşet-25 cm Tortillas Ispanaklı</t>
  </si>
  <si>
    <t>Poşet-25 cm Mutlukal Tortillas Tam Buğday</t>
  </si>
  <si>
    <t>Poşet-25 cm Tortillas Domatesli</t>
  </si>
  <si>
    <t>Poşet- 20 Cm Winfood Yehuda Tortilla 360 gr.</t>
  </si>
  <si>
    <t>Poşet- 25 Cm Tomer Tortilla 420 gr.</t>
  </si>
  <si>
    <t>Poşet- 20 Cm Tomer Tortilla 320 gr.</t>
  </si>
  <si>
    <t>Poşet- 30 Cm Tomer Tortilla 640 gr.</t>
  </si>
  <si>
    <t>Poşet-25 cm Switz</t>
  </si>
  <si>
    <t>Poşet-25 cm Mutlukal Tortillas 260 Gr ( Magnit )</t>
  </si>
  <si>
    <t>Poşet-15 cm 250gr Hessa</t>
  </si>
  <si>
    <t>Poşet-20 cm 450gr Hessa</t>
  </si>
  <si>
    <t>Poşet-25 cm 650gr Hessa</t>
  </si>
  <si>
    <t>Poşet-30 cm 850gr Hessa</t>
  </si>
  <si>
    <t>Poşet-25 cm 496 gr True Massa</t>
  </si>
  <si>
    <t>Poşet-25 cm AL Douri</t>
  </si>
  <si>
    <t>Poşet-20 Cm Eyal Avel Tam Buğdaylı Tortilla</t>
  </si>
  <si>
    <t>Poşet-25 cm Tortil.queen</t>
  </si>
  <si>
    <t>Poşet-20 cm Din Marketing 810 Gr</t>
  </si>
  <si>
    <t>Poşet-26 cm Unebella</t>
  </si>
  <si>
    <t>Poşet-25 cm Unifo</t>
  </si>
  <si>
    <t>Poşet-30 cm Albi</t>
  </si>
  <si>
    <t>Poşet-25 cm Issa Mısırlı</t>
  </si>
  <si>
    <t>Poşet-25 cm Uno 520 gr</t>
  </si>
  <si>
    <t>Poşet-25 cm Jana</t>
  </si>
  <si>
    <t>Poşet-30 cm Jana</t>
  </si>
  <si>
    <t>Poşet-20 cm Jana</t>
  </si>
  <si>
    <t>Poşet-15 cm Jana</t>
  </si>
  <si>
    <t>Ege Plastik Ambalaj San.ve Tic.A.Ş.</t>
  </si>
  <si>
    <t>Enpak Matbaa ve Ambalaj Sanayi ve Tic.A.Ş. ( Usd )</t>
  </si>
  <si>
    <t>Artı Ambalaj ve Gıda Ürünleri Turizm San.Tic.Ltd.Şti.</t>
  </si>
  <si>
    <t>Etki Plastik Ambalaj San.Tic.A.Ş. - Usd</t>
  </si>
  <si>
    <t>Egemen Hediyelik Eşya Oyuncak Züccaciye Elektronik Gıda Tekstil İnş.Ambalaj San.ve Tic.A.Ş.</t>
  </si>
  <si>
    <t>MAT007938</t>
  </si>
  <si>
    <t>MAT008069</t>
  </si>
  <si>
    <t>MAT008034</t>
  </si>
  <si>
    <t>Poşet-30 cm İpek</t>
  </si>
  <si>
    <t>İpek</t>
  </si>
  <si>
    <t>Gaziantepli Habeş Seyidoğlu Baklavaları ve Uluslararası Nakliyat Sanayi Ticaret Ltd.Şti.</t>
  </si>
  <si>
    <t>MAT008070</t>
  </si>
  <si>
    <t>MAT008095</t>
  </si>
  <si>
    <t>MAT008124</t>
  </si>
  <si>
    <t>MAT008123</t>
  </si>
  <si>
    <t>MAT008153</t>
  </si>
  <si>
    <t>MAT000712</t>
  </si>
  <si>
    <t>Uneli Gıda İnşaat Loj.Turizm San.ve Tic.Ltd.Şti.</t>
  </si>
  <si>
    <t>MAT008141</t>
  </si>
  <si>
    <t>MAT008140</t>
  </si>
  <si>
    <t>MAT008192</t>
  </si>
  <si>
    <t>MAT008191</t>
  </si>
  <si>
    <t>Poşet-30 cm Tortillas Ispanaklı</t>
  </si>
  <si>
    <t>Poşet-30 cm Tortillas Domatesli</t>
  </si>
  <si>
    <t>Poşet-30 cm Tortillas Kırmızı Sade</t>
  </si>
  <si>
    <t>Poşet-30 cm Tortillas Tam Buğdaylı</t>
  </si>
  <si>
    <t>150.01.343</t>
  </si>
  <si>
    <t>150.01.344</t>
  </si>
  <si>
    <t>150.01.345</t>
  </si>
  <si>
    <t>150.01.346</t>
  </si>
  <si>
    <t>Poşet-25 cm Gazelle Gurme</t>
  </si>
  <si>
    <t>150.01.342</t>
  </si>
  <si>
    <t>MAT008193</t>
  </si>
  <si>
    <t>2023-M0612</t>
  </si>
  <si>
    <t xml:space="preserve">ARTSAN </t>
  </si>
  <si>
    <t>2023M0612</t>
  </si>
  <si>
    <t>2023M3312</t>
  </si>
  <si>
    <t>MAT008236</t>
  </si>
  <si>
    <t>MAT008162</t>
  </si>
  <si>
    <t>MAT008237</t>
  </si>
  <si>
    <t>MAT008293</t>
  </si>
  <si>
    <t>MAT008309</t>
  </si>
  <si>
    <t>MAT008339</t>
  </si>
  <si>
    <t>MAT008338</t>
  </si>
  <si>
    <t>MAT008295</t>
  </si>
  <si>
    <t>MAT008349</t>
  </si>
  <si>
    <t>MAT008358</t>
  </si>
  <si>
    <t xml:space="preserve">20CM MAGNET DOMATESLİ </t>
  </si>
  <si>
    <t>MAT008445</t>
  </si>
  <si>
    <t>MAT008411</t>
  </si>
  <si>
    <t>MAT008410</t>
  </si>
  <si>
    <t>MAT008427</t>
  </si>
  <si>
    <t>MAT008462</t>
  </si>
  <si>
    <t>MAT008322</t>
  </si>
  <si>
    <t>MAT008463</t>
  </si>
  <si>
    <t>EGe Plastik Ambalaj San.ve Tic.A.Ş.</t>
  </si>
  <si>
    <t>2024-001</t>
  </si>
  <si>
    <t>MAT008458</t>
  </si>
  <si>
    <t>MAT008456</t>
  </si>
  <si>
    <t>MAT008453</t>
  </si>
  <si>
    <t>MAT003456</t>
  </si>
  <si>
    <t>MAT008443</t>
  </si>
  <si>
    <t>MAT008457</t>
  </si>
  <si>
    <t>MAT008444</t>
  </si>
  <si>
    <t>MAT008455</t>
  </si>
  <si>
    <t>2024-002</t>
  </si>
  <si>
    <t>MAT008454</t>
  </si>
  <si>
    <t>MAT008510</t>
  </si>
  <si>
    <t>MAT008485</t>
  </si>
  <si>
    <t>MAT008599</t>
  </si>
  <si>
    <t>MAT008500</t>
  </si>
  <si>
    <t>2024-003</t>
  </si>
  <si>
    <t>2024-005</t>
  </si>
  <si>
    <t>2024-004</t>
  </si>
  <si>
    <t>MAT008483</t>
  </si>
  <si>
    <t>MAT008388</t>
  </si>
  <si>
    <t>20CM BUENA COMIDA</t>
  </si>
  <si>
    <t>30CM BUENA COMIDA</t>
  </si>
  <si>
    <t>MAT008561</t>
  </si>
  <si>
    <t>MAT008560</t>
  </si>
  <si>
    <t>MAT008559</t>
  </si>
  <si>
    <t>MAT008558</t>
  </si>
  <si>
    <t>MAT008312</t>
  </si>
  <si>
    <t>MAT008389</t>
  </si>
  <si>
    <t>2024-012</t>
  </si>
  <si>
    <t>25CM TORTILLAS 390 GR A101</t>
  </si>
  <si>
    <t>MAT008607</t>
  </si>
  <si>
    <t>MAT008620</t>
  </si>
  <si>
    <t>MAT008618</t>
  </si>
  <si>
    <t>MAT008022</t>
  </si>
  <si>
    <t>2024-008</t>
  </si>
  <si>
    <t>MAT008629</t>
  </si>
  <si>
    <t>MAT008630</t>
  </si>
  <si>
    <t>MAT008628</t>
  </si>
  <si>
    <t>MAT008701</t>
  </si>
  <si>
    <t>MAT008702</t>
  </si>
  <si>
    <t>00012143/10</t>
  </si>
  <si>
    <t>MAT0087146</t>
  </si>
  <si>
    <t>MAT008497</t>
  </si>
  <si>
    <t>MAT008699</t>
  </si>
  <si>
    <t>MAT008715</t>
  </si>
  <si>
    <t>MAT008717</t>
  </si>
  <si>
    <t>MAT008741</t>
  </si>
  <si>
    <t>MAT007800</t>
  </si>
  <si>
    <t>MAT008764</t>
  </si>
  <si>
    <t>MAT008743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</si>
</sst>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2" fillId="0" borderId="0" xfId="0" applyFont="1" applyBorder="1"/>
    <xf numFmtId="0" fontId="2" fillId="4" borderId="0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0" fontId="4" fillId="4" borderId="0" xfId="0" applyFont="1" applyFill="1"/>
    <xf numFmtId="14" fontId="4" fillId="4" borderId="0" xfId="0" applyNumberFormat="1" applyFont="1" applyFill="1"/>
    <xf numFmtId="0" fontId="2" fillId="0" borderId="2" xfId="0" applyFont="1" applyBorder="1"/>
    <xf numFmtId="0" fontId="2" fillId="4" borderId="2" xfId="0" applyFont="1" applyFill="1" applyBorder="1"/>
    <xf numFmtId="0" fontId="4" fillId="5" borderId="0" xfId="0" applyFont="1" applyFill="1"/>
    <xf numFmtId="0" fontId="4" fillId="0" borderId="7" xfId="0" applyFont="1" applyBorder="1"/>
    <xf numFmtId="0" fontId="4" fillId="4" borderId="8" xfId="0" applyFont="1" applyFill="1" applyBorder="1"/>
    <xf numFmtId="0" fontId="4" fillId="0" borderId="8" xfId="0" applyFont="1" applyBorder="1"/>
    <xf numFmtId="0" fontId="4" fillId="4" borderId="9" xfId="0" applyFont="1" applyFill="1" applyBorder="1"/>
    <xf numFmtId="164" fontId="4" fillId="0" borderId="0" xfId="1" applyNumberFormat="1" applyFont="1"/>
    <xf numFmtId="164" fontId="4" fillId="4" borderId="0" xfId="1" applyNumberFormat="1" applyFont="1" applyFill="1"/>
    <xf numFmtId="0" fontId="3" fillId="2" borderId="10" xfId="0" applyFont="1" applyFill="1" applyBorder="1" applyAlignment="1">
      <alignment horizontal="left" vertical="center" wrapText="1"/>
    </xf>
    <xf numFmtId="164" fontId="2" fillId="0" borderId="12" xfId="1" applyNumberFormat="1" applyFont="1" applyBorder="1"/>
    <xf numFmtId="164" fontId="2" fillId="4" borderId="13" xfId="1" applyNumberFormat="1" applyFont="1" applyFill="1" applyBorder="1"/>
    <xf numFmtId="164" fontId="2" fillId="0" borderId="13" xfId="1" applyNumberFormat="1" applyFont="1" applyBorder="1"/>
    <xf numFmtId="0" fontId="2" fillId="0" borderId="13" xfId="0" applyFont="1" applyBorder="1"/>
    <xf numFmtId="0" fontId="2" fillId="4" borderId="13" xfId="0" applyFont="1" applyFill="1" applyBorder="1"/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2" fillId="0" borderId="18" xfId="0" applyFont="1" applyBorder="1"/>
    <xf numFmtId="164" fontId="4" fillId="0" borderId="0" xfId="1" applyNumberFormat="1" applyFont="1" applyBorder="1"/>
    <xf numFmtId="164" fontId="4" fillId="0" borderId="3" xfId="1" applyNumberFormat="1" applyFont="1" applyBorder="1"/>
    <xf numFmtId="164" fontId="4" fillId="3" borderId="0" xfId="1" applyNumberFormat="1" applyFont="1" applyFill="1" applyBorder="1"/>
    <xf numFmtId="164" fontId="4" fillId="3" borderId="3" xfId="1" applyNumberFormat="1" applyFont="1" applyFill="1" applyBorder="1"/>
    <xf numFmtId="0" fontId="3" fillId="6" borderId="17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14" fontId="4" fillId="5" borderId="0" xfId="0" applyNumberFormat="1" applyFont="1" applyFill="1"/>
    <xf numFmtId="0" fontId="4" fillId="0" borderId="2" xfId="0" applyFont="1" applyBorder="1"/>
    <xf numFmtId="0" fontId="4" fillId="0" borderId="0" xfId="0" applyFont="1" applyBorder="1"/>
    <xf numFmtId="0" fontId="4" fillId="3" borderId="2" xfId="0" applyFont="1" applyFill="1" applyBorder="1"/>
    <xf numFmtId="0" fontId="4" fillId="3" borderId="0" xfId="0" applyFont="1" applyFill="1" applyBorder="1"/>
    <xf numFmtId="0" fontId="4" fillId="0" borderId="4" xfId="0" applyFont="1" applyBorder="1"/>
    <xf numFmtId="0" fontId="4" fillId="0" borderId="5" xfId="0" applyFont="1" applyBorder="1"/>
    <xf numFmtId="164" fontId="4" fillId="0" borderId="5" xfId="1" applyNumberFormat="1" applyFont="1" applyBorder="1"/>
    <xf numFmtId="164" fontId="4" fillId="0" borderId="6" xfId="1" applyNumberFormat="1" applyFont="1" applyBorder="1"/>
    <xf numFmtId="14" fontId="4" fillId="0" borderId="0" xfId="0" applyNumberFormat="1" applyFont="1" applyBorder="1"/>
    <xf numFmtId="14" fontId="4" fillId="3" borderId="0" xfId="0" applyNumberFormat="1" applyFont="1" applyFill="1" applyBorder="1"/>
    <xf numFmtId="14" fontId="4" fillId="0" borderId="5" xfId="0" applyNumberFormat="1" applyFont="1" applyBorder="1"/>
    <xf numFmtId="164" fontId="4" fillId="0" borderId="13" xfId="1" applyNumberFormat="1" applyFont="1" applyBorder="1"/>
    <xf numFmtId="164" fontId="4" fillId="3" borderId="13" xfId="1" applyNumberFormat="1" applyFont="1" applyFill="1" applyBorder="1"/>
    <xf numFmtId="164" fontId="4" fillId="0" borderId="19" xfId="1" applyNumberFormat="1" applyFont="1" applyBorder="1"/>
    <xf numFmtId="0" fontId="3" fillId="6" borderId="1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11" xfId="0" applyFont="1" applyBorder="1"/>
    <xf numFmtId="164" fontId="4" fillId="0" borderId="0" xfId="0" applyNumberFormat="1" applyFont="1"/>
    <xf numFmtId="164" fontId="4" fillId="0" borderId="8" xfId="0" applyNumberFormat="1" applyFont="1" applyBorder="1"/>
    <xf numFmtId="164" fontId="4" fillId="4" borderId="8" xfId="0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19" xfId="0" applyFont="1" applyBorder="1"/>
    <xf numFmtId="164" fontId="4" fillId="0" borderId="20" xfId="1" applyNumberFormat="1" applyFont="1" applyBorder="1"/>
    <xf numFmtId="164" fontId="4" fillId="3" borderId="20" xfId="1" applyNumberFormat="1" applyFont="1" applyFill="1" applyBorder="1"/>
    <xf numFmtId="164" fontId="4" fillId="0" borderId="21" xfId="1" applyNumberFormat="1" applyFont="1" applyBorder="1"/>
    <xf numFmtId="164" fontId="0" fillId="0" borderId="0" xfId="0" applyNumberFormat="1"/>
    <xf numFmtId="0" fontId="4" fillId="0" borderId="0" xfId="0" applyNumberFormat="1" applyFont="1"/>
    <xf numFmtId="0" fontId="4" fillId="4" borderId="0" xfId="0" applyNumberFormat="1" applyFont="1" applyFill="1"/>
    <xf numFmtId="17" fontId="4" fillId="4" borderId="0" xfId="0" applyNumberFormat="1" applyFont="1" applyFill="1"/>
    <xf numFmtId="17" fontId="4" fillId="0" borderId="0" xfId="0" applyNumberFormat="1" applyFont="1"/>
  </cellXfs>
  <cellStyles count="2">
    <cellStyle name="Normal" xfId="0" builtinId="0"/>
    <cellStyle name="Virgül" xfId="1" builtinId="3"/>
  </cellStyles>
  <dxfs count="1"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967"/>
  <sheetViews>
    <sheetView topLeftCell="A122" zoomScale="80" zoomScaleNormal="80" workbookViewId="0">
      <selection activeCell="D144" sqref="D144"/>
    </sheetView>
  </sheetViews>
  <sheetFormatPr defaultRowHeight="12.75" x14ac:dyDescent="0.2"/>
  <cols>
    <col min="1" max="1" width="1.5703125" style="1" customWidth="1"/>
    <col min="2" max="2" width="21.7109375" style="1" bestFit="1" customWidth="1"/>
    <col min="3" max="3" width="1.5703125" style="1" customWidth="1"/>
    <col min="4" max="4" width="37.85546875" style="1" bestFit="1" customWidth="1"/>
    <col min="5" max="5" width="22.85546875" style="1" bestFit="1" customWidth="1"/>
    <col min="6" max="6" width="7.42578125" style="1" bestFit="1" customWidth="1"/>
    <col min="7" max="7" width="9.7109375" style="1" bestFit="1" customWidth="1"/>
    <col min="8" max="12" width="11.5703125" style="1" customWidth="1"/>
    <col min="13" max="13" width="1.5703125" style="1" customWidth="1"/>
    <col min="14" max="14" width="9.140625" style="1"/>
    <col min="15" max="15" width="40.7109375" style="1" bestFit="1" customWidth="1"/>
    <col min="16" max="16" width="9.85546875" style="1" bestFit="1" customWidth="1"/>
    <col min="17" max="17" width="13.7109375" style="1" customWidth="1"/>
    <col min="18" max="18" width="12.28515625" style="1" customWidth="1"/>
    <col min="19" max="19" width="9.28515625" style="1" customWidth="1"/>
    <col min="20" max="24" width="11.5703125" style="1" customWidth="1"/>
    <col min="25" max="25" width="21.7109375" style="1" bestFit="1" customWidth="1"/>
    <col min="26" max="26" width="9.140625" style="1"/>
    <col min="27" max="27" width="80" style="1" bestFit="1" customWidth="1"/>
    <col min="28" max="28" width="9.140625" style="1"/>
    <col min="29" max="29" width="11" style="1" bestFit="1" customWidth="1"/>
    <col min="30" max="16384" width="9.140625" style="1"/>
  </cols>
  <sheetData>
    <row r="2" spans="2:33" ht="13.5" thickBot="1" x14ac:dyDescent="0.25">
      <c r="B2" s="4" t="s">
        <v>13</v>
      </c>
      <c r="D2" s="4" t="s">
        <v>32</v>
      </c>
      <c r="N2" s="4" t="s">
        <v>22</v>
      </c>
    </row>
    <row r="3" spans="2:33" ht="26.25" thickBot="1" x14ac:dyDescent="0.25">
      <c r="B3" s="18" t="s">
        <v>12</v>
      </c>
      <c r="D3" s="24" t="s">
        <v>2</v>
      </c>
      <c r="E3" s="25" t="s">
        <v>20</v>
      </c>
      <c r="F3" s="25" t="s">
        <v>19</v>
      </c>
      <c r="G3" s="25" t="s">
        <v>3</v>
      </c>
      <c r="H3" s="26" t="s">
        <v>10</v>
      </c>
      <c r="I3" s="26" t="s">
        <v>8</v>
      </c>
      <c r="J3" s="26" t="s">
        <v>9</v>
      </c>
      <c r="K3" s="26" t="s">
        <v>11</v>
      </c>
      <c r="L3" s="32" t="s">
        <v>15</v>
      </c>
      <c r="N3" s="24" t="s">
        <v>20</v>
      </c>
      <c r="O3" s="26" t="s">
        <v>21</v>
      </c>
      <c r="P3" s="26" t="s">
        <v>5</v>
      </c>
      <c r="Q3" s="25" t="s">
        <v>6</v>
      </c>
      <c r="R3" s="25" t="s">
        <v>23</v>
      </c>
      <c r="S3" s="25" t="s">
        <v>3</v>
      </c>
      <c r="T3" s="26" t="s">
        <v>10</v>
      </c>
      <c r="U3" s="26" t="s">
        <v>8</v>
      </c>
      <c r="V3" s="26" t="s">
        <v>9</v>
      </c>
      <c r="W3" s="26" t="s">
        <v>11</v>
      </c>
      <c r="X3" s="50" t="s">
        <v>15</v>
      </c>
      <c r="Y3" s="32" t="s">
        <v>24</v>
      </c>
      <c r="AA3" s="51" t="s">
        <v>25</v>
      </c>
      <c r="AC3" s="51" t="s">
        <v>29</v>
      </c>
    </row>
    <row r="4" spans="2:33" x14ac:dyDescent="0.2">
      <c r="B4" s="12" t="s">
        <v>10</v>
      </c>
      <c r="D4" s="27" t="s">
        <v>240</v>
      </c>
      <c r="E4" s="52" t="s">
        <v>51</v>
      </c>
      <c r="F4" s="52" t="s">
        <v>18</v>
      </c>
      <c r="G4" s="19"/>
      <c r="H4" s="28">
        <f>SUMIFS(Giriş!$J:$J,Giriş!$H:$H,Bilgiler!H$3,Giriş!$C:$C,Bilgiler!$D4)</f>
        <v>0</v>
      </c>
      <c r="I4" s="28">
        <f>SUMIFS(Giriş!$J:$J,Giriş!$H:$H,Bilgiler!I$3,Giriş!$C:$C,Bilgiler!$D4)</f>
        <v>0</v>
      </c>
      <c r="J4" s="28">
        <f>SUMIFS(Giriş!$J:$J,Giriş!$H:$H,Bilgiler!J$3,Giriş!$C:$C,Bilgiler!$D4)</f>
        <v>0</v>
      </c>
      <c r="K4" s="28">
        <f>SUMIFS(Giriş!$J:$J,Giriş!$H:$H,Bilgiler!K$3,Giriş!$C:$C,Bilgiler!$D4)</f>
        <v>0</v>
      </c>
      <c r="L4" s="29">
        <f>G4+H4-I4-K4+J4</f>
        <v>0</v>
      </c>
      <c r="N4" s="36">
        <v>1</v>
      </c>
      <c r="O4" s="37" t="str">
        <f>IF($N4="","",VLOOKUP($N4,Giriş!$L:$O,2,0))</f>
        <v>Poşet-25 cm Mutlukal Tortillas 260 Gr ( Rusca )</v>
      </c>
      <c r="P4" s="37" t="str">
        <f>IF($N4="","",VLOOKUP($N4,Giriş!$L:$O,3,0))</f>
        <v>MAT007938</v>
      </c>
      <c r="Q4" s="44">
        <f>IF($N4="","",VLOOKUP($N4,Giriş!$L:$O,4,0))</f>
        <v>45401</v>
      </c>
      <c r="R4" s="47">
        <f ca="1">IF(O4="","",IF(X4&lt;=0,"",Q4-TODAY()))</f>
        <v>-181</v>
      </c>
      <c r="S4" s="28">
        <f t="shared" ref="S4:S35" si="0">SUMIFS(G:G,D:D,O4,F:F,P4)</f>
        <v>0</v>
      </c>
      <c r="T4" s="28">
        <f>SUMIFS(Giriş!$J:$J,Giriş!$H:$H,Bilgiler!T$3,Giriş!$C:$C,Bilgiler!$O4,Giriş!$E:$E,Bilgiler!$P4)</f>
        <v>3011800</v>
      </c>
      <c r="U4" s="28">
        <f>SUMIFS(Giriş!$J:$J,Giriş!$H:$H,Bilgiler!U$3,Giriş!$C:$C,Bilgiler!$O4,Giriş!$E:$E,Bilgiler!$P4)</f>
        <v>0</v>
      </c>
      <c r="V4" s="28">
        <f>SUMIFS(Giriş!$J:$J,Giriş!$H:$H,Bilgiler!V$3,Giriş!$C:$C,Bilgiler!$O4,Giriş!$E:$E,Bilgiler!$P4)</f>
        <v>0</v>
      </c>
      <c r="W4" s="28">
        <f>SUMIFS(Giriş!$J:$J,Giriş!$H:$H,Bilgiler!W$3,Giriş!$C:$C,Bilgiler!$O4,Giriş!$E:$E,Bilgiler!$P4)</f>
        <v>0</v>
      </c>
      <c r="X4" s="28">
        <f>S4+T4+V4-W4-U4</f>
        <v>3011800</v>
      </c>
      <c r="Y4" s="29" t="str">
        <f ca="1">IF(R4&lt;0,IF(X4&gt;0,"Raf Ömrü Geçti",""),IF(R4&lt;=15,IF(X4&gt;0,"Raf Ömrü Bitmek Üzere",""),""))</f>
        <v>Raf Ömrü Geçti</v>
      </c>
      <c r="AA4" s="54" t="s">
        <v>291</v>
      </c>
      <c r="AC4" s="14" t="s">
        <v>30</v>
      </c>
    </row>
    <row r="5" spans="2:33" ht="13.5" thickBot="1" x14ac:dyDescent="0.25">
      <c r="B5" s="13" t="s">
        <v>8</v>
      </c>
      <c r="D5" s="10" t="s">
        <v>269</v>
      </c>
      <c r="E5" s="3" t="s">
        <v>139</v>
      </c>
      <c r="F5" s="3" t="s">
        <v>18</v>
      </c>
      <c r="G5" s="20"/>
      <c r="H5" s="30">
        <f>SUMIFS(Giriş!$J:$J,Giriş!$H:$H,Bilgiler!H$3,Giriş!$C:$C,Bilgiler!$D5)</f>
        <v>0</v>
      </c>
      <c r="I5" s="30">
        <f>SUMIFS(Giriş!$J:$J,Giriş!$H:$H,Bilgiler!I$3,Giriş!$C:$C,Bilgiler!$D5)</f>
        <v>0</v>
      </c>
      <c r="J5" s="30">
        <f>SUMIFS(Giriş!$J:$J,Giriş!$H:$H,Bilgiler!J$3,Giriş!$C:$C,Bilgiler!$D5)</f>
        <v>0</v>
      </c>
      <c r="K5" s="30">
        <f>SUMIFS(Giriş!$J:$J,Giriş!$H:$H,Bilgiler!K$3,Giriş!$C:$C,Bilgiler!$D5)</f>
        <v>0</v>
      </c>
      <c r="L5" s="31">
        <f t="shared" ref="L5:L59" si="1">G5+H5-I5-K5+J5</f>
        <v>0</v>
      </c>
      <c r="N5" s="38">
        <f>IFERROR(IF(N4+1&gt;MAX(Giriş!L:L),"",N4+1),"")</f>
        <v>2</v>
      </c>
      <c r="O5" s="39" t="str">
        <f>IF($N5="","",VLOOKUP($N5,Giriş!$L:$O,2,0))</f>
        <v>Poşet-25 cm Mutlukal Tortillas Mavi Değişken</v>
      </c>
      <c r="P5" s="39" t="str">
        <f>IF($N5="","",VLOOKUP($N5,Giriş!$L:$O,3,0))</f>
        <v>MAT008069</v>
      </c>
      <c r="Q5" s="45">
        <f>IF($N5="","",VLOOKUP($N5,Giriş!$L:$O,4,0))</f>
        <v>45401</v>
      </c>
      <c r="R5" s="48">
        <f t="shared" ref="R5:R68" ca="1" si="2">IF(O5="","",IF(X5&lt;=0,"",Q5-TODAY()))</f>
        <v>-181</v>
      </c>
      <c r="S5" s="30">
        <f t="shared" si="0"/>
        <v>0</v>
      </c>
      <c r="T5" s="30">
        <f>SUMIFS(Giriş!$J:$J,Giriş!$H:$H,Bilgiler!T$3,Giriş!$C:$C,Bilgiler!$O5,Giriş!$E:$E,Bilgiler!$P5)</f>
        <v>82600</v>
      </c>
      <c r="U5" s="30">
        <f>SUMIFS(Giriş!$J:$J,Giriş!$H:$H,Bilgiler!U$3,Giriş!$C:$C,Bilgiler!$O5,Giriş!$E:$E,Bilgiler!$P5)</f>
        <v>0</v>
      </c>
      <c r="V5" s="30">
        <f>SUMIFS(Giriş!$J:$J,Giriş!$H:$H,Bilgiler!V$3,Giriş!$C:$C,Bilgiler!$O5,Giriş!$E:$E,Bilgiler!$P5)</f>
        <v>0</v>
      </c>
      <c r="W5" s="30">
        <f>SUMIFS(Giriş!$J:$J,Giriş!$H:$H,Bilgiler!W$3,Giriş!$C:$C,Bilgiler!$O5,Giriş!$E:$E,Bilgiler!$P5)</f>
        <v>0</v>
      </c>
      <c r="X5" s="30">
        <f t="shared" ref="X5:X68" si="3">S5+T5+V5-W5-U5</f>
        <v>82600</v>
      </c>
      <c r="Y5" s="31" t="str">
        <f t="shared" ref="Y5:Y68" ca="1" si="4">IF(R5&lt;0,IF(X5&gt;0,"Raf Ömrü Geçti",""),IF(R5&lt;=15,IF(X5&gt;0,"Raf Ömrü Bitmek Üzere",""),""))</f>
        <v>Raf Ömrü Geçti</v>
      </c>
      <c r="AA5" s="13" t="s">
        <v>293</v>
      </c>
      <c r="AC5" s="15" t="s">
        <v>31</v>
      </c>
    </row>
    <row r="6" spans="2:33" x14ac:dyDescent="0.2">
      <c r="B6" s="14" t="s">
        <v>9</v>
      </c>
      <c r="D6" s="9" t="s">
        <v>267</v>
      </c>
      <c r="E6" s="2" t="s">
        <v>137</v>
      </c>
      <c r="F6" s="2" t="s">
        <v>18</v>
      </c>
      <c r="G6" s="21"/>
      <c r="H6" s="28">
        <f>SUMIFS(Giriş!$J:$J,Giriş!$H:$H,Bilgiler!H$3,Giriş!$C:$C,Bilgiler!$D6)</f>
        <v>0</v>
      </c>
      <c r="I6" s="28">
        <f>SUMIFS(Giriş!$J:$J,Giriş!$H:$H,Bilgiler!I$3,Giriş!$C:$C,Bilgiler!$D6)</f>
        <v>0</v>
      </c>
      <c r="J6" s="28">
        <f>SUMIFS(Giriş!$J:$J,Giriş!$H:$H,Bilgiler!J$3,Giriş!$C:$C,Bilgiler!$D6)</f>
        <v>0</v>
      </c>
      <c r="K6" s="28">
        <f>SUMIFS(Giriş!$J:$J,Giriş!$H:$H,Bilgiler!K$3,Giriş!$C:$C,Bilgiler!$D6)</f>
        <v>0</v>
      </c>
      <c r="L6" s="29">
        <f t="shared" si="1"/>
        <v>0</v>
      </c>
      <c r="N6" s="36">
        <f>IFERROR(IF(N5+1&gt;MAX(Giriş!L:L),"",N5+1),"")</f>
        <v>3</v>
      </c>
      <c r="O6" s="37" t="str">
        <f>IF($N6="","",VLOOKUP($N6,Giriş!$L:$O,2,0))</f>
        <v>Poşet-30 cm Sofias</v>
      </c>
      <c r="P6" s="37" t="str">
        <f>IF($N6="","",VLOOKUP($N6,Giriş!$L:$O,3,0))</f>
        <v>MAT008034</v>
      </c>
      <c r="Q6" s="44">
        <f>IF($N6="","",VLOOKUP($N6,Giriş!$L:$O,4,0))</f>
        <v>45407</v>
      </c>
      <c r="R6" s="47">
        <f t="shared" ca="1" si="2"/>
        <v>-175</v>
      </c>
      <c r="S6" s="28">
        <f t="shared" si="0"/>
        <v>0</v>
      </c>
      <c r="T6" s="28">
        <f>SUMIFS(Giriş!$J:$J,Giriş!$H:$H,Bilgiler!T$3,Giriş!$C:$C,Bilgiler!$O6,Giriş!$E:$E,Bilgiler!$P6)</f>
        <v>38400</v>
      </c>
      <c r="U6" s="28">
        <f>SUMIFS(Giriş!$J:$J,Giriş!$H:$H,Bilgiler!U$3,Giriş!$C:$C,Bilgiler!$O6,Giriş!$E:$E,Bilgiler!$P6)</f>
        <v>0</v>
      </c>
      <c r="V6" s="28">
        <f>SUMIFS(Giriş!$J:$J,Giriş!$H:$H,Bilgiler!V$3,Giriş!$C:$C,Bilgiler!$O6,Giriş!$E:$E,Bilgiler!$P6)</f>
        <v>0</v>
      </c>
      <c r="W6" s="28">
        <f>SUMIFS(Giriş!$J:$J,Giriş!$H:$H,Bilgiler!W$3,Giriş!$C:$C,Bilgiler!$O6,Giriş!$E:$E,Bilgiler!$P6)</f>
        <v>0</v>
      </c>
      <c r="X6" s="28">
        <f t="shared" si="3"/>
        <v>38400</v>
      </c>
      <c r="Y6" s="29" t="str">
        <f t="shared" ca="1" si="4"/>
        <v>Raf Ömrü Geçti</v>
      </c>
      <c r="AA6" s="14" t="s">
        <v>295</v>
      </c>
    </row>
    <row r="7" spans="2:33" ht="13.5" thickBot="1" x14ac:dyDescent="0.25">
      <c r="B7" s="15" t="s">
        <v>11</v>
      </c>
      <c r="D7" s="10" t="s">
        <v>268</v>
      </c>
      <c r="E7" s="3" t="s">
        <v>138</v>
      </c>
      <c r="F7" s="3" t="s">
        <v>18</v>
      </c>
      <c r="G7" s="20"/>
      <c r="H7" s="30">
        <f>SUMIFS(Giriş!$J:$J,Giriş!$H:$H,Bilgiler!H$3,Giriş!$C:$C,Bilgiler!$D7)</f>
        <v>0</v>
      </c>
      <c r="I7" s="30">
        <f>SUMIFS(Giriş!$J:$J,Giriş!$H:$H,Bilgiler!I$3,Giriş!$C:$C,Bilgiler!$D7)</f>
        <v>0</v>
      </c>
      <c r="J7" s="30">
        <f>SUMIFS(Giriş!$J:$J,Giriş!$H:$H,Bilgiler!J$3,Giriş!$C:$C,Bilgiler!$D7)</f>
        <v>0</v>
      </c>
      <c r="K7" s="30">
        <f>SUMIFS(Giriş!$J:$J,Giriş!$H:$H,Bilgiler!K$3,Giriş!$C:$C,Bilgiler!$D7)</f>
        <v>0</v>
      </c>
      <c r="L7" s="31">
        <f t="shared" si="1"/>
        <v>0</v>
      </c>
      <c r="N7" s="38">
        <f>IFERROR(IF(N6+1&gt;MAX(Giriş!L:L),"",N6+1),"")</f>
        <v>4</v>
      </c>
      <c r="O7" s="39" t="str">
        <f>IF($N7="","",VLOOKUP($N7,Giriş!$L:$O,2,0))</f>
        <v>Poşet-30 cm İpek</v>
      </c>
      <c r="P7" s="39">
        <f>IF($N7="","",VLOOKUP($N7,Giriş!$L:$O,3,0))</f>
        <v>45231</v>
      </c>
      <c r="Q7" s="45">
        <f>IF($N7="","",VLOOKUP($N7,Giriş!$L:$O,4,0))</f>
        <v>45348</v>
      </c>
      <c r="R7" s="48">
        <f t="shared" ca="1" si="2"/>
        <v>-234</v>
      </c>
      <c r="S7" s="30">
        <f t="shared" si="0"/>
        <v>0</v>
      </c>
      <c r="T7" s="30">
        <f>SUMIFS(Giriş!$J:$J,Giriş!$H:$H,Bilgiler!T$3,Giriş!$C:$C,Bilgiler!$O7,Giriş!$E:$E,Bilgiler!$P7)</f>
        <v>4000</v>
      </c>
      <c r="U7" s="30">
        <f>SUMIFS(Giriş!$J:$J,Giriş!$H:$H,Bilgiler!U$3,Giriş!$C:$C,Bilgiler!$O7,Giriş!$E:$E,Bilgiler!$P7)</f>
        <v>0</v>
      </c>
      <c r="V7" s="30">
        <f>SUMIFS(Giriş!$J:$J,Giriş!$H:$H,Bilgiler!V$3,Giriş!$C:$C,Bilgiler!$O7,Giriş!$E:$E,Bilgiler!$P7)</f>
        <v>0</v>
      </c>
      <c r="W7" s="30">
        <f>SUMIFS(Giriş!$J:$J,Giriş!$H:$H,Bilgiler!W$3,Giriş!$C:$C,Bilgiler!$O7,Giriş!$E:$E,Bilgiler!$P7)</f>
        <v>0</v>
      </c>
      <c r="X7" s="30">
        <f t="shared" si="3"/>
        <v>4000</v>
      </c>
      <c r="Y7" s="31" t="str">
        <f t="shared" ca="1" si="4"/>
        <v>Raf Ömrü Geçti</v>
      </c>
      <c r="AA7" s="55" t="s">
        <v>292</v>
      </c>
      <c r="AG7" s="53"/>
    </row>
    <row r="8" spans="2:33" x14ac:dyDescent="0.2">
      <c r="D8" s="9" t="s">
        <v>270</v>
      </c>
      <c r="E8" s="2" t="s">
        <v>140</v>
      </c>
      <c r="F8" s="2" t="s">
        <v>18</v>
      </c>
      <c r="G8" s="21"/>
      <c r="H8" s="28">
        <f>SUMIFS(Giriş!$J:$J,Giriş!$H:$H,Bilgiler!H$3,Giriş!$C:$C,Bilgiler!$D8)</f>
        <v>0</v>
      </c>
      <c r="I8" s="28">
        <f>SUMIFS(Giriş!$J:$J,Giriş!$H:$H,Bilgiler!I$3,Giriş!$C:$C,Bilgiler!$D8)</f>
        <v>0</v>
      </c>
      <c r="J8" s="28">
        <f>SUMIFS(Giriş!$J:$J,Giriş!$H:$H,Bilgiler!J$3,Giriş!$C:$C,Bilgiler!$D8)</f>
        <v>0</v>
      </c>
      <c r="K8" s="28">
        <f>SUMIFS(Giriş!$J:$J,Giriş!$H:$H,Bilgiler!K$3,Giriş!$C:$C,Bilgiler!$D8)</f>
        <v>0</v>
      </c>
      <c r="L8" s="29">
        <f t="shared" si="1"/>
        <v>0</v>
      </c>
      <c r="N8" s="36">
        <f>IFERROR(IF(N7+1&gt;MAX(Giriş!L:L),"",N7+1),"")</f>
        <v>5</v>
      </c>
      <c r="O8" s="37" t="str">
        <f>IF($N8="","",VLOOKUP($N8,Giriş!$L:$O,2,0))</f>
        <v>Poşet-20 cm B.sız Kilitli</v>
      </c>
      <c r="P8" s="37" t="str">
        <f>IF($N8="","",VLOOKUP($N8,Giriş!$L:$O,3,0))</f>
        <v>MAT008070</v>
      </c>
      <c r="Q8" s="44">
        <f>IF($N8="","",VLOOKUP($N8,Giriş!$L:$O,4,0))</f>
        <v>45472</v>
      </c>
      <c r="R8" s="47">
        <f t="shared" ca="1" si="2"/>
        <v>-110</v>
      </c>
      <c r="S8" s="28">
        <f t="shared" si="0"/>
        <v>0</v>
      </c>
      <c r="T8" s="28">
        <f>SUMIFS(Giriş!$J:$J,Giriş!$H:$H,Bilgiler!T$3,Giriş!$C:$C,Bilgiler!$O8,Giriş!$E:$E,Bilgiler!$P8)</f>
        <v>104400</v>
      </c>
      <c r="U8" s="28">
        <f>SUMIFS(Giriş!$J:$J,Giriş!$H:$H,Bilgiler!U$3,Giriş!$C:$C,Bilgiler!$O8,Giriş!$E:$E,Bilgiler!$P8)</f>
        <v>0</v>
      </c>
      <c r="V8" s="28">
        <f>SUMIFS(Giriş!$J:$J,Giriş!$H:$H,Bilgiler!V$3,Giriş!$C:$C,Bilgiler!$O8,Giriş!$E:$E,Bilgiler!$P8)</f>
        <v>0</v>
      </c>
      <c r="W8" s="28">
        <f>SUMIFS(Giriş!$J:$J,Giriş!$H:$H,Bilgiler!W$3,Giriş!$C:$C,Bilgiler!$O8,Giriş!$E:$E,Bilgiler!$P8)</f>
        <v>0</v>
      </c>
      <c r="X8" s="28">
        <f t="shared" si="3"/>
        <v>104400</v>
      </c>
      <c r="Y8" s="29" t="str">
        <f t="shared" ca="1" si="4"/>
        <v>Raf Ömrü Geçti</v>
      </c>
      <c r="AA8" s="14" t="s">
        <v>294</v>
      </c>
      <c r="AG8" s="53"/>
    </row>
    <row r="9" spans="2:33" x14ac:dyDescent="0.2">
      <c r="D9" s="10" t="s">
        <v>273</v>
      </c>
      <c r="E9" s="3" t="s">
        <v>145</v>
      </c>
      <c r="F9" s="3" t="s">
        <v>18</v>
      </c>
      <c r="G9" s="20"/>
      <c r="H9" s="30">
        <f>SUMIFS(Giriş!$J:$J,Giriş!$H:$H,Bilgiler!H$3,Giriş!$C:$C,Bilgiler!$D9)</f>
        <v>0</v>
      </c>
      <c r="I9" s="30">
        <f>SUMIFS(Giriş!$J:$J,Giriş!$H:$H,Bilgiler!I$3,Giriş!$C:$C,Bilgiler!$D9)</f>
        <v>0</v>
      </c>
      <c r="J9" s="30">
        <f>SUMIFS(Giriş!$J:$J,Giriş!$H:$H,Bilgiler!J$3,Giriş!$C:$C,Bilgiler!$D9)</f>
        <v>0</v>
      </c>
      <c r="K9" s="30">
        <f>SUMIFS(Giriş!$J:$J,Giriş!$H:$H,Bilgiler!K$3,Giriş!$C:$C,Bilgiler!$D9)</f>
        <v>0</v>
      </c>
      <c r="L9" s="31">
        <f t="shared" si="1"/>
        <v>0</v>
      </c>
      <c r="N9" s="38">
        <f>IFERROR(IF(N8+1&gt;MAX(Giriş!L:L),"",N8+1),"")</f>
        <v>6</v>
      </c>
      <c r="O9" s="39" t="str">
        <f>IF($N9="","",VLOOKUP($N9,Giriş!$L:$O,2,0))</f>
        <v>Poşet-30 cm Mutlukal Tortillas Değişken</v>
      </c>
      <c r="P9" s="39">
        <f>IF($N9="","",VLOOKUP($N9,Giriş!$L:$O,3,0))</f>
        <v>20230038</v>
      </c>
      <c r="Q9" s="45">
        <f>IF($N9="","",VLOOKUP($N9,Giriş!$L:$O,4,0))</f>
        <v>45483</v>
      </c>
      <c r="R9" s="48">
        <f t="shared" ca="1" si="2"/>
        <v>-99</v>
      </c>
      <c r="S9" s="30">
        <f t="shared" si="0"/>
        <v>0</v>
      </c>
      <c r="T9" s="30">
        <f>SUMIFS(Giriş!$J:$J,Giriş!$H:$H,Bilgiler!T$3,Giriş!$C:$C,Bilgiler!$O9,Giriş!$E:$E,Bilgiler!$P9)</f>
        <v>68160</v>
      </c>
      <c r="U9" s="30">
        <f>SUMIFS(Giriş!$J:$J,Giriş!$H:$H,Bilgiler!U$3,Giriş!$C:$C,Bilgiler!$O9,Giriş!$E:$E,Bilgiler!$P9)</f>
        <v>0</v>
      </c>
      <c r="V9" s="30">
        <f>SUMIFS(Giriş!$J:$J,Giriş!$H:$H,Bilgiler!V$3,Giriş!$C:$C,Bilgiler!$O9,Giriş!$E:$E,Bilgiler!$P9)</f>
        <v>0</v>
      </c>
      <c r="W9" s="30">
        <f>SUMIFS(Giriş!$J:$J,Giriş!$H:$H,Bilgiler!W$3,Giriş!$C:$C,Bilgiler!$O9,Giriş!$E:$E,Bilgiler!$P9)</f>
        <v>0</v>
      </c>
      <c r="X9" s="30">
        <f t="shared" si="3"/>
        <v>68160</v>
      </c>
      <c r="Y9" s="31" t="str">
        <f t="shared" ca="1" si="4"/>
        <v>Raf Ömrü Geçti</v>
      </c>
      <c r="AA9" s="13" t="s">
        <v>27</v>
      </c>
      <c r="AG9" s="53"/>
    </row>
    <row r="10" spans="2:33" x14ac:dyDescent="0.2">
      <c r="D10" s="9" t="s">
        <v>229</v>
      </c>
      <c r="E10" s="2" t="s">
        <v>44</v>
      </c>
      <c r="F10" s="2" t="s">
        <v>18</v>
      </c>
      <c r="G10" s="21"/>
      <c r="H10" s="28">
        <f>SUMIFS(Giriş!$J:$J,Giriş!$H:$H,Bilgiler!H$3,Giriş!$C:$C,Bilgiler!$D10)</f>
        <v>112000</v>
      </c>
      <c r="I10" s="28">
        <f>SUMIFS(Giriş!$J:$J,Giriş!$H:$H,Bilgiler!I$3,Giriş!$C:$C,Bilgiler!$D10)</f>
        <v>0</v>
      </c>
      <c r="J10" s="28">
        <f>SUMIFS(Giriş!$J:$J,Giriş!$H:$H,Bilgiler!J$3,Giriş!$C:$C,Bilgiler!$D10)</f>
        <v>0</v>
      </c>
      <c r="K10" s="28">
        <f>SUMIFS(Giriş!$J:$J,Giriş!$H:$H,Bilgiler!K$3,Giriş!$C:$C,Bilgiler!$D10)</f>
        <v>0</v>
      </c>
      <c r="L10" s="29">
        <f t="shared" si="1"/>
        <v>112000</v>
      </c>
      <c r="N10" s="36">
        <f>IFERROR(IF(N9+1&gt;MAX(Giriş!L:L),"",N9+1),"")</f>
        <v>7</v>
      </c>
      <c r="O10" s="37" t="str">
        <f>IF($N10="","",VLOOKUP($N10,Giriş!$L:$O,2,0))</f>
        <v>Poşet--15 cm Mutlukal Tortillas Mavi Değişken</v>
      </c>
      <c r="P10" s="37">
        <f>IF($N10="","",VLOOKUP($N10,Giriş!$L:$O,3,0))</f>
        <v>20230040</v>
      </c>
      <c r="Q10" s="44">
        <f>IF($N10="","",VLOOKUP($N10,Giriş!$L:$O,4,0))</f>
        <v>45492</v>
      </c>
      <c r="R10" s="47">
        <f t="shared" ca="1" si="2"/>
        <v>-90</v>
      </c>
      <c r="S10" s="28">
        <f t="shared" si="0"/>
        <v>0</v>
      </c>
      <c r="T10" s="28">
        <f>SUMIFS(Giriş!$J:$J,Giriş!$H:$H,Bilgiler!T$3,Giriş!$C:$C,Bilgiler!$O10,Giriş!$E:$E,Bilgiler!$P10)</f>
        <v>182945</v>
      </c>
      <c r="U10" s="28">
        <f>SUMIFS(Giriş!$J:$J,Giriş!$H:$H,Bilgiler!U$3,Giriş!$C:$C,Bilgiler!$O10,Giriş!$E:$E,Bilgiler!$P10)</f>
        <v>0</v>
      </c>
      <c r="V10" s="28">
        <f>SUMIFS(Giriş!$J:$J,Giriş!$H:$H,Bilgiler!V$3,Giriş!$C:$C,Bilgiler!$O10,Giriş!$E:$E,Bilgiler!$P10)</f>
        <v>0</v>
      </c>
      <c r="W10" s="28">
        <f>SUMIFS(Giriş!$J:$J,Giriş!$H:$H,Bilgiler!W$3,Giriş!$C:$C,Bilgiler!$O10,Giriş!$E:$E,Bilgiler!$P10)</f>
        <v>0</v>
      </c>
      <c r="X10" s="28">
        <f t="shared" si="3"/>
        <v>182945</v>
      </c>
      <c r="Y10" s="29" t="str">
        <f t="shared" ca="1" si="4"/>
        <v>Raf Ömrü Geçti</v>
      </c>
      <c r="AA10" s="14" t="s">
        <v>301</v>
      </c>
      <c r="AG10" s="53"/>
    </row>
    <row r="11" spans="2:33" x14ac:dyDescent="0.2">
      <c r="D11" s="10" t="s">
        <v>162</v>
      </c>
      <c r="E11" s="3" t="s">
        <v>84</v>
      </c>
      <c r="F11" s="3" t="s">
        <v>18</v>
      </c>
      <c r="G11" s="20"/>
      <c r="H11" s="30">
        <f>SUMIFS(Giriş!$J:$J,Giriş!$H:$H,Bilgiler!H$3,Giriş!$C:$C,Bilgiler!$D11)</f>
        <v>0</v>
      </c>
      <c r="I11" s="30">
        <f>SUMIFS(Giriş!$J:$J,Giriş!$H:$H,Bilgiler!I$3,Giriş!$C:$C,Bilgiler!$D11)</f>
        <v>0</v>
      </c>
      <c r="J11" s="30">
        <f>SUMIFS(Giriş!$J:$J,Giriş!$H:$H,Bilgiler!J$3,Giriş!$C:$C,Bilgiler!$D11)</f>
        <v>0</v>
      </c>
      <c r="K11" s="30">
        <f>SUMIFS(Giriş!$J:$J,Giriş!$H:$H,Bilgiler!K$3,Giriş!$C:$C,Bilgiler!$D11)</f>
        <v>0</v>
      </c>
      <c r="L11" s="31">
        <f t="shared" si="1"/>
        <v>0</v>
      </c>
      <c r="N11" s="38">
        <f>IFERROR(IF(N10+1&gt;MAX(Giriş!L:L),"",N10+1),"")</f>
        <v>8</v>
      </c>
      <c r="O11" s="39" t="str">
        <f>IF($N11="","",VLOOKUP($N11,Giriş!$L:$O,2,0))</f>
        <v>Poşet-25 cm Mutlukal Tortillas Kırmızı Değişken ( Beyaz Rusya )</v>
      </c>
      <c r="P11" s="39">
        <f>IF($N11="","",VLOOKUP($N11,Giriş!$L:$O,3,0))</f>
        <v>20230048</v>
      </c>
      <c r="Q11" s="45">
        <f>IF($N11="","",VLOOKUP($N11,Giriş!$L:$O,4,0))</f>
        <v>45483</v>
      </c>
      <c r="R11" s="48">
        <f t="shared" ca="1" si="2"/>
        <v>-99</v>
      </c>
      <c r="S11" s="30">
        <f t="shared" si="0"/>
        <v>0</v>
      </c>
      <c r="T11" s="30">
        <f>SUMIFS(Giriş!$J:$J,Giriş!$H:$H,Bilgiler!T$3,Giriş!$C:$C,Bilgiler!$O11,Giriş!$E:$E,Bilgiler!$P11)</f>
        <v>89050</v>
      </c>
      <c r="U11" s="30">
        <f>SUMIFS(Giriş!$J:$J,Giriş!$H:$H,Bilgiler!U$3,Giriş!$C:$C,Bilgiler!$O11,Giriş!$E:$E,Bilgiler!$P11)</f>
        <v>0</v>
      </c>
      <c r="V11" s="30">
        <f>SUMIFS(Giriş!$J:$J,Giriş!$H:$H,Bilgiler!V$3,Giriş!$C:$C,Bilgiler!$O11,Giriş!$E:$E,Bilgiler!$P11)</f>
        <v>0</v>
      </c>
      <c r="W11" s="30">
        <f>SUMIFS(Giriş!$J:$J,Giriş!$H:$H,Bilgiler!W$3,Giriş!$C:$C,Bilgiler!$O11,Giriş!$E:$E,Bilgiler!$P11)</f>
        <v>0</v>
      </c>
      <c r="X11" s="30">
        <f t="shared" si="3"/>
        <v>89050</v>
      </c>
      <c r="Y11" s="31" t="str">
        <f t="shared" ca="1" si="4"/>
        <v>Raf Ömrü Geçti</v>
      </c>
      <c r="AA11" s="13" t="s">
        <v>308</v>
      </c>
      <c r="AG11" s="53"/>
    </row>
    <row r="12" spans="2:33" x14ac:dyDescent="0.2">
      <c r="D12" s="9" t="s">
        <v>226</v>
      </c>
      <c r="E12" s="2" t="s">
        <v>39</v>
      </c>
      <c r="F12" s="2" t="s">
        <v>18</v>
      </c>
      <c r="G12" s="21"/>
      <c r="H12" s="28">
        <f>SUMIFS(Giriş!$J:$J,Giriş!$H:$H,Bilgiler!H$3,Giriş!$C:$C,Bilgiler!$D12)</f>
        <v>0</v>
      </c>
      <c r="I12" s="28">
        <f>SUMIFS(Giriş!$J:$J,Giriş!$H:$H,Bilgiler!I$3,Giriş!$C:$C,Bilgiler!$D12)</f>
        <v>0</v>
      </c>
      <c r="J12" s="28">
        <f>SUMIFS(Giriş!$J:$J,Giriş!$H:$H,Bilgiler!J$3,Giriş!$C:$C,Bilgiler!$D12)</f>
        <v>0</v>
      </c>
      <c r="K12" s="28">
        <f>SUMIFS(Giriş!$J:$J,Giriş!$H:$H,Bilgiler!K$3,Giriş!$C:$C,Bilgiler!$D12)</f>
        <v>0</v>
      </c>
      <c r="L12" s="29">
        <f t="shared" si="1"/>
        <v>0</v>
      </c>
      <c r="N12" s="36">
        <f>IFERROR(IF(N11+1&gt;MAX(Giriş!L:L),"",N11+1),"")</f>
        <v>9</v>
      </c>
      <c r="O12" s="37" t="str">
        <f>IF($N12="","",VLOOKUP($N12,Giriş!$L:$O,2,0))</f>
        <v>Poşet-25 cm Mutlukal Tortillas Tam Buğday</v>
      </c>
      <c r="P12" s="37">
        <f>IF($N12="","",VLOOKUP($N12,Giriş!$L:$O,3,0))</f>
        <v>20230042</v>
      </c>
      <c r="Q12" s="44">
        <f>IF($N12="","",VLOOKUP($N12,Giriş!$L:$O,4,0))</f>
        <v>45483</v>
      </c>
      <c r="R12" s="47">
        <f t="shared" ca="1" si="2"/>
        <v>-99</v>
      </c>
      <c r="S12" s="28">
        <f t="shared" si="0"/>
        <v>0</v>
      </c>
      <c r="T12" s="28">
        <f>SUMIFS(Giriş!$J:$J,Giriş!$H:$H,Bilgiler!T$3,Giriş!$C:$C,Bilgiler!$O12,Giriş!$E:$E,Bilgiler!$P12)</f>
        <v>86730</v>
      </c>
      <c r="U12" s="28">
        <f>SUMIFS(Giriş!$J:$J,Giriş!$H:$H,Bilgiler!U$3,Giriş!$C:$C,Bilgiler!$O12,Giriş!$E:$E,Bilgiler!$P12)</f>
        <v>0</v>
      </c>
      <c r="V12" s="28">
        <f>SUMIFS(Giriş!$J:$J,Giriş!$H:$H,Bilgiler!V$3,Giriş!$C:$C,Bilgiler!$O12,Giriş!$E:$E,Bilgiler!$P12)</f>
        <v>0</v>
      </c>
      <c r="W12" s="28">
        <f>SUMIFS(Giriş!$J:$J,Giriş!$H:$H,Bilgiler!W$3,Giriş!$C:$C,Bilgiler!$O12,Giriş!$E:$E,Bilgiler!$P12)</f>
        <v>0</v>
      </c>
      <c r="X12" s="28">
        <f t="shared" si="3"/>
        <v>86730</v>
      </c>
      <c r="Y12" s="29" t="str">
        <f t="shared" ca="1" si="4"/>
        <v>Raf Ömrü Geçti</v>
      </c>
      <c r="AA12" s="14" t="s">
        <v>325</v>
      </c>
    </row>
    <row r="13" spans="2:33" ht="15" x14ac:dyDescent="0.25">
      <c r="D13" s="10" t="s">
        <v>220</v>
      </c>
      <c r="E13" s="3" t="s">
        <v>54</v>
      </c>
      <c r="F13" s="3" t="s">
        <v>18</v>
      </c>
      <c r="G13" s="20"/>
      <c r="H13" s="30">
        <f>SUMIFS(Giriş!$J:$J,Giriş!$H:$H,Bilgiler!H$3,Giriş!$C:$C,Bilgiler!$D13)</f>
        <v>0</v>
      </c>
      <c r="I13" s="30">
        <f>SUMIFS(Giriş!$J:$J,Giriş!$H:$H,Bilgiler!I$3,Giriş!$C:$C,Bilgiler!$D13)</f>
        <v>0</v>
      </c>
      <c r="J13" s="30">
        <f>SUMIFS(Giriş!$J:$J,Giriş!$H:$H,Bilgiler!J$3,Giriş!$C:$C,Bilgiler!$D13)</f>
        <v>0</v>
      </c>
      <c r="K13" s="30">
        <f>SUMIFS(Giriş!$J:$J,Giriş!$H:$H,Bilgiler!K$3,Giriş!$C:$C,Bilgiler!$D13)</f>
        <v>0</v>
      </c>
      <c r="L13" s="31">
        <f t="shared" si="1"/>
        <v>0</v>
      </c>
      <c r="N13" s="38">
        <f>IFERROR(IF(N12+1&gt;MAX(Giriş!L:L),"",N12+1),"")</f>
        <v>10</v>
      </c>
      <c r="O13" s="39" t="str">
        <f>IF($N13="","",VLOOKUP($N13,Giriş!$L:$O,2,0))</f>
        <v>Poşet-25 cm B.sız Kilitli</v>
      </c>
      <c r="P13" s="39">
        <f>IF($N13="","",VLOOKUP($N13,Giriş!$L:$O,3,0))</f>
        <v>20230050</v>
      </c>
      <c r="Q13" s="45">
        <f>IF($N13="","",VLOOKUP($N13,Giriş!$L:$O,4,0))</f>
        <v>45483</v>
      </c>
      <c r="R13" s="48">
        <f t="shared" ca="1" si="2"/>
        <v>-99</v>
      </c>
      <c r="S13" s="30">
        <f t="shared" si="0"/>
        <v>0</v>
      </c>
      <c r="T13" s="30">
        <f>SUMIFS(Giriş!$J:$J,Giriş!$H:$H,Bilgiler!T$3,Giriş!$C:$C,Bilgiler!$O13,Giriş!$E:$E,Bilgiler!$P13)</f>
        <v>88400</v>
      </c>
      <c r="U13" s="30">
        <f>SUMIFS(Giriş!$J:$J,Giriş!$H:$H,Bilgiler!U$3,Giriş!$C:$C,Bilgiler!$O13,Giriş!$E:$E,Bilgiler!$P13)</f>
        <v>0</v>
      </c>
      <c r="V13" s="30">
        <f>SUMIFS(Giriş!$J:$J,Giriş!$H:$H,Bilgiler!V$3,Giriş!$C:$C,Bilgiler!$O13,Giriş!$E:$E,Bilgiler!$P13)</f>
        <v>0</v>
      </c>
      <c r="W13" s="30">
        <f>SUMIFS(Giriş!$J:$J,Giriş!$H:$H,Bilgiler!W$3,Giriş!$C:$C,Bilgiler!$O13,Giriş!$E:$E,Bilgiler!$P13)</f>
        <v>0</v>
      </c>
      <c r="X13" s="30">
        <f t="shared" si="3"/>
        <v>88400</v>
      </c>
      <c r="Y13" s="31" t="str">
        <f t="shared" ca="1" si="4"/>
        <v>Raf Ömrü Geçti</v>
      </c>
      <c r="AA13" s="13"/>
      <c r="AG13" s="62"/>
    </row>
    <row r="14" spans="2:33" x14ac:dyDescent="0.2">
      <c r="D14" s="9" t="s">
        <v>210</v>
      </c>
      <c r="E14" s="2" t="s">
        <v>64</v>
      </c>
      <c r="F14" s="2" t="s">
        <v>18</v>
      </c>
      <c r="G14" s="21"/>
      <c r="H14" s="28">
        <f>SUMIFS(Giriş!$J:$J,Giriş!$H:$H,Bilgiler!H$3,Giriş!$C:$C,Bilgiler!$D14)</f>
        <v>0</v>
      </c>
      <c r="I14" s="28">
        <f>SUMIFS(Giriş!$J:$J,Giriş!$H:$H,Bilgiler!I$3,Giriş!$C:$C,Bilgiler!$D14)</f>
        <v>0</v>
      </c>
      <c r="J14" s="28">
        <f>SUMIFS(Giriş!$J:$J,Giriş!$H:$H,Bilgiler!J$3,Giriş!$C:$C,Bilgiler!$D14)</f>
        <v>0</v>
      </c>
      <c r="K14" s="28">
        <f>SUMIFS(Giriş!$J:$J,Giriş!$H:$H,Bilgiler!K$3,Giriş!$C:$C,Bilgiler!$D14)</f>
        <v>0</v>
      </c>
      <c r="L14" s="29">
        <f t="shared" si="1"/>
        <v>0</v>
      </c>
      <c r="N14" s="36">
        <f>IFERROR(IF(N13+1&gt;MAX(Giriş!L:L),"",N13+1),"")</f>
        <v>11</v>
      </c>
      <c r="O14" s="37" t="str">
        <f>IF($N14="","",VLOOKUP($N14,Giriş!$L:$O,2,0))</f>
        <v>Poşet-25 cm Tortillove Değişken</v>
      </c>
      <c r="P14" s="37" t="str">
        <f>IF($N14="","",VLOOKUP($N14,Giriş!$L:$O,3,0))</f>
        <v>MAT008095</v>
      </c>
      <c r="Q14" s="44">
        <f>IF($N14="","",VLOOKUP($N14,Giriş!$L:$O,4,0))</f>
        <v>45491</v>
      </c>
      <c r="R14" s="47">
        <f t="shared" ca="1" si="2"/>
        <v>-91</v>
      </c>
      <c r="S14" s="28">
        <f t="shared" si="0"/>
        <v>0</v>
      </c>
      <c r="T14" s="28">
        <f>SUMIFS(Giriş!$J:$J,Giriş!$H:$H,Bilgiler!T$3,Giriş!$C:$C,Bilgiler!$O14,Giriş!$E:$E,Bilgiler!$P14)</f>
        <v>79800</v>
      </c>
      <c r="U14" s="28">
        <f>SUMIFS(Giriş!$J:$J,Giriş!$H:$H,Bilgiler!U$3,Giriş!$C:$C,Bilgiler!$O14,Giriş!$E:$E,Bilgiler!$P14)</f>
        <v>0</v>
      </c>
      <c r="V14" s="28">
        <f>SUMIFS(Giriş!$J:$J,Giriş!$H:$H,Bilgiler!V$3,Giriş!$C:$C,Bilgiler!$O14,Giriş!$E:$E,Bilgiler!$P14)</f>
        <v>0</v>
      </c>
      <c r="W14" s="28">
        <f>SUMIFS(Giriş!$J:$J,Giriş!$H:$H,Bilgiler!W$3,Giriş!$C:$C,Bilgiler!$O14,Giriş!$E:$E,Bilgiler!$P14)</f>
        <v>0</v>
      </c>
      <c r="X14" s="28">
        <f t="shared" si="3"/>
        <v>79800</v>
      </c>
      <c r="Y14" s="29" t="str">
        <f t="shared" ca="1" si="4"/>
        <v>Raf Ömrü Geçti</v>
      </c>
      <c r="AA14" s="14"/>
      <c r="AD14" s="53"/>
    </row>
    <row r="15" spans="2:33" ht="15" x14ac:dyDescent="0.25">
      <c r="D15" s="10" t="s">
        <v>163</v>
      </c>
      <c r="E15" s="3" t="s">
        <v>77</v>
      </c>
      <c r="F15" s="3" t="s">
        <v>18</v>
      </c>
      <c r="G15" s="20"/>
      <c r="H15" s="30">
        <f>SUMIFS(Giriş!$J:$J,Giriş!$H:$H,Bilgiler!H$3,Giriş!$C:$C,Bilgiler!$D15)</f>
        <v>0</v>
      </c>
      <c r="I15" s="30">
        <f>SUMIFS(Giriş!$J:$J,Giriş!$H:$H,Bilgiler!I$3,Giriş!$C:$C,Bilgiler!$D15)</f>
        <v>0</v>
      </c>
      <c r="J15" s="30">
        <f>SUMIFS(Giriş!$J:$J,Giriş!$H:$H,Bilgiler!J$3,Giriş!$C:$C,Bilgiler!$D15)</f>
        <v>0</v>
      </c>
      <c r="K15" s="30">
        <f>SUMIFS(Giriş!$J:$J,Giriş!$H:$H,Bilgiler!K$3,Giriş!$C:$C,Bilgiler!$D15)</f>
        <v>0</v>
      </c>
      <c r="L15" s="31">
        <f t="shared" si="1"/>
        <v>0</v>
      </c>
      <c r="N15" s="38">
        <f>IFERROR(IF(N14+1&gt;MAX(Giriş!L:L),"",N14+1),"")</f>
        <v>12</v>
      </c>
      <c r="O15" s="39" t="str">
        <f>IF($N15="","",VLOOKUP($N15,Giriş!$L:$O,2,0))</f>
        <v>Poşet-25 cm Wıllı Food 840 gr</v>
      </c>
      <c r="P15" s="39" t="str">
        <f>IF($N15="","",VLOOKUP($N15,Giriş!$L:$O,3,0))</f>
        <v>MAT008124</v>
      </c>
      <c r="Q15" s="45">
        <f>IF($N15="","",VLOOKUP($N15,Giriş!$L:$O,4,0))</f>
        <v>45498</v>
      </c>
      <c r="R15" s="48">
        <f t="shared" ca="1" si="2"/>
        <v>-84</v>
      </c>
      <c r="S15" s="30">
        <f t="shared" si="0"/>
        <v>0</v>
      </c>
      <c r="T15" s="30">
        <f>SUMIFS(Giriş!$J:$J,Giriş!$H:$H,Bilgiler!T$3,Giriş!$C:$C,Bilgiler!$O15,Giriş!$E:$E,Bilgiler!$P15)</f>
        <v>77300</v>
      </c>
      <c r="U15" s="30">
        <f>SUMIFS(Giriş!$J:$J,Giriş!$H:$H,Bilgiler!U$3,Giriş!$C:$C,Bilgiler!$O15,Giriş!$E:$E,Bilgiler!$P15)</f>
        <v>0</v>
      </c>
      <c r="V15" s="30">
        <f>SUMIFS(Giriş!$J:$J,Giriş!$H:$H,Bilgiler!V$3,Giriş!$C:$C,Bilgiler!$O15,Giriş!$E:$E,Bilgiler!$P15)</f>
        <v>0</v>
      </c>
      <c r="W15" s="30">
        <f>SUMIFS(Giriş!$J:$J,Giriş!$H:$H,Bilgiler!W$3,Giriş!$C:$C,Bilgiler!$O15,Giriş!$E:$E,Bilgiler!$P15)</f>
        <v>0</v>
      </c>
      <c r="X15" s="30">
        <f t="shared" si="3"/>
        <v>77300</v>
      </c>
      <c r="Y15" s="31" t="str">
        <f t="shared" ca="1" si="4"/>
        <v>Raf Ömrü Geçti</v>
      </c>
      <c r="AA15" s="13"/>
      <c r="AG15" s="62"/>
    </row>
    <row r="16" spans="2:33" ht="15" x14ac:dyDescent="0.25">
      <c r="D16" s="9" t="s">
        <v>290</v>
      </c>
      <c r="E16" s="2" t="s">
        <v>151</v>
      </c>
      <c r="F16" s="2" t="s">
        <v>18</v>
      </c>
      <c r="G16" s="21"/>
      <c r="H16" s="28">
        <f>SUMIFS(Giriş!$J:$J,Giriş!$H:$H,Bilgiler!H$3,Giriş!$C:$C,Bilgiler!$D16)</f>
        <v>0</v>
      </c>
      <c r="I16" s="28">
        <f>SUMIFS(Giriş!$J:$J,Giriş!$H:$H,Bilgiler!I$3,Giriş!$C:$C,Bilgiler!$D16)</f>
        <v>0</v>
      </c>
      <c r="J16" s="28">
        <f>SUMIFS(Giriş!$J:$J,Giriş!$H:$H,Bilgiler!J$3,Giriş!$C:$C,Bilgiler!$D16)</f>
        <v>0</v>
      </c>
      <c r="K16" s="28">
        <f>SUMIFS(Giriş!$J:$J,Giriş!$H:$H,Bilgiler!K$3,Giriş!$C:$C,Bilgiler!$D16)</f>
        <v>0</v>
      </c>
      <c r="L16" s="29">
        <f t="shared" si="1"/>
        <v>0</v>
      </c>
      <c r="N16" s="36">
        <f>IFERROR(IF(N15+1&gt;MAX(Giriş!L:L),"",N15+1),"")</f>
        <v>13</v>
      </c>
      <c r="O16" s="37" t="str">
        <f>IF($N16="","",VLOOKUP($N16,Giriş!$L:$O,2,0))</f>
        <v>Poşet-20 cm Wıllı Food 540 gr</v>
      </c>
      <c r="P16" s="37" t="str">
        <f>IF($N16="","",VLOOKUP($N16,Giriş!$L:$O,3,0))</f>
        <v>MAT008123</v>
      </c>
      <c r="Q16" s="44">
        <f>IF($N16="","",VLOOKUP($N16,Giriş!$L:$O,4,0))</f>
        <v>45500</v>
      </c>
      <c r="R16" s="47">
        <f t="shared" ca="1" si="2"/>
        <v>-82</v>
      </c>
      <c r="S16" s="28">
        <f t="shared" si="0"/>
        <v>0</v>
      </c>
      <c r="T16" s="28">
        <f>SUMIFS(Giriş!$J:$J,Giriş!$H:$H,Bilgiler!T$3,Giriş!$C:$C,Bilgiler!$O16,Giriş!$E:$E,Bilgiler!$P16)</f>
        <v>104400</v>
      </c>
      <c r="U16" s="28">
        <f>SUMIFS(Giriş!$J:$J,Giriş!$H:$H,Bilgiler!U$3,Giriş!$C:$C,Bilgiler!$O16,Giriş!$E:$E,Bilgiler!$P16)</f>
        <v>0</v>
      </c>
      <c r="V16" s="28">
        <f>SUMIFS(Giriş!$J:$J,Giriş!$H:$H,Bilgiler!V$3,Giriş!$C:$C,Bilgiler!$O16,Giriş!$E:$E,Bilgiler!$P16)</f>
        <v>0</v>
      </c>
      <c r="W16" s="28">
        <f>SUMIFS(Giriş!$J:$J,Giriş!$H:$H,Bilgiler!W$3,Giriş!$C:$C,Bilgiler!$O16,Giriş!$E:$E,Bilgiler!$P16)</f>
        <v>0</v>
      </c>
      <c r="X16" s="28">
        <f t="shared" si="3"/>
        <v>104400</v>
      </c>
      <c r="Y16" s="29" t="str">
        <f t="shared" ca="1" si="4"/>
        <v>Raf Ömrü Geçti</v>
      </c>
      <c r="AA16" s="14"/>
      <c r="AG16" s="62"/>
    </row>
    <row r="17" spans="4:33" ht="15" x14ac:dyDescent="0.25">
      <c r="D17" s="10" t="s">
        <v>249</v>
      </c>
      <c r="E17" s="3" t="s">
        <v>121</v>
      </c>
      <c r="F17" s="3" t="s">
        <v>18</v>
      </c>
      <c r="G17" s="20"/>
      <c r="H17" s="30">
        <f>SUMIFS(Giriş!$J:$J,Giriş!$H:$H,Bilgiler!H$3,Giriş!$C:$C,Bilgiler!$D17)</f>
        <v>264150</v>
      </c>
      <c r="I17" s="30">
        <f>SUMIFS(Giriş!$J:$J,Giriş!$H:$H,Bilgiler!I$3,Giriş!$C:$C,Bilgiler!$D17)</f>
        <v>0</v>
      </c>
      <c r="J17" s="30">
        <f>SUMIFS(Giriş!$J:$J,Giriş!$H:$H,Bilgiler!J$3,Giriş!$C:$C,Bilgiler!$D17)</f>
        <v>0</v>
      </c>
      <c r="K17" s="30">
        <f>SUMIFS(Giriş!$J:$J,Giriş!$H:$H,Bilgiler!K$3,Giriş!$C:$C,Bilgiler!$D17)</f>
        <v>0</v>
      </c>
      <c r="L17" s="31">
        <f t="shared" si="1"/>
        <v>264150</v>
      </c>
      <c r="N17" s="38">
        <f>IFERROR(IF(N16+1&gt;MAX(Giriş!L:L),"",N16+1),"")</f>
        <v>14</v>
      </c>
      <c r="O17" s="39" t="str">
        <f>IF($N17="","",VLOOKUP($N17,Giriş!$L:$O,2,0))</f>
        <v>Poşet-25 cm Nimet (Lam.Baskılı Zıp.Vakum )</v>
      </c>
      <c r="P17" s="39">
        <f>IF($N17="","",VLOOKUP($N17,Giriş!$L:$O,3,0))</f>
        <v>20230043</v>
      </c>
      <c r="Q17" s="45">
        <f>IF($N17="","",VLOOKUP($N17,Giriş!$L:$O,4,0))</f>
        <v>45641</v>
      </c>
      <c r="R17" s="48">
        <f t="shared" ca="1" si="2"/>
        <v>59</v>
      </c>
      <c r="S17" s="30">
        <f t="shared" si="0"/>
        <v>0</v>
      </c>
      <c r="T17" s="30">
        <f>SUMIFS(Giriş!$J:$J,Giriş!$H:$H,Bilgiler!T$3,Giriş!$C:$C,Bilgiler!$O17,Giriş!$E:$E,Bilgiler!$P17)</f>
        <v>249900</v>
      </c>
      <c r="U17" s="30">
        <f>SUMIFS(Giriş!$J:$J,Giriş!$H:$H,Bilgiler!U$3,Giriş!$C:$C,Bilgiler!$O17,Giriş!$E:$E,Bilgiler!$P17)</f>
        <v>0</v>
      </c>
      <c r="V17" s="30">
        <f>SUMIFS(Giriş!$J:$J,Giriş!$H:$H,Bilgiler!V$3,Giriş!$C:$C,Bilgiler!$O17,Giriş!$E:$E,Bilgiler!$P17)</f>
        <v>0</v>
      </c>
      <c r="W17" s="30">
        <f>SUMIFS(Giriş!$J:$J,Giriş!$H:$H,Bilgiler!W$3,Giriş!$C:$C,Bilgiler!$O17,Giriş!$E:$E,Bilgiler!$P17)</f>
        <v>0</v>
      </c>
      <c r="X17" s="30">
        <f t="shared" si="3"/>
        <v>249900</v>
      </c>
      <c r="Y17" s="31" t="str">
        <f t="shared" ca="1" si="4"/>
        <v/>
      </c>
      <c r="AA17" s="13"/>
      <c r="AD17" s="62"/>
      <c r="AG17" s="62"/>
    </row>
    <row r="18" spans="4:33" ht="15" x14ac:dyDescent="0.25">
      <c r="D18" s="9" t="s">
        <v>254</v>
      </c>
      <c r="E18" s="2" t="s">
        <v>126</v>
      </c>
      <c r="F18" s="2" t="s">
        <v>18</v>
      </c>
      <c r="G18" s="21"/>
      <c r="H18" s="28">
        <f>SUMIFS(Giriş!$J:$J,Giriş!$H:$H,Bilgiler!H$3,Giriş!$C:$C,Bilgiler!$D18)</f>
        <v>787266</v>
      </c>
      <c r="I18" s="28">
        <f>SUMIFS(Giriş!$J:$J,Giriş!$H:$H,Bilgiler!I$3,Giriş!$C:$C,Bilgiler!$D18)</f>
        <v>0</v>
      </c>
      <c r="J18" s="28">
        <f>SUMIFS(Giriş!$J:$J,Giriş!$H:$H,Bilgiler!J$3,Giriş!$C:$C,Bilgiler!$D18)</f>
        <v>0</v>
      </c>
      <c r="K18" s="28">
        <f>SUMIFS(Giriş!$J:$J,Giriş!$H:$H,Bilgiler!K$3,Giriş!$C:$C,Bilgiler!$D18)</f>
        <v>0</v>
      </c>
      <c r="L18" s="29">
        <f t="shared" si="1"/>
        <v>787266</v>
      </c>
      <c r="N18" s="36">
        <f>IFERROR(IF(N17+1&gt;MAX(Giriş!L:L),"",N17+1),"")</f>
        <v>15</v>
      </c>
      <c r="O18" s="37" t="str">
        <f>IF($N18="","",VLOOKUP($N18,Giriş!$L:$O,2,0))</f>
        <v>Poşet--20 cm Mutlukal Tortillas Mavi Değişken</v>
      </c>
      <c r="P18" s="37">
        <f>IF($N18="","",VLOOKUP($N18,Giriş!$L:$O,3,0))</f>
        <v>20230046</v>
      </c>
      <c r="Q18" s="44">
        <f>IF($N18="","",VLOOKUP($N18,Giriş!$L:$O,4,0))</f>
        <v>45646</v>
      </c>
      <c r="R18" s="47">
        <f t="shared" ca="1" si="2"/>
        <v>64</v>
      </c>
      <c r="S18" s="28">
        <f t="shared" si="0"/>
        <v>0</v>
      </c>
      <c r="T18" s="28">
        <f>SUMIFS(Giriş!$J:$J,Giriş!$H:$H,Bilgiler!T$3,Giriş!$C:$C,Bilgiler!$O18,Giriş!$E:$E,Bilgiler!$P18)</f>
        <v>158720</v>
      </c>
      <c r="U18" s="28">
        <f>SUMIFS(Giriş!$J:$J,Giriş!$H:$H,Bilgiler!U$3,Giriş!$C:$C,Bilgiler!$O18,Giriş!$E:$E,Bilgiler!$P18)</f>
        <v>0</v>
      </c>
      <c r="V18" s="28">
        <f>SUMIFS(Giriş!$J:$J,Giriş!$H:$H,Bilgiler!V$3,Giriş!$C:$C,Bilgiler!$O18,Giriş!$E:$E,Bilgiler!$P18)</f>
        <v>0</v>
      </c>
      <c r="W18" s="28">
        <f>SUMIFS(Giriş!$J:$J,Giriş!$H:$H,Bilgiler!W$3,Giriş!$C:$C,Bilgiler!$O18,Giriş!$E:$E,Bilgiler!$P18)</f>
        <v>0</v>
      </c>
      <c r="X18" s="28">
        <f t="shared" si="3"/>
        <v>158720</v>
      </c>
      <c r="Y18" s="29" t="str">
        <f t="shared" ca="1" si="4"/>
        <v/>
      </c>
      <c r="AA18" s="14"/>
      <c r="AG18" s="62"/>
    </row>
    <row r="19" spans="4:33" ht="15" x14ac:dyDescent="0.25">
      <c r="D19" s="10" t="s">
        <v>255</v>
      </c>
      <c r="E19" s="3" t="s">
        <v>127</v>
      </c>
      <c r="F19" s="3" t="s">
        <v>18</v>
      </c>
      <c r="G19" s="20"/>
      <c r="H19" s="30">
        <f>SUMIFS(Giriş!$J:$J,Giriş!$H:$H,Bilgiler!H$3,Giriş!$C:$C,Bilgiler!$D19)</f>
        <v>617832</v>
      </c>
      <c r="I19" s="30">
        <f>SUMIFS(Giriş!$J:$J,Giriş!$H:$H,Bilgiler!I$3,Giriş!$C:$C,Bilgiler!$D19)</f>
        <v>0</v>
      </c>
      <c r="J19" s="30">
        <f>SUMIFS(Giriş!$J:$J,Giriş!$H:$H,Bilgiler!J$3,Giriş!$C:$C,Bilgiler!$D19)</f>
        <v>0</v>
      </c>
      <c r="K19" s="30">
        <f>SUMIFS(Giriş!$J:$J,Giriş!$H:$H,Bilgiler!K$3,Giriş!$C:$C,Bilgiler!$D19)</f>
        <v>0</v>
      </c>
      <c r="L19" s="31">
        <f t="shared" si="1"/>
        <v>617832</v>
      </c>
      <c r="N19" s="38">
        <f>IFERROR(IF(N18+1&gt;MAX(Giriş!L:L),"",N18+1),"")</f>
        <v>16</v>
      </c>
      <c r="O19" s="39" t="str">
        <f>IF($N19="","",VLOOKUP($N19,Giriş!$L:$O,2,0))</f>
        <v>Poşet-30 cm B.sız Kilitli</v>
      </c>
      <c r="P19" s="39">
        <f>IF($N19="","",VLOOKUP($N19,Giriş!$L:$O,3,0))</f>
        <v>20230049</v>
      </c>
      <c r="Q19" s="45">
        <f>IF($N19="","",VLOOKUP($N19,Giriş!$L:$O,4,0))</f>
        <v>45641</v>
      </c>
      <c r="R19" s="48">
        <f t="shared" ca="1" si="2"/>
        <v>59</v>
      </c>
      <c r="S19" s="30">
        <f t="shared" si="0"/>
        <v>0</v>
      </c>
      <c r="T19" s="30">
        <f>SUMIFS(Giriş!$J:$J,Giriş!$H:$H,Bilgiler!T$3,Giriş!$C:$C,Bilgiler!$O19,Giriş!$E:$E,Bilgiler!$P19)</f>
        <v>66530</v>
      </c>
      <c r="U19" s="30">
        <f>SUMIFS(Giriş!$J:$J,Giriş!$H:$H,Bilgiler!U$3,Giriş!$C:$C,Bilgiler!$O19,Giriş!$E:$E,Bilgiler!$P19)</f>
        <v>0</v>
      </c>
      <c r="V19" s="30">
        <f>SUMIFS(Giriş!$J:$J,Giriş!$H:$H,Bilgiler!V$3,Giriş!$C:$C,Bilgiler!$O19,Giriş!$E:$E,Bilgiler!$P19)</f>
        <v>0</v>
      </c>
      <c r="W19" s="30">
        <f>SUMIFS(Giriş!$J:$J,Giriş!$H:$H,Bilgiler!W$3,Giriş!$C:$C,Bilgiler!$O19,Giriş!$E:$E,Bilgiler!$P19)</f>
        <v>0</v>
      </c>
      <c r="X19" s="30">
        <f t="shared" si="3"/>
        <v>66530</v>
      </c>
      <c r="Y19" s="31" t="str">
        <f t="shared" ca="1" si="4"/>
        <v/>
      </c>
      <c r="AA19" s="13"/>
      <c r="AG19" s="62"/>
    </row>
    <row r="20" spans="4:33" ht="15" x14ac:dyDescent="0.25">
      <c r="D20" s="9" t="s">
        <v>183</v>
      </c>
      <c r="E20" s="2" t="s">
        <v>110</v>
      </c>
      <c r="F20" s="2" t="s">
        <v>18</v>
      </c>
      <c r="G20" s="21"/>
      <c r="H20" s="28">
        <f>SUMIFS(Giriş!$J:$J,Giriş!$H:$H,Bilgiler!H$3,Giriş!$C:$C,Bilgiler!$D20)</f>
        <v>0</v>
      </c>
      <c r="I20" s="28">
        <f>SUMIFS(Giriş!$J:$J,Giriş!$H:$H,Bilgiler!I$3,Giriş!$C:$C,Bilgiler!$D20)</f>
        <v>0</v>
      </c>
      <c r="J20" s="28">
        <f>SUMIFS(Giriş!$J:$J,Giriş!$H:$H,Bilgiler!J$3,Giriş!$C:$C,Bilgiler!$D20)</f>
        <v>0</v>
      </c>
      <c r="K20" s="28">
        <f>SUMIFS(Giriş!$J:$J,Giriş!$H:$H,Bilgiler!K$3,Giriş!$C:$C,Bilgiler!$D20)</f>
        <v>0</v>
      </c>
      <c r="L20" s="29">
        <f t="shared" si="1"/>
        <v>0</v>
      </c>
      <c r="N20" s="36">
        <f>IFERROR(IF(N19+1&gt;MAX(Giriş!L:L),"",N19+1),"")</f>
        <v>17</v>
      </c>
      <c r="O20" s="37" t="str">
        <f>IF($N20="","",VLOOKUP($N20,Giriş!$L:$O,2,0))</f>
        <v>Poşet-25 cm Gazelle Gurme</v>
      </c>
      <c r="P20" s="37" t="str">
        <f>IF($N20="","",VLOOKUP($N20,Giriş!$L:$O,3,0))</f>
        <v>MAT008153</v>
      </c>
      <c r="Q20" s="44">
        <f>IF($N20="","",VLOOKUP($N20,Giriş!$L:$O,4,0))</f>
        <v>45632</v>
      </c>
      <c r="R20" s="47">
        <f t="shared" ca="1" si="2"/>
        <v>50</v>
      </c>
      <c r="S20" s="28">
        <f t="shared" si="0"/>
        <v>0</v>
      </c>
      <c r="T20" s="28">
        <f>SUMIFS(Giriş!$J:$J,Giriş!$H:$H,Bilgiler!T$3,Giriş!$C:$C,Bilgiler!$O20,Giriş!$E:$E,Bilgiler!$P20)</f>
        <v>82600</v>
      </c>
      <c r="U20" s="28">
        <f>SUMIFS(Giriş!$J:$J,Giriş!$H:$H,Bilgiler!U$3,Giriş!$C:$C,Bilgiler!$O20,Giriş!$E:$E,Bilgiler!$P20)</f>
        <v>0</v>
      </c>
      <c r="V20" s="28">
        <f>SUMIFS(Giriş!$J:$J,Giriş!$H:$H,Bilgiler!V$3,Giriş!$C:$C,Bilgiler!$O20,Giriş!$E:$E,Bilgiler!$P20)</f>
        <v>0</v>
      </c>
      <c r="W20" s="28">
        <f>SUMIFS(Giriş!$J:$J,Giriş!$H:$H,Bilgiler!W$3,Giriş!$C:$C,Bilgiler!$O20,Giriş!$E:$E,Bilgiler!$P20)</f>
        <v>0</v>
      </c>
      <c r="X20" s="28">
        <f t="shared" si="3"/>
        <v>82600</v>
      </c>
      <c r="Y20" s="29" t="str">
        <f t="shared" ca="1" si="4"/>
        <v/>
      </c>
      <c r="AA20" s="14"/>
      <c r="AG20" s="62"/>
    </row>
    <row r="21" spans="4:33" ht="15" x14ac:dyDescent="0.25">
      <c r="D21" s="10" t="s">
        <v>192</v>
      </c>
      <c r="E21" s="3" t="s">
        <v>71</v>
      </c>
      <c r="F21" s="3" t="s">
        <v>18</v>
      </c>
      <c r="G21" s="20"/>
      <c r="H21" s="30">
        <f>SUMIFS(Giriş!$J:$J,Giriş!$H:$H,Bilgiler!H$3,Giriş!$C:$C,Bilgiler!$D21)</f>
        <v>152000</v>
      </c>
      <c r="I21" s="30">
        <f>SUMIFS(Giriş!$J:$J,Giriş!$H:$H,Bilgiler!I$3,Giriş!$C:$C,Bilgiler!$D21)</f>
        <v>0</v>
      </c>
      <c r="J21" s="30">
        <f>SUMIFS(Giriş!$J:$J,Giriş!$H:$H,Bilgiler!J$3,Giriş!$C:$C,Bilgiler!$D21)</f>
        <v>0</v>
      </c>
      <c r="K21" s="30">
        <f>SUMIFS(Giriş!$J:$J,Giriş!$H:$H,Bilgiler!K$3,Giriş!$C:$C,Bilgiler!$D21)</f>
        <v>0</v>
      </c>
      <c r="L21" s="31">
        <f t="shared" si="1"/>
        <v>152000</v>
      </c>
      <c r="N21" s="38">
        <f>IFERROR(IF(N20+1&gt;MAX(Giriş!L:L),"",N20+1),"")</f>
        <v>18</v>
      </c>
      <c r="O21" s="39" t="str">
        <f>IF($N21="","",VLOOKUP($N21,Giriş!$L:$O,2,0))</f>
        <v>Poşet-26 cm Unebella</v>
      </c>
      <c r="P21" s="39" t="str">
        <f>IF($N21="","",VLOOKUP($N21,Giriş!$L:$O,3,0))</f>
        <v>MAT000712</v>
      </c>
      <c r="Q21" s="45">
        <f>IF($N21="","",VLOOKUP($N21,Giriş!$L:$O,4,0))</f>
        <v>45443</v>
      </c>
      <c r="R21" s="48">
        <f t="shared" ca="1" si="2"/>
        <v>-139</v>
      </c>
      <c r="S21" s="30">
        <f t="shared" si="0"/>
        <v>0</v>
      </c>
      <c r="T21" s="30">
        <f>SUMIFS(Giriş!$J:$J,Giriş!$H:$H,Bilgiler!T$3,Giriş!$C:$C,Bilgiler!$O21,Giriş!$E:$E,Bilgiler!$P21)</f>
        <v>39200</v>
      </c>
      <c r="U21" s="30">
        <f>SUMIFS(Giriş!$J:$J,Giriş!$H:$H,Bilgiler!U$3,Giriş!$C:$C,Bilgiler!$O21,Giriş!$E:$E,Bilgiler!$P21)</f>
        <v>0</v>
      </c>
      <c r="V21" s="30">
        <f>SUMIFS(Giriş!$J:$J,Giriş!$H:$H,Bilgiler!V$3,Giriş!$C:$C,Bilgiler!$O21,Giriş!$E:$E,Bilgiler!$P21)</f>
        <v>0</v>
      </c>
      <c r="W21" s="30">
        <f>SUMIFS(Giriş!$J:$J,Giriş!$H:$H,Bilgiler!W$3,Giriş!$C:$C,Bilgiler!$O21,Giriş!$E:$E,Bilgiler!$P21)</f>
        <v>0</v>
      </c>
      <c r="X21" s="30">
        <f t="shared" si="3"/>
        <v>39200</v>
      </c>
      <c r="Y21" s="31" t="str">
        <f t="shared" ca="1" si="4"/>
        <v>Raf Ömrü Geçti</v>
      </c>
      <c r="AA21" s="13"/>
      <c r="AG21" s="62"/>
    </row>
    <row r="22" spans="4:33" ht="15" x14ac:dyDescent="0.25">
      <c r="D22" s="9" t="s">
        <v>164</v>
      </c>
      <c r="E22" s="2" t="s">
        <v>155</v>
      </c>
      <c r="F22" s="2" t="s">
        <v>18</v>
      </c>
      <c r="G22" s="21"/>
      <c r="H22" s="28">
        <f>SUMIFS(Giriş!$J:$J,Giriş!$H:$H,Bilgiler!H$3,Giriş!$C:$C,Bilgiler!$D22)</f>
        <v>0</v>
      </c>
      <c r="I22" s="28">
        <f>SUMIFS(Giriş!$J:$J,Giriş!$H:$H,Bilgiler!I$3,Giriş!$C:$C,Bilgiler!$D22)</f>
        <v>0</v>
      </c>
      <c r="J22" s="28">
        <f>SUMIFS(Giriş!$J:$J,Giriş!$H:$H,Bilgiler!J$3,Giriş!$C:$C,Bilgiler!$D22)</f>
        <v>0</v>
      </c>
      <c r="K22" s="28">
        <f>SUMIFS(Giriş!$J:$J,Giriş!$H:$H,Bilgiler!K$3,Giriş!$C:$C,Bilgiler!$D22)</f>
        <v>0</v>
      </c>
      <c r="L22" s="29">
        <f t="shared" si="1"/>
        <v>0</v>
      </c>
      <c r="N22" s="36">
        <f>IFERROR(IF(N21+1&gt;MAX(Giriş!L:L),"",N21+1),"")</f>
        <v>19</v>
      </c>
      <c r="O22" s="37" t="str">
        <f>IF($N22="","",VLOOKUP($N22,Giriş!$L:$O,2,0))</f>
        <v>Poşet-30 cm Tortillove Değişken</v>
      </c>
      <c r="P22" s="37" t="str">
        <f>IF($N22="","",VLOOKUP($N22,Giriş!$L:$O,3,0))</f>
        <v>MAT008141</v>
      </c>
      <c r="Q22" s="44">
        <f>IF($N22="","",VLOOKUP($N22,Giriş!$L:$O,4,0))</f>
        <v>45647</v>
      </c>
      <c r="R22" s="47">
        <f t="shared" ca="1" si="2"/>
        <v>65</v>
      </c>
      <c r="S22" s="28">
        <f t="shared" si="0"/>
        <v>0</v>
      </c>
      <c r="T22" s="28">
        <f>SUMIFS(Giriş!$J:$J,Giriş!$H:$H,Bilgiler!T$3,Giriş!$C:$C,Bilgiler!$O22,Giriş!$E:$E,Bilgiler!$P22)</f>
        <v>56400</v>
      </c>
      <c r="U22" s="28">
        <f>SUMIFS(Giriş!$J:$J,Giriş!$H:$H,Bilgiler!U$3,Giriş!$C:$C,Bilgiler!$O22,Giriş!$E:$E,Bilgiler!$P22)</f>
        <v>0</v>
      </c>
      <c r="V22" s="28">
        <f>SUMIFS(Giriş!$J:$J,Giriş!$H:$H,Bilgiler!V$3,Giriş!$C:$C,Bilgiler!$O22,Giriş!$E:$E,Bilgiler!$P22)</f>
        <v>0</v>
      </c>
      <c r="W22" s="28">
        <f>SUMIFS(Giriş!$J:$J,Giriş!$H:$H,Bilgiler!W$3,Giriş!$C:$C,Bilgiler!$O22,Giriş!$E:$E,Bilgiler!$P22)</f>
        <v>0</v>
      </c>
      <c r="X22" s="28">
        <f t="shared" si="3"/>
        <v>56400</v>
      </c>
      <c r="Y22" s="29" t="str">
        <f t="shared" ca="1" si="4"/>
        <v/>
      </c>
      <c r="AA22" s="14"/>
      <c r="AG22" s="62"/>
    </row>
    <row r="23" spans="4:33" ht="15" x14ac:dyDescent="0.25">
      <c r="D23" s="10" t="s">
        <v>201</v>
      </c>
      <c r="E23" s="3" t="s">
        <v>112</v>
      </c>
      <c r="F23" s="3" t="s">
        <v>18</v>
      </c>
      <c r="G23" s="20"/>
      <c r="H23" s="30">
        <f>SUMIFS(Giriş!$J:$J,Giriş!$H:$H,Bilgiler!H$3,Giriş!$C:$C,Bilgiler!$D23)</f>
        <v>0</v>
      </c>
      <c r="I23" s="30">
        <f>SUMIFS(Giriş!$J:$J,Giriş!$H:$H,Bilgiler!I$3,Giriş!$C:$C,Bilgiler!$D23)</f>
        <v>0</v>
      </c>
      <c r="J23" s="30">
        <f>SUMIFS(Giriş!$J:$J,Giriş!$H:$H,Bilgiler!J$3,Giriş!$C:$C,Bilgiler!$D23)</f>
        <v>0</v>
      </c>
      <c r="K23" s="30">
        <f>SUMIFS(Giriş!$J:$J,Giriş!$H:$H,Bilgiler!K$3,Giriş!$C:$C,Bilgiler!$D23)</f>
        <v>0</v>
      </c>
      <c r="L23" s="31">
        <f t="shared" si="1"/>
        <v>0</v>
      </c>
      <c r="N23" s="38">
        <f>IFERROR(IF(N22+1&gt;MAX(Giriş!L:L),"",N22+1),"")</f>
        <v>20</v>
      </c>
      <c r="O23" s="39" t="str">
        <f>IF($N23="","",VLOOKUP($N23,Giriş!$L:$O,2,0))</f>
        <v>Poşet-15 cm Komagene Tako Lavaşı</v>
      </c>
      <c r="P23" s="39" t="str">
        <f>IF($N23="","",VLOOKUP($N23,Giriş!$L:$O,3,0))</f>
        <v>MAT008140</v>
      </c>
      <c r="Q23" s="45">
        <f>IF($N23="","",VLOOKUP($N23,Giriş!$L:$O,4,0))</f>
        <v>45645</v>
      </c>
      <c r="R23" s="48">
        <f t="shared" ca="1" si="2"/>
        <v>63</v>
      </c>
      <c r="S23" s="30">
        <f t="shared" si="0"/>
        <v>0</v>
      </c>
      <c r="T23" s="30">
        <f>SUMIFS(Giriş!$J:$J,Giriş!$H:$H,Bilgiler!T$3,Giriş!$C:$C,Bilgiler!$O23,Giriş!$E:$E,Bilgiler!$P23)</f>
        <v>148000</v>
      </c>
      <c r="U23" s="30">
        <f>SUMIFS(Giriş!$J:$J,Giriş!$H:$H,Bilgiler!U$3,Giriş!$C:$C,Bilgiler!$O23,Giriş!$E:$E,Bilgiler!$P23)</f>
        <v>0</v>
      </c>
      <c r="V23" s="30">
        <f>SUMIFS(Giriş!$J:$J,Giriş!$H:$H,Bilgiler!V$3,Giriş!$C:$C,Bilgiler!$O23,Giriş!$E:$E,Bilgiler!$P23)</f>
        <v>0</v>
      </c>
      <c r="W23" s="30">
        <f>SUMIFS(Giriş!$J:$J,Giriş!$H:$H,Bilgiler!W$3,Giriş!$C:$C,Bilgiler!$O23,Giriş!$E:$E,Bilgiler!$P23)</f>
        <v>0</v>
      </c>
      <c r="X23" s="30">
        <f t="shared" si="3"/>
        <v>148000</v>
      </c>
      <c r="Y23" s="31" t="str">
        <f t="shared" ca="1" si="4"/>
        <v/>
      </c>
      <c r="AA23" s="13"/>
      <c r="AG23" s="62"/>
    </row>
    <row r="24" spans="4:33" ht="15" x14ac:dyDescent="0.25">
      <c r="D24" s="9" t="s">
        <v>236</v>
      </c>
      <c r="E24" s="2" t="s">
        <v>53</v>
      </c>
      <c r="F24" s="2" t="s">
        <v>18</v>
      </c>
      <c r="G24" s="21"/>
      <c r="H24" s="28">
        <f>SUMIFS(Giriş!$J:$J,Giriş!$H:$H,Bilgiler!H$3,Giriş!$C:$C,Bilgiler!$D24)</f>
        <v>0</v>
      </c>
      <c r="I24" s="28">
        <f>SUMIFS(Giriş!$J:$J,Giriş!$H:$H,Bilgiler!I$3,Giriş!$C:$C,Bilgiler!$D24)</f>
        <v>0</v>
      </c>
      <c r="J24" s="28">
        <f>SUMIFS(Giriş!$J:$J,Giriş!$H:$H,Bilgiler!J$3,Giriş!$C:$C,Bilgiler!$D24)</f>
        <v>0</v>
      </c>
      <c r="K24" s="28">
        <f>SUMIFS(Giriş!$J:$J,Giriş!$H:$H,Bilgiler!K$3,Giriş!$C:$C,Bilgiler!$D24)</f>
        <v>0</v>
      </c>
      <c r="L24" s="29">
        <f t="shared" si="1"/>
        <v>0</v>
      </c>
      <c r="N24" s="36">
        <f>IFERROR(IF(N23+1&gt;MAX(Giriş!L:L),"",N23+1),"")</f>
        <v>21</v>
      </c>
      <c r="O24" s="37" t="str">
        <f>IF($N24="","",VLOOKUP($N24,Giriş!$L:$O,2,0))</f>
        <v>Poşet-25 cm Nimet (Lam.Baskılı Zıp.Vakum )</v>
      </c>
      <c r="P24" s="37">
        <f>IF($N24="","",VLOOKUP($N24,Giriş!$L:$O,3,0))</f>
        <v>20230057</v>
      </c>
      <c r="Q24" s="44">
        <f>IF($N24="","",VLOOKUP($N24,Giriş!$L:$O,4,0))</f>
        <v>45632</v>
      </c>
      <c r="R24" s="47">
        <f t="shared" ca="1" si="2"/>
        <v>50</v>
      </c>
      <c r="S24" s="28">
        <f t="shared" si="0"/>
        <v>0</v>
      </c>
      <c r="T24" s="28">
        <f>SUMIFS(Giriş!$J:$J,Giriş!$H:$H,Bilgiler!T$3,Giriş!$C:$C,Bilgiler!$O24,Giriş!$E:$E,Bilgiler!$P24)</f>
        <v>191510</v>
      </c>
      <c r="U24" s="28">
        <f>SUMIFS(Giriş!$J:$J,Giriş!$H:$H,Bilgiler!U$3,Giriş!$C:$C,Bilgiler!$O24,Giriş!$E:$E,Bilgiler!$P24)</f>
        <v>0</v>
      </c>
      <c r="V24" s="28">
        <f>SUMIFS(Giriş!$J:$J,Giriş!$H:$H,Bilgiler!V$3,Giriş!$C:$C,Bilgiler!$O24,Giriş!$E:$E,Bilgiler!$P24)</f>
        <v>0</v>
      </c>
      <c r="W24" s="28">
        <f>SUMIFS(Giriş!$J:$J,Giriş!$H:$H,Bilgiler!W$3,Giriş!$C:$C,Bilgiler!$O24,Giriş!$E:$E,Bilgiler!$P24)</f>
        <v>0</v>
      </c>
      <c r="X24" s="28">
        <f t="shared" si="3"/>
        <v>191510</v>
      </c>
      <c r="Y24" s="29" t="str">
        <f t="shared" ca="1" si="4"/>
        <v/>
      </c>
      <c r="AA24" s="14"/>
      <c r="AG24"/>
    </row>
    <row r="25" spans="4:33" ht="15" x14ac:dyDescent="0.25">
      <c r="D25" s="10" t="s">
        <v>274</v>
      </c>
      <c r="E25" s="3" t="s">
        <v>146</v>
      </c>
      <c r="F25" s="3" t="s">
        <v>18</v>
      </c>
      <c r="G25" s="20"/>
      <c r="H25" s="30">
        <f>SUMIFS(Giriş!$J:$J,Giriş!$H:$H,Bilgiler!H$3,Giriş!$C:$C,Bilgiler!$D25)</f>
        <v>0</v>
      </c>
      <c r="I25" s="30">
        <f>SUMIFS(Giriş!$J:$J,Giriş!$H:$H,Bilgiler!I$3,Giriş!$C:$C,Bilgiler!$D25)</f>
        <v>0</v>
      </c>
      <c r="J25" s="30">
        <f>SUMIFS(Giriş!$J:$J,Giriş!$H:$H,Bilgiler!J$3,Giriş!$C:$C,Bilgiler!$D25)</f>
        <v>0</v>
      </c>
      <c r="K25" s="30">
        <f>SUMIFS(Giriş!$J:$J,Giriş!$H:$H,Bilgiler!K$3,Giriş!$C:$C,Bilgiler!$D25)</f>
        <v>0</v>
      </c>
      <c r="L25" s="31">
        <f t="shared" si="1"/>
        <v>0</v>
      </c>
      <c r="N25" s="38">
        <f>IFERROR(IF(N24+1&gt;MAX(Giriş!L:L),"",N24+1),"")</f>
        <v>22</v>
      </c>
      <c r="O25" s="39" t="str">
        <f>IF($N25="","",VLOOKUP($N25,Giriş!$L:$O,2,0))</f>
        <v>Poşet--15 cm Mutlukal Tortillas Mavi Değişken</v>
      </c>
      <c r="P25" s="39">
        <f>IF($N25="","",VLOOKUP($N25,Giriş!$L:$O,3,0))</f>
        <v>20230047</v>
      </c>
      <c r="Q25" s="45">
        <f>IF($N25="","",VLOOKUP($N25,Giriş!$L:$O,4,0))</f>
        <v>45632</v>
      </c>
      <c r="R25" s="48">
        <f t="shared" ca="1" si="2"/>
        <v>50</v>
      </c>
      <c r="S25" s="30">
        <f t="shared" si="0"/>
        <v>0</v>
      </c>
      <c r="T25" s="30">
        <f>SUMIFS(Giriş!$J:$J,Giriş!$H:$H,Bilgiler!T$3,Giriş!$C:$C,Bilgiler!$O25,Giriş!$E:$E,Bilgiler!$P25)</f>
        <v>176785</v>
      </c>
      <c r="U25" s="30">
        <f>SUMIFS(Giriş!$J:$J,Giriş!$H:$H,Bilgiler!U$3,Giriş!$C:$C,Bilgiler!$O25,Giriş!$E:$E,Bilgiler!$P25)</f>
        <v>0</v>
      </c>
      <c r="V25" s="30">
        <f>SUMIFS(Giriş!$J:$J,Giriş!$H:$H,Bilgiler!V$3,Giriş!$C:$C,Bilgiler!$O25,Giriş!$E:$E,Bilgiler!$P25)</f>
        <v>0</v>
      </c>
      <c r="W25" s="30">
        <f>SUMIFS(Giriş!$J:$J,Giriş!$H:$H,Bilgiler!W$3,Giriş!$C:$C,Bilgiler!$O25,Giriş!$E:$E,Bilgiler!$P25)</f>
        <v>0</v>
      </c>
      <c r="X25" s="30">
        <f t="shared" si="3"/>
        <v>176785</v>
      </c>
      <c r="Y25" s="31" t="str">
        <f t="shared" ca="1" si="4"/>
        <v/>
      </c>
      <c r="AA25" s="13"/>
      <c r="AG25"/>
    </row>
    <row r="26" spans="4:33" ht="15" x14ac:dyDescent="0.25">
      <c r="D26" s="9" t="s">
        <v>230</v>
      </c>
      <c r="E26" s="2" t="s">
        <v>45</v>
      </c>
      <c r="F26" s="2" t="s">
        <v>18</v>
      </c>
      <c r="G26" s="21"/>
      <c r="H26" s="28">
        <f>SUMIFS(Giriş!$J:$J,Giriş!$H:$H,Bilgiler!H$3,Giriş!$C:$C,Bilgiler!$D26)</f>
        <v>70200</v>
      </c>
      <c r="I26" s="28">
        <f>SUMIFS(Giriş!$J:$J,Giriş!$H:$H,Bilgiler!I$3,Giriş!$C:$C,Bilgiler!$D26)</f>
        <v>0</v>
      </c>
      <c r="J26" s="28">
        <f>SUMIFS(Giriş!$J:$J,Giriş!$H:$H,Bilgiler!J$3,Giriş!$C:$C,Bilgiler!$D26)</f>
        <v>0</v>
      </c>
      <c r="K26" s="28">
        <f>SUMIFS(Giriş!$J:$J,Giriş!$H:$H,Bilgiler!K$3,Giriş!$C:$C,Bilgiler!$D26)</f>
        <v>0</v>
      </c>
      <c r="L26" s="29">
        <f t="shared" si="1"/>
        <v>70200</v>
      </c>
      <c r="N26" s="36"/>
      <c r="O26" s="37"/>
      <c r="P26" s="37" t="str">
        <f>IF($N26="","",VLOOKUP($N26,Giriş!$L:$O,3,0))</f>
        <v/>
      </c>
      <c r="Q26" s="44" t="str">
        <f>IF($N26="","",VLOOKUP($N26,Giriş!$L:$O,4,0))</f>
        <v/>
      </c>
      <c r="R26" s="47" t="str">
        <f t="shared" ca="1" si="2"/>
        <v/>
      </c>
      <c r="S26" s="28">
        <f t="shared" si="0"/>
        <v>0</v>
      </c>
      <c r="T26" s="28">
        <f>SUMIFS(Giriş!$J:$J,Giriş!$H:$H,Bilgiler!T$3,Giriş!$C:$C,Bilgiler!$O26,Giriş!$E:$E,Bilgiler!$P26)</f>
        <v>0</v>
      </c>
      <c r="U26" s="28">
        <f>SUMIFS(Giriş!$J:$J,Giriş!$H:$H,Bilgiler!U$3,Giriş!$C:$C,Bilgiler!$O26,Giriş!$E:$E,Bilgiler!$P26)</f>
        <v>0</v>
      </c>
      <c r="V26" s="28">
        <f>SUMIFS(Giriş!$J:$J,Giriş!$H:$H,Bilgiler!V$3,Giriş!$C:$C,Bilgiler!$O26,Giriş!$E:$E,Bilgiler!$P26)</f>
        <v>0</v>
      </c>
      <c r="W26" s="28">
        <f>SUMIFS(Giriş!$J:$J,Giriş!$H:$H,Bilgiler!W$3,Giriş!$C:$C,Bilgiler!$O26,Giriş!$E:$E,Bilgiler!$P26)</f>
        <v>0</v>
      </c>
      <c r="X26" s="28">
        <f t="shared" si="3"/>
        <v>0</v>
      </c>
      <c r="Y26" s="29" t="str">
        <f t="shared" ca="1" si="4"/>
        <v/>
      </c>
      <c r="AA26" s="14"/>
      <c r="AG26"/>
    </row>
    <row r="27" spans="4:33" ht="15" x14ac:dyDescent="0.25">
      <c r="D27" s="10" t="s">
        <v>165</v>
      </c>
      <c r="E27" s="3" t="s">
        <v>97</v>
      </c>
      <c r="F27" s="3" t="s">
        <v>18</v>
      </c>
      <c r="G27" s="20"/>
      <c r="H27" s="30">
        <f>SUMIFS(Giriş!$J:$J,Giriş!$H:$H,Bilgiler!H$3,Giriş!$C:$C,Bilgiler!$D27)</f>
        <v>0</v>
      </c>
      <c r="I27" s="30">
        <f>SUMIFS(Giriş!$J:$J,Giriş!$H:$H,Bilgiler!I$3,Giriş!$C:$C,Bilgiler!$D27)</f>
        <v>0</v>
      </c>
      <c r="J27" s="30">
        <f>SUMIFS(Giriş!$J:$J,Giriş!$H:$H,Bilgiler!J$3,Giriş!$C:$C,Bilgiler!$D27)</f>
        <v>0</v>
      </c>
      <c r="K27" s="30">
        <f>SUMIFS(Giriş!$J:$J,Giriş!$H:$H,Bilgiler!K$3,Giriş!$C:$C,Bilgiler!$D27)</f>
        <v>0</v>
      </c>
      <c r="L27" s="31">
        <f t="shared" si="1"/>
        <v>0</v>
      </c>
      <c r="N27" s="38">
        <f>IFERROR(IF(N26+1&gt;MAX(Giriş!L:L),"",N26+1),"")</f>
        <v>1</v>
      </c>
      <c r="O27" s="39" t="str">
        <f>IF($N27="","",VLOOKUP($N27,Giriş!$L:$O,2,0))</f>
        <v>Poşet-25 cm Mutlukal Tortillas 260 Gr ( Rusca )</v>
      </c>
      <c r="P27" s="39" t="str">
        <f>IF($N27="","",VLOOKUP($N27,Giriş!$L:$O,3,0))</f>
        <v>MAT007938</v>
      </c>
      <c r="Q27" s="45">
        <f>IF($N27="","",VLOOKUP($N27,Giriş!$L:$O,4,0))</f>
        <v>45401</v>
      </c>
      <c r="R27" s="48">
        <f t="shared" ca="1" si="2"/>
        <v>-181</v>
      </c>
      <c r="S27" s="30">
        <f t="shared" si="0"/>
        <v>0</v>
      </c>
      <c r="T27" s="30">
        <f>SUMIFS(Giriş!$J:$J,Giriş!$H:$H,Bilgiler!T$3,Giriş!$C:$C,Bilgiler!$O27,Giriş!$E:$E,Bilgiler!$P27)</f>
        <v>3011800</v>
      </c>
      <c r="U27" s="30">
        <f>SUMIFS(Giriş!$J:$J,Giriş!$H:$H,Bilgiler!U$3,Giriş!$C:$C,Bilgiler!$O27,Giriş!$E:$E,Bilgiler!$P27)</f>
        <v>0</v>
      </c>
      <c r="V27" s="30">
        <f>SUMIFS(Giriş!$J:$J,Giriş!$H:$H,Bilgiler!V$3,Giriş!$C:$C,Bilgiler!$O27,Giriş!$E:$E,Bilgiler!$P27)</f>
        <v>0</v>
      </c>
      <c r="W27" s="30">
        <f>SUMIFS(Giriş!$J:$J,Giriş!$H:$H,Bilgiler!W$3,Giriş!$C:$C,Bilgiler!$O27,Giriş!$E:$E,Bilgiler!$P27)</f>
        <v>0</v>
      </c>
      <c r="X27" s="30">
        <f t="shared" si="3"/>
        <v>3011800</v>
      </c>
      <c r="Y27" s="31" t="str">
        <f t="shared" ca="1" si="4"/>
        <v>Raf Ömrü Geçti</v>
      </c>
      <c r="AA27" s="13"/>
      <c r="AG27"/>
    </row>
    <row r="28" spans="4:33" ht="15" x14ac:dyDescent="0.25">
      <c r="D28" s="9" t="s">
        <v>166</v>
      </c>
      <c r="E28" s="2" t="s">
        <v>83</v>
      </c>
      <c r="F28" s="2" t="s">
        <v>18</v>
      </c>
      <c r="G28" s="21"/>
      <c r="H28" s="28">
        <f>SUMIFS(Giriş!$J:$J,Giriş!$H:$H,Bilgiler!H$3,Giriş!$C:$C,Bilgiler!$D28)</f>
        <v>229200</v>
      </c>
      <c r="I28" s="28">
        <f>SUMIFS(Giriş!$J:$J,Giriş!$H:$H,Bilgiler!I$3,Giriş!$C:$C,Bilgiler!$D28)</f>
        <v>0</v>
      </c>
      <c r="J28" s="28">
        <f>SUMIFS(Giriş!$J:$J,Giriş!$H:$H,Bilgiler!J$3,Giriş!$C:$C,Bilgiler!$D28)</f>
        <v>0</v>
      </c>
      <c r="K28" s="28">
        <f>SUMIFS(Giriş!$J:$J,Giriş!$H:$H,Bilgiler!K$3,Giriş!$C:$C,Bilgiler!$D28)</f>
        <v>0</v>
      </c>
      <c r="L28" s="29">
        <f t="shared" si="1"/>
        <v>229200</v>
      </c>
      <c r="N28" s="36">
        <f>IFERROR(IF(N27+1&gt;MAX(Giriş!L:L),"",N27+1),"")</f>
        <v>2</v>
      </c>
      <c r="O28" s="37" t="str">
        <f>IF($N28="","",VLOOKUP($N28,Giriş!$L:$O,2,0))</f>
        <v>Poşet-25 cm Mutlukal Tortillas Mavi Değişken</v>
      </c>
      <c r="P28" s="37" t="str">
        <f>IF($N28="","",VLOOKUP($N28,Giriş!$L:$O,3,0))</f>
        <v>MAT008069</v>
      </c>
      <c r="Q28" s="44">
        <f>IF($N28="","",VLOOKUP($N28,Giriş!$L:$O,4,0))</f>
        <v>45401</v>
      </c>
      <c r="R28" s="47">
        <f t="shared" ca="1" si="2"/>
        <v>-181</v>
      </c>
      <c r="S28" s="28">
        <f t="shared" si="0"/>
        <v>0</v>
      </c>
      <c r="T28" s="28">
        <f>SUMIFS(Giriş!$J:$J,Giriş!$H:$H,Bilgiler!T$3,Giriş!$C:$C,Bilgiler!$O28,Giriş!$E:$E,Bilgiler!$P28)</f>
        <v>82600</v>
      </c>
      <c r="U28" s="28">
        <f>SUMIFS(Giriş!$J:$J,Giriş!$H:$H,Bilgiler!U$3,Giriş!$C:$C,Bilgiler!$O28,Giriş!$E:$E,Bilgiler!$P28)</f>
        <v>0</v>
      </c>
      <c r="V28" s="28">
        <f>SUMIFS(Giriş!$J:$J,Giriş!$H:$H,Bilgiler!V$3,Giriş!$C:$C,Bilgiler!$O28,Giriş!$E:$E,Bilgiler!$P28)</f>
        <v>0</v>
      </c>
      <c r="W28" s="28">
        <f>SUMIFS(Giriş!$J:$J,Giriş!$H:$H,Bilgiler!W$3,Giriş!$C:$C,Bilgiler!$O28,Giriş!$E:$E,Bilgiler!$P28)</f>
        <v>0</v>
      </c>
      <c r="X28" s="28">
        <f t="shared" si="3"/>
        <v>82600</v>
      </c>
      <c r="Y28" s="29" t="str">
        <f t="shared" ca="1" si="4"/>
        <v>Raf Ömrü Geçti</v>
      </c>
      <c r="AA28" s="14"/>
      <c r="AG28"/>
    </row>
    <row r="29" spans="4:33" ht="15" x14ac:dyDescent="0.25">
      <c r="D29" s="10" t="s">
        <v>225</v>
      </c>
      <c r="E29" s="3" t="s">
        <v>38</v>
      </c>
      <c r="F29" s="3" t="s">
        <v>18</v>
      </c>
      <c r="G29" s="20"/>
      <c r="H29" s="30">
        <f>SUMIFS(Giriş!$J:$J,Giriş!$H:$H,Bilgiler!H$3,Giriş!$C:$C,Bilgiler!$D29)</f>
        <v>0</v>
      </c>
      <c r="I29" s="30">
        <f>SUMIFS(Giriş!$J:$J,Giriş!$H:$H,Bilgiler!I$3,Giriş!$C:$C,Bilgiler!$D29)</f>
        <v>0</v>
      </c>
      <c r="J29" s="30">
        <f>SUMIFS(Giriş!$J:$J,Giriş!$H:$H,Bilgiler!J$3,Giriş!$C:$C,Bilgiler!$D29)</f>
        <v>0</v>
      </c>
      <c r="K29" s="30">
        <f>SUMIFS(Giriş!$J:$J,Giriş!$H:$H,Bilgiler!K$3,Giriş!$C:$C,Bilgiler!$D29)</f>
        <v>0</v>
      </c>
      <c r="L29" s="31">
        <f t="shared" si="1"/>
        <v>0</v>
      </c>
      <c r="N29" s="38">
        <f>IFERROR(IF(N28+1&gt;MAX(Giriş!L:L),"",N28+1),"")</f>
        <v>3</v>
      </c>
      <c r="O29" s="39" t="str">
        <f>IF($N29="","",VLOOKUP($N29,Giriş!$L:$O,2,0))</f>
        <v>Poşet-30 cm Sofias</v>
      </c>
      <c r="P29" s="39" t="str">
        <f>IF($N29="","",VLOOKUP($N29,Giriş!$L:$O,3,0))</f>
        <v>MAT008034</v>
      </c>
      <c r="Q29" s="45">
        <f>IF($N29="","",VLOOKUP($N29,Giriş!$L:$O,4,0))</f>
        <v>45407</v>
      </c>
      <c r="R29" s="48">
        <f t="shared" ca="1" si="2"/>
        <v>-175</v>
      </c>
      <c r="S29" s="30">
        <f t="shared" si="0"/>
        <v>0</v>
      </c>
      <c r="T29" s="30">
        <f>SUMIFS(Giriş!$J:$J,Giriş!$H:$H,Bilgiler!T$3,Giriş!$C:$C,Bilgiler!$O29,Giriş!$E:$E,Bilgiler!$P29)</f>
        <v>38400</v>
      </c>
      <c r="U29" s="30">
        <f>SUMIFS(Giriş!$J:$J,Giriş!$H:$H,Bilgiler!U$3,Giriş!$C:$C,Bilgiler!$O29,Giriş!$E:$E,Bilgiler!$P29)</f>
        <v>0</v>
      </c>
      <c r="V29" s="30">
        <f>SUMIFS(Giriş!$J:$J,Giriş!$H:$H,Bilgiler!V$3,Giriş!$C:$C,Bilgiler!$O29,Giriş!$E:$E,Bilgiler!$P29)</f>
        <v>0</v>
      </c>
      <c r="W29" s="30">
        <f>SUMIFS(Giriş!$J:$J,Giriş!$H:$H,Bilgiler!W$3,Giriş!$C:$C,Bilgiler!$O29,Giriş!$E:$E,Bilgiler!$P29)</f>
        <v>0</v>
      </c>
      <c r="X29" s="30">
        <f t="shared" si="3"/>
        <v>38400</v>
      </c>
      <c r="Y29" s="31" t="str">
        <f t="shared" ca="1" si="4"/>
        <v>Raf Ömrü Geçti</v>
      </c>
      <c r="AA29" s="13"/>
      <c r="AE29" s="1" t="s">
        <v>26</v>
      </c>
      <c r="AG29"/>
    </row>
    <row r="30" spans="4:33" ht="15" x14ac:dyDescent="0.25">
      <c r="D30" s="9" t="s">
        <v>221</v>
      </c>
      <c r="E30" s="2" t="s">
        <v>56</v>
      </c>
      <c r="F30" s="2" t="s">
        <v>18</v>
      </c>
      <c r="G30" s="21"/>
      <c r="H30" s="28">
        <f>SUMIFS(Giriş!$J:$J,Giriş!$H:$H,Bilgiler!H$3,Giriş!$C:$C,Bilgiler!$D30)</f>
        <v>0</v>
      </c>
      <c r="I30" s="28">
        <f>SUMIFS(Giriş!$J:$J,Giriş!$H:$H,Bilgiler!I$3,Giriş!$C:$C,Bilgiler!$D30)</f>
        <v>0</v>
      </c>
      <c r="J30" s="28">
        <f>SUMIFS(Giriş!$J:$J,Giriş!$H:$H,Bilgiler!J$3,Giriş!$C:$C,Bilgiler!$D30)</f>
        <v>0</v>
      </c>
      <c r="K30" s="28">
        <f>SUMIFS(Giriş!$J:$J,Giriş!$H:$H,Bilgiler!K$3,Giriş!$C:$C,Bilgiler!$D30)</f>
        <v>0</v>
      </c>
      <c r="L30" s="29">
        <f t="shared" si="1"/>
        <v>0</v>
      </c>
      <c r="N30" s="36">
        <f>IFERROR(IF(N29+1&gt;MAX(Giriş!L:L),"",N29+1),"")</f>
        <v>4</v>
      </c>
      <c r="O30" s="37" t="str">
        <f>IF($N30="","",VLOOKUP($N30,Giriş!$L:$O,2,0))</f>
        <v>Poşet-30 cm İpek</v>
      </c>
      <c r="P30" s="37">
        <f>IF($N30="","",VLOOKUP($N30,Giriş!$L:$O,3,0))</f>
        <v>45231</v>
      </c>
      <c r="Q30" s="44">
        <f>IF($N30="","",VLOOKUP($N30,Giriş!$L:$O,4,0))</f>
        <v>45348</v>
      </c>
      <c r="R30" s="47">
        <f t="shared" ca="1" si="2"/>
        <v>-234</v>
      </c>
      <c r="S30" s="28">
        <f t="shared" si="0"/>
        <v>0</v>
      </c>
      <c r="T30" s="28">
        <f>SUMIFS(Giriş!$J:$J,Giriş!$H:$H,Bilgiler!T$3,Giriş!$C:$C,Bilgiler!$O30,Giriş!$E:$E,Bilgiler!$P30)</f>
        <v>4000</v>
      </c>
      <c r="U30" s="28">
        <f>SUMIFS(Giriş!$J:$J,Giriş!$H:$H,Bilgiler!U$3,Giriş!$C:$C,Bilgiler!$O30,Giriş!$E:$E,Bilgiler!$P30)</f>
        <v>0</v>
      </c>
      <c r="V30" s="28">
        <f>SUMIFS(Giriş!$J:$J,Giriş!$H:$H,Bilgiler!V$3,Giriş!$C:$C,Bilgiler!$O30,Giriş!$E:$E,Bilgiler!$P30)</f>
        <v>0</v>
      </c>
      <c r="W30" s="28">
        <f>SUMIFS(Giriş!$J:$J,Giriş!$H:$H,Bilgiler!W$3,Giriş!$C:$C,Bilgiler!$O30,Giriş!$E:$E,Bilgiler!$P30)</f>
        <v>0</v>
      </c>
      <c r="X30" s="28">
        <f t="shared" si="3"/>
        <v>4000</v>
      </c>
      <c r="Y30" s="29" t="str">
        <f t="shared" ca="1" si="4"/>
        <v>Raf Ömrü Geçti</v>
      </c>
      <c r="AA30" s="14"/>
      <c r="AG30"/>
    </row>
    <row r="31" spans="4:33" ht="15" x14ac:dyDescent="0.25">
      <c r="D31" s="10" t="s">
        <v>211</v>
      </c>
      <c r="E31" s="3" t="s">
        <v>65</v>
      </c>
      <c r="F31" s="3" t="s">
        <v>18</v>
      </c>
      <c r="G31" s="20"/>
      <c r="H31" s="30">
        <f>SUMIFS(Giriş!$J:$J,Giriş!$H:$H,Bilgiler!H$3,Giriş!$C:$C,Bilgiler!$D31)</f>
        <v>0</v>
      </c>
      <c r="I31" s="30">
        <f>SUMIFS(Giriş!$J:$J,Giriş!$H:$H,Bilgiler!I$3,Giriş!$C:$C,Bilgiler!$D31)</f>
        <v>0</v>
      </c>
      <c r="J31" s="30">
        <f>SUMIFS(Giriş!$J:$J,Giriş!$H:$H,Bilgiler!J$3,Giriş!$C:$C,Bilgiler!$D31)</f>
        <v>0</v>
      </c>
      <c r="K31" s="30">
        <f>SUMIFS(Giriş!$J:$J,Giriş!$H:$H,Bilgiler!K$3,Giriş!$C:$C,Bilgiler!$D31)</f>
        <v>0</v>
      </c>
      <c r="L31" s="31">
        <f t="shared" si="1"/>
        <v>0</v>
      </c>
      <c r="N31" s="38">
        <f>IFERROR(IF(N30+1&gt;MAX(Giriş!L:L),"",N30+1),"")</f>
        <v>5</v>
      </c>
      <c r="O31" s="39" t="str">
        <f>IF($N31="","",VLOOKUP($N31,Giriş!$L:$O,2,0))</f>
        <v>Poşet-20 cm B.sız Kilitli</v>
      </c>
      <c r="P31" s="39" t="str">
        <f>IF($N31="","",VLOOKUP($N31,Giriş!$L:$O,3,0))</f>
        <v>MAT008070</v>
      </c>
      <c r="Q31" s="45">
        <f>IF($N31="","",VLOOKUP($N31,Giriş!$L:$O,4,0))</f>
        <v>45472</v>
      </c>
      <c r="R31" s="48">
        <f t="shared" ca="1" si="2"/>
        <v>-110</v>
      </c>
      <c r="S31" s="30">
        <f t="shared" si="0"/>
        <v>0</v>
      </c>
      <c r="T31" s="30">
        <f>SUMIFS(Giriş!$J:$J,Giriş!$H:$H,Bilgiler!T$3,Giriş!$C:$C,Bilgiler!$O31,Giriş!$E:$E,Bilgiler!$P31)</f>
        <v>104400</v>
      </c>
      <c r="U31" s="30">
        <f>SUMIFS(Giriş!$J:$J,Giriş!$H:$H,Bilgiler!U$3,Giriş!$C:$C,Bilgiler!$O31,Giriş!$E:$E,Bilgiler!$P31)</f>
        <v>0</v>
      </c>
      <c r="V31" s="30">
        <f>SUMIFS(Giriş!$J:$J,Giriş!$H:$H,Bilgiler!V$3,Giriş!$C:$C,Bilgiler!$O31,Giriş!$E:$E,Bilgiler!$P31)</f>
        <v>0</v>
      </c>
      <c r="W31" s="30">
        <f>SUMIFS(Giriş!$J:$J,Giriş!$H:$H,Bilgiler!W$3,Giriş!$C:$C,Bilgiler!$O31,Giriş!$E:$E,Bilgiler!$P31)</f>
        <v>0</v>
      </c>
      <c r="X31" s="30">
        <f t="shared" si="3"/>
        <v>104400</v>
      </c>
      <c r="Y31" s="31" t="str">
        <f t="shared" ca="1" si="4"/>
        <v>Raf Ömrü Geçti</v>
      </c>
      <c r="AA31" s="13"/>
      <c r="AG31"/>
    </row>
    <row r="32" spans="4:33" ht="15" x14ac:dyDescent="0.25">
      <c r="D32" s="9" t="s">
        <v>215</v>
      </c>
      <c r="E32" s="2" t="s">
        <v>66</v>
      </c>
      <c r="F32" s="2" t="s">
        <v>18</v>
      </c>
      <c r="G32" s="21"/>
      <c r="H32" s="28">
        <f>SUMIFS(Giriş!$J:$J,Giriş!$H:$H,Bilgiler!H$3,Giriş!$C:$C,Bilgiler!$D32)</f>
        <v>0</v>
      </c>
      <c r="I32" s="28">
        <f>SUMIFS(Giriş!$J:$J,Giriş!$H:$H,Bilgiler!I$3,Giriş!$C:$C,Bilgiler!$D32)</f>
        <v>0</v>
      </c>
      <c r="J32" s="28">
        <f>SUMIFS(Giriş!$J:$J,Giriş!$H:$H,Bilgiler!J$3,Giriş!$C:$C,Bilgiler!$D32)</f>
        <v>0</v>
      </c>
      <c r="K32" s="28">
        <f>SUMIFS(Giriş!$J:$J,Giriş!$H:$H,Bilgiler!K$3,Giriş!$C:$C,Bilgiler!$D32)</f>
        <v>0</v>
      </c>
      <c r="L32" s="29">
        <f t="shared" si="1"/>
        <v>0</v>
      </c>
      <c r="N32" s="36">
        <f>IFERROR(IF(N31+1&gt;MAX(Giriş!L:L),"",N31+1),"")</f>
        <v>6</v>
      </c>
      <c r="O32" s="37" t="str">
        <f>IF($N32="","",VLOOKUP($N32,Giriş!$L:$O,2,0))</f>
        <v>Poşet-30 cm Mutlukal Tortillas Değişken</v>
      </c>
      <c r="P32" s="37">
        <f>IF($N32="","",VLOOKUP($N32,Giriş!$L:$O,3,0))</f>
        <v>20230038</v>
      </c>
      <c r="Q32" s="44">
        <f>IF($N32="","",VLOOKUP($N32,Giriş!$L:$O,4,0))</f>
        <v>45483</v>
      </c>
      <c r="R32" s="47">
        <f t="shared" ca="1" si="2"/>
        <v>-99</v>
      </c>
      <c r="S32" s="28">
        <f t="shared" si="0"/>
        <v>0</v>
      </c>
      <c r="T32" s="28">
        <f>SUMIFS(Giriş!$J:$J,Giriş!$H:$H,Bilgiler!T$3,Giriş!$C:$C,Bilgiler!$O32,Giriş!$E:$E,Bilgiler!$P32)</f>
        <v>68160</v>
      </c>
      <c r="U32" s="28">
        <f>SUMIFS(Giriş!$J:$J,Giriş!$H:$H,Bilgiler!U$3,Giriş!$C:$C,Bilgiler!$O32,Giriş!$E:$E,Bilgiler!$P32)</f>
        <v>0</v>
      </c>
      <c r="V32" s="28">
        <f>SUMIFS(Giriş!$J:$J,Giriş!$H:$H,Bilgiler!V$3,Giriş!$C:$C,Bilgiler!$O32,Giriş!$E:$E,Bilgiler!$P32)</f>
        <v>0</v>
      </c>
      <c r="W32" s="28">
        <f>SUMIFS(Giriş!$J:$J,Giriş!$H:$H,Bilgiler!W$3,Giriş!$C:$C,Bilgiler!$O32,Giriş!$E:$E,Bilgiler!$P32)</f>
        <v>0</v>
      </c>
      <c r="X32" s="28">
        <f t="shared" si="3"/>
        <v>68160</v>
      </c>
      <c r="Y32" s="29" t="str">
        <f t="shared" ca="1" si="4"/>
        <v>Raf Ömrü Geçti</v>
      </c>
      <c r="AA32" s="14"/>
      <c r="AG32"/>
    </row>
    <row r="33" spans="4:33" ht="15" x14ac:dyDescent="0.25">
      <c r="D33" s="10" t="s">
        <v>281</v>
      </c>
      <c r="E33" s="3" t="s">
        <v>158</v>
      </c>
      <c r="F33" s="3" t="s">
        <v>18</v>
      </c>
      <c r="G33" s="20"/>
      <c r="H33" s="30">
        <f>SUMIFS(Giriş!$J:$J,Giriş!$H:$H,Bilgiler!H$3,Giriş!$C:$C,Bilgiler!$D33)</f>
        <v>0</v>
      </c>
      <c r="I33" s="30">
        <f>SUMIFS(Giriş!$J:$J,Giriş!$H:$H,Bilgiler!I$3,Giriş!$C:$C,Bilgiler!$D33)</f>
        <v>0</v>
      </c>
      <c r="J33" s="30">
        <f>SUMIFS(Giriş!$J:$J,Giriş!$H:$H,Bilgiler!J$3,Giriş!$C:$C,Bilgiler!$D33)</f>
        <v>0</v>
      </c>
      <c r="K33" s="30">
        <f>SUMIFS(Giriş!$J:$J,Giriş!$H:$H,Bilgiler!K$3,Giriş!$C:$C,Bilgiler!$D33)</f>
        <v>0</v>
      </c>
      <c r="L33" s="31">
        <f t="shared" si="1"/>
        <v>0</v>
      </c>
      <c r="N33" s="38">
        <f>IFERROR(IF(N32+1&gt;MAX(Giriş!L:L),"",N32+1),"")</f>
        <v>7</v>
      </c>
      <c r="O33" s="39" t="str">
        <f>IF($N33="","",VLOOKUP($N33,Giriş!$L:$O,2,0))</f>
        <v>Poşet--15 cm Mutlukal Tortillas Mavi Değişken</v>
      </c>
      <c r="P33" s="39">
        <f>IF($N33="","",VLOOKUP($N33,Giriş!$L:$O,3,0))</f>
        <v>20230040</v>
      </c>
      <c r="Q33" s="45">
        <f>IF($N33="","",VLOOKUP($N33,Giriş!$L:$O,4,0))</f>
        <v>45492</v>
      </c>
      <c r="R33" s="48">
        <f t="shared" ca="1" si="2"/>
        <v>-90</v>
      </c>
      <c r="S33" s="30">
        <f t="shared" si="0"/>
        <v>0</v>
      </c>
      <c r="T33" s="30">
        <f>SUMIFS(Giriş!$J:$J,Giriş!$H:$H,Bilgiler!T$3,Giriş!$C:$C,Bilgiler!$O33,Giriş!$E:$E,Bilgiler!$P33)</f>
        <v>182945</v>
      </c>
      <c r="U33" s="30">
        <f>SUMIFS(Giriş!$J:$J,Giriş!$H:$H,Bilgiler!U$3,Giriş!$C:$C,Bilgiler!$O33,Giriş!$E:$E,Bilgiler!$P33)</f>
        <v>0</v>
      </c>
      <c r="V33" s="30">
        <f>SUMIFS(Giriş!$J:$J,Giriş!$H:$H,Bilgiler!V$3,Giriş!$C:$C,Bilgiler!$O33,Giriş!$E:$E,Bilgiler!$P33)</f>
        <v>0</v>
      </c>
      <c r="W33" s="30">
        <f>SUMIFS(Giriş!$J:$J,Giriş!$H:$H,Bilgiler!W$3,Giriş!$C:$C,Bilgiler!$O33,Giriş!$E:$E,Bilgiler!$P33)</f>
        <v>0</v>
      </c>
      <c r="X33" s="30">
        <f t="shared" si="3"/>
        <v>182945</v>
      </c>
      <c r="Y33" s="31" t="str">
        <f t="shared" ca="1" si="4"/>
        <v>Raf Ömrü Geçti</v>
      </c>
      <c r="AA33" s="13"/>
      <c r="AG33"/>
    </row>
    <row r="34" spans="4:33" ht="15" x14ac:dyDescent="0.25">
      <c r="D34" s="9" t="s">
        <v>186</v>
      </c>
      <c r="E34" s="2" t="s">
        <v>159</v>
      </c>
      <c r="F34" s="2" t="s">
        <v>18</v>
      </c>
      <c r="G34" s="21"/>
      <c r="H34" s="28">
        <f>SUMIFS(Giriş!$J:$J,Giriş!$H:$H,Bilgiler!H$3,Giriş!$C:$C,Bilgiler!$D34)</f>
        <v>77400</v>
      </c>
      <c r="I34" s="28">
        <f>SUMIFS(Giriş!$J:$J,Giriş!$H:$H,Bilgiler!I$3,Giriş!$C:$C,Bilgiler!$D34)</f>
        <v>0</v>
      </c>
      <c r="J34" s="28">
        <f>SUMIFS(Giriş!$J:$J,Giriş!$H:$H,Bilgiler!J$3,Giriş!$C:$C,Bilgiler!$D34)</f>
        <v>0</v>
      </c>
      <c r="K34" s="28">
        <f>SUMIFS(Giriş!$J:$J,Giriş!$H:$H,Bilgiler!K$3,Giriş!$C:$C,Bilgiler!$D34)</f>
        <v>0</v>
      </c>
      <c r="L34" s="29">
        <f t="shared" si="1"/>
        <v>77400</v>
      </c>
      <c r="N34" s="36">
        <f>IFERROR(IF(N33+1&gt;MAX(Giriş!L:L),"",N33+1),"")</f>
        <v>8</v>
      </c>
      <c r="O34" s="37" t="str">
        <f>IF($N34="","",VLOOKUP($N34,Giriş!$L:$O,2,0))</f>
        <v>Poşet-25 cm Mutlukal Tortillas Kırmızı Değişken ( Beyaz Rusya )</v>
      </c>
      <c r="P34" s="37">
        <f>IF($N34="","",VLOOKUP($N34,Giriş!$L:$O,3,0))</f>
        <v>20230048</v>
      </c>
      <c r="Q34" s="44">
        <f>IF($N34="","",VLOOKUP($N34,Giriş!$L:$O,4,0))</f>
        <v>45483</v>
      </c>
      <c r="R34" s="47">
        <f t="shared" ca="1" si="2"/>
        <v>-99</v>
      </c>
      <c r="S34" s="28">
        <f t="shared" si="0"/>
        <v>0</v>
      </c>
      <c r="T34" s="28">
        <f>SUMIFS(Giriş!$J:$J,Giriş!$H:$H,Bilgiler!T$3,Giriş!$C:$C,Bilgiler!$O34,Giriş!$E:$E,Bilgiler!$P34)</f>
        <v>89050</v>
      </c>
      <c r="U34" s="28">
        <f>SUMIFS(Giriş!$J:$J,Giriş!$H:$H,Bilgiler!U$3,Giriş!$C:$C,Bilgiler!$O34,Giriş!$E:$E,Bilgiler!$P34)</f>
        <v>0</v>
      </c>
      <c r="V34" s="28">
        <f>SUMIFS(Giriş!$J:$J,Giriş!$H:$H,Bilgiler!V$3,Giriş!$C:$C,Bilgiler!$O34,Giriş!$E:$E,Bilgiler!$P34)</f>
        <v>0</v>
      </c>
      <c r="W34" s="28">
        <f>SUMIFS(Giriş!$J:$J,Giriş!$H:$H,Bilgiler!W$3,Giriş!$C:$C,Bilgiler!$O34,Giriş!$E:$E,Bilgiler!$P34)</f>
        <v>0</v>
      </c>
      <c r="X34" s="28">
        <f t="shared" si="3"/>
        <v>89050</v>
      </c>
      <c r="Y34" s="29" t="str">
        <f t="shared" ca="1" si="4"/>
        <v>Raf Ömrü Geçti</v>
      </c>
      <c r="AA34" s="14"/>
      <c r="AG34"/>
    </row>
    <row r="35" spans="4:33" ht="15" x14ac:dyDescent="0.25">
      <c r="D35" s="10" t="s">
        <v>279</v>
      </c>
      <c r="E35" s="3" t="s">
        <v>157</v>
      </c>
      <c r="F35" s="3" t="s">
        <v>18</v>
      </c>
      <c r="G35" s="20"/>
      <c r="H35" s="30">
        <f>SUMIFS(Giriş!$J:$J,Giriş!$H:$H,Bilgiler!H$3,Giriş!$C:$C,Bilgiler!$D35)</f>
        <v>0</v>
      </c>
      <c r="I35" s="30">
        <f>SUMIFS(Giriş!$J:$J,Giriş!$H:$H,Bilgiler!I$3,Giriş!$C:$C,Bilgiler!$D35)</f>
        <v>0</v>
      </c>
      <c r="J35" s="30">
        <f>SUMIFS(Giriş!$J:$J,Giriş!$H:$H,Bilgiler!J$3,Giriş!$C:$C,Bilgiler!$D35)</f>
        <v>0</v>
      </c>
      <c r="K35" s="30">
        <f>SUMIFS(Giriş!$J:$J,Giriş!$H:$H,Bilgiler!K$3,Giriş!$C:$C,Bilgiler!$D35)</f>
        <v>0</v>
      </c>
      <c r="L35" s="31">
        <f t="shared" si="1"/>
        <v>0</v>
      </c>
      <c r="N35" s="38">
        <f>IFERROR(IF(N34+1&gt;MAX(Giriş!L:L),"",N34+1),"")</f>
        <v>9</v>
      </c>
      <c r="O35" s="39" t="str">
        <f>IF($N35="","",VLOOKUP($N35,Giriş!$L:$O,2,0))</f>
        <v>Poşet-25 cm Mutlukal Tortillas Tam Buğday</v>
      </c>
      <c r="P35" s="39">
        <f>IF($N35="","",VLOOKUP($N35,Giriş!$L:$O,3,0))</f>
        <v>20230042</v>
      </c>
      <c r="Q35" s="45">
        <f>IF($N35="","",VLOOKUP($N35,Giriş!$L:$O,4,0))</f>
        <v>45483</v>
      </c>
      <c r="R35" s="48">
        <f t="shared" ca="1" si="2"/>
        <v>-99</v>
      </c>
      <c r="S35" s="30">
        <f t="shared" si="0"/>
        <v>0</v>
      </c>
      <c r="T35" s="30">
        <f>SUMIFS(Giriş!$J:$J,Giriş!$H:$H,Bilgiler!T$3,Giriş!$C:$C,Bilgiler!$O35,Giriş!$E:$E,Bilgiler!$P35)</f>
        <v>86730</v>
      </c>
      <c r="U35" s="30">
        <f>SUMIFS(Giriş!$J:$J,Giriş!$H:$H,Bilgiler!U$3,Giriş!$C:$C,Bilgiler!$O35,Giriş!$E:$E,Bilgiler!$P35)</f>
        <v>0</v>
      </c>
      <c r="V35" s="30">
        <f>SUMIFS(Giriş!$J:$J,Giriş!$H:$H,Bilgiler!V$3,Giriş!$C:$C,Bilgiler!$O35,Giriş!$E:$E,Bilgiler!$P35)</f>
        <v>0</v>
      </c>
      <c r="W35" s="30">
        <f>SUMIFS(Giriş!$J:$J,Giriş!$H:$H,Bilgiler!W$3,Giriş!$C:$C,Bilgiler!$O35,Giriş!$E:$E,Bilgiler!$P35)</f>
        <v>0</v>
      </c>
      <c r="X35" s="30">
        <f t="shared" si="3"/>
        <v>86730</v>
      </c>
      <c r="Y35" s="31" t="str">
        <f t="shared" ca="1" si="4"/>
        <v>Raf Ömrü Geçti</v>
      </c>
      <c r="AA35" s="13"/>
      <c r="AG35"/>
    </row>
    <row r="36" spans="4:33" ht="15" x14ac:dyDescent="0.25">
      <c r="D36" s="9" t="s">
        <v>227</v>
      </c>
      <c r="E36" s="2" t="s">
        <v>49</v>
      </c>
      <c r="F36" s="2" t="s">
        <v>18</v>
      </c>
      <c r="G36" s="21"/>
      <c r="H36" s="28">
        <f>SUMIFS(Giriş!$J:$J,Giriş!$H:$H,Bilgiler!H$3,Giriş!$C:$C,Bilgiler!$D36)</f>
        <v>0</v>
      </c>
      <c r="I36" s="28">
        <f>SUMIFS(Giriş!$J:$J,Giriş!$H:$H,Bilgiler!I$3,Giriş!$C:$C,Bilgiler!$D36)</f>
        <v>0</v>
      </c>
      <c r="J36" s="28">
        <f>SUMIFS(Giriş!$J:$J,Giriş!$H:$H,Bilgiler!J$3,Giriş!$C:$C,Bilgiler!$D36)</f>
        <v>0</v>
      </c>
      <c r="K36" s="28">
        <f>SUMIFS(Giriş!$J:$J,Giriş!$H:$H,Bilgiler!K$3,Giriş!$C:$C,Bilgiler!$D36)</f>
        <v>0</v>
      </c>
      <c r="L36" s="29">
        <f t="shared" si="1"/>
        <v>0</v>
      </c>
      <c r="N36" s="36">
        <f>IFERROR(IF(N35+1&gt;MAX(Giriş!L:L),"",N35+1),"")</f>
        <v>10</v>
      </c>
      <c r="O36" s="37" t="str">
        <f>IF($N36="","",VLOOKUP($N36,Giriş!$L:$O,2,0))</f>
        <v>Poşet-25 cm B.sız Kilitli</v>
      </c>
      <c r="P36" s="37">
        <f>IF($N36="","",VLOOKUP($N36,Giriş!$L:$O,3,0))</f>
        <v>20230050</v>
      </c>
      <c r="Q36" s="44">
        <f>IF($N36="","",VLOOKUP($N36,Giriş!$L:$O,4,0))</f>
        <v>45483</v>
      </c>
      <c r="R36" s="47">
        <f t="shared" ca="1" si="2"/>
        <v>-99</v>
      </c>
      <c r="S36" s="28">
        <f t="shared" ref="S36:S67" si="5">SUMIFS(G:G,D:D,O36,F:F,P36)</f>
        <v>0</v>
      </c>
      <c r="T36" s="28">
        <f>SUMIFS(Giriş!$J:$J,Giriş!$H:$H,Bilgiler!T$3,Giriş!$C:$C,Bilgiler!$O36,Giriş!$E:$E,Bilgiler!$P36)</f>
        <v>88400</v>
      </c>
      <c r="U36" s="28">
        <f>SUMIFS(Giriş!$J:$J,Giriş!$H:$H,Bilgiler!U$3,Giriş!$C:$C,Bilgiler!$O36,Giriş!$E:$E,Bilgiler!$P36)</f>
        <v>0</v>
      </c>
      <c r="V36" s="28">
        <f>SUMIFS(Giriş!$J:$J,Giriş!$H:$H,Bilgiler!V$3,Giriş!$C:$C,Bilgiler!$O36,Giriş!$E:$E,Bilgiler!$P36)</f>
        <v>0</v>
      </c>
      <c r="W36" s="28">
        <f>SUMIFS(Giriş!$J:$J,Giriş!$H:$H,Bilgiler!W$3,Giriş!$C:$C,Bilgiler!$O36,Giriş!$E:$E,Bilgiler!$P36)</f>
        <v>0</v>
      </c>
      <c r="X36" s="28">
        <f t="shared" si="3"/>
        <v>88400</v>
      </c>
      <c r="Y36" s="29" t="str">
        <f t="shared" ca="1" si="4"/>
        <v>Raf Ömrü Geçti</v>
      </c>
      <c r="AA36" s="14"/>
      <c r="AG36"/>
    </row>
    <row r="37" spans="4:33" ht="15" x14ac:dyDescent="0.25">
      <c r="D37" s="10" t="s">
        <v>260</v>
      </c>
      <c r="E37" s="3" t="s">
        <v>160</v>
      </c>
      <c r="F37" s="3" t="s">
        <v>18</v>
      </c>
      <c r="G37" s="20"/>
      <c r="H37" s="30">
        <f>SUMIFS(Giriş!$J:$J,Giriş!$H:$H,Bilgiler!H$3,Giriş!$C:$C,Bilgiler!$D37)</f>
        <v>77400</v>
      </c>
      <c r="I37" s="30">
        <f>SUMIFS(Giriş!$J:$J,Giriş!$H:$H,Bilgiler!I$3,Giriş!$C:$C,Bilgiler!$D37)</f>
        <v>0</v>
      </c>
      <c r="J37" s="30">
        <f>SUMIFS(Giriş!$J:$J,Giriş!$H:$H,Bilgiler!J$3,Giriş!$C:$C,Bilgiler!$D37)</f>
        <v>0</v>
      </c>
      <c r="K37" s="30">
        <f>SUMIFS(Giriş!$J:$J,Giriş!$H:$H,Bilgiler!K$3,Giriş!$C:$C,Bilgiler!$D37)</f>
        <v>0</v>
      </c>
      <c r="L37" s="31">
        <f t="shared" si="1"/>
        <v>77400</v>
      </c>
      <c r="N37" s="38">
        <f>IFERROR(IF(N36+1&gt;MAX(Giriş!L:L),"",N36+1),"")</f>
        <v>11</v>
      </c>
      <c r="O37" s="39" t="str">
        <f>IF($N37="","",VLOOKUP($N37,Giriş!$L:$O,2,0))</f>
        <v>Poşet-25 cm Tortillove Değişken</v>
      </c>
      <c r="P37" s="39" t="str">
        <f>IF($N37="","",VLOOKUP($N37,Giriş!$L:$O,3,0))</f>
        <v>MAT008095</v>
      </c>
      <c r="Q37" s="45">
        <f>IF($N37="","",VLOOKUP($N37,Giriş!$L:$O,4,0))</f>
        <v>45491</v>
      </c>
      <c r="R37" s="48">
        <f t="shared" ca="1" si="2"/>
        <v>-91</v>
      </c>
      <c r="S37" s="30">
        <f t="shared" si="5"/>
        <v>0</v>
      </c>
      <c r="T37" s="30">
        <f>SUMIFS(Giriş!$J:$J,Giriş!$H:$H,Bilgiler!T$3,Giriş!$C:$C,Bilgiler!$O37,Giriş!$E:$E,Bilgiler!$P37)</f>
        <v>79800</v>
      </c>
      <c r="U37" s="30">
        <f>SUMIFS(Giriş!$J:$J,Giriş!$H:$H,Bilgiler!U$3,Giriş!$C:$C,Bilgiler!$O37,Giriş!$E:$E,Bilgiler!$P37)</f>
        <v>0</v>
      </c>
      <c r="V37" s="30">
        <f>SUMIFS(Giriş!$J:$J,Giriş!$H:$H,Bilgiler!V$3,Giriş!$C:$C,Bilgiler!$O37,Giriş!$E:$E,Bilgiler!$P37)</f>
        <v>0</v>
      </c>
      <c r="W37" s="30">
        <f>SUMIFS(Giriş!$J:$J,Giriş!$H:$H,Bilgiler!W$3,Giriş!$C:$C,Bilgiler!$O37,Giriş!$E:$E,Bilgiler!$P37)</f>
        <v>0</v>
      </c>
      <c r="X37" s="30">
        <f t="shared" si="3"/>
        <v>79800</v>
      </c>
      <c r="Y37" s="31" t="str">
        <f t="shared" ca="1" si="4"/>
        <v>Raf Ömrü Geçti</v>
      </c>
      <c r="AA37" s="13"/>
      <c r="AG37"/>
    </row>
    <row r="38" spans="4:33" ht="15" x14ac:dyDescent="0.25">
      <c r="D38" s="9" t="s">
        <v>167</v>
      </c>
      <c r="E38" s="2" t="s">
        <v>78</v>
      </c>
      <c r="F38" s="2" t="s">
        <v>18</v>
      </c>
      <c r="G38" s="22"/>
      <c r="H38" s="28">
        <f>SUMIFS(Giriş!$J:$J,Giriş!$H:$H,Bilgiler!H$3,Giriş!$C:$C,Bilgiler!$D38)</f>
        <v>0</v>
      </c>
      <c r="I38" s="28">
        <f>SUMIFS(Giriş!$J:$J,Giriş!$H:$H,Bilgiler!I$3,Giriş!$C:$C,Bilgiler!$D38)</f>
        <v>0</v>
      </c>
      <c r="J38" s="28">
        <f>SUMIFS(Giriş!$J:$J,Giriş!$H:$H,Bilgiler!J$3,Giriş!$C:$C,Bilgiler!$D38)</f>
        <v>0</v>
      </c>
      <c r="K38" s="28">
        <f>SUMIFS(Giriş!$J:$J,Giriş!$H:$H,Bilgiler!K$3,Giriş!$C:$C,Bilgiler!$D38)</f>
        <v>0</v>
      </c>
      <c r="L38" s="29">
        <f t="shared" si="1"/>
        <v>0</v>
      </c>
      <c r="N38" s="36">
        <f>IFERROR(IF(N37+1&gt;MAX(Giriş!L:L),"",N37+1),"")</f>
        <v>12</v>
      </c>
      <c r="O38" s="37" t="str">
        <f>IF($N38="","",VLOOKUP($N38,Giriş!$L:$O,2,0))</f>
        <v>Poşet-25 cm Wıllı Food 840 gr</v>
      </c>
      <c r="P38" s="37" t="str">
        <f>IF($N38="","",VLOOKUP($N38,Giriş!$L:$O,3,0))</f>
        <v>MAT008124</v>
      </c>
      <c r="Q38" s="44">
        <f>IF($N38="","",VLOOKUP($N38,Giriş!$L:$O,4,0))</f>
        <v>45498</v>
      </c>
      <c r="R38" s="47">
        <f t="shared" ca="1" si="2"/>
        <v>-84</v>
      </c>
      <c r="S38" s="28">
        <f t="shared" si="5"/>
        <v>0</v>
      </c>
      <c r="T38" s="28">
        <f>SUMIFS(Giriş!$J:$J,Giriş!$H:$H,Bilgiler!T$3,Giriş!$C:$C,Bilgiler!$O38,Giriş!$E:$E,Bilgiler!$P38)</f>
        <v>77300</v>
      </c>
      <c r="U38" s="28">
        <f>SUMIFS(Giriş!$J:$J,Giriş!$H:$H,Bilgiler!U$3,Giriş!$C:$C,Bilgiler!$O38,Giriş!$E:$E,Bilgiler!$P38)</f>
        <v>0</v>
      </c>
      <c r="V38" s="28">
        <f>SUMIFS(Giriş!$J:$J,Giriş!$H:$H,Bilgiler!V$3,Giriş!$C:$C,Bilgiler!$O38,Giriş!$E:$E,Bilgiler!$P38)</f>
        <v>0</v>
      </c>
      <c r="W38" s="28">
        <f>SUMIFS(Giriş!$J:$J,Giriş!$H:$H,Bilgiler!W$3,Giriş!$C:$C,Bilgiler!$O38,Giriş!$E:$E,Bilgiler!$P38)</f>
        <v>0</v>
      </c>
      <c r="X38" s="28">
        <f t="shared" si="3"/>
        <v>77300</v>
      </c>
      <c r="Y38" s="29" t="str">
        <f t="shared" ca="1" si="4"/>
        <v>Raf Ömrü Geçti</v>
      </c>
      <c r="AA38" s="14"/>
      <c r="AG38"/>
    </row>
    <row r="39" spans="4:33" ht="15" x14ac:dyDescent="0.25">
      <c r="D39" s="10" t="s">
        <v>289</v>
      </c>
      <c r="E39" s="3" t="s">
        <v>150</v>
      </c>
      <c r="F39" s="3" t="s">
        <v>18</v>
      </c>
      <c r="G39" s="23"/>
      <c r="H39" s="30">
        <f>SUMIFS(Giriş!$J:$J,Giriş!$H:$H,Bilgiler!H$3,Giriş!$C:$C,Bilgiler!$D39)</f>
        <v>0</v>
      </c>
      <c r="I39" s="30">
        <f>SUMIFS(Giriş!$J:$J,Giriş!$H:$H,Bilgiler!I$3,Giriş!$C:$C,Bilgiler!$D39)</f>
        <v>0</v>
      </c>
      <c r="J39" s="30">
        <f>SUMIFS(Giriş!$J:$J,Giriş!$H:$H,Bilgiler!J$3,Giriş!$C:$C,Bilgiler!$D39)</f>
        <v>0</v>
      </c>
      <c r="K39" s="30">
        <f>SUMIFS(Giriş!$J:$J,Giriş!$H:$H,Bilgiler!K$3,Giriş!$C:$C,Bilgiler!$D39)</f>
        <v>0</v>
      </c>
      <c r="L39" s="31">
        <f t="shared" si="1"/>
        <v>0</v>
      </c>
      <c r="N39" s="38">
        <f>IFERROR(IF(N38+1&gt;MAX(Giriş!L:L),"",N38+1),"")</f>
        <v>13</v>
      </c>
      <c r="O39" s="39" t="str">
        <f>IF($N39="","",VLOOKUP($N39,Giriş!$L:$O,2,0))</f>
        <v>Poşet-20 cm Wıllı Food 540 gr</v>
      </c>
      <c r="P39" s="39" t="str">
        <f>IF($N39="","",VLOOKUP($N39,Giriş!$L:$O,3,0))</f>
        <v>MAT008123</v>
      </c>
      <c r="Q39" s="45">
        <f>IF($N39="","",VLOOKUP($N39,Giriş!$L:$O,4,0))</f>
        <v>45500</v>
      </c>
      <c r="R39" s="48">
        <f t="shared" ca="1" si="2"/>
        <v>-82</v>
      </c>
      <c r="S39" s="30">
        <f t="shared" si="5"/>
        <v>0</v>
      </c>
      <c r="T39" s="30">
        <f>SUMIFS(Giriş!$J:$J,Giriş!$H:$H,Bilgiler!T$3,Giriş!$C:$C,Bilgiler!$O39,Giriş!$E:$E,Bilgiler!$P39)</f>
        <v>104400</v>
      </c>
      <c r="U39" s="30">
        <f>SUMIFS(Giriş!$J:$J,Giriş!$H:$H,Bilgiler!U$3,Giriş!$C:$C,Bilgiler!$O39,Giriş!$E:$E,Bilgiler!$P39)</f>
        <v>0</v>
      </c>
      <c r="V39" s="30">
        <f>SUMIFS(Giriş!$J:$J,Giriş!$H:$H,Bilgiler!V$3,Giriş!$C:$C,Bilgiler!$O39,Giriş!$E:$E,Bilgiler!$P39)</f>
        <v>0</v>
      </c>
      <c r="W39" s="30">
        <f>SUMIFS(Giriş!$J:$J,Giriş!$H:$H,Bilgiler!W$3,Giriş!$C:$C,Bilgiler!$O39,Giriş!$E:$E,Bilgiler!$P39)</f>
        <v>0</v>
      </c>
      <c r="X39" s="30">
        <f t="shared" si="3"/>
        <v>104400</v>
      </c>
      <c r="Y39" s="31" t="str">
        <f t="shared" ca="1" si="4"/>
        <v>Raf Ömrü Geçti</v>
      </c>
      <c r="AA39" s="13"/>
      <c r="AG39"/>
    </row>
    <row r="40" spans="4:33" ht="15" x14ac:dyDescent="0.25">
      <c r="D40" s="9" t="s">
        <v>239</v>
      </c>
      <c r="E40" s="2" t="s">
        <v>36</v>
      </c>
      <c r="F40" s="2" t="s">
        <v>18</v>
      </c>
      <c r="G40" s="22"/>
      <c r="H40" s="28">
        <f>SUMIFS(Giriş!$J:$J,Giriş!$H:$H,Bilgiler!H$3,Giriş!$C:$C,Bilgiler!$D40)</f>
        <v>82800</v>
      </c>
      <c r="I40" s="28">
        <f>SUMIFS(Giriş!$J:$J,Giriş!$H:$H,Bilgiler!I$3,Giriş!$C:$C,Bilgiler!$D40)</f>
        <v>0</v>
      </c>
      <c r="J40" s="28">
        <f>SUMIFS(Giriş!$J:$J,Giriş!$H:$H,Bilgiler!J$3,Giriş!$C:$C,Bilgiler!$D40)</f>
        <v>0</v>
      </c>
      <c r="K40" s="28">
        <f>SUMIFS(Giriş!$J:$J,Giriş!$H:$H,Bilgiler!K$3,Giriş!$C:$C,Bilgiler!$D40)</f>
        <v>0</v>
      </c>
      <c r="L40" s="29">
        <f t="shared" si="1"/>
        <v>82800</v>
      </c>
      <c r="N40" s="36">
        <f>IFERROR(IF(N39+1&gt;MAX(Giriş!L:L),"",N39+1),"")</f>
        <v>14</v>
      </c>
      <c r="O40" s="37" t="str">
        <f>IF($N40="","",VLOOKUP($N40,Giriş!$L:$O,2,0))</f>
        <v>Poşet-25 cm Nimet (Lam.Baskılı Zıp.Vakum )</v>
      </c>
      <c r="P40" s="37">
        <f>IF($N40="","",VLOOKUP($N40,Giriş!$L:$O,3,0))</f>
        <v>20230043</v>
      </c>
      <c r="Q40" s="44">
        <f>IF($N40="","",VLOOKUP($N40,Giriş!$L:$O,4,0))</f>
        <v>45641</v>
      </c>
      <c r="R40" s="47">
        <f t="shared" ca="1" si="2"/>
        <v>59</v>
      </c>
      <c r="S40" s="28">
        <f t="shared" si="5"/>
        <v>0</v>
      </c>
      <c r="T40" s="28">
        <f>SUMIFS(Giriş!$J:$J,Giriş!$H:$H,Bilgiler!T$3,Giriş!$C:$C,Bilgiler!$O40,Giriş!$E:$E,Bilgiler!$P40)</f>
        <v>249900</v>
      </c>
      <c r="U40" s="28">
        <f>SUMIFS(Giriş!$J:$J,Giriş!$H:$H,Bilgiler!U$3,Giriş!$C:$C,Bilgiler!$O40,Giriş!$E:$E,Bilgiler!$P40)</f>
        <v>0</v>
      </c>
      <c r="V40" s="28">
        <f>SUMIFS(Giriş!$J:$J,Giriş!$H:$H,Bilgiler!V$3,Giriş!$C:$C,Bilgiler!$O40,Giriş!$E:$E,Bilgiler!$P40)</f>
        <v>0</v>
      </c>
      <c r="W40" s="28">
        <f>SUMIFS(Giriş!$J:$J,Giriş!$H:$H,Bilgiler!W$3,Giriş!$C:$C,Bilgiler!$O40,Giriş!$E:$E,Bilgiler!$P40)</f>
        <v>0</v>
      </c>
      <c r="X40" s="28">
        <f t="shared" si="3"/>
        <v>249900</v>
      </c>
      <c r="Y40" s="29" t="str">
        <f t="shared" ca="1" si="4"/>
        <v/>
      </c>
      <c r="AA40" s="14"/>
      <c r="AG40"/>
    </row>
    <row r="41" spans="4:33" ht="15" x14ac:dyDescent="0.25">
      <c r="D41" s="10" t="s">
        <v>256</v>
      </c>
      <c r="E41" s="3" t="s">
        <v>128</v>
      </c>
      <c r="F41" s="3" t="s">
        <v>18</v>
      </c>
      <c r="G41" s="23"/>
      <c r="H41" s="30">
        <f>SUMIFS(Giriş!$J:$J,Giriş!$H:$H,Bilgiler!H$3,Giriş!$C:$C,Bilgiler!$D41)</f>
        <v>158720</v>
      </c>
      <c r="I41" s="30">
        <f>SUMIFS(Giriş!$J:$J,Giriş!$H:$H,Bilgiler!I$3,Giriş!$C:$C,Bilgiler!$D41)</f>
        <v>0</v>
      </c>
      <c r="J41" s="30">
        <f>SUMIFS(Giriş!$J:$J,Giriş!$H:$H,Bilgiler!J$3,Giriş!$C:$C,Bilgiler!$D41)</f>
        <v>0</v>
      </c>
      <c r="K41" s="30">
        <f>SUMIFS(Giriş!$J:$J,Giriş!$H:$H,Bilgiler!K$3,Giriş!$C:$C,Bilgiler!$D41)</f>
        <v>0</v>
      </c>
      <c r="L41" s="31">
        <f t="shared" si="1"/>
        <v>158720</v>
      </c>
      <c r="N41" s="38">
        <f>IFERROR(IF(N40+1&gt;MAX(Giriş!L:L),"",N40+1),"")</f>
        <v>15</v>
      </c>
      <c r="O41" s="39" t="str">
        <f>IF($N41="","",VLOOKUP($N41,Giriş!$L:$O,2,0))</f>
        <v>Poşet--20 cm Mutlukal Tortillas Mavi Değişken</v>
      </c>
      <c r="P41" s="39">
        <f>IF($N41="","",VLOOKUP($N41,Giriş!$L:$O,3,0))</f>
        <v>20230046</v>
      </c>
      <c r="Q41" s="45">
        <f>IF($N41="","",VLOOKUP($N41,Giriş!$L:$O,4,0))</f>
        <v>45646</v>
      </c>
      <c r="R41" s="48">
        <f t="shared" ca="1" si="2"/>
        <v>64</v>
      </c>
      <c r="S41" s="30">
        <f t="shared" si="5"/>
        <v>0</v>
      </c>
      <c r="T41" s="30">
        <f>SUMIFS(Giriş!$J:$J,Giriş!$H:$H,Bilgiler!T$3,Giriş!$C:$C,Bilgiler!$O41,Giriş!$E:$E,Bilgiler!$P41)</f>
        <v>158720</v>
      </c>
      <c r="U41" s="30">
        <f>SUMIFS(Giriş!$J:$J,Giriş!$H:$H,Bilgiler!U$3,Giriş!$C:$C,Bilgiler!$O41,Giriş!$E:$E,Bilgiler!$P41)</f>
        <v>0</v>
      </c>
      <c r="V41" s="30">
        <f>SUMIFS(Giriş!$J:$J,Giriş!$H:$H,Bilgiler!V$3,Giriş!$C:$C,Bilgiler!$O41,Giriş!$E:$E,Bilgiler!$P41)</f>
        <v>0</v>
      </c>
      <c r="W41" s="30">
        <f>SUMIFS(Giriş!$J:$J,Giriş!$H:$H,Bilgiler!W$3,Giriş!$C:$C,Bilgiler!$O41,Giriş!$E:$E,Bilgiler!$P41)</f>
        <v>0</v>
      </c>
      <c r="X41" s="30">
        <f t="shared" si="3"/>
        <v>158720</v>
      </c>
      <c r="Y41" s="31" t="str">
        <f t="shared" ca="1" si="4"/>
        <v/>
      </c>
      <c r="AA41" s="13"/>
      <c r="AG41"/>
    </row>
    <row r="42" spans="4:33" ht="15" x14ac:dyDescent="0.25">
      <c r="D42" s="9" t="s">
        <v>234</v>
      </c>
      <c r="E42" s="2" t="s">
        <v>57</v>
      </c>
      <c r="F42" s="2" t="s">
        <v>18</v>
      </c>
      <c r="G42" s="22"/>
      <c r="H42" s="28">
        <f>SUMIFS(Giriş!$J:$J,Giriş!$H:$H,Bilgiler!H$3,Giriş!$C:$C,Bilgiler!$D42)</f>
        <v>0</v>
      </c>
      <c r="I42" s="28">
        <f>SUMIFS(Giriş!$J:$J,Giriş!$H:$H,Bilgiler!I$3,Giriş!$C:$C,Bilgiler!$D42)</f>
        <v>0</v>
      </c>
      <c r="J42" s="28">
        <f>SUMIFS(Giriş!$J:$J,Giriş!$H:$H,Bilgiler!J$3,Giriş!$C:$C,Bilgiler!$D42)</f>
        <v>0</v>
      </c>
      <c r="K42" s="28">
        <f>SUMIFS(Giriş!$J:$J,Giriş!$H:$H,Bilgiler!K$3,Giriş!$C:$C,Bilgiler!$D42)</f>
        <v>0</v>
      </c>
      <c r="L42" s="29">
        <f t="shared" si="1"/>
        <v>0</v>
      </c>
      <c r="N42" s="36">
        <f>IFERROR(IF(N41+1&gt;MAX(Giriş!L:L),"",N41+1),"")</f>
        <v>16</v>
      </c>
      <c r="O42" s="37" t="str">
        <f>IF($N42="","",VLOOKUP($N42,Giriş!$L:$O,2,0))</f>
        <v>Poşet-30 cm B.sız Kilitli</v>
      </c>
      <c r="P42" s="37">
        <f>IF($N42="","",VLOOKUP($N42,Giriş!$L:$O,3,0))</f>
        <v>20230049</v>
      </c>
      <c r="Q42" s="44">
        <f>IF($N42="","",VLOOKUP($N42,Giriş!$L:$O,4,0))</f>
        <v>45641</v>
      </c>
      <c r="R42" s="47">
        <f t="shared" ca="1" si="2"/>
        <v>59</v>
      </c>
      <c r="S42" s="28">
        <f t="shared" si="5"/>
        <v>0</v>
      </c>
      <c r="T42" s="28">
        <f>SUMIFS(Giriş!$J:$J,Giriş!$H:$H,Bilgiler!T$3,Giriş!$C:$C,Bilgiler!$O42,Giriş!$E:$E,Bilgiler!$P42)</f>
        <v>66530</v>
      </c>
      <c r="U42" s="28">
        <f>SUMIFS(Giriş!$J:$J,Giriş!$H:$H,Bilgiler!U$3,Giriş!$C:$C,Bilgiler!$O42,Giriş!$E:$E,Bilgiler!$P42)</f>
        <v>0</v>
      </c>
      <c r="V42" s="28">
        <f>SUMIFS(Giriş!$J:$J,Giriş!$H:$H,Bilgiler!V$3,Giriş!$C:$C,Bilgiler!$O42,Giriş!$E:$E,Bilgiler!$P42)</f>
        <v>0</v>
      </c>
      <c r="W42" s="28">
        <f>SUMIFS(Giriş!$J:$J,Giriş!$H:$H,Bilgiler!W$3,Giriş!$C:$C,Bilgiler!$O42,Giriş!$E:$E,Bilgiler!$P42)</f>
        <v>0</v>
      </c>
      <c r="X42" s="28">
        <f t="shared" si="3"/>
        <v>66530</v>
      </c>
      <c r="Y42" s="29" t="str">
        <f t="shared" ca="1" si="4"/>
        <v/>
      </c>
      <c r="AA42" s="14"/>
      <c r="AG42"/>
    </row>
    <row r="43" spans="4:33" ht="15" x14ac:dyDescent="0.25">
      <c r="D43" s="10" t="s">
        <v>237</v>
      </c>
      <c r="E43" s="3" t="s">
        <v>58</v>
      </c>
      <c r="F43" s="3" t="s">
        <v>18</v>
      </c>
      <c r="G43" s="23"/>
      <c r="H43" s="30">
        <f>SUMIFS(Giriş!$J:$J,Giriş!$H:$H,Bilgiler!H$3,Giriş!$C:$C,Bilgiler!$D43)</f>
        <v>0</v>
      </c>
      <c r="I43" s="30">
        <f>SUMIFS(Giriş!$J:$J,Giriş!$H:$H,Bilgiler!I$3,Giriş!$C:$C,Bilgiler!$D43)</f>
        <v>0</v>
      </c>
      <c r="J43" s="30">
        <f>SUMIFS(Giriş!$J:$J,Giriş!$H:$H,Bilgiler!J$3,Giriş!$C:$C,Bilgiler!$D43)</f>
        <v>0</v>
      </c>
      <c r="K43" s="30">
        <f>SUMIFS(Giriş!$J:$J,Giriş!$H:$H,Bilgiler!K$3,Giriş!$C:$C,Bilgiler!$D43)</f>
        <v>0</v>
      </c>
      <c r="L43" s="31">
        <f t="shared" si="1"/>
        <v>0</v>
      </c>
      <c r="N43" s="38">
        <f>IFERROR(IF(N42+1&gt;MAX(Giriş!L:L),"",N42+1),"")</f>
        <v>17</v>
      </c>
      <c r="O43" s="39" t="str">
        <f>IF($N43="","",VLOOKUP($N43,Giriş!$L:$O,2,0))</f>
        <v>Poşet-25 cm Gazelle Gurme</v>
      </c>
      <c r="P43" s="39" t="str">
        <f>IF($N43="","",VLOOKUP($N43,Giriş!$L:$O,3,0))</f>
        <v>MAT008153</v>
      </c>
      <c r="Q43" s="45">
        <f>IF($N43="","",VLOOKUP($N43,Giriş!$L:$O,4,0))</f>
        <v>45632</v>
      </c>
      <c r="R43" s="48">
        <f t="shared" ca="1" si="2"/>
        <v>50</v>
      </c>
      <c r="S43" s="30">
        <f t="shared" si="5"/>
        <v>0</v>
      </c>
      <c r="T43" s="30">
        <f>SUMIFS(Giriş!$J:$J,Giriş!$H:$H,Bilgiler!T$3,Giriş!$C:$C,Bilgiler!$O43,Giriş!$E:$E,Bilgiler!$P43)</f>
        <v>82600</v>
      </c>
      <c r="U43" s="30">
        <f>SUMIFS(Giriş!$J:$J,Giriş!$H:$H,Bilgiler!U$3,Giriş!$C:$C,Bilgiler!$O43,Giriş!$E:$E,Bilgiler!$P43)</f>
        <v>0</v>
      </c>
      <c r="V43" s="30">
        <f>SUMIFS(Giriş!$J:$J,Giriş!$H:$H,Bilgiler!V$3,Giriş!$C:$C,Bilgiler!$O43,Giriş!$E:$E,Bilgiler!$P43)</f>
        <v>0</v>
      </c>
      <c r="W43" s="30">
        <f>SUMIFS(Giriş!$J:$J,Giriş!$H:$H,Bilgiler!W$3,Giriş!$C:$C,Bilgiler!$O43,Giriş!$E:$E,Bilgiler!$P43)</f>
        <v>0</v>
      </c>
      <c r="X43" s="30">
        <f t="shared" si="3"/>
        <v>82600</v>
      </c>
      <c r="Y43" s="31" t="str">
        <f t="shared" ca="1" si="4"/>
        <v/>
      </c>
      <c r="AA43" s="13"/>
      <c r="AG43"/>
    </row>
    <row r="44" spans="4:33" ht="15" x14ac:dyDescent="0.25">
      <c r="D44" s="9" t="s">
        <v>189</v>
      </c>
      <c r="E44" s="2" t="s">
        <v>63</v>
      </c>
      <c r="F44" s="2" t="s">
        <v>18</v>
      </c>
      <c r="G44" s="22"/>
      <c r="H44" s="28">
        <f>SUMIFS(Giriş!$J:$J,Giriş!$H:$H,Bilgiler!H$3,Giriş!$C:$C,Bilgiler!$D44)</f>
        <v>0</v>
      </c>
      <c r="I44" s="28">
        <f>SUMIFS(Giriş!$J:$J,Giriş!$H:$H,Bilgiler!I$3,Giriş!$C:$C,Bilgiler!$D44)</f>
        <v>0</v>
      </c>
      <c r="J44" s="28">
        <f>SUMIFS(Giriş!$J:$J,Giriş!$H:$H,Bilgiler!J$3,Giriş!$C:$C,Bilgiler!$D44)</f>
        <v>0</v>
      </c>
      <c r="K44" s="28">
        <f>SUMIFS(Giriş!$J:$J,Giriş!$H:$H,Bilgiler!K$3,Giriş!$C:$C,Bilgiler!$D44)</f>
        <v>0</v>
      </c>
      <c r="L44" s="29">
        <f t="shared" si="1"/>
        <v>0</v>
      </c>
      <c r="N44" s="36">
        <f>IFERROR(IF(N43+1&gt;MAX(Giriş!L:L),"",N43+1),"")</f>
        <v>18</v>
      </c>
      <c r="O44" s="37" t="str">
        <f>IF($N44="","",VLOOKUP($N44,Giriş!$L:$O,2,0))</f>
        <v>Poşet-26 cm Unebella</v>
      </c>
      <c r="P44" s="37" t="str">
        <f>IF($N44="","",VLOOKUP($N44,Giriş!$L:$O,3,0))</f>
        <v>MAT000712</v>
      </c>
      <c r="Q44" s="44">
        <f>IF($N44="","",VLOOKUP($N44,Giriş!$L:$O,4,0))</f>
        <v>45443</v>
      </c>
      <c r="R44" s="47">
        <f t="shared" ca="1" si="2"/>
        <v>-139</v>
      </c>
      <c r="S44" s="28">
        <f t="shared" si="5"/>
        <v>0</v>
      </c>
      <c r="T44" s="28">
        <f>SUMIFS(Giriş!$J:$J,Giriş!$H:$H,Bilgiler!T$3,Giriş!$C:$C,Bilgiler!$O44,Giriş!$E:$E,Bilgiler!$P44)</f>
        <v>39200</v>
      </c>
      <c r="U44" s="28">
        <f>SUMIFS(Giriş!$J:$J,Giriş!$H:$H,Bilgiler!U$3,Giriş!$C:$C,Bilgiler!$O44,Giriş!$E:$E,Bilgiler!$P44)</f>
        <v>0</v>
      </c>
      <c r="V44" s="28">
        <f>SUMIFS(Giriş!$J:$J,Giriş!$H:$H,Bilgiler!V$3,Giriş!$C:$C,Bilgiler!$O44,Giriş!$E:$E,Bilgiler!$P44)</f>
        <v>0</v>
      </c>
      <c r="W44" s="28">
        <f>SUMIFS(Giriş!$J:$J,Giriş!$H:$H,Bilgiler!W$3,Giriş!$C:$C,Bilgiler!$O44,Giriş!$E:$E,Bilgiler!$P44)</f>
        <v>0</v>
      </c>
      <c r="X44" s="28">
        <f t="shared" si="3"/>
        <v>39200</v>
      </c>
      <c r="Y44" s="29" t="str">
        <f t="shared" ca="1" si="4"/>
        <v>Raf Ömrü Geçti</v>
      </c>
      <c r="AA44" s="14"/>
      <c r="AG44"/>
    </row>
    <row r="45" spans="4:33" ht="15.75" thickBot="1" x14ac:dyDescent="0.3">
      <c r="D45" s="10" t="s">
        <v>206</v>
      </c>
      <c r="E45" s="3" t="s">
        <v>109</v>
      </c>
      <c r="F45" s="3" t="s">
        <v>18</v>
      </c>
      <c r="G45" s="23"/>
      <c r="H45" s="30">
        <f>SUMIFS(Giriş!$J:$J,Giriş!$H:$H,Bilgiler!H$3,Giriş!$C:$C,Bilgiler!$D45)</f>
        <v>0</v>
      </c>
      <c r="I45" s="30">
        <f>SUMIFS(Giriş!$J:$J,Giriş!$H:$H,Bilgiler!I$3,Giriş!$C:$C,Bilgiler!$D45)</f>
        <v>0</v>
      </c>
      <c r="J45" s="30">
        <f>SUMIFS(Giriş!$J:$J,Giriş!$H:$H,Bilgiler!J$3,Giriş!$C:$C,Bilgiler!$D45)</f>
        <v>0</v>
      </c>
      <c r="K45" s="30">
        <f>SUMIFS(Giriş!$J:$J,Giriş!$H:$H,Bilgiler!K$3,Giriş!$C:$C,Bilgiler!$D45)</f>
        <v>0</v>
      </c>
      <c r="L45" s="31">
        <f t="shared" si="1"/>
        <v>0</v>
      </c>
      <c r="N45" s="38">
        <f>IFERROR(IF(N44+1&gt;MAX(Giriş!L:L),"",N44+1),"")</f>
        <v>19</v>
      </c>
      <c r="O45" s="39" t="str">
        <f>IF($N45="","",VLOOKUP($N45,Giriş!$L:$O,2,0))</f>
        <v>Poşet-30 cm Tortillove Değişken</v>
      </c>
      <c r="P45" s="39" t="str">
        <f>IF($N45="","",VLOOKUP($N45,Giriş!$L:$O,3,0))</f>
        <v>MAT008141</v>
      </c>
      <c r="Q45" s="45">
        <f>IF($N45="","",VLOOKUP($N45,Giriş!$L:$O,4,0))</f>
        <v>45647</v>
      </c>
      <c r="R45" s="48">
        <f t="shared" ca="1" si="2"/>
        <v>65</v>
      </c>
      <c r="S45" s="30">
        <f t="shared" si="5"/>
        <v>0</v>
      </c>
      <c r="T45" s="30">
        <f>SUMIFS(Giriş!$J:$J,Giriş!$H:$H,Bilgiler!T$3,Giriş!$C:$C,Bilgiler!$O45,Giriş!$E:$E,Bilgiler!$P45)</f>
        <v>56400</v>
      </c>
      <c r="U45" s="30">
        <f>SUMIFS(Giriş!$J:$J,Giriş!$H:$H,Bilgiler!U$3,Giriş!$C:$C,Bilgiler!$O45,Giriş!$E:$E,Bilgiler!$P45)</f>
        <v>0</v>
      </c>
      <c r="V45" s="30">
        <f>SUMIFS(Giriş!$J:$J,Giriş!$H:$H,Bilgiler!V$3,Giriş!$C:$C,Bilgiler!$O45,Giriş!$E:$E,Bilgiler!$P45)</f>
        <v>0</v>
      </c>
      <c r="W45" s="30">
        <f>SUMIFS(Giriş!$J:$J,Giriş!$H:$H,Bilgiler!W$3,Giriş!$C:$C,Bilgiler!$O45,Giriş!$E:$E,Bilgiler!$P45)</f>
        <v>0</v>
      </c>
      <c r="X45" s="30">
        <f t="shared" si="3"/>
        <v>56400</v>
      </c>
      <c r="Y45" s="31" t="str">
        <f t="shared" ca="1" si="4"/>
        <v/>
      </c>
      <c r="AA45" s="15"/>
      <c r="AG45"/>
    </row>
    <row r="46" spans="4:33" ht="15" x14ac:dyDescent="0.25">
      <c r="D46" s="9" t="s">
        <v>197</v>
      </c>
      <c r="E46" s="2" t="s">
        <v>73</v>
      </c>
      <c r="F46" s="2" t="s">
        <v>18</v>
      </c>
      <c r="G46" s="22"/>
      <c r="H46" s="28">
        <f>SUMIFS(Giriş!$J:$J,Giriş!$H:$H,Bilgiler!H$3,Giriş!$C:$C,Bilgiler!$D46)</f>
        <v>0</v>
      </c>
      <c r="I46" s="28">
        <f>SUMIFS(Giriş!$J:$J,Giriş!$H:$H,Bilgiler!I$3,Giriş!$C:$C,Bilgiler!$D46)</f>
        <v>0</v>
      </c>
      <c r="J46" s="28">
        <f>SUMIFS(Giriş!$J:$J,Giriş!$H:$H,Bilgiler!J$3,Giriş!$C:$C,Bilgiler!$D46)</f>
        <v>0</v>
      </c>
      <c r="K46" s="28">
        <f>SUMIFS(Giriş!$J:$J,Giriş!$H:$H,Bilgiler!K$3,Giriş!$C:$C,Bilgiler!$D46)</f>
        <v>0</v>
      </c>
      <c r="L46" s="29">
        <f t="shared" si="1"/>
        <v>0</v>
      </c>
      <c r="N46" s="36">
        <f>IFERROR(IF(N45+1&gt;MAX(Giriş!L:L),"",N45+1),"")</f>
        <v>20</v>
      </c>
      <c r="O46" s="37" t="str">
        <f>IF($N46="","",VLOOKUP($N46,Giriş!$L:$O,2,0))</f>
        <v>Poşet-15 cm Komagene Tako Lavaşı</v>
      </c>
      <c r="P46" s="37" t="str">
        <f>IF($N46="","",VLOOKUP($N46,Giriş!$L:$O,3,0))</f>
        <v>MAT008140</v>
      </c>
      <c r="Q46" s="44">
        <f>IF($N46="","",VLOOKUP($N46,Giriş!$L:$O,4,0))</f>
        <v>45645</v>
      </c>
      <c r="R46" s="47">
        <f t="shared" ca="1" si="2"/>
        <v>63</v>
      </c>
      <c r="S46" s="28">
        <f t="shared" si="5"/>
        <v>0</v>
      </c>
      <c r="T46" s="28">
        <f>SUMIFS(Giriş!$J:$J,Giriş!$H:$H,Bilgiler!T$3,Giriş!$C:$C,Bilgiler!$O46,Giriş!$E:$E,Bilgiler!$P46)</f>
        <v>148000</v>
      </c>
      <c r="U46" s="28">
        <f>SUMIFS(Giriş!$J:$J,Giriş!$H:$H,Bilgiler!U$3,Giriş!$C:$C,Bilgiler!$O46,Giriş!$E:$E,Bilgiler!$P46)</f>
        <v>0</v>
      </c>
      <c r="V46" s="28">
        <f>SUMIFS(Giriş!$J:$J,Giriş!$H:$H,Bilgiler!V$3,Giriş!$C:$C,Bilgiler!$O46,Giriş!$E:$E,Bilgiler!$P46)</f>
        <v>0</v>
      </c>
      <c r="W46" s="28">
        <f>SUMIFS(Giriş!$J:$J,Giriş!$H:$H,Bilgiler!W$3,Giriş!$C:$C,Bilgiler!$O46,Giriş!$E:$E,Bilgiler!$P46)</f>
        <v>0</v>
      </c>
      <c r="X46" s="28">
        <f t="shared" si="3"/>
        <v>148000</v>
      </c>
      <c r="Y46" s="29" t="str">
        <f t="shared" ca="1" si="4"/>
        <v/>
      </c>
      <c r="AG46"/>
    </row>
    <row r="47" spans="4:33" ht="15" x14ac:dyDescent="0.25">
      <c r="D47" s="10" t="s">
        <v>168</v>
      </c>
      <c r="E47" s="3" t="s">
        <v>91</v>
      </c>
      <c r="F47" s="3" t="s">
        <v>18</v>
      </c>
      <c r="G47" s="23"/>
      <c r="H47" s="30">
        <f>SUMIFS(Giriş!$J:$J,Giriş!$H:$H,Bilgiler!H$3,Giriş!$C:$C,Bilgiler!$D47)</f>
        <v>338400</v>
      </c>
      <c r="I47" s="30">
        <f>SUMIFS(Giriş!$J:$J,Giriş!$H:$H,Bilgiler!I$3,Giriş!$C:$C,Bilgiler!$D47)</f>
        <v>0</v>
      </c>
      <c r="J47" s="30">
        <f>SUMIFS(Giriş!$J:$J,Giriş!$H:$H,Bilgiler!J$3,Giriş!$C:$C,Bilgiler!$D47)</f>
        <v>0</v>
      </c>
      <c r="K47" s="30">
        <f>SUMIFS(Giriş!$J:$J,Giriş!$H:$H,Bilgiler!K$3,Giriş!$C:$C,Bilgiler!$D47)</f>
        <v>0</v>
      </c>
      <c r="L47" s="31">
        <f t="shared" si="1"/>
        <v>338400</v>
      </c>
      <c r="N47" s="38">
        <f>IFERROR(IF(N46+1&gt;MAX(Giriş!L:L),"",N46+1),"")</f>
        <v>21</v>
      </c>
      <c r="O47" s="39" t="str">
        <f>IF($N47="","",VLOOKUP($N47,Giriş!$L:$O,2,0))</f>
        <v>Poşet-25 cm Nimet (Lam.Baskılı Zıp.Vakum )</v>
      </c>
      <c r="P47" s="39">
        <f>IF($N47="","",VLOOKUP($N47,Giriş!$L:$O,3,0))</f>
        <v>20230057</v>
      </c>
      <c r="Q47" s="45">
        <f>IF($N47="","",VLOOKUP($N47,Giriş!$L:$O,4,0))</f>
        <v>45632</v>
      </c>
      <c r="R47" s="48">
        <f t="shared" ca="1" si="2"/>
        <v>50</v>
      </c>
      <c r="S47" s="30">
        <f t="shared" si="5"/>
        <v>0</v>
      </c>
      <c r="T47" s="30">
        <f>SUMIFS(Giriş!$J:$J,Giriş!$H:$H,Bilgiler!T$3,Giriş!$C:$C,Bilgiler!$O47,Giriş!$E:$E,Bilgiler!$P47)</f>
        <v>191510</v>
      </c>
      <c r="U47" s="30">
        <f>SUMIFS(Giriş!$J:$J,Giriş!$H:$H,Bilgiler!U$3,Giriş!$C:$C,Bilgiler!$O47,Giriş!$E:$E,Bilgiler!$P47)</f>
        <v>0</v>
      </c>
      <c r="V47" s="30">
        <f>SUMIFS(Giriş!$J:$J,Giriş!$H:$H,Bilgiler!V$3,Giriş!$C:$C,Bilgiler!$O47,Giriş!$E:$E,Bilgiler!$P47)</f>
        <v>0</v>
      </c>
      <c r="W47" s="30">
        <f>SUMIFS(Giriş!$J:$J,Giriş!$H:$H,Bilgiler!W$3,Giriş!$C:$C,Bilgiler!$O47,Giriş!$E:$E,Bilgiler!$P47)</f>
        <v>0</v>
      </c>
      <c r="X47" s="30">
        <f t="shared" si="3"/>
        <v>191510</v>
      </c>
      <c r="Y47" s="31" t="str">
        <f t="shared" ca="1" si="4"/>
        <v/>
      </c>
      <c r="AG47"/>
    </row>
    <row r="48" spans="4:33" ht="15" x14ac:dyDescent="0.25">
      <c r="D48" s="9" t="s">
        <v>277</v>
      </c>
      <c r="E48" s="2" t="s">
        <v>147</v>
      </c>
      <c r="F48" s="2" t="s">
        <v>18</v>
      </c>
      <c r="G48" s="22"/>
      <c r="H48" s="28">
        <f>SUMIFS(Giriş!$J:$J,Giriş!$H:$H,Bilgiler!H$3,Giriş!$C:$C,Bilgiler!$D48)</f>
        <v>0</v>
      </c>
      <c r="I48" s="28">
        <f>SUMIFS(Giriş!$J:$J,Giriş!$H:$H,Bilgiler!I$3,Giriş!$C:$C,Bilgiler!$D48)</f>
        <v>0</v>
      </c>
      <c r="J48" s="28">
        <f>SUMIFS(Giriş!$J:$J,Giriş!$H:$H,Bilgiler!J$3,Giriş!$C:$C,Bilgiler!$D48)</f>
        <v>0</v>
      </c>
      <c r="K48" s="28">
        <f>SUMIFS(Giriş!$J:$J,Giriş!$H:$H,Bilgiler!K$3,Giriş!$C:$C,Bilgiler!$D48)</f>
        <v>0</v>
      </c>
      <c r="L48" s="29">
        <f t="shared" si="1"/>
        <v>0</v>
      </c>
      <c r="N48" s="36">
        <f>IFERROR(IF(N47+1&gt;MAX(Giriş!L:L),"",N47+1),"")</f>
        <v>22</v>
      </c>
      <c r="O48" s="37" t="str">
        <f>IF($N48="","",VLOOKUP($N48,Giriş!$L:$O,2,0))</f>
        <v>Poşet--15 cm Mutlukal Tortillas Mavi Değişken</v>
      </c>
      <c r="P48" s="37">
        <f>IF($N48="","",VLOOKUP($N48,Giriş!$L:$O,3,0))</f>
        <v>20230047</v>
      </c>
      <c r="Q48" s="44">
        <f>IF($N48="","",VLOOKUP($N48,Giriş!$L:$O,4,0))</f>
        <v>45632</v>
      </c>
      <c r="R48" s="47">
        <f t="shared" ca="1" si="2"/>
        <v>50</v>
      </c>
      <c r="S48" s="28">
        <f t="shared" si="5"/>
        <v>0</v>
      </c>
      <c r="T48" s="28">
        <f>SUMIFS(Giriş!$J:$J,Giriş!$H:$H,Bilgiler!T$3,Giriş!$C:$C,Bilgiler!$O48,Giriş!$E:$E,Bilgiler!$P48)</f>
        <v>176785</v>
      </c>
      <c r="U48" s="28">
        <f>SUMIFS(Giriş!$J:$J,Giriş!$H:$H,Bilgiler!U$3,Giriş!$C:$C,Bilgiler!$O48,Giriş!$E:$E,Bilgiler!$P48)</f>
        <v>0</v>
      </c>
      <c r="V48" s="28">
        <f>SUMIFS(Giriş!$J:$J,Giriş!$H:$H,Bilgiler!V$3,Giriş!$C:$C,Bilgiler!$O48,Giriş!$E:$E,Bilgiler!$P48)</f>
        <v>0</v>
      </c>
      <c r="W48" s="28">
        <f>SUMIFS(Giriş!$J:$J,Giriş!$H:$H,Bilgiler!W$3,Giriş!$C:$C,Bilgiler!$O48,Giriş!$E:$E,Bilgiler!$P48)</f>
        <v>0</v>
      </c>
      <c r="X48" s="28">
        <f t="shared" si="3"/>
        <v>176785</v>
      </c>
      <c r="Y48" s="29" t="str">
        <f t="shared" ca="1" si="4"/>
        <v/>
      </c>
      <c r="AG48"/>
    </row>
    <row r="49" spans="4:33" ht="15" x14ac:dyDescent="0.25">
      <c r="D49" s="10" t="s">
        <v>275</v>
      </c>
      <c r="E49" s="3" t="s">
        <v>143</v>
      </c>
      <c r="F49" s="3" t="s">
        <v>18</v>
      </c>
      <c r="G49" s="23"/>
      <c r="H49" s="30">
        <f>SUMIFS(Giriş!$J:$J,Giriş!$H:$H,Bilgiler!H$3,Giriş!$C:$C,Bilgiler!$D49)</f>
        <v>0</v>
      </c>
      <c r="I49" s="30">
        <f>SUMIFS(Giriş!$J:$J,Giriş!$H:$H,Bilgiler!I$3,Giriş!$C:$C,Bilgiler!$D49)</f>
        <v>0</v>
      </c>
      <c r="J49" s="30">
        <f>SUMIFS(Giriş!$J:$J,Giriş!$H:$H,Bilgiler!J$3,Giriş!$C:$C,Bilgiler!$D49)</f>
        <v>0</v>
      </c>
      <c r="K49" s="30">
        <f>SUMIFS(Giriş!$J:$J,Giriş!$H:$H,Bilgiler!K$3,Giriş!$C:$C,Bilgiler!$D49)</f>
        <v>0</v>
      </c>
      <c r="L49" s="31">
        <f t="shared" si="1"/>
        <v>0</v>
      </c>
      <c r="N49" s="38">
        <f>IFERROR(IF(N48+1&gt;MAX(Giriş!L:L),"",N48+1),"")</f>
        <v>23</v>
      </c>
      <c r="O49" s="39" t="str">
        <f>IF($N49="","",VLOOKUP($N49,Giriş!$L:$O,2,0))</f>
        <v>Poşet-30 cm Tortillas Ispanaklı</v>
      </c>
      <c r="P49" s="39">
        <f>IF($N49="","",VLOOKUP($N49,Giriş!$L:$O,3,0))</f>
        <v>20230051</v>
      </c>
      <c r="Q49" s="45">
        <f>IF($N49="","",VLOOKUP($N49,Giriş!$L:$O,4,0))</f>
        <v>45643</v>
      </c>
      <c r="R49" s="48">
        <f t="shared" ca="1" si="2"/>
        <v>61</v>
      </c>
      <c r="S49" s="30">
        <f t="shared" si="5"/>
        <v>0</v>
      </c>
      <c r="T49" s="30">
        <f>SUMIFS(Giriş!$J:$J,Giriş!$H:$H,Bilgiler!T$3,Giriş!$C:$C,Bilgiler!$O49,Giriş!$E:$E,Bilgiler!$P49)</f>
        <v>65045</v>
      </c>
      <c r="U49" s="30">
        <f>SUMIFS(Giriş!$J:$J,Giriş!$H:$H,Bilgiler!U$3,Giriş!$C:$C,Bilgiler!$O49,Giriş!$E:$E,Bilgiler!$P49)</f>
        <v>0</v>
      </c>
      <c r="V49" s="30">
        <f>SUMIFS(Giriş!$J:$J,Giriş!$H:$H,Bilgiler!V$3,Giriş!$C:$C,Bilgiler!$O49,Giriş!$E:$E,Bilgiler!$P49)</f>
        <v>0</v>
      </c>
      <c r="W49" s="30">
        <f>SUMIFS(Giriş!$J:$J,Giriş!$H:$H,Bilgiler!W$3,Giriş!$C:$C,Bilgiler!$O49,Giriş!$E:$E,Bilgiler!$P49)</f>
        <v>0</v>
      </c>
      <c r="X49" s="30">
        <f t="shared" si="3"/>
        <v>65045</v>
      </c>
      <c r="Y49" s="31" t="str">
        <f t="shared" ca="1" si="4"/>
        <v/>
      </c>
      <c r="AG49"/>
    </row>
    <row r="50" spans="4:33" ht="15" x14ac:dyDescent="0.25">
      <c r="D50" s="9" t="s">
        <v>278</v>
      </c>
      <c r="E50" s="2" t="s">
        <v>152</v>
      </c>
      <c r="F50" s="2" t="s">
        <v>18</v>
      </c>
      <c r="G50" s="22"/>
      <c r="H50" s="28">
        <f>SUMIFS(Giriş!$J:$J,Giriş!$H:$H,Bilgiler!H$3,Giriş!$C:$C,Bilgiler!$D50)</f>
        <v>0</v>
      </c>
      <c r="I50" s="28">
        <f>SUMIFS(Giriş!$J:$J,Giriş!$H:$H,Bilgiler!I$3,Giriş!$C:$C,Bilgiler!$D50)</f>
        <v>0</v>
      </c>
      <c r="J50" s="28">
        <f>SUMIFS(Giriş!$J:$J,Giriş!$H:$H,Bilgiler!J$3,Giriş!$C:$C,Bilgiler!$D50)</f>
        <v>0</v>
      </c>
      <c r="K50" s="28">
        <f>SUMIFS(Giriş!$J:$J,Giriş!$H:$H,Bilgiler!K$3,Giriş!$C:$C,Bilgiler!$D50)</f>
        <v>0</v>
      </c>
      <c r="L50" s="29">
        <f t="shared" si="1"/>
        <v>0</v>
      </c>
      <c r="N50" s="36">
        <f>IFERROR(IF(N49+1&gt;MAX(Giriş!L:L),"",N49+1),"")</f>
        <v>24</v>
      </c>
      <c r="O50" s="37" t="str">
        <f>IF($N50="","",VLOOKUP($N50,Giriş!$L:$O,2,0))</f>
        <v>Poşet-30 cm Tortillas Domatesli</v>
      </c>
      <c r="P50" s="37">
        <f>IF($N50="","",VLOOKUP($N50,Giriş!$L:$O,3,0))</f>
        <v>20230054</v>
      </c>
      <c r="Q50" s="44">
        <f>IF($N50="","",VLOOKUP($N50,Giriş!$L:$O,4,0))</f>
        <v>45644</v>
      </c>
      <c r="R50" s="47">
        <f t="shared" ca="1" si="2"/>
        <v>62</v>
      </c>
      <c r="S50" s="28">
        <f t="shared" si="5"/>
        <v>0</v>
      </c>
      <c r="T50" s="28">
        <f>SUMIFS(Giriş!$J:$J,Giriş!$H:$H,Bilgiler!T$3,Giriş!$C:$C,Bilgiler!$O50,Giriş!$E:$E,Bilgiler!$P50)</f>
        <v>62580</v>
      </c>
      <c r="U50" s="28">
        <f>SUMIFS(Giriş!$J:$J,Giriş!$H:$H,Bilgiler!U$3,Giriş!$C:$C,Bilgiler!$O50,Giriş!$E:$E,Bilgiler!$P50)</f>
        <v>0</v>
      </c>
      <c r="V50" s="28">
        <f>SUMIFS(Giriş!$J:$J,Giriş!$H:$H,Bilgiler!V$3,Giriş!$C:$C,Bilgiler!$O50,Giriş!$E:$E,Bilgiler!$P50)</f>
        <v>0</v>
      </c>
      <c r="W50" s="28">
        <f>SUMIFS(Giriş!$J:$J,Giriş!$H:$H,Bilgiler!W$3,Giriş!$C:$C,Bilgiler!$O50,Giriş!$E:$E,Bilgiler!$P50)</f>
        <v>0</v>
      </c>
      <c r="X50" s="28">
        <f t="shared" si="3"/>
        <v>62580</v>
      </c>
      <c r="Y50" s="29" t="str">
        <f t="shared" ca="1" si="4"/>
        <v/>
      </c>
      <c r="AG50"/>
    </row>
    <row r="51" spans="4:33" ht="15" x14ac:dyDescent="0.25">
      <c r="D51" s="10" t="s">
        <v>207</v>
      </c>
      <c r="E51" s="3" t="s">
        <v>41</v>
      </c>
      <c r="F51" s="3" t="s">
        <v>18</v>
      </c>
      <c r="G51" s="23"/>
      <c r="H51" s="30">
        <f>SUMIFS(Giriş!$J:$J,Giriş!$H:$H,Bilgiler!H$3,Giriş!$C:$C,Bilgiler!$D51)</f>
        <v>0</v>
      </c>
      <c r="I51" s="30">
        <f>SUMIFS(Giriş!$J:$J,Giriş!$H:$H,Bilgiler!I$3,Giriş!$C:$C,Bilgiler!$D51)</f>
        <v>0</v>
      </c>
      <c r="J51" s="30">
        <f>SUMIFS(Giriş!$J:$J,Giriş!$H:$H,Bilgiler!J$3,Giriş!$C:$C,Bilgiler!$D51)</f>
        <v>0</v>
      </c>
      <c r="K51" s="30">
        <f>SUMIFS(Giriş!$J:$J,Giriş!$H:$H,Bilgiler!K$3,Giriş!$C:$C,Bilgiler!$D51)</f>
        <v>0</v>
      </c>
      <c r="L51" s="31">
        <f t="shared" si="1"/>
        <v>0</v>
      </c>
      <c r="N51" s="38">
        <f>IFERROR(IF(N50+1&gt;MAX(Giriş!L:L),"",N50+1),"")</f>
        <v>25</v>
      </c>
      <c r="O51" s="39" t="str">
        <f>IF($N51="","",VLOOKUP($N51,Giriş!$L:$O,2,0))</f>
        <v>Poşet-30 cm Tortillas Kırmızı Sade</v>
      </c>
      <c r="P51" s="39">
        <f>IF($N51="","",VLOOKUP($N51,Giriş!$L:$O,3,0))</f>
        <v>20230053</v>
      </c>
      <c r="Q51" s="45">
        <f>IF($N51="","",VLOOKUP($N51,Giriş!$L:$O,4,0))</f>
        <v>45640</v>
      </c>
      <c r="R51" s="48">
        <f t="shared" ca="1" si="2"/>
        <v>58</v>
      </c>
      <c r="S51" s="30">
        <f t="shared" si="5"/>
        <v>0</v>
      </c>
      <c r="T51" s="30">
        <f>SUMIFS(Giriş!$J:$J,Giriş!$H:$H,Bilgiler!T$3,Giriş!$C:$C,Bilgiler!$O51,Giriş!$E:$E,Bilgiler!$P51)</f>
        <v>65485</v>
      </c>
      <c r="U51" s="30">
        <f>SUMIFS(Giriş!$J:$J,Giriş!$H:$H,Bilgiler!U$3,Giriş!$C:$C,Bilgiler!$O51,Giriş!$E:$E,Bilgiler!$P51)</f>
        <v>0</v>
      </c>
      <c r="V51" s="30">
        <f>SUMIFS(Giriş!$J:$J,Giriş!$H:$H,Bilgiler!V$3,Giriş!$C:$C,Bilgiler!$O51,Giriş!$E:$E,Bilgiler!$P51)</f>
        <v>0</v>
      </c>
      <c r="W51" s="30">
        <f>SUMIFS(Giriş!$J:$J,Giriş!$H:$H,Bilgiler!W$3,Giriş!$C:$C,Bilgiler!$O51,Giriş!$E:$E,Bilgiler!$P51)</f>
        <v>0</v>
      </c>
      <c r="X51" s="30">
        <f t="shared" si="3"/>
        <v>65485</v>
      </c>
      <c r="Y51" s="31" t="str">
        <f t="shared" ca="1" si="4"/>
        <v/>
      </c>
      <c r="AG51"/>
    </row>
    <row r="52" spans="4:33" ht="15" x14ac:dyDescent="0.25">
      <c r="D52" s="9" t="s">
        <v>194</v>
      </c>
      <c r="E52" s="2" t="s">
        <v>46</v>
      </c>
      <c r="F52" s="2" t="s">
        <v>18</v>
      </c>
      <c r="G52" s="22"/>
      <c r="H52" s="28">
        <f>SUMIFS(Giriş!$J:$J,Giriş!$H:$H,Bilgiler!H$3,Giriş!$C:$C,Bilgiler!$D52)</f>
        <v>154000</v>
      </c>
      <c r="I52" s="28">
        <f>SUMIFS(Giriş!$J:$J,Giriş!$H:$H,Bilgiler!I$3,Giriş!$C:$C,Bilgiler!$D52)</f>
        <v>0</v>
      </c>
      <c r="J52" s="28">
        <f>SUMIFS(Giriş!$J:$J,Giriş!$H:$H,Bilgiler!J$3,Giriş!$C:$C,Bilgiler!$D52)</f>
        <v>0</v>
      </c>
      <c r="K52" s="28">
        <f>SUMIFS(Giriş!$J:$J,Giriş!$H:$H,Bilgiler!K$3,Giriş!$C:$C,Bilgiler!$D52)</f>
        <v>0</v>
      </c>
      <c r="L52" s="29">
        <f t="shared" si="1"/>
        <v>154000</v>
      </c>
      <c r="N52" s="36">
        <f>IFERROR(IF(N51+1&gt;MAX(Giriş!L:L),"",N51+1),"")</f>
        <v>26</v>
      </c>
      <c r="O52" s="37" t="str">
        <f>IF($N52="","",VLOOKUP($N52,Giriş!$L:$O,2,0))</f>
        <v>Poşet-30 cm Tortillas Tam Buğdaylı</v>
      </c>
      <c r="P52" s="37">
        <f>IF($N52="","",VLOOKUP($N52,Giriş!$L:$O,3,0))</f>
        <v>20230052</v>
      </c>
      <c r="Q52" s="44">
        <f>IF($N52="","",VLOOKUP($N52,Giriş!$L:$O,4,0))</f>
        <v>45639</v>
      </c>
      <c r="R52" s="47">
        <f t="shared" ca="1" si="2"/>
        <v>57</v>
      </c>
      <c r="S52" s="28">
        <f t="shared" si="5"/>
        <v>0</v>
      </c>
      <c r="T52" s="28">
        <f>SUMIFS(Giriş!$J:$J,Giriş!$H:$H,Bilgiler!T$3,Giriş!$C:$C,Bilgiler!$O52,Giriş!$E:$E,Bilgiler!$P52)</f>
        <v>67377</v>
      </c>
      <c r="U52" s="28">
        <f>SUMIFS(Giriş!$J:$J,Giriş!$H:$H,Bilgiler!U$3,Giriş!$C:$C,Bilgiler!$O52,Giriş!$E:$E,Bilgiler!$P52)</f>
        <v>0</v>
      </c>
      <c r="V52" s="28">
        <f>SUMIFS(Giriş!$J:$J,Giriş!$H:$H,Bilgiler!V$3,Giriş!$C:$C,Bilgiler!$O52,Giriş!$E:$E,Bilgiler!$P52)</f>
        <v>0</v>
      </c>
      <c r="W52" s="28">
        <f>SUMIFS(Giriş!$J:$J,Giriş!$H:$H,Bilgiler!W$3,Giriş!$C:$C,Bilgiler!$O52,Giriş!$E:$E,Bilgiler!$P52)</f>
        <v>0</v>
      </c>
      <c r="X52" s="28">
        <f t="shared" si="3"/>
        <v>67377</v>
      </c>
      <c r="Y52" s="29" t="str">
        <f t="shared" ca="1" si="4"/>
        <v/>
      </c>
      <c r="AG52"/>
    </row>
    <row r="53" spans="4:33" ht="15" x14ac:dyDescent="0.25">
      <c r="D53" s="10" t="s">
        <v>259</v>
      </c>
      <c r="E53" s="3" t="s">
        <v>129</v>
      </c>
      <c r="F53" s="3" t="s">
        <v>18</v>
      </c>
      <c r="G53" s="23"/>
      <c r="H53" s="30">
        <f>SUMIFS(Giriş!$J:$J,Giriş!$H:$H,Bilgiler!H$3,Giriş!$C:$C,Bilgiler!$D53)</f>
        <v>0</v>
      </c>
      <c r="I53" s="30">
        <f>SUMIFS(Giriş!$J:$J,Giriş!$H:$H,Bilgiler!I$3,Giriş!$C:$C,Bilgiler!$D53)</f>
        <v>0</v>
      </c>
      <c r="J53" s="30">
        <f>SUMIFS(Giriş!$J:$J,Giriş!$H:$H,Bilgiler!J$3,Giriş!$C:$C,Bilgiler!$D53)</f>
        <v>0</v>
      </c>
      <c r="K53" s="30">
        <f>SUMIFS(Giriş!$J:$J,Giriş!$H:$H,Bilgiler!K$3,Giriş!$C:$C,Bilgiler!$D53)</f>
        <v>0</v>
      </c>
      <c r="L53" s="31">
        <f t="shared" si="1"/>
        <v>0</v>
      </c>
      <c r="N53" s="38">
        <f>IFERROR(IF(N52+1&gt;MAX(Giriş!L:L),"",N52+1),"")</f>
        <v>27</v>
      </c>
      <c r="O53" s="39" t="str">
        <f>IF($N53="","",VLOOKUP($N53,Giriş!$L:$O,2,0))</f>
        <v>Poşet-30 cm Sofias</v>
      </c>
      <c r="P53" s="39" t="str">
        <f>IF($N53="","",VLOOKUP($N53,Giriş!$L:$O,3,0))</f>
        <v>MAT008192</v>
      </c>
      <c r="Q53" s="45">
        <f>IF($N53="","",VLOOKUP($N53,Giriş!$L:$O,4,0))</f>
        <v>45476</v>
      </c>
      <c r="R53" s="48">
        <f t="shared" ca="1" si="2"/>
        <v>-106</v>
      </c>
      <c r="S53" s="30">
        <f t="shared" si="5"/>
        <v>0</v>
      </c>
      <c r="T53" s="30">
        <f>SUMIFS(Giriş!$J:$J,Giriş!$H:$H,Bilgiler!T$3,Giriş!$C:$C,Bilgiler!$O53,Giriş!$E:$E,Bilgiler!$P53)</f>
        <v>60400</v>
      </c>
      <c r="U53" s="30">
        <f>SUMIFS(Giriş!$J:$J,Giriş!$H:$H,Bilgiler!U$3,Giriş!$C:$C,Bilgiler!$O53,Giriş!$E:$E,Bilgiler!$P53)</f>
        <v>0</v>
      </c>
      <c r="V53" s="30">
        <f>SUMIFS(Giriş!$J:$J,Giriş!$H:$H,Bilgiler!V$3,Giriş!$C:$C,Bilgiler!$O53,Giriş!$E:$E,Bilgiler!$P53)</f>
        <v>0</v>
      </c>
      <c r="W53" s="30">
        <f>SUMIFS(Giriş!$J:$J,Giriş!$H:$H,Bilgiler!W$3,Giriş!$C:$C,Bilgiler!$O53,Giriş!$E:$E,Bilgiler!$P53)</f>
        <v>0</v>
      </c>
      <c r="X53" s="30">
        <f t="shared" si="3"/>
        <v>60400</v>
      </c>
      <c r="Y53" s="31" t="str">
        <f t="shared" ca="1" si="4"/>
        <v>Raf Ömrü Geçti</v>
      </c>
      <c r="AG53"/>
    </row>
    <row r="54" spans="4:33" ht="15" x14ac:dyDescent="0.25">
      <c r="D54" s="9" t="s">
        <v>169</v>
      </c>
      <c r="E54" s="2" t="s">
        <v>80</v>
      </c>
      <c r="F54" s="2" t="s">
        <v>18</v>
      </c>
      <c r="G54" s="22"/>
      <c r="H54" s="28">
        <f>SUMIFS(Giriş!$J:$J,Giriş!$H:$H,Bilgiler!H$3,Giriş!$C:$C,Bilgiler!$D54)</f>
        <v>451050</v>
      </c>
      <c r="I54" s="28">
        <f>SUMIFS(Giriş!$J:$J,Giriş!$H:$H,Bilgiler!I$3,Giriş!$C:$C,Bilgiler!$D54)</f>
        <v>0</v>
      </c>
      <c r="J54" s="28">
        <f>SUMIFS(Giriş!$J:$J,Giriş!$H:$H,Bilgiler!J$3,Giriş!$C:$C,Bilgiler!$D54)</f>
        <v>0</v>
      </c>
      <c r="K54" s="28">
        <f>SUMIFS(Giriş!$J:$J,Giriş!$H:$H,Bilgiler!K$3,Giriş!$C:$C,Bilgiler!$D54)</f>
        <v>0</v>
      </c>
      <c r="L54" s="29">
        <f t="shared" si="1"/>
        <v>451050</v>
      </c>
      <c r="N54" s="36">
        <f>IFERROR(IF(N53+1&gt;MAX(Giriş!L:L),"",N53+1),"")</f>
        <v>28</v>
      </c>
      <c r="O54" s="37" t="str">
        <f>IF($N54="","",VLOOKUP($N54,Giriş!$L:$O,2,0))</f>
        <v>Poşet-25 cm Alkafeel</v>
      </c>
      <c r="P54" s="37" t="str">
        <f>IF($N54="","",VLOOKUP($N54,Giriş!$L:$O,3,0))</f>
        <v>MAT008191</v>
      </c>
      <c r="Q54" s="44">
        <f>IF($N54="","",VLOOKUP($N54,Giriş!$L:$O,4,0))</f>
        <v>45477</v>
      </c>
      <c r="R54" s="47">
        <f t="shared" ca="1" si="2"/>
        <v>-105</v>
      </c>
      <c r="S54" s="28">
        <f t="shared" si="5"/>
        <v>0</v>
      </c>
      <c r="T54" s="28">
        <f>SUMIFS(Giriş!$J:$J,Giriş!$H:$H,Bilgiler!T$3,Giriş!$C:$C,Bilgiler!$O54,Giriş!$E:$E,Bilgiler!$P54)</f>
        <v>78400</v>
      </c>
      <c r="U54" s="28">
        <f>SUMIFS(Giriş!$J:$J,Giriş!$H:$H,Bilgiler!U$3,Giriş!$C:$C,Bilgiler!$O54,Giriş!$E:$E,Bilgiler!$P54)</f>
        <v>0</v>
      </c>
      <c r="V54" s="28">
        <f>SUMIFS(Giriş!$J:$J,Giriş!$H:$H,Bilgiler!V$3,Giriş!$C:$C,Bilgiler!$O54,Giriş!$E:$E,Bilgiler!$P54)</f>
        <v>0</v>
      </c>
      <c r="W54" s="28">
        <f>SUMIFS(Giriş!$J:$J,Giriş!$H:$H,Bilgiler!W$3,Giriş!$C:$C,Bilgiler!$O54,Giriş!$E:$E,Bilgiler!$P54)</f>
        <v>0</v>
      </c>
      <c r="X54" s="28">
        <f t="shared" si="3"/>
        <v>78400</v>
      </c>
      <c r="Y54" s="29" t="str">
        <f t="shared" ca="1" si="4"/>
        <v>Raf Ömrü Geçti</v>
      </c>
      <c r="AG54"/>
    </row>
    <row r="55" spans="4:33" ht="15" x14ac:dyDescent="0.25">
      <c r="D55" s="10" t="s">
        <v>224</v>
      </c>
      <c r="E55" s="3" t="s">
        <v>37</v>
      </c>
      <c r="F55" s="3" t="s">
        <v>18</v>
      </c>
      <c r="G55" s="23"/>
      <c r="H55" s="30">
        <f>SUMIFS(Giriş!$J:$J,Giriş!$H:$H,Bilgiler!H$3,Giriş!$C:$C,Bilgiler!$D55)</f>
        <v>0</v>
      </c>
      <c r="I55" s="30">
        <f>SUMIFS(Giriş!$J:$J,Giriş!$H:$H,Bilgiler!I$3,Giriş!$C:$C,Bilgiler!$D55)</f>
        <v>0</v>
      </c>
      <c r="J55" s="30">
        <f>SUMIFS(Giriş!$J:$J,Giriş!$H:$H,Bilgiler!J$3,Giriş!$C:$C,Bilgiler!$D55)</f>
        <v>0</v>
      </c>
      <c r="K55" s="30">
        <f>SUMIFS(Giriş!$J:$J,Giriş!$H:$H,Bilgiler!K$3,Giriş!$C:$C,Bilgiler!$D55)</f>
        <v>0</v>
      </c>
      <c r="L55" s="31">
        <f t="shared" si="1"/>
        <v>0</v>
      </c>
      <c r="N55" s="38">
        <f>IFERROR(IF(N54+1&gt;MAX(Giriş!L:L),"",N54+1),"")</f>
        <v>29</v>
      </c>
      <c r="O55" s="39" t="str">
        <f>IF($N55="","",VLOOKUP($N55,Giriş!$L:$O,2,0))</f>
        <v>Poşet-30 cm Happylla Değişken</v>
      </c>
      <c r="P55" s="39" t="str">
        <f>IF($N55="","",VLOOKUP($N55,Giriş!$L:$O,3,0))</f>
        <v>MAT008193</v>
      </c>
      <c r="Q55" s="45">
        <f>IF($N55="","",VLOOKUP($N55,Giriş!$L:$O,4,0))</f>
        <v>45484</v>
      </c>
      <c r="R55" s="48">
        <f t="shared" ca="1" si="2"/>
        <v>-98</v>
      </c>
      <c r="S55" s="30">
        <f t="shared" si="5"/>
        <v>0</v>
      </c>
      <c r="T55" s="30">
        <f>SUMIFS(Giriş!$J:$J,Giriş!$H:$H,Bilgiler!T$3,Giriş!$C:$C,Bilgiler!$O55,Giriş!$E:$E,Bilgiler!$P55)</f>
        <v>50400</v>
      </c>
      <c r="U55" s="30">
        <f>SUMIFS(Giriş!$J:$J,Giriş!$H:$H,Bilgiler!U$3,Giriş!$C:$C,Bilgiler!$O55,Giriş!$E:$E,Bilgiler!$P55)</f>
        <v>0</v>
      </c>
      <c r="V55" s="30">
        <f>SUMIFS(Giriş!$J:$J,Giriş!$H:$H,Bilgiler!V$3,Giriş!$C:$C,Bilgiler!$O55,Giriş!$E:$E,Bilgiler!$P55)</f>
        <v>0</v>
      </c>
      <c r="W55" s="30">
        <f>SUMIFS(Giriş!$J:$J,Giriş!$H:$H,Bilgiler!W$3,Giriş!$C:$C,Bilgiler!$O55,Giriş!$E:$E,Bilgiler!$P55)</f>
        <v>0</v>
      </c>
      <c r="X55" s="30">
        <f t="shared" si="3"/>
        <v>50400</v>
      </c>
      <c r="Y55" s="31" t="str">
        <f t="shared" ca="1" si="4"/>
        <v>Raf Ömrü Geçti</v>
      </c>
      <c r="AG55"/>
    </row>
    <row r="56" spans="4:33" ht="15" x14ac:dyDescent="0.25">
      <c r="D56" s="9" t="s">
        <v>233</v>
      </c>
      <c r="E56" s="2" t="s">
        <v>85</v>
      </c>
      <c r="F56" s="2" t="s">
        <v>18</v>
      </c>
      <c r="G56" s="22"/>
      <c r="H56" s="28">
        <f>SUMIFS(Giriş!$J:$J,Giriş!$H:$H,Bilgiler!H$3,Giriş!$C:$C,Bilgiler!$D56)</f>
        <v>152800</v>
      </c>
      <c r="I56" s="28">
        <f>SUMIFS(Giriş!$J:$J,Giriş!$H:$H,Bilgiler!I$3,Giriş!$C:$C,Bilgiler!$D56)</f>
        <v>0</v>
      </c>
      <c r="J56" s="28">
        <f>SUMIFS(Giriş!$J:$J,Giriş!$H:$H,Bilgiler!J$3,Giriş!$C:$C,Bilgiler!$D56)</f>
        <v>0</v>
      </c>
      <c r="K56" s="28">
        <f>SUMIFS(Giriş!$J:$J,Giriş!$H:$H,Bilgiler!K$3,Giriş!$C:$C,Bilgiler!$D56)</f>
        <v>0</v>
      </c>
      <c r="L56" s="29">
        <f t="shared" si="1"/>
        <v>152800</v>
      </c>
      <c r="N56" s="36">
        <f>IFERROR(IF(N55+1&gt;MAX(Giriş!L:L),"",N55+1),"")</f>
        <v>30</v>
      </c>
      <c r="O56" s="37" t="str">
        <f>IF($N56="","",VLOOKUP($N56,Giriş!$L:$O,2,0))</f>
        <v>Poşet-30 cm Mutlukal Tortillas Değişken</v>
      </c>
      <c r="P56" s="37" t="str">
        <f>IF($N56="","",VLOOKUP($N56,Giriş!$L:$O,3,0))</f>
        <v>2023-M0612</v>
      </c>
      <c r="Q56" s="44">
        <f>IF($N56="","",VLOOKUP($N56,Giriş!$L:$O,4,0))</f>
        <v>45653</v>
      </c>
      <c r="R56" s="47">
        <f t="shared" ca="1" si="2"/>
        <v>71</v>
      </c>
      <c r="S56" s="28">
        <f t="shared" si="5"/>
        <v>0</v>
      </c>
      <c r="T56" s="28">
        <f>SUMIFS(Giriş!$J:$J,Giriş!$H:$H,Bilgiler!T$3,Giriş!$C:$C,Bilgiler!$O56,Giriş!$E:$E,Bilgiler!$P56)</f>
        <v>56400</v>
      </c>
      <c r="U56" s="28">
        <f>SUMIFS(Giriş!$J:$J,Giriş!$H:$H,Bilgiler!U$3,Giriş!$C:$C,Bilgiler!$O56,Giriş!$E:$E,Bilgiler!$P56)</f>
        <v>0</v>
      </c>
      <c r="V56" s="28">
        <f>SUMIFS(Giriş!$J:$J,Giriş!$H:$H,Bilgiler!V$3,Giriş!$C:$C,Bilgiler!$O56,Giriş!$E:$E,Bilgiler!$P56)</f>
        <v>0</v>
      </c>
      <c r="W56" s="28">
        <f>SUMIFS(Giriş!$J:$J,Giriş!$H:$H,Bilgiler!W$3,Giriş!$C:$C,Bilgiler!$O56,Giriş!$E:$E,Bilgiler!$P56)</f>
        <v>0</v>
      </c>
      <c r="X56" s="28">
        <f t="shared" si="3"/>
        <v>56400</v>
      </c>
      <c r="Y56" s="29" t="str">
        <f t="shared" ca="1" si="4"/>
        <v/>
      </c>
      <c r="AG56"/>
    </row>
    <row r="57" spans="4:33" ht="15" x14ac:dyDescent="0.25">
      <c r="D57" s="10" t="s">
        <v>219</v>
      </c>
      <c r="E57" s="3" t="s">
        <v>55</v>
      </c>
      <c r="F57" s="3" t="s">
        <v>18</v>
      </c>
      <c r="G57" s="23"/>
      <c r="H57" s="30">
        <f>SUMIFS(Giriş!$J:$J,Giriş!$H:$H,Bilgiler!H$3,Giriş!$C:$C,Bilgiler!$D57)</f>
        <v>0</v>
      </c>
      <c r="I57" s="30">
        <f>SUMIFS(Giriş!$J:$J,Giriş!$H:$H,Bilgiler!I$3,Giriş!$C:$C,Bilgiler!$D57)</f>
        <v>0</v>
      </c>
      <c r="J57" s="30">
        <f>SUMIFS(Giriş!$J:$J,Giriş!$H:$H,Bilgiler!J$3,Giriş!$C:$C,Bilgiler!$D57)</f>
        <v>0</v>
      </c>
      <c r="K57" s="30">
        <f>SUMIFS(Giriş!$J:$J,Giriş!$H:$H,Bilgiler!K$3,Giriş!$C:$C,Bilgiler!$D57)</f>
        <v>0</v>
      </c>
      <c r="L57" s="31">
        <f t="shared" si="1"/>
        <v>0</v>
      </c>
      <c r="N57" s="38">
        <f>IFERROR(IF(N56+1&gt;MAX(Giriş!L:L),"",N56+1),"")</f>
        <v>31</v>
      </c>
      <c r="O57" s="39" t="str">
        <f>IF($N57="","",VLOOKUP($N57,Giriş!$L:$O,2,0))</f>
        <v>Poşet-15 cm Mutlukal Taco</v>
      </c>
      <c r="P57" s="39" t="str">
        <f>IF($N57="","",VLOOKUP($N57,Giriş!$L:$O,3,0))</f>
        <v>2023-M0612</v>
      </c>
      <c r="Q57" s="45">
        <f>IF($N57="","",VLOOKUP($N57,Giriş!$L:$O,4,0))</f>
        <v>45655</v>
      </c>
      <c r="R57" s="48">
        <f t="shared" ca="1" si="2"/>
        <v>73</v>
      </c>
      <c r="S57" s="30">
        <f t="shared" si="5"/>
        <v>0</v>
      </c>
      <c r="T57" s="30">
        <f>SUMIFS(Giriş!$J:$J,Giriş!$H:$H,Bilgiler!T$3,Giriş!$C:$C,Bilgiler!$O57,Giriş!$E:$E,Bilgiler!$P57)</f>
        <v>104000</v>
      </c>
      <c r="U57" s="30">
        <f>SUMIFS(Giriş!$J:$J,Giriş!$H:$H,Bilgiler!U$3,Giriş!$C:$C,Bilgiler!$O57,Giriş!$E:$E,Bilgiler!$P57)</f>
        <v>0</v>
      </c>
      <c r="V57" s="30">
        <f>SUMIFS(Giriş!$J:$J,Giriş!$H:$H,Bilgiler!V$3,Giriş!$C:$C,Bilgiler!$O57,Giriş!$E:$E,Bilgiler!$P57)</f>
        <v>0</v>
      </c>
      <c r="W57" s="30">
        <f>SUMIFS(Giriş!$J:$J,Giriş!$H:$H,Bilgiler!W$3,Giriş!$C:$C,Bilgiler!$O57,Giriş!$E:$E,Bilgiler!$P57)</f>
        <v>0</v>
      </c>
      <c r="X57" s="30">
        <f t="shared" si="3"/>
        <v>104000</v>
      </c>
      <c r="Y57" s="31" t="str">
        <f t="shared" ca="1" si="4"/>
        <v/>
      </c>
      <c r="AG57"/>
    </row>
    <row r="58" spans="4:33" ht="15" x14ac:dyDescent="0.25">
      <c r="D58" s="9" t="s">
        <v>170</v>
      </c>
      <c r="E58" s="2" t="s">
        <v>40</v>
      </c>
      <c r="F58" s="2" t="s">
        <v>18</v>
      </c>
      <c r="G58" s="22"/>
      <c r="H58" s="28">
        <f>SUMIFS(Giriş!$J:$J,Giriş!$H:$H,Bilgiler!H$3,Giriş!$C:$C,Bilgiler!$D58)</f>
        <v>0</v>
      </c>
      <c r="I58" s="28">
        <f>SUMIFS(Giriş!$J:$J,Giriş!$H:$H,Bilgiler!I$3,Giriş!$C:$C,Bilgiler!$D58)</f>
        <v>0</v>
      </c>
      <c r="J58" s="28">
        <f>SUMIFS(Giriş!$J:$J,Giriş!$H:$H,Bilgiler!J$3,Giriş!$C:$C,Bilgiler!$D58)</f>
        <v>0</v>
      </c>
      <c r="K58" s="28">
        <f>SUMIFS(Giriş!$J:$J,Giriş!$H:$H,Bilgiler!K$3,Giriş!$C:$C,Bilgiler!$D58)</f>
        <v>0</v>
      </c>
      <c r="L58" s="29">
        <f t="shared" si="1"/>
        <v>0</v>
      </c>
      <c r="N58" s="36">
        <f>IFERROR(IF(N57+1&gt;MAX(Giriş!L:L),"",N57+1),"")</f>
        <v>32</v>
      </c>
      <c r="O58" s="37" t="str">
        <f>IF($N58="","",VLOOKUP($N58,Giriş!$L:$O,2,0))</f>
        <v>Poşet--15 cm Mutlukal Tortillas Mavi Değişken</v>
      </c>
      <c r="P58" s="37" t="str">
        <f>IF($N58="","",VLOOKUP($N58,Giriş!$L:$O,3,0))</f>
        <v>2023-M0612</v>
      </c>
      <c r="Q58" s="44">
        <f>IF($N58="","",VLOOKUP($N58,Giriş!$L:$O,4,0))</f>
        <v>45654</v>
      </c>
      <c r="R58" s="47">
        <f t="shared" ca="1" si="2"/>
        <v>72</v>
      </c>
      <c r="S58" s="28">
        <f t="shared" si="5"/>
        <v>0</v>
      </c>
      <c r="T58" s="28">
        <f>SUMIFS(Giriş!$J:$J,Giriş!$H:$H,Bilgiler!T$3,Giriş!$C:$C,Bilgiler!$O58,Giriş!$E:$E,Bilgiler!$P58)</f>
        <v>157500</v>
      </c>
      <c r="U58" s="28">
        <f>SUMIFS(Giriş!$J:$J,Giriş!$H:$H,Bilgiler!U$3,Giriş!$C:$C,Bilgiler!$O58,Giriş!$E:$E,Bilgiler!$P58)</f>
        <v>0</v>
      </c>
      <c r="V58" s="28">
        <f>SUMIFS(Giriş!$J:$J,Giriş!$H:$H,Bilgiler!V$3,Giriş!$C:$C,Bilgiler!$O58,Giriş!$E:$E,Bilgiler!$P58)</f>
        <v>0</v>
      </c>
      <c r="W58" s="28">
        <f>SUMIFS(Giriş!$J:$J,Giriş!$H:$H,Bilgiler!W$3,Giriş!$C:$C,Bilgiler!$O58,Giriş!$E:$E,Bilgiler!$P58)</f>
        <v>0</v>
      </c>
      <c r="X58" s="28">
        <f t="shared" si="3"/>
        <v>157500</v>
      </c>
      <c r="Y58" s="29" t="str">
        <f t="shared" ca="1" si="4"/>
        <v/>
      </c>
      <c r="AG58"/>
    </row>
    <row r="59" spans="4:33" ht="15" x14ac:dyDescent="0.25">
      <c r="D59" s="10" t="s">
        <v>212</v>
      </c>
      <c r="E59" s="3" t="s">
        <v>67</v>
      </c>
      <c r="F59" s="3" t="s">
        <v>18</v>
      </c>
      <c r="G59" s="23"/>
      <c r="H59" s="30">
        <f>SUMIFS(Giriş!$J:$J,Giriş!$H:$H,Bilgiler!H$3,Giriş!$C:$C,Bilgiler!$D59)</f>
        <v>0</v>
      </c>
      <c r="I59" s="30">
        <f>SUMIFS(Giriş!$J:$J,Giriş!$H:$H,Bilgiler!I$3,Giriş!$C:$C,Bilgiler!$D59)</f>
        <v>0</v>
      </c>
      <c r="J59" s="30">
        <f>SUMIFS(Giriş!$J:$J,Giriş!$H:$H,Bilgiler!J$3,Giriş!$C:$C,Bilgiler!$D59)</f>
        <v>0</v>
      </c>
      <c r="K59" s="30">
        <f>SUMIFS(Giriş!$J:$J,Giriş!$H:$H,Bilgiler!K$3,Giriş!$C:$C,Bilgiler!$D59)</f>
        <v>0</v>
      </c>
      <c r="L59" s="31">
        <f t="shared" si="1"/>
        <v>0</v>
      </c>
      <c r="N59" s="38">
        <f>IFERROR(IF(N58+1&gt;MAX(Giriş!L:L),"",N58+1),"")</f>
        <v>33</v>
      </c>
      <c r="O59" s="39" t="str">
        <f>IF($N59="","",VLOOKUP($N59,Giriş!$L:$O,2,0))</f>
        <v>Poşet-25 cm Mutlukal Tortillas 260 Gr ( Rusca )</v>
      </c>
      <c r="P59" s="39" t="str">
        <f>IF($N59="","",VLOOKUP($N59,Giriş!$L:$O,3,0))</f>
        <v>2023-M0612</v>
      </c>
      <c r="Q59" s="45">
        <f>IF($N59="","",VLOOKUP($N59,Giriş!$L:$O,4,0))</f>
        <v>45635</v>
      </c>
      <c r="R59" s="48">
        <f t="shared" ca="1" si="2"/>
        <v>53</v>
      </c>
      <c r="S59" s="30">
        <f t="shared" si="5"/>
        <v>0</v>
      </c>
      <c r="T59" s="30">
        <f>SUMIFS(Giriş!$J:$J,Giriş!$H:$H,Bilgiler!T$3,Giriş!$C:$C,Bilgiler!$O59,Giriş!$E:$E,Bilgiler!$P59)</f>
        <v>144000</v>
      </c>
      <c r="U59" s="30">
        <f>SUMIFS(Giriş!$J:$J,Giriş!$H:$H,Bilgiler!U$3,Giriş!$C:$C,Bilgiler!$O59,Giriş!$E:$E,Bilgiler!$P59)</f>
        <v>0</v>
      </c>
      <c r="V59" s="30">
        <f>SUMIFS(Giriş!$J:$J,Giriş!$H:$H,Bilgiler!V$3,Giriş!$C:$C,Bilgiler!$O59,Giriş!$E:$E,Bilgiler!$P59)</f>
        <v>0</v>
      </c>
      <c r="W59" s="30">
        <f>SUMIFS(Giriş!$J:$J,Giriş!$H:$H,Bilgiler!W$3,Giriş!$C:$C,Bilgiler!$O59,Giriş!$E:$E,Bilgiler!$P59)</f>
        <v>0</v>
      </c>
      <c r="X59" s="30">
        <f t="shared" si="3"/>
        <v>144000</v>
      </c>
      <c r="Y59" s="31" t="str">
        <f t="shared" ca="1" si="4"/>
        <v/>
      </c>
      <c r="AG59"/>
    </row>
    <row r="60" spans="4:33" ht="15" x14ac:dyDescent="0.25">
      <c r="D60" s="9" t="s">
        <v>196</v>
      </c>
      <c r="E60" s="2" t="s">
        <v>42</v>
      </c>
      <c r="F60" s="2" t="s">
        <v>18</v>
      </c>
      <c r="G60" s="22"/>
      <c r="H60" s="28">
        <f>SUMIFS(Giriş!$J:$J,Giriş!$H:$H,Bilgiler!H$3,Giriş!$C:$C,Bilgiler!$D60)</f>
        <v>0</v>
      </c>
      <c r="I60" s="28">
        <f>SUMIFS(Giriş!$J:$J,Giriş!$H:$H,Bilgiler!I$3,Giriş!$C:$C,Bilgiler!$D60)</f>
        <v>0</v>
      </c>
      <c r="J60" s="28">
        <f>SUMIFS(Giriş!$J:$J,Giriş!$H:$H,Bilgiler!J$3,Giriş!$C:$C,Bilgiler!$D60)</f>
        <v>0</v>
      </c>
      <c r="K60" s="28">
        <f>SUMIFS(Giriş!$J:$J,Giriş!$H:$H,Bilgiler!K$3,Giriş!$C:$C,Bilgiler!$D60)</f>
        <v>0</v>
      </c>
      <c r="L60" s="29">
        <f t="shared" ref="L60:L123" si="6">G60+H60-I60-K60+J60</f>
        <v>0</v>
      </c>
      <c r="N60" s="36">
        <f>IFERROR(IF(N59+1&gt;MAX(Giriş!L:L),"",N59+1),"")</f>
        <v>34</v>
      </c>
      <c r="O60" s="37" t="str">
        <f>IF($N60="","",VLOOKUP($N60,Giriş!$L:$O,2,0))</f>
        <v>Poşet-25 cm Mutlukal Tortillas 260 Gr ( Rusca )</v>
      </c>
      <c r="P60" s="37" t="str">
        <f>IF($N60="","",VLOOKUP($N60,Giriş!$L:$O,3,0))</f>
        <v>2023M0612</v>
      </c>
      <c r="Q60" s="44">
        <f>IF($N60="","",VLOOKUP($N60,Giriş!$L:$O,4,0))</f>
        <v>45551</v>
      </c>
      <c r="R60" s="47">
        <f t="shared" ca="1" si="2"/>
        <v>-31</v>
      </c>
      <c r="S60" s="28">
        <f t="shared" si="5"/>
        <v>0</v>
      </c>
      <c r="T60" s="28">
        <f>SUMIFS(Giriş!$J:$J,Giriş!$H:$H,Bilgiler!T$3,Giriş!$C:$C,Bilgiler!$O60,Giriş!$E:$E,Bilgiler!$P60)</f>
        <v>216000</v>
      </c>
      <c r="U60" s="28">
        <f>SUMIFS(Giriş!$J:$J,Giriş!$H:$H,Bilgiler!U$3,Giriş!$C:$C,Bilgiler!$O60,Giriş!$E:$E,Bilgiler!$P60)</f>
        <v>0</v>
      </c>
      <c r="V60" s="28">
        <f>SUMIFS(Giriş!$J:$J,Giriş!$H:$H,Bilgiler!V$3,Giriş!$C:$C,Bilgiler!$O60,Giriş!$E:$E,Bilgiler!$P60)</f>
        <v>0</v>
      </c>
      <c r="W60" s="28">
        <f>SUMIFS(Giriş!$J:$J,Giriş!$H:$H,Bilgiler!W$3,Giriş!$C:$C,Bilgiler!$O60,Giriş!$E:$E,Bilgiler!$P60)</f>
        <v>0</v>
      </c>
      <c r="X60" s="28">
        <f t="shared" si="3"/>
        <v>216000</v>
      </c>
      <c r="Y60" s="29" t="str">
        <f t="shared" ca="1" si="4"/>
        <v>Raf Ömrü Geçti</v>
      </c>
      <c r="AG60"/>
    </row>
    <row r="61" spans="4:33" ht="15" x14ac:dyDescent="0.25">
      <c r="D61" s="10" t="s">
        <v>184</v>
      </c>
      <c r="E61" s="3" t="s">
        <v>50</v>
      </c>
      <c r="F61" s="3" t="s">
        <v>18</v>
      </c>
      <c r="G61" s="23"/>
      <c r="H61" s="30">
        <f>SUMIFS(Giriş!$J:$J,Giriş!$H:$H,Bilgiler!H$3,Giriş!$C:$C,Bilgiler!$D61)</f>
        <v>106680</v>
      </c>
      <c r="I61" s="30">
        <f>SUMIFS(Giriş!$J:$J,Giriş!$H:$H,Bilgiler!I$3,Giriş!$C:$C,Bilgiler!$D61)</f>
        <v>0</v>
      </c>
      <c r="J61" s="30">
        <f>SUMIFS(Giriş!$J:$J,Giriş!$H:$H,Bilgiler!J$3,Giriş!$C:$C,Bilgiler!$D61)</f>
        <v>0</v>
      </c>
      <c r="K61" s="30">
        <f>SUMIFS(Giriş!$J:$J,Giriş!$H:$H,Bilgiler!K$3,Giriş!$C:$C,Bilgiler!$D61)</f>
        <v>0</v>
      </c>
      <c r="L61" s="31">
        <f t="shared" si="6"/>
        <v>106680</v>
      </c>
      <c r="N61" s="38">
        <f>IFERROR(IF(N60+1&gt;MAX(Giriş!L:L),"",N60+1),"")</f>
        <v>35</v>
      </c>
      <c r="O61" s="39" t="str">
        <f>IF($N61="","",VLOOKUP($N61,Giriş!$L:$O,2,0))</f>
        <v>Poşet-15 cm Mutlukal Taco</v>
      </c>
      <c r="P61" s="39" t="str">
        <f>IF($N61="","",VLOOKUP($N61,Giriş!$L:$O,3,0))</f>
        <v>2023M3312</v>
      </c>
      <c r="Q61" s="45">
        <f>IF($N61="","",VLOOKUP($N61,Giriş!$L:$O,4,0))</f>
        <v>45565</v>
      </c>
      <c r="R61" s="48">
        <f t="shared" ca="1" si="2"/>
        <v>-17</v>
      </c>
      <c r="S61" s="30">
        <f t="shared" si="5"/>
        <v>0</v>
      </c>
      <c r="T61" s="30">
        <f>SUMIFS(Giriş!$J:$J,Giriş!$H:$H,Bilgiler!T$3,Giriş!$C:$C,Bilgiler!$O61,Giriş!$E:$E,Bilgiler!$P61)</f>
        <v>54600</v>
      </c>
      <c r="U61" s="30">
        <f>SUMIFS(Giriş!$J:$J,Giriş!$H:$H,Bilgiler!U$3,Giriş!$C:$C,Bilgiler!$O61,Giriş!$E:$E,Bilgiler!$P61)</f>
        <v>0</v>
      </c>
      <c r="V61" s="30">
        <f>SUMIFS(Giriş!$J:$J,Giriş!$H:$H,Bilgiler!V$3,Giriş!$C:$C,Bilgiler!$O61,Giriş!$E:$E,Bilgiler!$P61)</f>
        <v>0</v>
      </c>
      <c r="W61" s="30">
        <f>SUMIFS(Giriş!$J:$J,Giriş!$H:$H,Bilgiler!W$3,Giriş!$C:$C,Bilgiler!$O61,Giriş!$E:$E,Bilgiler!$P61)</f>
        <v>0</v>
      </c>
      <c r="X61" s="30">
        <f t="shared" si="3"/>
        <v>54600</v>
      </c>
      <c r="Y61" s="31" t="str">
        <f t="shared" ca="1" si="4"/>
        <v>Raf Ömrü Geçti</v>
      </c>
      <c r="AG61"/>
    </row>
    <row r="62" spans="4:33" ht="15" x14ac:dyDescent="0.25">
      <c r="D62" s="9" t="s">
        <v>261</v>
      </c>
      <c r="E62" s="2" t="s">
        <v>131</v>
      </c>
      <c r="F62" s="2" t="s">
        <v>18</v>
      </c>
      <c r="G62" s="22"/>
      <c r="H62" s="28">
        <f>SUMIFS(Giriş!$J:$J,Giriş!$H:$H,Bilgiler!H$3,Giriş!$C:$C,Bilgiler!$D62)</f>
        <v>70000</v>
      </c>
      <c r="I62" s="28">
        <f>SUMIFS(Giriş!$J:$J,Giriş!$H:$H,Bilgiler!I$3,Giriş!$C:$C,Bilgiler!$D62)</f>
        <v>0</v>
      </c>
      <c r="J62" s="28">
        <f>SUMIFS(Giriş!$J:$J,Giriş!$H:$H,Bilgiler!J$3,Giriş!$C:$C,Bilgiler!$D62)</f>
        <v>0</v>
      </c>
      <c r="K62" s="28">
        <f>SUMIFS(Giriş!$J:$J,Giriş!$H:$H,Bilgiler!K$3,Giriş!$C:$C,Bilgiler!$D62)</f>
        <v>0</v>
      </c>
      <c r="L62" s="29">
        <f t="shared" si="6"/>
        <v>70000</v>
      </c>
      <c r="N62" s="36">
        <f>IFERROR(IF(N61+1&gt;MAX(Giriş!L:L),"",N61+1),"")</f>
        <v>36</v>
      </c>
      <c r="O62" s="37" t="str">
        <f>IF($N62="","",VLOOKUP($N62,Giriş!$L:$O,2,0))</f>
        <v>Poşet-25 cm Tortillove Değişken</v>
      </c>
      <c r="P62" s="37" t="str">
        <f>IF($N62="","",VLOOKUP($N62,Giriş!$L:$O,3,0))</f>
        <v>MAT008236</v>
      </c>
      <c r="Q62" s="44">
        <f>IF($N62="","",VLOOKUP($N62,Giriş!$L:$O,4,0))</f>
        <v>45496</v>
      </c>
      <c r="R62" s="47">
        <f t="shared" ca="1" si="2"/>
        <v>-86</v>
      </c>
      <c r="S62" s="28">
        <f t="shared" si="5"/>
        <v>0</v>
      </c>
      <c r="T62" s="28">
        <f>SUMIFS(Giriş!$J:$J,Giriş!$H:$H,Bilgiler!T$3,Giriş!$C:$C,Bilgiler!$O62,Giriş!$E:$E,Bilgiler!$P62)</f>
        <v>79800</v>
      </c>
      <c r="U62" s="28">
        <f>SUMIFS(Giriş!$J:$J,Giriş!$H:$H,Bilgiler!U$3,Giriş!$C:$C,Bilgiler!$O62,Giriş!$E:$E,Bilgiler!$P62)</f>
        <v>0</v>
      </c>
      <c r="V62" s="28">
        <f>SUMIFS(Giriş!$J:$J,Giriş!$H:$H,Bilgiler!V$3,Giriş!$C:$C,Bilgiler!$O62,Giriş!$E:$E,Bilgiler!$P62)</f>
        <v>0</v>
      </c>
      <c r="W62" s="28">
        <f>SUMIFS(Giriş!$J:$J,Giriş!$H:$H,Bilgiler!W$3,Giriş!$C:$C,Bilgiler!$O62,Giriş!$E:$E,Bilgiler!$P62)</f>
        <v>0</v>
      </c>
      <c r="X62" s="28">
        <f t="shared" si="3"/>
        <v>79800</v>
      </c>
      <c r="Y62" s="29" t="str">
        <f t="shared" ca="1" si="4"/>
        <v>Raf Ömrü Geçti</v>
      </c>
      <c r="AG62"/>
    </row>
    <row r="63" spans="4:33" ht="15" x14ac:dyDescent="0.25">
      <c r="D63" s="10" t="s">
        <v>204</v>
      </c>
      <c r="E63" s="3" t="s">
        <v>102</v>
      </c>
      <c r="F63" s="3" t="s">
        <v>18</v>
      </c>
      <c r="G63" s="23"/>
      <c r="H63" s="30">
        <f>SUMIFS(Giriş!$J:$J,Giriş!$H:$H,Bilgiler!H$3,Giriş!$C:$C,Bilgiler!$D63)</f>
        <v>0</v>
      </c>
      <c r="I63" s="30">
        <f>SUMIFS(Giriş!$J:$J,Giriş!$H:$H,Bilgiler!I$3,Giriş!$C:$C,Bilgiler!$D63)</f>
        <v>0</v>
      </c>
      <c r="J63" s="30">
        <f>SUMIFS(Giriş!$J:$J,Giriş!$H:$H,Bilgiler!J$3,Giriş!$C:$C,Bilgiler!$D63)</f>
        <v>0</v>
      </c>
      <c r="K63" s="30">
        <f>SUMIFS(Giriş!$J:$J,Giriş!$H:$H,Bilgiler!K$3,Giriş!$C:$C,Bilgiler!$D63)</f>
        <v>0</v>
      </c>
      <c r="L63" s="31">
        <f t="shared" si="6"/>
        <v>0</v>
      </c>
      <c r="N63" s="38">
        <f>IFERROR(IF(N62+1&gt;MAX(Giriş!L:L),"",N62+1),"")</f>
        <v>37</v>
      </c>
      <c r="O63" s="39" t="str">
        <f>IF($N63="","",VLOOKUP($N63,Giriş!$L:$O,2,0))</f>
        <v>Poşet-25 cm Mutlukal Tortillas 260 Gr ( Rusca )</v>
      </c>
      <c r="P63" s="39">
        <f>IF($N63="","",VLOOKUP($N63,Giriş!$L:$O,3,0))</f>
        <v>45321</v>
      </c>
      <c r="Q63" s="45">
        <f>IF($N63="","",VLOOKUP($N63,Giriş!$L:$O,4,0))</f>
        <v>45503</v>
      </c>
      <c r="R63" s="48">
        <f t="shared" ca="1" si="2"/>
        <v>-79</v>
      </c>
      <c r="S63" s="30">
        <f t="shared" si="5"/>
        <v>0</v>
      </c>
      <c r="T63" s="30">
        <f>SUMIFS(Giriş!$J:$J,Giriş!$H:$H,Bilgiler!T$3,Giriş!$C:$C,Bilgiler!$O63,Giriş!$E:$E,Bilgiler!$P63)</f>
        <v>213600</v>
      </c>
      <c r="U63" s="30">
        <f>SUMIFS(Giriş!$J:$J,Giriş!$H:$H,Bilgiler!U$3,Giriş!$C:$C,Bilgiler!$O63,Giriş!$E:$E,Bilgiler!$P63)</f>
        <v>0</v>
      </c>
      <c r="V63" s="30">
        <f>SUMIFS(Giriş!$J:$J,Giriş!$H:$H,Bilgiler!V$3,Giriş!$C:$C,Bilgiler!$O63,Giriş!$E:$E,Bilgiler!$P63)</f>
        <v>0</v>
      </c>
      <c r="W63" s="30">
        <f>SUMIFS(Giriş!$J:$J,Giriş!$H:$H,Bilgiler!W$3,Giriş!$C:$C,Bilgiler!$O63,Giriş!$E:$E,Bilgiler!$P63)</f>
        <v>0</v>
      </c>
      <c r="X63" s="30">
        <f t="shared" si="3"/>
        <v>213600</v>
      </c>
      <c r="Y63" s="31" t="str">
        <f t="shared" ca="1" si="4"/>
        <v>Raf Ömrü Geçti</v>
      </c>
      <c r="AG63"/>
    </row>
    <row r="64" spans="4:33" ht="15" x14ac:dyDescent="0.25">
      <c r="D64" s="9" t="s">
        <v>253</v>
      </c>
      <c r="E64" s="2" t="s">
        <v>125</v>
      </c>
      <c r="F64" s="2" t="s">
        <v>18</v>
      </c>
      <c r="G64" s="22"/>
      <c r="H64" s="28">
        <f>SUMIFS(Giriş!$J:$J,Giriş!$H:$H,Bilgiler!H$3,Giriş!$C:$C,Bilgiler!$D64)</f>
        <v>0</v>
      </c>
      <c r="I64" s="28">
        <f>SUMIFS(Giriş!$J:$J,Giriş!$H:$H,Bilgiler!I$3,Giriş!$C:$C,Bilgiler!$D64)</f>
        <v>0</v>
      </c>
      <c r="J64" s="28">
        <f>SUMIFS(Giriş!$J:$J,Giriş!$H:$H,Bilgiler!J$3,Giriş!$C:$C,Bilgiler!$D64)</f>
        <v>0</v>
      </c>
      <c r="K64" s="28">
        <f>SUMIFS(Giriş!$J:$J,Giriş!$H:$H,Bilgiler!K$3,Giriş!$C:$C,Bilgiler!$D64)</f>
        <v>0</v>
      </c>
      <c r="L64" s="29">
        <f t="shared" si="6"/>
        <v>0</v>
      </c>
      <c r="N64" s="36">
        <f>IFERROR(IF(N63+1&gt;MAX(Giriş!L:L),"",N63+1),"")</f>
        <v>38</v>
      </c>
      <c r="O64" s="37" t="str">
        <f>IF($N64="","",VLOOKUP($N64,Giriş!$L:$O,2,0))</f>
        <v>Poşet-25 cm Mutlukal Tortillas 260 Gr ( Rusca )</v>
      </c>
      <c r="P64" s="37" t="str">
        <f>IF($N64="","",VLOOKUP($N64,Giriş!$L:$O,3,0))</f>
        <v>MAT008162</v>
      </c>
      <c r="Q64" s="44">
        <f>IF($N64="","",VLOOKUP($N64,Giriş!$L:$O,4,0))</f>
        <v>45502</v>
      </c>
      <c r="R64" s="47">
        <f t="shared" ca="1" si="2"/>
        <v>-80</v>
      </c>
      <c r="S64" s="28">
        <f t="shared" si="5"/>
        <v>0</v>
      </c>
      <c r="T64" s="28">
        <f>SUMIFS(Giriş!$J:$J,Giriş!$H:$H,Bilgiler!T$3,Giriş!$C:$C,Bilgiler!$O64,Giriş!$E:$E,Bilgiler!$P64)</f>
        <v>1683750</v>
      </c>
      <c r="U64" s="28">
        <f>SUMIFS(Giriş!$J:$J,Giriş!$H:$H,Bilgiler!U$3,Giriş!$C:$C,Bilgiler!$O64,Giriş!$E:$E,Bilgiler!$P64)</f>
        <v>0</v>
      </c>
      <c r="V64" s="28">
        <f>SUMIFS(Giriş!$J:$J,Giriş!$H:$H,Bilgiler!V$3,Giriş!$C:$C,Bilgiler!$O64,Giriş!$E:$E,Bilgiler!$P64)</f>
        <v>0</v>
      </c>
      <c r="W64" s="28">
        <f>SUMIFS(Giriş!$J:$J,Giriş!$H:$H,Bilgiler!W$3,Giriş!$C:$C,Bilgiler!$O64,Giriş!$E:$E,Bilgiler!$P64)</f>
        <v>0</v>
      </c>
      <c r="X64" s="28">
        <f t="shared" si="3"/>
        <v>1683750</v>
      </c>
      <c r="Y64" s="29" t="str">
        <f t="shared" ca="1" si="4"/>
        <v>Raf Ömrü Geçti</v>
      </c>
      <c r="AG64"/>
    </row>
    <row r="65" spans="4:33" ht="15" x14ac:dyDescent="0.25">
      <c r="D65" s="10" t="s">
        <v>258</v>
      </c>
      <c r="E65" s="3" t="s">
        <v>123</v>
      </c>
      <c r="F65" s="3" t="s">
        <v>18</v>
      </c>
      <c r="G65" s="23"/>
      <c r="H65" s="30">
        <f>SUMIFS(Giriş!$J:$J,Giriş!$H:$H,Bilgiler!H$3,Giriş!$C:$C,Bilgiler!$D65)</f>
        <v>60200</v>
      </c>
      <c r="I65" s="30">
        <f>SUMIFS(Giriş!$J:$J,Giriş!$H:$H,Bilgiler!I$3,Giriş!$C:$C,Bilgiler!$D65)</f>
        <v>0</v>
      </c>
      <c r="J65" s="30">
        <f>SUMIFS(Giriş!$J:$J,Giriş!$H:$H,Bilgiler!J$3,Giriş!$C:$C,Bilgiler!$D65)</f>
        <v>0</v>
      </c>
      <c r="K65" s="30">
        <f>SUMIFS(Giriş!$J:$J,Giriş!$H:$H,Bilgiler!K$3,Giriş!$C:$C,Bilgiler!$D65)</f>
        <v>0</v>
      </c>
      <c r="L65" s="31">
        <f t="shared" si="6"/>
        <v>60200</v>
      </c>
      <c r="N65" s="38">
        <f>IFERROR(IF(N64+1&gt;MAX(Giriş!L:L),"",N64+1),"")</f>
        <v>39</v>
      </c>
      <c r="O65" s="39" t="str">
        <f>IF($N65="","",VLOOKUP($N65,Giriş!$L:$O,2,0))</f>
        <v>Poşet-30 cm Tortillove Değişken</v>
      </c>
      <c r="P65" s="39" t="str">
        <f>IF($N65="","",VLOOKUP($N65,Giriş!$L:$O,3,0))</f>
        <v>MAT008237</v>
      </c>
      <c r="Q65" s="45">
        <f>IF($N65="","",VLOOKUP($N65,Giriş!$L:$O,4,0))</f>
        <v>45498</v>
      </c>
      <c r="R65" s="48">
        <f t="shared" ca="1" si="2"/>
        <v>-84</v>
      </c>
      <c r="S65" s="30">
        <f t="shared" si="5"/>
        <v>0</v>
      </c>
      <c r="T65" s="30">
        <f>SUMIFS(Giriş!$J:$J,Giriş!$H:$H,Bilgiler!T$3,Giriş!$C:$C,Bilgiler!$O65,Giriş!$E:$E,Bilgiler!$P65)</f>
        <v>50400</v>
      </c>
      <c r="U65" s="30">
        <f>SUMIFS(Giriş!$J:$J,Giriş!$H:$H,Bilgiler!U$3,Giriş!$C:$C,Bilgiler!$O65,Giriş!$E:$E,Bilgiler!$P65)</f>
        <v>0</v>
      </c>
      <c r="V65" s="30">
        <f>SUMIFS(Giriş!$J:$J,Giriş!$H:$H,Bilgiler!V$3,Giriş!$C:$C,Bilgiler!$O65,Giriş!$E:$E,Bilgiler!$P65)</f>
        <v>0</v>
      </c>
      <c r="W65" s="30">
        <f>SUMIFS(Giriş!$J:$J,Giriş!$H:$H,Bilgiler!W$3,Giriş!$C:$C,Bilgiler!$O65,Giriş!$E:$E,Bilgiler!$P65)</f>
        <v>0</v>
      </c>
      <c r="X65" s="30">
        <f t="shared" si="3"/>
        <v>50400</v>
      </c>
      <c r="Y65" s="31" t="str">
        <f t="shared" ca="1" si="4"/>
        <v>Raf Ömrü Geçti</v>
      </c>
      <c r="AG65"/>
    </row>
    <row r="66" spans="4:33" ht="15" x14ac:dyDescent="0.25">
      <c r="D66" s="9" t="s">
        <v>171</v>
      </c>
      <c r="E66" s="2" t="s">
        <v>104</v>
      </c>
      <c r="F66" s="2" t="s">
        <v>18</v>
      </c>
      <c r="G66" s="22"/>
      <c r="H66" s="28">
        <f>SUMIFS(Giriş!$J:$J,Giriş!$H:$H,Bilgiler!H$3,Giriş!$C:$C,Bilgiler!$D66)</f>
        <v>0</v>
      </c>
      <c r="I66" s="28">
        <f>SUMIFS(Giriş!$J:$J,Giriş!$H:$H,Bilgiler!I$3,Giriş!$C:$C,Bilgiler!$D66)</f>
        <v>0</v>
      </c>
      <c r="J66" s="28">
        <f>SUMIFS(Giriş!$J:$J,Giriş!$H:$H,Bilgiler!J$3,Giriş!$C:$C,Bilgiler!$D66)</f>
        <v>0</v>
      </c>
      <c r="K66" s="28">
        <f>SUMIFS(Giriş!$J:$J,Giriş!$H:$H,Bilgiler!K$3,Giriş!$C:$C,Bilgiler!$D66)</f>
        <v>0</v>
      </c>
      <c r="L66" s="29">
        <f t="shared" si="6"/>
        <v>0</v>
      </c>
      <c r="N66" s="36">
        <f>IFERROR(IF(N65+1&gt;MAX(Giriş!L:L),"",N65+1),"")</f>
        <v>40</v>
      </c>
      <c r="O66" s="37" t="str">
        <f>IF($N66="","",VLOOKUP($N66,Giriş!$L:$O,2,0))</f>
        <v>Poşet-25 cm Mutlukal Tortillas Mavi Değişken</v>
      </c>
      <c r="P66" s="37" t="str">
        <f>IF($N66="","",VLOOKUP($N66,Giriş!$L:$O,3,0))</f>
        <v>MAT008293</v>
      </c>
      <c r="Q66" s="44">
        <f>IF($N66="","",VLOOKUP($N66,Giriş!$L:$O,4,0))</f>
        <v>45507</v>
      </c>
      <c r="R66" s="47">
        <f t="shared" ca="1" si="2"/>
        <v>-75</v>
      </c>
      <c r="S66" s="28">
        <f t="shared" si="5"/>
        <v>0</v>
      </c>
      <c r="T66" s="28">
        <f>SUMIFS(Giriş!$J:$J,Giriş!$H:$H,Bilgiler!T$3,Giriş!$C:$C,Bilgiler!$O66,Giriş!$E:$E,Bilgiler!$P66)</f>
        <v>79800</v>
      </c>
      <c r="U66" s="28">
        <f>SUMIFS(Giriş!$J:$J,Giriş!$H:$H,Bilgiler!U$3,Giriş!$C:$C,Bilgiler!$O66,Giriş!$E:$E,Bilgiler!$P66)</f>
        <v>0</v>
      </c>
      <c r="V66" s="28">
        <f>SUMIFS(Giriş!$J:$J,Giriş!$H:$H,Bilgiler!V$3,Giriş!$C:$C,Bilgiler!$O66,Giriş!$E:$E,Bilgiler!$P66)</f>
        <v>0</v>
      </c>
      <c r="W66" s="28">
        <f>SUMIFS(Giriş!$J:$J,Giriş!$H:$H,Bilgiler!W$3,Giriş!$C:$C,Bilgiler!$O66,Giriş!$E:$E,Bilgiler!$P66)</f>
        <v>0</v>
      </c>
      <c r="X66" s="28">
        <f t="shared" si="3"/>
        <v>79800</v>
      </c>
      <c r="Y66" s="29" t="str">
        <f t="shared" ca="1" si="4"/>
        <v>Raf Ömrü Geçti</v>
      </c>
      <c r="AG66"/>
    </row>
    <row r="67" spans="4:33" ht="15" x14ac:dyDescent="0.25">
      <c r="D67" s="10" t="s">
        <v>285</v>
      </c>
      <c r="E67" s="3" t="s">
        <v>107</v>
      </c>
      <c r="F67" s="3" t="s">
        <v>18</v>
      </c>
      <c r="G67" s="23"/>
      <c r="H67" s="30">
        <f>SUMIFS(Giriş!$J:$J,Giriş!$H:$H,Bilgiler!H$3,Giriş!$C:$C,Bilgiler!$D67)</f>
        <v>0</v>
      </c>
      <c r="I67" s="30">
        <f>SUMIFS(Giriş!$J:$J,Giriş!$H:$H,Bilgiler!I$3,Giriş!$C:$C,Bilgiler!$D67)</f>
        <v>0</v>
      </c>
      <c r="J67" s="30">
        <f>SUMIFS(Giriş!$J:$J,Giriş!$H:$H,Bilgiler!J$3,Giriş!$C:$C,Bilgiler!$D67)</f>
        <v>0</v>
      </c>
      <c r="K67" s="30">
        <f>SUMIFS(Giriş!$J:$J,Giriş!$H:$H,Bilgiler!K$3,Giriş!$C:$C,Bilgiler!$D67)</f>
        <v>0</v>
      </c>
      <c r="L67" s="31">
        <f t="shared" si="6"/>
        <v>0</v>
      </c>
      <c r="N67" s="38">
        <f>IFERROR(IF(N66+1&gt;MAX(Giriş!L:L),"",N66+1),"")</f>
        <v>41</v>
      </c>
      <c r="O67" s="39" t="str">
        <f>IF($N67="","",VLOOKUP($N67,Giriş!$L:$O,2,0))</f>
        <v>Poşet-15 cm Mutlukal Taco</v>
      </c>
      <c r="P67" s="39" t="str">
        <f>IF($N67="","",VLOOKUP($N67,Giriş!$L:$O,3,0))</f>
        <v>MAT008309</v>
      </c>
      <c r="Q67" s="45">
        <f>IF($N67="","",VLOOKUP($N67,Giriş!$L:$O,4,0))</f>
        <v>45653</v>
      </c>
      <c r="R67" s="48">
        <f t="shared" ca="1" si="2"/>
        <v>71</v>
      </c>
      <c r="S67" s="30">
        <f t="shared" si="5"/>
        <v>0</v>
      </c>
      <c r="T67" s="30">
        <f>SUMIFS(Giriş!$J:$J,Giriş!$H:$H,Bilgiler!T$3,Giriş!$C:$C,Bilgiler!$O67,Giriş!$E:$E,Bilgiler!$P67)</f>
        <v>299466</v>
      </c>
      <c r="U67" s="30">
        <f>SUMIFS(Giriş!$J:$J,Giriş!$H:$H,Bilgiler!U$3,Giriş!$C:$C,Bilgiler!$O67,Giriş!$E:$E,Bilgiler!$P67)</f>
        <v>0</v>
      </c>
      <c r="V67" s="30">
        <f>SUMIFS(Giriş!$J:$J,Giriş!$H:$H,Bilgiler!V$3,Giriş!$C:$C,Bilgiler!$O67,Giriş!$E:$E,Bilgiler!$P67)</f>
        <v>0</v>
      </c>
      <c r="W67" s="30">
        <f>SUMIFS(Giriş!$J:$J,Giriş!$H:$H,Bilgiler!W$3,Giriş!$C:$C,Bilgiler!$O67,Giriş!$E:$E,Bilgiler!$P67)</f>
        <v>0</v>
      </c>
      <c r="X67" s="30">
        <f t="shared" si="3"/>
        <v>299466</v>
      </c>
      <c r="Y67" s="31" t="str">
        <f t="shared" ca="1" si="4"/>
        <v/>
      </c>
      <c r="AG67"/>
    </row>
    <row r="68" spans="4:33" ht="15" x14ac:dyDescent="0.25">
      <c r="D68" s="9" t="s">
        <v>287</v>
      </c>
      <c r="E68" s="2" t="s">
        <v>148</v>
      </c>
      <c r="F68" s="2" t="s">
        <v>18</v>
      </c>
      <c r="G68" s="22"/>
      <c r="H68" s="28">
        <f>SUMIFS(Giriş!$J:$J,Giriş!$H:$H,Bilgiler!H$3,Giriş!$C:$C,Bilgiler!$D68)</f>
        <v>0</v>
      </c>
      <c r="I68" s="28">
        <f>SUMIFS(Giriş!$J:$J,Giriş!$H:$H,Bilgiler!I$3,Giriş!$C:$C,Bilgiler!$D68)</f>
        <v>0</v>
      </c>
      <c r="J68" s="28">
        <f>SUMIFS(Giriş!$J:$J,Giriş!$H:$H,Bilgiler!J$3,Giriş!$C:$C,Bilgiler!$D68)</f>
        <v>0</v>
      </c>
      <c r="K68" s="28">
        <f>SUMIFS(Giriş!$J:$J,Giriş!$H:$H,Bilgiler!K$3,Giriş!$C:$C,Bilgiler!$D68)</f>
        <v>0</v>
      </c>
      <c r="L68" s="29">
        <f t="shared" si="6"/>
        <v>0</v>
      </c>
      <c r="N68" s="36">
        <f>IFERROR(IF(N67+1&gt;MAX(Giriş!L:L),"",N67+1),"")</f>
        <v>42</v>
      </c>
      <c r="O68" s="37" t="str">
        <f>IF($N68="","",VLOOKUP($N68,Giriş!$L:$O,2,0))</f>
        <v>Poşet-25 cm B.sız Kilitli</v>
      </c>
      <c r="P68" s="37" t="str">
        <f>IF($N68="","",VLOOKUP($N68,Giriş!$L:$O,3,0))</f>
        <v>MAT008339</v>
      </c>
      <c r="Q68" s="44">
        <f>IF($N68="","",VLOOKUP($N68,Giriş!$L:$O,4,0))</f>
        <v>45629</v>
      </c>
      <c r="R68" s="47">
        <f t="shared" ca="1" si="2"/>
        <v>47</v>
      </c>
      <c r="S68" s="28">
        <f t="shared" ref="S68:S99" si="7">SUMIFS(G:G,D:D,O68,F:F,P68)</f>
        <v>0</v>
      </c>
      <c r="T68" s="28">
        <f>SUMIFS(Giriş!$J:$J,Giriş!$H:$H,Bilgiler!T$3,Giriş!$C:$C,Bilgiler!$O68,Giriş!$E:$E,Bilgiler!$P68)</f>
        <v>81200</v>
      </c>
      <c r="U68" s="28">
        <f>SUMIFS(Giriş!$J:$J,Giriş!$H:$H,Bilgiler!U$3,Giriş!$C:$C,Bilgiler!$O68,Giriş!$E:$E,Bilgiler!$P68)</f>
        <v>0</v>
      </c>
      <c r="V68" s="28">
        <f>SUMIFS(Giriş!$J:$J,Giriş!$H:$H,Bilgiler!V$3,Giriş!$C:$C,Bilgiler!$O68,Giriş!$E:$E,Bilgiler!$P68)</f>
        <v>0</v>
      </c>
      <c r="W68" s="28">
        <f>SUMIFS(Giriş!$J:$J,Giriş!$H:$H,Bilgiler!W$3,Giriş!$C:$C,Bilgiler!$O68,Giriş!$E:$E,Bilgiler!$P68)</f>
        <v>0</v>
      </c>
      <c r="X68" s="28">
        <f t="shared" si="3"/>
        <v>81200</v>
      </c>
      <c r="Y68" s="29" t="str">
        <f t="shared" ca="1" si="4"/>
        <v/>
      </c>
      <c r="AG68"/>
    </row>
    <row r="69" spans="4:33" ht="15" x14ac:dyDescent="0.25">
      <c r="D69" s="10" t="s">
        <v>172</v>
      </c>
      <c r="E69" s="3" t="s">
        <v>105</v>
      </c>
      <c r="F69" s="3" t="s">
        <v>18</v>
      </c>
      <c r="G69" s="23"/>
      <c r="H69" s="30">
        <f>SUMIFS(Giriş!$J:$J,Giriş!$H:$H,Bilgiler!H$3,Giriş!$C:$C,Bilgiler!$D69)</f>
        <v>0</v>
      </c>
      <c r="I69" s="30">
        <f>SUMIFS(Giriş!$J:$J,Giriş!$H:$H,Bilgiler!I$3,Giriş!$C:$C,Bilgiler!$D69)</f>
        <v>0</v>
      </c>
      <c r="J69" s="30">
        <f>SUMIFS(Giriş!$J:$J,Giriş!$H:$H,Bilgiler!J$3,Giriş!$C:$C,Bilgiler!$D69)</f>
        <v>0</v>
      </c>
      <c r="K69" s="30">
        <f>SUMIFS(Giriş!$J:$J,Giriş!$H:$H,Bilgiler!K$3,Giriş!$C:$C,Bilgiler!$D69)</f>
        <v>0</v>
      </c>
      <c r="L69" s="31">
        <f t="shared" si="6"/>
        <v>0</v>
      </c>
      <c r="N69" s="38">
        <f>IFERROR(IF(N68+1&gt;MAX(Giriş!L:L),"",N68+1),"")</f>
        <v>43</v>
      </c>
      <c r="O69" s="39" t="str">
        <f>IF($N69="","",VLOOKUP($N69,Giriş!$L:$O,2,0))</f>
        <v>Poşet-30 cm B.sız Kilitli</v>
      </c>
      <c r="P69" s="39" t="str">
        <f>IF($N69="","",VLOOKUP($N69,Giriş!$L:$O,3,0))</f>
        <v>MAT008338</v>
      </c>
      <c r="Q69" s="45">
        <f>IF($N69="","",VLOOKUP($N69,Giriş!$L:$O,4,0))</f>
        <v>45629</v>
      </c>
      <c r="R69" s="48">
        <f t="shared" ref="R69:R110" ca="1" si="8">IF(O69="","",IF(X69&lt;=0,"",Q69-TODAY()))</f>
        <v>47</v>
      </c>
      <c r="S69" s="30">
        <f t="shared" si="7"/>
        <v>0</v>
      </c>
      <c r="T69" s="30">
        <f>SUMIFS(Giriş!$J:$J,Giriş!$H:$H,Bilgiler!T$3,Giriş!$C:$C,Bilgiler!$O69,Giriş!$E:$E,Bilgiler!$P69)</f>
        <v>58800</v>
      </c>
      <c r="U69" s="30">
        <f>SUMIFS(Giriş!$J:$J,Giriş!$H:$H,Bilgiler!U$3,Giriş!$C:$C,Bilgiler!$O69,Giriş!$E:$E,Bilgiler!$P69)</f>
        <v>0</v>
      </c>
      <c r="V69" s="30">
        <f>SUMIFS(Giriş!$J:$J,Giriş!$H:$H,Bilgiler!V$3,Giriş!$C:$C,Bilgiler!$O69,Giriş!$E:$E,Bilgiler!$P69)</f>
        <v>0</v>
      </c>
      <c r="W69" s="30">
        <f>SUMIFS(Giriş!$J:$J,Giriş!$H:$H,Bilgiler!W$3,Giriş!$C:$C,Bilgiler!$O69,Giriş!$E:$E,Bilgiler!$P69)</f>
        <v>0</v>
      </c>
      <c r="X69" s="30">
        <f t="shared" ref="X69:X110" si="9">S69+T69+V69-W69-U69</f>
        <v>58800</v>
      </c>
      <c r="Y69" s="31" t="str">
        <f t="shared" ref="Y69:Y110" ca="1" si="10">IF(R69&lt;0,IF(X69&gt;0,"Raf Ömrü Geçti",""),IF(R69&lt;=15,IF(X69&gt;0,"Raf Ömrü Bitmek Üzere",""),""))</f>
        <v/>
      </c>
      <c r="AG69"/>
    </row>
    <row r="70" spans="4:33" ht="15" x14ac:dyDescent="0.25">
      <c r="D70" s="9" t="s">
        <v>222</v>
      </c>
      <c r="E70" s="2" t="s">
        <v>35</v>
      </c>
      <c r="F70" s="2" t="s">
        <v>18</v>
      </c>
      <c r="G70" s="22"/>
      <c r="H70" s="28">
        <f>SUMIFS(Giriş!$J:$J,Giriş!$H:$H,Bilgiler!H$3,Giriş!$C:$C,Bilgiler!$D70)</f>
        <v>82600</v>
      </c>
      <c r="I70" s="28">
        <f>SUMIFS(Giriş!$J:$J,Giriş!$H:$H,Bilgiler!I$3,Giriş!$C:$C,Bilgiler!$D70)</f>
        <v>0</v>
      </c>
      <c r="J70" s="28">
        <f>SUMIFS(Giriş!$J:$J,Giriş!$H:$H,Bilgiler!J$3,Giriş!$C:$C,Bilgiler!$D70)</f>
        <v>0</v>
      </c>
      <c r="K70" s="28">
        <f>SUMIFS(Giriş!$J:$J,Giriş!$H:$H,Bilgiler!K$3,Giriş!$C:$C,Bilgiler!$D70)</f>
        <v>0</v>
      </c>
      <c r="L70" s="29">
        <f t="shared" si="6"/>
        <v>82600</v>
      </c>
      <c r="N70" s="36">
        <f>IFERROR(IF(N69+1&gt;MAX(Giriş!L:L),"",N69+1),"")</f>
        <v>44</v>
      </c>
      <c r="O70" s="37" t="str">
        <f>IF($N70="","",VLOOKUP($N70,Giriş!$L:$O,2,0))</f>
        <v>Poşet-25 cm Mutlukal Tortillas 260 Gr ( Rusca )</v>
      </c>
      <c r="P70" s="37" t="str">
        <f>IF($N70="","",VLOOKUP($N70,Giriş!$L:$O,3,0))</f>
        <v>MAT008295</v>
      </c>
      <c r="Q70" s="44">
        <f>IF($N70="","",VLOOKUP($N70,Giriş!$L:$O,4,0))</f>
        <v>45549</v>
      </c>
      <c r="R70" s="47">
        <f t="shared" ca="1" si="8"/>
        <v>-33</v>
      </c>
      <c r="S70" s="28">
        <f t="shared" si="7"/>
        <v>0</v>
      </c>
      <c r="T70" s="28">
        <f>SUMIFS(Giriş!$J:$J,Giriş!$H:$H,Bilgiler!T$3,Giriş!$C:$C,Bilgiler!$O70,Giriş!$E:$E,Bilgiler!$P70)</f>
        <v>1782200</v>
      </c>
      <c r="U70" s="28">
        <f>SUMIFS(Giriş!$J:$J,Giriş!$H:$H,Bilgiler!U$3,Giriş!$C:$C,Bilgiler!$O70,Giriş!$E:$E,Bilgiler!$P70)</f>
        <v>0</v>
      </c>
      <c r="V70" s="28">
        <f>SUMIFS(Giriş!$J:$J,Giriş!$H:$H,Bilgiler!V$3,Giriş!$C:$C,Bilgiler!$O70,Giriş!$E:$E,Bilgiler!$P70)</f>
        <v>0</v>
      </c>
      <c r="W70" s="28">
        <f>SUMIFS(Giriş!$J:$J,Giriş!$H:$H,Bilgiler!W$3,Giriş!$C:$C,Bilgiler!$O70,Giriş!$E:$E,Bilgiler!$P70)</f>
        <v>0</v>
      </c>
      <c r="X70" s="28">
        <f t="shared" si="9"/>
        <v>1782200</v>
      </c>
      <c r="Y70" s="29" t="str">
        <f t="shared" ca="1" si="10"/>
        <v>Raf Ömrü Geçti</v>
      </c>
      <c r="AG70"/>
    </row>
    <row r="71" spans="4:33" ht="15" x14ac:dyDescent="0.25">
      <c r="D71" s="10" t="s">
        <v>272</v>
      </c>
      <c r="E71" s="3" t="s">
        <v>142</v>
      </c>
      <c r="F71" s="3" t="s">
        <v>18</v>
      </c>
      <c r="G71" s="23"/>
      <c r="H71" s="30">
        <f>SUMIFS(Giriş!$J:$J,Giriş!$H:$H,Bilgiler!H$3,Giriş!$C:$C,Bilgiler!$D71)</f>
        <v>0</v>
      </c>
      <c r="I71" s="30">
        <f>SUMIFS(Giriş!$J:$J,Giriş!$H:$H,Bilgiler!I$3,Giriş!$C:$C,Bilgiler!$D71)</f>
        <v>0</v>
      </c>
      <c r="J71" s="30">
        <f>SUMIFS(Giriş!$J:$J,Giriş!$H:$H,Bilgiler!J$3,Giriş!$C:$C,Bilgiler!$D71)</f>
        <v>0</v>
      </c>
      <c r="K71" s="30">
        <f>SUMIFS(Giriş!$J:$J,Giriş!$H:$H,Bilgiler!K$3,Giriş!$C:$C,Bilgiler!$D71)</f>
        <v>0</v>
      </c>
      <c r="L71" s="31">
        <f t="shared" si="6"/>
        <v>0</v>
      </c>
      <c r="N71" s="38">
        <f>IFERROR(IF(N70+1&gt;MAX(Giriş!L:L),"",N70+1),"")</f>
        <v>45</v>
      </c>
      <c r="O71" s="39" t="str">
        <f>IF($N71="","",VLOOKUP($N71,Giriş!$L:$O,2,0))</f>
        <v>Poşet-25 cm Mutlukal Tortillas 260 Gr ( Rusca )</v>
      </c>
      <c r="P71" s="39">
        <f>IF($N71="","",VLOOKUP($N71,Giriş!$L:$O,3,0))</f>
        <v>45374</v>
      </c>
      <c r="Q71" s="45">
        <f>IF($N71="","",VLOOKUP($N71,Giriş!$L:$O,4,0))</f>
        <v>45739</v>
      </c>
      <c r="R71" s="48">
        <f t="shared" ca="1" si="8"/>
        <v>157</v>
      </c>
      <c r="S71" s="30">
        <f t="shared" si="7"/>
        <v>0</v>
      </c>
      <c r="T71" s="30">
        <f>SUMIFS(Giriş!$J:$J,Giriş!$H:$H,Bilgiler!T$3,Giriş!$C:$C,Bilgiler!$O71,Giriş!$E:$E,Bilgiler!$P71)</f>
        <v>171600</v>
      </c>
      <c r="U71" s="30">
        <f>SUMIFS(Giriş!$J:$J,Giriş!$H:$H,Bilgiler!U$3,Giriş!$C:$C,Bilgiler!$O71,Giriş!$E:$E,Bilgiler!$P71)</f>
        <v>0</v>
      </c>
      <c r="V71" s="30">
        <f>SUMIFS(Giriş!$J:$J,Giriş!$H:$H,Bilgiler!V$3,Giriş!$C:$C,Bilgiler!$O71,Giriş!$E:$E,Bilgiler!$P71)</f>
        <v>0</v>
      </c>
      <c r="W71" s="30">
        <f>SUMIFS(Giriş!$J:$J,Giriş!$H:$H,Bilgiler!W$3,Giriş!$C:$C,Bilgiler!$O71,Giriş!$E:$E,Bilgiler!$P71)</f>
        <v>0</v>
      </c>
      <c r="X71" s="30">
        <f t="shared" si="9"/>
        <v>171600</v>
      </c>
      <c r="Y71" s="31" t="str">
        <f t="shared" ca="1" si="10"/>
        <v/>
      </c>
      <c r="AG71"/>
    </row>
    <row r="72" spans="4:33" ht="15" x14ac:dyDescent="0.25">
      <c r="D72" s="9" t="s">
        <v>252</v>
      </c>
      <c r="E72" s="2" t="s">
        <v>124</v>
      </c>
      <c r="F72" s="2" t="s">
        <v>18</v>
      </c>
      <c r="G72" s="22"/>
      <c r="H72" s="28">
        <f>SUMIFS(Giriş!$J:$J,Giriş!$H:$H,Bilgiler!H$3,Giriş!$C:$C,Bilgiler!$D72)</f>
        <v>14675000</v>
      </c>
      <c r="I72" s="28">
        <f>SUMIFS(Giriş!$J:$J,Giriş!$H:$H,Bilgiler!I$3,Giriş!$C:$C,Bilgiler!$D72)</f>
        <v>0</v>
      </c>
      <c r="J72" s="28">
        <f>SUMIFS(Giriş!$J:$J,Giriş!$H:$H,Bilgiler!J$3,Giriş!$C:$C,Bilgiler!$D72)</f>
        <v>0</v>
      </c>
      <c r="K72" s="28">
        <f>SUMIFS(Giriş!$J:$J,Giriş!$H:$H,Bilgiler!K$3,Giriş!$C:$C,Bilgiler!$D72)</f>
        <v>0</v>
      </c>
      <c r="L72" s="29">
        <f t="shared" si="6"/>
        <v>14675000</v>
      </c>
      <c r="N72" s="36">
        <f>IFERROR(IF(N71+1&gt;MAX(Giriş!L:L),"",N71+1),"")</f>
        <v>46</v>
      </c>
      <c r="O72" s="37" t="str">
        <f>IF($N72="","",VLOOKUP($N72,Giriş!$L:$O,2,0))</f>
        <v>Poşet-25 cm Nimet (Lam.Baskılı Zıp.Vakum )</v>
      </c>
      <c r="P72" s="37" t="str">
        <f>IF($N72="","",VLOOKUP($N72,Giriş!$L:$O,3,0))</f>
        <v>MAT008349</v>
      </c>
      <c r="Q72" s="44">
        <f>IF($N72="","",VLOOKUP($N72,Giriş!$L:$O,4,0))</f>
        <v>45649</v>
      </c>
      <c r="R72" s="47">
        <f t="shared" ca="1" si="8"/>
        <v>67</v>
      </c>
      <c r="S72" s="28">
        <f t="shared" si="7"/>
        <v>0</v>
      </c>
      <c r="T72" s="28">
        <f>SUMIFS(Giriş!$J:$J,Giriş!$H:$H,Bilgiler!T$3,Giriş!$C:$C,Bilgiler!$O72,Giriş!$E:$E,Bilgiler!$P72)</f>
        <v>778400</v>
      </c>
      <c r="U72" s="28">
        <f>SUMIFS(Giriş!$J:$J,Giriş!$H:$H,Bilgiler!U$3,Giriş!$C:$C,Bilgiler!$O72,Giriş!$E:$E,Bilgiler!$P72)</f>
        <v>0</v>
      </c>
      <c r="V72" s="28">
        <f>SUMIFS(Giriş!$J:$J,Giriş!$H:$H,Bilgiler!V$3,Giriş!$C:$C,Bilgiler!$O72,Giriş!$E:$E,Bilgiler!$P72)</f>
        <v>0</v>
      </c>
      <c r="W72" s="28">
        <f>SUMIFS(Giriş!$J:$J,Giriş!$H:$H,Bilgiler!W$3,Giriş!$C:$C,Bilgiler!$O72,Giriş!$E:$E,Bilgiler!$P72)</f>
        <v>0</v>
      </c>
      <c r="X72" s="28">
        <f t="shared" si="9"/>
        <v>778400</v>
      </c>
      <c r="Y72" s="29" t="str">
        <f t="shared" ca="1" si="10"/>
        <v/>
      </c>
      <c r="AG72"/>
    </row>
    <row r="73" spans="4:33" ht="15" x14ac:dyDescent="0.25">
      <c r="D73" s="10" t="s">
        <v>250</v>
      </c>
      <c r="E73" s="3" t="s">
        <v>136</v>
      </c>
      <c r="F73" s="3" t="s">
        <v>18</v>
      </c>
      <c r="G73" s="23"/>
      <c r="H73" s="30">
        <f>SUMIFS(Giriş!$J:$J,Giriş!$H:$H,Bilgiler!H$3,Giriş!$C:$C,Bilgiler!$D73)</f>
        <v>384600</v>
      </c>
      <c r="I73" s="30">
        <f>SUMIFS(Giriş!$J:$J,Giriş!$H:$H,Bilgiler!I$3,Giriş!$C:$C,Bilgiler!$D73)</f>
        <v>0</v>
      </c>
      <c r="J73" s="30">
        <f>SUMIFS(Giriş!$J:$J,Giriş!$H:$H,Bilgiler!J$3,Giriş!$C:$C,Bilgiler!$D73)</f>
        <v>0</v>
      </c>
      <c r="K73" s="30">
        <f>SUMIFS(Giriş!$J:$J,Giriş!$H:$H,Bilgiler!K$3,Giriş!$C:$C,Bilgiler!$D73)</f>
        <v>0</v>
      </c>
      <c r="L73" s="31">
        <f t="shared" si="6"/>
        <v>384600</v>
      </c>
      <c r="N73" s="38">
        <f>IFERROR(IF(N72+1&gt;MAX(Giriş!L:L),"",N72+1),"")</f>
        <v>47</v>
      </c>
      <c r="O73" s="39" t="str">
        <f>IF($N73="","",VLOOKUP($N73,Giriş!$L:$O,2,0))</f>
        <v>Poşet-30 cm Tortillove Değişken</v>
      </c>
      <c r="P73" s="39" t="str">
        <f>IF($N73="","",VLOOKUP($N73,Giriş!$L:$O,3,0))</f>
        <v>MAT008358</v>
      </c>
      <c r="Q73" s="45">
        <f>IF($N73="","",VLOOKUP($N73,Giriş!$L:$O,4,0))</f>
        <v>45653</v>
      </c>
      <c r="R73" s="48">
        <f t="shared" ca="1" si="8"/>
        <v>71</v>
      </c>
      <c r="S73" s="30">
        <f t="shared" si="7"/>
        <v>0</v>
      </c>
      <c r="T73" s="30">
        <f>SUMIFS(Giriş!$J:$J,Giriş!$H:$H,Bilgiler!T$3,Giriş!$C:$C,Bilgiler!$O73,Giriş!$E:$E,Bilgiler!$P73)</f>
        <v>15400</v>
      </c>
      <c r="U73" s="30">
        <f>SUMIFS(Giriş!$J:$J,Giriş!$H:$H,Bilgiler!U$3,Giriş!$C:$C,Bilgiler!$O73,Giriş!$E:$E,Bilgiler!$P73)</f>
        <v>0</v>
      </c>
      <c r="V73" s="30">
        <f>SUMIFS(Giriş!$J:$J,Giriş!$H:$H,Bilgiler!V$3,Giriş!$C:$C,Bilgiler!$O73,Giriş!$E:$E,Bilgiler!$P73)</f>
        <v>0</v>
      </c>
      <c r="W73" s="30">
        <f>SUMIFS(Giriş!$J:$J,Giriş!$H:$H,Bilgiler!W$3,Giriş!$C:$C,Bilgiler!$O73,Giriş!$E:$E,Bilgiler!$P73)</f>
        <v>0</v>
      </c>
      <c r="X73" s="30">
        <f t="shared" si="9"/>
        <v>15400</v>
      </c>
      <c r="Y73" s="31" t="str">
        <f t="shared" ca="1" si="10"/>
        <v/>
      </c>
      <c r="AG73"/>
    </row>
    <row r="74" spans="4:33" ht="15" x14ac:dyDescent="0.25">
      <c r="D74" s="9" t="s">
        <v>257</v>
      </c>
      <c r="E74" s="2" t="s">
        <v>116</v>
      </c>
      <c r="F74" s="2" t="s">
        <v>18</v>
      </c>
      <c r="G74" s="22"/>
      <c r="H74" s="28">
        <f>SUMIFS(Giriş!$J:$J,Giriş!$H:$H,Bilgiler!H$3,Giriş!$C:$C,Bilgiler!$D74)</f>
        <v>489963</v>
      </c>
      <c r="I74" s="28">
        <f>SUMIFS(Giriş!$J:$J,Giriş!$H:$H,Bilgiler!I$3,Giriş!$C:$C,Bilgiler!$D74)</f>
        <v>0</v>
      </c>
      <c r="J74" s="28">
        <f>SUMIFS(Giriş!$J:$J,Giriş!$H:$H,Bilgiler!J$3,Giriş!$C:$C,Bilgiler!$D74)</f>
        <v>0</v>
      </c>
      <c r="K74" s="28">
        <f>SUMIFS(Giriş!$J:$J,Giriş!$H:$H,Bilgiler!K$3,Giriş!$C:$C,Bilgiler!$D74)</f>
        <v>0</v>
      </c>
      <c r="L74" s="29">
        <f t="shared" si="6"/>
        <v>489963</v>
      </c>
      <c r="N74" s="36">
        <f>IFERROR(IF(N73+1&gt;MAX(Giriş!L:L),"",N73+1),"")</f>
        <v>48</v>
      </c>
      <c r="O74" s="37" t="str">
        <f>IF($N74="","",VLOOKUP($N74,Giriş!$L:$O,2,0))</f>
        <v>Poşet-33 cm Tortillove Değişken</v>
      </c>
      <c r="P74" s="37" t="str">
        <f>IF($N74="","",VLOOKUP($N74,Giriş!$L:$O,3,0))</f>
        <v>MAT008358</v>
      </c>
      <c r="Q74" s="44">
        <f>IF($N74="","",VLOOKUP($N74,Giriş!$L:$O,4,0))</f>
        <v>45653</v>
      </c>
      <c r="R74" s="47">
        <f t="shared" ca="1" si="8"/>
        <v>71</v>
      </c>
      <c r="S74" s="28">
        <f t="shared" si="7"/>
        <v>0</v>
      </c>
      <c r="T74" s="28">
        <f>SUMIFS(Giriş!$J:$J,Giriş!$H:$H,Bilgiler!T$3,Giriş!$C:$C,Bilgiler!$O74,Giriş!$E:$E,Bilgiler!$P74)</f>
        <v>42000</v>
      </c>
      <c r="U74" s="28">
        <f>SUMIFS(Giriş!$J:$J,Giriş!$H:$H,Bilgiler!U$3,Giriş!$C:$C,Bilgiler!$O74,Giriş!$E:$E,Bilgiler!$P74)</f>
        <v>0</v>
      </c>
      <c r="V74" s="28">
        <f>SUMIFS(Giriş!$J:$J,Giriş!$H:$H,Bilgiler!V$3,Giriş!$C:$C,Bilgiler!$O74,Giriş!$E:$E,Bilgiler!$P74)</f>
        <v>0</v>
      </c>
      <c r="W74" s="28">
        <f>SUMIFS(Giriş!$J:$J,Giriş!$H:$H,Bilgiler!W$3,Giriş!$C:$C,Bilgiler!$O74,Giriş!$E:$E,Bilgiler!$P74)</f>
        <v>0</v>
      </c>
      <c r="X74" s="28">
        <f t="shared" si="9"/>
        <v>42000</v>
      </c>
      <c r="Y74" s="29" t="str">
        <f t="shared" ca="1" si="10"/>
        <v/>
      </c>
      <c r="AG74"/>
    </row>
    <row r="75" spans="4:33" ht="15" x14ac:dyDescent="0.25">
      <c r="D75" s="10" t="s">
        <v>265</v>
      </c>
      <c r="E75" s="3" t="s">
        <v>135</v>
      </c>
      <c r="F75" s="3" t="s">
        <v>18</v>
      </c>
      <c r="G75" s="23"/>
      <c r="H75" s="30">
        <f>SUMIFS(Giriş!$J:$J,Giriş!$H:$H,Bilgiler!H$3,Giriş!$C:$C,Bilgiler!$D75)</f>
        <v>172483</v>
      </c>
      <c r="I75" s="30">
        <f>SUMIFS(Giriş!$J:$J,Giriş!$H:$H,Bilgiler!I$3,Giriş!$C:$C,Bilgiler!$D75)</f>
        <v>0</v>
      </c>
      <c r="J75" s="30">
        <f>SUMIFS(Giriş!$J:$J,Giriş!$H:$H,Bilgiler!J$3,Giriş!$C:$C,Bilgiler!$D75)</f>
        <v>0</v>
      </c>
      <c r="K75" s="30">
        <f>SUMIFS(Giriş!$J:$J,Giriş!$H:$H,Bilgiler!K$3,Giriş!$C:$C,Bilgiler!$D75)</f>
        <v>0</v>
      </c>
      <c r="L75" s="31">
        <f t="shared" si="6"/>
        <v>172483</v>
      </c>
      <c r="N75" s="38">
        <f>IFERROR(IF(N74+1&gt;MAX(Giriş!L:L),"",N74+1),"")</f>
        <v>49</v>
      </c>
      <c r="O75" s="39" t="str">
        <f>IF($N75="","",VLOOKUP($N75,Giriş!$L:$O,2,0))</f>
        <v>Poşet-25 cm Mutlukal Tortillas 260 Gr ( Rusca )</v>
      </c>
      <c r="P75" s="39">
        <f>IF($N75="","",VLOOKUP($N75,Giriş!$L:$O,3,0))</f>
        <v>1622409</v>
      </c>
      <c r="Q75" s="45">
        <f>IF($N75="","",VLOOKUP($N75,Giriş!$L:$O,4,0))</f>
        <v>45639</v>
      </c>
      <c r="R75" s="48">
        <f t="shared" ca="1" si="8"/>
        <v>57</v>
      </c>
      <c r="S75" s="30">
        <f t="shared" si="7"/>
        <v>0</v>
      </c>
      <c r="T75" s="30">
        <f>SUMIFS(Giriş!$J:$J,Giriş!$H:$H,Bilgiler!T$3,Giriş!$C:$C,Bilgiler!$O75,Giriş!$E:$E,Bilgiler!$P75)</f>
        <v>291200</v>
      </c>
      <c r="U75" s="30">
        <f>SUMIFS(Giriş!$J:$J,Giriş!$H:$H,Bilgiler!U$3,Giriş!$C:$C,Bilgiler!$O75,Giriş!$E:$E,Bilgiler!$P75)</f>
        <v>0</v>
      </c>
      <c r="V75" s="30">
        <f>SUMIFS(Giriş!$J:$J,Giriş!$H:$H,Bilgiler!V$3,Giriş!$C:$C,Bilgiler!$O75,Giriş!$E:$E,Bilgiler!$P75)</f>
        <v>0</v>
      </c>
      <c r="W75" s="30">
        <f>SUMIFS(Giriş!$J:$J,Giriş!$H:$H,Bilgiler!W$3,Giriş!$C:$C,Bilgiler!$O75,Giriş!$E:$E,Bilgiler!$P75)</f>
        <v>0</v>
      </c>
      <c r="X75" s="30">
        <f t="shared" si="9"/>
        <v>291200</v>
      </c>
      <c r="Y75" s="31" t="str">
        <f t="shared" ca="1" si="10"/>
        <v/>
      </c>
      <c r="AG75"/>
    </row>
    <row r="76" spans="4:33" ht="15" x14ac:dyDescent="0.25">
      <c r="D76" s="9" t="s">
        <v>173</v>
      </c>
      <c r="E76" s="2" t="s">
        <v>33</v>
      </c>
      <c r="F76" s="2" t="s">
        <v>18</v>
      </c>
      <c r="G76" s="22"/>
      <c r="H76" s="28">
        <f>SUMIFS(Giriş!$J:$J,Giriş!$H:$H,Bilgiler!H$3,Giriş!$C:$C,Bilgiler!$D76)</f>
        <v>2497560</v>
      </c>
      <c r="I76" s="28">
        <f>SUMIFS(Giriş!$J:$J,Giriş!$H:$H,Bilgiler!I$3,Giriş!$C:$C,Bilgiler!$D76)</f>
        <v>0</v>
      </c>
      <c r="J76" s="28">
        <f>SUMIFS(Giriş!$J:$J,Giriş!$H:$H,Bilgiler!J$3,Giriş!$C:$C,Bilgiler!$D76)</f>
        <v>0</v>
      </c>
      <c r="K76" s="28">
        <f>SUMIFS(Giriş!$J:$J,Giriş!$H:$H,Bilgiler!K$3,Giriş!$C:$C,Bilgiler!$D76)</f>
        <v>0</v>
      </c>
      <c r="L76" s="29">
        <f t="shared" si="6"/>
        <v>2497560</v>
      </c>
      <c r="N76" s="36">
        <f>IFERROR(IF(N75+1&gt;MAX(Giriş!L:L),"",N75+1),"")</f>
        <v>50</v>
      </c>
      <c r="O76" s="37" t="str">
        <f>IF($N76="","",VLOOKUP($N76,Giriş!$L:$O,2,0))</f>
        <v>Poşet-25 cm Nimet (Lam.Baskılı Zıp.Vakum )</v>
      </c>
      <c r="P76" s="37">
        <f>IF($N76="","",VLOOKUP($N76,Giriş!$L:$O,3,0))</f>
        <v>1622774</v>
      </c>
      <c r="Q76" s="44">
        <f>IF($N76="","",VLOOKUP($N76,Giriş!$L:$O,4,0))</f>
        <v>45634</v>
      </c>
      <c r="R76" s="47">
        <f t="shared" ca="1" si="8"/>
        <v>52</v>
      </c>
      <c r="S76" s="28">
        <f t="shared" si="7"/>
        <v>0</v>
      </c>
      <c r="T76" s="28">
        <f>SUMIFS(Giriş!$J:$J,Giriş!$H:$H,Bilgiler!T$3,Giriş!$C:$C,Bilgiler!$O76,Giriş!$E:$E,Bilgiler!$P76)</f>
        <v>81850</v>
      </c>
      <c r="U76" s="28">
        <f>SUMIFS(Giriş!$J:$J,Giriş!$H:$H,Bilgiler!U$3,Giriş!$C:$C,Bilgiler!$O76,Giriş!$E:$E,Bilgiler!$P76)</f>
        <v>0</v>
      </c>
      <c r="V76" s="28">
        <f>SUMIFS(Giriş!$J:$J,Giriş!$H:$H,Bilgiler!V$3,Giriş!$C:$C,Bilgiler!$O76,Giriş!$E:$E,Bilgiler!$P76)</f>
        <v>0</v>
      </c>
      <c r="W76" s="28">
        <f>SUMIFS(Giriş!$J:$J,Giriş!$H:$H,Bilgiler!W$3,Giriş!$C:$C,Bilgiler!$O76,Giriş!$E:$E,Bilgiler!$P76)</f>
        <v>0</v>
      </c>
      <c r="X76" s="28">
        <f t="shared" si="9"/>
        <v>81850</v>
      </c>
      <c r="Y76" s="29" t="str">
        <f t="shared" ca="1" si="10"/>
        <v/>
      </c>
      <c r="AG76"/>
    </row>
    <row r="77" spans="4:33" ht="15" x14ac:dyDescent="0.25">
      <c r="D77" s="10" t="s">
        <v>238</v>
      </c>
      <c r="E77" s="3" t="s">
        <v>59</v>
      </c>
      <c r="F77" s="3" t="s">
        <v>18</v>
      </c>
      <c r="G77" s="23"/>
      <c r="H77" s="30">
        <f>SUMIFS(Giriş!$J:$J,Giriş!$H:$H,Bilgiler!H$3,Giriş!$C:$C,Bilgiler!$D77)</f>
        <v>0</v>
      </c>
      <c r="I77" s="30">
        <f>SUMIFS(Giriş!$J:$J,Giriş!$H:$H,Bilgiler!I$3,Giriş!$C:$C,Bilgiler!$D77)</f>
        <v>0</v>
      </c>
      <c r="J77" s="30">
        <f>SUMIFS(Giriş!$J:$J,Giriş!$H:$H,Bilgiler!J$3,Giriş!$C:$C,Bilgiler!$D77)</f>
        <v>0</v>
      </c>
      <c r="K77" s="30">
        <f>SUMIFS(Giriş!$J:$J,Giriş!$H:$H,Bilgiler!K$3,Giriş!$C:$C,Bilgiler!$D77)</f>
        <v>0</v>
      </c>
      <c r="L77" s="31">
        <f t="shared" si="6"/>
        <v>0</v>
      </c>
      <c r="N77" s="38">
        <f>IFERROR(IF(N76+1&gt;MAX(Giriş!L:L),"",N76+1),"")</f>
        <v>51</v>
      </c>
      <c r="O77" s="39" t="str">
        <f>IF($N77="","",VLOOKUP($N77,Giriş!$L:$O,2,0))</f>
        <v xml:space="preserve">20CM MAGNET DOMATESLİ </v>
      </c>
      <c r="P77" s="39" t="str">
        <f>IF($N77="","",VLOOKUP($N77,Giriş!$L:$O,3,0))</f>
        <v>MAT008445</v>
      </c>
      <c r="Q77" s="45">
        <f>IF($N77="","",VLOOKUP($N77,Giriş!$L:$O,4,0))</f>
        <v>45642</v>
      </c>
      <c r="R77" s="48">
        <f t="shared" ca="1" si="8"/>
        <v>60</v>
      </c>
      <c r="S77" s="30">
        <f t="shared" si="7"/>
        <v>0</v>
      </c>
      <c r="T77" s="30">
        <f>SUMIFS(Giriş!$J:$J,Giriş!$H:$H,Bilgiler!T$3,Giriş!$C:$C,Bilgiler!$O77,Giriş!$E:$E,Bilgiler!$P77)</f>
        <v>194400</v>
      </c>
      <c r="U77" s="30">
        <f>SUMIFS(Giriş!$J:$J,Giriş!$H:$H,Bilgiler!U$3,Giriş!$C:$C,Bilgiler!$O77,Giriş!$E:$E,Bilgiler!$P77)</f>
        <v>0</v>
      </c>
      <c r="V77" s="30">
        <f>SUMIFS(Giriş!$J:$J,Giriş!$H:$H,Bilgiler!V$3,Giriş!$C:$C,Bilgiler!$O77,Giriş!$E:$E,Bilgiler!$P77)</f>
        <v>0</v>
      </c>
      <c r="W77" s="30">
        <f>SUMIFS(Giriş!$J:$J,Giriş!$H:$H,Bilgiler!W$3,Giriş!$C:$C,Bilgiler!$O77,Giriş!$E:$E,Bilgiler!$P77)</f>
        <v>0</v>
      </c>
      <c r="X77" s="30">
        <f t="shared" si="9"/>
        <v>194400</v>
      </c>
      <c r="Y77" s="31" t="str">
        <f t="shared" ca="1" si="10"/>
        <v/>
      </c>
      <c r="AG77"/>
    </row>
    <row r="78" spans="4:33" ht="15" x14ac:dyDescent="0.25">
      <c r="D78" s="9" t="s">
        <v>248</v>
      </c>
      <c r="E78" s="2" t="s">
        <v>120</v>
      </c>
      <c r="F78" s="2" t="s">
        <v>18</v>
      </c>
      <c r="G78" s="22"/>
      <c r="H78" s="28">
        <f>SUMIFS(Giriş!$J:$J,Giriş!$H:$H,Bilgiler!H$3,Giriş!$C:$C,Bilgiler!$D78)</f>
        <v>0</v>
      </c>
      <c r="I78" s="28">
        <f>SUMIFS(Giriş!$J:$J,Giriş!$H:$H,Bilgiler!I$3,Giriş!$C:$C,Bilgiler!$D78)</f>
        <v>0</v>
      </c>
      <c r="J78" s="28">
        <f>SUMIFS(Giriş!$J:$J,Giriş!$H:$H,Bilgiler!J$3,Giriş!$C:$C,Bilgiler!$D78)</f>
        <v>0</v>
      </c>
      <c r="K78" s="28">
        <f>SUMIFS(Giriş!$J:$J,Giriş!$H:$H,Bilgiler!K$3,Giriş!$C:$C,Bilgiler!$D78)</f>
        <v>0</v>
      </c>
      <c r="L78" s="29">
        <f t="shared" si="6"/>
        <v>0</v>
      </c>
      <c r="N78" s="36">
        <f>IFERROR(IF(N77+1&gt;MAX(Giriş!L:L),"",N77+1),"")</f>
        <v>52</v>
      </c>
      <c r="O78" s="37" t="str">
        <f>IF($N78="","",VLOOKUP($N78,Giriş!$L:$O,2,0))</f>
        <v>Poşet-25 cm Sofias</v>
      </c>
      <c r="P78" s="37" t="str">
        <f>IF($N78="","",VLOOKUP($N78,Giriş!$L:$O,3,0))</f>
        <v>MAT008411</v>
      </c>
      <c r="Q78" s="44">
        <f>IF($N78="","",VLOOKUP($N78,Giriş!$L:$O,4,0))</f>
        <v>45644</v>
      </c>
      <c r="R78" s="47">
        <f t="shared" ca="1" si="8"/>
        <v>62</v>
      </c>
      <c r="S78" s="28">
        <f t="shared" si="7"/>
        <v>0</v>
      </c>
      <c r="T78" s="28">
        <f>SUMIFS(Giriş!$J:$J,Giriş!$H:$H,Bilgiler!T$3,Giriş!$C:$C,Bilgiler!$O78,Giriş!$E:$E,Bilgiler!$P78)</f>
        <v>79800</v>
      </c>
      <c r="U78" s="28">
        <f>SUMIFS(Giriş!$J:$J,Giriş!$H:$H,Bilgiler!U$3,Giriş!$C:$C,Bilgiler!$O78,Giriş!$E:$E,Bilgiler!$P78)</f>
        <v>0</v>
      </c>
      <c r="V78" s="28">
        <f>SUMIFS(Giriş!$J:$J,Giriş!$H:$H,Bilgiler!V$3,Giriş!$C:$C,Bilgiler!$O78,Giriş!$E:$E,Bilgiler!$P78)</f>
        <v>0</v>
      </c>
      <c r="W78" s="28">
        <f>SUMIFS(Giriş!$J:$J,Giriş!$H:$H,Bilgiler!W$3,Giriş!$C:$C,Bilgiler!$O78,Giriş!$E:$E,Bilgiler!$P78)</f>
        <v>0</v>
      </c>
      <c r="X78" s="28">
        <f t="shared" si="9"/>
        <v>79800</v>
      </c>
      <c r="Y78" s="29" t="str">
        <f t="shared" ca="1" si="10"/>
        <v/>
      </c>
      <c r="AG78"/>
    </row>
    <row r="79" spans="4:33" ht="15" x14ac:dyDescent="0.25">
      <c r="D79" s="10" t="s">
        <v>190</v>
      </c>
      <c r="E79" s="3" t="s">
        <v>62</v>
      </c>
      <c r="F79" s="3" t="s">
        <v>18</v>
      </c>
      <c r="G79" s="23"/>
      <c r="H79" s="30">
        <f>SUMIFS(Giriş!$J:$J,Giriş!$H:$H,Bilgiler!H$3,Giriş!$C:$C,Bilgiler!$D79)</f>
        <v>79800</v>
      </c>
      <c r="I79" s="30">
        <f>SUMIFS(Giriş!$J:$J,Giriş!$H:$H,Bilgiler!I$3,Giriş!$C:$C,Bilgiler!$D79)</f>
        <v>0</v>
      </c>
      <c r="J79" s="30">
        <f>SUMIFS(Giriş!$J:$J,Giriş!$H:$H,Bilgiler!J$3,Giriş!$C:$C,Bilgiler!$D79)</f>
        <v>0</v>
      </c>
      <c r="K79" s="30">
        <f>SUMIFS(Giriş!$J:$J,Giriş!$H:$H,Bilgiler!K$3,Giriş!$C:$C,Bilgiler!$D79)</f>
        <v>0</v>
      </c>
      <c r="L79" s="31">
        <f t="shared" si="6"/>
        <v>79800</v>
      </c>
      <c r="N79" s="38">
        <f>IFERROR(IF(N78+1&gt;MAX(Giriş!L:L),"",N78+1),"")</f>
        <v>53</v>
      </c>
      <c r="O79" s="39" t="str">
        <f>IF($N79="","",VLOOKUP($N79,Giriş!$L:$O,2,0))</f>
        <v>Poşet-15 cm Mutlukal Taco</v>
      </c>
      <c r="P79" s="39" t="str">
        <f>IF($N79="","",VLOOKUP($N79,Giriş!$L:$O,3,0))</f>
        <v>MAT008410</v>
      </c>
      <c r="Q79" s="45">
        <f>IF($N79="","",VLOOKUP($N79,Giriş!$L:$O,4,0))</f>
        <v>45645</v>
      </c>
      <c r="R79" s="48">
        <f t="shared" ca="1" si="8"/>
        <v>63</v>
      </c>
      <c r="S79" s="30">
        <f t="shared" si="7"/>
        <v>0</v>
      </c>
      <c r="T79" s="30">
        <f>SUMIFS(Giriş!$J:$J,Giriş!$H:$H,Bilgiler!T$3,Giriş!$C:$C,Bilgiler!$O79,Giriş!$E:$E,Bilgiler!$P79)</f>
        <v>301200</v>
      </c>
      <c r="U79" s="30">
        <f>SUMIFS(Giriş!$J:$J,Giriş!$H:$H,Bilgiler!U$3,Giriş!$C:$C,Bilgiler!$O79,Giriş!$E:$E,Bilgiler!$P79)</f>
        <v>0</v>
      </c>
      <c r="V79" s="30">
        <f>SUMIFS(Giriş!$J:$J,Giriş!$H:$H,Bilgiler!V$3,Giriş!$C:$C,Bilgiler!$O79,Giriş!$E:$E,Bilgiler!$P79)</f>
        <v>0</v>
      </c>
      <c r="W79" s="30">
        <f>SUMIFS(Giriş!$J:$J,Giriş!$H:$H,Bilgiler!W$3,Giriş!$C:$C,Bilgiler!$O79,Giriş!$E:$E,Bilgiler!$P79)</f>
        <v>0</v>
      </c>
      <c r="X79" s="30">
        <f t="shared" si="9"/>
        <v>301200</v>
      </c>
      <c r="Y79" s="31" t="str">
        <f t="shared" ca="1" si="10"/>
        <v/>
      </c>
      <c r="AG79"/>
    </row>
    <row r="80" spans="4:33" ht="15" x14ac:dyDescent="0.25">
      <c r="D80" s="9" t="s">
        <v>203</v>
      </c>
      <c r="E80" s="2" t="s">
        <v>108</v>
      </c>
      <c r="F80" s="2" t="s">
        <v>18</v>
      </c>
      <c r="G80" s="22"/>
      <c r="H80" s="28">
        <f>SUMIFS(Giriş!$J:$J,Giriş!$H:$H,Bilgiler!H$3,Giriş!$C:$C,Bilgiler!$D80)</f>
        <v>0</v>
      </c>
      <c r="I80" s="28">
        <f>SUMIFS(Giriş!$J:$J,Giriş!$H:$H,Bilgiler!I$3,Giriş!$C:$C,Bilgiler!$D80)</f>
        <v>0</v>
      </c>
      <c r="J80" s="28">
        <f>SUMIFS(Giriş!$J:$J,Giriş!$H:$H,Bilgiler!J$3,Giriş!$C:$C,Bilgiler!$D80)</f>
        <v>0</v>
      </c>
      <c r="K80" s="28">
        <f>SUMIFS(Giriş!$J:$J,Giriş!$H:$H,Bilgiler!K$3,Giriş!$C:$C,Bilgiler!$D80)</f>
        <v>0</v>
      </c>
      <c r="L80" s="29">
        <f t="shared" si="6"/>
        <v>0</v>
      </c>
      <c r="N80" s="36">
        <f>IFERROR(IF(N79+1&gt;MAX(Giriş!L:L),"",N79+1),"")</f>
        <v>54</v>
      </c>
      <c r="O80" s="37" t="str">
        <f>IF($N80="","",VLOOKUP($N80,Giriş!$L:$O,2,0))</f>
        <v>Poşet-25 cm Mutlukal Tortillas Mavi Değişken</v>
      </c>
      <c r="P80" s="37" t="str">
        <f>IF($N80="","",VLOOKUP($N80,Giriş!$L:$O,3,0))</f>
        <v>MAT008427</v>
      </c>
      <c r="Q80" s="44">
        <f>IF($N80="","",VLOOKUP($N80,Giriş!$L:$O,4,0))</f>
        <v>45650</v>
      </c>
      <c r="R80" s="47">
        <f t="shared" ca="1" si="8"/>
        <v>68</v>
      </c>
      <c r="S80" s="28">
        <f t="shared" si="7"/>
        <v>0</v>
      </c>
      <c r="T80" s="28">
        <f>SUMIFS(Giriş!$J:$J,Giriş!$H:$H,Bilgiler!T$3,Giriş!$C:$C,Bilgiler!$O80,Giriş!$E:$E,Bilgiler!$P80)</f>
        <v>79800</v>
      </c>
      <c r="U80" s="28">
        <f>SUMIFS(Giriş!$J:$J,Giriş!$H:$H,Bilgiler!U$3,Giriş!$C:$C,Bilgiler!$O80,Giriş!$E:$E,Bilgiler!$P80)</f>
        <v>0</v>
      </c>
      <c r="V80" s="28">
        <f>SUMIFS(Giriş!$J:$J,Giriş!$H:$H,Bilgiler!V$3,Giriş!$C:$C,Bilgiler!$O80,Giriş!$E:$E,Bilgiler!$P80)</f>
        <v>0</v>
      </c>
      <c r="W80" s="28">
        <f>SUMIFS(Giriş!$J:$J,Giriş!$H:$H,Bilgiler!W$3,Giriş!$C:$C,Bilgiler!$O80,Giriş!$E:$E,Bilgiler!$P80)</f>
        <v>0</v>
      </c>
      <c r="X80" s="28">
        <f t="shared" si="9"/>
        <v>79800</v>
      </c>
      <c r="Y80" s="29" t="str">
        <f t="shared" ca="1" si="10"/>
        <v/>
      </c>
      <c r="AG80"/>
    </row>
    <row r="81" spans="4:33" ht="15" x14ac:dyDescent="0.25">
      <c r="D81" s="10" t="s">
        <v>228</v>
      </c>
      <c r="E81" s="3" t="s">
        <v>61</v>
      </c>
      <c r="F81" s="3" t="s">
        <v>18</v>
      </c>
      <c r="G81" s="23"/>
      <c r="H81" s="30">
        <f>SUMIFS(Giriş!$J:$J,Giriş!$H:$H,Bilgiler!H$3,Giriş!$C:$C,Bilgiler!$D81)</f>
        <v>0</v>
      </c>
      <c r="I81" s="30">
        <f>SUMIFS(Giriş!$J:$J,Giriş!$H:$H,Bilgiler!I$3,Giriş!$C:$C,Bilgiler!$D81)</f>
        <v>0</v>
      </c>
      <c r="J81" s="30">
        <f>SUMIFS(Giriş!$J:$J,Giriş!$H:$H,Bilgiler!J$3,Giriş!$C:$C,Bilgiler!$D81)</f>
        <v>0</v>
      </c>
      <c r="K81" s="30">
        <f>SUMIFS(Giriş!$J:$J,Giriş!$H:$H,Bilgiler!K$3,Giriş!$C:$C,Bilgiler!$D81)</f>
        <v>0</v>
      </c>
      <c r="L81" s="31">
        <f t="shared" si="6"/>
        <v>0</v>
      </c>
      <c r="N81" s="38">
        <f>IFERROR(IF(N80+1&gt;MAX(Giriş!L:L),"",N80+1),"")</f>
        <v>55</v>
      </c>
      <c r="O81" s="39" t="str">
        <f>IF($N81="","",VLOOKUP($N81,Giriş!$L:$O,2,0))</f>
        <v>Poşet-20 cm Wıllı Food 540 gr</v>
      </c>
      <c r="P81" s="39" t="str">
        <f>IF($N81="","",VLOOKUP($N81,Giriş!$L:$O,3,0))</f>
        <v>MAT008462</v>
      </c>
      <c r="Q81" s="45">
        <f>IF($N81="","",VLOOKUP($N81,Giriş!$L:$O,4,0))</f>
        <v>45653</v>
      </c>
      <c r="R81" s="48">
        <f t="shared" ca="1" si="8"/>
        <v>71</v>
      </c>
      <c r="S81" s="30">
        <f t="shared" si="7"/>
        <v>0</v>
      </c>
      <c r="T81" s="30">
        <f>SUMIFS(Giriş!$J:$J,Giriş!$H:$H,Bilgiler!T$3,Giriş!$C:$C,Bilgiler!$O81,Giriş!$E:$E,Bilgiler!$P81)</f>
        <v>112000</v>
      </c>
      <c r="U81" s="30">
        <f>SUMIFS(Giriş!$J:$J,Giriş!$H:$H,Bilgiler!U$3,Giriş!$C:$C,Bilgiler!$O81,Giriş!$E:$E,Bilgiler!$P81)</f>
        <v>0</v>
      </c>
      <c r="V81" s="30">
        <f>SUMIFS(Giriş!$J:$J,Giriş!$H:$H,Bilgiler!V$3,Giriş!$C:$C,Bilgiler!$O81,Giriş!$E:$E,Bilgiler!$P81)</f>
        <v>0</v>
      </c>
      <c r="W81" s="30">
        <f>SUMIFS(Giriş!$J:$J,Giriş!$H:$H,Bilgiler!W$3,Giriş!$C:$C,Bilgiler!$O81,Giriş!$E:$E,Bilgiler!$P81)</f>
        <v>0</v>
      </c>
      <c r="X81" s="30">
        <f t="shared" si="9"/>
        <v>112000</v>
      </c>
      <c r="Y81" s="31" t="str">
        <f t="shared" ca="1" si="10"/>
        <v/>
      </c>
      <c r="AG81"/>
    </row>
    <row r="82" spans="4:33" ht="15" x14ac:dyDescent="0.25">
      <c r="D82" s="9" t="s">
        <v>174</v>
      </c>
      <c r="E82" s="2" t="s">
        <v>60</v>
      </c>
      <c r="F82" s="2" t="s">
        <v>18</v>
      </c>
      <c r="G82" s="22"/>
      <c r="H82" s="28">
        <f>SUMIFS(Giriş!$J:$J,Giriş!$H:$H,Bilgiler!H$3,Giriş!$C:$C,Bilgiler!$D82)</f>
        <v>0</v>
      </c>
      <c r="I82" s="28">
        <f>SUMIFS(Giriş!$J:$J,Giriş!$H:$H,Bilgiler!I$3,Giriş!$C:$C,Bilgiler!$D82)</f>
        <v>0</v>
      </c>
      <c r="J82" s="28">
        <f>SUMIFS(Giriş!$J:$J,Giriş!$H:$H,Bilgiler!J$3,Giriş!$C:$C,Bilgiler!$D82)</f>
        <v>0</v>
      </c>
      <c r="K82" s="28">
        <f>SUMIFS(Giriş!$J:$J,Giriş!$H:$H,Bilgiler!K$3,Giriş!$C:$C,Bilgiler!$D82)</f>
        <v>0</v>
      </c>
      <c r="L82" s="29">
        <f t="shared" si="6"/>
        <v>0</v>
      </c>
      <c r="N82" s="36">
        <f>IFERROR(IF(N81+1&gt;MAX(Giriş!L:L),"",N81+1),"")</f>
        <v>56</v>
      </c>
      <c r="O82" s="37" t="str">
        <f>IF($N82="","",VLOOKUP($N82,Giriş!$L:$O,2,0))</f>
        <v>Poşet-25 cm Mutlukal Tortillas 260 Gr ( Rusca )</v>
      </c>
      <c r="P82" s="37" t="str">
        <f>IF($N82="","",VLOOKUP($N82,Giriş!$L:$O,3,0))</f>
        <v>MAT008322</v>
      </c>
      <c r="Q82" s="44">
        <f>IF($N82="","",VLOOKUP($N82,Giriş!$L:$O,4,0))</f>
        <v>45653</v>
      </c>
      <c r="R82" s="47">
        <f t="shared" ca="1" si="8"/>
        <v>71</v>
      </c>
      <c r="S82" s="28">
        <f t="shared" si="7"/>
        <v>0</v>
      </c>
      <c r="T82" s="28">
        <f>SUMIFS(Giriş!$J:$J,Giriş!$H:$H,Bilgiler!T$3,Giriş!$C:$C,Bilgiler!$O82,Giriş!$E:$E,Bilgiler!$P82)</f>
        <v>1843800</v>
      </c>
      <c r="U82" s="28">
        <f>SUMIFS(Giriş!$J:$J,Giriş!$H:$H,Bilgiler!U$3,Giriş!$C:$C,Bilgiler!$O82,Giriş!$E:$E,Bilgiler!$P82)</f>
        <v>0</v>
      </c>
      <c r="V82" s="28">
        <f>SUMIFS(Giriş!$J:$J,Giriş!$H:$H,Bilgiler!V$3,Giriş!$C:$C,Bilgiler!$O82,Giriş!$E:$E,Bilgiler!$P82)</f>
        <v>0</v>
      </c>
      <c r="W82" s="28">
        <f>SUMIFS(Giriş!$J:$J,Giriş!$H:$H,Bilgiler!W$3,Giriş!$C:$C,Bilgiler!$O82,Giriş!$E:$E,Bilgiler!$P82)</f>
        <v>0</v>
      </c>
      <c r="X82" s="28">
        <f t="shared" si="9"/>
        <v>1843800</v>
      </c>
      <c r="Y82" s="29" t="str">
        <f t="shared" ca="1" si="10"/>
        <v/>
      </c>
      <c r="AG82"/>
    </row>
    <row r="83" spans="4:33" ht="15" x14ac:dyDescent="0.25">
      <c r="D83" s="10" t="s">
        <v>271</v>
      </c>
      <c r="E83" s="3" t="s">
        <v>141</v>
      </c>
      <c r="F83" s="3" t="s">
        <v>18</v>
      </c>
      <c r="G83" s="23"/>
      <c r="H83" s="30">
        <f>SUMIFS(Giriş!$J:$J,Giriş!$H:$H,Bilgiler!H$3,Giriş!$C:$C,Bilgiler!$D83)</f>
        <v>81200</v>
      </c>
      <c r="I83" s="30">
        <f>SUMIFS(Giriş!$J:$J,Giriş!$H:$H,Bilgiler!I$3,Giriş!$C:$C,Bilgiler!$D83)</f>
        <v>0</v>
      </c>
      <c r="J83" s="30">
        <f>SUMIFS(Giriş!$J:$J,Giriş!$H:$H,Bilgiler!J$3,Giriş!$C:$C,Bilgiler!$D83)</f>
        <v>0</v>
      </c>
      <c r="K83" s="30">
        <f>SUMIFS(Giriş!$J:$J,Giriş!$H:$H,Bilgiler!K$3,Giriş!$C:$C,Bilgiler!$D83)</f>
        <v>0</v>
      </c>
      <c r="L83" s="31">
        <f t="shared" si="6"/>
        <v>81200</v>
      </c>
      <c r="N83" s="38">
        <f>IFERROR(IF(N82+1&gt;MAX(Giriş!L:L),"",N82+1),"")</f>
        <v>57</v>
      </c>
      <c r="O83" s="39" t="str">
        <f>IF($N83="","",VLOOKUP($N83,Giriş!$L:$O,2,0))</f>
        <v>Poşet-25 cm Wıllı Food 840 gr</v>
      </c>
      <c r="P83" s="39" t="str">
        <f>IF($N83="","",VLOOKUP($N83,Giriş!$L:$O,3,0))</f>
        <v>MAT008463</v>
      </c>
      <c r="Q83" s="45">
        <f>IF($N83="","",VLOOKUP($N83,Giriş!$L:$O,4,0))</f>
        <v>45653</v>
      </c>
      <c r="R83" s="48">
        <f t="shared" ca="1" si="8"/>
        <v>71</v>
      </c>
      <c r="S83" s="30">
        <f t="shared" si="7"/>
        <v>0</v>
      </c>
      <c r="T83" s="30">
        <f>SUMIFS(Giriş!$J:$J,Giriş!$H:$H,Bilgiler!T$3,Giriş!$C:$C,Bilgiler!$O83,Giriş!$E:$E,Bilgiler!$P83)</f>
        <v>77000</v>
      </c>
      <c r="U83" s="30">
        <f>SUMIFS(Giriş!$J:$J,Giriş!$H:$H,Bilgiler!U$3,Giriş!$C:$C,Bilgiler!$O83,Giriş!$E:$E,Bilgiler!$P83)</f>
        <v>0</v>
      </c>
      <c r="V83" s="30">
        <f>SUMIFS(Giriş!$J:$J,Giriş!$H:$H,Bilgiler!V$3,Giriş!$C:$C,Bilgiler!$O83,Giriş!$E:$E,Bilgiler!$P83)</f>
        <v>0</v>
      </c>
      <c r="W83" s="30">
        <f>SUMIFS(Giriş!$J:$J,Giriş!$H:$H,Bilgiler!W$3,Giriş!$C:$C,Bilgiler!$O83,Giriş!$E:$E,Bilgiler!$P83)</f>
        <v>0</v>
      </c>
      <c r="X83" s="30">
        <f t="shared" si="9"/>
        <v>77000</v>
      </c>
      <c r="Y83" s="31" t="str">
        <f t="shared" ca="1" si="10"/>
        <v/>
      </c>
      <c r="AG83"/>
    </row>
    <row r="84" spans="4:33" ht="15" x14ac:dyDescent="0.25">
      <c r="D84" s="9" t="s">
        <v>244</v>
      </c>
      <c r="E84" s="2" t="s">
        <v>96</v>
      </c>
      <c r="F84" s="2" t="s">
        <v>18</v>
      </c>
      <c r="G84" s="22"/>
      <c r="H84" s="28">
        <f>SUMIFS(Giriş!$J:$J,Giriş!$H:$H,Bilgiler!H$3,Giriş!$C:$C,Bilgiler!$D84)</f>
        <v>0</v>
      </c>
      <c r="I84" s="28">
        <f>SUMIFS(Giriş!$J:$J,Giriş!$H:$H,Bilgiler!I$3,Giriş!$C:$C,Bilgiler!$D84)</f>
        <v>0</v>
      </c>
      <c r="J84" s="28">
        <f>SUMIFS(Giriş!$J:$J,Giriş!$H:$H,Bilgiler!J$3,Giriş!$C:$C,Bilgiler!$D84)</f>
        <v>0</v>
      </c>
      <c r="K84" s="28">
        <f>SUMIFS(Giriş!$J:$J,Giriş!$H:$H,Bilgiler!K$3,Giriş!$C:$C,Bilgiler!$D84)</f>
        <v>0</v>
      </c>
      <c r="L84" s="29">
        <f t="shared" si="6"/>
        <v>0</v>
      </c>
      <c r="N84" s="36">
        <f>IFERROR(IF(N83+1&gt;MAX(Giriş!L:L),"",N83+1),"")</f>
        <v>58</v>
      </c>
      <c r="O84" s="37" t="str">
        <f>IF($N84="","",VLOOKUP($N84,Giriş!$L:$O,2,0))</f>
        <v>Poşet-25 cm Mutlukal Tortillas Kırmızı Değişken ( Beyaz Rusya )</v>
      </c>
      <c r="P84" s="37" t="str">
        <f>IF($N84="","",VLOOKUP($N84,Giriş!$L:$O,3,0))</f>
        <v>2024-001</v>
      </c>
      <c r="Q84" s="44">
        <f>IF($N84="","",VLOOKUP($N84,Giriş!$L:$O,4,0))</f>
        <v>45671</v>
      </c>
      <c r="R84" s="47">
        <f t="shared" ca="1" si="8"/>
        <v>89</v>
      </c>
      <c r="S84" s="28">
        <f t="shared" si="7"/>
        <v>0</v>
      </c>
      <c r="T84" s="28">
        <f>SUMIFS(Giriş!$J:$J,Giriş!$H:$H,Bilgiler!T$3,Giriş!$C:$C,Bilgiler!$O84,Giriş!$E:$E,Bilgiler!$P84)</f>
        <v>185650</v>
      </c>
      <c r="U84" s="28">
        <f>SUMIFS(Giriş!$J:$J,Giriş!$H:$H,Bilgiler!U$3,Giriş!$C:$C,Bilgiler!$O84,Giriş!$E:$E,Bilgiler!$P84)</f>
        <v>0</v>
      </c>
      <c r="V84" s="28">
        <f>SUMIFS(Giriş!$J:$J,Giriş!$H:$H,Bilgiler!V$3,Giriş!$C:$C,Bilgiler!$O84,Giriş!$E:$E,Bilgiler!$P84)</f>
        <v>0</v>
      </c>
      <c r="W84" s="28">
        <f>SUMIFS(Giriş!$J:$J,Giriş!$H:$H,Bilgiler!W$3,Giriş!$C:$C,Bilgiler!$O84,Giriş!$E:$E,Bilgiler!$P84)</f>
        <v>0</v>
      </c>
      <c r="X84" s="28">
        <f t="shared" si="9"/>
        <v>185650</v>
      </c>
      <c r="Y84" s="29" t="str">
        <f t="shared" ca="1" si="10"/>
        <v/>
      </c>
      <c r="AG84"/>
    </row>
    <row r="85" spans="4:33" ht="15" x14ac:dyDescent="0.25">
      <c r="D85" s="10" t="s">
        <v>208</v>
      </c>
      <c r="E85" s="3" t="s">
        <v>86</v>
      </c>
      <c r="F85" s="3" t="s">
        <v>18</v>
      </c>
      <c r="G85" s="23"/>
      <c r="H85" s="30">
        <f>SUMIFS(Giriş!$J:$J,Giriş!$H:$H,Bilgiler!H$3,Giriş!$C:$C,Bilgiler!$D85)</f>
        <v>0</v>
      </c>
      <c r="I85" s="30">
        <f>SUMIFS(Giriş!$J:$J,Giriş!$H:$H,Bilgiler!I$3,Giriş!$C:$C,Bilgiler!$D85)</f>
        <v>0</v>
      </c>
      <c r="J85" s="30">
        <f>SUMIFS(Giriş!$J:$J,Giriş!$H:$H,Bilgiler!J$3,Giriş!$C:$C,Bilgiler!$D85)</f>
        <v>0</v>
      </c>
      <c r="K85" s="30">
        <f>SUMIFS(Giriş!$J:$J,Giriş!$H:$H,Bilgiler!K$3,Giriş!$C:$C,Bilgiler!$D85)</f>
        <v>0</v>
      </c>
      <c r="L85" s="31">
        <f t="shared" si="6"/>
        <v>0</v>
      </c>
      <c r="N85" s="38">
        <f>IFERROR(IF(N84+1&gt;MAX(Giriş!L:L),"",N84+1),"")</f>
        <v>59</v>
      </c>
      <c r="O85" s="39" t="str">
        <f>IF($N85="","",VLOOKUP($N85,Giriş!$L:$O,2,0))</f>
        <v>Poşet-25 cm Bisto</v>
      </c>
      <c r="P85" s="39" t="str">
        <f>IF($N85="","",VLOOKUP($N85,Giriş!$L:$O,3,0))</f>
        <v>MAT008458</v>
      </c>
      <c r="Q85" s="45">
        <f>IF($N85="","",VLOOKUP($N85,Giriş!$L:$O,4,0))</f>
        <v>45661</v>
      </c>
      <c r="R85" s="48">
        <f t="shared" ca="1" si="8"/>
        <v>79</v>
      </c>
      <c r="S85" s="30">
        <f t="shared" si="7"/>
        <v>0</v>
      </c>
      <c r="T85" s="30">
        <f>SUMIFS(Giriş!$J:$J,Giriş!$H:$H,Bilgiler!T$3,Giriş!$C:$C,Bilgiler!$O85,Giriş!$E:$E,Bilgiler!$P85)</f>
        <v>72800</v>
      </c>
      <c r="U85" s="30">
        <f>SUMIFS(Giriş!$J:$J,Giriş!$H:$H,Bilgiler!U$3,Giriş!$C:$C,Bilgiler!$O85,Giriş!$E:$E,Bilgiler!$P85)</f>
        <v>0</v>
      </c>
      <c r="V85" s="30">
        <f>SUMIFS(Giriş!$J:$J,Giriş!$H:$H,Bilgiler!V$3,Giriş!$C:$C,Bilgiler!$O85,Giriş!$E:$E,Bilgiler!$P85)</f>
        <v>0</v>
      </c>
      <c r="W85" s="30">
        <f>SUMIFS(Giriş!$J:$J,Giriş!$H:$H,Bilgiler!W$3,Giriş!$C:$C,Bilgiler!$O85,Giriş!$E:$E,Bilgiler!$P85)</f>
        <v>0</v>
      </c>
      <c r="X85" s="30">
        <f t="shared" si="9"/>
        <v>72800</v>
      </c>
      <c r="Y85" s="31" t="str">
        <f t="shared" ca="1" si="10"/>
        <v/>
      </c>
      <c r="AG85"/>
    </row>
    <row r="86" spans="4:33" ht="15" x14ac:dyDescent="0.25">
      <c r="D86" s="9" t="s">
        <v>280</v>
      </c>
      <c r="E86" s="2" t="s">
        <v>161</v>
      </c>
      <c r="F86" s="2" t="s">
        <v>18</v>
      </c>
      <c r="G86" s="22"/>
      <c r="H86" s="28">
        <f>SUMIFS(Giriş!$J:$J,Giriş!$H:$H,Bilgiler!H$3,Giriş!$C:$C,Bilgiler!$D86)</f>
        <v>0</v>
      </c>
      <c r="I86" s="28">
        <f>SUMIFS(Giriş!$J:$J,Giriş!$H:$H,Bilgiler!I$3,Giriş!$C:$C,Bilgiler!$D86)</f>
        <v>0</v>
      </c>
      <c r="J86" s="28">
        <f>SUMIFS(Giriş!$J:$J,Giriş!$H:$H,Bilgiler!J$3,Giriş!$C:$C,Bilgiler!$D86)</f>
        <v>0</v>
      </c>
      <c r="K86" s="28">
        <f>SUMIFS(Giriş!$J:$J,Giriş!$H:$H,Bilgiler!K$3,Giriş!$C:$C,Bilgiler!$D86)</f>
        <v>0</v>
      </c>
      <c r="L86" s="29">
        <f t="shared" si="6"/>
        <v>0</v>
      </c>
      <c r="N86" s="36">
        <f>IFERROR(IF(N85+1&gt;MAX(Giriş!L:L),"",N85+1),"")</f>
        <v>60</v>
      </c>
      <c r="O86" s="37" t="str">
        <f>IF($N86="","",VLOOKUP($N86,Giriş!$L:$O,2,0))</f>
        <v>Poşet-20 cm Alkafeel 10 Adet</v>
      </c>
      <c r="P86" s="37" t="str">
        <f>IF($N86="","",VLOOKUP($N86,Giriş!$L:$O,3,0))</f>
        <v>MAT008456</v>
      </c>
      <c r="Q86" s="44">
        <f>IF($N86="","",VLOOKUP($N86,Giriş!$L:$O,4,0))</f>
        <v>45664</v>
      </c>
      <c r="R86" s="47">
        <f t="shared" ca="1" si="8"/>
        <v>82</v>
      </c>
      <c r="S86" s="28">
        <f t="shared" si="7"/>
        <v>0</v>
      </c>
      <c r="T86" s="28">
        <f>SUMIFS(Giriş!$J:$J,Giriş!$H:$H,Bilgiler!T$3,Giriş!$C:$C,Bilgiler!$O86,Giriş!$E:$E,Bilgiler!$P86)</f>
        <v>70200</v>
      </c>
      <c r="U86" s="28">
        <f>SUMIFS(Giriş!$J:$J,Giriş!$H:$H,Bilgiler!U$3,Giriş!$C:$C,Bilgiler!$O86,Giriş!$E:$E,Bilgiler!$P86)</f>
        <v>0</v>
      </c>
      <c r="V86" s="28">
        <f>SUMIFS(Giriş!$J:$J,Giriş!$H:$H,Bilgiler!V$3,Giriş!$C:$C,Bilgiler!$O86,Giriş!$E:$E,Bilgiler!$P86)</f>
        <v>0</v>
      </c>
      <c r="W86" s="28">
        <f>SUMIFS(Giriş!$J:$J,Giriş!$H:$H,Bilgiler!W$3,Giriş!$C:$C,Bilgiler!$O86,Giriş!$E:$E,Bilgiler!$P86)</f>
        <v>0</v>
      </c>
      <c r="X86" s="28">
        <f t="shared" si="9"/>
        <v>70200</v>
      </c>
      <c r="Y86" s="29" t="str">
        <f t="shared" ca="1" si="10"/>
        <v/>
      </c>
      <c r="AG86"/>
    </row>
    <row r="87" spans="4:33" ht="15" x14ac:dyDescent="0.25">
      <c r="D87" s="10" t="s">
        <v>266</v>
      </c>
      <c r="E87" s="3" t="s">
        <v>134</v>
      </c>
      <c r="F87" s="3" t="s">
        <v>18</v>
      </c>
      <c r="G87" s="23"/>
      <c r="H87" s="30">
        <f>SUMIFS(Giriş!$J:$J,Giriş!$H:$H,Bilgiler!H$3,Giriş!$C:$C,Bilgiler!$D87)</f>
        <v>89367</v>
      </c>
      <c r="I87" s="30">
        <f>SUMIFS(Giriş!$J:$J,Giriş!$H:$H,Bilgiler!I$3,Giriş!$C:$C,Bilgiler!$D87)</f>
        <v>0</v>
      </c>
      <c r="J87" s="30">
        <f>SUMIFS(Giriş!$J:$J,Giriş!$H:$H,Bilgiler!J$3,Giriş!$C:$C,Bilgiler!$D87)</f>
        <v>0</v>
      </c>
      <c r="K87" s="30">
        <f>SUMIFS(Giriş!$J:$J,Giriş!$H:$H,Bilgiler!K$3,Giriş!$C:$C,Bilgiler!$D87)</f>
        <v>0</v>
      </c>
      <c r="L87" s="31">
        <f t="shared" si="6"/>
        <v>89367</v>
      </c>
      <c r="N87" s="38">
        <f>IFERROR(IF(N86+1&gt;MAX(Giriş!L:L),"",N86+1),"")</f>
        <v>61</v>
      </c>
      <c r="O87" s="39" t="str">
        <f>IF($N87="","",VLOOKUP($N87,Giriş!$L:$O,2,0))</f>
        <v>Poşet-30 cm Alkafeel</v>
      </c>
      <c r="P87" s="39" t="str">
        <f>IF($N87="","",VLOOKUP($N87,Giriş!$L:$O,3,0))</f>
        <v>MAT008453</v>
      </c>
      <c r="Q87" s="45">
        <f>IF($N87="","",VLOOKUP($N87,Giriş!$L:$O,4,0))</f>
        <v>45664</v>
      </c>
      <c r="R87" s="48">
        <f t="shared" ca="1" si="8"/>
        <v>82</v>
      </c>
      <c r="S87" s="30">
        <f t="shared" si="7"/>
        <v>0</v>
      </c>
      <c r="T87" s="30">
        <f>SUMIFS(Giriş!$J:$J,Giriş!$H:$H,Bilgiler!T$3,Giriş!$C:$C,Bilgiler!$O87,Giriş!$E:$E,Bilgiler!$P87)</f>
        <v>57600</v>
      </c>
      <c r="U87" s="30">
        <f>SUMIFS(Giriş!$J:$J,Giriş!$H:$H,Bilgiler!U$3,Giriş!$C:$C,Bilgiler!$O87,Giriş!$E:$E,Bilgiler!$P87)</f>
        <v>0</v>
      </c>
      <c r="V87" s="30">
        <f>SUMIFS(Giriş!$J:$J,Giriş!$H:$H,Bilgiler!V$3,Giriş!$C:$C,Bilgiler!$O87,Giriş!$E:$E,Bilgiler!$P87)</f>
        <v>0</v>
      </c>
      <c r="W87" s="30">
        <f>SUMIFS(Giriş!$J:$J,Giriş!$H:$H,Bilgiler!W$3,Giriş!$C:$C,Bilgiler!$O87,Giriş!$E:$E,Bilgiler!$P87)</f>
        <v>0</v>
      </c>
      <c r="X87" s="30">
        <f t="shared" si="9"/>
        <v>57600</v>
      </c>
      <c r="Y87" s="31" t="str">
        <f t="shared" ca="1" si="10"/>
        <v/>
      </c>
      <c r="AG87"/>
    </row>
    <row r="88" spans="4:33" ht="15" x14ac:dyDescent="0.25">
      <c r="D88" s="9" t="s">
        <v>264</v>
      </c>
      <c r="E88" s="2" t="s">
        <v>133</v>
      </c>
      <c r="F88" s="2" t="s">
        <v>18</v>
      </c>
      <c r="G88" s="22"/>
      <c r="H88" s="28">
        <f>SUMIFS(Giriş!$J:$J,Giriş!$H:$H,Bilgiler!H$3,Giriş!$C:$C,Bilgiler!$D88)</f>
        <v>87300</v>
      </c>
      <c r="I88" s="28">
        <f>SUMIFS(Giriş!$J:$J,Giriş!$H:$H,Bilgiler!I$3,Giriş!$C:$C,Bilgiler!$D88)</f>
        <v>0</v>
      </c>
      <c r="J88" s="28">
        <f>SUMIFS(Giriş!$J:$J,Giriş!$H:$H,Bilgiler!J$3,Giriş!$C:$C,Bilgiler!$D88)</f>
        <v>0</v>
      </c>
      <c r="K88" s="28">
        <f>SUMIFS(Giriş!$J:$J,Giriş!$H:$H,Bilgiler!K$3,Giriş!$C:$C,Bilgiler!$D88)</f>
        <v>0</v>
      </c>
      <c r="L88" s="29">
        <f t="shared" si="6"/>
        <v>87300</v>
      </c>
      <c r="N88" s="36">
        <f>IFERROR(IF(N87+1&gt;MAX(Giriş!L:L),"",N87+1),"")</f>
        <v>62</v>
      </c>
      <c r="O88" s="37" t="str">
        <f>IF($N88="","",VLOOKUP($N88,Giriş!$L:$O,2,0))</f>
        <v>Poşet-25 cm Tortillove Değişken</v>
      </c>
      <c r="P88" s="37" t="str">
        <f>IF($N88="","",VLOOKUP($N88,Giriş!$L:$O,3,0))</f>
        <v>MAT003456</v>
      </c>
      <c r="Q88" s="44">
        <f>IF($N88="","",VLOOKUP($N88,Giriş!$L:$O,4,0))</f>
        <v>45664</v>
      </c>
      <c r="R88" s="47">
        <f t="shared" ca="1" si="8"/>
        <v>82</v>
      </c>
      <c r="S88" s="28">
        <f t="shared" si="7"/>
        <v>0</v>
      </c>
      <c r="T88" s="28">
        <f>SUMIFS(Giriş!$J:$J,Giriş!$H:$H,Bilgiler!T$3,Giriş!$C:$C,Bilgiler!$O88,Giriş!$E:$E,Bilgiler!$P88)</f>
        <v>56000</v>
      </c>
      <c r="U88" s="28">
        <f>SUMIFS(Giriş!$J:$J,Giriş!$H:$H,Bilgiler!U$3,Giriş!$C:$C,Bilgiler!$O88,Giriş!$E:$E,Bilgiler!$P88)</f>
        <v>0</v>
      </c>
      <c r="V88" s="28">
        <f>SUMIFS(Giriş!$J:$J,Giriş!$H:$H,Bilgiler!V$3,Giriş!$C:$C,Bilgiler!$O88,Giriş!$E:$E,Bilgiler!$P88)</f>
        <v>0</v>
      </c>
      <c r="W88" s="28">
        <f>SUMIFS(Giriş!$J:$J,Giriş!$H:$H,Bilgiler!W$3,Giriş!$C:$C,Bilgiler!$O88,Giriş!$E:$E,Bilgiler!$P88)</f>
        <v>0</v>
      </c>
      <c r="X88" s="28">
        <f t="shared" si="9"/>
        <v>56000</v>
      </c>
      <c r="Y88" s="29" t="str">
        <f t="shared" ca="1" si="10"/>
        <v/>
      </c>
      <c r="AG88"/>
    </row>
    <row r="89" spans="4:33" ht="15" x14ac:dyDescent="0.25">
      <c r="D89" s="10" t="s">
        <v>188</v>
      </c>
      <c r="E89" s="3" t="s">
        <v>72</v>
      </c>
      <c r="F89" s="3" t="s">
        <v>18</v>
      </c>
      <c r="G89" s="23"/>
      <c r="H89" s="30">
        <f>SUMIFS(Giriş!$J:$J,Giriş!$H:$H,Bilgiler!H$3,Giriş!$C:$C,Bilgiler!$D89)</f>
        <v>317800</v>
      </c>
      <c r="I89" s="30">
        <f>SUMIFS(Giriş!$J:$J,Giriş!$H:$H,Bilgiler!I$3,Giriş!$C:$C,Bilgiler!$D89)</f>
        <v>0</v>
      </c>
      <c r="J89" s="30">
        <f>SUMIFS(Giriş!$J:$J,Giriş!$H:$H,Bilgiler!J$3,Giriş!$C:$C,Bilgiler!$D89)</f>
        <v>0</v>
      </c>
      <c r="K89" s="30">
        <f>SUMIFS(Giriş!$J:$J,Giriş!$H:$H,Bilgiler!K$3,Giriş!$C:$C,Bilgiler!$D89)</f>
        <v>0</v>
      </c>
      <c r="L89" s="31">
        <f t="shared" si="6"/>
        <v>317800</v>
      </c>
      <c r="N89" s="38">
        <f>IFERROR(IF(N88+1&gt;MAX(Giriş!L:L),"",N88+1),"")</f>
        <v>63</v>
      </c>
      <c r="O89" s="39" t="str">
        <f>IF($N89="","",VLOOKUP($N89,Giriş!$L:$O,2,0))</f>
        <v>Poşet-25 cm Tortillove Değişken</v>
      </c>
      <c r="P89" s="39" t="str">
        <f>IF($N89="","",VLOOKUP($N89,Giriş!$L:$O,3,0))</f>
        <v>MAT008443</v>
      </c>
      <c r="Q89" s="45">
        <f>IF($N89="","",VLOOKUP($N89,Giriş!$L:$O,4,0))</f>
        <v>45635</v>
      </c>
      <c r="R89" s="48">
        <f t="shared" ca="1" si="8"/>
        <v>53</v>
      </c>
      <c r="S89" s="30">
        <f t="shared" si="7"/>
        <v>0</v>
      </c>
      <c r="T89" s="30">
        <f>SUMIFS(Giriş!$J:$J,Giriş!$H:$H,Bilgiler!T$3,Giriş!$C:$C,Bilgiler!$O89,Giriş!$E:$E,Bilgiler!$P89)</f>
        <v>16800</v>
      </c>
      <c r="U89" s="30">
        <f>SUMIFS(Giriş!$J:$J,Giriş!$H:$H,Bilgiler!U$3,Giriş!$C:$C,Bilgiler!$O89,Giriş!$E:$E,Bilgiler!$P89)</f>
        <v>0</v>
      </c>
      <c r="V89" s="30">
        <f>SUMIFS(Giriş!$J:$J,Giriş!$H:$H,Bilgiler!V$3,Giriş!$C:$C,Bilgiler!$O89,Giriş!$E:$E,Bilgiler!$P89)</f>
        <v>0</v>
      </c>
      <c r="W89" s="30">
        <f>SUMIFS(Giriş!$J:$J,Giriş!$H:$H,Bilgiler!W$3,Giriş!$C:$C,Bilgiler!$O89,Giriş!$E:$E,Bilgiler!$P89)</f>
        <v>0</v>
      </c>
      <c r="X89" s="30">
        <f t="shared" si="9"/>
        <v>16800</v>
      </c>
      <c r="Y89" s="31" t="str">
        <f t="shared" ca="1" si="10"/>
        <v/>
      </c>
      <c r="AG89"/>
    </row>
    <row r="90" spans="4:33" ht="15" x14ac:dyDescent="0.25">
      <c r="D90" s="9" t="s">
        <v>193</v>
      </c>
      <c r="E90" s="2" t="s">
        <v>75</v>
      </c>
      <c r="F90" s="2" t="s">
        <v>18</v>
      </c>
      <c r="G90" s="22"/>
      <c r="H90" s="28">
        <f>SUMIFS(Giriş!$J:$J,Giriş!$H:$H,Bilgiler!H$3,Giriş!$C:$C,Bilgiler!$D90)</f>
        <v>40600</v>
      </c>
      <c r="I90" s="28">
        <f>SUMIFS(Giriş!$J:$J,Giriş!$H:$H,Bilgiler!I$3,Giriş!$C:$C,Bilgiler!$D90)</f>
        <v>0</v>
      </c>
      <c r="J90" s="28">
        <f>SUMIFS(Giriş!$J:$J,Giriş!$H:$H,Bilgiler!J$3,Giriş!$C:$C,Bilgiler!$D90)</f>
        <v>0</v>
      </c>
      <c r="K90" s="28">
        <f>SUMIFS(Giriş!$J:$J,Giriş!$H:$H,Bilgiler!K$3,Giriş!$C:$C,Bilgiler!$D90)</f>
        <v>0</v>
      </c>
      <c r="L90" s="29">
        <f t="shared" si="6"/>
        <v>40600</v>
      </c>
      <c r="N90" s="36">
        <f>IFERROR(IF(N89+1&gt;MAX(Giriş!L:L),"",N89+1),"")</f>
        <v>64</v>
      </c>
      <c r="O90" s="37" t="str">
        <f>IF($N90="","",VLOOKUP($N90,Giriş!$L:$O,2,0))</f>
        <v>Poşet-33 cm Alkafeel 10 Adet</v>
      </c>
      <c r="P90" s="37" t="str">
        <f>IF($N90="","",VLOOKUP($N90,Giriş!$L:$O,3,0))</f>
        <v>MAT008457</v>
      </c>
      <c r="Q90" s="44">
        <f>IF($N90="","",VLOOKUP($N90,Giriş!$L:$O,4,0))</f>
        <v>45636</v>
      </c>
      <c r="R90" s="47">
        <f t="shared" ca="1" si="8"/>
        <v>54</v>
      </c>
      <c r="S90" s="28">
        <f t="shared" si="7"/>
        <v>0</v>
      </c>
      <c r="T90" s="28">
        <f>SUMIFS(Giriş!$J:$J,Giriş!$H:$H,Bilgiler!T$3,Giriş!$C:$C,Bilgiler!$O90,Giriş!$E:$E,Bilgiler!$P90)</f>
        <v>51000</v>
      </c>
      <c r="U90" s="28">
        <f>SUMIFS(Giriş!$J:$J,Giriş!$H:$H,Bilgiler!U$3,Giriş!$C:$C,Bilgiler!$O90,Giriş!$E:$E,Bilgiler!$P90)</f>
        <v>0</v>
      </c>
      <c r="V90" s="28">
        <f>SUMIFS(Giriş!$J:$J,Giriş!$H:$H,Bilgiler!V$3,Giriş!$C:$C,Bilgiler!$O90,Giriş!$E:$E,Bilgiler!$P90)</f>
        <v>0</v>
      </c>
      <c r="W90" s="28">
        <f>SUMIFS(Giriş!$J:$J,Giriş!$H:$H,Bilgiler!W$3,Giriş!$C:$C,Bilgiler!$O90,Giriş!$E:$E,Bilgiler!$P90)</f>
        <v>0</v>
      </c>
      <c r="X90" s="28">
        <f t="shared" si="9"/>
        <v>51000</v>
      </c>
      <c r="Y90" s="29" t="str">
        <f t="shared" ca="1" si="10"/>
        <v/>
      </c>
      <c r="AG90"/>
    </row>
    <row r="91" spans="4:33" ht="15" x14ac:dyDescent="0.25">
      <c r="D91" s="10" t="s">
        <v>175</v>
      </c>
      <c r="E91" s="3" t="s">
        <v>154</v>
      </c>
      <c r="F91" s="3" t="s">
        <v>18</v>
      </c>
      <c r="G91" s="23"/>
      <c r="H91" s="30">
        <f>SUMIFS(Giriş!$J:$J,Giriş!$H:$H,Bilgiler!H$3,Giriş!$C:$C,Bilgiler!$D91)</f>
        <v>0</v>
      </c>
      <c r="I91" s="30">
        <f>SUMIFS(Giriş!$J:$J,Giriş!$H:$H,Bilgiler!I$3,Giriş!$C:$C,Bilgiler!$D91)</f>
        <v>0</v>
      </c>
      <c r="J91" s="30">
        <f>SUMIFS(Giriş!$J:$J,Giriş!$H:$H,Bilgiler!J$3,Giriş!$C:$C,Bilgiler!$D91)</f>
        <v>0</v>
      </c>
      <c r="K91" s="30">
        <f>SUMIFS(Giriş!$J:$J,Giriş!$H:$H,Bilgiler!K$3,Giriş!$C:$C,Bilgiler!$D91)</f>
        <v>0</v>
      </c>
      <c r="L91" s="31">
        <f t="shared" si="6"/>
        <v>0</v>
      </c>
      <c r="N91" s="38">
        <f>IFERROR(IF(N90+1&gt;MAX(Giriş!L:L),"",N90+1),"")</f>
        <v>65</v>
      </c>
      <c r="O91" s="39" t="str">
        <f>IF($N91="","",VLOOKUP($N91,Giriş!$L:$O,2,0))</f>
        <v>Poşet-30 cm Lazeza</v>
      </c>
      <c r="P91" s="39" t="str">
        <f>IF($N91="","",VLOOKUP($N91,Giriş!$L:$O,3,0))</f>
        <v>MAT008444</v>
      </c>
      <c r="Q91" s="45">
        <f>IF($N91="","",VLOOKUP($N91,Giriş!$L:$O,4,0))</f>
        <v>45636</v>
      </c>
      <c r="R91" s="48">
        <f t="shared" ca="1" si="8"/>
        <v>54</v>
      </c>
      <c r="S91" s="30">
        <f t="shared" si="7"/>
        <v>0</v>
      </c>
      <c r="T91" s="30">
        <f>SUMIFS(Giriş!$J:$J,Giriş!$H:$H,Bilgiler!T$3,Giriş!$C:$C,Bilgiler!$O91,Giriş!$E:$E,Bilgiler!$P91)</f>
        <v>57600</v>
      </c>
      <c r="U91" s="30">
        <f>SUMIFS(Giriş!$J:$J,Giriş!$H:$H,Bilgiler!U$3,Giriş!$C:$C,Bilgiler!$O91,Giriş!$E:$E,Bilgiler!$P91)</f>
        <v>0</v>
      </c>
      <c r="V91" s="30">
        <f>SUMIFS(Giriş!$J:$J,Giriş!$H:$H,Bilgiler!V$3,Giriş!$C:$C,Bilgiler!$O91,Giriş!$E:$E,Bilgiler!$P91)</f>
        <v>0</v>
      </c>
      <c r="W91" s="30">
        <f>SUMIFS(Giriş!$J:$J,Giriş!$H:$H,Bilgiler!W$3,Giriş!$C:$C,Bilgiler!$O91,Giriş!$E:$E,Bilgiler!$P91)</f>
        <v>0</v>
      </c>
      <c r="X91" s="30">
        <f t="shared" si="9"/>
        <v>57600</v>
      </c>
      <c r="Y91" s="31" t="str">
        <f t="shared" ca="1" si="10"/>
        <v/>
      </c>
      <c r="AG91"/>
    </row>
    <row r="92" spans="4:33" ht="15" x14ac:dyDescent="0.25">
      <c r="D92" s="9" t="s">
        <v>176</v>
      </c>
      <c r="E92" s="2" t="s">
        <v>153</v>
      </c>
      <c r="F92" s="2" t="s">
        <v>18</v>
      </c>
      <c r="G92" s="22"/>
      <c r="H92" s="28">
        <f>SUMIFS(Giriş!$J:$J,Giriş!$H:$H,Bilgiler!H$3,Giriş!$C:$C,Bilgiler!$D92)</f>
        <v>0</v>
      </c>
      <c r="I92" s="28">
        <f>SUMIFS(Giriş!$J:$J,Giriş!$H:$H,Bilgiler!I$3,Giriş!$C:$C,Bilgiler!$D92)</f>
        <v>0</v>
      </c>
      <c r="J92" s="28">
        <f>SUMIFS(Giriş!$J:$J,Giriş!$H:$H,Bilgiler!J$3,Giriş!$C:$C,Bilgiler!$D92)</f>
        <v>0</v>
      </c>
      <c r="K92" s="28">
        <f>SUMIFS(Giriş!$J:$J,Giriş!$H:$H,Bilgiler!K$3,Giriş!$C:$C,Bilgiler!$D92)</f>
        <v>0</v>
      </c>
      <c r="L92" s="29">
        <f t="shared" si="6"/>
        <v>0</v>
      </c>
      <c r="N92" s="36">
        <f>IFERROR(IF(N91+1&gt;MAX(Giriş!L:L),"",N91+1),"")</f>
        <v>66</v>
      </c>
      <c r="O92" s="37" t="str">
        <f>IF($N92="","",VLOOKUP($N92,Giriş!$L:$O,2,0))</f>
        <v>Poşet-15 cm Alkafeel 10 Adet</v>
      </c>
      <c r="P92" s="37" t="str">
        <f>IF($N92="","",VLOOKUP($N92,Giriş!$L:$O,3,0))</f>
        <v>MAT008455</v>
      </c>
      <c r="Q92" s="44">
        <f>IF($N92="","",VLOOKUP($N92,Giriş!$L:$O,4,0))</f>
        <v>45640</v>
      </c>
      <c r="R92" s="47">
        <f t="shared" ca="1" si="8"/>
        <v>58</v>
      </c>
      <c r="S92" s="28">
        <f t="shared" si="7"/>
        <v>0</v>
      </c>
      <c r="T92" s="28">
        <f>SUMIFS(Giriş!$J:$J,Giriş!$H:$H,Bilgiler!T$3,Giriş!$C:$C,Bilgiler!$O92,Giriş!$E:$E,Bilgiler!$P92)</f>
        <v>112000</v>
      </c>
      <c r="U92" s="28">
        <f>SUMIFS(Giriş!$J:$J,Giriş!$H:$H,Bilgiler!U$3,Giriş!$C:$C,Bilgiler!$O92,Giriş!$E:$E,Bilgiler!$P92)</f>
        <v>0</v>
      </c>
      <c r="V92" s="28">
        <f>SUMIFS(Giriş!$J:$J,Giriş!$H:$H,Bilgiler!V$3,Giriş!$C:$C,Bilgiler!$O92,Giriş!$E:$E,Bilgiler!$P92)</f>
        <v>0</v>
      </c>
      <c r="W92" s="28">
        <f>SUMIFS(Giriş!$J:$J,Giriş!$H:$H,Bilgiler!W$3,Giriş!$C:$C,Bilgiler!$O92,Giriş!$E:$E,Bilgiler!$P92)</f>
        <v>0</v>
      </c>
      <c r="X92" s="28">
        <f t="shared" si="9"/>
        <v>112000</v>
      </c>
      <c r="Y92" s="29" t="str">
        <f t="shared" ca="1" si="10"/>
        <v/>
      </c>
      <c r="AG92"/>
    </row>
    <row r="93" spans="4:33" ht="15" x14ac:dyDescent="0.25">
      <c r="D93" s="10" t="s">
        <v>283</v>
      </c>
      <c r="E93" s="3" t="s">
        <v>98</v>
      </c>
      <c r="F93" s="3" t="s">
        <v>18</v>
      </c>
      <c r="G93" s="23"/>
      <c r="H93" s="30">
        <f>SUMIFS(Giriş!$J:$J,Giriş!$H:$H,Bilgiler!H$3,Giriş!$C:$C,Bilgiler!$D93)</f>
        <v>0</v>
      </c>
      <c r="I93" s="30">
        <f>SUMIFS(Giriş!$J:$J,Giriş!$H:$H,Bilgiler!I$3,Giriş!$C:$C,Bilgiler!$D93)</f>
        <v>0</v>
      </c>
      <c r="J93" s="30">
        <f>SUMIFS(Giriş!$J:$J,Giriş!$H:$H,Bilgiler!J$3,Giriş!$C:$C,Bilgiler!$D93)</f>
        <v>0</v>
      </c>
      <c r="K93" s="30">
        <f>SUMIFS(Giriş!$J:$J,Giriş!$H:$H,Bilgiler!K$3,Giriş!$C:$C,Bilgiler!$D93)</f>
        <v>0</v>
      </c>
      <c r="L93" s="31">
        <f t="shared" si="6"/>
        <v>0</v>
      </c>
      <c r="N93" s="38">
        <f>IFERROR(IF(N92+1&gt;MAX(Giriş!L:L),"",N92+1),"")</f>
        <v>67</v>
      </c>
      <c r="O93" s="39" t="str">
        <f>IF($N93="","",VLOOKUP($N93,Giriş!$L:$O,2,0))</f>
        <v>Poşet-25 cm Mutlukal Tortillas 260 Gr ( Rusca )</v>
      </c>
      <c r="P93" s="39" t="str">
        <f>IF($N93="","",VLOOKUP($N93,Giriş!$L:$O,3,0))</f>
        <v>2024-002</v>
      </c>
      <c r="Q93" s="45">
        <f>IF($N93="","",VLOOKUP($N93,Giriş!$L:$O,4,0))</f>
        <v>45641</v>
      </c>
      <c r="R93" s="48">
        <f t="shared" ca="1" si="8"/>
        <v>59</v>
      </c>
      <c r="S93" s="30">
        <f t="shared" si="7"/>
        <v>0</v>
      </c>
      <c r="T93" s="30">
        <f>SUMIFS(Giriş!$J:$J,Giriş!$H:$H,Bilgiler!T$3,Giriş!$C:$C,Bilgiler!$O93,Giriş!$E:$E,Bilgiler!$P93)</f>
        <v>407300</v>
      </c>
      <c r="U93" s="30">
        <f>SUMIFS(Giriş!$J:$J,Giriş!$H:$H,Bilgiler!U$3,Giriş!$C:$C,Bilgiler!$O93,Giriş!$E:$E,Bilgiler!$P93)</f>
        <v>0</v>
      </c>
      <c r="V93" s="30">
        <f>SUMIFS(Giriş!$J:$J,Giriş!$H:$H,Bilgiler!V$3,Giriş!$C:$C,Bilgiler!$O93,Giriş!$E:$E,Bilgiler!$P93)</f>
        <v>0</v>
      </c>
      <c r="W93" s="30">
        <f>SUMIFS(Giriş!$J:$J,Giriş!$H:$H,Bilgiler!W$3,Giriş!$C:$C,Bilgiler!$O93,Giriş!$E:$E,Bilgiler!$P93)</f>
        <v>0</v>
      </c>
      <c r="X93" s="30">
        <f t="shared" si="9"/>
        <v>407300</v>
      </c>
      <c r="Y93" s="31" t="str">
        <f t="shared" ca="1" si="10"/>
        <v/>
      </c>
      <c r="AG93"/>
    </row>
    <row r="94" spans="4:33" ht="15" x14ac:dyDescent="0.25">
      <c r="D94" s="9" t="s">
        <v>198</v>
      </c>
      <c r="E94" s="2" t="s">
        <v>100</v>
      </c>
      <c r="F94" s="2" t="s">
        <v>18</v>
      </c>
      <c r="G94" s="22"/>
      <c r="H94" s="28">
        <f>SUMIFS(Giriş!$J:$J,Giriş!$H:$H,Bilgiler!H$3,Giriş!$C:$C,Bilgiler!$D94)</f>
        <v>0</v>
      </c>
      <c r="I94" s="28">
        <f>SUMIFS(Giriş!$J:$J,Giriş!$H:$H,Bilgiler!I$3,Giriş!$C:$C,Bilgiler!$D94)</f>
        <v>0</v>
      </c>
      <c r="J94" s="28">
        <f>SUMIFS(Giriş!$J:$J,Giriş!$H:$H,Bilgiler!J$3,Giriş!$C:$C,Bilgiler!$D94)</f>
        <v>0</v>
      </c>
      <c r="K94" s="28">
        <f>SUMIFS(Giriş!$J:$J,Giriş!$H:$H,Bilgiler!K$3,Giriş!$C:$C,Bilgiler!$D94)</f>
        <v>0</v>
      </c>
      <c r="L94" s="29">
        <f t="shared" si="6"/>
        <v>0</v>
      </c>
      <c r="N94" s="36">
        <f>IFERROR(IF(N93+1&gt;MAX(Giriş!L:L),"",N93+1),"")</f>
        <v>68</v>
      </c>
      <c r="O94" s="37" t="str">
        <f>IF($N94="","",VLOOKUP($N94,Giriş!$L:$O,2,0))</f>
        <v>Poşet-25 cm Alkafeel</v>
      </c>
      <c r="P94" s="37" t="str">
        <f>IF($N94="","",VLOOKUP($N94,Giriş!$L:$O,3,0))</f>
        <v>MAT008454</v>
      </c>
      <c r="Q94" s="44">
        <f>IF($N94="","",VLOOKUP($N94,Giriş!$L:$O,4,0))</f>
        <v>45648</v>
      </c>
      <c r="R94" s="47">
        <f t="shared" ca="1" si="8"/>
        <v>66</v>
      </c>
      <c r="S94" s="28">
        <f t="shared" si="7"/>
        <v>0</v>
      </c>
      <c r="T94" s="28">
        <f>SUMIFS(Giriş!$J:$J,Giriş!$H:$H,Bilgiler!T$3,Giriş!$C:$C,Bilgiler!$O94,Giriş!$E:$E,Bilgiler!$P94)</f>
        <v>75600</v>
      </c>
      <c r="U94" s="28">
        <f>SUMIFS(Giriş!$J:$J,Giriş!$H:$H,Bilgiler!U$3,Giriş!$C:$C,Bilgiler!$O94,Giriş!$E:$E,Bilgiler!$P94)</f>
        <v>0</v>
      </c>
      <c r="V94" s="28">
        <f>SUMIFS(Giriş!$J:$J,Giriş!$H:$H,Bilgiler!V$3,Giriş!$C:$C,Bilgiler!$O94,Giriş!$E:$E,Bilgiler!$P94)</f>
        <v>0</v>
      </c>
      <c r="W94" s="28">
        <f>SUMIFS(Giriş!$J:$J,Giriş!$H:$H,Bilgiler!W$3,Giriş!$C:$C,Bilgiler!$O94,Giriş!$E:$E,Bilgiler!$P94)</f>
        <v>0</v>
      </c>
      <c r="X94" s="28">
        <f t="shared" si="9"/>
        <v>75600</v>
      </c>
      <c r="Y94" s="29" t="str">
        <f t="shared" ca="1" si="10"/>
        <v/>
      </c>
      <c r="AG94"/>
    </row>
    <row r="95" spans="4:33" ht="15" x14ac:dyDescent="0.25">
      <c r="D95" s="10" t="s">
        <v>199</v>
      </c>
      <c r="E95" s="3" t="s">
        <v>113</v>
      </c>
      <c r="F95" s="3" t="s">
        <v>18</v>
      </c>
      <c r="G95" s="23"/>
      <c r="H95" s="30">
        <f>SUMIFS(Giriş!$J:$J,Giriş!$H:$H,Bilgiler!H$3,Giriş!$C:$C,Bilgiler!$D95)</f>
        <v>0</v>
      </c>
      <c r="I95" s="30">
        <f>SUMIFS(Giriş!$J:$J,Giriş!$H:$H,Bilgiler!I$3,Giriş!$C:$C,Bilgiler!$D95)</f>
        <v>0</v>
      </c>
      <c r="J95" s="30">
        <f>SUMIFS(Giriş!$J:$J,Giriş!$H:$H,Bilgiler!J$3,Giriş!$C:$C,Bilgiler!$D95)</f>
        <v>0</v>
      </c>
      <c r="K95" s="30">
        <f>SUMIFS(Giriş!$J:$J,Giriş!$H:$H,Bilgiler!K$3,Giriş!$C:$C,Bilgiler!$D95)</f>
        <v>0</v>
      </c>
      <c r="L95" s="31">
        <f t="shared" si="6"/>
        <v>0</v>
      </c>
      <c r="N95" s="38">
        <f>IFERROR(IF(N94+1&gt;MAX(Giriş!L:L),"",N94+1),"")</f>
        <v>69</v>
      </c>
      <c r="O95" s="39" t="str">
        <f>IF($N95="","",VLOOKUP($N95,Giriş!$L:$O,2,0))</f>
        <v>Poşet-25 cm Mutlukal Tortillas Mavi Değişken</v>
      </c>
      <c r="P95" s="39" t="str">
        <f>IF($N95="","",VLOOKUP($N95,Giriş!$L:$O,3,0))</f>
        <v>MAT008510</v>
      </c>
      <c r="Q95" s="45">
        <f>IF($N95="","",VLOOKUP($N95,Giriş!$L:$O,4,0))</f>
        <v>45649</v>
      </c>
      <c r="R95" s="48">
        <f t="shared" ca="1" si="8"/>
        <v>67</v>
      </c>
      <c r="S95" s="30">
        <f t="shared" si="7"/>
        <v>0</v>
      </c>
      <c r="T95" s="30">
        <f>SUMIFS(Giriş!$J:$J,Giriş!$H:$H,Bilgiler!T$3,Giriş!$C:$C,Bilgiler!$O95,Giriş!$E:$E,Bilgiler!$P95)</f>
        <v>77000</v>
      </c>
      <c r="U95" s="30">
        <f>SUMIFS(Giriş!$J:$J,Giriş!$H:$H,Bilgiler!U$3,Giriş!$C:$C,Bilgiler!$O95,Giriş!$E:$E,Bilgiler!$P95)</f>
        <v>0</v>
      </c>
      <c r="V95" s="30">
        <f>SUMIFS(Giriş!$J:$J,Giriş!$H:$H,Bilgiler!V$3,Giriş!$C:$C,Bilgiler!$O95,Giriş!$E:$E,Bilgiler!$P95)</f>
        <v>0</v>
      </c>
      <c r="W95" s="30">
        <f>SUMIFS(Giriş!$J:$J,Giriş!$H:$H,Bilgiler!W$3,Giriş!$C:$C,Bilgiler!$O95,Giriş!$E:$E,Bilgiler!$P95)</f>
        <v>0</v>
      </c>
      <c r="X95" s="30">
        <f t="shared" si="9"/>
        <v>77000</v>
      </c>
      <c r="Y95" s="31" t="str">
        <f t="shared" ca="1" si="10"/>
        <v/>
      </c>
      <c r="AG95"/>
    </row>
    <row r="96" spans="4:33" ht="15" x14ac:dyDescent="0.25">
      <c r="D96" s="9" t="s">
        <v>286</v>
      </c>
      <c r="E96" s="2" t="s">
        <v>115</v>
      </c>
      <c r="F96" s="2" t="s">
        <v>18</v>
      </c>
      <c r="G96" s="22"/>
      <c r="H96" s="28">
        <f>SUMIFS(Giriş!$J:$J,Giriş!$H:$H,Bilgiler!H$3,Giriş!$C:$C,Bilgiler!$D96)</f>
        <v>0</v>
      </c>
      <c r="I96" s="28">
        <f>SUMIFS(Giriş!$J:$J,Giriş!$H:$H,Bilgiler!I$3,Giriş!$C:$C,Bilgiler!$D96)</f>
        <v>0</v>
      </c>
      <c r="J96" s="28">
        <f>SUMIFS(Giriş!$J:$J,Giriş!$H:$H,Bilgiler!J$3,Giriş!$C:$C,Bilgiler!$D96)</f>
        <v>0</v>
      </c>
      <c r="K96" s="28">
        <f>SUMIFS(Giriş!$J:$J,Giriş!$H:$H,Bilgiler!K$3,Giriş!$C:$C,Bilgiler!$D96)</f>
        <v>0</v>
      </c>
      <c r="L96" s="29">
        <f t="shared" si="6"/>
        <v>0</v>
      </c>
      <c r="N96" s="36">
        <f>IFERROR(IF(N95+1&gt;MAX(Giriş!L:L),"",N95+1),"")</f>
        <v>70</v>
      </c>
      <c r="O96" s="37" t="str">
        <f>IF($N96="","",VLOOKUP($N96,Giriş!$L:$O,2,0))</f>
        <v>Poşet-25 cm Tortillove Değişken</v>
      </c>
      <c r="P96" s="37" t="str">
        <f>IF($N96="","",VLOOKUP($N96,Giriş!$L:$O,3,0))</f>
        <v>MAT008485</v>
      </c>
      <c r="Q96" s="44">
        <f>IF($N96="","",VLOOKUP($N96,Giriş!$L:$O,4,0))</f>
        <v>45654</v>
      </c>
      <c r="R96" s="47">
        <f t="shared" ca="1" si="8"/>
        <v>72</v>
      </c>
      <c r="S96" s="28">
        <f t="shared" si="7"/>
        <v>0</v>
      </c>
      <c r="T96" s="28">
        <f>SUMIFS(Giriş!$J:$J,Giriş!$H:$H,Bilgiler!T$3,Giriş!$C:$C,Bilgiler!$O96,Giriş!$E:$E,Bilgiler!$P96)</f>
        <v>85400</v>
      </c>
      <c r="U96" s="28">
        <f>SUMIFS(Giriş!$J:$J,Giriş!$H:$H,Bilgiler!U$3,Giriş!$C:$C,Bilgiler!$O96,Giriş!$E:$E,Bilgiler!$P96)</f>
        <v>0</v>
      </c>
      <c r="V96" s="28">
        <f>SUMIFS(Giriş!$J:$J,Giriş!$H:$H,Bilgiler!V$3,Giriş!$C:$C,Bilgiler!$O96,Giriş!$E:$E,Bilgiler!$P96)</f>
        <v>0</v>
      </c>
      <c r="W96" s="28">
        <f>SUMIFS(Giriş!$J:$J,Giriş!$H:$H,Bilgiler!W$3,Giriş!$C:$C,Bilgiler!$O96,Giriş!$E:$E,Bilgiler!$P96)</f>
        <v>0</v>
      </c>
      <c r="X96" s="28">
        <f t="shared" si="9"/>
        <v>85400</v>
      </c>
      <c r="Y96" s="29" t="str">
        <f t="shared" ca="1" si="10"/>
        <v/>
      </c>
      <c r="AG96"/>
    </row>
    <row r="97" spans="4:33" ht="15" x14ac:dyDescent="0.25">
      <c r="D97" s="10" t="s">
        <v>177</v>
      </c>
      <c r="E97" s="3" t="s">
        <v>92</v>
      </c>
      <c r="F97" s="3" t="s">
        <v>18</v>
      </c>
      <c r="G97" s="23"/>
      <c r="H97" s="30">
        <f>SUMIFS(Giriş!$J:$J,Giriş!$H:$H,Bilgiler!H$3,Giriş!$C:$C,Bilgiler!$D97)</f>
        <v>234100</v>
      </c>
      <c r="I97" s="30">
        <f>SUMIFS(Giriş!$J:$J,Giriş!$H:$H,Bilgiler!I$3,Giriş!$C:$C,Bilgiler!$D97)</f>
        <v>0</v>
      </c>
      <c r="J97" s="30">
        <f>SUMIFS(Giriş!$J:$J,Giriş!$H:$H,Bilgiler!J$3,Giriş!$C:$C,Bilgiler!$D97)</f>
        <v>0</v>
      </c>
      <c r="K97" s="30">
        <f>SUMIFS(Giriş!$J:$J,Giriş!$H:$H,Bilgiler!K$3,Giriş!$C:$C,Bilgiler!$D97)</f>
        <v>0</v>
      </c>
      <c r="L97" s="31">
        <f t="shared" si="6"/>
        <v>234100</v>
      </c>
      <c r="N97" s="38">
        <f>IFERROR(IF(N96+1&gt;MAX(Giriş!L:L),"",N96+1),"")</f>
        <v>71</v>
      </c>
      <c r="O97" s="39" t="str">
        <f>IF($N97="","",VLOOKUP($N97,Giriş!$L:$O,2,0))</f>
        <v>Poşet-25 cm Switz</v>
      </c>
      <c r="P97" s="39" t="str">
        <f>IF($N97="","",VLOOKUP($N97,Giriş!$L:$O,3,0))</f>
        <v>MAT008599</v>
      </c>
      <c r="Q97" s="45">
        <f>IF($N97="","",VLOOKUP($N97,Giriş!$L:$O,4,0))</f>
        <v>45653</v>
      </c>
      <c r="R97" s="48">
        <f t="shared" ca="1" si="8"/>
        <v>71</v>
      </c>
      <c r="S97" s="30">
        <f t="shared" si="7"/>
        <v>0</v>
      </c>
      <c r="T97" s="30">
        <f>SUMIFS(Giriş!$J:$J,Giriş!$H:$H,Bilgiler!T$3,Giriş!$C:$C,Bilgiler!$O97,Giriş!$E:$E,Bilgiler!$P97)</f>
        <v>81200</v>
      </c>
      <c r="U97" s="30">
        <f>SUMIFS(Giriş!$J:$J,Giriş!$H:$H,Bilgiler!U$3,Giriş!$C:$C,Bilgiler!$O97,Giriş!$E:$E,Bilgiler!$P97)</f>
        <v>0</v>
      </c>
      <c r="V97" s="30">
        <f>SUMIFS(Giriş!$J:$J,Giriş!$H:$H,Bilgiler!V$3,Giriş!$C:$C,Bilgiler!$O97,Giriş!$E:$E,Bilgiler!$P97)</f>
        <v>0</v>
      </c>
      <c r="W97" s="30">
        <f>SUMIFS(Giriş!$J:$J,Giriş!$H:$H,Bilgiler!W$3,Giriş!$C:$C,Bilgiler!$O97,Giriş!$E:$E,Bilgiler!$P97)</f>
        <v>0</v>
      </c>
      <c r="X97" s="30">
        <f t="shared" si="9"/>
        <v>81200</v>
      </c>
      <c r="Y97" s="31" t="str">
        <f t="shared" ca="1" si="10"/>
        <v/>
      </c>
      <c r="AG97"/>
    </row>
    <row r="98" spans="4:33" ht="15" x14ac:dyDescent="0.25">
      <c r="D98" s="9" t="s">
        <v>232</v>
      </c>
      <c r="E98" s="2" t="s">
        <v>101</v>
      </c>
      <c r="F98" s="2" t="s">
        <v>18</v>
      </c>
      <c r="G98" s="22"/>
      <c r="H98" s="28">
        <f>SUMIFS(Giriş!$J:$J,Giriş!$H:$H,Bilgiler!H$3,Giriş!$C:$C,Bilgiler!$D98)</f>
        <v>0</v>
      </c>
      <c r="I98" s="28">
        <f>SUMIFS(Giriş!$J:$J,Giriş!$H:$H,Bilgiler!I$3,Giriş!$C:$C,Bilgiler!$D98)</f>
        <v>0</v>
      </c>
      <c r="J98" s="28">
        <f>SUMIFS(Giriş!$J:$J,Giriş!$H:$H,Bilgiler!J$3,Giriş!$C:$C,Bilgiler!$D98)</f>
        <v>0</v>
      </c>
      <c r="K98" s="28">
        <f>SUMIFS(Giriş!$J:$J,Giriş!$H:$H,Bilgiler!K$3,Giriş!$C:$C,Bilgiler!$D98)</f>
        <v>0</v>
      </c>
      <c r="L98" s="29">
        <f t="shared" si="6"/>
        <v>0</v>
      </c>
      <c r="N98" s="36">
        <f>IFERROR(IF(N97+1&gt;MAX(Giriş!L:L),"",N97+1),"")</f>
        <v>72</v>
      </c>
      <c r="O98" s="37" t="str">
        <f>IF($N98="","",VLOOKUP($N98,Giriş!$L:$O,2,0))</f>
        <v>Poşet-30 cm Tortillove Değişken</v>
      </c>
      <c r="P98" s="37" t="str">
        <f>IF($N98="","",VLOOKUP($N98,Giriş!$L:$O,3,0))</f>
        <v>MAT008500</v>
      </c>
      <c r="Q98" s="44">
        <f>IF($N98="","",VLOOKUP($N98,Giriş!$L:$O,4,0))</f>
        <v>45656</v>
      </c>
      <c r="R98" s="47">
        <f t="shared" ca="1" si="8"/>
        <v>74</v>
      </c>
      <c r="S98" s="28">
        <f t="shared" si="7"/>
        <v>0</v>
      </c>
      <c r="T98" s="28">
        <f>SUMIFS(Giriş!$J:$J,Giriş!$H:$H,Bilgiler!T$3,Giriş!$C:$C,Bilgiler!$O98,Giriş!$E:$E,Bilgiler!$P98)</f>
        <v>56400</v>
      </c>
      <c r="U98" s="28">
        <f>SUMIFS(Giriş!$J:$J,Giriş!$H:$H,Bilgiler!U$3,Giriş!$C:$C,Bilgiler!$O98,Giriş!$E:$E,Bilgiler!$P98)</f>
        <v>0</v>
      </c>
      <c r="V98" s="28">
        <f>SUMIFS(Giriş!$J:$J,Giriş!$H:$H,Bilgiler!V$3,Giriş!$C:$C,Bilgiler!$O98,Giriş!$E:$E,Bilgiler!$P98)</f>
        <v>0</v>
      </c>
      <c r="W98" s="28">
        <f>SUMIFS(Giriş!$J:$J,Giriş!$H:$H,Bilgiler!W$3,Giriş!$C:$C,Bilgiler!$O98,Giriş!$E:$E,Bilgiler!$P98)</f>
        <v>0</v>
      </c>
      <c r="X98" s="28">
        <f t="shared" si="9"/>
        <v>56400</v>
      </c>
      <c r="Y98" s="29" t="str">
        <f t="shared" ca="1" si="10"/>
        <v/>
      </c>
      <c r="AG98"/>
    </row>
    <row r="99" spans="4:33" ht="15" x14ac:dyDescent="0.25">
      <c r="D99" s="10" t="s">
        <v>235</v>
      </c>
      <c r="E99" s="3" t="s">
        <v>52</v>
      </c>
      <c r="F99" s="3" t="s">
        <v>18</v>
      </c>
      <c r="G99" s="23"/>
      <c r="H99" s="30">
        <f>SUMIFS(Giriş!$J:$J,Giriş!$H:$H,Bilgiler!H$3,Giriş!$C:$C,Bilgiler!$D99)</f>
        <v>0</v>
      </c>
      <c r="I99" s="30">
        <f>SUMIFS(Giriş!$J:$J,Giriş!$H:$H,Bilgiler!I$3,Giriş!$C:$C,Bilgiler!$D99)</f>
        <v>0</v>
      </c>
      <c r="J99" s="30">
        <f>SUMIFS(Giriş!$J:$J,Giriş!$H:$H,Bilgiler!J$3,Giriş!$C:$C,Bilgiler!$D99)</f>
        <v>0</v>
      </c>
      <c r="K99" s="30">
        <f>SUMIFS(Giriş!$J:$J,Giriş!$H:$H,Bilgiler!K$3,Giriş!$C:$C,Bilgiler!$D99)</f>
        <v>0</v>
      </c>
      <c r="L99" s="31">
        <f t="shared" si="6"/>
        <v>0</v>
      </c>
      <c r="N99" s="38">
        <f>IFERROR(IF(N98+1&gt;MAX(Giriş!L:L),"",N98+1),"")</f>
        <v>73</v>
      </c>
      <c r="O99" s="39" t="str">
        <f>IF($N99="","",VLOOKUP($N99,Giriş!$L:$O,2,0))</f>
        <v>Poşet-25 cm Mutlukal Tortillas 260 Gr ( Rusca )</v>
      </c>
      <c r="P99" s="39">
        <f>IF($N99="","",VLOOKUP($N99,Giriş!$L:$O,3,0))</f>
        <v>1662221</v>
      </c>
      <c r="Q99" s="45">
        <f>IF($N99="","",VLOOKUP($N99,Giriş!$L:$O,4,0))</f>
        <v>45655</v>
      </c>
      <c r="R99" s="48">
        <f t="shared" ca="1" si="8"/>
        <v>73</v>
      </c>
      <c r="S99" s="30">
        <f t="shared" si="7"/>
        <v>0</v>
      </c>
      <c r="T99" s="30">
        <f>SUMIFS(Giriş!$J:$J,Giriş!$H:$H,Bilgiler!T$3,Giriş!$C:$C,Bilgiler!$O99,Giriş!$E:$E,Bilgiler!$P99)</f>
        <v>295700</v>
      </c>
      <c r="U99" s="30">
        <f>SUMIFS(Giriş!$J:$J,Giriş!$H:$H,Bilgiler!U$3,Giriş!$C:$C,Bilgiler!$O99,Giriş!$E:$E,Bilgiler!$P99)</f>
        <v>0</v>
      </c>
      <c r="V99" s="30">
        <f>SUMIFS(Giriş!$J:$J,Giriş!$H:$H,Bilgiler!V$3,Giriş!$C:$C,Bilgiler!$O99,Giriş!$E:$E,Bilgiler!$P99)</f>
        <v>0</v>
      </c>
      <c r="W99" s="30">
        <f>SUMIFS(Giriş!$J:$J,Giriş!$H:$H,Bilgiler!W$3,Giriş!$C:$C,Bilgiler!$O99,Giriş!$E:$E,Bilgiler!$P99)</f>
        <v>0</v>
      </c>
      <c r="X99" s="30">
        <f t="shared" si="9"/>
        <v>295700</v>
      </c>
      <c r="Y99" s="31" t="str">
        <f t="shared" ca="1" si="10"/>
        <v/>
      </c>
      <c r="AG99"/>
    </row>
    <row r="100" spans="4:33" ht="15" x14ac:dyDescent="0.25">
      <c r="D100" s="9" t="s">
        <v>214</v>
      </c>
      <c r="E100" s="2" t="s">
        <v>69</v>
      </c>
      <c r="F100" s="2" t="s">
        <v>18</v>
      </c>
      <c r="G100" s="22"/>
      <c r="H100" s="28">
        <f>SUMIFS(Giriş!$J:$J,Giriş!$H:$H,Bilgiler!H$3,Giriş!$C:$C,Bilgiler!$D100)</f>
        <v>0</v>
      </c>
      <c r="I100" s="28">
        <f>SUMIFS(Giriş!$J:$J,Giriş!$H:$H,Bilgiler!I$3,Giriş!$C:$C,Bilgiler!$D100)</f>
        <v>0</v>
      </c>
      <c r="J100" s="28">
        <f>SUMIFS(Giriş!$J:$J,Giriş!$H:$H,Bilgiler!J$3,Giriş!$C:$C,Bilgiler!$D100)</f>
        <v>0</v>
      </c>
      <c r="K100" s="28">
        <f>SUMIFS(Giriş!$J:$J,Giriş!$H:$H,Bilgiler!K$3,Giriş!$C:$C,Bilgiler!$D100)</f>
        <v>0</v>
      </c>
      <c r="L100" s="29">
        <f t="shared" si="6"/>
        <v>0</v>
      </c>
      <c r="N100" s="36">
        <f>IFERROR(IF(N99+1&gt;MAX(Giriş!L:L),"",N99+1),"")</f>
        <v>74</v>
      </c>
      <c r="O100" s="37" t="str">
        <f>IF($N100="","",VLOOKUP($N100,Giriş!$L:$O,2,0))</f>
        <v>Poşet-25 cm Mutlukal Tortillas Mavi Değişken</v>
      </c>
      <c r="P100" s="37" t="str">
        <f>IF($N100="","",VLOOKUP($N100,Giriş!$L:$O,3,0))</f>
        <v>2024-003</v>
      </c>
      <c r="Q100" s="44">
        <f>IF($N100="","",VLOOKUP($N100,Giriş!$L:$O,4,0))</f>
        <v>45644</v>
      </c>
      <c r="R100" s="47">
        <f t="shared" ca="1" si="8"/>
        <v>62</v>
      </c>
      <c r="S100" s="28">
        <f t="shared" ref="S100:S110" si="11">SUMIFS(G:G,D:D,O100,F:F,P100)</f>
        <v>0</v>
      </c>
      <c r="T100" s="28">
        <f>SUMIFS(Giriş!$J:$J,Giriş!$H:$H,Bilgiler!T$3,Giriş!$C:$C,Bilgiler!$O100,Giriş!$E:$E,Bilgiler!$P100)</f>
        <v>86263</v>
      </c>
      <c r="U100" s="28">
        <f>SUMIFS(Giriş!$J:$J,Giriş!$H:$H,Bilgiler!U$3,Giriş!$C:$C,Bilgiler!$O100,Giriş!$E:$E,Bilgiler!$P100)</f>
        <v>0</v>
      </c>
      <c r="V100" s="28">
        <f>SUMIFS(Giriş!$J:$J,Giriş!$H:$H,Bilgiler!V$3,Giriş!$C:$C,Bilgiler!$O100,Giriş!$E:$E,Bilgiler!$P100)</f>
        <v>0</v>
      </c>
      <c r="W100" s="28">
        <f>SUMIFS(Giriş!$J:$J,Giriş!$H:$H,Bilgiler!W$3,Giriş!$C:$C,Bilgiler!$O100,Giriş!$E:$E,Bilgiler!$P100)</f>
        <v>0</v>
      </c>
      <c r="X100" s="28">
        <f t="shared" si="9"/>
        <v>86263</v>
      </c>
      <c r="Y100" s="29" t="str">
        <f t="shared" ca="1" si="10"/>
        <v/>
      </c>
      <c r="AG100"/>
    </row>
    <row r="101" spans="4:33" ht="15" x14ac:dyDescent="0.25">
      <c r="D101" s="10" t="s">
        <v>202</v>
      </c>
      <c r="E101" s="3" t="s">
        <v>70</v>
      </c>
      <c r="F101" s="3" t="s">
        <v>18</v>
      </c>
      <c r="G101" s="23"/>
      <c r="H101" s="30">
        <f>SUMIFS(Giriş!$J:$J,Giriş!$H:$H,Bilgiler!H$3,Giriş!$C:$C,Bilgiler!$D101)</f>
        <v>86080</v>
      </c>
      <c r="I101" s="30">
        <f>SUMIFS(Giriş!$J:$J,Giriş!$H:$H,Bilgiler!I$3,Giriş!$C:$C,Bilgiler!$D101)</f>
        <v>0</v>
      </c>
      <c r="J101" s="30">
        <f>SUMIFS(Giriş!$J:$J,Giriş!$H:$H,Bilgiler!J$3,Giriş!$C:$C,Bilgiler!$D101)</f>
        <v>0</v>
      </c>
      <c r="K101" s="30">
        <f>SUMIFS(Giriş!$J:$J,Giriş!$H:$H,Bilgiler!K$3,Giriş!$C:$C,Bilgiler!$D101)</f>
        <v>0</v>
      </c>
      <c r="L101" s="31">
        <f t="shared" si="6"/>
        <v>86080</v>
      </c>
      <c r="N101" s="38">
        <f>IFERROR(IF(N100+1&gt;MAX(Giriş!L:L),"",N100+1),"")</f>
        <v>75</v>
      </c>
      <c r="O101" s="39" t="str">
        <f>IF($N101="","",VLOOKUP($N101,Giriş!$L:$O,2,0))</f>
        <v>Poşet-25 cm Tortillas Domatesli</v>
      </c>
      <c r="P101" s="39" t="str">
        <f>IF($N101="","",VLOOKUP($N101,Giriş!$L:$O,3,0))</f>
        <v>2024-005</v>
      </c>
      <c r="Q101" s="45">
        <f>IF($N101="","",VLOOKUP($N101,Giriş!$L:$O,4,0))</f>
        <v>45646</v>
      </c>
      <c r="R101" s="48">
        <f t="shared" ca="1" si="8"/>
        <v>64</v>
      </c>
      <c r="S101" s="30">
        <f t="shared" si="11"/>
        <v>0</v>
      </c>
      <c r="T101" s="30">
        <f>SUMIFS(Giriş!$J:$J,Giriş!$H:$H,Bilgiler!T$3,Giriş!$C:$C,Bilgiler!$O101,Giriş!$E:$E,Bilgiler!$P101)</f>
        <v>89367</v>
      </c>
      <c r="U101" s="30">
        <f>SUMIFS(Giriş!$J:$J,Giriş!$H:$H,Bilgiler!U$3,Giriş!$C:$C,Bilgiler!$O101,Giriş!$E:$E,Bilgiler!$P101)</f>
        <v>0</v>
      </c>
      <c r="V101" s="30">
        <f>SUMIFS(Giriş!$J:$J,Giriş!$H:$H,Bilgiler!V$3,Giriş!$C:$C,Bilgiler!$O101,Giriş!$E:$E,Bilgiler!$P101)</f>
        <v>0</v>
      </c>
      <c r="W101" s="30">
        <f>SUMIFS(Giriş!$J:$J,Giriş!$H:$H,Bilgiler!W$3,Giriş!$C:$C,Bilgiler!$O101,Giriş!$E:$E,Bilgiler!$P101)</f>
        <v>0</v>
      </c>
      <c r="X101" s="30">
        <f t="shared" si="9"/>
        <v>89367</v>
      </c>
      <c r="Y101" s="31" t="str">
        <f t="shared" ca="1" si="10"/>
        <v/>
      </c>
      <c r="AG101"/>
    </row>
    <row r="102" spans="4:33" ht="15" x14ac:dyDescent="0.25">
      <c r="D102" s="9" t="s">
        <v>202</v>
      </c>
      <c r="E102" s="2" t="s">
        <v>70</v>
      </c>
      <c r="F102" s="2" t="s">
        <v>18</v>
      </c>
      <c r="G102" s="22"/>
      <c r="H102" s="28">
        <f>SUMIFS(Giriş!$J:$J,Giriş!$H:$H,Bilgiler!H$3,Giriş!$C:$C,Bilgiler!$D102)</f>
        <v>86080</v>
      </c>
      <c r="I102" s="28">
        <f>SUMIFS(Giriş!$J:$J,Giriş!$H:$H,Bilgiler!I$3,Giriş!$C:$C,Bilgiler!$D102)</f>
        <v>0</v>
      </c>
      <c r="J102" s="28">
        <f>SUMIFS(Giriş!$J:$J,Giriş!$H:$H,Bilgiler!J$3,Giriş!$C:$C,Bilgiler!$D102)</f>
        <v>0</v>
      </c>
      <c r="K102" s="28">
        <f>SUMIFS(Giriş!$J:$J,Giriş!$H:$H,Bilgiler!K$3,Giriş!$C:$C,Bilgiler!$D102)</f>
        <v>0</v>
      </c>
      <c r="L102" s="29">
        <f t="shared" si="6"/>
        <v>86080</v>
      </c>
      <c r="N102" s="36">
        <f>IFERROR(IF(N101+1&gt;MAX(Giriş!L:L),"",N101+1),"")</f>
        <v>76</v>
      </c>
      <c r="O102" s="37" t="str">
        <f>IF($N102="","",VLOOKUP($N102,Giriş!$L:$O,2,0))</f>
        <v>Poşet-26 cm Mutlukal Tortillas Pizza</v>
      </c>
      <c r="P102" s="37" t="str">
        <f>IF($N102="","",VLOOKUP($N102,Giriş!$L:$O,3,0))</f>
        <v>2024-004</v>
      </c>
      <c r="Q102" s="44">
        <f>IF($N102="","",VLOOKUP($N102,Giriş!$L:$O,4,0))</f>
        <v>45649</v>
      </c>
      <c r="R102" s="47">
        <f t="shared" ca="1" si="8"/>
        <v>67</v>
      </c>
      <c r="S102" s="28">
        <f t="shared" si="11"/>
        <v>0</v>
      </c>
      <c r="T102" s="28">
        <f>SUMIFS(Giriş!$J:$J,Giriş!$H:$H,Bilgiler!T$3,Giriş!$C:$C,Bilgiler!$O102,Giriş!$E:$E,Bilgiler!$P102)</f>
        <v>86080</v>
      </c>
      <c r="U102" s="28">
        <f>SUMIFS(Giriş!$J:$J,Giriş!$H:$H,Bilgiler!U$3,Giriş!$C:$C,Bilgiler!$O102,Giriş!$E:$E,Bilgiler!$P102)</f>
        <v>0</v>
      </c>
      <c r="V102" s="28">
        <f>SUMIFS(Giriş!$J:$J,Giriş!$H:$H,Bilgiler!V$3,Giriş!$C:$C,Bilgiler!$O102,Giriş!$E:$E,Bilgiler!$P102)</f>
        <v>0</v>
      </c>
      <c r="W102" s="28">
        <f>SUMIFS(Giriş!$J:$J,Giriş!$H:$H,Bilgiler!W$3,Giriş!$C:$C,Bilgiler!$O102,Giriş!$E:$E,Bilgiler!$P102)</f>
        <v>0</v>
      </c>
      <c r="X102" s="28">
        <f t="shared" si="9"/>
        <v>86080</v>
      </c>
      <c r="Y102" s="29" t="str">
        <f t="shared" ca="1" si="10"/>
        <v/>
      </c>
      <c r="AG102"/>
    </row>
    <row r="103" spans="4:33" ht="15" x14ac:dyDescent="0.25">
      <c r="D103" s="10" t="s">
        <v>218</v>
      </c>
      <c r="E103" s="3" t="s">
        <v>90</v>
      </c>
      <c r="F103" s="3" t="s">
        <v>18</v>
      </c>
      <c r="G103" s="23"/>
      <c r="H103" s="30">
        <f>SUMIFS(Giriş!$J:$J,Giriş!$H:$H,Bilgiler!H$3,Giriş!$C:$C,Bilgiler!$D103)</f>
        <v>77000</v>
      </c>
      <c r="I103" s="30">
        <f>SUMIFS(Giriş!$J:$J,Giriş!$H:$H,Bilgiler!I$3,Giriş!$C:$C,Bilgiler!$D103)</f>
        <v>0</v>
      </c>
      <c r="J103" s="30">
        <f>SUMIFS(Giriş!$J:$J,Giriş!$H:$H,Bilgiler!J$3,Giriş!$C:$C,Bilgiler!$D103)</f>
        <v>0</v>
      </c>
      <c r="K103" s="30">
        <f>SUMIFS(Giriş!$J:$J,Giriş!$H:$H,Bilgiler!K$3,Giriş!$C:$C,Bilgiler!$D103)</f>
        <v>0</v>
      </c>
      <c r="L103" s="31">
        <f t="shared" si="6"/>
        <v>77000</v>
      </c>
      <c r="N103" s="38">
        <f>IFERROR(IF(N102+1&gt;MAX(Giriş!L:L),"",N102+1),"")</f>
        <v>77</v>
      </c>
      <c r="O103" s="39" t="str">
        <f>IF($N103="","",VLOOKUP($N103,Giriş!$L:$O,2,0))</f>
        <v>Poşet-25 cm Mutlukal Tortillas Tam Buğday</v>
      </c>
      <c r="P103" s="39" t="str">
        <f>IF($N103="","",VLOOKUP($N103,Giriş!$L:$O,3,0))</f>
        <v>2024-001</v>
      </c>
      <c r="Q103" s="45">
        <f>IF($N103="","",VLOOKUP($N103,Giriş!$L:$O,4,0))</f>
        <v>45648</v>
      </c>
      <c r="R103" s="48">
        <f t="shared" ca="1" si="8"/>
        <v>66</v>
      </c>
      <c r="S103" s="30">
        <f t="shared" si="11"/>
        <v>0</v>
      </c>
      <c r="T103" s="30">
        <f>SUMIFS(Giriş!$J:$J,Giriş!$H:$H,Bilgiler!T$3,Giriş!$C:$C,Bilgiler!$O103,Giriş!$E:$E,Bilgiler!$P103)</f>
        <v>85753</v>
      </c>
      <c r="U103" s="30">
        <f>SUMIFS(Giriş!$J:$J,Giriş!$H:$H,Bilgiler!U$3,Giriş!$C:$C,Bilgiler!$O103,Giriş!$E:$E,Bilgiler!$P103)</f>
        <v>0</v>
      </c>
      <c r="V103" s="30">
        <f>SUMIFS(Giriş!$J:$J,Giriş!$H:$H,Bilgiler!V$3,Giriş!$C:$C,Bilgiler!$O103,Giriş!$E:$E,Bilgiler!$P103)</f>
        <v>0</v>
      </c>
      <c r="W103" s="30">
        <f>SUMIFS(Giriş!$J:$J,Giriş!$H:$H,Bilgiler!W$3,Giriş!$C:$C,Bilgiler!$O103,Giriş!$E:$E,Bilgiler!$P103)</f>
        <v>0</v>
      </c>
      <c r="X103" s="30">
        <f t="shared" si="9"/>
        <v>85753</v>
      </c>
      <c r="Y103" s="31" t="str">
        <f t="shared" ca="1" si="10"/>
        <v/>
      </c>
      <c r="AG103"/>
    </row>
    <row r="104" spans="4:33" ht="15" x14ac:dyDescent="0.25">
      <c r="D104" s="9" t="s">
        <v>282</v>
      </c>
      <c r="E104" s="2" t="s">
        <v>89</v>
      </c>
      <c r="F104" s="2" t="s">
        <v>18</v>
      </c>
      <c r="G104" s="22"/>
      <c r="H104" s="28">
        <f>SUMIFS(Giriş!$J:$J,Giriş!$H:$H,Bilgiler!H$3,Giriş!$C:$C,Bilgiler!$D104)</f>
        <v>39200</v>
      </c>
      <c r="I104" s="28">
        <f>SUMIFS(Giriş!$J:$J,Giriş!$H:$H,Bilgiler!I$3,Giriş!$C:$C,Bilgiler!$D104)</f>
        <v>0</v>
      </c>
      <c r="J104" s="28">
        <f>SUMIFS(Giriş!$J:$J,Giriş!$H:$H,Bilgiler!J$3,Giriş!$C:$C,Bilgiler!$D104)</f>
        <v>0</v>
      </c>
      <c r="K104" s="28">
        <f>SUMIFS(Giriş!$J:$J,Giriş!$H:$H,Bilgiler!K$3,Giriş!$C:$C,Bilgiler!$D104)</f>
        <v>0</v>
      </c>
      <c r="L104" s="29">
        <f t="shared" si="6"/>
        <v>39200</v>
      </c>
      <c r="N104" s="36">
        <f>IFERROR(IF(N103+1&gt;MAX(Giriş!L:L),"",N103+1),"")</f>
        <v>78</v>
      </c>
      <c r="O104" s="37" t="str">
        <f>IF($N104="","",VLOOKUP($N104,Giriş!$L:$O,2,0))</f>
        <v>Poşet-25 cm B.sız Kilitli</v>
      </c>
      <c r="P104" s="37" t="str">
        <f>IF($N104="","",VLOOKUP($N104,Giriş!$L:$O,3,0))</f>
        <v>MAT008483</v>
      </c>
      <c r="Q104" s="44">
        <f>IF($N104="","",VLOOKUP($N104,Giriş!$L:$O,4,0))</f>
        <v>45627</v>
      </c>
      <c r="R104" s="47">
        <f t="shared" ca="1" si="8"/>
        <v>45</v>
      </c>
      <c r="S104" s="28">
        <f t="shared" si="11"/>
        <v>0</v>
      </c>
      <c r="T104" s="28">
        <f>SUMIFS(Giriş!$J:$J,Giriş!$H:$H,Bilgiler!T$3,Giriş!$C:$C,Bilgiler!$O104,Giriş!$E:$E,Bilgiler!$P104)</f>
        <v>113400</v>
      </c>
      <c r="U104" s="28">
        <f>SUMIFS(Giriş!$J:$J,Giriş!$H:$H,Bilgiler!U$3,Giriş!$C:$C,Bilgiler!$O104,Giriş!$E:$E,Bilgiler!$P104)</f>
        <v>0</v>
      </c>
      <c r="V104" s="28">
        <f>SUMIFS(Giriş!$J:$J,Giriş!$H:$H,Bilgiler!V$3,Giriş!$C:$C,Bilgiler!$O104,Giriş!$E:$E,Bilgiler!$P104)</f>
        <v>0</v>
      </c>
      <c r="W104" s="28">
        <f>SUMIFS(Giriş!$J:$J,Giriş!$H:$H,Bilgiler!W$3,Giriş!$C:$C,Bilgiler!$O104,Giriş!$E:$E,Bilgiler!$P104)</f>
        <v>0</v>
      </c>
      <c r="X104" s="28">
        <f t="shared" si="9"/>
        <v>113400</v>
      </c>
      <c r="Y104" s="29" t="str">
        <f t="shared" ca="1" si="10"/>
        <v/>
      </c>
      <c r="AG104"/>
    </row>
    <row r="105" spans="4:33" ht="15" x14ac:dyDescent="0.25">
      <c r="D105" s="10" t="s">
        <v>276</v>
      </c>
      <c r="E105" s="3" t="s">
        <v>144</v>
      </c>
      <c r="F105" s="3" t="s">
        <v>18</v>
      </c>
      <c r="G105" s="23"/>
      <c r="H105" s="30">
        <f>SUMIFS(Giriş!$J:$J,Giriş!$H:$H,Bilgiler!H$3,Giriş!$C:$C,Bilgiler!$D105)</f>
        <v>0</v>
      </c>
      <c r="I105" s="30">
        <f>SUMIFS(Giriş!$J:$J,Giriş!$H:$H,Bilgiler!I$3,Giriş!$C:$C,Bilgiler!$D105)</f>
        <v>0</v>
      </c>
      <c r="J105" s="30">
        <f>SUMIFS(Giriş!$J:$J,Giriş!$H:$H,Bilgiler!J$3,Giriş!$C:$C,Bilgiler!$D105)</f>
        <v>0</v>
      </c>
      <c r="K105" s="30">
        <f>SUMIFS(Giriş!$J:$J,Giriş!$H:$H,Bilgiler!K$3,Giriş!$C:$C,Bilgiler!$D105)</f>
        <v>0</v>
      </c>
      <c r="L105" s="31">
        <f t="shared" si="6"/>
        <v>0</v>
      </c>
      <c r="N105" s="38">
        <f>IFERROR(IF(N104+1&gt;MAX(Giriş!L:L),"",N104+1),"")</f>
        <v>79</v>
      </c>
      <c r="O105" s="39" t="str">
        <f>IF($N105="","",VLOOKUP($N105,Giriş!$L:$O,2,0))</f>
        <v>Poşet-25 cm Mutlukal Tortillas 260 Gr ( Rusca )</v>
      </c>
      <c r="P105" s="39" t="str">
        <f>IF($N105="","",VLOOKUP($N105,Giriş!$L:$O,3,0))</f>
        <v>MAT008388</v>
      </c>
      <c r="Q105" s="45">
        <f>IF($N105="","",VLOOKUP($N105,Giriş!$L:$O,4,0))</f>
        <v>45632</v>
      </c>
      <c r="R105" s="48">
        <f t="shared" ca="1" si="8"/>
        <v>50</v>
      </c>
      <c r="S105" s="30">
        <f t="shared" si="11"/>
        <v>0</v>
      </c>
      <c r="T105" s="30">
        <f>SUMIFS(Giriş!$J:$J,Giriş!$H:$H,Bilgiler!T$3,Giriş!$C:$C,Bilgiler!$O105,Giriş!$E:$E,Bilgiler!$P105)</f>
        <v>1505000</v>
      </c>
      <c r="U105" s="30">
        <f>SUMIFS(Giriş!$J:$J,Giriş!$H:$H,Bilgiler!U$3,Giriş!$C:$C,Bilgiler!$O105,Giriş!$E:$E,Bilgiler!$P105)</f>
        <v>0</v>
      </c>
      <c r="V105" s="30">
        <f>SUMIFS(Giriş!$J:$J,Giriş!$H:$H,Bilgiler!V$3,Giriş!$C:$C,Bilgiler!$O105,Giriş!$E:$E,Bilgiler!$P105)</f>
        <v>0</v>
      </c>
      <c r="W105" s="30">
        <f>SUMIFS(Giriş!$J:$J,Giriş!$H:$H,Bilgiler!W$3,Giriş!$C:$C,Bilgiler!$O105,Giriş!$E:$E,Bilgiler!$P105)</f>
        <v>0</v>
      </c>
      <c r="X105" s="30">
        <f t="shared" si="9"/>
        <v>1505000</v>
      </c>
      <c r="Y105" s="31" t="str">
        <f t="shared" ca="1" si="10"/>
        <v/>
      </c>
      <c r="AG105"/>
    </row>
    <row r="106" spans="4:33" ht="15" x14ac:dyDescent="0.25">
      <c r="D106" s="9" t="s">
        <v>284</v>
      </c>
      <c r="E106" s="2" t="s">
        <v>99</v>
      </c>
      <c r="F106" s="2" t="s">
        <v>18</v>
      </c>
      <c r="G106" s="22"/>
      <c r="H106" s="28">
        <f>SUMIFS(Giriş!$J:$J,Giriş!$H:$H,Bilgiler!H$3,Giriş!$C:$C,Bilgiler!$D106)</f>
        <v>0</v>
      </c>
      <c r="I106" s="28">
        <f>SUMIFS(Giriş!$J:$J,Giriş!$H:$H,Bilgiler!I$3,Giriş!$C:$C,Bilgiler!$D106)</f>
        <v>0</v>
      </c>
      <c r="J106" s="28">
        <f>SUMIFS(Giriş!$J:$J,Giriş!$H:$H,Bilgiler!J$3,Giriş!$C:$C,Bilgiler!$D106)</f>
        <v>0</v>
      </c>
      <c r="K106" s="28">
        <f>SUMIFS(Giriş!$J:$J,Giriş!$H:$H,Bilgiler!K$3,Giriş!$C:$C,Bilgiler!$D106)</f>
        <v>0</v>
      </c>
      <c r="L106" s="29">
        <f t="shared" si="6"/>
        <v>0</v>
      </c>
      <c r="N106" s="36">
        <f>IFERROR(IF(N105+1&gt;MAX(Giriş!L:L),"",N105+1),"")</f>
        <v>80</v>
      </c>
      <c r="O106" s="37" t="str">
        <f>IF($N106="","",VLOOKUP($N106,Giriş!$L:$O,2,0))</f>
        <v>Poşet-25 cm Bisto</v>
      </c>
      <c r="P106" s="37">
        <f>IF($N106="","",VLOOKUP($N106,Giriş!$L:$O,3,0))</f>
        <v>45457</v>
      </c>
      <c r="Q106" s="44">
        <f>IF($N106="","",VLOOKUP($N106,Giriş!$L:$O,4,0))</f>
        <v>46005</v>
      </c>
      <c r="R106" s="47">
        <f t="shared" ca="1" si="8"/>
        <v>423</v>
      </c>
      <c r="S106" s="28">
        <f t="shared" si="11"/>
        <v>0</v>
      </c>
      <c r="T106" s="28">
        <f>SUMIFS(Giriş!$J:$J,Giriş!$H:$H,Bilgiler!T$3,Giriş!$C:$C,Bilgiler!$O106,Giriş!$E:$E,Bilgiler!$P106)</f>
        <v>80000</v>
      </c>
      <c r="U106" s="28">
        <f>SUMIFS(Giriş!$J:$J,Giriş!$H:$H,Bilgiler!U$3,Giriş!$C:$C,Bilgiler!$O106,Giriş!$E:$E,Bilgiler!$P106)</f>
        <v>0</v>
      </c>
      <c r="V106" s="28">
        <f>SUMIFS(Giriş!$J:$J,Giriş!$H:$H,Bilgiler!V$3,Giriş!$C:$C,Bilgiler!$O106,Giriş!$E:$E,Bilgiler!$P106)</f>
        <v>0</v>
      </c>
      <c r="W106" s="28">
        <f>SUMIFS(Giriş!$J:$J,Giriş!$H:$H,Bilgiler!W$3,Giriş!$C:$C,Bilgiler!$O106,Giriş!$E:$E,Bilgiler!$P106)</f>
        <v>0</v>
      </c>
      <c r="X106" s="28">
        <f t="shared" si="9"/>
        <v>80000</v>
      </c>
      <c r="Y106" s="29" t="str">
        <f t="shared" ca="1" si="10"/>
        <v/>
      </c>
      <c r="AG106"/>
    </row>
    <row r="107" spans="4:33" ht="15" x14ac:dyDescent="0.25">
      <c r="D107" s="10" t="s">
        <v>195</v>
      </c>
      <c r="E107" s="3" t="s">
        <v>47</v>
      </c>
      <c r="F107" s="3" t="s">
        <v>18</v>
      </c>
      <c r="G107" s="23"/>
      <c r="H107" s="30">
        <f>SUMIFS(Giriş!$J:$J,Giriş!$H:$H,Bilgiler!H$3,Giriş!$C:$C,Bilgiler!$D107)</f>
        <v>57600</v>
      </c>
      <c r="I107" s="30">
        <f>SUMIFS(Giriş!$J:$J,Giriş!$H:$H,Bilgiler!I$3,Giriş!$C:$C,Bilgiler!$D107)</f>
        <v>0</v>
      </c>
      <c r="J107" s="30">
        <f>SUMIFS(Giriş!$J:$J,Giriş!$H:$H,Bilgiler!J$3,Giriş!$C:$C,Bilgiler!$D107)</f>
        <v>0</v>
      </c>
      <c r="K107" s="30">
        <f>SUMIFS(Giriş!$J:$J,Giriş!$H:$H,Bilgiler!K$3,Giriş!$C:$C,Bilgiler!$D107)</f>
        <v>0</v>
      </c>
      <c r="L107" s="31">
        <f t="shared" si="6"/>
        <v>57600</v>
      </c>
      <c r="N107" s="38">
        <f>IFERROR(IF(N106+1&gt;MAX(Giriş!L:L),"",N106+1),"")</f>
        <v>81</v>
      </c>
      <c r="O107" s="39" t="str">
        <f>IF($N107="","",VLOOKUP($N107,Giriş!$L:$O,2,0))</f>
        <v>20CM BUENA COMIDA</v>
      </c>
      <c r="P107" s="39" t="str">
        <f>IF($N107="","",VLOOKUP($N107,Giriş!$L:$O,3,0))</f>
        <v>MAT008561</v>
      </c>
      <c r="Q107" s="45">
        <f>IF($N107="","",VLOOKUP($N107,Giriş!$L:$O,4,0))</f>
        <v>45469</v>
      </c>
      <c r="R107" s="48">
        <f t="shared" ca="1" si="8"/>
        <v>-113</v>
      </c>
      <c r="S107" s="30">
        <f t="shared" si="11"/>
        <v>0</v>
      </c>
      <c r="T107" s="30">
        <f>SUMIFS(Giriş!$J:$J,Giriş!$H:$H,Bilgiler!T$3,Giriş!$C:$C,Bilgiler!$O107,Giriş!$E:$E,Bilgiler!$P107)</f>
        <v>167400</v>
      </c>
      <c r="U107" s="30">
        <f>SUMIFS(Giriş!$J:$J,Giriş!$H:$H,Bilgiler!U$3,Giriş!$C:$C,Bilgiler!$O107,Giriş!$E:$E,Bilgiler!$P107)</f>
        <v>0</v>
      </c>
      <c r="V107" s="30">
        <f>SUMIFS(Giriş!$J:$J,Giriş!$H:$H,Bilgiler!V$3,Giriş!$C:$C,Bilgiler!$O107,Giriş!$E:$E,Bilgiler!$P107)</f>
        <v>0</v>
      </c>
      <c r="W107" s="30">
        <f>SUMIFS(Giriş!$J:$J,Giriş!$H:$H,Bilgiler!W$3,Giriş!$C:$C,Bilgiler!$O107,Giriş!$E:$E,Bilgiler!$P107)</f>
        <v>0</v>
      </c>
      <c r="X107" s="30">
        <f t="shared" si="9"/>
        <v>167400</v>
      </c>
      <c r="Y107" s="31" t="str">
        <f t="shared" ca="1" si="10"/>
        <v>Raf Ömrü Geçti</v>
      </c>
      <c r="AG107"/>
    </row>
    <row r="108" spans="4:33" ht="15" x14ac:dyDescent="0.25">
      <c r="D108" s="9" t="s">
        <v>178</v>
      </c>
      <c r="E108" s="2" t="s">
        <v>81</v>
      </c>
      <c r="F108" s="2" t="s">
        <v>18</v>
      </c>
      <c r="G108" s="22"/>
      <c r="H108" s="28">
        <f>SUMIFS(Giriş!$J:$J,Giriş!$H:$H,Bilgiler!H$3,Giriş!$C:$C,Bilgiler!$D108)</f>
        <v>189830</v>
      </c>
      <c r="I108" s="28">
        <f>SUMIFS(Giriş!$J:$J,Giriş!$H:$H,Bilgiler!I$3,Giriş!$C:$C,Bilgiler!$D108)</f>
        <v>0</v>
      </c>
      <c r="J108" s="28">
        <f>SUMIFS(Giriş!$J:$J,Giriş!$H:$H,Bilgiler!J$3,Giriş!$C:$C,Bilgiler!$D108)</f>
        <v>0</v>
      </c>
      <c r="K108" s="28">
        <f>SUMIFS(Giriş!$J:$J,Giriş!$H:$H,Bilgiler!K$3,Giriş!$C:$C,Bilgiler!$D108)</f>
        <v>0</v>
      </c>
      <c r="L108" s="29">
        <f t="shared" si="6"/>
        <v>189830</v>
      </c>
      <c r="N108" s="36">
        <f>IFERROR(IF(N107+1&gt;MAX(Giriş!L:L),"",N107+1),"")</f>
        <v>82</v>
      </c>
      <c r="O108" s="37" t="str">
        <f>IF($N108="","",VLOOKUP($N108,Giriş!$L:$O,2,0))</f>
        <v>30CM BUENA COMIDA</v>
      </c>
      <c r="P108" s="37" t="str">
        <f>IF($N108="","",VLOOKUP($N108,Giriş!$L:$O,3,0))</f>
        <v>MAT008560</v>
      </c>
      <c r="Q108" s="44">
        <f>IF($N108="","",VLOOKUP($N108,Giriş!$L:$O,4,0))</f>
        <v>45469</v>
      </c>
      <c r="R108" s="47">
        <f t="shared" ca="1" si="8"/>
        <v>-113</v>
      </c>
      <c r="S108" s="28">
        <f t="shared" si="11"/>
        <v>0</v>
      </c>
      <c r="T108" s="28">
        <f>SUMIFS(Giriş!$J:$J,Giriş!$H:$H,Bilgiler!T$3,Giriş!$C:$C,Bilgiler!$O108,Giriş!$E:$E,Bilgiler!$P108)</f>
        <v>169000</v>
      </c>
      <c r="U108" s="28">
        <f>SUMIFS(Giriş!$J:$J,Giriş!$H:$H,Bilgiler!U$3,Giriş!$C:$C,Bilgiler!$O108,Giriş!$E:$E,Bilgiler!$P108)</f>
        <v>0</v>
      </c>
      <c r="V108" s="28">
        <f>SUMIFS(Giriş!$J:$J,Giriş!$H:$H,Bilgiler!V$3,Giriş!$C:$C,Bilgiler!$O108,Giriş!$E:$E,Bilgiler!$P108)</f>
        <v>0</v>
      </c>
      <c r="W108" s="28">
        <f>SUMIFS(Giriş!$J:$J,Giriş!$H:$H,Bilgiler!W$3,Giriş!$C:$C,Bilgiler!$O108,Giriş!$E:$E,Bilgiler!$P108)</f>
        <v>0</v>
      </c>
      <c r="X108" s="28">
        <f t="shared" si="9"/>
        <v>169000</v>
      </c>
      <c r="Y108" s="29" t="str">
        <f t="shared" ca="1" si="10"/>
        <v>Raf Ömrü Geçti</v>
      </c>
      <c r="AG108"/>
    </row>
    <row r="109" spans="4:33" ht="15" x14ac:dyDescent="0.25">
      <c r="D109" s="10" t="s">
        <v>213</v>
      </c>
      <c r="E109" s="3" t="s">
        <v>68</v>
      </c>
      <c r="F109" s="3" t="s">
        <v>18</v>
      </c>
      <c r="G109" s="23"/>
      <c r="H109" s="30">
        <f>SUMIFS(Giriş!$J:$J,Giriş!$H:$H,Bilgiler!H$3,Giriş!$C:$C,Bilgiler!$D109)</f>
        <v>0</v>
      </c>
      <c r="I109" s="30">
        <f>SUMIFS(Giriş!$J:$J,Giriş!$H:$H,Bilgiler!I$3,Giriş!$C:$C,Bilgiler!$D109)</f>
        <v>0</v>
      </c>
      <c r="J109" s="30">
        <f>SUMIFS(Giriş!$J:$J,Giriş!$H:$H,Bilgiler!J$3,Giriş!$C:$C,Bilgiler!$D109)</f>
        <v>0</v>
      </c>
      <c r="K109" s="30">
        <f>SUMIFS(Giriş!$J:$J,Giriş!$H:$H,Bilgiler!K$3,Giriş!$C:$C,Bilgiler!$D109)</f>
        <v>0</v>
      </c>
      <c r="L109" s="31">
        <f t="shared" si="6"/>
        <v>0</v>
      </c>
      <c r="N109" s="38">
        <f>IFERROR(IF(N108+1&gt;MAX(Giriş!L:L),"",N108+1),"")</f>
        <v>83</v>
      </c>
      <c r="O109" s="39" t="str">
        <f>IF($N109="","",VLOOKUP($N109,Giriş!$L:$O,2,0))</f>
        <v>20CM BUENA COMIDA</v>
      </c>
      <c r="P109" s="39" t="str">
        <f>IF($N109="","",VLOOKUP($N109,Giriş!$L:$O,3,0))</f>
        <v>MAT008559</v>
      </c>
      <c r="Q109" s="45">
        <f>IF($N109="","",VLOOKUP($N109,Giriş!$L:$O,4,0))</f>
        <v>45469</v>
      </c>
      <c r="R109" s="48">
        <f t="shared" ca="1" si="8"/>
        <v>-113</v>
      </c>
      <c r="S109" s="30">
        <f t="shared" si="11"/>
        <v>0</v>
      </c>
      <c r="T109" s="30">
        <f>SUMIFS(Giriş!$J:$J,Giriş!$H:$H,Bilgiler!T$3,Giriş!$C:$C,Bilgiler!$O109,Giriş!$E:$E,Bilgiler!$P109)</f>
        <v>59400</v>
      </c>
      <c r="U109" s="30">
        <f>SUMIFS(Giriş!$J:$J,Giriş!$H:$H,Bilgiler!U$3,Giriş!$C:$C,Bilgiler!$O109,Giriş!$E:$E,Bilgiler!$P109)</f>
        <v>0</v>
      </c>
      <c r="V109" s="30">
        <f>SUMIFS(Giriş!$J:$J,Giriş!$H:$H,Bilgiler!V$3,Giriş!$C:$C,Bilgiler!$O109,Giriş!$E:$E,Bilgiler!$P109)</f>
        <v>0</v>
      </c>
      <c r="W109" s="30">
        <f>SUMIFS(Giriş!$J:$J,Giriş!$H:$H,Bilgiler!W$3,Giriş!$C:$C,Bilgiler!$O109,Giriş!$E:$E,Bilgiler!$P109)</f>
        <v>0</v>
      </c>
      <c r="X109" s="30">
        <f t="shared" si="9"/>
        <v>59400</v>
      </c>
      <c r="Y109" s="31" t="str">
        <f t="shared" ca="1" si="10"/>
        <v>Raf Ömrü Geçti</v>
      </c>
      <c r="AG109"/>
    </row>
    <row r="110" spans="4:33" ht="15.75" thickBot="1" x14ac:dyDescent="0.3">
      <c r="D110" s="9" t="s">
        <v>251</v>
      </c>
      <c r="E110" s="2" t="s">
        <v>122</v>
      </c>
      <c r="F110" s="2" t="s">
        <v>18</v>
      </c>
      <c r="G110" s="22"/>
      <c r="H110" s="28">
        <f>SUMIFS(Giriş!$J:$J,Giriş!$H:$H,Bilgiler!H$3,Giriş!$C:$C,Bilgiler!$D110)</f>
        <v>0</v>
      </c>
      <c r="I110" s="28">
        <f>SUMIFS(Giriş!$J:$J,Giriş!$H:$H,Bilgiler!I$3,Giriş!$C:$C,Bilgiler!$D110)</f>
        <v>0</v>
      </c>
      <c r="J110" s="28">
        <f>SUMIFS(Giriş!$J:$J,Giriş!$H:$H,Bilgiler!J$3,Giriş!$C:$C,Bilgiler!$D110)</f>
        <v>0</v>
      </c>
      <c r="K110" s="28">
        <f>SUMIFS(Giriş!$J:$J,Giriş!$H:$H,Bilgiler!K$3,Giriş!$C:$C,Bilgiler!$D110)</f>
        <v>0</v>
      </c>
      <c r="L110" s="29">
        <f t="shared" si="6"/>
        <v>0</v>
      </c>
      <c r="N110" s="40">
        <f>IFERROR(IF(N109+1&gt;MAX(Giriş!L:L),"",N109+1),"")</f>
        <v>84</v>
      </c>
      <c r="O110" s="41" t="str">
        <f>IF($N110="","",VLOOKUP($N110,Giriş!$L:$O,2,0))</f>
        <v>30CM BUENA COMIDA</v>
      </c>
      <c r="P110" s="41" t="str">
        <f>IF($N110="","",VLOOKUP($N110,Giriş!$L:$O,3,0))</f>
        <v>MAT008558</v>
      </c>
      <c r="Q110" s="46">
        <f>IF($N110="","",VLOOKUP($N110,Giriş!$L:$O,4,0))</f>
        <v>45469</v>
      </c>
      <c r="R110" s="49">
        <f t="shared" ca="1" si="8"/>
        <v>-113</v>
      </c>
      <c r="S110" s="42">
        <f t="shared" si="11"/>
        <v>0</v>
      </c>
      <c r="T110" s="42">
        <f>SUMIFS(Giriş!$J:$J,Giriş!$H:$H,Bilgiler!T$3,Giriş!$C:$C,Bilgiler!$O110,Giriş!$E:$E,Bilgiler!$P110)</f>
        <v>125000</v>
      </c>
      <c r="U110" s="42">
        <f>SUMIFS(Giriş!$J:$J,Giriş!$H:$H,Bilgiler!U$3,Giriş!$C:$C,Bilgiler!$O110,Giriş!$E:$E,Bilgiler!$P110)</f>
        <v>0</v>
      </c>
      <c r="V110" s="42">
        <f>SUMIFS(Giriş!$J:$J,Giriş!$H:$H,Bilgiler!V$3,Giriş!$C:$C,Bilgiler!$O110,Giriş!$E:$E,Bilgiler!$P110)</f>
        <v>0</v>
      </c>
      <c r="W110" s="42">
        <f>SUMIFS(Giriş!$J:$J,Giriş!$H:$H,Bilgiler!W$3,Giriş!$C:$C,Bilgiler!$O110,Giriş!$E:$E,Bilgiler!$P110)</f>
        <v>0</v>
      </c>
      <c r="X110" s="42">
        <f t="shared" si="9"/>
        <v>125000</v>
      </c>
      <c r="Y110" s="43" t="str">
        <f t="shared" ca="1" si="10"/>
        <v>Raf Ömrü Geçti</v>
      </c>
      <c r="AG110"/>
    </row>
    <row r="111" spans="4:33" ht="15" x14ac:dyDescent="0.25">
      <c r="D111" s="10" t="s">
        <v>262</v>
      </c>
      <c r="E111" s="3" t="s">
        <v>130</v>
      </c>
      <c r="F111" s="3" t="s">
        <v>18</v>
      </c>
      <c r="G111" s="23"/>
      <c r="H111" s="30">
        <f>SUMIFS(Giriş!$J:$J,Giriş!$H:$H,Bilgiler!H$3,Giriş!$C:$C,Bilgiler!$D111)</f>
        <v>0</v>
      </c>
      <c r="I111" s="30">
        <f>SUMIFS(Giriş!$J:$J,Giriş!$H:$H,Bilgiler!I$3,Giriş!$C:$C,Bilgiler!$D111)</f>
        <v>0</v>
      </c>
      <c r="J111" s="30">
        <f>SUMIFS(Giriş!$J:$J,Giriş!$H:$H,Bilgiler!J$3,Giriş!$C:$C,Bilgiler!$D111)</f>
        <v>0</v>
      </c>
      <c r="K111" s="30">
        <f>SUMIFS(Giriş!$J:$J,Giriş!$H:$H,Bilgiler!K$3,Giriş!$C:$C,Bilgiler!$D111)</f>
        <v>0</v>
      </c>
      <c r="L111" s="31">
        <f t="shared" si="6"/>
        <v>0</v>
      </c>
      <c r="AG111"/>
    </row>
    <row r="112" spans="4:33" ht="15" x14ac:dyDescent="0.25">
      <c r="D112" s="9" t="s">
        <v>205</v>
      </c>
      <c r="E112" s="2" t="s">
        <v>103</v>
      </c>
      <c r="F112" s="2" t="s">
        <v>18</v>
      </c>
      <c r="G112" s="22"/>
      <c r="H112" s="28">
        <f>SUMIFS(Giriş!$J:$J,Giriş!$H:$H,Bilgiler!H$3,Giriş!$C:$C,Bilgiler!$D112)</f>
        <v>0</v>
      </c>
      <c r="I112" s="28">
        <f>SUMIFS(Giriş!$J:$J,Giriş!$H:$H,Bilgiler!I$3,Giriş!$C:$C,Bilgiler!$D112)</f>
        <v>0</v>
      </c>
      <c r="J112" s="28">
        <f>SUMIFS(Giriş!$J:$J,Giriş!$H:$H,Bilgiler!J$3,Giriş!$C:$C,Bilgiler!$D112)</f>
        <v>0</v>
      </c>
      <c r="K112" s="28">
        <f>SUMIFS(Giriş!$J:$J,Giriş!$H:$H,Bilgiler!K$3,Giriş!$C:$C,Bilgiler!$D112)</f>
        <v>0</v>
      </c>
      <c r="L112" s="29">
        <f t="shared" si="6"/>
        <v>0</v>
      </c>
      <c r="AG112"/>
    </row>
    <row r="113" spans="4:33" ht="15" x14ac:dyDescent="0.25">
      <c r="D113" s="10" t="s">
        <v>179</v>
      </c>
      <c r="E113" s="3" t="s">
        <v>79</v>
      </c>
      <c r="F113" s="3" t="s">
        <v>18</v>
      </c>
      <c r="G113" s="23"/>
      <c r="H113" s="30">
        <f>SUMIFS(Giriş!$J:$J,Giriş!$H:$H,Bilgiler!H$3,Giriş!$C:$C,Bilgiler!$D113)</f>
        <v>50400</v>
      </c>
      <c r="I113" s="30">
        <f>SUMIFS(Giriş!$J:$J,Giriş!$H:$H,Bilgiler!I$3,Giriş!$C:$C,Bilgiler!$D113)</f>
        <v>0</v>
      </c>
      <c r="J113" s="30">
        <f>SUMIFS(Giriş!$J:$J,Giriş!$H:$H,Bilgiler!J$3,Giriş!$C:$C,Bilgiler!$D113)</f>
        <v>0</v>
      </c>
      <c r="K113" s="30">
        <f>SUMIFS(Giriş!$J:$J,Giriş!$H:$H,Bilgiler!K$3,Giriş!$C:$C,Bilgiler!$D113)</f>
        <v>0</v>
      </c>
      <c r="L113" s="31">
        <f t="shared" si="6"/>
        <v>50400</v>
      </c>
      <c r="AG113"/>
    </row>
    <row r="114" spans="4:33" ht="15" x14ac:dyDescent="0.25">
      <c r="D114" s="9" t="s">
        <v>288</v>
      </c>
      <c r="E114" s="2" t="s">
        <v>149</v>
      </c>
      <c r="F114" s="2" t="s">
        <v>18</v>
      </c>
      <c r="G114" s="22"/>
      <c r="H114" s="28">
        <f>SUMIFS(Giriş!$J:$J,Giriş!$H:$H,Bilgiler!H$3,Giriş!$C:$C,Bilgiler!$D114)</f>
        <v>0</v>
      </c>
      <c r="I114" s="28">
        <f>SUMIFS(Giriş!$J:$J,Giriş!$H:$H,Bilgiler!I$3,Giriş!$C:$C,Bilgiler!$D114)</f>
        <v>0</v>
      </c>
      <c r="J114" s="28">
        <f>SUMIFS(Giriş!$J:$J,Giriş!$H:$H,Bilgiler!J$3,Giriş!$C:$C,Bilgiler!$D114)</f>
        <v>0</v>
      </c>
      <c r="K114" s="28">
        <f>SUMIFS(Giriş!$J:$J,Giriş!$H:$H,Bilgiler!K$3,Giriş!$C:$C,Bilgiler!$D114)</f>
        <v>0</v>
      </c>
      <c r="L114" s="29">
        <f t="shared" si="6"/>
        <v>0</v>
      </c>
      <c r="AG114"/>
    </row>
    <row r="115" spans="4:33" ht="15" x14ac:dyDescent="0.25">
      <c r="D115" s="10" t="s">
        <v>223</v>
      </c>
      <c r="E115" s="3" t="s">
        <v>34</v>
      </c>
      <c r="F115" s="3" t="s">
        <v>18</v>
      </c>
      <c r="G115" s="23"/>
      <c r="H115" s="30">
        <f>SUMIFS(Giriş!$J:$J,Giriş!$H:$H,Bilgiler!H$3,Giriş!$C:$C,Bilgiler!$D115)</f>
        <v>115200</v>
      </c>
      <c r="I115" s="30">
        <f>SUMIFS(Giriş!$J:$J,Giriş!$H:$H,Bilgiler!I$3,Giriş!$C:$C,Bilgiler!$D115)</f>
        <v>0</v>
      </c>
      <c r="J115" s="30">
        <f>SUMIFS(Giriş!$J:$J,Giriş!$H:$H,Bilgiler!J$3,Giriş!$C:$C,Bilgiler!$D115)</f>
        <v>0</v>
      </c>
      <c r="K115" s="30">
        <f>SUMIFS(Giriş!$J:$J,Giriş!$H:$H,Bilgiler!K$3,Giriş!$C:$C,Bilgiler!$D115)</f>
        <v>0</v>
      </c>
      <c r="L115" s="31">
        <f t="shared" si="6"/>
        <v>115200</v>
      </c>
      <c r="AG115"/>
    </row>
    <row r="116" spans="4:33" ht="15" x14ac:dyDescent="0.25">
      <c r="D116" s="9" t="s">
        <v>245</v>
      </c>
      <c r="E116" s="2" t="s">
        <v>117</v>
      </c>
      <c r="F116" s="2" t="s">
        <v>18</v>
      </c>
      <c r="G116" s="22"/>
      <c r="H116" s="28">
        <f>SUMIFS(Giriş!$J:$J,Giriş!$H:$H,Bilgiler!H$3,Giriş!$C:$C,Bilgiler!$D116)</f>
        <v>124560</v>
      </c>
      <c r="I116" s="28">
        <f>SUMIFS(Giriş!$J:$J,Giriş!$H:$H,Bilgiler!I$3,Giriş!$C:$C,Bilgiler!$D116)</f>
        <v>0</v>
      </c>
      <c r="J116" s="28">
        <f>SUMIFS(Giriş!$J:$J,Giriş!$H:$H,Bilgiler!J$3,Giriş!$C:$C,Bilgiler!$D116)</f>
        <v>0</v>
      </c>
      <c r="K116" s="28">
        <f>SUMIFS(Giriş!$J:$J,Giriş!$H:$H,Bilgiler!K$3,Giriş!$C:$C,Bilgiler!$D116)</f>
        <v>0</v>
      </c>
      <c r="L116" s="29">
        <f t="shared" si="6"/>
        <v>124560</v>
      </c>
      <c r="AG116"/>
    </row>
    <row r="117" spans="4:33" ht="15" x14ac:dyDescent="0.25">
      <c r="D117" s="10" t="s">
        <v>180</v>
      </c>
      <c r="E117" s="3" t="s">
        <v>88</v>
      </c>
      <c r="F117" s="3" t="s">
        <v>18</v>
      </c>
      <c r="G117" s="23"/>
      <c r="H117" s="30">
        <f>SUMIFS(Giriş!$J:$J,Giriş!$H:$H,Bilgiler!H$3,Giriş!$C:$C,Bilgiler!$D117)</f>
        <v>0</v>
      </c>
      <c r="I117" s="30">
        <f>SUMIFS(Giriş!$J:$J,Giriş!$H:$H,Bilgiler!I$3,Giriş!$C:$C,Bilgiler!$D117)</f>
        <v>0</v>
      </c>
      <c r="J117" s="30">
        <f>SUMIFS(Giriş!$J:$J,Giriş!$H:$H,Bilgiler!J$3,Giriş!$C:$C,Bilgiler!$D117)</f>
        <v>0</v>
      </c>
      <c r="K117" s="30">
        <f>SUMIFS(Giriş!$J:$J,Giriş!$H:$H,Bilgiler!K$3,Giriş!$C:$C,Bilgiler!$D117)</f>
        <v>0</v>
      </c>
      <c r="L117" s="31">
        <f t="shared" si="6"/>
        <v>0</v>
      </c>
      <c r="AG117"/>
    </row>
    <row r="118" spans="4:33" ht="15" x14ac:dyDescent="0.25">
      <c r="D118" s="9" t="s">
        <v>217</v>
      </c>
      <c r="E118" s="2" t="s">
        <v>106</v>
      </c>
      <c r="F118" s="2" t="s">
        <v>18</v>
      </c>
      <c r="G118" s="22"/>
      <c r="H118" s="28">
        <f>SUMIFS(Giriş!$J:$J,Giriş!$H:$H,Bilgiler!H$3,Giriş!$C:$C,Bilgiler!$D118)</f>
        <v>0</v>
      </c>
      <c r="I118" s="28">
        <f>SUMIFS(Giriş!$J:$J,Giriş!$H:$H,Bilgiler!I$3,Giriş!$C:$C,Bilgiler!$D118)</f>
        <v>0</v>
      </c>
      <c r="J118" s="28">
        <f>SUMIFS(Giriş!$J:$J,Giriş!$H:$H,Bilgiler!J$3,Giriş!$C:$C,Bilgiler!$D118)</f>
        <v>0</v>
      </c>
      <c r="K118" s="28">
        <f>SUMIFS(Giriş!$J:$J,Giriş!$H:$H,Bilgiler!K$3,Giriş!$C:$C,Bilgiler!$D118)</f>
        <v>0</v>
      </c>
      <c r="L118" s="29">
        <f t="shared" si="6"/>
        <v>0</v>
      </c>
      <c r="AG118"/>
    </row>
    <row r="119" spans="4:33" ht="15" x14ac:dyDescent="0.25">
      <c r="D119" s="10" t="s">
        <v>247</v>
      </c>
      <c r="E119" s="3" t="s">
        <v>119</v>
      </c>
      <c r="F119" s="3" t="s">
        <v>18</v>
      </c>
      <c r="G119" s="23"/>
      <c r="H119" s="30">
        <f>SUMIFS(Giriş!$J:$J,Giriş!$H:$H,Bilgiler!H$3,Giriş!$C:$C,Bilgiler!$D119)</f>
        <v>0</v>
      </c>
      <c r="I119" s="30">
        <f>SUMIFS(Giriş!$J:$J,Giriş!$H:$H,Bilgiler!I$3,Giriş!$C:$C,Bilgiler!$D119)</f>
        <v>0</v>
      </c>
      <c r="J119" s="30">
        <f>SUMIFS(Giriş!$J:$J,Giriş!$H:$H,Bilgiler!J$3,Giriş!$C:$C,Bilgiler!$D119)</f>
        <v>0</v>
      </c>
      <c r="K119" s="30">
        <f>SUMIFS(Giriş!$J:$J,Giriş!$H:$H,Bilgiler!K$3,Giriş!$C:$C,Bilgiler!$D119)</f>
        <v>0</v>
      </c>
      <c r="L119" s="31">
        <f t="shared" si="6"/>
        <v>0</v>
      </c>
      <c r="AG119"/>
    </row>
    <row r="120" spans="4:33" ht="15" x14ac:dyDescent="0.25">
      <c r="D120" s="9" t="s">
        <v>241</v>
      </c>
      <c r="E120" s="2" t="s">
        <v>93</v>
      </c>
      <c r="F120" s="2" t="s">
        <v>18</v>
      </c>
      <c r="G120" s="22"/>
      <c r="H120" s="28">
        <f>SUMIFS(Giriş!$J:$J,Giriş!$H:$H,Bilgiler!H$3,Giriş!$C:$C,Bilgiler!$D120)</f>
        <v>0</v>
      </c>
      <c r="I120" s="28">
        <f>SUMIFS(Giriş!$J:$J,Giriş!$H:$H,Bilgiler!I$3,Giriş!$C:$C,Bilgiler!$D120)</f>
        <v>0</v>
      </c>
      <c r="J120" s="28">
        <f>SUMIFS(Giriş!$J:$J,Giriş!$H:$H,Bilgiler!J$3,Giriş!$C:$C,Bilgiler!$D120)</f>
        <v>0</v>
      </c>
      <c r="K120" s="28">
        <f>SUMIFS(Giriş!$J:$J,Giriş!$H:$H,Bilgiler!K$3,Giriş!$C:$C,Bilgiler!$D120)</f>
        <v>0</v>
      </c>
      <c r="L120" s="29">
        <f t="shared" si="6"/>
        <v>0</v>
      </c>
      <c r="AG120"/>
    </row>
    <row r="121" spans="4:33" ht="15" x14ac:dyDescent="0.25">
      <c r="D121" s="10" t="s">
        <v>242</v>
      </c>
      <c r="E121" s="3" t="s">
        <v>94</v>
      </c>
      <c r="F121" s="3" t="s">
        <v>18</v>
      </c>
      <c r="G121" s="23"/>
      <c r="H121" s="30">
        <f>SUMIFS(Giriş!$J:$J,Giriş!$H:$H,Bilgiler!H$3,Giriş!$C:$C,Bilgiler!$D121)</f>
        <v>98800</v>
      </c>
      <c r="I121" s="30">
        <f>SUMIFS(Giriş!$J:$J,Giriş!$H:$H,Bilgiler!I$3,Giriş!$C:$C,Bilgiler!$D121)</f>
        <v>0</v>
      </c>
      <c r="J121" s="30">
        <f>SUMIFS(Giriş!$J:$J,Giriş!$H:$H,Bilgiler!J$3,Giriş!$C:$C,Bilgiler!$D121)</f>
        <v>0</v>
      </c>
      <c r="K121" s="30">
        <f>SUMIFS(Giriş!$J:$J,Giriş!$H:$H,Bilgiler!K$3,Giriş!$C:$C,Bilgiler!$D121)</f>
        <v>0</v>
      </c>
      <c r="L121" s="31">
        <f t="shared" si="6"/>
        <v>98800</v>
      </c>
      <c r="AG121"/>
    </row>
    <row r="122" spans="4:33" ht="15" x14ac:dyDescent="0.25">
      <c r="D122" s="9" t="s">
        <v>243</v>
      </c>
      <c r="E122" s="2" t="s">
        <v>95</v>
      </c>
      <c r="F122" s="2" t="s">
        <v>18</v>
      </c>
      <c r="G122" s="22"/>
      <c r="H122" s="28">
        <f>SUMIFS(Giriş!$J:$J,Giriş!$H:$H,Bilgiler!H$3,Giriş!$C:$C,Bilgiler!$D122)</f>
        <v>0</v>
      </c>
      <c r="I122" s="28">
        <f>SUMIFS(Giriş!$J:$J,Giriş!$H:$H,Bilgiler!I$3,Giriş!$C:$C,Bilgiler!$D122)</f>
        <v>0</v>
      </c>
      <c r="J122" s="28">
        <f>SUMIFS(Giriş!$J:$J,Giriş!$H:$H,Bilgiler!J$3,Giriş!$C:$C,Bilgiler!$D122)</f>
        <v>0</v>
      </c>
      <c r="K122" s="28">
        <f>SUMIFS(Giriş!$J:$J,Giriş!$H:$H,Bilgiler!K$3,Giriş!$C:$C,Bilgiler!$D122)</f>
        <v>0</v>
      </c>
      <c r="L122" s="29">
        <f t="shared" si="6"/>
        <v>0</v>
      </c>
      <c r="AG122"/>
    </row>
    <row r="123" spans="4:33" ht="15" x14ac:dyDescent="0.25">
      <c r="D123" s="10" t="s">
        <v>181</v>
      </c>
      <c r="E123" s="3" t="s">
        <v>111</v>
      </c>
      <c r="F123" s="3" t="s">
        <v>18</v>
      </c>
      <c r="G123" s="23"/>
      <c r="H123" s="30">
        <f>SUMIFS(Giriş!$J:$J,Giriş!$H:$H,Bilgiler!H$3,Giriş!$C:$C,Bilgiler!$D123)</f>
        <v>0</v>
      </c>
      <c r="I123" s="30">
        <f>SUMIFS(Giriş!$J:$J,Giriş!$H:$H,Bilgiler!I$3,Giriş!$C:$C,Bilgiler!$D123)</f>
        <v>0</v>
      </c>
      <c r="J123" s="30">
        <f>SUMIFS(Giriş!$J:$J,Giriş!$H:$H,Bilgiler!J$3,Giriş!$C:$C,Bilgiler!$D123)</f>
        <v>0</v>
      </c>
      <c r="K123" s="30">
        <f>SUMIFS(Giriş!$J:$J,Giriş!$H:$H,Bilgiler!K$3,Giriş!$C:$C,Bilgiler!$D123)</f>
        <v>0</v>
      </c>
      <c r="L123" s="31">
        <f t="shared" si="6"/>
        <v>0</v>
      </c>
      <c r="AG123"/>
    </row>
    <row r="124" spans="4:33" ht="15" x14ac:dyDescent="0.25">
      <c r="D124" s="9" t="s">
        <v>246</v>
      </c>
      <c r="E124" s="2" t="s">
        <v>118</v>
      </c>
      <c r="F124" s="2" t="s">
        <v>18</v>
      </c>
      <c r="G124" s="22"/>
      <c r="H124" s="28">
        <f>SUMIFS(Giriş!$J:$J,Giriş!$H:$H,Bilgiler!H$3,Giriş!$C:$C,Bilgiler!$D124)</f>
        <v>0</v>
      </c>
      <c r="I124" s="28">
        <f>SUMIFS(Giriş!$J:$J,Giriş!$H:$H,Bilgiler!I$3,Giriş!$C:$C,Bilgiler!$D124)</f>
        <v>0</v>
      </c>
      <c r="J124" s="28">
        <f>SUMIFS(Giriş!$J:$J,Giriş!$H:$H,Bilgiler!J$3,Giriş!$C:$C,Bilgiler!$D124)</f>
        <v>0</v>
      </c>
      <c r="K124" s="28">
        <f>SUMIFS(Giriş!$J:$J,Giriş!$H:$H,Bilgiler!K$3,Giriş!$C:$C,Bilgiler!$D124)</f>
        <v>0</v>
      </c>
      <c r="L124" s="29">
        <f t="shared" ref="L124:L133" si="12">G124+H124-I124-K124+J124</f>
        <v>0</v>
      </c>
      <c r="AG124"/>
    </row>
    <row r="125" spans="4:33" ht="15" x14ac:dyDescent="0.25">
      <c r="D125" s="10" t="s">
        <v>209</v>
      </c>
      <c r="E125" s="3" t="s">
        <v>87</v>
      </c>
      <c r="F125" s="3" t="s">
        <v>18</v>
      </c>
      <c r="G125" s="23"/>
      <c r="H125" s="30">
        <f>SUMIFS(Giriş!$J:$J,Giriş!$H:$H,Bilgiler!H$3,Giriş!$C:$C,Bilgiler!$D125)</f>
        <v>0</v>
      </c>
      <c r="I125" s="30">
        <f>SUMIFS(Giriş!$J:$J,Giriş!$H:$H,Bilgiler!I$3,Giriş!$C:$C,Bilgiler!$D125)</f>
        <v>0</v>
      </c>
      <c r="J125" s="30">
        <f>SUMIFS(Giriş!$J:$J,Giriş!$H:$H,Bilgiler!J$3,Giriş!$C:$C,Bilgiler!$D125)</f>
        <v>0</v>
      </c>
      <c r="K125" s="30">
        <f>SUMIFS(Giriş!$J:$J,Giriş!$H:$H,Bilgiler!K$3,Giriş!$C:$C,Bilgiler!$D125)</f>
        <v>0</v>
      </c>
      <c r="L125" s="31">
        <f t="shared" si="12"/>
        <v>0</v>
      </c>
      <c r="AG125"/>
    </row>
    <row r="126" spans="4:33" ht="15" x14ac:dyDescent="0.25">
      <c r="D126" s="9" t="s">
        <v>191</v>
      </c>
      <c r="E126" s="2" t="s">
        <v>74</v>
      </c>
      <c r="F126" s="2" t="s">
        <v>18</v>
      </c>
      <c r="G126" s="22"/>
      <c r="H126" s="28">
        <f>SUMIFS(Giriş!$J:$J,Giriş!$H:$H,Bilgiler!H$3,Giriş!$C:$C,Bilgiler!$D126)</f>
        <v>238600</v>
      </c>
      <c r="I126" s="28">
        <f>SUMIFS(Giriş!$J:$J,Giriş!$H:$H,Bilgiler!I$3,Giriş!$C:$C,Bilgiler!$D126)</f>
        <v>0</v>
      </c>
      <c r="J126" s="28">
        <f>SUMIFS(Giriş!$J:$J,Giriş!$H:$H,Bilgiler!J$3,Giriş!$C:$C,Bilgiler!$D126)</f>
        <v>0</v>
      </c>
      <c r="K126" s="28">
        <f>SUMIFS(Giriş!$J:$J,Giriş!$H:$H,Bilgiler!K$3,Giriş!$C:$C,Bilgiler!$D126)</f>
        <v>0</v>
      </c>
      <c r="L126" s="29">
        <f t="shared" si="12"/>
        <v>238600</v>
      </c>
      <c r="AG126"/>
    </row>
    <row r="127" spans="4:33" ht="15" x14ac:dyDescent="0.25">
      <c r="D127" s="10" t="s">
        <v>182</v>
      </c>
      <c r="E127" s="3" t="s">
        <v>156</v>
      </c>
      <c r="F127" s="3" t="s">
        <v>18</v>
      </c>
      <c r="G127" s="23"/>
      <c r="H127" s="30">
        <f>SUMIFS(Giriş!$J:$J,Giriş!$H:$H,Bilgiler!H$3,Giriş!$C:$C,Bilgiler!$D127)</f>
        <v>0</v>
      </c>
      <c r="I127" s="30">
        <f>SUMIFS(Giriş!$J:$J,Giriş!$H:$H,Bilgiler!I$3,Giriş!$C:$C,Bilgiler!$D127)</f>
        <v>0</v>
      </c>
      <c r="J127" s="30">
        <f>SUMIFS(Giriş!$J:$J,Giriş!$H:$H,Bilgiler!J$3,Giriş!$C:$C,Bilgiler!$D127)</f>
        <v>0</v>
      </c>
      <c r="K127" s="30">
        <f>SUMIFS(Giriş!$J:$J,Giriş!$H:$H,Bilgiler!K$3,Giriş!$C:$C,Bilgiler!$D127)</f>
        <v>0</v>
      </c>
      <c r="L127" s="31">
        <f t="shared" si="12"/>
        <v>0</v>
      </c>
      <c r="AG127"/>
    </row>
    <row r="128" spans="4:33" ht="15" x14ac:dyDescent="0.25">
      <c r="D128" s="9" t="s">
        <v>200</v>
      </c>
      <c r="E128" s="2" t="s">
        <v>114</v>
      </c>
      <c r="F128" s="2" t="s">
        <v>18</v>
      </c>
      <c r="G128" s="22"/>
      <c r="H128" s="28">
        <f>SUMIFS(Giriş!$J:$J,Giriş!$H:$H,Bilgiler!H$3,Giriş!$C:$C,Bilgiler!$D128)</f>
        <v>0</v>
      </c>
      <c r="I128" s="28">
        <f>SUMIFS(Giriş!$J:$J,Giriş!$H:$H,Bilgiler!I$3,Giriş!$C:$C,Bilgiler!$D128)</f>
        <v>0</v>
      </c>
      <c r="J128" s="28">
        <f>SUMIFS(Giriş!$J:$J,Giriş!$H:$H,Bilgiler!J$3,Giriş!$C:$C,Bilgiler!$D128)</f>
        <v>0</v>
      </c>
      <c r="K128" s="28">
        <f>SUMIFS(Giriş!$J:$J,Giriş!$H:$H,Bilgiler!K$3,Giriş!$C:$C,Bilgiler!$D128)</f>
        <v>0</v>
      </c>
      <c r="L128" s="29">
        <f t="shared" si="12"/>
        <v>0</v>
      </c>
      <c r="AG128"/>
    </row>
    <row r="129" spans="4:33" ht="15" x14ac:dyDescent="0.25">
      <c r="D129" s="10" t="s">
        <v>231</v>
      </c>
      <c r="E129" s="3" t="s">
        <v>48</v>
      </c>
      <c r="F129" s="3" t="s">
        <v>18</v>
      </c>
      <c r="G129" s="23"/>
      <c r="H129" s="30">
        <f>SUMIFS(Giriş!$J:$J,Giriş!$H:$H,Bilgiler!H$3,Giriş!$C:$C,Bilgiler!$D129)</f>
        <v>51000</v>
      </c>
      <c r="I129" s="30">
        <f>SUMIFS(Giriş!$J:$J,Giriş!$H:$H,Bilgiler!I$3,Giriş!$C:$C,Bilgiler!$D129)</f>
        <v>0</v>
      </c>
      <c r="J129" s="30">
        <f>SUMIFS(Giriş!$J:$J,Giriş!$H:$H,Bilgiler!J$3,Giriş!$C:$C,Bilgiler!$D129)</f>
        <v>0</v>
      </c>
      <c r="K129" s="30">
        <f>SUMIFS(Giriş!$J:$J,Giriş!$H:$H,Bilgiler!K$3,Giriş!$C:$C,Bilgiler!$D129)</f>
        <v>0</v>
      </c>
      <c r="L129" s="31">
        <f t="shared" si="12"/>
        <v>51000</v>
      </c>
      <c r="AG129"/>
    </row>
    <row r="130" spans="4:33" ht="15" x14ac:dyDescent="0.25">
      <c r="D130" s="9" t="s">
        <v>185</v>
      </c>
      <c r="E130" s="2" t="s">
        <v>82</v>
      </c>
      <c r="F130" s="2" t="s">
        <v>18</v>
      </c>
      <c r="G130" s="22"/>
      <c r="H130" s="28">
        <f>SUMIFS(Giriş!$J:$J,Giriş!$H:$H,Bilgiler!H$3,Giriş!$C:$C,Bilgiler!$D130)</f>
        <v>0</v>
      </c>
      <c r="I130" s="28">
        <f>SUMIFS(Giriş!$J:$J,Giriş!$H:$H,Bilgiler!I$3,Giriş!$C:$C,Bilgiler!$D130)</f>
        <v>0</v>
      </c>
      <c r="J130" s="28">
        <f>SUMIFS(Giriş!$J:$J,Giriş!$H:$H,Bilgiler!J$3,Giriş!$C:$C,Bilgiler!$D130)</f>
        <v>0</v>
      </c>
      <c r="K130" s="28">
        <f>SUMIFS(Giriş!$J:$J,Giriş!$H:$H,Bilgiler!K$3,Giriş!$C:$C,Bilgiler!$D130)</f>
        <v>0</v>
      </c>
      <c r="L130" s="29">
        <f t="shared" si="12"/>
        <v>0</v>
      </c>
      <c r="AG130"/>
    </row>
    <row r="131" spans="4:33" ht="15" x14ac:dyDescent="0.25">
      <c r="D131" s="10" t="s">
        <v>216</v>
      </c>
      <c r="E131" s="3" t="s">
        <v>43</v>
      </c>
      <c r="F131" s="3" t="s">
        <v>18</v>
      </c>
      <c r="G131" s="23"/>
      <c r="H131" s="30">
        <f>SUMIFS(Giriş!$J:$J,Giriş!$H:$H,Bilgiler!H$3,Giriş!$C:$C,Bilgiler!$D131)</f>
        <v>0</v>
      </c>
      <c r="I131" s="30">
        <f>SUMIFS(Giriş!$J:$J,Giriş!$H:$H,Bilgiler!I$3,Giriş!$C:$C,Bilgiler!$D131)</f>
        <v>0</v>
      </c>
      <c r="J131" s="30">
        <f>SUMIFS(Giriş!$J:$J,Giriş!$H:$H,Bilgiler!J$3,Giriş!$C:$C,Bilgiler!$D131)</f>
        <v>0</v>
      </c>
      <c r="K131" s="30">
        <f>SUMIFS(Giriş!$J:$J,Giriş!$H:$H,Bilgiler!K$3,Giriş!$C:$C,Bilgiler!$D131)</f>
        <v>0</v>
      </c>
      <c r="L131" s="31">
        <f t="shared" si="12"/>
        <v>0</v>
      </c>
      <c r="AG131"/>
    </row>
    <row r="132" spans="4:33" ht="15" x14ac:dyDescent="0.25">
      <c r="D132" s="9" t="s">
        <v>263</v>
      </c>
      <c r="E132" s="2" t="s">
        <v>132</v>
      </c>
      <c r="F132" s="2" t="s">
        <v>18</v>
      </c>
      <c r="G132" s="22"/>
      <c r="H132" s="59">
        <f>SUMIFS(Giriş!$J:$J,Giriş!$H:$H,Bilgiler!H$3,Giriş!$C:$C,Bilgiler!$D132)</f>
        <v>0</v>
      </c>
      <c r="I132" s="28">
        <f>SUMIFS(Giriş!$J:$J,Giriş!$H:$H,Bilgiler!I$3,Giriş!$C:$C,Bilgiler!$D132)</f>
        <v>0</v>
      </c>
      <c r="J132" s="28">
        <f>SUMIFS(Giriş!$J:$J,Giriş!$H:$H,Bilgiler!J$3,Giriş!$C:$C,Bilgiler!$D132)</f>
        <v>0</v>
      </c>
      <c r="K132" s="28">
        <f>SUMIFS(Giriş!$J:$J,Giriş!$H:$H,Bilgiler!K$3,Giriş!$C:$C,Bilgiler!$D132)</f>
        <v>0</v>
      </c>
      <c r="L132" s="29">
        <f t="shared" si="12"/>
        <v>0</v>
      </c>
      <c r="AG132"/>
    </row>
    <row r="133" spans="4:33" ht="15" x14ac:dyDescent="0.25">
      <c r="D133" s="10" t="s">
        <v>187</v>
      </c>
      <c r="E133" s="3" t="s">
        <v>76</v>
      </c>
      <c r="F133" s="3" t="s">
        <v>18</v>
      </c>
      <c r="G133" s="23"/>
      <c r="H133" s="60">
        <f>SUMIFS(Giriş!$J:$J,Giriş!$H:$H,Bilgiler!H$3,Giriş!$C:$C,Bilgiler!$D133)</f>
        <v>42000</v>
      </c>
      <c r="I133" s="30">
        <f>SUMIFS(Giriş!$J:$J,Giriş!$H:$H,Bilgiler!I$3,Giriş!$C:$C,Bilgiler!$D133)</f>
        <v>0</v>
      </c>
      <c r="J133" s="30">
        <f>SUMIFS(Giriş!$J:$J,Giriş!$H:$H,Bilgiler!J$3,Giriş!$C:$C,Bilgiler!$D133)</f>
        <v>0</v>
      </c>
      <c r="K133" s="30">
        <f>SUMIFS(Giriş!$J:$J,Giriş!$H:$H,Bilgiler!K$3,Giriş!$C:$C,Bilgiler!$D133)</f>
        <v>0</v>
      </c>
      <c r="L133" s="31">
        <f t="shared" si="12"/>
        <v>42000</v>
      </c>
      <c r="AG133"/>
    </row>
    <row r="134" spans="4:33" ht="15" x14ac:dyDescent="0.25">
      <c r="D134" s="9" t="s">
        <v>299</v>
      </c>
      <c r="E134" s="2" t="s">
        <v>300</v>
      </c>
      <c r="F134" s="2" t="s">
        <v>18</v>
      </c>
      <c r="G134" s="22"/>
      <c r="H134" s="59">
        <f>SUMIFS(Giriş!$J:$J,Giriş!$H:$H,Bilgiler!H$3,Giriş!$C:$C,Bilgiler!$D134)</f>
        <v>4000</v>
      </c>
      <c r="I134" s="28">
        <f>SUMIFS(Giriş!$J:$J,Giriş!$H:$H,Bilgiler!I$3,Giriş!$C:$C,Bilgiler!$D134)</f>
        <v>0</v>
      </c>
      <c r="J134" s="28">
        <f>SUMIFS(Giriş!$J:$J,Giriş!$H:$H,Bilgiler!J$3,Giriş!$C:$C,Bilgiler!$D134)</f>
        <v>0</v>
      </c>
      <c r="K134" s="28">
        <f>SUMIFS(Giriş!$J:$J,Giriş!$H:$H,Bilgiler!K$3,Giriş!$C:$C,Bilgiler!$D134)</f>
        <v>0</v>
      </c>
      <c r="L134" s="29">
        <f t="shared" ref="L134:L144" si="13">G134+H134-I134-K134+J134</f>
        <v>4000</v>
      </c>
      <c r="AG134"/>
    </row>
    <row r="135" spans="4:33" ht="15" x14ac:dyDescent="0.25">
      <c r="D135" s="10" t="s">
        <v>321</v>
      </c>
      <c r="E135" s="3" t="s">
        <v>322</v>
      </c>
      <c r="F135" s="3" t="s">
        <v>18</v>
      </c>
      <c r="G135" s="23"/>
      <c r="H135" s="60">
        <f>SUMIFS(Giriş!$J:$J,Giriş!$H:$H,Bilgiler!H$3,Giriş!$C:$C,Bilgiler!$D135)</f>
        <v>82600</v>
      </c>
      <c r="I135" s="30">
        <f>SUMIFS(Giriş!$J:$J,Giriş!$H:$H,Bilgiler!I$3,Giriş!$C:$C,Bilgiler!$D135)</f>
        <v>0</v>
      </c>
      <c r="J135" s="30">
        <f>SUMIFS(Giriş!$J:$J,Giriş!$H:$H,Bilgiler!J$3,Giriş!$C:$C,Bilgiler!$D135)</f>
        <v>0</v>
      </c>
      <c r="K135" s="30">
        <f>SUMIFS(Giriş!$J:$J,Giriş!$H:$H,Bilgiler!K$3,Giriş!$C:$C,Bilgiler!$D135)</f>
        <v>0</v>
      </c>
      <c r="L135" s="31">
        <f t="shared" si="13"/>
        <v>82600</v>
      </c>
      <c r="AG135"/>
    </row>
    <row r="136" spans="4:33" ht="15" x14ac:dyDescent="0.25">
      <c r="D136" s="9" t="s">
        <v>313</v>
      </c>
      <c r="E136" s="2" t="s">
        <v>317</v>
      </c>
      <c r="F136" s="2" t="s">
        <v>18</v>
      </c>
      <c r="G136" s="22"/>
      <c r="H136" s="59">
        <f>SUMIFS(Giriş!$J:$J,Giriş!$H:$H,Bilgiler!H$3,Giriş!$C:$C,Bilgiler!$D136)</f>
        <v>65045</v>
      </c>
      <c r="I136" s="28">
        <f>SUMIFS(Giriş!$J:$J,Giriş!$H:$H,Bilgiler!I$3,Giriş!$C:$C,Bilgiler!$D136)</f>
        <v>0</v>
      </c>
      <c r="J136" s="28">
        <f>SUMIFS(Giriş!$J:$J,Giriş!$H:$H,Bilgiler!J$3,Giriş!$C:$C,Bilgiler!$D136)</f>
        <v>0</v>
      </c>
      <c r="K136" s="28">
        <f>SUMIFS(Giriş!$J:$J,Giriş!$H:$H,Bilgiler!K$3,Giriş!$C:$C,Bilgiler!$D136)</f>
        <v>0</v>
      </c>
      <c r="L136" s="29">
        <f t="shared" si="13"/>
        <v>65045</v>
      </c>
      <c r="AG136"/>
    </row>
    <row r="137" spans="4:33" ht="15" x14ac:dyDescent="0.25">
      <c r="D137" s="10" t="s">
        <v>314</v>
      </c>
      <c r="E137" s="3" t="s">
        <v>318</v>
      </c>
      <c r="F137" s="3" t="s">
        <v>18</v>
      </c>
      <c r="G137" s="23"/>
      <c r="H137" s="60">
        <f>SUMIFS(Giriş!$J:$J,Giriş!$H:$H,Bilgiler!H$3,Giriş!$C:$C,Bilgiler!$D137)</f>
        <v>62580</v>
      </c>
      <c r="I137" s="30">
        <f>SUMIFS(Giriş!$J:$J,Giriş!$H:$H,Bilgiler!I$3,Giriş!$C:$C,Bilgiler!$D137)</f>
        <v>0</v>
      </c>
      <c r="J137" s="30">
        <f>SUMIFS(Giriş!$J:$J,Giriş!$H:$H,Bilgiler!J$3,Giriş!$C:$C,Bilgiler!$D137)</f>
        <v>0</v>
      </c>
      <c r="K137" s="30">
        <f>SUMIFS(Giriş!$J:$J,Giriş!$H:$H,Bilgiler!K$3,Giriş!$C:$C,Bilgiler!$D137)</f>
        <v>0</v>
      </c>
      <c r="L137" s="31">
        <f t="shared" si="13"/>
        <v>62580</v>
      </c>
      <c r="AG137"/>
    </row>
    <row r="138" spans="4:33" ht="15" x14ac:dyDescent="0.25">
      <c r="D138" s="9" t="s">
        <v>315</v>
      </c>
      <c r="E138" s="2" t="s">
        <v>319</v>
      </c>
      <c r="F138" s="2" t="s">
        <v>18</v>
      </c>
      <c r="G138" s="22"/>
      <c r="H138" s="59">
        <f>SUMIFS(Giriş!$J:$J,Giriş!$H:$H,Bilgiler!H$3,Giriş!$C:$C,Bilgiler!$D138)</f>
        <v>65485</v>
      </c>
      <c r="I138" s="28">
        <f>SUMIFS(Giriş!$J:$J,Giriş!$H:$H,Bilgiler!I$3,Giriş!$C:$C,Bilgiler!$D138)</f>
        <v>0</v>
      </c>
      <c r="J138" s="28">
        <f>SUMIFS(Giriş!$J:$J,Giriş!$H:$H,Bilgiler!J$3,Giriş!$C:$C,Bilgiler!$D138)</f>
        <v>0</v>
      </c>
      <c r="K138" s="28">
        <f>SUMIFS(Giriş!$J:$J,Giriş!$H:$H,Bilgiler!K$3,Giriş!$C:$C,Bilgiler!$D138)</f>
        <v>0</v>
      </c>
      <c r="L138" s="29">
        <f t="shared" si="13"/>
        <v>65485</v>
      </c>
      <c r="AG138"/>
    </row>
    <row r="139" spans="4:33" ht="15" x14ac:dyDescent="0.25">
      <c r="D139" s="10" t="s">
        <v>316</v>
      </c>
      <c r="E139" s="3" t="s">
        <v>320</v>
      </c>
      <c r="F139" s="3" t="s">
        <v>18</v>
      </c>
      <c r="G139" s="23"/>
      <c r="H139" s="60">
        <f>SUMIFS(Giriş!$J:$J,Giriş!$H:$H,Bilgiler!H$3,Giriş!$C:$C,Bilgiler!$D139)</f>
        <v>67377</v>
      </c>
      <c r="I139" s="30">
        <f>SUMIFS(Giriş!$J:$J,Giriş!$H:$H,Bilgiler!I$3,Giriş!$C:$C,Bilgiler!$D139)</f>
        <v>0</v>
      </c>
      <c r="J139" s="30">
        <f>SUMIFS(Giriş!$J:$J,Giriş!$H:$H,Bilgiler!J$3,Giriş!$C:$C,Bilgiler!$D139)</f>
        <v>0</v>
      </c>
      <c r="K139" s="30">
        <f>SUMIFS(Giriş!$J:$J,Giriş!$H:$H,Bilgiler!K$3,Giriş!$C:$C,Bilgiler!$D139)</f>
        <v>0</v>
      </c>
      <c r="L139" s="31">
        <f t="shared" si="13"/>
        <v>67377</v>
      </c>
      <c r="AG139"/>
    </row>
    <row r="140" spans="4:33" ht="15" x14ac:dyDescent="0.25">
      <c r="D140" s="9" t="s">
        <v>338</v>
      </c>
      <c r="E140" s="2"/>
      <c r="F140" s="2"/>
      <c r="G140" s="22"/>
      <c r="H140" s="59">
        <f>SUMIFS(Giriş!$J:$J,Giriş!$H:$H,Bilgiler!H$3,Giriş!$C:$C,Bilgiler!$D140)</f>
        <v>194400</v>
      </c>
      <c r="I140" s="28">
        <f>SUMIFS(Giriş!$J:$J,Giriş!$H:$H,Bilgiler!I$3,Giriş!$C:$C,Bilgiler!$D140)</f>
        <v>0</v>
      </c>
      <c r="J140" s="28">
        <f>SUMIFS(Giriş!$J:$J,Giriş!$H:$H,Bilgiler!J$3,Giriş!$C:$C,Bilgiler!$D140)</f>
        <v>0</v>
      </c>
      <c r="K140" s="28">
        <f>SUMIFS(Giriş!$J:$J,Giriş!$H:$H,Bilgiler!K$3,Giriş!$C:$C,Bilgiler!$D140)</f>
        <v>0</v>
      </c>
      <c r="L140" s="29">
        <f t="shared" si="13"/>
        <v>194400</v>
      </c>
      <c r="AG140"/>
    </row>
    <row r="141" spans="4:33" ht="15" x14ac:dyDescent="0.25">
      <c r="D141" s="10" t="s">
        <v>367</v>
      </c>
      <c r="E141" s="3"/>
      <c r="F141" s="3"/>
      <c r="G141" s="23"/>
      <c r="H141" s="60">
        <f>SUMIFS(Giriş!$J:$J,Giriş!$H:$H,Bilgiler!H$3,Giriş!$C:$C,Bilgiler!$D141)</f>
        <v>340200</v>
      </c>
      <c r="I141" s="30">
        <f>SUMIFS(Giriş!$J:$J,Giriş!$H:$H,Bilgiler!I$3,Giriş!$C:$C,Bilgiler!$D141)</f>
        <v>0</v>
      </c>
      <c r="J141" s="30">
        <f>SUMIFS(Giriş!$J:$J,Giriş!$H:$H,Bilgiler!J$3,Giriş!$C:$C,Bilgiler!$D141)</f>
        <v>0</v>
      </c>
      <c r="K141" s="30">
        <f>SUMIFS(Giriş!$J:$J,Giriş!$H:$H,Bilgiler!K$3,Giriş!$C:$C,Bilgiler!$D141)</f>
        <v>0</v>
      </c>
      <c r="L141" s="31">
        <f t="shared" si="13"/>
        <v>340200</v>
      </c>
      <c r="AG141"/>
    </row>
    <row r="142" spans="4:33" ht="15" x14ac:dyDescent="0.25">
      <c r="D142" s="9" t="s">
        <v>368</v>
      </c>
      <c r="E142" s="2"/>
      <c r="F142" s="2"/>
      <c r="G142" s="22"/>
      <c r="H142" s="59">
        <f>SUMIFS(Giriş!$J:$J,Giriş!$H:$H,Bilgiler!H$3,Giriş!$C:$C,Bilgiler!$D142)</f>
        <v>428400</v>
      </c>
      <c r="I142" s="28">
        <f>SUMIFS(Giriş!$J:$J,Giriş!$H:$H,Bilgiler!I$3,Giriş!$C:$C,Bilgiler!$D142)</f>
        <v>0</v>
      </c>
      <c r="J142" s="28">
        <f>SUMIFS(Giriş!$J:$J,Giriş!$H:$H,Bilgiler!J$3,Giriş!$C:$C,Bilgiler!$D142)</f>
        <v>0</v>
      </c>
      <c r="K142" s="28">
        <f>SUMIFS(Giriş!$J:$J,Giriş!$H:$H,Bilgiler!K$3,Giriş!$C:$C,Bilgiler!$D142)</f>
        <v>0</v>
      </c>
      <c r="L142" s="29">
        <f t="shared" si="13"/>
        <v>428400</v>
      </c>
      <c r="AG142"/>
    </row>
    <row r="143" spans="4:33" ht="15" x14ac:dyDescent="0.25">
      <c r="D143" s="10" t="s">
        <v>376</v>
      </c>
      <c r="E143" s="3"/>
      <c r="F143" s="3"/>
      <c r="G143" s="23"/>
      <c r="H143" s="60">
        <f>SUMIFS(Giriş!$J:$J,Giriş!$H:$H,Bilgiler!H$3,Giriş!$C:$C,Bilgiler!$D143)</f>
        <v>78400</v>
      </c>
      <c r="I143" s="30">
        <f>SUMIFS(Giriş!$J:$J,Giriş!$H:$H,Bilgiler!I$3,Giriş!$C:$C,Bilgiler!$D143)</f>
        <v>0</v>
      </c>
      <c r="J143" s="30">
        <f>SUMIFS(Giriş!$J:$J,Giriş!$H:$H,Bilgiler!J$3,Giriş!$C:$C,Bilgiler!$D143)</f>
        <v>0</v>
      </c>
      <c r="K143" s="30">
        <f>SUMIFS(Giriş!$J:$J,Giriş!$H:$H,Bilgiler!K$3,Giriş!$C:$C,Bilgiler!$D143)</f>
        <v>0</v>
      </c>
      <c r="L143" s="31">
        <f t="shared" si="13"/>
        <v>78400</v>
      </c>
      <c r="AG143"/>
    </row>
    <row r="144" spans="4:33" ht="15.75" thickBot="1" x14ac:dyDescent="0.3">
      <c r="D144" s="56"/>
      <c r="E144" s="57"/>
      <c r="F144" s="57"/>
      <c r="G144" s="58"/>
      <c r="H144" s="61">
        <f>SUMIFS(Giriş!$J:$J,Giriş!$H:$H,Bilgiler!H$3,Giriş!$C:$C,Bilgiler!$D144)</f>
        <v>0</v>
      </c>
      <c r="I144" s="42">
        <f>SUMIFS(Giriş!$J:$J,Giriş!$H:$H,Bilgiler!I$3,Giriş!$C:$C,Bilgiler!$D144)</f>
        <v>0</v>
      </c>
      <c r="J144" s="42">
        <f>SUMIFS(Giriş!$J:$J,Giriş!$H:$H,Bilgiler!J$3,Giriş!$C:$C,Bilgiler!$D144)</f>
        <v>0</v>
      </c>
      <c r="K144" s="42">
        <f>SUMIFS(Giriş!$J:$J,Giriş!$H:$H,Bilgiler!K$3,Giriş!$C:$C,Bilgiler!$D144)</f>
        <v>0</v>
      </c>
      <c r="L144" s="43">
        <f t="shared" si="13"/>
        <v>0</v>
      </c>
      <c r="AG144"/>
    </row>
    <row r="145" spans="33:33" ht="15" x14ac:dyDescent="0.25">
      <c r="AG145"/>
    </row>
    <row r="146" spans="33:33" ht="15" x14ac:dyDescent="0.25">
      <c r="AG146"/>
    </row>
    <row r="147" spans="33:33" ht="15" x14ac:dyDescent="0.25">
      <c r="AG147"/>
    </row>
    <row r="148" spans="33:33" ht="15" x14ac:dyDescent="0.25">
      <c r="AG148"/>
    </row>
    <row r="149" spans="33:33" ht="15" x14ac:dyDescent="0.25">
      <c r="AG149"/>
    </row>
    <row r="150" spans="33:33" ht="15" x14ac:dyDescent="0.25">
      <c r="AG150"/>
    </row>
    <row r="151" spans="33:33" ht="15" x14ac:dyDescent="0.25">
      <c r="AG151"/>
    </row>
    <row r="152" spans="33:33" ht="15" x14ac:dyDescent="0.25">
      <c r="AG152"/>
    </row>
    <row r="153" spans="33:33" ht="15" x14ac:dyDescent="0.25">
      <c r="AG153"/>
    </row>
    <row r="154" spans="33:33" ht="15" x14ac:dyDescent="0.25">
      <c r="AG154"/>
    </row>
    <row r="155" spans="33:33" ht="15" x14ac:dyDescent="0.25">
      <c r="AG155"/>
    </row>
    <row r="156" spans="33:33" ht="15" x14ac:dyDescent="0.25">
      <c r="AG156"/>
    </row>
    <row r="157" spans="33:33" ht="15" x14ac:dyDescent="0.25">
      <c r="AG157"/>
    </row>
    <row r="158" spans="33:33" ht="15" x14ac:dyDescent="0.25">
      <c r="AG158"/>
    </row>
    <row r="159" spans="33:33" ht="15" x14ac:dyDescent="0.25">
      <c r="AG159"/>
    </row>
    <row r="160" spans="33:33" ht="15" x14ac:dyDescent="0.25">
      <c r="AG160"/>
    </row>
    <row r="161" spans="33:33" ht="15" x14ac:dyDescent="0.25">
      <c r="AG161"/>
    </row>
    <row r="162" spans="33:33" ht="15" x14ac:dyDescent="0.25">
      <c r="AG162"/>
    </row>
    <row r="163" spans="33:33" ht="15" x14ac:dyDescent="0.25">
      <c r="AG163"/>
    </row>
    <row r="164" spans="33:33" ht="15" x14ac:dyDescent="0.25">
      <c r="AG164"/>
    </row>
    <row r="165" spans="33:33" ht="15" x14ac:dyDescent="0.25">
      <c r="AG165"/>
    </row>
    <row r="166" spans="33:33" ht="15" x14ac:dyDescent="0.25">
      <c r="AG166"/>
    </row>
    <row r="167" spans="33:33" ht="15" x14ac:dyDescent="0.25">
      <c r="AG167"/>
    </row>
    <row r="168" spans="33:33" ht="15" x14ac:dyDescent="0.25">
      <c r="AG168"/>
    </row>
    <row r="169" spans="33:33" ht="15" x14ac:dyDescent="0.25">
      <c r="AG169"/>
    </row>
    <row r="170" spans="33:33" ht="15" x14ac:dyDescent="0.25">
      <c r="AG170"/>
    </row>
    <row r="171" spans="33:33" ht="15" x14ac:dyDescent="0.25">
      <c r="AG171"/>
    </row>
    <row r="172" spans="33:33" ht="15" x14ac:dyDescent="0.25">
      <c r="AG172"/>
    </row>
    <row r="173" spans="33:33" ht="15" x14ac:dyDescent="0.25">
      <c r="AG173"/>
    </row>
    <row r="174" spans="33:33" ht="15" x14ac:dyDescent="0.25">
      <c r="AG174"/>
    </row>
    <row r="175" spans="33:33" ht="15" x14ac:dyDescent="0.25">
      <c r="AG175"/>
    </row>
    <row r="176" spans="33:33" ht="15" x14ac:dyDescent="0.25">
      <c r="AG176"/>
    </row>
    <row r="177" spans="33:33" ht="15" x14ac:dyDescent="0.25">
      <c r="AG177"/>
    </row>
    <row r="178" spans="33:33" ht="15" x14ac:dyDescent="0.25">
      <c r="AG178"/>
    </row>
    <row r="179" spans="33:33" ht="15" x14ac:dyDescent="0.25">
      <c r="AG179"/>
    </row>
    <row r="180" spans="33:33" ht="15" x14ac:dyDescent="0.25">
      <c r="AG180"/>
    </row>
    <row r="181" spans="33:33" ht="15" x14ac:dyDescent="0.25">
      <c r="AG181"/>
    </row>
    <row r="182" spans="33:33" ht="15" x14ac:dyDescent="0.25">
      <c r="AG182"/>
    </row>
    <row r="183" spans="33:33" ht="15" x14ac:dyDescent="0.25">
      <c r="AG183"/>
    </row>
    <row r="184" spans="33:33" ht="15" x14ac:dyDescent="0.25">
      <c r="AG184"/>
    </row>
    <row r="185" spans="33:33" ht="15" x14ac:dyDescent="0.25">
      <c r="AG185"/>
    </row>
    <row r="186" spans="33:33" ht="15" x14ac:dyDescent="0.25">
      <c r="AG186"/>
    </row>
    <row r="187" spans="33:33" ht="15" x14ac:dyDescent="0.25">
      <c r="AG187"/>
    </row>
    <row r="188" spans="33:33" ht="15" x14ac:dyDescent="0.25">
      <c r="AG188"/>
    </row>
    <row r="189" spans="33:33" ht="15" x14ac:dyDescent="0.25">
      <c r="AG189"/>
    </row>
    <row r="190" spans="33:33" ht="15" x14ac:dyDescent="0.25">
      <c r="AG190"/>
    </row>
    <row r="191" spans="33:33" ht="15" x14ac:dyDescent="0.25">
      <c r="AG191"/>
    </row>
    <row r="192" spans="33:33" ht="15" x14ac:dyDescent="0.25">
      <c r="AG192"/>
    </row>
    <row r="193" spans="33:33" ht="15" x14ac:dyDescent="0.25">
      <c r="AG193"/>
    </row>
    <row r="194" spans="33:33" ht="15" x14ac:dyDescent="0.25">
      <c r="AG194"/>
    </row>
    <row r="195" spans="33:33" ht="15" x14ac:dyDescent="0.25">
      <c r="AG195"/>
    </row>
    <row r="196" spans="33:33" ht="15" x14ac:dyDescent="0.25">
      <c r="AG196"/>
    </row>
    <row r="197" spans="33:33" ht="15" x14ac:dyDescent="0.25">
      <c r="AG197"/>
    </row>
    <row r="198" spans="33:33" ht="15" x14ac:dyDescent="0.25">
      <c r="AG198"/>
    </row>
    <row r="199" spans="33:33" ht="15" x14ac:dyDescent="0.25">
      <c r="AG199"/>
    </row>
    <row r="200" spans="33:33" ht="15" x14ac:dyDescent="0.25">
      <c r="AG200"/>
    </row>
    <row r="201" spans="33:33" ht="15" x14ac:dyDescent="0.25">
      <c r="AG201"/>
    </row>
    <row r="202" spans="33:33" ht="15" x14ac:dyDescent="0.25">
      <c r="AG202"/>
    </row>
    <row r="203" spans="33:33" ht="15" x14ac:dyDescent="0.25">
      <c r="AG203"/>
    </row>
    <row r="204" spans="33:33" ht="15" x14ac:dyDescent="0.25">
      <c r="AG204"/>
    </row>
    <row r="205" spans="33:33" ht="15" x14ac:dyDescent="0.25">
      <c r="AG205"/>
    </row>
    <row r="206" spans="33:33" ht="15" x14ac:dyDescent="0.25">
      <c r="AG206"/>
    </row>
    <row r="207" spans="33:33" ht="15" x14ac:dyDescent="0.25">
      <c r="AG207"/>
    </row>
    <row r="208" spans="33:33" ht="15" x14ac:dyDescent="0.25">
      <c r="AG208"/>
    </row>
    <row r="209" spans="33:33" ht="15" x14ac:dyDescent="0.25">
      <c r="AG209"/>
    </row>
    <row r="210" spans="33:33" ht="15" x14ac:dyDescent="0.25">
      <c r="AG210"/>
    </row>
    <row r="211" spans="33:33" ht="15" x14ac:dyDescent="0.25">
      <c r="AG211"/>
    </row>
    <row r="212" spans="33:33" ht="15" x14ac:dyDescent="0.25">
      <c r="AG212"/>
    </row>
    <row r="213" spans="33:33" ht="15" x14ac:dyDescent="0.25">
      <c r="AG213"/>
    </row>
    <row r="214" spans="33:33" ht="15" x14ac:dyDescent="0.25">
      <c r="AG214"/>
    </row>
    <row r="215" spans="33:33" ht="15" x14ac:dyDescent="0.25">
      <c r="AG215"/>
    </row>
    <row r="216" spans="33:33" ht="15" x14ac:dyDescent="0.25">
      <c r="AG216"/>
    </row>
    <row r="217" spans="33:33" ht="15" x14ac:dyDescent="0.25">
      <c r="AG217"/>
    </row>
    <row r="218" spans="33:33" ht="15" x14ac:dyDescent="0.25">
      <c r="AG218"/>
    </row>
    <row r="219" spans="33:33" ht="15" x14ac:dyDescent="0.25">
      <c r="AG219"/>
    </row>
    <row r="220" spans="33:33" ht="15" x14ac:dyDescent="0.25">
      <c r="AG220"/>
    </row>
    <row r="221" spans="33:33" ht="15" x14ac:dyDescent="0.25">
      <c r="AG221"/>
    </row>
    <row r="222" spans="33:33" ht="15" x14ac:dyDescent="0.25">
      <c r="AG222"/>
    </row>
    <row r="223" spans="33:33" ht="15" x14ac:dyDescent="0.25">
      <c r="AG223"/>
    </row>
    <row r="224" spans="33:33" ht="15" x14ac:dyDescent="0.25">
      <c r="AG224"/>
    </row>
    <row r="225" spans="33:33" ht="15" x14ac:dyDescent="0.25">
      <c r="AG225"/>
    </row>
    <row r="226" spans="33:33" ht="15" x14ac:dyDescent="0.25">
      <c r="AG226"/>
    </row>
    <row r="227" spans="33:33" ht="15" x14ac:dyDescent="0.25">
      <c r="AG227"/>
    </row>
    <row r="228" spans="33:33" ht="15" x14ac:dyDescent="0.25">
      <c r="AG228"/>
    </row>
    <row r="229" spans="33:33" ht="15" x14ac:dyDescent="0.25">
      <c r="AG229"/>
    </row>
    <row r="230" spans="33:33" ht="15" x14ac:dyDescent="0.25">
      <c r="AG230"/>
    </row>
    <row r="231" spans="33:33" ht="15" x14ac:dyDescent="0.25">
      <c r="AG231"/>
    </row>
    <row r="232" spans="33:33" ht="15" x14ac:dyDescent="0.25">
      <c r="AG232"/>
    </row>
    <row r="233" spans="33:33" ht="15" x14ac:dyDescent="0.25">
      <c r="AG233"/>
    </row>
    <row r="234" spans="33:33" ht="15" x14ac:dyDescent="0.25">
      <c r="AG234"/>
    </row>
    <row r="235" spans="33:33" ht="15" x14ac:dyDescent="0.25">
      <c r="AG235"/>
    </row>
    <row r="236" spans="33:33" ht="15" x14ac:dyDescent="0.25">
      <c r="AG236"/>
    </row>
    <row r="237" spans="33:33" ht="15" x14ac:dyDescent="0.25">
      <c r="AG237"/>
    </row>
    <row r="238" spans="33:33" ht="15" x14ac:dyDescent="0.25">
      <c r="AG238"/>
    </row>
    <row r="239" spans="33:33" ht="15" x14ac:dyDescent="0.25">
      <c r="AG239"/>
    </row>
    <row r="240" spans="33:33" ht="15" x14ac:dyDescent="0.25">
      <c r="AG240"/>
    </row>
    <row r="241" spans="33:33" ht="15" x14ac:dyDescent="0.25">
      <c r="AG241"/>
    </row>
    <row r="242" spans="33:33" ht="15" x14ac:dyDescent="0.25">
      <c r="AG242"/>
    </row>
    <row r="243" spans="33:33" ht="15" x14ac:dyDescent="0.25">
      <c r="AG243"/>
    </row>
    <row r="244" spans="33:33" ht="15" x14ac:dyDescent="0.25">
      <c r="AG244"/>
    </row>
    <row r="245" spans="33:33" ht="15" x14ac:dyDescent="0.25">
      <c r="AG245"/>
    </row>
    <row r="246" spans="33:33" ht="15" x14ac:dyDescent="0.25">
      <c r="AG246"/>
    </row>
    <row r="247" spans="33:33" ht="15" x14ac:dyDescent="0.25">
      <c r="AG247"/>
    </row>
    <row r="248" spans="33:33" ht="15" x14ac:dyDescent="0.25">
      <c r="AG248"/>
    </row>
    <row r="249" spans="33:33" ht="15" x14ac:dyDescent="0.25">
      <c r="AG249"/>
    </row>
    <row r="250" spans="33:33" ht="15" x14ac:dyDescent="0.25">
      <c r="AG250"/>
    </row>
    <row r="251" spans="33:33" ht="15" x14ac:dyDescent="0.25">
      <c r="AG251"/>
    </row>
    <row r="252" spans="33:33" ht="15" x14ac:dyDescent="0.25">
      <c r="AG252"/>
    </row>
    <row r="253" spans="33:33" ht="15" x14ac:dyDescent="0.25">
      <c r="AG253"/>
    </row>
    <row r="254" spans="33:33" ht="15" x14ac:dyDescent="0.25">
      <c r="AG254"/>
    </row>
    <row r="255" spans="33:33" ht="15" x14ac:dyDescent="0.25">
      <c r="AG255"/>
    </row>
    <row r="256" spans="33:33" ht="15" x14ac:dyDescent="0.25">
      <c r="AG256"/>
    </row>
    <row r="257" spans="33:33" ht="15" x14ac:dyDescent="0.25">
      <c r="AG257"/>
    </row>
    <row r="258" spans="33:33" ht="15" x14ac:dyDescent="0.25">
      <c r="AG258"/>
    </row>
    <row r="259" spans="33:33" ht="15" x14ac:dyDescent="0.25">
      <c r="AG259"/>
    </row>
    <row r="260" spans="33:33" ht="15" x14ac:dyDescent="0.25">
      <c r="AG260"/>
    </row>
    <row r="261" spans="33:33" ht="15" x14ac:dyDescent="0.25">
      <c r="AG261"/>
    </row>
    <row r="262" spans="33:33" ht="15" x14ac:dyDescent="0.25">
      <c r="AG262"/>
    </row>
    <row r="263" spans="33:33" ht="15" x14ac:dyDescent="0.25">
      <c r="AG263"/>
    </row>
    <row r="264" spans="33:33" ht="15" x14ac:dyDescent="0.25">
      <c r="AG264"/>
    </row>
    <row r="265" spans="33:33" ht="15" x14ac:dyDescent="0.25">
      <c r="AG265"/>
    </row>
    <row r="266" spans="33:33" ht="15" x14ac:dyDescent="0.25">
      <c r="AG266"/>
    </row>
    <row r="267" spans="33:33" ht="15" x14ac:dyDescent="0.25">
      <c r="AG267"/>
    </row>
    <row r="268" spans="33:33" ht="15" x14ac:dyDescent="0.25">
      <c r="AG268"/>
    </row>
    <row r="269" spans="33:33" ht="15" x14ac:dyDescent="0.25">
      <c r="AG269"/>
    </row>
    <row r="270" spans="33:33" ht="15" x14ac:dyDescent="0.25">
      <c r="AG270"/>
    </row>
    <row r="271" spans="33:33" ht="15" x14ac:dyDescent="0.25">
      <c r="AG271"/>
    </row>
    <row r="272" spans="33:33" ht="15" x14ac:dyDescent="0.25">
      <c r="AG272"/>
    </row>
    <row r="273" spans="33:33" ht="15" x14ac:dyDescent="0.25">
      <c r="AG273"/>
    </row>
    <row r="274" spans="33:33" ht="15" x14ac:dyDescent="0.25">
      <c r="AG274"/>
    </row>
    <row r="275" spans="33:33" ht="15" x14ac:dyDescent="0.25">
      <c r="AG275"/>
    </row>
    <row r="276" spans="33:33" ht="15" x14ac:dyDescent="0.25">
      <c r="AG276"/>
    </row>
    <row r="277" spans="33:33" ht="15" x14ac:dyDescent="0.25">
      <c r="AG277"/>
    </row>
    <row r="278" spans="33:33" ht="15" x14ac:dyDescent="0.25">
      <c r="AG278"/>
    </row>
    <row r="279" spans="33:33" ht="15" x14ac:dyDescent="0.25">
      <c r="AG279"/>
    </row>
    <row r="280" spans="33:33" ht="15" x14ac:dyDescent="0.25">
      <c r="AG280"/>
    </row>
    <row r="281" spans="33:33" ht="15" x14ac:dyDescent="0.25">
      <c r="AG281"/>
    </row>
    <row r="282" spans="33:33" ht="15" x14ac:dyDescent="0.25">
      <c r="AG282"/>
    </row>
    <row r="283" spans="33:33" ht="15" x14ac:dyDescent="0.25">
      <c r="AG283"/>
    </row>
    <row r="284" spans="33:33" ht="15" x14ac:dyDescent="0.25">
      <c r="AG284"/>
    </row>
    <row r="285" spans="33:33" ht="15" x14ac:dyDescent="0.25">
      <c r="AG285"/>
    </row>
    <row r="286" spans="33:33" ht="15" x14ac:dyDescent="0.25">
      <c r="AG286"/>
    </row>
    <row r="287" spans="33:33" ht="15" x14ac:dyDescent="0.25">
      <c r="AG287"/>
    </row>
    <row r="288" spans="33:33" ht="15" x14ac:dyDescent="0.25">
      <c r="AG288"/>
    </row>
    <row r="289" spans="33:33" ht="15" x14ac:dyDescent="0.25">
      <c r="AG289"/>
    </row>
    <row r="290" spans="33:33" ht="15" x14ac:dyDescent="0.25">
      <c r="AG290"/>
    </row>
    <row r="291" spans="33:33" ht="15" x14ac:dyDescent="0.25">
      <c r="AG291"/>
    </row>
    <row r="292" spans="33:33" ht="15" x14ac:dyDescent="0.25">
      <c r="AG292"/>
    </row>
    <row r="293" spans="33:33" ht="15" x14ac:dyDescent="0.25">
      <c r="AG293"/>
    </row>
    <row r="294" spans="33:33" ht="15" x14ac:dyDescent="0.25">
      <c r="AG294"/>
    </row>
    <row r="295" spans="33:33" ht="15" x14ac:dyDescent="0.25">
      <c r="AG295"/>
    </row>
    <row r="296" spans="33:33" ht="15" x14ac:dyDescent="0.25">
      <c r="AG296"/>
    </row>
    <row r="297" spans="33:33" ht="15" x14ac:dyDescent="0.25">
      <c r="AG297"/>
    </row>
    <row r="298" spans="33:33" ht="15" x14ac:dyDescent="0.25">
      <c r="AG298"/>
    </row>
    <row r="299" spans="33:33" ht="15" x14ac:dyDescent="0.25">
      <c r="AG299"/>
    </row>
    <row r="300" spans="33:33" ht="15" x14ac:dyDescent="0.25">
      <c r="AG300"/>
    </row>
    <row r="301" spans="33:33" ht="15" x14ac:dyDescent="0.25">
      <c r="AG301"/>
    </row>
    <row r="302" spans="33:33" ht="15" x14ac:dyDescent="0.25">
      <c r="AG302"/>
    </row>
    <row r="303" spans="33:33" ht="15" x14ac:dyDescent="0.25">
      <c r="AG303"/>
    </row>
    <row r="304" spans="33:33" ht="15" x14ac:dyDescent="0.25">
      <c r="AG304"/>
    </row>
    <row r="305" spans="33:33" ht="15" x14ac:dyDescent="0.25">
      <c r="AG305"/>
    </row>
    <row r="306" spans="33:33" ht="15" x14ac:dyDescent="0.25">
      <c r="AG306"/>
    </row>
    <row r="307" spans="33:33" ht="15" x14ac:dyDescent="0.25">
      <c r="AG307"/>
    </row>
    <row r="308" spans="33:33" ht="15" x14ac:dyDescent="0.25">
      <c r="AG308"/>
    </row>
    <row r="309" spans="33:33" ht="15" x14ac:dyDescent="0.25">
      <c r="AG309"/>
    </row>
    <row r="310" spans="33:33" ht="15" x14ac:dyDescent="0.25">
      <c r="AG310"/>
    </row>
    <row r="311" spans="33:33" ht="15" x14ac:dyDescent="0.25">
      <c r="AG311"/>
    </row>
    <row r="312" spans="33:33" ht="15" x14ac:dyDescent="0.25">
      <c r="AG312"/>
    </row>
    <row r="313" spans="33:33" ht="15" x14ac:dyDescent="0.25">
      <c r="AG313"/>
    </row>
    <row r="314" spans="33:33" ht="15" x14ac:dyDescent="0.25">
      <c r="AG314"/>
    </row>
    <row r="315" spans="33:33" ht="15" x14ac:dyDescent="0.25">
      <c r="AG315"/>
    </row>
    <row r="316" spans="33:33" ht="15" x14ac:dyDescent="0.25">
      <c r="AG316"/>
    </row>
    <row r="317" spans="33:33" ht="15" x14ac:dyDescent="0.25">
      <c r="AG317"/>
    </row>
    <row r="318" spans="33:33" ht="15" x14ac:dyDescent="0.25">
      <c r="AG318"/>
    </row>
    <row r="319" spans="33:33" ht="15" x14ac:dyDescent="0.25">
      <c r="AG319"/>
    </row>
    <row r="320" spans="33:33" ht="15" x14ac:dyDescent="0.25">
      <c r="AG320"/>
    </row>
    <row r="321" spans="33:33" ht="15" x14ac:dyDescent="0.25">
      <c r="AG321"/>
    </row>
    <row r="322" spans="33:33" ht="15" x14ac:dyDescent="0.25">
      <c r="AG322"/>
    </row>
    <row r="323" spans="33:33" ht="15" x14ac:dyDescent="0.25">
      <c r="AG323"/>
    </row>
    <row r="324" spans="33:33" ht="15" x14ac:dyDescent="0.25">
      <c r="AG324"/>
    </row>
    <row r="325" spans="33:33" ht="15" x14ac:dyDescent="0.25">
      <c r="AG325"/>
    </row>
    <row r="326" spans="33:33" ht="15" x14ac:dyDescent="0.25">
      <c r="AG326"/>
    </row>
    <row r="327" spans="33:33" ht="15" x14ac:dyDescent="0.25">
      <c r="AG327"/>
    </row>
    <row r="328" spans="33:33" ht="15" x14ac:dyDescent="0.25">
      <c r="AG328"/>
    </row>
    <row r="329" spans="33:33" ht="15" x14ac:dyDescent="0.25">
      <c r="AG329"/>
    </row>
    <row r="330" spans="33:33" ht="15" x14ac:dyDescent="0.25">
      <c r="AG330"/>
    </row>
    <row r="331" spans="33:33" ht="15" x14ac:dyDescent="0.25">
      <c r="AG331"/>
    </row>
    <row r="332" spans="33:33" ht="15" x14ac:dyDescent="0.25">
      <c r="AG332"/>
    </row>
    <row r="333" spans="33:33" ht="15" x14ac:dyDescent="0.25">
      <c r="AG333"/>
    </row>
    <row r="334" spans="33:33" ht="15" x14ac:dyDescent="0.25">
      <c r="AG334"/>
    </row>
    <row r="335" spans="33:33" ht="15" x14ac:dyDescent="0.25">
      <c r="AG335"/>
    </row>
    <row r="336" spans="33:33" ht="15" x14ac:dyDescent="0.25">
      <c r="AG336"/>
    </row>
    <row r="337" spans="33:33" ht="15" x14ac:dyDescent="0.25">
      <c r="AG337"/>
    </row>
    <row r="338" spans="33:33" ht="15" x14ac:dyDescent="0.25">
      <c r="AG338"/>
    </row>
    <row r="339" spans="33:33" ht="15" x14ac:dyDescent="0.25">
      <c r="AG339"/>
    </row>
    <row r="340" spans="33:33" ht="15" x14ac:dyDescent="0.25">
      <c r="AG340"/>
    </row>
    <row r="341" spans="33:33" ht="15" x14ac:dyDescent="0.25">
      <c r="AG341"/>
    </row>
    <row r="342" spans="33:33" ht="15" x14ac:dyDescent="0.25">
      <c r="AG342"/>
    </row>
    <row r="343" spans="33:33" ht="15" x14ac:dyDescent="0.25">
      <c r="AG343"/>
    </row>
    <row r="344" spans="33:33" ht="15" x14ac:dyDescent="0.25">
      <c r="AG344"/>
    </row>
    <row r="345" spans="33:33" ht="15" x14ac:dyDescent="0.25">
      <c r="AG345"/>
    </row>
    <row r="346" spans="33:33" ht="15" x14ac:dyDescent="0.25">
      <c r="AG346"/>
    </row>
    <row r="347" spans="33:33" ht="15" x14ac:dyDescent="0.25">
      <c r="AG347"/>
    </row>
    <row r="348" spans="33:33" ht="15" x14ac:dyDescent="0.25">
      <c r="AG348"/>
    </row>
    <row r="349" spans="33:33" ht="15" x14ac:dyDescent="0.25">
      <c r="AG349"/>
    </row>
    <row r="350" spans="33:33" ht="15" x14ac:dyDescent="0.25">
      <c r="AG350"/>
    </row>
    <row r="351" spans="33:33" ht="15" x14ac:dyDescent="0.25">
      <c r="AG351"/>
    </row>
    <row r="352" spans="33:33" ht="15" x14ac:dyDescent="0.25">
      <c r="AG352"/>
    </row>
    <row r="353" spans="33:33" ht="15" x14ac:dyDescent="0.25">
      <c r="AG353"/>
    </row>
    <row r="354" spans="33:33" ht="15" x14ac:dyDescent="0.25">
      <c r="AG354"/>
    </row>
    <row r="355" spans="33:33" ht="15" x14ac:dyDescent="0.25">
      <c r="AG355"/>
    </row>
    <row r="356" spans="33:33" ht="15" x14ac:dyDescent="0.25">
      <c r="AG356"/>
    </row>
    <row r="357" spans="33:33" ht="15" x14ac:dyDescent="0.25">
      <c r="AG357"/>
    </row>
    <row r="358" spans="33:33" ht="15" x14ac:dyDescent="0.25">
      <c r="AG358"/>
    </row>
    <row r="359" spans="33:33" ht="15" x14ac:dyDescent="0.25">
      <c r="AG359"/>
    </row>
    <row r="360" spans="33:33" ht="15" x14ac:dyDescent="0.25">
      <c r="AG360"/>
    </row>
    <row r="361" spans="33:33" ht="15" x14ac:dyDescent="0.25">
      <c r="AG361"/>
    </row>
    <row r="362" spans="33:33" ht="15" x14ac:dyDescent="0.25">
      <c r="AG362"/>
    </row>
    <row r="363" spans="33:33" ht="15" x14ac:dyDescent="0.25">
      <c r="AG363"/>
    </row>
    <row r="364" spans="33:33" ht="15" x14ac:dyDescent="0.25">
      <c r="AG364"/>
    </row>
    <row r="365" spans="33:33" ht="15" x14ac:dyDescent="0.25">
      <c r="AG365"/>
    </row>
    <row r="366" spans="33:33" ht="15" x14ac:dyDescent="0.25">
      <c r="AG366"/>
    </row>
    <row r="367" spans="33:33" ht="15" x14ac:dyDescent="0.25">
      <c r="AG367"/>
    </row>
    <row r="368" spans="33:33" ht="15" x14ac:dyDescent="0.25">
      <c r="AG368"/>
    </row>
    <row r="369" spans="33:33" ht="15" x14ac:dyDescent="0.25">
      <c r="AG369"/>
    </row>
    <row r="370" spans="33:33" ht="15" x14ac:dyDescent="0.25">
      <c r="AG370"/>
    </row>
    <row r="371" spans="33:33" ht="15" x14ac:dyDescent="0.25">
      <c r="AG371"/>
    </row>
    <row r="372" spans="33:33" ht="15" x14ac:dyDescent="0.25">
      <c r="AG372"/>
    </row>
    <row r="373" spans="33:33" ht="15" x14ac:dyDescent="0.25">
      <c r="AG373"/>
    </row>
    <row r="374" spans="33:33" ht="15" x14ac:dyDescent="0.25">
      <c r="AG374"/>
    </row>
    <row r="375" spans="33:33" ht="15" x14ac:dyDescent="0.25">
      <c r="AG375"/>
    </row>
    <row r="376" spans="33:33" ht="15" x14ac:dyDescent="0.25">
      <c r="AG376"/>
    </row>
    <row r="377" spans="33:33" ht="15" x14ac:dyDescent="0.25">
      <c r="AG377"/>
    </row>
    <row r="378" spans="33:33" ht="15" x14ac:dyDescent="0.25">
      <c r="AG378"/>
    </row>
    <row r="379" spans="33:33" ht="15" x14ac:dyDescent="0.25">
      <c r="AG379"/>
    </row>
    <row r="380" spans="33:33" ht="15" x14ac:dyDescent="0.25">
      <c r="AG380"/>
    </row>
    <row r="381" spans="33:33" ht="15" x14ac:dyDescent="0.25">
      <c r="AG381"/>
    </row>
    <row r="382" spans="33:33" ht="15" x14ac:dyDescent="0.25">
      <c r="AG382"/>
    </row>
    <row r="383" spans="33:33" ht="15" x14ac:dyDescent="0.25">
      <c r="AG383"/>
    </row>
    <row r="384" spans="33:33" ht="15" x14ac:dyDescent="0.25">
      <c r="AG384"/>
    </row>
    <row r="385" spans="33:33" ht="15" x14ac:dyDescent="0.25">
      <c r="AG385"/>
    </row>
    <row r="386" spans="33:33" ht="15" x14ac:dyDescent="0.25">
      <c r="AG386"/>
    </row>
    <row r="387" spans="33:33" ht="15" x14ac:dyDescent="0.25">
      <c r="AG387"/>
    </row>
    <row r="388" spans="33:33" ht="15" x14ac:dyDescent="0.25">
      <c r="AG388"/>
    </row>
    <row r="389" spans="33:33" ht="15" x14ac:dyDescent="0.25">
      <c r="AG389"/>
    </row>
    <row r="390" spans="33:33" ht="15" x14ac:dyDescent="0.25">
      <c r="AG390"/>
    </row>
    <row r="391" spans="33:33" ht="15" x14ac:dyDescent="0.25">
      <c r="AG391"/>
    </row>
    <row r="392" spans="33:33" ht="15" x14ac:dyDescent="0.25">
      <c r="AG392"/>
    </row>
    <row r="393" spans="33:33" ht="15" x14ac:dyDescent="0.25">
      <c r="AG393"/>
    </row>
    <row r="394" spans="33:33" ht="15" x14ac:dyDescent="0.25">
      <c r="AG394"/>
    </row>
    <row r="395" spans="33:33" ht="15" x14ac:dyDescent="0.25">
      <c r="AG395"/>
    </row>
    <row r="396" spans="33:33" ht="15" x14ac:dyDescent="0.25">
      <c r="AG396"/>
    </row>
    <row r="397" spans="33:33" ht="15" x14ac:dyDescent="0.25">
      <c r="AG397"/>
    </row>
    <row r="398" spans="33:33" ht="15" x14ac:dyDescent="0.25">
      <c r="AG398"/>
    </row>
    <row r="399" spans="33:33" ht="15" x14ac:dyDescent="0.25">
      <c r="AG399"/>
    </row>
    <row r="400" spans="33:33" ht="15" x14ac:dyDescent="0.25">
      <c r="AG400"/>
    </row>
    <row r="401" spans="33:33" ht="15" x14ac:dyDescent="0.25">
      <c r="AG401"/>
    </row>
    <row r="402" spans="33:33" ht="15" x14ac:dyDescent="0.25">
      <c r="AG402"/>
    </row>
    <row r="403" spans="33:33" ht="15" x14ac:dyDescent="0.25">
      <c r="AG403"/>
    </row>
    <row r="404" spans="33:33" ht="15" x14ac:dyDescent="0.25">
      <c r="AG404"/>
    </row>
    <row r="405" spans="33:33" ht="15" x14ac:dyDescent="0.25">
      <c r="AG405"/>
    </row>
    <row r="406" spans="33:33" ht="15" x14ac:dyDescent="0.25">
      <c r="AG406"/>
    </row>
    <row r="407" spans="33:33" ht="15" x14ac:dyDescent="0.25">
      <c r="AG407"/>
    </row>
    <row r="408" spans="33:33" ht="15" x14ac:dyDescent="0.25">
      <c r="AG408"/>
    </row>
    <row r="409" spans="33:33" ht="15" x14ac:dyDescent="0.25">
      <c r="AG409"/>
    </row>
    <row r="410" spans="33:33" ht="15" x14ac:dyDescent="0.25">
      <c r="AG410"/>
    </row>
    <row r="411" spans="33:33" ht="15" x14ac:dyDescent="0.25">
      <c r="AG411"/>
    </row>
    <row r="412" spans="33:33" ht="15" x14ac:dyDescent="0.25">
      <c r="AG412"/>
    </row>
    <row r="413" spans="33:33" ht="15" x14ac:dyDescent="0.25">
      <c r="AG413"/>
    </row>
    <row r="414" spans="33:33" ht="15" x14ac:dyDescent="0.25">
      <c r="AG414"/>
    </row>
    <row r="415" spans="33:33" ht="15" x14ac:dyDescent="0.25">
      <c r="AG415"/>
    </row>
    <row r="416" spans="33:33" ht="15" x14ac:dyDescent="0.25">
      <c r="AG416"/>
    </row>
    <row r="417" spans="33:33" ht="15" x14ac:dyDescent="0.25">
      <c r="AG417"/>
    </row>
    <row r="418" spans="33:33" ht="15" x14ac:dyDescent="0.25">
      <c r="AG418"/>
    </row>
    <row r="419" spans="33:33" ht="15" x14ac:dyDescent="0.25">
      <c r="AG419"/>
    </row>
    <row r="420" spans="33:33" ht="15" x14ac:dyDescent="0.25">
      <c r="AG420"/>
    </row>
    <row r="421" spans="33:33" ht="15" x14ac:dyDescent="0.25">
      <c r="AG421"/>
    </row>
    <row r="422" spans="33:33" ht="15" x14ac:dyDescent="0.25">
      <c r="AG422"/>
    </row>
    <row r="423" spans="33:33" ht="15" x14ac:dyDescent="0.25">
      <c r="AG423"/>
    </row>
    <row r="424" spans="33:33" ht="15" x14ac:dyDescent="0.25">
      <c r="AG424"/>
    </row>
    <row r="425" spans="33:33" ht="15" x14ac:dyDescent="0.25">
      <c r="AG425"/>
    </row>
    <row r="426" spans="33:33" ht="15" x14ac:dyDescent="0.25">
      <c r="AG426"/>
    </row>
    <row r="427" spans="33:33" ht="15" x14ac:dyDescent="0.25">
      <c r="AG427"/>
    </row>
    <row r="428" spans="33:33" ht="15" x14ac:dyDescent="0.25">
      <c r="AG428"/>
    </row>
    <row r="429" spans="33:33" ht="15" x14ac:dyDescent="0.25">
      <c r="AG429"/>
    </row>
    <row r="430" spans="33:33" ht="15" x14ac:dyDescent="0.25">
      <c r="AG430"/>
    </row>
    <row r="431" spans="33:33" ht="15" x14ac:dyDescent="0.25">
      <c r="AG431"/>
    </row>
    <row r="432" spans="33:33" ht="15" x14ac:dyDescent="0.25">
      <c r="AG432"/>
    </row>
    <row r="433" spans="33:33" ht="15" x14ac:dyDescent="0.25">
      <c r="AG433"/>
    </row>
    <row r="434" spans="33:33" ht="15" x14ac:dyDescent="0.25">
      <c r="AG434"/>
    </row>
    <row r="435" spans="33:33" ht="15" x14ac:dyDescent="0.25">
      <c r="AG435"/>
    </row>
    <row r="436" spans="33:33" ht="15" x14ac:dyDescent="0.25">
      <c r="AG436"/>
    </row>
    <row r="437" spans="33:33" ht="15" x14ac:dyDescent="0.25">
      <c r="AG437"/>
    </row>
    <row r="438" spans="33:33" ht="15" x14ac:dyDescent="0.25">
      <c r="AG438"/>
    </row>
    <row r="439" spans="33:33" ht="15" x14ac:dyDescent="0.25">
      <c r="AG439"/>
    </row>
    <row r="440" spans="33:33" ht="15" x14ac:dyDescent="0.25">
      <c r="AG440"/>
    </row>
    <row r="441" spans="33:33" ht="15" x14ac:dyDescent="0.25">
      <c r="AG441"/>
    </row>
    <row r="442" spans="33:33" ht="15" x14ac:dyDescent="0.25">
      <c r="AG442"/>
    </row>
    <row r="443" spans="33:33" ht="15" x14ac:dyDescent="0.25">
      <c r="AG443"/>
    </row>
    <row r="444" spans="33:33" ht="15" x14ac:dyDescent="0.25">
      <c r="AG444"/>
    </row>
    <row r="445" spans="33:33" ht="15" x14ac:dyDescent="0.25">
      <c r="AG445"/>
    </row>
    <row r="446" spans="33:33" ht="15" x14ac:dyDescent="0.25">
      <c r="AG446"/>
    </row>
    <row r="447" spans="33:33" ht="15" x14ac:dyDescent="0.25">
      <c r="AG447"/>
    </row>
    <row r="448" spans="33:33" ht="15" x14ac:dyDescent="0.25">
      <c r="AG448"/>
    </row>
    <row r="449" spans="33:33" ht="15" x14ac:dyDescent="0.25">
      <c r="AG449"/>
    </row>
    <row r="450" spans="33:33" ht="15" x14ac:dyDescent="0.25">
      <c r="AG450"/>
    </row>
    <row r="451" spans="33:33" ht="15" x14ac:dyDescent="0.25">
      <c r="AG451"/>
    </row>
    <row r="452" spans="33:33" ht="15" x14ac:dyDescent="0.25">
      <c r="AG452"/>
    </row>
    <row r="453" spans="33:33" ht="15" x14ac:dyDescent="0.25">
      <c r="AG453"/>
    </row>
    <row r="454" spans="33:33" ht="15" x14ac:dyDescent="0.25">
      <c r="AG454"/>
    </row>
    <row r="455" spans="33:33" ht="15" x14ac:dyDescent="0.25">
      <c r="AG455"/>
    </row>
    <row r="456" spans="33:33" ht="15" x14ac:dyDescent="0.25">
      <c r="AG456"/>
    </row>
    <row r="457" spans="33:33" ht="15" x14ac:dyDescent="0.25">
      <c r="AG457"/>
    </row>
    <row r="458" spans="33:33" ht="15" x14ac:dyDescent="0.25">
      <c r="AG458"/>
    </row>
    <row r="459" spans="33:33" ht="15" x14ac:dyDescent="0.25">
      <c r="AG459"/>
    </row>
    <row r="460" spans="33:33" ht="15" x14ac:dyDescent="0.25">
      <c r="AG460"/>
    </row>
    <row r="461" spans="33:33" ht="15" x14ac:dyDescent="0.25">
      <c r="AG461"/>
    </row>
    <row r="462" spans="33:33" ht="15" x14ac:dyDescent="0.25">
      <c r="AG462"/>
    </row>
    <row r="463" spans="33:33" ht="15" x14ac:dyDescent="0.25">
      <c r="AG463"/>
    </row>
    <row r="464" spans="33:33" ht="15" x14ac:dyDescent="0.25">
      <c r="AG464"/>
    </row>
    <row r="465" spans="33:33" ht="15" x14ac:dyDescent="0.25">
      <c r="AG465"/>
    </row>
    <row r="466" spans="33:33" ht="15" x14ac:dyDescent="0.25">
      <c r="AG466"/>
    </row>
    <row r="467" spans="33:33" ht="15" x14ac:dyDescent="0.25">
      <c r="AG467"/>
    </row>
    <row r="468" spans="33:33" ht="15" x14ac:dyDescent="0.25">
      <c r="AG468"/>
    </row>
    <row r="469" spans="33:33" ht="15" x14ac:dyDescent="0.25">
      <c r="AG469"/>
    </row>
    <row r="470" spans="33:33" ht="15" x14ac:dyDescent="0.25">
      <c r="AG470"/>
    </row>
    <row r="471" spans="33:33" ht="15" x14ac:dyDescent="0.25">
      <c r="AG471"/>
    </row>
    <row r="472" spans="33:33" ht="15" x14ac:dyDescent="0.25">
      <c r="AG472"/>
    </row>
    <row r="473" spans="33:33" ht="15" x14ac:dyDescent="0.25">
      <c r="AG473"/>
    </row>
    <row r="474" spans="33:33" ht="15" x14ac:dyDescent="0.25">
      <c r="AG474"/>
    </row>
    <row r="475" spans="33:33" ht="15" x14ac:dyDescent="0.25">
      <c r="AG475"/>
    </row>
    <row r="476" spans="33:33" ht="15" x14ac:dyDescent="0.25">
      <c r="AG476"/>
    </row>
    <row r="477" spans="33:33" ht="15" x14ac:dyDescent="0.25">
      <c r="AG477"/>
    </row>
    <row r="478" spans="33:33" ht="15" x14ac:dyDescent="0.25">
      <c r="AG478"/>
    </row>
    <row r="479" spans="33:33" ht="15" x14ac:dyDescent="0.25">
      <c r="AG479"/>
    </row>
    <row r="480" spans="33:33" ht="15" x14ac:dyDescent="0.25">
      <c r="AG480"/>
    </row>
    <row r="481" spans="33:33" ht="15" x14ac:dyDescent="0.25">
      <c r="AG481"/>
    </row>
    <row r="482" spans="33:33" ht="15" x14ac:dyDescent="0.25">
      <c r="AG482"/>
    </row>
    <row r="483" spans="33:33" ht="15" x14ac:dyDescent="0.25">
      <c r="AG483"/>
    </row>
    <row r="484" spans="33:33" ht="15" x14ac:dyDescent="0.25">
      <c r="AG484"/>
    </row>
    <row r="485" spans="33:33" ht="15" x14ac:dyDescent="0.25">
      <c r="AG485"/>
    </row>
    <row r="486" spans="33:33" ht="15" x14ac:dyDescent="0.25">
      <c r="AG486"/>
    </row>
    <row r="487" spans="33:33" ht="15" x14ac:dyDescent="0.25">
      <c r="AG487"/>
    </row>
    <row r="488" spans="33:33" ht="15" x14ac:dyDescent="0.25">
      <c r="AG488"/>
    </row>
    <row r="489" spans="33:33" ht="15" x14ac:dyDescent="0.25">
      <c r="AG489"/>
    </row>
    <row r="490" spans="33:33" ht="15" x14ac:dyDescent="0.25">
      <c r="AG490"/>
    </row>
    <row r="491" spans="33:33" ht="15" x14ac:dyDescent="0.25">
      <c r="AG491"/>
    </row>
    <row r="492" spans="33:33" ht="15" x14ac:dyDescent="0.25">
      <c r="AG492"/>
    </row>
    <row r="493" spans="33:33" ht="15" x14ac:dyDescent="0.25">
      <c r="AG493"/>
    </row>
    <row r="494" spans="33:33" ht="15" x14ac:dyDescent="0.25">
      <c r="AG494"/>
    </row>
    <row r="495" spans="33:33" ht="15" x14ac:dyDescent="0.25">
      <c r="AG495"/>
    </row>
    <row r="496" spans="33:33" ht="15" x14ac:dyDescent="0.25">
      <c r="AG496"/>
    </row>
    <row r="497" spans="33:33" ht="15" x14ac:dyDescent="0.25">
      <c r="AG497"/>
    </row>
    <row r="498" spans="33:33" ht="15" x14ac:dyDescent="0.25">
      <c r="AG498"/>
    </row>
    <row r="499" spans="33:33" ht="15" x14ac:dyDescent="0.25">
      <c r="AG499"/>
    </row>
    <row r="500" spans="33:33" ht="15" x14ac:dyDescent="0.25">
      <c r="AG500"/>
    </row>
    <row r="501" spans="33:33" ht="15" x14ac:dyDescent="0.25">
      <c r="AG501"/>
    </row>
    <row r="502" spans="33:33" ht="15" x14ac:dyDescent="0.25">
      <c r="AG502"/>
    </row>
    <row r="503" spans="33:33" ht="15" x14ac:dyDescent="0.25">
      <c r="AG503"/>
    </row>
    <row r="504" spans="33:33" ht="15" x14ac:dyDescent="0.25">
      <c r="AG504"/>
    </row>
    <row r="505" spans="33:33" ht="15" x14ac:dyDescent="0.25">
      <c r="AG505"/>
    </row>
    <row r="506" spans="33:33" ht="15" x14ac:dyDescent="0.25">
      <c r="AG506"/>
    </row>
    <row r="507" spans="33:33" ht="15" x14ac:dyDescent="0.25">
      <c r="AG507"/>
    </row>
    <row r="508" spans="33:33" ht="15" x14ac:dyDescent="0.25">
      <c r="AG508"/>
    </row>
    <row r="509" spans="33:33" ht="15" x14ac:dyDescent="0.25">
      <c r="AG509"/>
    </row>
    <row r="510" spans="33:33" ht="15" x14ac:dyDescent="0.25">
      <c r="AG510"/>
    </row>
    <row r="511" spans="33:33" ht="15" x14ac:dyDescent="0.25">
      <c r="AG511"/>
    </row>
    <row r="512" spans="33:33" ht="15" x14ac:dyDescent="0.25">
      <c r="AG512"/>
    </row>
    <row r="513" spans="33:33" ht="15" x14ac:dyDescent="0.25">
      <c r="AG513"/>
    </row>
    <row r="514" spans="33:33" ht="15" x14ac:dyDescent="0.25">
      <c r="AG514"/>
    </row>
    <row r="515" spans="33:33" ht="15" x14ac:dyDescent="0.25">
      <c r="AG515"/>
    </row>
    <row r="516" spans="33:33" ht="15" x14ac:dyDescent="0.25">
      <c r="AG516"/>
    </row>
    <row r="517" spans="33:33" ht="15" x14ac:dyDescent="0.25">
      <c r="AG517"/>
    </row>
    <row r="518" spans="33:33" ht="15" x14ac:dyDescent="0.25">
      <c r="AG518"/>
    </row>
    <row r="519" spans="33:33" ht="15" x14ac:dyDescent="0.25">
      <c r="AG519"/>
    </row>
    <row r="520" spans="33:33" ht="15" x14ac:dyDescent="0.25">
      <c r="AG520"/>
    </row>
    <row r="521" spans="33:33" ht="15" x14ac:dyDescent="0.25">
      <c r="AG521"/>
    </row>
    <row r="522" spans="33:33" ht="15" x14ac:dyDescent="0.25">
      <c r="AG522"/>
    </row>
    <row r="523" spans="33:33" ht="15" x14ac:dyDescent="0.25">
      <c r="AG523"/>
    </row>
    <row r="524" spans="33:33" ht="15" x14ac:dyDescent="0.25">
      <c r="AG524"/>
    </row>
    <row r="525" spans="33:33" ht="15" x14ac:dyDescent="0.25">
      <c r="AG525"/>
    </row>
    <row r="526" spans="33:33" ht="15" x14ac:dyDescent="0.25">
      <c r="AG526"/>
    </row>
    <row r="527" spans="33:33" ht="15" x14ac:dyDescent="0.25">
      <c r="AG527"/>
    </row>
    <row r="528" spans="33:33" ht="15" x14ac:dyDescent="0.25">
      <c r="AG528"/>
    </row>
    <row r="529" spans="33:33" ht="15" x14ac:dyDescent="0.25">
      <c r="AG529"/>
    </row>
    <row r="530" spans="33:33" ht="15" x14ac:dyDescent="0.25">
      <c r="AG530"/>
    </row>
    <row r="531" spans="33:33" ht="15" x14ac:dyDescent="0.25">
      <c r="AG531"/>
    </row>
    <row r="532" spans="33:33" ht="15" x14ac:dyDescent="0.25">
      <c r="AG532"/>
    </row>
    <row r="533" spans="33:33" ht="15" x14ac:dyDescent="0.25">
      <c r="AG533"/>
    </row>
    <row r="534" spans="33:33" ht="15" x14ac:dyDescent="0.25">
      <c r="AG534"/>
    </row>
    <row r="535" spans="33:33" ht="15" x14ac:dyDescent="0.25">
      <c r="AG535"/>
    </row>
    <row r="536" spans="33:33" ht="15" x14ac:dyDescent="0.25">
      <c r="AG536"/>
    </row>
    <row r="537" spans="33:33" ht="15" x14ac:dyDescent="0.25">
      <c r="AG537"/>
    </row>
    <row r="538" spans="33:33" ht="15" x14ac:dyDescent="0.25">
      <c r="AG538"/>
    </row>
    <row r="539" spans="33:33" ht="15" x14ac:dyDescent="0.25">
      <c r="AG539"/>
    </row>
    <row r="540" spans="33:33" ht="15" x14ac:dyDescent="0.25">
      <c r="AG540"/>
    </row>
    <row r="541" spans="33:33" ht="15" x14ac:dyDescent="0.25">
      <c r="AG541"/>
    </row>
    <row r="542" spans="33:33" ht="15" x14ac:dyDescent="0.25">
      <c r="AG542"/>
    </row>
    <row r="543" spans="33:33" ht="15" x14ac:dyDescent="0.25">
      <c r="AG543"/>
    </row>
    <row r="544" spans="33:33" ht="15" x14ac:dyDescent="0.25">
      <c r="AG544"/>
    </row>
    <row r="545" spans="33:33" ht="15" x14ac:dyDescent="0.25">
      <c r="AG545"/>
    </row>
    <row r="546" spans="33:33" ht="15" x14ac:dyDescent="0.25">
      <c r="AG546"/>
    </row>
    <row r="547" spans="33:33" ht="15" x14ac:dyDescent="0.25">
      <c r="AG547"/>
    </row>
    <row r="548" spans="33:33" ht="15" x14ac:dyDescent="0.25">
      <c r="AG548"/>
    </row>
    <row r="549" spans="33:33" ht="15" x14ac:dyDescent="0.25">
      <c r="AG549"/>
    </row>
    <row r="550" spans="33:33" ht="15" x14ac:dyDescent="0.25">
      <c r="AG550"/>
    </row>
    <row r="551" spans="33:33" ht="15" x14ac:dyDescent="0.25">
      <c r="AG551"/>
    </row>
    <row r="552" spans="33:33" ht="15" x14ac:dyDescent="0.25">
      <c r="AG552"/>
    </row>
    <row r="553" spans="33:33" ht="15" x14ac:dyDescent="0.25">
      <c r="AG553"/>
    </row>
    <row r="554" spans="33:33" ht="15" x14ac:dyDescent="0.25">
      <c r="AG554"/>
    </row>
    <row r="555" spans="33:33" ht="15" x14ac:dyDescent="0.25">
      <c r="AG555"/>
    </row>
    <row r="556" spans="33:33" ht="15" x14ac:dyDescent="0.25">
      <c r="AG556"/>
    </row>
    <row r="557" spans="33:33" ht="15" x14ac:dyDescent="0.25">
      <c r="AG557"/>
    </row>
    <row r="558" spans="33:33" ht="15" x14ac:dyDescent="0.25">
      <c r="AG558"/>
    </row>
    <row r="559" spans="33:33" ht="15" x14ac:dyDescent="0.25">
      <c r="AG559"/>
    </row>
    <row r="560" spans="33:33" ht="15" x14ac:dyDescent="0.25">
      <c r="AG560"/>
    </row>
    <row r="561" spans="33:33" ht="15" x14ac:dyDescent="0.25">
      <c r="AG561"/>
    </row>
    <row r="562" spans="33:33" ht="15" x14ac:dyDescent="0.25">
      <c r="AG562"/>
    </row>
    <row r="563" spans="33:33" ht="15" x14ac:dyDescent="0.25">
      <c r="AG563"/>
    </row>
    <row r="564" spans="33:33" ht="15" x14ac:dyDescent="0.25">
      <c r="AG564"/>
    </row>
    <row r="565" spans="33:33" ht="15" x14ac:dyDescent="0.25">
      <c r="AG565"/>
    </row>
    <row r="566" spans="33:33" ht="15" x14ac:dyDescent="0.25">
      <c r="AG566"/>
    </row>
    <row r="567" spans="33:33" ht="15" x14ac:dyDescent="0.25">
      <c r="AG567"/>
    </row>
    <row r="568" spans="33:33" ht="15" x14ac:dyDescent="0.25">
      <c r="AG568"/>
    </row>
    <row r="569" spans="33:33" ht="15" x14ac:dyDescent="0.25">
      <c r="AG569"/>
    </row>
    <row r="570" spans="33:33" ht="15" x14ac:dyDescent="0.25">
      <c r="AG570"/>
    </row>
    <row r="571" spans="33:33" ht="15" x14ac:dyDescent="0.25">
      <c r="AG571"/>
    </row>
    <row r="572" spans="33:33" ht="15" x14ac:dyDescent="0.25">
      <c r="AG572"/>
    </row>
    <row r="573" spans="33:33" ht="15" x14ac:dyDescent="0.25">
      <c r="AG573"/>
    </row>
    <row r="574" spans="33:33" ht="15" x14ac:dyDescent="0.25">
      <c r="AG574"/>
    </row>
    <row r="575" spans="33:33" ht="15" x14ac:dyDescent="0.25">
      <c r="AG575"/>
    </row>
    <row r="576" spans="33:33" ht="15" x14ac:dyDescent="0.25">
      <c r="AG576"/>
    </row>
    <row r="577" spans="33:33" ht="15" x14ac:dyDescent="0.25">
      <c r="AG577"/>
    </row>
    <row r="578" spans="33:33" ht="15" x14ac:dyDescent="0.25">
      <c r="AG578"/>
    </row>
    <row r="579" spans="33:33" ht="15" x14ac:dyDescent="0.25">
      <c r="AG579"/>
    </row>
    <row r="580" spans="33:33" ht="15" x14ac:dyDescent="0.25">
      <c r="AG580"/>
    </row>
    <row r="581" spans="33:33" ht="15" x14ac:dyDescent="0.25">
      <c r="AG581"/>
    </row>
    <row r="582" spans="33:33" ht="15" x14ac:dyDescent="0.25">
      <c r="AG582"/>
    </row>
    <row r="583" spans="33:33" ht="15" x14ac:dyDescent="0.25">
      <c r="AG583"/>
    </row>
    <row r="584" spans="33:33" ht="15" x14ac:dyDescent="0.25">
      <c r="AG584"/>
    </row>
    <row r="585" spans="33:33" ht="15" x14ac:dyDescent="0.25">
      <c r="AG585"/>
    </row>
    <row r="586" spans="33:33" ht="15" x14ac:dyDescent="0.25">
      <c r="AG586"/>
    </row>
    <row r="587" spans="33:33" ht="15" x14ac:dyDescent="0.25">
      <c r="AG587"/>
    </row>
    <row r="588" spans="33:33" ht="15" x14ac:dyDescent="0.25">
      <c r="AG588"/>
    </row>
    <row r="589" spans="33:33" ht="15" x14ac:dyDescent="0.25">
      <c r="AG589"/>
    </row>
    <row r="590" spans="33:33" ht="15" x14ac:dyDescent="0.25">
      <c r="AG590"/>
    </row>
    <row r="591" spans="33:33" ht="15" x14ac:dyDescent="0.25">
      <c r="AG591"/>
    </row>
    <row r="592" spans="33:33" ht="15" x14ac:dyDescent="0.25">
      <c r="AG592"/>
    </row>
    <row r="593" spans="33:33" ht="15" x14ac:dyDescent="0.25">
      <c r="AG593"/>
    </row>
    <row r="594" spans="33:33" ht="15" x14ac:dyDescent="0.25">
      <c r="AG594"/>
    </row>
    <row r="595" spans="33:33" ht="15" x14ac:dyDescent="0.25">
      <c r="AG595"/>
    </row>
    <row r="596" spans="33:33" ht="15" x14ac:dyDescent="0.25">
      <c r="AG596"/>
    </row>
    <row r="597" spans="33:33" ht="15" x14ac:dyDescent="0.25">
      <c r="AG597"/>
    </row>
    <row r="598" spans="33:33" ht="15" x14ac:dyDescent="0.25">
      <c r="AG598"/>
    </row>
    <row r="599" spans="33:33" ht="15" x14ac:dyDescent="0.25">
      <c r="AG599"/>
    </row>
    <row r="600" spans="33:33" ht="15" x14ac:dyDescent="0.25">
      <c r="AG600"/>
    </row>
    <row r="601" spans="33:33" ht="15" x14ac:dyDescent="0.25">
      <c r="AG601"/>
    </row>
    <row r="602" spans="33:33" ht="15" x14ac:dyDescent="0.25">
      <c r="AG602"/>
    </row>
    <row r="603" spans="33:33" ht="15" x14ac:dyDescent="0.25">
      <c r="AG603"/>
    </row>
    <row r="604" spans="33:33" ht="15" x14ac:dyDescent="0.25">
      <c r="AG604"/>
    </row>
    <row r="605" spans="33:33" ht="15" x14ac:dyDescent="0.25">
      <c r="AG605"/>
    </row>
    <row r="606" spans="33:33" ht="15" x14ac:dyDescent="0.25">
      <c r="AG606"/>
    </row>
    <row r="607" spans="33:33" ht="15" x14ac:dyDescent="0.25">
      <c r="AG607"/>
    </row>
    <row r="608" spans="33:33" ht="15" x14ac:dyDescent="0.25">
      <c r="AG608"/>
    </row>
    <row r="609" spans="33:33" ht="15" x14ac:dyDescent="0.25">
      <c r="AG609"/>
    </row>
    <row r="610" spans="33:33" ht="15" x14ac:dyDescent="0.25">
      <c r="AG610"/>
    </row>
    <row r="611" spans="33:33" ht="15" x14ac:dyDescent="0.25">
      <c r="AG611"/>
    </row>
    <row r="612" spans="33:33" ht="15" x14ac:dyDescent="0.25">
      <c r="AG612"/>
    </row>
    <row r="613" spans="33:33" ht="15" x14ac:dyDescent="0.25">
      <c r="AG613"/>
    </row>
    <row r="614" spans="33:33" ht="15" x14ac:dyDescent="0.25">
      <c r="AG614"/>
    </row>
    <row r="615" spans="33:33" ht="15" x14ac:dyDescent="0.25">
      <c r="AG615"/>
    </row>
    <row r="616" spans="33:33" ht="15" x14ac:dyDescent="0.25">
      <c r="AG616"/>
    </row>
    <row r="617" spans="33:33" ht="15" x14ac:dyDescent="0.25">
      <c r="AG617"/>
    </row>
    <row r="618" spans="33:33" ht="15" x14ac:dyDescent="0.25">
      <c r="AG618"/>
    </row>
    <row r="619" spans="33:33" ht="15" x14ac:dyDescent="0.25">
      <c r="AG619"/>
    </row>
    <row r="620" spans="33:33" ht="15" x14ac:dyDescent="0.25">
      <c r="AG620"/>
    </row>
    <row r="621" spans="33:33" ht="15" x14ac:dyDescent="0.25">
      <c r="AG621"/>
    </row>
    <row r="622" spans="33:33" ht="15" x14ac:dyDescent="0.25">
      <c r="AG622"/>
    </row>
    <row r="623" spans="33:33" ht="15" x14ac:dyDescent="0.25">
      <c r="AG623"/>
    </row>
    <row r="624" spans="33:33" ht="15" x14ac:dyDescent="0.25">
      <c r="AG624"/>
    </row>
    <row r="625" spans="33:33" ht="15" x14ac:dyDescent="0.25">
      <c r="AG625"/>
    </row>
    <row r="626" spans="33:33" ht="15" x14ac:dyDescent="0.25">
      <c r="AG626"/>
    </row>
    <row r="627" spans="33:33" ht="15" x14ac:dyDescent="0.25">
      <c r="AG627"/>
    </row>
    <row r="628" spans="33:33" ht="15" x14ac:dyDescent="0.25">
      <c r="AG628"/>
    </row>
    <row r="629" spans="33:33" ht="15" x14ac:dyDescent="0.25">
      <c r="AG629"/>
    </row>
    <row r="630" spans="33:33" ht="15" x14ac:dyDescent="0.25">
      <c r="AG630"/>
    </row>
    <row r="631" spans="33:33" ht="15" x14ac:dyDescent="0.25">
      <c r="AG631"/>
    </row>
    <row r="632" spans="33:33" ht="15" x14ac:dyDescent="0.25">
      <c r="AG632"/>
    </row>
    <row r="633" spans="33:33" ht="15" x14ac:dyDescent="0.25">
      <c r="AG633"/>
    </row>
    <row r="634" spans="33:33" ht="15" x14ac:dyDescent="0.25">
      <c r="AG634"/>
    </row>
    <row r="635" spans="33:33" ht="15" x14ac:dyDescent="0.25">
      <c r="AG635"/>
    </row>
    <row r="636" spans="33:33" ht="15" x14ac:dyDescent="0.25">
      <c r="AG636"/>
    </row>
    <row r="637" spans="33:33" ht="15" x14ac:dyDescent="0.25">
      <c r="AG637"/>
    </row>
    <row r="638" spans="33:33" ht="15" x14ac:dyDescent="0.25">
      <c r="AG638"/>
    </row>
    <row r="639" spans="33:33" ht="15" x14ac:dyDescent="0.25">
      <c r="AG639"/>
    </row>
    <row r="640" spans="33:33" ht="15" x14ac:dyDescent="0.25">
      <c r="AG640"/>
    </row>
    <row r="641" spans="33:33" ht="15" x14ac:dyDescent="0.25">
      <c r="AG641"/>
    </row>
    <row r="642" spans="33:33" ht="15" x14ac:dyDescent="0.25">
      <c r="AG642"/>
    </row>
    <row r="643" spans="33:33" ht="15" x14ac:dyDescent="0.25">
      <c r="AG643"/>
    </row>
    <row r="644" spans="33:33" ht="15" x14ac:dyDescent="0.25">
      <c r="AG644"/>
    </row>
    <row r="645" spans="33:33" ht="15" x14ac:dyDescent="0.25">
      <c r="AG645"/>
    </row>
    <row r="646" spans="33:33" ht="15" x14ac:dyDescent="0.25">
      <c r="AG646"/>
    </row>
    <row r="647" spans="33:33" ht="15" x14ac:dyDescent="0.25">
      <c r="AG647"/>
    </row>
    <row r="648" spans="33:33" ht="15" x14ac:dyDescent="0.25">
      <c r="AG648"/>
    </row>
    <row r="649" spans="33:33" ht="15" x14ac:dyDescent="0.25">
      <c r="AG649"/>
    </row>
    <row r="650" spans="33:33" ht="15" x14ac:dyDescent="0.25">
      <c r="AG650"/>
    </row>
    <row r="651" spans="33:33" ht="15" x14ac:dyDescent="0.25">
      <c r="AG651"/>
    </row>
    <row r="652" spans="33:33" ht="15" x14ac:dyDescent="0.25">
      <c r="AG652"/>
    </row>
    <row r="653" spans="33:33" ht="15" x14ac:dyDescent="0.25">
      <c r="AG653"/>
    </row>
    <row r="654" spans="33:33" ht="15" x14ac:dyDescent="0.25">
      <c r="AG654"/>
    </row>
    <row r="655" spans="33:33" ht="15" x14ac:dyDescent="0.25">
      <c r="AG655"/>
    </row>
    <row r="656" spans="33:33" ht="15" x14ac:dyDescent="0.25">
      <c r="AG656"/>
    </row>
    <row r="657" spans="33:33" ht="15" x14ac:dyDescent="0.25">
      <c r="AG657"/>
    </row>
    <row r="658" spans="33:33" ht="15" x14ac:dyDescent="0.25">
      <c r="AG658"/>
    </row>
    <row r="659" spans="33:33" ht="15" x14ac:dyDescent="0.25">
      <c r="AG659"/>
    </row>
    <row r="660" spans="33:33" ht="15" x14ac:dyDescent="0.25">
      <c r="AG660"/>
    </row>
    <row r="661" spans="33:33" ht="15" x14ac:dyDescent="0.25">
      <c r="AG661"/>
    </row>
    <row r="662" spans="33:33" ht="15" x14ac:dyDescent="0.25">
      <c r="AG662"/>
    </row>
    <row r="663" spans="33:33" ht="15" x14ac:dyDescent="0.25">
      <c r="AG663"/>
    </row>
    <row r="664" spans="33:33" ht="15" x14ac:dyDescent="0.25">
      <c r="AG664"/>
    </row>
    <row r="665" spans="33:33" ht="15" x14ac:dyDescent="0.25">
      <c r="AG665"/>
    </row>
    <row r="666" spans="33:33" ht="15" x14ac:dyDescent="0.25">
      <c r="AG666"/>
    </row>
    <row r="667" spans="33:33" ht="15" x14ac:dyDescent="0.25">
      <c r="AG667"/>
    </row>
    <row r="668" spans="33:33" ht="15" x14ac:dyDescent="0.25">
      <c r="AG668"/>
    </row>
    <row r="669" spans="33:33" ht="15" x14ac:dyDescent="0.25">
      <c r="AG669"/>
    </row>
    <row r="670" spans="33:33" ht="15" x14ac:dyDescent="0.25">
      <c r="AG670"/>
    </row>
    <row r="671" spans="33:33" ht="15" x14ac:dyDescent="0.25">
      <c r="AG671"/>
    </row>
    <row r="672" spans="33:33" ht="15" x14ac:dyDescent="0.25">
      <c r="AG672"/>
    </row>
    <row r="673" spans="33:33" ht="15" x14ac:dyDescent="0.25">
      <c r="AG673"/>
    </row>
    <row r="674" spans="33:33" ht="15" x14ac:dyDescent="0.25">
      <c r="AG674"/>
    </row>
    <row r="675" spans="33:33" ht="15" x14ac:dyDescent="0.25">
      <c r="AG675"/>
    </row>
    <row r="676" spans="33:33" ht="15" x14ac:dyDescent="0.25">
      <c r="AG676"/>
    </row>
    <row r="677" spans="33:33" ht="15" x14ac:dyDescent="0.25">
      <c r="AG677"/>
    </row>
    <row r="678" spans="33:33" ht="15" x14ac:dyDescent="0.25">
      <c r="AG678"/>
    </row>
    <row r="679" spans="33:33" ht="15" x14ac:dyDescent="0.25">
      <c r="AG679"/>
    </row>
    <row r="680" spans="33:33" ht="15" x14ac:dyDescent="0.25">
      <c r="AG680"/>
    </row>
    <row r="681" spans="33:33" ht="15" x14ac:dyDescent="0.25">
      <c r="AG681"/>
    </row>
    <row r="682" spans="33:33" ht="15" x14ac:dyDescent="0.25">
      <c r="AG682"/>
    </row>
    <row r="683" spans="33:33" ht="15" x14ac:dyDescent="0.25">
      <c r="AG683"/>
    </row>
    <row r="684" spans="33:33" ht="15" x14ac:dyDescent="0.25">
      <c r="AG684"/>
    </row>
    <row r="685" spans="33:33" ht="15" x14ac:dyDescent="0.25">
      <c r="AG685"/>
    </row>
    <row r="686" spans="33:33" ht="15" x14ac:dyDescent="0.25">
      <c r="AG686"/>
    </row>
    <row r="687" spans="33:33" ht="15" x14ac:dyDescent="0.25">
      <c r="AG687"/>
    </row>
    <row r="688" spans="33:33" ht="15" x14ac:dyDescent="0.25">
      <c r="AG688"/>
    </row>
    <row r="689" spans="33:33" ht="15" x14ac:dyDescent="0.25">
      <c r="AG689"/>
    </row>
    <row r="690" spans="33:33" ht="15" x14ac:dyDescent="0.25">
      <c r="AG690"/>
    </row>
    <row r="691" spans="33:33" ht="15" x14ac:dyDescent="0.25">
      <c r="AG691"/>
    </row>
    <row r="692" spans="33:33" ht="15" x14ac:dyDescent="0.25">
      <c r="AG692"/>
    </row>
    <row r="693" spans="33:33" ht="15" x14ac:dyDescent="0.25">
      <c r="AG693"/>
    </row>
    <row r="694" spans="33:33" ht="15" x14ac:dyDescent="0.25">
      <c r="AG694"/>
    </row>
    <row r="695" spans="33:33" ht="15" x14ac:dyDescent="0.25">
      <c r="AG695"/>
    </row>
    <row r="696" spans="33:33" ht="15" x14ac:dyDescent="0.25">
      <c r="AG696"/>
    </row>
    <row r="697" spans="33:33" ht="15" x14ac:dyDescent="0.25">
      <c r="AG697"/>
    </row>
    <row r="698" spans="33:33" ht="15" x14ac:dyDescent="0.25">
      <c r="AG698"/>
    </row>
    <row r="699" spans="33:33" ht="15" x14ac:dyDescent="0.25">
      <c r="AG699"/>
    </row>
    <row r="700" spans="33:33" ht="15" x14ac:dyDescent="0.25">
      <c r="AG700"/>
    </row>
    <row r="701" spans="33:33" ht="15" x14ac:dyDescent="0.25">
      <c r="AG701"/>
    </row>
    <row r="702" spans="33:33" ht="15" x14ac:dyDescent="0.25">
      <c r="AG702"/>
    </row>
    <row r="703" spans="33:33" ht="15" x14ac:dyDescent="0.25">
      <c r="AG703"/>
    </row>
    <row r="704" spans="33:33" ht="15" x14ac:dyDescent="0.25">
      <c r="AG704"/>
    </row>
    <row r="705" spans="33:33" ht="15" x14ac:dyDescent="0.25">
      <c r="AG705"/>
    </row>
    <row r="706" spans="33:33" ht="15" x14ac:dyDescent="0.25">
      <c r="AG706"/>
    </row>
    <row r="707" spans="33:33" ht="15" x14ac:dyDescent="0.25">
      <c r="AG707"/>
    </row>
    <row r="708" spans="33:33" ht="15" x14ac:dyDescent="0.25">
      <c r="AG708"/>
    </row>
    <row r="709" spans="33:33" ht="15" x14ac:dyDescent="0.25">
      <c r="AG709"/>
    </row>
    <row r="710" spans="33:33" ht="15" x14ac:dyDescent="0.25">
      <c r="AG710"/>
    </row>
    <row r="711" spans="33:33" ht="15" x14ac:dyDescent="0.25">
      <c r="AG711"/>
    </row>
    <row r="712" spans="33:33" ht="15" x14ac:dyDescent="0.25">
      <c r="AG712"/>
    </row>
    <row r="713" spans="33:33" ht="15" x14ac:dyDescent="0.25">
      <c r="AG713"/>
    </row>
    <row r="714" spans="33:33" ht="15" x14ac:dyDescent="0.25">
      <c r="AG714"/>
    </row>
    <row r="715" spans="33:33" ht="15" x14ac:dyDescent="0.25">
      <c r="AG715"/>
    </row>
    <row r="716" spans="33:33" ht="15" x14ac:dyDescent="0.25">
      <c r="AG716"/>
    </row>
    <row r="717" spans="33:33" ht="15" x14ac:dyDescent="0.25">
      <c r="AG717"/>
    </row>
    <row r="718" spans="33:33" ht="15" x14ac:dyDescent="0.25">
      <c r="AG718"/>
    </row>
    <row r="719" spans="33:33" ht="15" x14ac:dyDescent="0.25">
      <c r="AG719"/>
    </row>
    <row r="720" spans="33:33" ht="15" x14ac:dyDescent="0.25">
      <c r="AG720"/>
    </row>
    <row r="721" spans="33:33" ht="15" x14ac:dyDescent="0.25">
      <c r="AG721"/>
    </row>
    <row r="722" spans="33:33" ht="15" x14ac:dyDescent="0.25">
      <c r="AG722"/>
    </row>
    <row r="723" spans="33:33" ht="15" x14ac:dyDescent="0.25">
      <c r="AG723"/>
    </row>
    <row r="724" spans="33:33" ht="15" x14ac:dyDescent="0.25">
      <c r="AG724"/>
    </row>
    <row r="725" spans="33:33" ht="15" x14ac:dyDescent="0.25">
      <c r="AG725"/>
    </row>
    <row r="726" spans="33:33" ht="15" x14ac:dyDescent="0.25">
      <c r="AG726"/>
    </row>
    <row r="727" spans="33:33" ht="15" x14ac:dyDescent="0.25">
      <c r="AG727"/>
    </row>
    <row r="728" spans="33:33" ht="15" x14ac:dyDescent="0.25">
      <c r="AG728"/>
    </row>
    <row r="729" spans="33:33" ht="15" x14ac:dyDescent="0.25">
      <c r="AG729"/>
    </row>
    <row r="730" spans="33:33" ht="15" x14ac:dyDescent="0.25">
      <c r="AG730"/>
    </row>
    <row r="731" spans="33:33" ht="15" x14ac:dyDescent="0.25">
      <c r="AG731"/>
    </row>
    <row r="732" spans="33:33" ht="15" x14ac:dyDescent="0.25">
      <c r="AG732"/>
    </row>
    <row r="733" spans="33:33" ht="15" x14ac:dyDescent="0.25">
      <c r="AG733"/>
    </row>
    <row r="734" spans="33:33" ht="15" x14ac:dyDescent="0.25">
      <c r="AG734"/>
    </row>
    <row r="735" spans="33:33" ht="15" x14ac:dyDescent="0.25">
      <c r="AG735"/>
    </row>
    <row r="736" spans="33:33" ht="15" x14ac:dyDescent="0.25">
      <c r="AG736"/>
    </row>
    <row r="737" spans="33:33" ht="15" x14ac:dyDescent="0.25">
      <c r="AG737"/>
    </row>
    <row r="738" spans="33:33" ht="15" x14ac:dyDescent="0.25">
      <c r="AG738"/>
    </row>
    <row r="739" spans="33:33" ht="15" x14ac:dyDescent="0.25">
      <c r="AG739"/>
    </row>
    <row r="740" spans="33:33" ht="15" x14ac:dyDescent="0.25">
      <c r="AG740"/>
    </row>
    <row r="741" spans="33:33" ht="15" x14ac:dyDescent="0.25">
      <c r="AG741"/>
    </row>
    <row r="742" spans="33:33" ht="15" x14ac:dyDescent="0.25">
      <c r="AG742"/>
    </row>
    <row r="743" spans="33:33" ht="15" x14ac:dyDescent="0.25">
      <c r="AG743"/>
    </row>
    <row r="744" spans="33:33" ht="15" x14ac:dyDescent="0.25">
      <c r="AG744"/>
    </row>
    <row r="745" spans="33:33" ht="15" x14ac:dyDescent="0.25">
      <c r="AG745"/>
    </row>
    <row r="746" spans="33:33" ht="15" x14ac:dyDescent="0.25">
      <c r="AG746"/>
    </row>
    <row r="747" spans="33:33" ht="15" x14ac:dyDescent="0.25">
      <c r="AG747"/>
    </row>
    <row r="748" spans="33:33" ht="15" x14ac:dyDescent="0.25">
      <c r="AG748"/>
    </row>
    <row r="749" spans="33:33" ht="15" x14ac:dyDescent="0.25">
      <c r="AG749"/>
    </row>
    <row r="750" spans="33:33" ht="15" x14ac:dyDescent="0.25">
      <c r="AG750"/>
    </row>
    <row r="751" spans="33:33" ht="15" x14ac:dyDescent="0.25">
      <c r="AG751"/>
    </row>
    <row r="752" spans="33:33" ht="15" x14ac:dyDescent="0.25">
      <c r="AG752"/>
    </row>
    <row r="753" spans="33:33" ht="15" x14ac:dyDescent="0.25">
      <c r="AG753"/>
    </row>
    <row r="754" spans="33:33" ht="15" x14ac:dyDescent="0.25">
      <c r="AG754"/>
    </row>
    <row r="755" spans="33:33" ht="15" x14ac:dyDescent="0.25">
      <c r="AG755"/>
    </row>
    <row r="756" spans="33:33" ht="15" x14ac:dyDescent="0.25">
      <c r="AG756"/>
    </row>
    <row r="757" spans="33:33" ht="15" x14ac:dyDescent="0.25">
      <c r="AG757"/>
    </row>
    <row r="758" spans="33:33" ht="15" x14ac:dyDescent="0.25">
      <c r="AG758"/>
    </row>
    <row r="759" spans="33:33" ht="15" x14ac:dyDescent="0.25">
      <c r="AG759"/>
    </row>
    <row r="760" spans="33:33" ht="15" x14ac:dyDescent="0.25">
      <c r="AG760"/>
    </row>
    <row r="761" spans="33:33" ht="15" x14ac:dyDescent="0.25">
      <c r="AG761"/>
    </row>
    <row r="762" spans="33:33" ht="15" x14ac:dyDescent="0.25">
      <c r="AG762"/>
    </row>
    <row r="763" spans="33:33" ht="15" x14ac:dyDescent="0.25">
      <c r="AG763"/>
    </row>
    <row r="764" spans="33:33" ht="15" x14ac:dyDescent="0.25">
      <c r="AG764"/>
    </row>
    <row r="765" spans="33:33" ht="15" x14ac:dyDescent="0.25">
      <c r="AG765"/>
    </row>
    <row r="766" spans="33:33" ht="15" x14ac:dyDescent="0.25">
      <c r="AG766"/>
    </row>
    <row r="767" spans="33:33" ht="15" x14ac:dyDescent="0.25">
      <c r="AG767"/>
    </row>
    <row r="768" spans="33:33" ht="15" x14ac:dyDescent="0.25">
      <c r="AG768"/>
    </row>
    <row r="769" spans="33:33" ht="15" x14ac:dyDescent="0.25">
      <c r="AG769"/>
    </row>
    <row r="770" spans="33:33" ht="15" x14ac:dyDescent="0.25">
      <c r="AG770"/>
    </row>
    <row r="771" spans="33:33" ht="15" x14ac:dyDescent="0.25">
      <c r="AG771"/>
    </row>
    <row r="772" spans="33:33" ht="15" x14ac:dyDescent="0.25">
      <c r="AG772"/>
    </row>
    <row r="773" spans="33:33" ht="15" x14ac:dyDescent="0.25">
      <c r="AG773"/>
    </row>
    <row r="774" spans="33:33" ht="15" x14ac:dyDescent="0.25">
      <c r="AG774"/>
    </row>
    <row r="775" spans="33:33" ht="15" x14ac:dyDescent="0.25">
      <c r="AG775"/>
    </row>
    <row r="776" spans="33:33" ht="15" x14ac:dyDescent="0.25">
      <c r="AG776"/>
    </row>
    <row r="777" spans="33:33" ht="15" x14ac:dyDescent="0.25">
      <c r="AG777"/>
    </row>
    <row r="778" spans="33:33" ht="15" x14ac:dyDescent="0.25">
      <c r="AG778"/>
    </row>
    <row r="779" spans="33:33" ht="15" x14ac:dyDescent="0.25">
      <c r="AG779"/>
    </row>
    <row r="780" spans="33:33" ht="15" x14ac:dyDescent="0.25">
      <c r="AG780"/>
    </row>
    <row r="781" spans="33:33" ht="15" x14ac:dyDescent="0.25">
      <c r="AG781"/>
    </row>
    <row r="782" spans="33:33" ht="15" x14ac:dyDescent="0.25">
      <c r="AG782"/>
    </row>
    <row r="783" spans="33:33" ht="15" x14ac:dyDescent="0.25">
      <c r="AG783"/>
    </row>
    <row r="784" spans="33:33" ht="15" x14ac:dyDescent="0.25">
      <c r="AG784"/>
    </row>
    <row r="785" spans="33:33" ht="15" x14ac:dyDescent="0.25">
      <c r="AG785"/>
    </row>
    <row r="786" spans="33:33" ht="15" x14ac:dyDescent="0.25">
      <c r="AG786"/>
    </row>
    <row r="787" spans="33:33" ht="15" x14ac:dyDescent="0.25">
      <c r="AG787"/>
    </row>
    <row r="788" spans="33:33" ht="15" x14ac:dyDescent="0.25">
      <c r="AG788"/>
    </row>
    <row r="789" spans="33:33" ht="15" x14ac:dyDescent="0.25">
      <c r="AG789"/>
    </row>
    <row r="790" spans="33:33" ht="15" x14ac:dyDescent="0.25">
      <c r="AG790"/>
    </row>
    <row r="791" spans="33:33" ht="15" x14ac:dyDescent="0.25">
      <c r="AG791"/>
    </row>
    <row r="792" spans="33:33" ht="15" x14ac:dyDescent="0.25">
      <c r="AG792"/>
    </row>
    <row r="793" spans="33:33" ht="15" x14ac:dyDescent="0.25">
      <c r="AG793"/>
    </row>
    <row r="794" spans="33:33" ht="15" x14ac:dyDescent="0.25">
      <c r="AG794"/>
    </row>
    <row r="795" spans="33:33" ht="15" x14ac:dyDescent="0.25">
      <c r="AG795"/>
    </row>
    <row r="796" spans="33:33" ht="15" x14ac:dyDescent="0.25">
      <c r="AG796"/>
    </row>
    <row r="797" spans="33:33" ht="15" x14ac:dyDescent="0.25">
      <c r="AG797"/>
    </row>
    <row r="798" spans="33:33" ht="15" x14ac:dyDescent="0.25">
      <c r="AG798"/>
    </row>
    <row r="799" spans="33:33" ht="15" x14ac:dyDescent="0.25">
      <c r="AG799"/>
    </row>
    <row r="800" spans="33:33" ht="15" x14ac:dyDescent="0.25">
      <c r="AG800"/>
    </row>
    <row r="801" spans="33:33" ht="15" x14ac:dyDescent="0.25">
      <c r="AG801"/>
    </row>
    <row r="802" spans="33:33" ht="15" x14ac:dyDescent="0.25">
      <c r="AG802"/>
    </row>
    <row r="803" spans="33:33" ht="15" x14ac:dyDescent="0.25">
      <c r="AG803"/>
    </row>
    <row r="804" spans="33:33" ht="15" x14ac:dyDescent="0.25">
      <c r="AG804"/>
    </row>
    <row r="805" spans="33:33" ht="15" x14ac:dyDescent="0.25">
      <c r="AG805"/>
    </row>
    <row r="806" spans="33:33" ht="15" x14ac:dyDescent="0.25">
      <c r="AG806"/>
    </row>
    <row r="807" spans="33:33" ht="15" x14ac:dyDescent="0.25">
      <c r="AG807"/>
    </row>
    <row r="808" spans="33:33" ht="15" x14ac:dyDescent="0.25">
      <c r="AG808"/>
    </row>
    <row r="809" spans="33:33" ht="15" x14ac:dyDescent="0.25">
      <c r="AG809"/>
    </row>
    <row r="810" spans="33:33" ht="15" x14ac:dyDescent="0.25">
      <c r="AG810"/>
    </row>
    <row r="811" spans="33:33" ht="15" x14ac:dyDescent="0.25">
      <c r="AG811"/>
    </row>
    <row r="812" spans="33:33" ht="15" x14ac:dyDescent="0.25">
      <c r="AG812"/>
    </row>
    <row r="813" spans="33:33" ht="15" x14ac:dyDescent="0.25">
      <c r="AG813"/>
    </row>
    <row r="814" spans="33:33" ht="15" x14ac:dyDescent="0.25">
      <c r="AG814"/>
    </row>
    <row r="815" spans="33:33" ht="15" x14ac:dyDescent="0.25">
      <c r="AG815"/>
    </row>
    <row r="816" spans="33:33" ht="15" x14ac:dyDescent="0.25">
      <c r="AG816"/>
    </row>
    <row r="817" spans="33:33" ht="15" x14ac:dyDescent="0.25">
      <c r="AG817"/>
    </row>
    <row r="818" spans="33:33" ht="15" x14ac:dyDescent="0.25">
      <c r="AG818"/>
    </row>
    <row r="819" spans="33:33" ht="15" x14ac:dyDescent="0.25">
      <c r="AG819"/>
    </row>
    <row r="820" spans="33:33" ht="15" x14ac:dyDescent="0.25">
      <c r="AG820"/>
    </row>
    <row r="821" spans="33:33" ht="15" x14ac:dyDescent="0.25">
      <c r="AG821"/>
    </row>
    <row r="822" spans="33:33" ht="15" x14ac:dyDescent="0.25">
      <c r="AG822"/>
    </row>
    <row r="823" spans="33:33" ht="15" x14ac:dyDescent="0.25">
      <c r="AG823"/>
    </row>
    <row r="824" spans="33:33" ht="15" x14ac:dyDescent="0.25">
      <c r="AG824"/>
    </row>
    <row r="825" spans="33:33" ht="15" x14ac:dyDescent="0.25">
      <c r="AG825"/>
    </row>
    <row r="826" spans="33:33" ht="15" x14ac:dyDescent="0.25">
      <c r="AG826"/>
    </row>
    <row r="827" spans="33:33" ht="15" x14ac:dyDescent="0.25">
      <c r="AG827"/>
    </row>
    <row r="828" spans="33:33" ht="15" x14ac:dyDescent="0.25">
      <c r="AG828"/>
    </row>
    <row r="829" spans="33:33" ht="15" x14ac:dyDescent="0.25">
      <c r="AG829"/>
    </row>
    <row r="830" spans="33:33" ht="15" x14ac:dyDescent="0.25">
      <c r="AG830"/>
    </row>
    <row r="831" spans="33:33" ht="15" x14ac:dyDescent="0.25">
      <c r="AG831"/>
    </row>
    <row r="832" spans="33:33" ht="15" x14ac:dyDescent="0.25">
      <c r="AG832"/>
    </row>
    <row r="833" spans="33:33" ht="15" x14ac:dyDescent="0.25">
      <c r="AG833"/>
    </row>
    <row r="834" spans="33:33" ht="15" x14ac:dyDescent="0.25">
      <c r="AG834"/>
    </row>
    <row r="835" spans="33:33" ht="15" x14ac:dyDescent="0.25">
      <c r="AG835"/>
    </row>
    <row r="836" spans="33:33" ht="15" x14ac:dyDescent="0.25">
      <c r="AG836"/>
    </row>
    <row r="837" spans="33:33" ht="15" x14ac:dyDescent="0.25">
      <c r="AG837"/>
    </row>
    <row r="838" spans="33:33" ht="15" x14ac:dyDescent="0.25">
      <c r="AG838"/>
    </row>
    <row r="839" spans="33:33" ht="15" x14ac:dyDescent="0.25">
      <c r="AG839"/>
    </row>
    <row r="840" spans="33:33" ht="15" x14ac:dyDescent="0.25">
      <c r="AG840"/>
    </row>
    <row r="841" spans="33:33" ht="15" x14ac:dyDescent="0.25">
      <c r="AG841"/>
    </row>
    <row r="842" spans="33:33" ht="15" x14ac:dyDescent="0.25">
      <c r="AG842"/>
    </row>
    <row r="843" spans="33:33" ht="15" x14ac:dyDescent="0.25">
      <c r="AG843"/>
    </row>
    <row r="844" spans="33:33" ht="15" x14ac:dyDescent="0.25">
      <c r="AG844"/>
    </row>
    <row r="845" spans="33:33" ht="15" x14ac:dyDescent="0.25">
      <c r="AG845"/>
    </row>
    <row r="846" spans="33:33" ht="15" x14ac:dyDescent="0.25">
      <c r="AG846"/>
    </row>
    <row r="847" spans="33:33" ht="15" x14ac:dyDescent="0.25">
      <c r="AG847"/>
    </row>
    <row r="848" spans="33:33" ht="15" x14ac:dyDescent="0.25">
      <c r="AG848"/>
    </row>
    <row r="849" spans="33:33" ht="15" x14ac:dyDescent="0.25">
      <c r="AG849"/>
    </row>
    <row r="850" spans="33:33" ht="15" x14ac:dyDescent="0.25">
      <c r="AG850"/>
    </row>
    <row r="851" spans="33:33" ht="15" x14ac:dyDescent="0.25">
      <c r="AG851"/>
    </row>
    <row r="852" spans="33:33" ht="15" x14ac:dyDescent="0.25">
      <c r="AG852"/>
    </row>
    <row r="853" spans="33:33" ht="15" x14ac:dyDescent="0.25">
      <c r="AG853"/>
    </row>
    <row r="854" spans="33:33" ht="15" x14ac:dyDescent="0.25">
      <c r="AG854"/>
    </row>
    <row r="855" spans="33:33" ht="15" x14ac:dyDescent="0.25">
      <c r="AG855"/>
    </row>
    <row r="856" spans="33:33" ht="15" x14ac:dyDescent="0.25">
      <c r="AG856"/>
    </row>
    <row r="857" spans="33:33" ht="15" x14ac:dyDescent="0.25">
      <c r="AG857"/>
    </row>
    <row r="858" spans="33:33" ht="15" x14ac:dyDescent="0.25">
      <c r="AG858"/>
    </row>
    <row r="859" spans="33:33" ht="15" x14ac:dyDescent="0.25">
      <c r="AG859"/>
    </row>
    <row r="860" spans="33:33" ht="15" x14ac:dyDescent="0.25">
      <c r="AG860"/>
    </row>
    <row r="861" spans="33:33" ht="15" x14ac:dyDescent="0.25">
      <c r="AG861"/>
    </row>
    <row r="862" spans="33:33" ht="15" x14ac:dyDescent="0.25">
      <c r="AG862"/>
    </row>
    <row r="863" spans="33:33" ht="15" x14ac:dyDescent="0.25">
      <c r="AG863"/>
    </row>
    <row r="864" spans="33:33" ht="15" x14ac:dyDescent="0.25">
      <c r="AG864"/>
    </row>
    <row r="865" spans="33:33" ht="15" x14ac:dyDescent="0.25">
      <c r="AG865"/>
    </row>
    <row r="866" spans="33:33" ht="15" x14ac:dyDescent="0.25">
      <c r="AG866"/>
    </row>
    <row r="867" spans="33:33" ht="15" x14ac:dyDescent="0.25">
      <c r="AG867"/>
    </row>
    <row r="868" spans="33:33" ht="15" x14ac:dyDescent="0.25">
      <c r="AG868"/>
    </row>
    <row r="869" spans="33:33" ht="15" x14ac:dyDescent="0.25">
      <c r="AG869"/>
    </row>
    <row r="870" spans="33:33" ht="15" x14ac:dyDescent="0.25">
      <c r="AG870"/>
    </row>
    <row r="871" spans="33:33" ht="15" x14ac:dyDescent="0.25">
      <c r="AG871"/>
    </row>
    <row r="872" spans="33:33" ht="15" x14ac:dyDescent="0.25">
      <c r="AG872"/>
    </row>
    <row r="873" spans="33:33" ht="15" x14ac:dyDescent="0.25">
      <c r="AG873"/>
    </row>
    <row r="874" spans="33:33" ht="15" x14ac:dyDescent="0.25">
      <c r="AG874"/>
    </row>
    <row r="875" spans="33:33" ht="15" x14ac:dyDescent="0.25">
      <c r="AG875"/>
    </row>
    <row r="876" spans="33:33" ht="15" x14ac:dyDescent="0.25">
      <c r="AG876"/>
    </row>
    <row r="877" spans="33:33" ht="15" x14ac:dyDescent="0.25">
      <c r="AG877"/>
    </row>
    <row r="878" spans="33:33" ht="15" x14ac:dyDescent="0.25">
      <c r="AG878"/>
    </row>
    <row r="879" spans="33:33" ht="15" x14ac:dyDescent="0.25">
      <c r="AG879"/>
    </row>
    <row r="880" spans="33:33" ht="15" x14ac:dyDescent="0.25">
      <c r="AG880"/>
    </row>
    <row r="881" spans="33:33" ht="15" x14ac:dyDescent="0.25">
      <c r="AG881"/>
    </row>
    <row r="882" spans="33:33" ht="15" x14ac:dyDescent="0.25">
      <c r="AG882"/>
    </row>
    <row r="883" spans="33:33" ht="15" x14ac:dyDescent="0.25">
      <c r="AG883"/>
    </row>
    <row r="884" spans="33:33" ht="15" x14ac:dyDescent="0.25">
      <c r="AG884"/>
    </row>
    <row r="885" spans="33:33" ht="15" x14ac:dyDescent="0.25">
      <c r="AG885"/>
    </row>
    <row r="886" spans="33:33" ht="15" x14ac:dyDescent="0.25">
      <c r="AG886"/>
    </row>
    <row r="887" spans="33:33" ht="15" x14ac:dyDescent="0.25">
      <c r="AG887"/>
    </row>
    <row r="888" spans="33:33" ht="15" x14ac:dyDescent="0.25">
      <c r="AG888"/>
    </row>
    <row r="889" spans="33:33" ht="15" x14ac:dyDescent="0.25">
      <c r="AG889"/>
    </row>
    <row r="890" spans="33:33" ht="15" x14ac:dyDescent="0.25">
      <c r="AG890"/>
    </row>
    <row r="891" spans="33:33" ht="15" x14ac:dyDescent="0.25">
      <c r="AG891"/>
    </row>
    <row r="892" spans="33:33" ht="15" x14ac:dyDescent="0.25">
      <c r="AG892"/>
    </row>
    <row r="893" spans="33:33" ht="15" x14ac:dyDescent="0.25">
      <c r="AG893"/>
    </row>
    <row r="894" spans="33:33" ht="15" x14ac:dyDescent="0.25">
      <c r="AG894"/>
    </row>
    <row r="895" spans="33:33" ht="15" x14ac:dyDescent="0.25">
      <c r="AG895"/>
    </row>
    <row r="896" spans="33:33" ht="15" x14ac:dyDescent="0.25">
      <c r="AG896"/>
    </row>
    <row r="897" spans="33:33" ht="15" x14ac:dyDescent="0.25">
      <c r="AG897"/>
    </row>
    <row r="898" spans="33:33" ht="15" x14ac:dyDescent="0.25">
      <c r="AG898"/>
    </row>
    <row r="899" spans="33:33" ht="15" x14ac:dyDescent="0.25">
      <c r="AG899"/>
    </row>
    <row r="900" spans="33:33" ht="15" x14ac:dyDescent="0.25">
      <c r="AG900"/>
    </row>
    <row r="901" spans="33:33" ht="15" x14ac:dyDescent="0.25">
      <c r="AG901"/>
    </row>
    <row r="902" spans="33:33" ht="15" x14ac:dyDescent="0.25">
      <c r="AG902"/>
    </row>
    <row r="903" spans="33:33" ht="15" x14ac:dyDescent="0.25">
      <c r="AG903"/>
    </row>
    <row r="904" spans="33:33" ht="15" x14ac:dyDescent="0.25">
      <c r="AG904"/>
    </row>
    <row r="905" spans="33:33" ht="15" x14ac:dyDescent="0.25">
      <c r="AG905"/>
    </row>
    <row r="906" spans="33:33" ht="15" x14ac:dyDescent="0.25">
      <c r="AG906"/>
    </row>
    <row r="907" spans="33:33" ht="15" x14ac:dyDescent="0.25">
      <c r="AG907"/>
    </row>
    <row r="908" spans="33:33" ht="15" x14ac:dyDescent="0.25">
      <c r="AG908"/>
    </row>
    <row r="909" spans="33:33" ht="15" x14ac:dyDescent="0.25">
      <c r="AG909"/>
    </row>
    <row r="910" spans="33:33" ht="15" x14ac:dyDescent="0.25">
      <c r="AG910"/>
    </row>
    <row r="911" spans="33:33" ht="15" x14ac:dyDescent="0.25">
      <c r="AG911"/>
    </row>
    <row r="912" spans="33:33" ht="15" x14ac:dyDescent="0.25">
      <c r="AG912"/>
    </row>
    <row r="913" spans="33:33" ht="15" x14ac:dyDescent="0.25">
      <c r="AG913"/>
    </row>
    <row r="914" spans="33:33" ht="15" x14ac:dyDescent="0.25">
      <c r="AG914"/>
    </row>
    <row r="915" spans="33:33" ht="15" x14ac:dyDescent="0.25">
      <c r="AG915"/>
    </row>
    <row r="916" spans="33:33" ht="15" x14ac:dyDescent="0.25">
      <c r="AG916"/>
    </row>
    <row r="917" spans="33:33" ht="15" x14ac:dyDescent="0.25">
      <c r="AG917"/>
    </row>
    <row r="918" spans="33:33" ht="15" x14ac:dyDescent="0.25">
      <c r="AG918"/>
    </row>
    <row r="919" spans="33:33" ht="15" x14ac:dyDescent="0.25">
      <c r="AG919"/>
    </row>
    <row r="920" spans="33:33" ht="15" x14ac:dyDescent="0.25">
      <c r="AG920"/>
    </row>
    <row r="921" spans="33:33" ht="15" x14ac:dyDescent="0.25">
      <c r="AG921"/>
    </row>
    <row r="922" spans="33:33" ht="15" x14ac:dyDescent="0.25">
      <c r="AG922"/>
    </row>
    <row r="923" spans="33:33" ht="15" x14ac:dyDescent="0.25">
      <c r="AG923"/>
    </row>
    <row r="924" spans="33:33" ht="15" x14ac:dyDescent="0.25">
      <c r="AG924"/>
    </row>
    <row r="925" spans="33:33" ht="15" x14ac:dyDescent="0.25">
      <c r="AG925"/>
    </row>
    <row r="926" spans="33:33" ht="15" x14ac:dyDescent="0.25">
      <c r="AG926"/>
    </row>
    <row r="927" spans="33:33" ht="15" x14ac:dyDescent="0.25">
      <c r="AG927"/>
    </row>
    <row r="928" spans="33:33" ht="15" x14ac:dyDescent="0.25">
      <c r="AG928"/>
    </row>
    <row r="929" spans="33:33" ht="15" x14ac:dyDescent="0.25">
      <c r="AG929"/>
    </row>
    <row r="930" spans="33:33" ht="15" x14ac:dyDescent="0.25">
      <c r="AG930"/>
    </row>
    <row r="931" spans="33:33" ht="15" x14ac:dyDescent="0.25">
      <c r="AG931"/>
    </row>
    <row r="932" spans="33:33" ht="15" x14ac:dyDescent="0.25">
      <c r="AG932"/>
    </row>
    <row r="933" spans="33:33" ht="15" x14ac:dyDescent="0.25">
      <c r="AG933"/>
    </row>
    <row r="934" spans="33:33" ht="15" x14ac:dyDescent="0.25">
      <c r="AG934"/>
    </row>
    <row r="935" spans="33:33" ht="15" x14ac:dyDescent="0.25">
      <c r="AG935"/>
    </row>
    <row r="936" spans="33:33" ht="15" x14ac:dyDescent="0.25">
      <c r="AG936"/>
    </row>
    <row r="937" spans="33:33" ht="15" x14ac:dyDescent="0.25">
      <c r="AG937"/>
    </row>
    <row r="938" spans="33:33" ht="15" x14ac:dyDescent="0.25">
      <c r="AG938"/>
    </row>
    <row r="939" spans="33:33" ht="15" x14ac:dyDescent="0.25">
      <c r="AG939"/>
    </row>
    <row r="940" spans="33:33" ht="15" x14ac:dyDescent="0.25">
      <c r="AG940"/>
    </row>
    <row r="941" spans="33:33" ht="15" x14ac:dyDescent="0.25">
      <c r="AG941"/>
    </row>
    <row r="942" spans="33:33" ht="15" x14ac:dyDescent="0.25">
      <c r="AG942"/>
    </row>
    <row r="943" spans="33:33" ht="15" x14ac:dyDescent="0.25">
      <c r="AG943"/>
    </row>
    <row r="944" spans="33:33" ht="15" x14ac:dyDescent="0.25">
      <c r="AG944"/>
    </row>
    <row r="945" spans="33:33" ht="15" x14ac:dyDescent="0.25">
      <c r="AG945"/>
    </row>
    <row r="946" spans="33:33" ht="15" x14ac:dyDescent="0.25">
      <c r="AG946"/>
    </row>
    <row r="947" spans="33:33" ht="15" x14ac:dyDescent="0.25">
      <c r="AG947"/>
    </row>
    <row r="948" spans="33:33" ht="15" x14ac:dyDescent="0.25">
      <c r="AG948"/>
    </row>
    <row r="949" spans="33:33" ht="15" x14ac:dyDescent="0.25">
      <c r="AG949"/>
    </row>
    <row r="950" spans="33:33" ht="15" x14ac:dyDescent="0.25">
      <c r="AG950"/>
    </row>
    <row r="951" spans="33:33" ht="15" x14ac:dyDescent="0.25">
      <c r="AG951"/>
    </row>
    <row r="952" spans="33:33" ht="15" x14ac:dyDescent="0.25">
      <c r="AG952"/>
    </row>
    <row r="953" spans="33:33" ht="15" x14ac:dyDescent="0.25">
      <c r="AG953"/>
    </row>
    <row r="954" spans="33:33" ht="15" x14ac:dyDescent="0.25">
      <c r="AG954"/>
    </row>
    <row r="955" spans="33:33" ht="15" x14ac:dyDescent="0.25">
      <c r="AG955"/>
    </row>
    <row r="956" spans="33:33" ht="15" x14ac:dyDescent="0.25">
      <c r="AG956"/>
    </row>
    <row r="957" spans="33:33" ht="15" x14ac:dyDescent="0.25">
      <c r="AG957"/>
    </row>
    <row r="958" spans="33:33" ht="15" x14ac:dyDescent="0.25">
      <c r="AG958"/>
    </row>
    <row r="959" spans="33:33" ht="15" x14ac:dyDescent="0.25">
      <c r="AG959"/>
    </row>
    <row r="960" spans="33:33" ht="15" x14ac:dyDescent="0.25">
      <c r="AG960"/>
    </row>
    <row r="961" spans="33:33" ht="15" x14ac:dyDescent="0.25">
      <c r="AG961"/>
    </row>
    <row r="962" spans="33:33" ht="15" x14ac:dyDescent="0.25">
      <c r="AG962"/>
    </row>
    <row r="963" spans="33:33" ht="15" x14ac:dyDescent="0.25">
      <c r="AG963"/>
    </row>
    <row r="964" spans="33:33" ht="15" x14ac:dyDescent="0.25">
      <c r="AG964"/>
    </row>
    <row r="965" spans="33:33" ht="15" x14ac:dyDescent="0.25">
      <c r="AG965"/>
    </row>
    <row r="966" spans="33:33" ht="15" x14ac:dyDescent="0.25">
      <c r="AG966"/>
    </row>
    <row r="967" spans="33:33" ht="15" x14ac:dyDescent="0.25">
      <c r="AG967"/>
    </row>
  </sheetData>
  <sortState ref="AD15:AD19">
    <sortCondition ref="AD14"/>
  </sortState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50"/>
  <sheetViews>
    <sheetView tabSelected="1" topLeftCell="A208" zoomScale="120" zoomScaleNormal="120" workbookViewId="0">
      <selection activeCell="J227" sqref="J227"/>
    </sheetView>
  </sheetViews>
  <sheetFormatPr defaultRowHeight="12.75" x14ac:dyDescent="0.2"/>
  <cols>
    <col min="1" max="1" width="9.140625" style="1"/>
    <col min="2" max="2" width="11.7109375" style="1" customWidth="1"/>
    <col min="3" max="3" width="38.85546875" style="1" customWidth="1"/>
    <col min="4" max="4" width="10.7109375" style="1" customWidth="1"/>
    <col min="5" max="6" width="11.7109375" style="1" customWidth="1"/>
    <col min="7" max="7" width="11" style="1" bestFit="1" customWidth="1"/>
    <col min="8" max="8" width="21.7109375" style="1" bestFit="1" customWidth="1"/>
    <col min="9" max="9" width="49.140625" style="1" bestFit="1" customWidth="1"/>
    <col min="10" max="10" width="12" style="16" customWidth="1"/>
    <col min="11" max="11" width="44.7109375" style="1" hidden="1" customWidth="1"/>
    <col min="12" max="12" width="8.28515625" style="1" hidden="1" customWidth="1"/>
    <col min="13" max="13" width="37.85546875" style="1" hidden="1" customWidth="1"/>
    <col min="14" max="14" width="8.7109375" style="1" hidden="1" customWidth="1"/>
    <col min="15" max="15" width="11.85546875" style="6" hidden="1" customWidth="1"/>
    <col min="16" max="16384" width="9.140625" style="1"/>
  </cols>
  <sheetData>
    <row r="2" spans="2:15" ht="25.5" x14ac:dyDescent="0.2">
      <c r="B2" s="5" t="s">
        <v>4</v>
      </c>
      <c r="C2" s="5" t="s">
        <v>21</v>
      </c>
      <c r="D2" s="33" t="s">
        <v>1</v>
      </c>
      <c r="E2" s="5" t="s">
        <v>5</v>
      </c>
      <c r="F2" s="5" t="s">
        <v>6</v>
      </c>
      <c r="G2" s="5" t="s">
        <v>7</v>
      </c>
      <c r="H2" s="5" t="s">
        <v>0</v>
      </c>
      <c r="I2" s="5" t="s">
        <v>28</v>
      </c>
      <c r="J2" s="5" t="s">
        <v>14</v>
      </c>
      <c r="K2" s="33" t="s">
        <v>16</v>
      </c>
      <c r="L2" s="33" t="s">
        <v>17</v>
      </c>
      <c r="M2" s="33" t="s">
        <v>21</v>
      </c>
      <c r="N2" s="33" t="s">
        <v>5</v>
      </c>
      <c r="O2" s="34" t="s">
        <v>6</v>
      </c>
    </row>
    <row r="3" spans="2:15" x14ac:dyDescent="0.2">
      <c r="B3" s="6">
        <v>45222</v>
      </c>
      <c r="C3" s="1" t="s">
        <v>252</v>
      </c>
      <c r="D3" s="1" t="str">
        <f>IF(C3="","",VLOOKUP(C3,Bilgiler!D:E,2,0))</f>
        <v>150.01.295</v>
      </c>
      <c r="E3" s="1" t="s">
        <v>296</v>
      </c>
      <c r="F3" s="6">
        <v>45401</v>
      </c>
      <c r="G3" s="1" t="s">
        <v>30</v>
      </c>
      <c r="H3" s="1" t="s">
        <v>10</v>
      </c>
      <c r="I3" s="1" t="s">
        <v>291</v>
      </c>
      <c r="J3" s="16">
        <v>203000</v>
      </c>
      <c r="K3" s="1" t="str">
        <f>IF(C3="","",CONCATENATE(C3,E3))</f>
        <v>Poşet-25 cm Mutlukal Tortillas 260 Gr ( Rusca )MAT007938</v>
      </c>
      <c r="L3" s="1">
        <f>IF(K3="","",IFERROR(VLOOKUP(K3,$K$2:L2,2,0),MAX($L$2:L2)+1))</f>
        <v>1</v>
      </c>
      <c r="M3" s="1" t="str">
        <f>IF(K3="","",C3)</f>
        <v>Poşet-25 cm Mutlukal Tortillas 260 Gr ( Rusca )</v>
      </c>
      <c r="N3" s="1" t="str">
        <f>IF(K3="","",E3)</f>
        <v>MAT007938</v>
      </c>
      <c r="O3" s="6">
        <f>IF(K3="","",F3)</f>
        <v>45401</v>
      </c>
    </row>
    <row r="4" spans="2:15" x14ac:dyDescent="0.2">
      <c r="B4" s="8">
        <v>45222</v>
      </c>
      <c r="C4" s="7" t="s">
        <v>257</v>
      </c>
      <c r="D4" s="11" t="str">
        <f>IF(C4="","",VLOOKUP(C4,Bilgiler!D:E,2,0))</f>
        <v>150.01.307</v>
      </c>
      <c r="E4" s="7" t="s">
        <v>297</v>
      </c>
      <c r="F4" s="8">
        <v>45401</v>
      </c>
      <c r="G4" s="7" t="s">
        <v>30</v>
      </c>
      <c r="H4" s="7" t="s">
        <v>10</v>
      </c>
      <c r="I4" s="7" t="s">
        <v>291</v>
      </c>
      <c r="J4" s="17">
        <v>16800</v>
      </c>
      <c r="K4" s="11" t="str">
        <f t="shared" ref="K4:K67" si="0">IF(C4="","",CONCATENATE(C4,E4))</f>
        <v>Poşet-25 cm Mutlukal Tortillas Mavi DeğişkenMAT008069</v>
      </c>
      <c r="L4" s="11">
        <f>IF(K4="","",IFERROR(VLOOKUP(K4,$K$2:L3,2,0),MAX($L$2:L3)+1))</f>
        <v>2</v>
      </c>
      <c r="M4" s="11" t="str">
        <f t="shared" ref="M4:M5" si="1">IF(K4="","",C4)</f>
        <v>Poşet-25 cm Mutlukal Tortillas Mavi Değişken</v>
      </c>
      <c r="N4" s="11" t="str">
        <f t="shared" ref="N4:N5" si="2">IF(K4="","",E4)</f>
        <v>MAT008069</v>
      </c>
      <c r="O4" s="35">
        <f t="shared" ref="O4:O5" si="3">IF(K4="","",F4)</f>
        <v>45401</v>
      </c>
    </row>
    <row r="5" spans="2:15" x14ac:dyDescent="0.2">
      <c r="B5" s="6">
        <v>45224</v>
      </c>
      <c r="C5" s="1" t="s">
        <v>242</v>
      </c>
      <c r="D5" s="1" t="str">
        <f>IF(C5="","",VLOOKUP(C5,Bilgiler!D:E,2,0))</f>
        <v>150.01.277</v>
      </c>
      <c r="E5" s="1" t="s">
        <v>298</v>
      </c>
      <c r="F5" s="6">
        <v>45407</v>
      </c>
      <c r="G5" s="1" t="s">
        <v>30</v>
      </c>
      <c r="H5" s="1" t="s">
        <v>10</v>
      </c>
      <c r="I5" s="1" t="s">
        <v>291</v>
      </c>
      <c r="J5" s="16">
        <v>38400</v>
      </c>
      <c r="K5" s="1" t="str">
        <f t="shared" si="0"/>
        <v>Poşet-30 cm SofiasMAT008034</v>
      </c>
      <c r="L5" s="1">
        <f>IF(K5="","",IFERROR(VLOOKUP(K5,$K$2:L4,2,0),MAX($L$2:L4)+1))</f>
        <v>3</v>
      </c>
      <c r="M5" s="1" t="str">
        <f t="shared" si="1"/>
        <v>Poşet-30 cm Sofias</v>
      </c>
      <c r="N5" s="1" t="str">
        <f t="shared" si="2"/>
        <v>MAT008034</v>
      </c>
      <c r="O5" s="6">
        <f t="shared" si="3"/>
        <v>45407</v>
      </c>
    </row>
    <row r="6" spans="2:15" x14ac:dyDescent="0.2">
      <c r="B6" s="8">
        <v>45231</v>
      </c>
      <c r="C6" s="7" t="s">
        <v>299</v>
      </c>
      <c r="D6" s="11" t="str">
        <f>IF(C6="","",VLOOKUP(C6,Bilgiler!D:E,2,0))</f>
        <v>İpek</v>
      </c>
      <c r="E6" s="8">
        <v>45231</v>
      </c>
      <c r="F6" s="8">
        <v>45348</v>
      </c>
      <c r="G6" s="7" t="s">
        <v>30</v>
      </c>
      <c r="H6" s="7" t="s">
        <v>10</v>
      </c>
      <c r="I6" s="7" t="s">
        <v>301</v>
      </c>
      <c r="J6" s="17">
        <v>4000</v>
      </c>
      <c r="K6" s="11" t="str">
        <f t="shared" si="0"/>
        <v>Poşet-30 cm İpek45231</v>
      </c>
      <c r="L6" s="11">
        <f>IF(K6="","",IFERROR(VLOOKUP(K6,$K$2:L5,2,0),MAX($L$2:L5)+1))</f>
        <v>4</v>
      </c>
      <c r="M6" s="11" t="str">
        <f t="shared" ref="M6:M69" si="4">IF(K6="","",C6)</f>
        <v>Poşet-30 cm İpek</v>
      </c>
      <c r="N6" s="11">
        <f t="shared" ref="N6:N69" si="5">IF(K6="","",E6)</f>
        <v>45231</v>
      </c>
      <c r="O6" s="35">
        <f t="shared" ref="O6:O69" si="6">IF(K6="","",F6)</f>
        <v>45348</v>
      </c>
    </row>
    <row r="7" spans="2:15" x14ac:dyDescent="0.2">
      <c r="B7" s="6">
        <v>45237</v>
      </c>
      <c r="C7" s="1" t="s">
        <v>166</v>
      </c>
      <c r="D7" s="1" t="str">
        <f>IF(C7="","",VLOOKUP(C7,Bilgiler!D:E,2,0))</f>
        <v>150.01.037</v>
      </c>
      <c r="E7" s="1" t="s">
        <v>302</v>
      </c>
      <c r="F7" s="6">
        <v>45472</v>
      </c>
      <c r="G7" s="1" t="s">
        <v>30</v>
      </c>
      <c r="H7" s="1" t="s">
        <v>10</v>
      </c>
      <c r="I7" s="1" t="s">
        <v>291</v>
      </c>
      <c r="J7" s="16">
        <v>104400</v>
      </c>
      <c r="K7" s="1" t="str">
        <f t="shared" si="0"/>
        <v>Poşet-20 cm B.sız KilitliMAT008070</v>
      </c>
      <c r="L7" s="1">
        <f>IF(K7="","",IFERROR(VLOOKUP(K7,$K$2:L6,2,0),MAX($L$2:L6)+1))</f>
        <v>5</v>
      </c>
      <c r="M7" s="1" t="str">
        <f t="shared" si="4"/>
        <v>Poşet-20 cm B.sız Kilitli</v>
      </c>
      <c r="N7" s="1" t="str">
        <f t="shared" si="5"/>
        <v>MAT008070</v>
      </c>
      <c r="O7" s="6">
        <f t="shared" si="6"/>
        <v>45472</v>
      </c>
    </row>
    <row r="8" spans="2:15" x14ac:dyDescent="0.2">
      <c r="B8" s="8">
        <v>45237</v>
      </c>
      <c r="C8" s="7" t="s">
        <v>257</v>
      </c>
      <c r="D8" s="11" t="str">
        <f>IF(C8="","",VLOOKUP(C8,Bilgiler!D:E,2,0))</f>
        <v>150.01.307</v>
      </c>
      <c r="E8" s="7" t="s">
        <v>297</v>
      </c>
      <c r="F8" s="8">
        <v>45473</v>
      </c>
      <c r="G8" s="7" t="s">
        <v>30</v>
      </c>
      <c r="H8" s="7" t="s">
        <v>10</v>
      </c>
      <c r="I8" s="7" t="s">
        <v>291</v>
      </c>
      <c r="J8" s="17">
        <v>65800</v>
      </c>
      <c r="K8" s="11" t="str">
        <f t="shared" si="0"/>
        <v>Poşet-25 cm Mutlukal Tortillas Mavi DeğişkenMAT008069</v>
      </c>
      <c r="L8" s="11">
        <f>IF(K8="","",IFERROR(VLOOKUP(K8,$K$2:L7,2,0),MAX($L$2:L7)+1))</f>
        <v>2</v>
      </c>
      <c r="M8" s="11" t="str">
        <f t="shared" si="4"/>
        <v>Poşet-25 cm Mutlukal Tortillas Mavi Değişken</v>
      </c>
      <c r="N8" s="11" t="str">
        <f t="shared" si="5"/>
        <v>MAT008069</v>
      </c>
      <c r="O8" s="35">
        <f t="shared" si="6"/>
        <v>45473</v>
      </c>
    </row>
    <row r="9" spans="2:15" x14ac:dyDescent="0.2">
      <c r="B9" s="6">
        <v>45237</v>
      </c>
      <c r="C9" s="1" t="s">
        <v>252</v>
      </c>
      <c r="D9" s="1" t="str">
        <f>IF(C9="","",VLOOKUP(C9,Bilgiler!D:E,2,0))</f>
        <v>150.01.295</v>
      </c>
      <c r="E9" s="1" t="s">
        <v>296</v>
      </c>
      <c r="F9" s="6">
        <v>45479</v>
      </c>
      <c r="G9" s="1" t="s">
        <v>30</v>
      </c>
      <c r="H9" s="1" t="s">
        <v>10</v>
      </c>
      <c r="I9" s="1" t="s">
        <v>291</v>
      </c>
      <c r="J9" s="16">
        <v>145600</v>
      </c>
      <c r="K9" s="1" t="str">
        <f t="shared" si="0"/>
        <v>Poşet-25 cm Mutlukal Tortillas 260 Gr ( Rusca )MAT007938</v>
      </c>
      <c r="L9" s="1">
        <f>IF(K9="","",IFERROR(VLOOKUP(K9,$K$2:L8,2,0),MAX($L$2:L8)+1))</f>
        <v>1</v>
      </c>
      <c r="M9" s="1" t="str">
        <f t="shared" si="4"/>
        <v>Poşet-25 cm Mutlukal Tortillas 260 Gr ( Rusca )</v>
      </c>
      <c r="N9" s="1" t="str">
        <f t="shared" si="5"/>
        <v>MAT007938</v>
      </c>
      <c r="O9" s="6">
        <f t="shared" si="6"/>
        <v>45479</v>
      </c>
    </row>
    <row r="10" spans="2:15" x14ac:dyDescent="0.2">
      <c r="B10" s="8">
        <v>45239</v>
      </c>
      <c r="C10" s="7" t="s">
        <v>252</v>
      </c>
      <c r="D10" s="11" t="str">
        <f>IF(C10="","",VLOOKUP(C10,Bilgiler!D:E,2,0))</f>
        <v>150.01.295</v>
      </c>
      <c r="E10" s="7" t="s">
        <v>296</v>
      </c>
      <c r="F10" s="8">
        <v>45482</v>
      </c>
      <c r="G10" s="7" t="s">
        <v>30</v>
      </c>
      <c r="H10" s="7" t="s">
        <v>10</v>
      </c>
      <c r="I10" s="7" t="s">
        <v>291</v>
      </c>
      <c r="J10" s="17">
        <v>99400</v>
      </c>
      <c r="K10" s="11" t="str">
        <f t="shared" si="0"/>
        <v>Poşet-25 cm Mutlukal Tortillas 260 Gr ( Rusca )MAT007938</v>
      </c>
      <c r="L10" s="11">
        <f>IF(K10="","",IFERROR(VLOOKUP(K10,$K$2:L9,2,0),MAX($L$2:L9)+1))</f>
        <v>1</v>
      </c>
      <c r="M10" s="11" t="str">
        <f t="shared" si="4"/>
        <v>Poşet-25 cm Mutlukal Tortillas 260 Gr ( Rusca )</v>
      </c>
      <c r="N10" s="11" t="str">
        <f t="shared" si="5"/>
        <v>MAT007938</v>
      </c>
      <c r="O10" s="35">
        <f t="shared" si="6"/>
        <v>45482</v>
      </c>
    </row>
    <row r="11" spans="2:15" x14ac:dyDescent="0.2">
      <c r="B11" s="6">
        <v>45240</v>
      </c>
      <c r="C11" s="1" t="s">
        <v>245</v>
      </c>
      <c r="D11" s="1" t="str">
        <f>IF(C11="","",VLOOKUP(C11,Bilgiler!D:E,2,0))</f>
        <v>150.01.284</v>
      </c>
      <c r="E11" s="1">
        <v>20230038</v>
      </c>
      <c r="F11" s="6">
        <v>45483</v>
      </c>
      <c r="G11" s="1" t="s">
        <v>30</v>
      </c>
      <c r="H11" s="1" t="s">
        <v>10</v>
      </c>
      <c r="I11" s="1" t="s">
        <v>292</v>
      </c>
      <c r="J11" s="16">
        <v>68160</v>
      </c>
      <c r="K11" s="1" t="str">
        <f t="shared" si="0"/>
        <v>Poşet-30 cm Mutlukal Tortillas Değişken20230038</v>
      </c>
      <c r="L11" s="1">
        <f>IF(K11="","",IFERROR(VLOOKUP(K11,$K$2:L10,2,0),MAX($L$2:L10)+1))</f>
        <v>6</v>
      </c>
      <c r="M11" s="1" t="str">
        <f t="shared" si="4"/>
        <v>Poşet-30 cm Mutlukal Tortillas Değişken</v>
      </c>
      <c r="N11" s="1">
        <f t="shared" si="5"/>
        <v>20230038</v>
      </c>
      <c r="O11" s="6">
        <f t="shared" si="6"/>
        <v>45483</v>
      </c>
    </row>
    <row r="12" spans="2:15" x14ac:dyDescent="0.2">
      <c r="B12" s="8">
        <v>45240</v>
      </c>
      <c r="C12" s="7" t="s">
        <v>255</v>
      </c>
      <c r="D12" s="11" t="str">
        <f>IF(C12="","",VLOOKUP(C12,Bilgiler!D:E,2,0))</f>
        <v>150.01.305</v>
      </c>
      <c r="E12" s="7">
        <v>20230040</v>
      </c>
      <c r="F12" s="8">
        <v>45492</v>
      </c>
      <c r="G12" s="7" t="s">
        <v>30</v>
      </c>
      <c r="H12" s="7" t="s">
        <v>10</v>
      </c>
      <c r="I12" s="7" t="s">
        <v>292</v>
      </c>
      <c r="J12" s="17">
        <v>182945</v>
      </c>
      <c r="K12" s="11" t="str">
        <f t="shared" si="0"/>
        <v>Poşet--15 cm Mutlukal Tortillas Mavi Değişken20230040</v>
      </c>
      <c r="L12" s="11">
        <f>IF(K12="","",IFERROR(VLOOKUP(K12,$K$2:L11,2,0),MAX($L$2:L11)+1))</f>
        <v>7</v>
      </c>
      <c r="M12" s="11" t="str">
        <f t="shared" si="4"/>
        <v>Poşet--15 cm Mutlukal Tortillas Mavi Değişken</v>
      </c>
      <c r="N12" s="11">
        <f t="shared" si="5"/>
        <v>20230040</v>
      </c>
      <c r="O12" s="35">
        <f t="shared" si="6"/>
        <v>45492</v>
      </c>
    </row>
    <row r="13" spans="2:15" x14ac:dyDescent="0.2">
      <c r="B13" s="6">
        <v>45240</v>
      </c>
      <c r="C13" s="1" t="s">
        <v>250</v>
      </c>
      <c r="D13" s="1" t="str">
        <f>IF(C13="","",VLOOKUP(C13,Bilgiler!D:E,2,0))</f>
        <v>150.01.292</v>
      </c>
      <c r="E13" s="1">
        <v>20230048</v>
      </c>
      <c r="F13" s="6">
        <v>45483</v>
      </c>
      <c r="G13" s="1" t="s">
        <v>30</v>
      </c>
      <c r="H13" s="1" t="s">
        <v>10</v>
      </c>
      <c r="I13" s="1" t="s">
        <v>292</v>
      </c>
      <c r="J13" s="16">
        <v>89050</v>
      </c>
      <c r="K13" s="1" t="str">
        <f t="shared" si="0"/>
        <v>Poşet-25 cm Mutlukal Tortillas Kırmızı Değişken ( Beyaz Rusya )20230048</v>
      </c>
      <c r="L13" s="1">
        <f>IF(K13="","",IFERROR(VLOOKUP(K13,$K$2:L12,2,0),MAX($L$2:L12)+1))</f>
        <v>8</v>
      </c>
      <c r="M13" s="1" t="str">
        <f t="shared" si="4"/>
        <v>Poşet-25 cm Mutlukal Tortillas Kırmızı Değişken ( Beyaz Rusya )</v>
      </c>
      <c r="N13" s="1">
        <f t="shared" si="5"/>
        <v>20230048</v>
      </c>
      <c r="O13" s="6">
        <f t="shared" si="6"/>
        <v>45483</v>
      </c>
    </row>
    <row r="14" spans="2:15" x14ac:dyDescent="0.2">
      <c r="B14" s="8">
        <v>45240</v>
      </c>
      <c r="C14" s="7" t="s">
        <v>265</v>
      </c>
      <c r="D14" s="11" t="str">
        <f>IF(C14="","",VLOOKUP(C14,Bilgiler!D:E,2,0))</f>
        <v>150.01.315</v>
      </c>
      <c r="E14" s="7">
        <v>20230042</v>
      </c>
      <c r="F14" s="8">
        <v>45483</v>
      </c>
      <c r="G14" s="7" t="s">
        <v>30</v>
      </c>
      <c r="H14" s="7" t="s">
        <v>10</v>
      </c>
      <c r="I14" s="7" t="s">
        <v>292</v>
      </c>
      <c r="J14" s="17">
        <v>86730</v>
      </c>
      <c r="K14" s="11" t="str">
        <f t="shared" si="0"/>
        <v>Poşet-25 cm Mutlukal Tortillas Tam Buğday20230042</v>
      </c>
      <c r="L14" s="11">
        <f>IF(K14="","",IFERROR(VLOOKUP(K14,$K$2:L13,2,0),MAX($L$2:L13)+1))</f>
        <v>9</v>
      </c>
      <c r="M14" s="11" t="str">
        <f t="shared" si="4"/>
        <v>Poşet-25 cm Mutlukal Tortillas Tam Buğday</v>
      </c>
      <c r="N14" s="11">
        <f t="shared" si="5"/>
        <v>20230042</v>
      </c>
      <c r="O14" s="35">
        <f t="shared" si="6"/>
        <v>45483</v>
      </c>
    </row>
    <row r="15" spans="2:15" x14ac:dyDescent="0.2">
      <c r="B15" s="6">
        <v>45240</v>
      </c>
      <c r="C15" s="1" t="s">
        <v>169</v>
      </c>
      <c r="D15" s="1" t="str">
        <f>IF(C15="","",VLOOKUP(C15,Bilgiler!D:E,2,0))</f>
        <v>150.01.044</v>
      </c>
      <c r="E15" s="1">
        <v>20230050</v>
      </c>
      <c r="F15" s="6">
        <v>45483</v>
      </c>
      <c r="G15" s="1" t="s">
        <v>30</v>
      </c>
      <c r="H15" s="1" t="s">
        <v>10</v>
      </c>
      <c r="I15" s="1" t="s">
        <v>292</v>
      </c>
      <c r="J15" s="16">
        <v>88400</v>
      </c>
      <c r="K15" s="1" t="str">
        <f t="shared" si="0"/>
        <v>Poşet-25 cm B.sız Kilitli20230050</v>
      </c>
      <c r="L15" s="1">
        <f>IF(K15="","",IFERROR(VLOOKUP(K15,$K$2:L14,2,0),MAX($L$2:L14)+1))</f>
        <v>10</v>
      </c>
      <c r="M15" s="1" t="str">
        <f t="shared" si="4"/>
        <v>Poşet-25 cm B.sız Kilitli</v>
      </c>
      <c r="N15" s="1">
        <f t="shared" si="5"/>
        <v>20230050</v>
      </c>
      <c r="O15" s="6">
        <f t="shared" si="6"/>
        <v>45483</v>
      </c>
    </row>
    <row r="16" spans="2:15" x14ac:dyDescent="0.2">
      <c r="B16" s="8">
        <v>45243</v>
      </c>
      <c r="C16" s="7" t="s">
        <v>252</v>
      </c>
      <c r="D16" s="11" t="str">
        <f>IF(C16="","",VLOOKUP(C16,Bilgiler!D:E,2,0))</f>
        <v>150.01.295</v>
      </c>
      <c r="E16" s="7" t="s">
        <v>296</v>
      </c>
      <c r="F16" s="8">
        <v>45483</v>
      </c>
      <c r="G16" s="7" t="s">
        <v>30</v>
      </c>
      <c r="H16" s="7" t="s">
        <v>10</v>
      </c>
      <c r="I16" s="7" t="s">
        <v>291</v>
      </c>
      <c r="J16" s="17">
        <v>183400</v>
      </c>
      <c r="K16" s="11" t="str">
        <f t="shared" si="0"/>
        <v>Poşet-25 cm Mutlukal Tortillas 260 Gr ( Rusca )MAT007938</v>
      </c>
      <c r="L16" s="11">
        <f>IF(K16="","",IFERROR(VLOOKUP(K16,$K$2:L15,2,0),MAX($L$2:L15)+1))</f>
        <v>1</v>
      </c>
      <c r="M16" s="11" t="str">
        <f t="shared" si="4"/>
        <v>Poşet-25 cm Mutlukal Tortillas 260 Gr ( Rusca )</v>
      </c>
      <c r="N16" s="11" t="str">
        <f t="shared" si="5"/>
        <v>MAT007938</v>
      </c>
      <c r="O16" s="35">
        <f t="shared" si="6"/>
        <v>45483</v>
      </c>
    </row>
    <row r="17" spans="2:15" x14ac:dyDescent="0.2">
      <c r="B17" s="6">
        <v>45246</v>
      </c>
      <c r="C17" s="1" t="s">
        <v>252</v>
      </c>
      <c r="D17" s="1" t="str">
        <f>IF(C17="","",VLOOKUP(C17,Bilgiler!D:E,2,0))</f>
        <v>150.01.295</v>
      </c>
      <c r="E17" s="1" t="s">
        <v>296</v>
      </c>
      <c r="F17" s="6">
        <v>45484</v>
      </c>
      <c r="G17" s="1" t="s">
        <v>30</v>
      </c>
      <c r="H17" s="1" t="s">
        <v>10</v>
      </c>
      <c r="I17" s="1" t="s">
        <v>291</v>
      </c>
      <c r="J17" s="16">
        <v>72800</v>
      </c>
      <c r="K17" s="1" t="str">
        <f t="shared" si="0"/>
        <v>Poşet-25 cm Mutlukal Tortillas 260 Gr ( Rusca )MAT007938</v>
      </c>
      <c r="L17" s="1">
        <f>IF(K17="","",IFERROR(VLOOKUP(K17,$K$2:L16,2,0),MAX($L$2:L16)+1))</f>
        <v>1</v>
      </c>
      <c r="M17" s="1" t="str">
        <f t="shared" si="4"/>
        <v>Poşet-25 cm Mutlukal Tortillas 260 Gr ( Rusca )</v>
      </c>
      <c r="N17" s="1" t="str">
        <f t="shared" si="5"/>
        <v>MAT007938</v>
      </c>
      <c r="O17" s="6">
        <f t="shared" si="6"/>
        <v>45484</v>
      </c>
    </row>
    <row r="18" spans="2:15" x14ac:dyDescent="0.2">
      <c r="B18" s="8">
        <v>45250</v>
      </c>
      <c r="C18" s="7" t="s">
        <v>252</v>
      </c>
      <c r="D18" s="11" t="str">
        <f>IF(C18="","",VLOOKUP(C18,Bilgiler!D:E,2,0))</f>
        <v>150.01.295</v>
      </c>
      <c r="E18" s="7" t="s">
        <v>296</v>
      </c>
      <c r="F18" s="8">
        <v>45491</v>
      </c>
      <c r="G18" s="7" t="s">
        <v>30</v>
      </c>
      <c r="H18" s="7" t="s">
        <v>10</v>
      </c>
      <c r="I18" s="7" t="s">
        <v>291</v>
      </c>
      <c r="J18" s="17">
        <v>214200</v>
      </c>
      <c r="K18" s="11" t="str">
        <f t="shared" si="0"/>
        <v>Poşet-25 cm Mutlukal Tortillas 260 Gr ( Rusca )MAT007938</v>
      </c>
      <c r="L18" s="11">
        <f>IF(K18="","",IFERROR(VLOOKUP(K18,$K$2:L17,2,0),MAX($L$2:L17)+1))</f>
        <v>1</v>
      </c>
      <c r="M18" s="11" t="str">
        <f t="shared" si="4"/>
        <v>Poşet-25 cm Mutlukal Tortillas 260 Gr ( Rusca )</v>
      </c>
      <c r="N18" s="11" t="str">
        <f t="shared" si="5"/>
        <v>MAT007938</v>
      </c>
      <c r="O18" s="35">
        <f t="shared" si="6"/>
        <v>45491</v>
      </c>
    </row>
    <row r="19" spans="2:15" x14ac:dyDescent="0.2">
      <c r="B19" s="6">
        <v>45250</v>
      </c>
      <c r="C19" s="1" t="s">
        <v>188</v>
      </c>
      <c r="D19" s="1" t="str">
        <f>IF(C19="","",VLOOKUP(C19,Bilgiler!D:E,2,0))</f>
        <v>150.01.148</v>
      </c>
      <c r="E19" s="1" t="s">
        <v>303</v>
      </c>
      <c r="F19" s="6">
        <v>45491</v>
      </c>
      <c r="G19" s="1" t="s">
        <v>30</v>
      </c>
      <c r="H19" s="1" t="s">
        <v>10</v>
      </c>
      <c r="I19" s="1" t="s">
        <v>291</v>
      </c>
      <c r="J19" s="16">
        <v>21000</v>
      </c>
      <c r="K19" s="1" t="str">
        <f t="shared" si="0"/>
        <v>Poşet-25 cm Tortillove DeğişkenMAT008095</v>
      </c>
      <c r="L19" s="1">
        <f>IF(K19="","",IFERROR(VLOOKUP(K19,$K$2:L18,2,0),MAX($L$2:L18)+1))</f>
        <v>11</v>
      </c>
      <c r="M19" s="1" t="str">
        <f t="shared" si="4"/>
        <v>Poşet-25 cm Tortillove Değişken</v>
      </c>
      <c r="N19" s="1" t="str">
        <f t="shared" si="5"/>
        <v>MAT008095</v>
      </c>
      <c r="O19" s="6">
        <f t="shared" si="6"/>
        <v>45491</v>
      </c>
    </row>
    <row r="20" spans="2:15" x14ac:dyDescent="0.2">
      <c r="B20" s="8">
        <v>45252</v>
      </c>
      <c r="C20" s="7" t="s">
        <v>188</v>
      </c>
      <c r="D20" s="11" t="str">
        <f>IF(C20="","",VLOOKUP(C20,Bilgiler!D:E,2,0))</f>
        <v>150.01.148</v>
      </c>
      <c r="E20" s="7" t="s">
        <v>303</v>
      </c>
      <c r="F20" s="8">
        <v>45493</v>
      </c>
      <c r="G20" s="7" t="s">
        <v>30</v>
      </c>
      <c r="H20" s="7" t="s">
        <v>10</v>
      </c>
      <c r="I20" s="7" t="s">
        <v>291</v>
      </c>
      <c r="J20" s="17">
        <v>58800</v>
      </c>
      <c r="K20" s="11" t="str">
        <f>IF(C20="","",CONCATENATE(C20,E20))</f>
        <v>Poşet-25 cm Tortillove DeğişkenMAT008095</v>
      </c>
      <c r="L20" s="11">
        <f>IF(K20="","",IFERROR(VLOOKUP(K20,$K$2:L19,2,0),MAX($L$2:L19)+1))</f>
        <v>11</v>
      </c>
      <c r="M20" s="11" t="str">
        <f>IF(K20="","",C20)</f>
        <v>Poşet-25 cm Tortillove Değişken</v>
      </c>
      <c r="N20" s="11" t="str">
        <f t="shared" si="5"/>
        <v>MAT008095</v>
      </c>
      <c r="O20" s="35">
        <f t="shared" si="6"/>
        <v>45493</v>
      </c>
    </row>
    <row r="21" spans="2:15" x14ac:dyDescent="0.2">
      <c r="B21" s="6">
        <v>45252</v>
      </c>
      <c r="C21" s="1" t="s">
        <v>252</v>
      </c>
      <c r="D21" s="1" t="str">
        <f>IF(C21="","",VLOOKUP(C21,Bilgiler!D:E,2,0))</f>
        <v>150.01.295</v>
      </c>
      <c r="E21" s="1" t="s">
        <v>296</v>
      </c>
      <c r="F21" s="6">
        <v>45494</v>
      </c>
      <c r="G21" s="1" t="s">
        <v>30</v>
      </c>
      <c r="H21" s="1" t="s">
        <v>10</v>
      </c>
      <c r="I21" s="1" t="s">
        <v>291</v>
      </c>
      <c r="J21" s="16">
        <v>117600</v>
      </c>
      <c r="K21" s="1" t="str">
        <f t="shared" si="0"/>
        <v>Poşet-25 cm Mutlukal Tortillas 260 Gr ( Rusca )MAT007938</v>
      </c>
      <c r="L21" s="1">
        <f>IF(K21="","",IFERROR(VLOOKUP(K21,$K$2:L20,2,0),MAX($L$2:L20)+1))</f>
        <v>1</v>
      </c>
      <c r="M21" s="1" t="str">
        <f t="shared" si="4"/>
        <v>Poşet-25 cm Mutlukal Tortillas 260 Gr ( Rusca )</v>
      </c>
      <c r="N21" s="1" t="str">
        <f t="shared" si="5"/>
        <v>MAT007938</v>
      </c>
      <c r="O21" s="6">
        <f t="shared" si="6"/>
        <v>45494</v>
      </c>
    </row>
    <row r="22" spans="2:15" x14ac:dyDescent="0.2">
      <c r="B22" s="8">
        <v>45258</v>
      </c>
      <c r="C22" s="7" t="s">
        <v>252</v>
      </c>
      <c r="D22" s="11" t="str">
        <f>IF(C22="","",VLOOKUP(C22,Bilgiler!D:E,2,0))</f>
        <v>150.01.295</v>
      </c>
      <c r="E22" s="7" t="s">
        <v>296</v>
      </c>
      <c r="F22" s="8">
        <v>45498</v>
      </c>
      <c r="G22" s="7" t="s">
        <v>30</v>
      </c>
      <c r="H22" s="7" t="s">
        <v>10</v>
      </c>
      <c r="I22" s="7" t="s">
        <v>291</v>
      </c>
      <c r="J22" s="17">
        <v>336400</v>
      </c>
      <c r="K22" s="11" t="str">
        <f t="shared" si="0"/>
        <v>Poşet-25 cm Mutlukal Tortillas 260 Gr ( Rusca )MAT007938</v>
      </c>
      <c r="L22" s="11">
        <f>IF(K22="","",IFERROR(VLOOKUP(K22,$K$2:L21,2,0),MAX($L$2:L21)+1))</f>
        <v>1</v>
      </c>
      <c r="M22" s="11" t="str">
        <f t="shared" si="4"/>
        <v>Poşet-25 cm Mutlukal Tortillas 260 Gr ( Rusca )</v>
      </c>
      <c r="N22" s="11" t="str">
        <f t="shared" si="5"/>
        <v>MAT007938</v>
      </c>
      <c r="O22" s="35">
        <f t="shared" si="6"/>
        <v>45498</v>
      </c>
    </row>
    <row r="23" spans="2:15" x14ac:dyDescent="0.2">
      <c r="B23" s="6">
        <v>45258</v>
      </c>
      <c r="C23" s="1" t="s">
        <v>177</v>
      </c>
      <c r="D23" s="1" t="str">
        <f>IF(C23="","",VLOOKUP(C23,Bilgiler!D:E,2,0))</f>
        <v>150.01.062</v>
      </c>
      <c r="E23" s="1" t="s">
        <v>304</v>
      </c>
      <c r="F23" s="6">
        <v>45498</v>
      </c>
      <c r="G23" s="1" t="s">
        <v>30</v>
      </c>
      <c r="H23" s="1" t="s">
        <v>10</v>
      </c>
      <c r="I23" s="1" t="s">
        <v>291</v>
      </c>
      <c r="J23" s="16">
        <v>77300</v>
      </c>
      <c r="K23" s="1" t="str">
        <f t="shared" si="0"/>
        <v>Poşet-25 cm Wıllı Food 840 grMAT008124</v>
      </c>
      <c r="L23" s="1">
        <f>IF(K23="","",IFERROR(VLOOKUP(K23,$K$2:L22,2,0),MAX($L$2:L22)+1))</f>
        <v>12</v>
      </c>
      <c r="M23" s="1" t="str">
        <f t="shared" si="4"/>
        <v>Poşet-25 cm Wıllı Food 840 gr</v>
      </c>
      <c r="N23" s="1" t="str">
        <f t="shared" si="5"/>
        <v>MAT008124</v>
      </c>
      <c r="O23" s="6">
        <f t="shared" si="6"/>
        <v>45498</v>
      </c>
    </row>
    <row r="24" spans="2:15" x14ac:dyDescent="0.2">
      <c r="B24" s="8">
        <v>45258</v>
      </c>
      <c r="C24" s="7" t="s">
        <v>168</v>
      </c>
      <c r="D24" s="11" t="str">
        <f>IF(C24="","",VLOOKUP(C24,Bilgiler!D:E,2,0))</f>
        <v>150.01.041</v>
      </c>
      <c r="E24" s="7" t="s">
        <v>305</v>
      </c>
      <c r="F24" s="8">
        <v>45500</v>
      </c>
      <c r="G24" s="7" t="s">
        <v>30</v>
      </c>
      <c r="H24" s="7" t="s">
        <v>10</v>
      </c>
      <c r="I24" s="7" t="s">
        <v>291</v>
      </c>
      <c r="J24" s="17">
        <v>54000</v>
      </c>
      <c r="K24" s="11" t="str">
        <f t="shared" si="0"/>
        <v>Poşet-20 cm Wıllı Food 540 grMAT008123</v>
      </c>
      <c r="L24" s="11">
        <f>IF(K24="","",IFERROR(VLOOKUP(K24,$K$2:L23,2,0),MAX($L$2:L23)+1))</f>
        <v>13</v>
      </c>
      <c r="M24" s="11" t="str">
        <f t="shared" si="4"/>
        <v>Poşet-20 cm Wıllı Food 540 gr</v>
      </c>
      <c r="N24" s="11" t="str">
        <f t="shared" si="5"/>
        <v>MAT008123</v>
      </c>
      <c r="O24" s="35">
        <f t="shared" si="6"/>
        <v>45500</v>
      </c>
    </row>
    <row r="25" spans="2:15" x14ac:dyDescent="0.2">
      <c r="B25" s="6">
        <v>45259</v>
      </c>
      <c r="C25" s="1" t="s">
        <v>173</v>
      </c>
      <c r="D25" s="1" t="str">
        <f>IF(C25="","",VLOOKUP(C25,Bilgiler!D:E,2,0))</f>
        <v>150.01.055</v>
      </c>
      <c r="E25" s="1">
        <v>20230043</v>
      </c>
      <c r="F25" s="6">
        <v>45641</v>
      </c>
      <c r="G25" s="1" t="s">
        <v>30</v>
      </c>
      <c r="H25" s="1" t="s">
        <v>10</v>
      </c>
      <c r="I25" s="1" t="s">
        <v>292</v>
      </c>
      <c r="J25" s="16">
        <v>249900</v>
      </c>
      <c r="K25" s="1" t="str">
        <f t="shared" si="0"/>
        <v>Poşet-25 cm Nimet (Lam.Baskılı Zıp.Vakum )20230043</v>
      </c>
      <c r="L25" s="1">
        <f>IF(K25="","",IFERROR(VLOOKUP(K25,$K$2:L24,2,0),MAX($L$2:L24)+1))</f>
        <v>14</v>
      </c>
      <c r="M25" s="1" t="str">
        <f t="shared" si="4"/>
        <v>Poşet-25 cm Nimet (Lam.Baskılı Zıp.Vakum )</v>
      </c>
      <c r="N25" s="1">
        <f t="shared" si="5"/>
        <v>20230043</v>
      </c>
      <c r="O25" s="6">
        <f t="shared" si="6"/>
        <v>45641</v>
      </c>
    </row>
    <row r="26" spans="2:15" x14ac:dyDescent="0.2">
      <c r="B26" s="8">
        <v>45259</v>
      </c>
      <c r="C26" s="7" t="s">
        <v>256</v>
      </c>
      <c r="D26" s="11" t="str">
        <f>IF(C26="","",VLOOKUP(C26,Bilgiler!D:E,2,0))</f>
        <v>150.01.306</v>
      </c>
      <c r="E26" s="7">
        <v>20230046</v>
      </c>
      <c r="F26" s="8">
        <v>45646</v>
      </c>
      <c r="G26" s="7" t="s">
        <v>30</v>
      </c>
      <c r="H26" s="7" t="s">
        <v>10</v>
      </c>
      <c r="I26" s="7" t="s">
        <v>292</v>
      </c>
      <c r="J26" s="17">
        <v>158720</v>
      </c>
      <c r="K26" s="11" t="str">
        <f t="shared" si="0"/>
        <v>Poşet--20 cm Mutlukal Tortillas Mavi Değişken20230046</v>
      </c>
      <c r="L26" s="11">
        <f>IF(K26="","",IFERROR(VLOOKUP(K26,$K$2:L25,2,0),MAX($L$2:L25)+1))</f>
        <v>15</v>
      </c>
      <c r="M26" s="11" t="str">
        <f t="shared" si="4"/>
        <v>Poşet--20 cm Mutlukal Tortillas Mavi Değişken</v>
      </c>
      <c r="N26" s="11">
        <f t="shared" si="5"/>
        <v>20230046</v>
      </c>
      <c r="O26" s="35">
        <f t="shared" si="6"/>
        <v>45646</v>
      </c>
    </row>
    <row r="27" spans="2:15" x14ac:dyDescent="0.2">
      <c r="B27" s="6">
        <v>45259</v>
      </c>
      <c r="C27" s="1" t="s">
        <v>178</v>
      </c>
      <c r="D27" s="1" t="str">
        <f>IF(C27="","",VLOOKUP(C27,Bilgiler!D:E,2,0))</f>
        <v>150.01.064</v>
      </c>
      <c r="E27" s="1">
        <v>20230049</v>
      </c>
      <c r="F27" s="6">
        <v>45641</v>
      </c>
      <c r="G27" s="1" t="s">
        <v>30</v>
      </c>
      <c r="H27" s="1" t="s">
        <v>10</v>
      </c>
      <c r="I27" s="1" t="s">
        <v>292</v>
      </c>
      <c r="J27" s="16">
        <v>66530</v>
      </c>
      <c r="K27" s="1" t="str">
        <f t="shared" si="0"/>
        <v>Poşet-30 cm B.sız Kilitli20230049</v>
      </c>
      <c r="L27" s="1">
        <f>IF(K27="","",IFERROR(VLOOKUP(K27,$K$2:L26,2,0),MAX($L$2:L26)+1))</f>
        <v>16</v>
      </c>
      <c r="M27" s="1" t="str">
        <f t="shared" si="4"/>
        <v>Poşet-30 cm B.sız Kilitli</v>
      </c>
      <c r="N27" s="1">
        <f t="shared" si="5"/>
        <v>20230049</v>
      </c>
      <c r="O27" s="6">
        <f t="shared" si="6"/>
        <v>45641</v>
      </c>
    </row>
    <row r="28" spans="2:15" x14ac:dyDescent="0.2">
      <c r="B28" s="8">
        <v>45261</v>
      </c>
      <c r="C28" s="7" t="s">
        <v>252</v>
      </c>
      <c r="D28" s="11" t="str">
        <f>IF(C28="","",VLOOKUP(C28,Bilgiler!D:E,2,0))</f>
        <v>150.01.295</v>
      </c>
      <c r="E28" s="7" t="s">
        <v>296</v>
      </c>
      <c r="F28" s="8">
        <v>45653</v>
      </c>
      <c r="G28" s="7" t="s">
        <v>30</v>
      </c>
      <c r="H28" s="7" t="s">
        <v>10</v>
      </c>
      <c r="I28" s="7" t="s">
        <v>291</v>
      </c>
      <c r="J28" s="17">
        <v>196000</v>
      </c>
      <c r="K28" s="11" t="str">
        <f t="shared" si="0"/>
        <v>Poşet-25 cm Mutlukal Tortillas 260 Gr ( Rusca )MAT007938</v>
      </c>
      <c r="L28" s="11">
        <f>IF(K28="","",IFERROR(VLOOKUP(K28,$K$2:L27,2,0),MAX($L$2:L27)+1))</f>
        <v>1</v>
      </c>
      <c r="M28" s="11" t="str">
        <f t="shared" si="4"/>
        <v>Poşet-25 cm Mutlukal Tortillas 260 Gr ( Rusca )</v>
      </c>
      <c r="N28" s="11" t="str">
        <f t="shared" si="5"/>
        <v>MAT007938</v>
      </c>
      <c r="O28" s="35">
        <f t="shared" si="6"/>
        <v>45653</v>
      </c>
    </row>
    <row r="29" spans="2:15" x14ac:dyDescent="0.2">
      <c r="B29" s="6">
        <v>45261</v>
      </c>
      <c r="C29" s="1" t="s">
        <v>168</v>
      </c>
      <c r="D29" s="1" t="str">
        <f>IF(C29="","",VLOOKUP(C29,Bilgiler!D:E,2,0))</f>
        <v>150.01.041</v>
      </c>
      <c r="E29" s="1" t="s">
        <v>305</v>
      </c>
      <c r="F29" s="6">
        <v>45653</v>
      </c>
      <c r="G29" s="1" t="s">
        <v>30</v>
      </c>
      <c r="H29" s="1" t="s">
        <v>10</v>
      </c>
      <c r="I29" s="1" t="s">
        <v>291</v>
      </c>
      <c r="J29" s="16">
        <v>50400</v>
      </c>
      <c r="K29" s="1" t="str">
        <f t="shared" si="0"/>
        <v>Poşet-20 cm Wıllı Food 540 grMAT008123</v>
      </c>
      <c r="L29" s="1">
        <f>IF(K29="","",IFERROR(VLOOKUP(K29,$K$2:L28,2,0),MAX($L$2:L28)+1))</f>
        <v>13</v>
      </c>
      <c r="M29" s="1" t="str">
        <f t="shared" si="4"/>
        <v>Poşet-20 cm Wıllı Food 540 gr</v>
      </c>
      <c r="N29" s="1" t="str">
        <f t="shared" si="5"/>
        <v>MAT008123</v>
      </c>
      <c r="O29" s="6">
        <f t="shared" si="6"/>
        <v>45653</v>
      </c>
    </row>
    <row r="30" spans="2:15" x14ac:dyDescent="0.2">
      <c r="B30" s="8">
        <v>45262</v>
      </c>
      <c r="C30" s="7" t="s">
        <v>252</v>
      </c>
      <c r="D30" s="11" t="str">
        <f>IF(C30="","",VLOOKUP(C30,Bilgiler!D:E,2,0))</f>
        <v>150.01.295</v>
      </c>
      <c r="E30" s="7" t="s">
        <v>296</v>
      </c>
      <c r="F30" s="8">
        <v>45656</v>
      </c>
      <c r="G30" s="7" t="s">
        <v>30</v>
      </c>
      <c r="H30" s="7" t="s">
        <v>10</v>
      </c>
      <c r="I30" s="7" t="s">
        <v>291</v>
      </c>
      <c r="J30" s="17">
        <v>117600</v>
      </c>
      <c r="K30" s="11" t="str">
        <f t="shared" si="0"/>
        <v>Poşet-25 cm Mutlukal Tortillas 260 Gr ( Rusca )MAT007938</v>
      </c>
      <c r="L30" s="11">
        <f>IF(K30="","",IFERROR(VLOOKUP(K30,$K$2:L29,2,0),MAX($L$2:L29)+1))</f>
        <v>1</v>
      </c>
      <c r="M30" s="11" t="str">
        <f t="shared" si="4"/>
        <v>Poşet-25 cm Mutlukal Tortillas 260 Gr ( Rusca )</v>
      </c>
      <c r="N30" s="11" t="str">
        <f t="shared" si="5"/>
        <v>MAT007938</v>
      </c>
      <c r="O30" s="35">
        <f t="shared" si="6"/>
        <v>45656</v>
      </c>
    </row>
    <row r="31" spans="2:15" x14ac:dyDescent="0.2">
      <c r="B31" s="6">
        <v>45267</v>
      </c>
      <c r="C31" s="1" t="s">
        <v>252</v>
      </c>
      <c r="D31" s="1" t="str">
        <f>IF(C31="","",VLOOKUP(C31,Bilgiler!D:E,2,0))</f>
        <v>150.01.295</v>
      </c>
      <c r="E31" s="1" t="s">
        <v>296</v>
      </c>
      <c r="F31" s="6">
        <v>45632</v>
      </c>
      <c r="G31" s="1" t="s">
        <v>30</v>
      </c>
      <c r="H31" s="1" t="s">
        <v>10</v>
      </c>
      <c r="I31" s="1" t="s">
        <v>291</v>
      </c>
      <c r="J31" s="16">
        <v>93800</v>
      </c>
      <c r="K31" s="1" t="str">
        <f t="shared" si="0"/>
        <v>Poşet-25 cm Mutlukal Tortillas 260 Gr ( Rusca )MAT007938</v>
      </c>
      <c r="L31" s="1">
        <f>IF(K31="","",IFERROR(VLOOKUP(K31,$K$2:L30,2,0),MAX($L$2:L30)+1))</f>
        <v>1</v>
      </c>
      <c r="M31" s="1" t="str">
        <f t="shared" si="4"/>
        <v>Poşet-25 cm Mutlukal Tortillas 260 Gr ( Rusca )</v>
      </c>
      <c r="N31" s="1" t="str">
        <f t="shared" si="5"/>
        <v>MAT007938</v>
      </c>
      <c r="O31" s="6">
        <f t="shared" si="6"/>
        <v>45632</v>
      </c>
    </row>
    <row r="32" spans="2:15" x14ac:dyDescent="0.2">
      <c r="B32" s="8">
        <v>45267</v>
      </c>
      <c r="C32" s="7" t="s">
        <v>321</v>
      </c>
      <c r="D32" s="11" t="str">
        <f>IF(C32="","",VLOOKUP(C32,Bilgiler!D:E,2,0))</f>
        <v>150.01.342</v>
      </c>
      <c r="E32" s="7" t="s">
        <v>306</v>
      </c>
      <c r="F32" s="8">
        <v>45632</v>
      </c>
      <c r="G32" s="7" t="s">
        <v>30</v>
      </c>
      <c r="H32" s="7" t="s">
        <v>10</v>
      </c>
      <c r="I32" s="7" t="s">
        <v>291</v>
      </c>
      <c r="J32" s="17">
        <v>82600</v>
      </c>
      <c r="K32" s="11" t="str">
        <f t="shared" si="0"/>
        <v>Poşet-25 cm Gazelle GurmeMAT008153</v>
      </c>
      <c r="L32" s="11">
        <f>IF(K32="","",IFERROR(VLOOKUP(K32,$K$2:L31,2,0),MAX($L$2:L31)+1))</f>
        <v>17</v>
      </c>
      <c r="M32" s="11" t="str">
        <f t="shared" si="4"/>
        <v>Poşet-25 cm Gazelle Gurme</v>
      </c>
      <c r="N32" s="11" t="str">
        <f t="shared" si="5"/>
        <v>MAT008153</v>
      </c>
      <c r="O32" s="35">
        <f t="shared" si="6"/>
        <v>45632</v>
      </c>
    </row>
    <row r="33" spans="2:15" x14ac:dyDescent="0.2">
      <c r="B33" s="6">
        <v>45276</v>
      </c>
      <c r="C33" s="1" t="s">
        <v>252</v>
      </c>
      <c r="D33" s="1" t="str">
        <f>IF(C33="","",VLOOKUP(C33,Bilgiler!D:E,2,0))</f>
        <v>150.01.295</v>
      </c>
      <c r="E33" s="1" t="s">
        <v>296</v>
      </c>
      <c r="F33" s="6">
        <v>45632</v>
      </c>
      <c r="G33" s="1" t="s">
        <v>30</v>
      </c>
      <c r="H33" s="1" t="s">
        <v>10</v>
      </c>
      <c r="I33" s="1" t="s">
        <v>291</v>
      </c>
      <c r="J33" s="16">
        <v>92400</v>
      </c>
      <c r="K33" s="1" t="str">
        <f t="shared" si="0"/>
        <v>Poşet-25 cm Mutlukal Tortillas 260 Gr ( Rusca )MAT007938</v>
      </c>
      <c r="L33" s="1">
        <f>IF(K33="","",IFERROR(VLOOKUP(K33,$K$2:L32,2,0),MAX($L$2:L32)+1))</f>
        <v>1</v>
      </c>
      <c r="M33" s="1" t="str">
        <f t="shared" si="4"/>
        <v>Poşet-25 cm Mutlukal Tortillas 260 Gr ( Rusca )</v>
      </c>
      <c r="N33" s="1" t="str">
        <f t="shared" si="5"/>
        <v>MAT007938</v>
      </c>
      <c r="O33" s="6">
        <f t="shared" si="6"/>
        <v>45632</v>
      </c>
    </row>
    <row r="34" spans="2:15" x14ac:dyDescent="0.2">
      <c r="B34" s="8">
        <v>45278</v>
      </c>
      <c r="C34" s="7" t="s">
        <v>282</v>
      </c>
      <c r="D34" s="11" t="str">
        <f>IF(C34="","",VLOOKUP(C34,Bilgiler!D:E,2,0))</f>
        <v>150.01.216</v>
      </c>
      <c r="E34" s="7" t="s">
        <v>307</v>
      </c>
      <c r="F34" s="8">
        <v>45443</v>
      </c>
      <c r="G34" s="7" t="s">
        <v>30</v>
      </c>
      <c r="H34" s="7" t="s">
        <v>10</v>
      </c>
      <c r="I34" s="7" t="s">
        <v>308</v>
      </c>
      <c r="J34" s="17">
        <v>39200</v>
      </c>
      <c r="K34" s="11" t="str">
        <f t="shared" si="0"/>
        <v>Poşet-26 cm UnebellaMAT000712</v>
      </c>
      <c r="L34" s="11">
        <f>IF(K34="","",IFERROR(VLOOKUP(K34,$K$2:L33,2,0),MAX($L$2:L33)+1))</f>
        <v>18</v>
      </c>
      <c r="M34" s="11" t="str">
        <f t="shared" si="4"/>
        <v>Poşet-26 cm Unebella</v>
      </c>
      <c r="N34" s="11" t="str">
        <f t="shared" si="5"/>
        <v>MAT000712</v>
      </c>
      <c r="O34" s="35">
        <f t="shared" si="6"/>
        <v>45443</v>
      </c>
    </row>
    <row r="35" spans="2:15" x14ac:dyDescent="0.2">
      <c r="B35" s="6">
        <v>45281</v>
      </c>
      <c r="C35" s="1" t="s">
        <v>191</v>
      </c>
      <c r="D35" s="1" t="str">
        <f>IF(C35="","",VLOOKUP(C35,Bilgiler!D:E,2,0))</f>
        <v>150.01.163</v>
      </c>
      <c r="E35" s="1" t="s">
        <v>309</v>
      </c>
      <c r="F35" s="6">
        <v>45647</v>
      </c>
      <c r="G35" s="1" t="s">
        <v>30</v>
      </c>
      <c r="H35" s="1" t="s">
        <v>10</v>
      </c>
      <c r="I35" s="1" t="s">
        <v>291</v>
      </c>
      <c r="J35" s="16">
        <f>37*1200+10*1200</f>
        <v>56400</v>
      </c>
      <c r="K35" s="1" t="str">
        <f t="shared" si="0"/>
        <v>Poşet-30 cm Tortillove DeğişkenMAT008141</v>
      </c>
      <c r="L35" s="1">
        <f>IF(K35="","",IFERROR(VLOOKUP(K35,$K$2:L34,2,0),MAX($L$2:L34)+1))</f>
        <v>19</v>
      </c>
      <c r="M35" s="1" t="str">
        <f t="shared" si="4"/>
        <v>Poşet-30 cm Tortillove Değişken</v>
      </c>
      <c r="N35" s="1" t="str">
        <f t="shared" si="5"/>
        <v>MAT008141</v>
      </c>
      <c r="O35" s="6">
        <f t="shared" si="6"/>
        <v>45647</v>
      </c>
    </row>
    <row r="36" spans="2:15" x14ac:dyDescent="0.2">
      <c r="B36" s="8">
        <v>45281</v>
      </c>
      <c r="C36" s="7" t="s">
        <v>249</v>
      </c>
      <c r="D36" s="11" t="str">
        <f>IF(C36="","",VLOOKUP(C36,Bilgiler!D:E,2,0))</f>
        <v>150.01.291</v>
      </c>
      <c r="E36" s="7" t="s">
        <v>310</v>
      </c>
      <c r="F36" s="8">
        <v>45645</v>
      </c>
      <c r="G36" s="7" t="s">
        <v>30</v>
      </c>
      <c r="H36" s="7" t="s">
        <v>10</v>
      </c>
      <c r="I36" s="7" t="s">
        <v>291</v>
      </c>
      <c r="J36" s="17">
        <f>74*2000</f>
        <v>148000</v>
      </c>
      <c r="K36" s="11" t="str">
        <f t="shared" si="0"/>
        <v>Poşet-15 cm Komagene Tako LavaşıMAT008140</v>
      </c>
      <c r="L36" s="11">
        <f>IF(K36="","",IFERROR(VLOOKUP(K36,$K$2:L35,2,0),MAX($L$2:L35)+1))</f>
        <v>20</v>
      </c>
      <c r="M36" s="11" t="str">
        <f t="shared" si="4"/>
        <v>Poşet-15 cm Komagene Tako Lavaşı</v>
      </c>
      <c r="N36" s="11" t="str">
        <f t="shared" si="5"/>
        <v>MAT008140</v>
      </c>
      <c r="O36" s="35">
        <f t="shared" si="6"/>
        <v>45645</v>
      </c>
    </row>
    <row r="37" spans="2:15" ht="15.75" customHeight="1" x14ac:dyDescent="0.2">
      <c r="B37" s="6">
        <v>45281</v>
      </c>
      <c r="C37" s="1" t="s">
        <v>173</v>
      </c>
      <c r="D37" s="1" t="str">
        <f>IF(C37="","",VLOOKUP(C37,Bilgiler!D:E,2,0))</f>
        <v>150.01.055</v>
      </c>
      <c r="E37" s="1">
        <v>20230057</v>
      </c>
      <c r="F37" s="6">
        <v>45632</v>
      </c>
      <c r="G37" s="1" t="s">
        <v>30</v>
      </c>
      <c r="H37" s="1" t="s">
        <v>10</v>
      </c>
      <c r="I37" s="1" t="s">
        <v>292</v>
      </c>
      <c r="J37" s="16">
        <v>191510</v>
      </c>
      <c r="K37" s="1" t="str">
        <f t="shared" si="0"/>
        <v>Poşet-25 cm Nimet (Lam.Baskılı Zıp.Vakum )20230057</v>
      </c>
      <c r="L37" s="1">
        <f>IF(K37="","",IFERROR(VLOOKUP(K37,$K$2:L36,2,0),MAX($L$2:L36)+1))</f>
        <v>21</v>
      </c>
      <c r="M37" s="1" t="str">
        <f t="shared" si="4"/>
        <v>Poşet-25 cm Nimet (Lam.Baskılı Zıp.Vakum )</v>
      </c>
      <c r="N37" s="1">
        <f t="shared" si="5"/>
        <v>20230057</v>
      </c>
      <c r="O37" s="6">
        <f t="shared" si="6"/>
        <v>45632</v>
      </c>
    </row>
    <row r="38" spans="2:15" x14ac:dyDescent="0.2">
      <c r="B38" s="8">
        <v>45281</v>
      </c>
      <c r="C38" s="63" t="s">
        <v>255</v>
      </c>
      <c r="D38" s="11" t="str">
        <f>IF(C38="","",VLOOKUP(C38,Bilgiler!D:E,2,0))</f>
        <v>150.01.305</v>
      </c>
      <c r="E38" s="7">
        <v>20230047</v>
      </c>
      <c r="F38" s="8">
        <v>45632</v>
      </c>
      <c r="G38" s="7" t="s">
        <v>30</v>
      </c>
      <c r="H38" s="7" t="s">
        <v>10</v>
      </c>
      <c r="I38" s="7" t="s">
        <v>292</v>
      </c>
      <c r="J38" s="17">
        <v>176785</v>
      </c>
      <c r="K38" s="11" t="str">
        <f t="shared" si="0"/>
        <v>Poşet--15 cm Mutlukal Tortillas Mavi Değişken20230047</v>
      </c>
      <c r="L38" s="11">
        <f>IF(K38="","",IFERROR(VLOOKUP(K38,$K$2:L37,2,0),MAX($L$2:L37)+1))</f>
        <v>22</v>
      </c>
      <c r="M38" s="11" t="str">
        <f t="shared" si="4"/>
        <v>Poşet--15 cm Mutlukal Tortillas Mavi Değişken</v>
      </c>
      <c r="N38" s="11">
        <f t="shared" si="5"/>
        <v>20230047</v>
      </c>
      <c r="O38" s="35">
        <f t="shared" si="6"/>
        <v>45632</v>
      </c>
    </row>
    <row r="39" spans="2:15" x14ac:dyDescent="0.2">
      <c r="B39" s="6">
        <v>45281</v>
      </c>
      <c r="C39" s="63" t="s">
        <v>313</v>
      </c>
      <c r="D39" s="1" t="str">
        <f>IF(C39="","",VLOOKUP(C39,Bilgiler!D:E,2,0))</f>
        <v>150.01.343</v>
      </c>
      <c r="E39" s="1">
        <v>20230051</v>
      </c>
      <c r="F39" s="6">
        <v>45643</v>
      </c>
      <c r="G39" s="1" t="s">
        <v>30</v>
      </c>
      <c r="H39" s="1" t="s">
        <v>10</v>
      </c>
      <c r="I39" s="1" t="s">
        <v>292</v>
      </c>
      <c r="J39" s="16">
        <v>13200</v>
      </c>
      <c r="K39" s="1" t="str">
        <f t="shared" si="0"/>
        <v>Poşet-30 cm Tortillas Ispanaklı20230051</v>
      </c>
      <c r="L39" s="1">
        <f>IF(K39="","",IFERROR(VLOOKUP(K39,$K$2:L38,2,0),MAX($L$2:L38)+1))</f>
        <v>23</v>
      </c>
      <c r="M39" s="1" t="str">
        <f t="shared" si="4"/>
        <v>Poşet-30 cm Tortillas Ispanaklı</v>
      </c>
      <c r="N39" s="1">
        <f t="shared" si="5"/>
        <v>20230051</v>
      </c>
      <c r="O39" s="6">
        <f t="shared" si="6"/>
        <v>45643</v>
      </c>
    </row>
    <row r="40" spans="2:15" x14ac:dyDescent="0.2">
      <c r="B40" s="8">
        <v>45281</v>
      </c>
      <c r="C40" s="7" t="s">
        <v>314</v>
      </c>
      <c r="D40" s="11" t="str">
        <f>IF(C40="","",VLOOKUP(C40,Bilgiler!D:E,2,0))</f>
        <v>150.01.344</v>
      </c>
      <c r="E40" s="7">
        <v>20230054</v>
      </c>
      <c r="F40" s="8">
        <v>45644</v>
      </c>
      <c r="G40" s="7" t="s">
        <v>30</v>
      </c>
      <c r="H40" s="7" t="s">
        <v>10</v>
      </c>
      <c r="I40" s="7" t="s">
        <v>292</v>
      </c>
      <c r="J40" s="17">
        <v>62580</v>
      </c>
      <c r="K40" s="11" t="str">
        <f t="shared" si="0"/>
        <v>Poşet-30 cm Tortillas Domatesli20230054</v>
      </c>
      <c r="L40" s="11">
        <f>IF(K40="","",IFERROR(VLOOKUP(K40,$K$2:L39,2,0),MAX($L$2:L39)+1))</f>
        <v>24</v>
      </c>
      <c r="M40" s="11" t="str">
        <f t="shared" si="4"/>
        <v>Poşet-30 cm Tortillas Domatesli</v>
      </c>
      <c r="N40" s="11">
        <f t="shared" si="5"/>
        <v>20230054</v>
      </c>
      <c r="O40" s="35">
        <f t="shared" si="6"/>
        <v>45644</v>
      </c>
    </row>
    <row r="41" spans="2:15" x14ac:dyDescent="0.2">
      <c r="B41" s="6">
        <v>45281</v>
      </c>
      <c r="C41" s="1" t="s">
        <v>315</v>
      </c>
      <c r="D41" s="1" t="str">
        <f>IF(C41="","",VLOOKUP(C41,Bilgiler!D:E,2,0))</f>
        <v>150.01.345</v>
      </c>
      <c r="E41" s="1">
        <v>20230053</v>
      </c>
      <c r="F41" s="6">
        <v>45640</v>
      </c>
      <c r="G41" s="1" t="s">
        <v>30</v>
      </c>
      <c r="H41" s="1" t="s">
        <v>10</v>
      </c>
      <c r="I41" s="1" t="s">
        <v>292</v>
      </c>
      <c r="J41" s="16">
        <v>65485</v>
      </c>
      <c r="K41" s="1" t="str">
        <f t="shared" si="0"/>
        <v>Poşet-30 cm Tortillas Kırmızı Sade20230053</v>
      </c>
      <c r="L41" s="1">
        <f>IF(K41="","",IFERROR(VLOOKUP(K41,$K$2:L40,2,0),MAX($L$2:L40)+1))</f>
        <v>25</v>
      </c>
      <c r="M41" s="1" t="str">
        <f t="shared" si="4"/>
        <v>Poşet-30 cm Tortillas Kırmızı Sade</v>
      </c>
      <c r="N41" s="1">
        <f t="shared" si="5"/>
        <v>20230053</v>
      </c>
      <c r="O41" s="6">
        <f t="shared" si="6"/>
        <v>45640</v>
      </c>
    </row>
    <row r="42" spans="2:15" x14ac:dyDescent="0.2">
      <c r="B42" s="8">
        <v>45281</v>
      </c>
      <c r="C42" s="7" t="s">
        <v>316</v>
      </c>
      <c r="D42" s="11" t="str">
        <f>IF(C42="","",VLOOKUP(C42,Bilgiler!D:E,2,0))</f>
        <v>150.01.346</v>
      </c>
      <c r="E42" s="7">
        <v>20230052</v>
      </c>
      <c r="F42" s="8">
        <v>45639</v>
      </c>
      <c r="G42" s="7" t="s">
        <v>30</v>
      </c>
      <c r="H42" s="7" t="s">
        <v>10</v>
      </c>
      <c r="I42" s="7" t="s">
        <v>292</v>
      </c>
      <c r="J42" s="17">
        <v>67377</v>
      </c>
      <c r="K42" s="11" t="str">
        <f t="shared" si="0"/>
        <v>Poşet-30 cm Tortillas Tam Buğdaylı20230052</v>
      </c>
      <c r="L42" s="11">
        <f>IF(K42="","",IFERROR(VLOOKUP(K42,$K$2:L41,2,0),MAX($L$2:L41)+1))</f>
        <v>26</v>
      </c>
      <c r="M42" s="11" t="str">
        <f t="shared" si="4"/>
        <v>Poşet-30 cm Tortillas Tam Buğdaylı</v>
      </c>
      <c r="N42" s="11">
        <f t="shared" si="5"/>
        <v>20230052</v>
      </c>
      <c r="O42" s="35">
        <f t="shared" si="6"/>
        <v>45639</v>
      </c>
    </row>
    <row r="43" spans="2:15" x14ac:dyDescent="0.2">
      <c r="B43" s="6">
        <v>45283</v>
      </c>
      <c r="C43" s="1" t="s">
        <v>252</v>
      </c>
      <c r="D43" s="1" t="str">
        <f>IF(C43="","",VLOOKUP(C43,Bilgiler!D:E,2,0))</f>
        <v>150.01.295</v>
      </c>
      <c r="E43" s="1" t="s">
        <v>296</v>
      </c>
      <c r="F43" s="6">
        <v>45464</v>
      </c>
      <c r="G43" s="1" t="s">
        <v>30</v>
      </c>
      <c r="H43" s="1" t="s">
        <v>10</v>
      </c>
      <c r="I43" s="1" t="s">
        <v>291</v>
      </c>
      <c r="J43" s="16">
        <v>203000</v>
      </c>
      <c r="K43" s="1" t="str">
        <f t="shared" si="0"/>
        <v>Poşet-25 cm Mutlukal Tortillas 260 Gr ( Rusca )MAT007938</v>
      </c>
      <c r="L43" s="1">
        <f>IF(K43="","",IFERROR(VLOOKUP(K43,$K$2:L42,2,0),MAX($L$2:L42)+1))</f>
        <v>1</v>
      </c>
      <c r="M43" s="1" t="str">
        <f t="shared" si="4"/>
        <v>Poşet-25 cm Mutlukal Tortillas 260 Gr ( Rusca )</v>
      </c>
      <c r="N43" s="1" t="str">
        <f t="shared" si="5"/>
        <v>MAT007938</v>
      </c>
      <c r="O43" s="6">
        <f t="shared" si="6"/>
        <v>45464</v>
      </c>
    </row>
    <row r="44" spans="2:15" x14ac:dyDescent="0.2">
      <c r="B44" s="8">
        <v>45290</v>
      </c>
      <c r="C44" s="1" t="s">
        <v>252</v>
      </c>
      <c r="D44" s="11" t="str">
        <f>IF(C44="","",VLOOKUP(C44,Bilgiler!D:E,2,0))</f>
        <v>150.01.295</v>
      </c>
      <c r="E44" s="7" t="s">
        <v>296</v>
      </c>
      <c r="F44" s="8">
        <v>45471</v>
      </c>
      <c r="G44" s="7" t="s">
        <v>30</v>
      </c>
      <c r="H44" s="7" t="s">
        <v>10</v>
      </c>
      <c r="I44" s="7" t="s">
        <v>291</v>
      </c>
      <c r="J44" s="17">
        <v>253400</v>
      </c>
      <c r="K44" s="11" t="str">
        <f t="shared" si="0"/>
        <v>Poşet-25 cm Mutlukal Tortillas 260 Gr ( Rusca )MAT007938</v>
      </c>
      <c r="L44" s="11">
        <f>IF(K44="","",IFERROR(VLOOKUP(K44,$K$2:L43,2,0),MAX($L$2:L43)+1))</f>
        <v>1</v>
      </c>
      <c r="M44" s="11" t="str">
        <f t="shared" si="4"/>
        <v>Poşet-25 cm Mutlukal Tortillas 260 Gr ( Rusca )</v>
      </c>
      <c r="N44" s="11" t="str">
        <f t="shared" si="5"/>
        <v>MAT007938</v>
      </c>
      <c r="O44" s="35">
        <f t="shared" si="6"/>
        <v>45471</v>
      </c>
    </row>
    <row r="45" spans="2:15" x14ac:dyDescent="0.2">
      <c r="B45" s="6">
        <v>45296</v>
      </c>
      <c r="C45" s="1" t="s">
        <v>313</v>
      </c>
      <c r="D45" s="1" t="str">
        <f>IF(C45="","",VLOOKUP(C45,Bilgiler!D:E,2,0))</f>
        <v>150.01.343</v>
      </c>
      <c r="E45" s="1">
        <v>20230051</v>
      </c>
      <c r="F45" s="6">
        <v>45646</v>
      </c>
      <c r="G45" s="1" t="s">
        <v>30</v>
      </c>
      <c r="H45" s="1" t="s">
        <v>10</v>
      </c>
      <c r="I45" s="1" t="s">
        <v>292</v>
      </c>
      <c r="J45" s="16">
        <v>51845</v>
      </c>
      <c r="K45" s="1" t="str">
        <f t="shared" si="0"/>
        <v>Poşet-30 cm Tortillas Ispanaklı20230051</v>
      </c>
      <c r="L45" s="1">
        <f>IF(K45="","",IFERROR(VLOOKUP(K45,$K$2:L44,2,0),MAX($L$2:L44)+1))</f>
        <v>23</v>
      </c>
      <c r="M45" s="1" t="str">
        <f t="shared" si="4"/>
        <v>Poşet-30 cm Tortillas Ispanaklı</v>
      </c>
      <c r="N45" s="1">
        <f t="shared" si="5"/>
        <v>20230051</v>
      </c>
      <c r="O45" s="6">
        <f t="shared" si="6"/>
        <v>45646</v>
      </c>
    </row>
    <row r="46" spans="2:15" x14ac:dyDescent="0.2">
      <c r="B46" s="8">
        <v>45297</v>
      </c>
      <c r="C46" s="7" t="s">
        <v>242</v>
      </c>
      <c r="D46" s="11" t="str">
        <f>IF(C46="","",VLOOKUP(C46,Bilgiler!D:E,2,0))</f>
        <v>150.01.277</v>
      </c>
      <c r="E46" s="7" t="s">
        <v>311</v>
      </c>
      <c r="F46" s="8">
        <v>45476</v>
      </c>
      <c r="G46" s="7" t="s">
        <v>30</v>
      </c>
      <c r="H46" s="7" t="s">
        <v>10</v>
      </c>
      <c r="I46" s="7" t="s">
        <v>291</v>
      </c>
      <c r="J46" s="17">
        <v>60400</v>
      </c>
      <c r="K46" s="11" t="str">
        <f t="shared" si="0"/>
        <v>Poşet-30 cm SofiasMAT008192</v>
      </c>
      <c r="L46" s="11">
        <f>IF(K46="","",IFERROR(VLOOKUP(K46,$K$2:L45,2,0),MAX($L$2:L45)+1))</f>
        <v>27</v>
      </c>
      <c r="M46" s="11" t="str">
        <f t="shared" si="4"/>
        <v>Poşet-30 cm Sofias</v>
      </c>
      <c r="N46" s="11" t="str">
        <f t="shared" si="5"/>
        <v>MAT008192</v>
      </c>
      <c r="O46" s="35">
        <f t="shared" si="6"/>
        <v>45476</v>
      </c>
    </row>
    <row r="47" spans="2:15" x14ac:dyDescent="0.2">
      <c r="B47" s="6">
        <v>45297</v>
      </c>
      <c r="C47" s="1" t="s">
        <v>194</v>
      </c>
      <c r="D47" s="1" t="str">
        <f>IF(C47="","",VLOOKUP(C47,Bilgiler!D:E,2,0))</f>
        <v>150.01.184</v>
      </c>
      <c r="E47" s="1" t="s">
        <v>312</v>
      </c>
      <c r="F47" s="6">
        <v>45477</v>
      </c>
      <c r="G47" s="1" t="s">
        <v>30</v>
      </c>
      <c r="H47" s="1" t="s">
        <v>10</v>
      </c>
      <c r="I47" s="1" t="s">
        <v>291</v>
      </c>
      <c r="J47" s="16">
        <v>78400</v>
      </c>
      <c r="K47" s="1" t="str">
        <f t="shared" si="0"/>
        <v>Poşet-25 cm AlkafeelMAT008191</v>
      </c>
      <c r="L47" s="1">
        <f>IF(K47="","",IFERROR(VLOOKUP(K47,$K$2:L46,2,0),MAX($L$2:L46)+1))</f>
        <v>28</v>
      </c>
      <c r="M47" s="1" t="str">
        <f t="shared" si="4"/>
        <v>Poşet-25 cm Alkafeel</v>
      </c>
      <c r="N47" s="1" t="str">
        <f t="shared" si="5"/>
        <v>MAT008191</v>
      </c>
      <c r="O47" s="6">
        <f t="shared" si="6"/>
        <v>45477</v>
      </c>
    </row>
    <row r="48" spans="2:15" x14ac:dyDescent="0.2">
      <c r="B48" s="8">
        <v>45301</v>
      </c>
      <c r="C48" s="7" t="s">
        <v>252</v>
      </c>
      <c r="D48" s="11" t="str">
        <f>IF(C48="","",VLOOKUP(C48,Bilgiler!D:E,2,0))</f>
        <v>150.01.295</v>
      </c>
      <c r="E48" s="7" t="s">
        <v>296</v>
      </c>
      <c r="F48" s="8">
        <v>45481</v>
      </c>
      <c r="G48" s="7" t="s">
        <v>30</v>
      </c>
      <c r="H48" s="7" t="s">
        <v>10</v>
      </c>
      <c r="I48" s="7" t="s">
        <v>291</v>
      </c>
      <c r="J48" s="17">
        <v>179200</v>
      </c>
      <c r="K48" s="11" t="str">
        <f t="shared" si="0"/>
        <v>Poşet-25 cm Mutlukal Tortillas 260 Gr ( Rusca )MAT007938</v>
      </c>
      <c r="L48" s="11">
        <f>IF(K48="","",IFERROR(VLOOKUP(K48,$K$2:L47,2,0),MAX($L$2:L47)+1))</f>
        <v>1</v>
      </c>
      <c r="M48" s="11" t="str">
        <f t="shared" si="4"/>
        <v>Poşet-25 cm Mutlukal Tortillas 260 Gr ( Rusca )</v>
      </c>
      <c r="N48" s="11" t="str">
        <f t="shared" si="5"/>
        <v>MAT007938</v>
      </c>
      <c r="O48" s="35">
        <f t="shared" si="6"/>
        <v>45481</v>
      </c>
    </row>
    <row r="49" spans="2:15" x14ac:dyDescent="0.2">
      <c r="B49" s="6">
        <v>45303</v>
      </c>
      <c r="C49" s="1" t="s">
        <v>252</v>
      </c>
      <c r="D49" s="1" t="str">
        <f>IF(C49="","",VLOOKUP(C49,Bilgiler!D:E,2,0))</f>
        <v>150.01.295</v>
      </c>
      <c r="E49" s="1" t="s">
        <v>296</v>
      </c>
      <c r="F49" s="6">
        <v>45483</v>
      </c>
      <c r="G49" s="1" t="s">
        <v>30</v>
      </c>
      <c r="H49" s="1" t="s">
        <v>10</v>
      </c>
      <c r="I49" s="1" t="s">
        <v>291</v>
      </c>
      <c r="J49" s="16">
        <v>217000</v>
      </c>
      <c r="K49" s="1" t="str">
        <f t="shared" si="0"/>
        <v>Poşet-25 cm Mutlukal Tortillas 260 Gr ( Rusca )MAT007938</v>
      </c>
      <c r="L49" s="1">
        <f>IF(K49="","",IFERROR(VLOOKUP(K49,$K$2:L48,2,0),MAX($L$2:L48)+1))</f>
        <v>1</v>
      </c>
      <c r="M49" s="1" t="str">
        <f t="shared" si="4"/>
        <v>Poşet-25 cm Mutlukal Tortillas 260 Gr ( Rusca )</v>
      </c>
      <c r="N49" s="1" t="str">
        <f t="shared" si="5"/>
        <v>MAT007938</v>
      </c>
      <c r="O49" s="6">
        <f t="shared" si="6"/>
        <v>45483</v>
      </c>
    </row>
    <row r="50" spans="2:15" x14ac:dyDescent="0.2">
      <c r="B50" s="8">
        <v>45303</v>
      </c>
      <c r="C50" s="64" t="s">
        <v>179</v>
      </c>
      <c r="D50" s="11" t="str">
        <f>IF(C50="","",VLOOKUP(C50,Bilgiler!D:E,2,0))</f>
        <v>150.01.068</v>
      </c>
      <c r="E50" s="7" t="s">
        <v>323</v>
      </c>
      <c r="F50" s="8">
        <v>45484</v>
      </c>
      <c r="G50" s="7" t="s">
        <v>30</v>
      </c>
      <c r="H50" s="7" t="s">
        <v>10</v>
      </c>
      <c r="I50" s="7" t="s">
        <v>291</v>
      </c>
      <c r="J50" s="17">
        <v>50400</v>
      </c>
      <c r="K50" s="11" t="str">
        <f t="shared" si="0"/>
        <v>Poşet-30 cm Happylla DeğişkenMAT008193</v>
      </c>
      <c r="L50" s="11">
        <f>IF(K50="","",IFERROR(VLOOKUP(K50,$K$2:L49,2,0),MAX($L$2:L49)+1))</f>
        <v>29</v>
      </c>
      <c r="M50" s="11" t="str">
        <f t="shared" si="4"/>
        <v>Poşet-30 cm Happylla Değişken</v>
      </c>
      <c r="N50" s="11" t="str">
        <f t="shared" si="5"/>
        <v>MAT008193</v>
      </c>
      <c r="O50" s="35">
        <f t="shared" si="6"/>
        <v>45484</v>
      </c>
    </row>
    <row r="51" spans="2:15" x14ac:dyDescent="0.2">
      <c r="B51" s="6">
        <v>45304</v>
      </c>
      <c r="C51" s="1" t="s">
        <v>245</v>
      </c>
      <c r="D51" s="1" t="str">
        <f>IF(C51="","",VLOOKUP(C51,Bilgiler!D:E,2,0))</f>
        <v>150.01.284</v>
      </c>
      <c r="E51" s="1" t="s">
        <v>324</v>
      </c>
      <c r="F51" s="6">
        <v>45653</v>
      </c>
      <c r="G51" s="1" t="s">
        <v>30</v>
      </c>
      <c r="H51" s="1" t="s">
        <v>10</v>
      </c>
      <c r="I51" s="1" t="s">
        <v>325</v>
      </c>
      <c r="J51" s="16">
        <v>56400</v>
      </c>
      <c r="K51" s="1" t="str">
        <f t="shared" si="0"/>
        <v>Poşet-30 cm Mutlukal Tortillas Değişken2023-M0612</v>
      </c>
      <c r="L51" s="1">
        <f>IF(K51="","",IFERROR(VLOOKUP(K51,$K$2:L50,2,0),MAX($L$2:L50)+1))</f>
        <v>30</v>
      </c>
      <c r="M51" s="1" t="str">
        <f t="shared" si="4"/>
        <v>Poşet-30 cm Mutlukal Tortillas Değişken</v>
      </c>
      <c r="N51" s="1" t="str">
        <f t="shared" si="5"/>
        <v>2023-M0612</v>
      </c>
      <c r="O51" s="6">
        <f t="shared" si="6"/>
        <v>45653</v>
      </c>
    </row>
    <row r="52" spans="2:15" x14ac:dyDescent="0.2">
      <c r="B52" s="8">
        <v>45304</v>
      </c>
      <c r="C52" s="7" t="s">
        <v>254</v>
      </c>
      <c r="D52" s="11" t="str">
        <f>IF(C52="","",VLOOKUP(C52,Bilgiler!D:E,2,0))</f>
        <v>150.01.301</v>
      </c>
      <c r="E52" s="7" t="s">
        <v>324</v>
      </c>
      <c r="F52" s="8">
        <v>45655</v>
      </c>
      <c r="G52" s="7" t="s">
        <v>30</v>
      </c>
      <c r="H52" s="7" t="s">
        <v>10</v>
      </c>
      <c r="I52" s="7" t="s">
        <v>325</v>
      </c>
      <c r="J52" s="17">
        <v>104000</v>
      </c>
      <c r="K52" s="11" t="str">
        <f t="shared" si="0"/>
        <v>Poşet-15 cm Mutlukal Taco2023-M0612</v>
      </c>
      <c r="L52" s="11">
        <f>IF(K52="","",IFERROR(VLOOKUP(K52,$K$2:L51,2,0),MAX($L$2:L51)+1))</f>
        <v>31</v>
      </c>
      <c r="M52" s="11" t="str">
        <f t="shared" si="4"/>
        <v>Poşet-15 cm Mutlukal Taco</v>
      </c>
      <c r="N52" s="11" t="str">
        <f t="shared" si="5"/>
        <v>2023-M0612</v>
      </c>
      <c r="O52" s="35">
        <f t="shared" si="6"/>
        <v>45655</v>
      </c>
    </row>
    <row r="53" spans="2:15" x14ac:dyDescent="0.2">
      <c r="B53" s="6">
        <v>45304</v>
      </c>
      <c r="C53" s="1" t="s">
        <v>255</v>
      </c>
      <c r="D53" s="1" t="str">
        <f>IF(C53="","",VLOOKUP(C53,Bilgiler!D:E,2,0))</f>
        <v>150.01.305</v>
      </c>
      <c r="E53" s="1" t="s">
        <v>324</v>
      </c>
      <c r="F53" s="6">
        <v>45654</v>
      </c>
      <c r="G53" s="1" t="s">
        <v>30</v>
      </c>
      <c r="H53" s="1" t="s">
        <v>10</v>
      </c>
      <c r="I53" s="1" t="s">
        <v>325</v>
      </c>
      <c r="J53" s="16">
        <v>157500</v>
      </c>
      <c r="K53" s="1" t="str">
        <f t="shared" si="0"/>
        <v>Poşet--15 cm Mutlukal Tortillas Mavi Değişken2023-M0612</v>
      </c>
      <c r="L53" s="1">
        <f>IF(K53="","",IFERROR(VLOOKUP(K53,$K$2:L52,2,0),MAX($L$2:L52)+1))</f>
        <v>32</v>
      </c>
      <c r="M53" s="1" t="str">
        <f t="shared" si="4"/>
        <v>Poşet--15 cm Mutlukal Tortillas Mavi Değişken</v>
      </c>
      <c r="N53" s="1" t="str">
        <f t="shared" si="5"/>
        <v>2023-M0612</v>
      </c>
      <c r="O53" s="6">
        <f t="shared" si="6"/>
        <v>45654</v>
      </c>
    </row>
    <row r="54" spans="2:15" x14ac:dyDescent="0.2">
      <c r="B54" s="8">
        <v>45304</v>
      </c>
      <c r="C54" s="7" t="s">
        <v>252</v>
      </c>
      <c r="D54" s="11" t="str">
        <f>IF(C54="","",VLOOKUP(C54,Bilgiler!D:E,2,0))</f>
        <v>150.01.295</v>
      </c>
      <c r="E54" s="7" t="s">
        <v>324</v>
      </c>
      <c r="F54" s="8">
        <v>45635</v>
      </c>
      <c r="G54" s="7" t="s">
        <v>30</v>
      </c>
      <c r="H54" s="7" t="s">
        <v>10</v>
      </c>
      <c r="I54" s="7" t="s">
        <v>325</v>
      </c>
      <c r="J54" s="17">
        <v>144000</v>
      </c>
      <c r="K54" s="11" t="str">
        <f t="shared" si="0"/>
        <v>Poşet-25 cm Mutlukal Tortillas 260 Gr ( Rusca )2023-M0612</v>
      </c>
      <c r="L54" s="11">
        <f>IF(K54="","",IFERROR(VLOOKUP(K54,$K$2:L53,2,0),MAX($L$2:L53)+1))</f>
        <v>33</v>
      </c>
      <c r="M54" s="11" t="str">
        <f t="shared" si="4"/>
        <v>Poşet-25 cm Mutlukal Tortillas 260 Gr ( Rusca )</v>
      </c>
      <c r="N54" s="11" t="str">
        <f t="shared" si="5"/>
        <v>2023-M0612</v>
      </c>
      <c r="O54" s="35">
        <f t="shared" si="6"/>
        <v>45635</v>
      </c>
    </row>
    <row r="55" spans="2:15" x14ac:dyDescent="0.2">
      <c r="B55" s="6">
        <v>45309</v>
      </c>
      <c r="C55" s="1" t="s">
        <v>252</v>
      </c>
      <c r="D55" s="1" t="str">
        <f>IF(C55="","",VLOOKUP(C55,Bilgiler!D:E,2,0))</f>
        <v>150.01.295</v>
      </c>
      <c r="E55" s="1" t="s">
        <v>296</v>
      </c>
      <c r="F55" s="6">
        <v>45456</v>
      </c>
      <c r="G55" s="1" t="s">
        <v>30</v>
      </c>
      <c r="H55" s="1" t="s">
        <v>10</v>
      </c>
      <c r="I55" s="1" t="s">
        <v>291</v>
      </c>
      <c r="J55" s="16">
        <v>235200</v>
      </c>
      <c r="K55" s="1" t="str">
        <f t="shared" si="0"/>
        <v>Poşet-25 cm Mutlukal Tortillas 260 Gr ( Rusca )MAT007938</v>
      </c>
      <c r="L55" s="1">
        <f>IF(K55="","",IFERROR(VLOOKUP(K55,$K$2:L54,2,0),MAX($L$2:L54)+1))</f>
        <v>1</v>
      </c>
      <c r="M55" s="1" t="str">
        <f t="shared" si="4"/>
        <v>Poşet-25 cm Mutlukal Tortillas 260 Gr ( Rusca )</v>
      </c>
      <c r="N55" s="1" t="str">
        <f t="shared" si="5"/>
        <v>MAT007938</v>
      </c>
      <c r="O55" s="6">
        <f t="shared" si="6"/>
        <v>45456</v>
      </c>
    </row>
    <row r="56" spans="2:15" x14ac:dyDescent="0.2">
      <c r="B56" s="8">
        <v>45310</v>
      </c>
      <c r="C56" s="7" t="s">
        <v>252</v>
      </c>
      <c r="D56" s="11" t="str">
        <f>IF(C56="","",VLOOKUP(C56,Bilgiler!D:E,2,0))</f>
        <v>150.01.295</v>
      </c>
      <c r="E56" s="7" t="s">
        <v>326</v>
      </c>
      <c r="F56" s="8">
        <v>45551</v>
      </c>
      <c r="G56" s="7" t="s">
        <v>30</v>
      </c>
      <c r="H56" s="7" t="s">
        <v>10</v>
      </c>
      <c r="I56" s="7" t="s">
        <v>325</v>
      </c>
      <c r="J56" s="17">
        <v>216000</v>
      </c>
      <c r="K56" s="11" t="str">
        <f t="shared" si="0"/>
        <v>Poşet-25 cm Mutlukal Tortillas 260 Gr ( Rusca )2023M0612</v>
      </c>
      <c r="L56" s="11">
        <f>IF(K56="","",IFERROR(VLOOKUP(K56,$K$2:L55,2,0),MAX($L$2:L55)+1))</f>
        <v>34</v>
      </c>
      <c r="M56" s="11" t="str">
        <f t="shared" si="4"/>
        <v>Poşet-25 cm Mutlukal Tortillas 260 Gr ( Rusca )</v>
      </c>
      <c r="N56" s="11" t="str">
        <f t="shared" si="5"/>
        <v>2023M0612</v>
      </c>
      <c r="O56" s="35">
        <f t="shared" si="6"/>
        <v>45551</v>
      </c>
    </row>
    <row r="57" spans="2:15" x14ac:dyDescent="0.2">
      <c r="B57" s="6">
        <v>45310</v>
      </c>
      <c r="C57" s="1" t="s">
        <v>254</v>
      </c>
      <c r="D57" s="1" t="str">
        <f>IF(C57="","",VLOOKUP(C57,Bilgiler!D:E,2,0))</f>
        <v>150.01.301</v>
      </c>
      <c r="E57" s="1" t="s">
        <v>327</v>
      </c>
      <c r="F57" s="6">
        <v>45565</v>
      </c>
      <c r="G57" s="1" t="s">
        <v>30</v>
      </c>
      <c r="H57" s="1" t="s">
        <v>10</v>
      </c>
      <c r="I57" s="1" t="s">
        <v>325</v>
      </c>
      <c r="J57" s="16">
        <v>54600</v>
      </c>
      <c r="K57" s="1" t="str">
        <f t="shared" si="0"/>
        <v>Poşet-15 cm Mutlukal Taco2023M3312</v>
      </c>
      <c r="L57" s="1">
        <f>IF(K57="","",IFERROR(VLOOKUP(K57,$K$2:L56,2,0),MAX($L$2:L56)+1))</f>
        <v>35</v>
      </c>
      <c r="M57" s="1" t="str">
        <f t="shared" si="4"/>
        <v>Poşet-15 cm Mutlukal Taco</v>
      </c>
      <c r="N57" s="1" t="str">
        <f t="shared" si="5"/>
        <v>2023M3312</v>
      </c>
      <c r="O57" s="6">
        <f t="shared" si="6"/>
        <v>45565</v>
      </c>
    </row>
    <row r="58" spans="2:15" x14ac:dyDescent="0.2">
      <c r="B58" s="8">
        <v>45313</v>
      </c>
      <c r="C58" s="7" t="s">
        <v>252</v>
      </c>
      <c r="D58" s="11" t="str">
        <f>IF(C58="","",VLOOKUP(C58,Bilgiler!D:E,2,0))</f>
        <v>150.01.295</v>
      </c>
      <c r="E58" s="7" t="s">
        <v>296</v>
      </c>
      <c r="F58" s="8">
        <v>45552</v>
      </c>
      <c r="G58" s="7" t="s">
        <v>30</v>
      </c>
      <c r="H58" s="7" t="s">
        <v>10</v>
      </c>
      <c r="I58" s="7" t="s">
        <v>291</v>
      </c>
      <c r="J58" s="17">
        <v>51800</v>
      </c>
      <c r="K58" s="11" t="str">
        <f t="shared" si="0"/>
        <v>Poşet-25 cm Mutlukal Tortillas 260 Gr ( Rusca )MAT007938</v>
      </c>
      <c r="L58" s="11">
        <f>IF(K58="","",IFERROR(VLOOKUP(K58,$K$2:L57,2,0),MAX($L$2:L57)+1))</f>
        <v>1</v>
      </c>
      <c r="M58" s="11" t="str">
        <f t="shared" si="4"/>
        <v>Poşet-25 cm Mutlukal Tortillas 260 Gr ( Rusca )</v>
      </c>
      <c r="N58" s="11" t="str">
        <f t="shared" si="5"/>
        <v>MAT007938</v>
      </c>
      <c r="O58" s="35">
        <f t="shared" si="6"/>
        <v>45552</v>
      </c>
    </row>
    <row r="59" spans="2:15" x14ac:dyDescent="0.2">
      <c r="B59" s="6">
        <v>45316</v>
      </c>
      <c r="C59" s="1" t="s">
        <v>188</v>
      </c>
      <c r="D59" s="1" t="str">
        <f>IF(C59="","",VLOOKUP(C59,Bilgiler!D:E,2,0))</f>
        <v>150.01.148</v>
      </c>
      <c r="E59" s="1" t="s">
        <v>328</v>
      </c>
      <c r="F59" s="6">
        <v>45496</v>
      </c>
      <c r="G59" s="1" t="s">
        <v>30</v>
      </c>
      <c r="H59" s="1" t="s">
        <v>10</v>
      </c>
      <c r="I59" s="1" t="s">
        <v>291</v>
      </c>
      <c r="J59" s="16">
        <v>79800</v>
      </c>
      <c r="K59" s="1" t="str">
        <f t="shared" si="0"/>
        <v>Poşet-25 cm Tortillove DeğişkenMAT008236</v>
      </c>
      <c r="L59" s="1">
        <f>IF(K59="","",IFERROR(VLOOKUP(K59,$K$2:L58,2,0),MAX($L$2:L58)+1))</f>
        <v>36</v>
      </c>
      <c r="M59" s="1" t="str">
        <f t="shared" si="4"/>
        <v>Poşet-25 cm Tortillove Değişken</v>
      </c>
      <c r="N59" s="1" t="str">
        <f t="shared" si="5"/>
        <v>MAT008236</v>
      </c>
      <c r="O59" s="6">
        <f t="shared" si="6"/>
        <v>45496</v>
      </c>
    </row>
    <row r="60" spans="2:15" x14ac:dyDescent="0.2">
      <c r="B60" s="8">
        <v>45321</v>
      </c>
      <c r="C60" s="7" t="s">
        <v>252</v>
      </c>
      <c r="D60" s="11" t="str">
        <f>IF(C60="","",VLOOKUP(C60,Bilgiler!D:E,2,0))</f>
        <v>150.01.295</v>
      </c>
      <c r="E60" s="8">
        <v>45321</v>
      </c>
      <c r="F60" s="8">
        <v>45503</v>
      </c>
      <c r="G60" s="7" t="s">
        <v>30</v>
      </c>
      <c r="H60" s="7" t="s">
        <v>10</v>
      </c>
      <c r="I60" s="7" t="s">
        <v>325</v>
      </c>
      <c r="J60" s="17">
        <v>213600</v>
      </c>
      <c r="K60" s="11" t="str">
        <f t="shared" si="0"/>
        <v>Poşet-25 cm Mutlukal Tortillas 260 Gr ( Rusca )45321</v>
      </c>
      <c r="L60" s="11">
        <f>IF(K60="","",IFERROR(VLOOKUP(K60,$K$2:L59,2,0),MAX($L$2:L59)+1))</f>
        <v>37</v>
      </c>
      <c r="M60" s="11" t="str">
        <f t="shared" si="4"/>
        <v>Poşet-25 cm Mutlukal Tortillas 260 Gr ( Rusca )</v>
      </c>
      <c r="N60" s="11">
        <f t="shared" si="5"/>
        <v>45321</v>
      </c>
      <c r="O60" s="35">
        <f t="shared" si="6"/>
        <v>45503</v>
      </c>
    </row>
    <row r="61" spans="2:15" x14ac:dyDescent="0.2">
      <c r="B61" s="6">
        <v>45323</v>
      </c>
      <c r="C61" s="1" t="s">
        <v>252</v>
      </c>
      <c r="D61" s="1" t="str">
        <f>IF(C61="","",VLOOKUP(C61,Bilgiler!D:E,2,0))</f>
        <v>150.01.295</v>
      </c>
      <c r="E61" s="1" t="s">
        <v>329</v>
      </c>
      <c r="F61" s="6">
        <v>45502</v>
      </c>
      <c r="G61" s="1" t="s">
        <v>30</v>
      </c>
      <c r="H61" s="1" t="s">
        <v>10</v>
      </c>
      <c r="I61" s="1" t="s">
        <v>291</v>
      </c>
      <c r="J61" s="16">
        <v>352800</v>
      </c>
      <c r="K61" s="1" t="str">
        <f t="shared" si="0"/>
        <v>Poşet-25 cm Mutlukal Tortillas 260 Gr ( Rusca )MAT008162</v>
      </c>
      <c r="L61" s="1">
        <f>IF(K61="","",IFERROR(VLOOKUP(K61,$K$2:L60,2,0),MAX($L$2:L60)+1))</f>
        <v>38</v>
      </c>
      <c r="M61" s="1" t="str">
        <f t="shared" si="4"/>
        <v>Poşet-25 cm Mutlukal Tortillas 260 Gr ( Rusca )</v>
      </c>
      <c r="N61" s="1" t="str">
        <f t="shared" si="5"/>
        <v>MAT008162</v>
      </c>
      <c r="O61" s="6">
        <f t="shared" si="6"/>
        <v>45502</v>
      </c>
    </row>
    <row r="62" spans="2:15" x14ac:dyDescent="0.2">
      <c r="B62" s="8">
        <v>45323</v>
      </c>
      <c r="C62" s="7" t="s">
        <v>191</v>
      </c>
      <c r="D62" s="11" t="str">
        <f>IF(C62="","",VLOOKUP(C62,Bilgiler!D:E,2,0))</f>
        <v>150.01.163</v>
      </c>
      <c r="E62" s="7" t="s">
        <v>330</v>
      </c>
      <c r="F62" s="8">
        <v>45498</v>
      </c>
      <c r="G62" s="7" t="s">
        <v>30</v>
      </c>
      <c r="H62" s="7" t="s">
        <v>10</v>
      </c>
      <c r="I62" s="7" t="s">
        <v>291</v>
      </c>
      <c r="J62" s="17">
        <v>50400</v>
      </c>
      <c r="K62" s="11" t="str">
        <f t="shared" si="0"/>
        <v>Poşet-30 cm Tortillove DeğişkenMAT008237</v>
      </c>
      <c r="L62" s="11">
        <f>IF(K62="","",IFERROR(VLOOKUP(K62,$K$2:L61,2,0),MAX($L$2:L61)+1))</f>
        <v>39</v>
      </c>
      <c r="M62" s="11" t="str">
        <f t="shared" si="4"/>
        <v>Poşet-30 cm Tortillove Değişken</v>
      </c>
      <c r="N62" s="11" t="str">
        <f t="shared" si="5"/>
        <v>MAT008237</v>
      </c>
      <c r="O62" s="35">
        <f t="shared" si="6"/>
        <v>45498</v>
      </c>
    </row>
    <row r="63" spans="2:15" x14ac:dyDescent="0.2">
      <c r="B63" s="6">
        <v>45330</v>
      </c>
      <c r="C63" s="1" t="s">
        <v>252</v>
      </c>
      <c r="D63" s="1" t="str">
        <f>IF(C63="","",VLOOKUP(C63,Bilgiler!D:E,2,0))</f>
        <v>150.01.295</v>
      </c>
      <c r="E63" s="1" t="s">
        <v>329</v>
      </c>
      <c r="F63" s="6">
        <v>45503</v>
      </c>
      <c r="G63" s="1" t="s">
        <v>30</v>
      </c>
      <c r="H63" s="1" t="s">
        <v>10</v>
      </c>
      <c r="I63" s="1" t="s">
        <v>291</v>
      </c>
      <c r="J63" s="16">
        <v>257150</v>
      </c>
      <c r="K63" s="1" t="str">
        <f t="shared" si="0"/>
        <v>Poşet-25 cm Mutlukal Tortillas 260 Gr ( Rusca )MAT008162</v>
      </c>
      <c r="L63" s="1">
        <f>IF(K63="","",IFERROR(VLOOKUP(K63,$K$2:L62,2,0),MAX($L$2:L62)+1))</f>
        <v>38</v>
      </c>
      <c r="M63" s="1" t="str">
        <f t="shared" si="4"/>
        <v>Poşet-25 cm Mutlukal Tortillas 260 Gr ( Rusca )</v>
      </c>
      <c r="N63" s="1" t="str">
        <f t="shared" si="5"/>
        <v>MAT008162</v>
      </c>
      <c r="O63" s="6">
        <f t="shared" si="6"/>
        <v>45503</v>
      </c>
    </row>
    <row r="64" spans="2:15" x14ac:dyDescent="0.2">
      <c r="B64" s="8">
        <v>45330</v>
      </c>
      <c r="C64" s="7" t="s">
        <v>257</v>
      </c>
      <c r="D64" s="11" t="str">
        <f>IF(C64="","",VLOOKUP(C64,Bilgiler!D:E,2,0))</f>
        <v>150.01.307</v>
      </c>
      <c r="E64" s="7" t="s">
        <v>331</v>
      </c>
      <c r="F64" s="8">
        <v>45507</v>
      </c>
      <c r="G64" s="7" t="s">
        <v>30</v>
      </c>
      <c r="H64" s="7" t="s">
        <v>10</v>
      </c>
      <c r="I64" s="7" t="s">
        <v>291</v>
      </c>
      <c r="J64" s="17">
        <v>79800</v>
      </c>
      <c r="K64" s="11" t="str">
        <f t="shared" si="0"/>
        <v>Poşet-25 cm Mutlukal Tortillas Mavi DeğişkenMAT008293</v>
      </c>
      <c r="L64" s="11">
        <f>IF(K64="","",IFERROR(VLOOKUP(K64,$K$2:L63,2,0),MAX($L$2:L63)+1))</f>
        <v>40</v>
      </c>
      <c r="M64" s="11" t="str">
        <f t="shared" si="4"/>
        <v>Poşet-25 cm Mutlukal Tortillas Mavi Değişken</v>
      </c>
      <c r="N64" s="11" t="str">
        <f t="shared" si="5"/>
        <v>MAT008293</v>
      </c>
      <c r="O64" s="35">
        <f t="shared" si="6"/>
        <v>45507</v>
      </c>
    </row>
    <row r="65" spans="2:15" x14ac:dyDescent="0.2">
      <c r="B65" s="6">
        <v>45337</v>
      </c>
      <c r="C65" s="1" t="s">
        <v>252</v>
      </c>
      <c r="D65" s="1" t="str">
        <f>IF(C65="","",VLOOKUP(C65,Bilgiler!D:E,2,0))</f>
        <v>150.01.295</v>
      </c>
      <c r="E65" s="1" t="s">
        <v>329</v>
      </c>
      <c r="F65" s="6">
        <v>45633</v>
      </c>
      <c r="G65" s="1" t="s">
        <v>30</v>
      </c>
      <c r="H65" s="1" t="s">
        <v>10</v>
      </c>
      <c r="I65" s="1" t="s">
        <v>291</v>
      </c>
      <c r="J65" s="16">
        <f>1400*40</f>
        <v>56000</v>
      </c>
      <c r="K65" s="1" t="str">
        <f t="shared" si="0"/>
        <v>Poşet-25 cm Mutlukal Tortillas 260 Gr ( Rusca )MAT008162</v>
      </c>
      <c r="L65" s="1">
        <f>IF(K65="","",IFERROR(VLOOKUP(K65,$K$2:L64,2,0),MAX($L$2:L64)+1))</f>
        <v>38</v>
      </c>
      <c r="M65" s="1" t="str">
        <f t="shared" si="4"/>
        <v>Poşet-25 cm Mutlukal Tortillas 260 Gr ( Rusca )</v>
      </c>
      <c r="N65" s="1" t="str">
        <f t="shared" si="5"/>
        <v>MAT008162</v>
      </c>
      <c r="O65" s="6">
        <f t="shared" si="6"/>
        <v>45633</v>
      </c>
    </row>
    <row r="66" spans="2:15" x14ac:dyDescent="0.2">
      <c r="B66" s="8">
        <v>45341</v>
      </c>
      <c r="C66" s="7" t="s">
        <v>252</v>
      </c>
      <c r="D66" s="11" t="str">
        <f>IF(C66="","",VLOOKUP(C66,Bilgiler!D:E,2,0))</f>
        <v>150.01.295</v>
      </c>
      <c r="E66" s="7" t="s">
        <v>329</v>
      </c>
      <c r="F66" s="8">
        <v>45642</v>
      </c>
      <c r="G66" s="7" t="s">
        <v>30</v>
      </c>
      <c r="H66" s="7" t="s">
        <v>10</v>
      </c>
      <c r="I66" s="7" t="s">
        <v>291</v>
      </c>
      <c r="J66" s="17">
        <v>235200</v>
      </c>
      <c r="K66" s="11" t="str">
        <f t="shared" si="0"/>
        <v>Poşet-25 cm Mutlukal Tortillas 260 Gr ( Rusca )MAT008162</v>
      </c>
      <c r="L66" s="11">
        <f>IF(K66="","",IFERROR(VLOOKUP(K66,$K$2:L65,2,0),MAX($L$2:L65)+1))</f>
        <v>38</v>
      </c>
      <c r="M66" s="11" t="str">
        <f t="shared" si="4"/>
        <v>Poşet-25 cm Mutlukal Tortillas 260 Gr ( Rusca )</v>
      </c>
      <c r="N66" s="11" t="str">
        <f t="shared" si="5"/>
        <v>MAT008162</v>
      </c>
      <c r="O66" s="35">
        <f t="shared" si="6"/>
        <v>45642</v>
      </c>
    </row>
    <row r="67" spans="2:15" x14ac:dyDescent="0.2">
      <c r="B67" s="6">
        <v>45348</v>
      </c>
      <c r="C67" s="1" t="s">
        <v>252</v>
      </c>
      <c r="D67" s="1" t="str">
        <f>IF(C67="","",VLOOKUP(C67,Bilgiler!D:E,2,0))</f>
        <v>150.01.295</v>
      </c>
      <c r="E67" s="1" t="s">
        <v>329</v>
      </c>
      <c r="F67" s="6">
        <v>45648</v>
      </c>
      <c r="G67" s="1" t="s">
        <v>30</v>
      </c>
      <c r="H67" s="1" t="s">
        <v>10</v>
      </c>
      <c r="I67" s="1" t="s">
        <v>291</v>
      </c>
      <c r="J67" s="16">
        <v>294000</v>
      </c>
      <c r="K67" s="1" t="str">
        <f t="shared" si="0"/>
        <v>Poşet-25 cm Mutlukal Tortillas 260 Gr ( Rusca )MAT008162</v>
      </c>
      <c r="L67" s="1">
        <f>IF(K67="","",IFERROR(VLOOKUP(K67,$K$2:L66,2,0),MAX($L$2:L66)+1))</f>
        <v>38</v>
      </c>
      <c r="M67" s="1" t="str">
        <f t="shared" si="4"/>
        <v>Poşet-25 cm Mutlukal Tortillas 260 Gr ( Rusca )</v>
      </c>
      <c r="N67" s="1" t="str">
        <f t="shared" si="5"/>
        <v>MAT008162</v>
      </c>
      <c r="O67" s="6">
        <f t="shared" si="6"/>
        <v>45648</v>
      </c>
    </row>
    <row r="68" spans="2:15" x14ac:dyDescent="0.2">
      <c r="B68" s="8">
        <v>45350</v>
      </c>
      <c r="C68" s="7" t="s">
        <v>252</v>
      </c>
      <c r="D68" s="11" t="str">
        <f>IF(C68="","",VLOOKUP(C68,Bilgiler!D:E,2,0))</f>
        <v>150.01.295</v>
      </c>
      <c r="E68" s="7" t="s">
        <v>329</v>
      </c>
      <c r="F68" s="8">
        <v>45654</v>
      </c>
      <c r="G68" s="7" t="s">
        <v>30</v>
      </c>
      <c r="H68" s="7" t="s">
        <v>10</v>
      </c>
      <c r="I68" s="7" t="s">
        <v>291</v>
      </c>
      <c r="J68" s="17">
        <f>13*1400</f>
        <v>18200</v>
      </c>
      <c r="K68" s="11" t="str">
        <f t="shared" ref="K68:K131" si="7">IF(C68="","",CONCATENATE(C68,E68))</f>
        <v>Poşet-25 cm Mutlukal Tortillas 260 Gr ( Rusca )MAT008162</v>
      </c>
      <c r="L68" s="11">
        <f>IF(K68="","",IFERROR(VLOOKUP(K68,$K$2:L67,2,0),MAX($L$2:L67)+1))</f>
        <v>38</v>
      </c>
      <c r="M68" s="11" t="str">
        <f t="shared" si="4"/>
        <v>Poşet-25 cm Mutlukal Tortillas 260 Gr ( Rusca )</v>
      </c>
      <c r="N68" s="11" t="str">
        <f t="shared" si="5"/>
        <v>MAT008162</v>
      </c>
      <c r="O68" s="35">
        <f t="shared" si="6"/>
        <v>45654</v>
      </c>
    </row>
    <row r="69" spans="2:15" x14ac:dyDescent="0.2">
      <c r="B69" s="6">
        <v>45350</v>
      </c>
      <c r="C69" s="1" t="s">
        <v>254</v>
      </c>
      <c r="D69" s="1" t="str">
        <f>IF(C69="","",VLOOKUP(C69,Bilgiler!D:E,2,0))</f>
        <v>150.01.301</v>
      </c>
      <c r="E69" s="1" t="s">
        <v>332</v>
      </c>
      <c r="F69" s="6">
        <v>45653</v>
      </c>
      <c r="G69" s="1" t="s">
        <v>30</v>
      </c>
      <c r="H69" s="1" t="s">
        <v>10</v>
      </c>
      <c r="I69" s="1" t="s">
        <v>291</v>
      </c>
      <c r="J69" s="16">
        <v>46000</v>
      </c>
      <c r="K69" s="1" t="str">
        <f t="shared" si="7"/>
        <v>Poşet-15 cm Mutlukal TacoMAT008309</v>
      </c>
      <c r="L69" s="1">
        <f>IF(K69="","",IFERROR(VLOOKUP(K69,$K$2:L68,2,0),MAX($L$2:L68)+1))</f>
        <v>41</v>
      </c>
      <c r="M69" s="1" t="str">
        <f t="shared" si="4"/>
        <v>Poşet-15 cm Mutlukal Taco</v>
      </c>
      <c r="N69" s="1" t="str">
        <f t="shared" si="5"/>
        <v>MAT008309</v>
      </c>
      <c r="O69" s="6">
        <f t="shared" si="6"/>
        <v>45653</v>
      </c>
    </row>
    <row r="70" spans="2:15" x14ac:dyDescent="0.2">
      <c r="B70" s="8">
        <v>45353</v>
      </c>
      <c r="C70" s="7" t="s">
        <v>252</v>
      </c>
      <c r="D70" s="11" t="str">
        <f>IF(C70="","",VLOOKUP(C70,Bilgiler!D:E,2,0))</f>
        <v>150.01.295</v>
      </c>
      <c r="E70" s="7" t="s">
        <v>329</v>
      </c>
      <c r="F70" s="8">
        <v>45658</v>
      </c>
      <c r="G70" s="7" t="s">
        <v>30</v>
      </c>
      <c r="H70" s="7" t="s">
        <v>10</v>
      </c>
      <c r="I70" s="7" t="s">
        <v>291</v>
      </c>
      <c r="J70" s="17">
        <f>42*1400</f>
        <v>58800</v>
      </c>
      <c r="K70" s="11" t="str">
        <f t="shared" si="7"/>
        <v>Poşet-25 cm Mutlukal Tortillas 260 Gr ( Rusca )MAT008162</v>
      </c>
      <c r="L70" s="11">
        <f>IF(K70="","",IFERROR(VLOOKUP(K70,$K$2:L69,2,0),MAX($L$2:L69)+1))</f>
        <v>38</v>
      </c>
      <c r="M70" s="11" t="str">
        <f t="shared" ref="M70:M133" si="8">IF(K70="","",C70)</f>
        <v>Poşet-25 cm Mutlukal Tortillas 260 Gr ( Rusca )</v>
      </c>
      <c r="N70" s="11" t="str">
        <f t="shared" ref="N70:N133" si="9">IF(K70="","",E70)</f>
        <v>MAT008162</v>
      </c>
      <c r="O70" s="35">
        <f t="shared" ref="O70:O133" si="10">IF(K70="","",F70)</f>
        <v>45658</v>
      </c>
    </row>
    <row r="71" spans="2:15" x14ac:dyDescent="0.2">
      <c r="B71" s="6">
        <v>45353</v>
      </c>
      <c r="C71" s="1" t="s">
        <v>254</v>
      </c>
      <c r="D71" s="1" t="str">
        <f>IF(C71="","",VLOOKUP(C71,Bilgiler!D:E,2,0))</f>
        <v>150.01.301</v>
      </c>
      <c r="E71" s="1" t="s">
        <v>332</v>
      </c>
      <c r="F71" s="6">
        <v>45658</v>
      </c>
      <c r="G71" s="1" t="s">
        <v>30</v>
      </c>
      <c r="H71" s="1" t="s">
        <v>10</v>
      </c>
      <c r="I71" s="1" t="s">
        <v>291</v>
      </c>
      <c r="J71" s="16">
        <f>126*2000+1466</f>
        <v>253466</v>
      </c>
      <c r="K71" s="1" t="str">
        <f t="shared" si="7"/>
        <v>Poşet-15 cm Mutlukal TacoMAT008309</v>
      </c>
      <c r="L71" s="1">
        <f>IF(K71="","",IFERROR(VLOOKUP(K71,$K$2:L70,2,0),MAX($L$2:L70)+1))</f>
        <v>41</v>
      </c>
      <c r="M71" s="1" t="str">
        <f t="shared" si="8"/>
        <v>Poşet-15 cm Mutlukal Taco</v>
      </c>
      <c r="N71" s="1" t="str">
        <f t="shared" si="9"/>
        <v>MAT008309</v>
      </c>
      <c r="O71" s="6">
        <f t="shared" si="10"/>
        <v>45658</v>
      </c>
    </row>
    <row r="72" spans="2:15" x14ac:dyDescent="0.2">
      <c r="B72" s="8">
        <v>45362</v>
      </c>
      <c r="C72" s="7" t="s">
        <v>252</v>
      </c>
      <c r="D72" s="11" t="str">
        <f>IF(C72="","",VLOOKUP(C72,Bilgiler!D:E,2,0))</f>
        <v>150.01.295</v>
      </c>
      <c r="E72" s="7" t="s">
        <v>329</v>
      </c>
      <c r="F72" s="8">
        <v>45607</v>
      </c>
      <c r="G72" s="7" t="s">
        <v>30</v>
      </c>
      <c r="H72" s="7" t="s">
        <v>10</v>
      </c>
      <c r="I72" s="7" t="s">
        <v>291</v>
      </c>
      <c r="J72" s="17">
        <v>235200</v>
      </c>
      <c r="K72" s="11" t="str">
        <f t="shared" si="7"/>
        <v>Poşet-25 cm Mutlukal Tortillas 260 Gr ( Rusca )MAT008162</v>
      </c>
      <c r="L72" s="11">
        <f>IF(K72="","",IFERROR(VLOOKUP(K72,$K$2:L71,2,0),MAX($L$2:L71)+1))</f>
        <v>38</v>
      </c>
      <c r="M72" s="11" t="str">
        <f t="shared" si="8"/>
        <v>Poşet-25 cm Mutlukal Tortillas 260 Gr ( Rusca )</v>
      </c>
      <c r="N72" s="11" t="str">
        <f t="shared" si="9"/>
        <v>MAT008162</v>
      </c>
      <c r="O72" s="35">
        <f t="shared" si="10"/>
        <v>45607</v>
      </c>
    </row>
    <row r="73" spans="2:15" x14ac:dyDescent="0.2">
      <c r="B73" s="6">
        <v>45366</v>
      </c>
      <c r="C73" s="1" t="s">
        <v>252</v>
      </c>
      <c r="D73" s="1" t="str">
        <f>IF(C73="","",VLOOKUP(C73,Bilgiler!D:E,2,0))</f>
        <v>150.01.295</v>
      </c>
      <c r="E73" s="1" t="s">
        <v>329</v>
      </c>
      <c r="F73" s="6">
        <v>45635</v>
      </c>
      <c r="G73" s="1" t="s">
        <v>30</v>
      </c>
      <c r="H73" s="1" t="s">
        <v>10</v>
      </c>
      <c r="I73" s="1" t="s">
        <v>291</v>
      </c>
      <c r="J73" s="16">
        <v>176400</v>
      </c>
      <c r="K73" s="1" t="str">
        <f t="shared" si="7"/>
        <v>Poşet-25 cm Mutlukal Tortillas 260 Gr ( Rusca )MAT008162</v>
      </c>
      <c r="L73" s="1">
        <f>IF(K73="","",IFERROR(VLOOKUP(K73,$K$2:L72,2,0),MAX($L$2:L72)+1))</f>
        <v>38</v>
      </c>
      <c r="M73" s="1" t="str">
        <f t="shared" si="8"/>
        <v>Poşet-25 cm Mutlukal Tortillas 260 Gr ( Rusca )</v>
      </c>
      <c r="N73" s="1" t="str">
        <f t="shared" si="9"/>
        <v>MAT008162</v>
      </c>
      <c r="O73" s="6">
        <f t="shared" si="10"/>
        <v>45635</v>
      </c>
    </row>
    <row r="74" spans="2:15" x14ac:dyDescent="0.2">
      <c r="B74" s="8">
        <v>45366</v>
      </c>
      <c r="C74" s="7" t="s">
        <v>169</v>
      </c>
      <c r="D74" s="11" t="str">
        <f>IF(C74="","",VLOOKUP(C74,Bilgiler!D:E,2,0))</f>
        <v>150.01.044</v>
      </c>
      <c r="E74" s="7" t="s">
        <v>333</v>
      </c>
      <c r="F74" s="8">
        <v>45629</v>
      </c>
      <c r="G74" s="7" t="s">
        <v>30</v>
      </c>
      <c r="H74" s="7" t="s">
        <v>10</v>
      </c>
      <c r="I74" s="7" t="s">
        <v>291</v>
      </c>
      <c r="J74" s="17">
        <v>81200</v>
      </c>
      <c r="K74" s="11" t="str">
        <f t="shared" si="7"/>
        <v>Poşet-25 cm B.sız KilitliMAT008339</v>
      </c>
      <c r="L74" s="11">
        <f>IF(K74="","",IFERROR(VLOOKUP(K74,$K$2:L73,2,0),MAX($L$2:L73)+1))</f>
        <v>42</v>
      </c>
      <c r="M74" s="11" t="str">
        <f t="shared" si="8"/>
        <v>Poşet-25 cm B.sız Kilitli</v>
      </c>
      <c r="N74" s="11" t="str">
        <f t="shared" si="9"/>
        <v>MAT008339</v>
      </c>
      <c r="O74" s="35">
        <f t="shared" si="10"/>
        <v>45629</v>
      </c>
    </row>
    <row r="75" spans="2:15" x14ac:dyDescent="0.2">
      <c r="B75" s="6">
        <v>45366</v>
      </c>
      <c r="C75" s="1" t="s">
        <v>178</v>
      </c>
      <c r="D75" s="1" t="str">
        <f>IF(C75="","",VLOOKUP(C75,Bilgiler!D:E,2,0))</f>
        <v>150.01.064</v>
      </c>
      <c r="E75" s="1" t="s">
        <v>334</v>
      </c>
      <c r="F75" s="6">
        <v>45629</v>
      </c>
      <c r="G75" s="1" t="s">
        <v>30</v>
      </c>
      <c r="H75" s="1" t="s">
        <v>10</v>
      </c>
      <c r="I75" s="1" t="s">
        <v>291</v>
      </c>
      <c r="J75" s="16">
        <v>58800</v>
      </c>
      <c r="K75" s="1" t="str">
        <f t="shared" si="7"/>
        <v>Poşet-30 cm B.sız KilitliMAT008338</v>
      </c>
      <c r="L75" s="1">
        <f>IF(K75="","",IFERROR(VLOOKUP(K75,$K$2:L74,2,0),MAX($L$2:L74)+1))</f>
        <v>43</v>
      </c>
      <c r="M75" s="1" t="str">
        <f t="shared" si="8"/>
        <v>Poşet-30 cm B.sız Kilitli</v>
      </c>
      <c r="N75" s="1" t="str">
        <f t="shared" si="9"/>
        <v>MAT008338</v>
      </c>
      <c r="O75" s="6">
        <f t="shared" si="10"/>
        <v>45629</v>
      </c>
    </row>
    <row r="76" spans="2:15" x14ac:dyDescent="0.2">
      <c r="B76" s="8">
        <v>45371</v>
      </c>
      <c r="C76" s="7" t="s">
        <v>252</v>
      </c>
      <c r="D76" s="11" t="str">
        <f>IF(C76="","",VLOOKUP(C76,Bilgiler!D:E,2,0))</f>
        <v>150.01.295</v>
      </c>
      <c r="E76" s="7" t="s">
        <v>335</v>
      </c>
      <c r="F76" s="8">
        <v>45549</v>
      </c>
      <c r="G76" s="7" t="s">
        <v>30</v>
      </c>
      <c r="H76" s="7" t="s">
        <v>10</v>
      </c>
      <c r="I76" s="7" t="s">
        <v>291</v>
      </c>
      <c r="J76" s="17">
        <v>411600</v>
      </c>
      <c r="K76" s="11" t="str">
        <f t="shared" si="7"/>
        <v>Poşet-25 cm Mutlukal Tortillas 260 Gr ( Rusca )MAT008295</v>
      </c>
      <c r="L76" s="11">
        <f>IF(K76="","",IFERROR(VLOOKUP(K76,$K$2:L75,2,0),MAX($L$2:L75)+1))</f>
        <v>44</v>
      </c>
      <c r="M76" s="11" t="str">
        <f t="shared" si="8"/>
        <v>Poşet-25 cm Mutlukal Tortillas 260 Gr ( Rusca )</v>
      </c>
      <c r="N76" s="11" t="str">
        <f t="shared" si="9"/>
        <v>MAT008295</v>
      </c>
      <c r="O76" s="35">
        <f t="shared" si="10"/>
        <v>45549</v>
      </c>
    </row>
    <row r="77" spans="2:15" x14ac:dyDescent="0.2">
      <c r="B77" s="6">
        <v>45374</v>
      </c>
      <c r="C77" s="1" t="s">
        <v>252</v>
      </c>
      <c r="D77" s="1" t="str">
        <f>IF(C77="","",VLOOKUP(C77,Bilgiler!D:E,2,0))</f>
        <v>150.01.295</v>
      </c>
      <c r="E77" s="6">
        <v>45374</v>
      </c>
      <c r="F77" s="6">
        <v>45739</v>
      </c>
      <c r="G77" s="1" t="s">
        <v>30</v>
      </c>
      <c r="H77" s="1" t="s">
        <v>10</v>
      </c>
      <c r="I77" s="1" t="s">
        <v>325</v>
      </c>
      <c r="J77" s="16">
        <v>171600</v>
      </c>
      <c r="K77" s="1" t="str">
        <f t="shared" si="7"/>
        <v>Poşet-25 cm Mutlukal Tortillas 260 Gr ( Rusca )45374</v>
      </c>
      <c r="L77" s="1">
        <f>IF(K77="","",IFERROR(VLOOKUP(K77,$K$2:L76,2,0),MAX($L$2:L76)+1))</f>
        <v>45</v>
      </c>
      <c r="M77" s="1" t="str">
        <f t="shared" si="8"/>
        <v>Poşet-25 cm Mutlukal Tortillas 260 Gr ( Rusca )</v>
      </c>
      <c r="N77" s="1">
        <f t="shared" si="9"/>
        <v>45374</v>
      </c>
      <c r="O77" s="6">
        <f t="shared" si="10"/>
        <v>45739</v>
      </c>
    </row>
    <row r="78" spans="2:15" x14ac:dyDescent="0.2">
      <c r="B78" s="8">
        <v>45376</v>
      </c>
      <c r="C78" s="7" t="s">
        <v>252</v>
      </c>
      <c r="D78" s="11" t="str">
        <f>IF(C78="","",VLOOKUP(C78,Bilgiler!D:E,2,0))</f>
        <v>150.01.295</v>
      </c>
      <c r="E78" s="7" t="s">
        <v>335</v>
      </c>
      <c r="F78" s="8">
        <v>45645</v>
      </c>
      <c r="G78" s="7" t="s">
        <v>30</v>
      </c>
      <c r="H78" s="7" t="s">
        <v>10</v>
      </c>
      <c r="I78" s="7" t="s">
        <v>291</v>
      </c>
      <c r="J78" s="17">
        <v>56000</v>
      </c>
      <c r="K78" s="11" t="str">
        <f t="shared" si="7"/>
        <v>Poşet-25 cm Mutlukal Tortillas 260 Gr ( Rusca )MAT008295</v>
      </c>
      <c r="L78" s="11">
        <f>IF(K78="","",IFERROR(VLOOKUP(K78,$K$2:L77,2,0),MAX($L$2:L77)+1))</f>
        <v>44</v>
      </c>
      <c r="M78" s="11" t="str">
        <f t="shared" si="8"/>
        <v>Poşet-25 cm Mutlukal Tortillas 260 Gr ( Rusca )</v>
      </c>
      <c r="N78" s="11" t="str">
        <f t="shared" si="9"/>
        <v>MAT008295</v>
      </c>
      <c r="O78" s="35">
        <f t="shared" si="10"/>
        <v>45645</v>
      </c>
    </row>
    <row r="79" spans="2:15" x14ac:dyDescent="0.2">
      <c r="B79" s="6">
        <v>45376</v>
      </c>
      <c r="C79" s="1" t="s">
        <v>173</v>
      </c>
      <c r="D79" s="1" t="str">
        <f>IF(C79="","",VLOOKUP(C79,Bilgiler!D:E,2,0))</f>
        <v>150.01.055</v>
      </c>
      <c r="E79" s="1" t="s">
        <v>336</v>
      </c>
      <c r="F79" s="6">
        <v>45649</v>
      </c>
      <c r="G79" s="1" t="s">
        <v>30</v>
      </c>
      <c r="H79" s="1" t="s">
        <v>10</v>
      </c>
      <c r="I79" s="1" t="s">
        <v>291</v>
      </c>
      <c r="J79" s="16">
        <v>58800</v>
      </c>
      <c r="K79" s="1" t="str">
        <f t="shared" si="7"/>
        <v>Poşet-25 cm Nimet (Lam.Baskılı Zıp.Vakum )MAT008349</v>
      </c>
      <c r="L79" s="1">
        <f>IF(K79="","",IFERROR(VLOOKUP(K79,$K$2:L78,2,0),MAX($L$2:L78)+1))</f>
        <v>46</v>
      </c>
      <c r="M79" s="1" t="str">
        <f t="shared" si="8"/>
        <v>Poşet-25 cm Nimet (Lam.Baskılı Zıp.Vakum )</v>
      </c>
      <c r="N79" s="1" t="str">
        <f t="shared" si="9"/>
        <v>MAT008349</v>
      </c>
      <c r="O79" s="6">
        <f t="shared" si="10"/>
        <v>45649</v>
      </c>
    </row>
    <row r="80" spans="2:15" x14ac:dyDescent="0.2">
      <c r="B80" s="8">
        <v>45380</v>
      </c>
      <c r="C80" s="7" t="s">
        <v>173</v>
      </c>
      <c r="D80" s="11" t="str">
        <f>IF(C80="","",VLOOKUP(C80,Bilgiler!D:E,2,0))</f>
        <v>150.01.055</v>
      </c>
      <c r="E80" s="7" t="s">
        <v>336</v>
      </c>
      <c r="F80" s="8">
        <v>45649</v>
      </c>
      <c r="G80" s="7" t="s">
        <v>30</v>
      </c>
      <c r="H80" s="7" t="s">
        <v>10</v>
      </c>
      <c r="I80" s="7" t="s">
        <v>291</v>
      </c>
      <c r="J80" s="17">
        <v>86800</v>
      </c>
      <c r="K80" s="11" t="str">
        <f t="shared" si="7"/>
        <v>Poşet-25 cm Nimet (Lam.Baskılı Zıp.Vakum )MAT008349</v>
      </c>
      <c r="L80" s="11">
        <f>IF(K80="","",IFERROR(VLOOKUP(K80,$K$2:L79,2,0),MAX($L$2:L79)+1))</f>
        <v>46</v>
      </c>
      <c r="M80" s="11" t="str">
        <f t="shared" si="8"/>
        <v>Poşet-25 cm Nimet (Lam.Baskılı Zıp.Vakum )</v>
      </c>
      <c r="N80" s="11" t="str">
        <f t="shared" si="9"/>
        <v>MAT008349</v>
      </c>
      <c r="O80" s="35">
        <f t="shared" si="10"/>
        <v>45649</v>
      </c>
    </row>
    <row r="81" spans="2:15" x14ac:dyDescent="0.2">
      <c r="B81" s="6">
        <v>45380</v>
      </c>
      <c r="C81" s="1" t="s">
        <v>252</v>
      </c>
      <c r="D81" s="1" t="str">
        <f>IF(C81="","",VLOOKUP(C81,Bilgiler!D:E,2,0))</f>
        <v>150.01.295</v>
      </c>
      <c r="E81" s="1" t="s">
        <v>335</v>
      </c>
      <c r="F81" s="6">
        <v>45653</v>
      </c>
      <c r="G81" s="1" t="s">
        <v>30</v>
      </c>
      <c r="H81" s="1" t="s">
        <v>10</v>
      </c>
      <c r="I81" s="1" t="s">
        <v>291</v>
      </c>
      <c r="J81" s="16">
        <v>121800</v>
      </c>
      <c r="K81" s="1" t="str">
        <f t="shared" si="7"/>
        <v>Poşet-25 cm Mutlukal Tortillas 260 Gr ( Rusca )MAT008295</v>
      </c>
      <c r="L81" s="1">
        <f>IF(K81="","",IFERROR(VLOOKUP(K81,$K$2:L80,2,0),MAX($L$2:L80)+1))</f>
        <v>44</v>
      </c>
      <c r="M81" s="1" t="str">
        <f t="shared" si="8"/>
        <v>Poşet-25 cm Mutlukal Tortillas 260 Gr ( Rusca )</v>
      </c>
      <c r="N81" s="1" t="str">
        <f t="shared" si="9"/>
        <v>MAT008295</v>
      </c>
      <c r="O81" s="6">
        <f t="shared" si="10"/>
        <v>45653</v>
      </c>
    </row>
    <row r="82" spans="2:15" x14ac:dyDescent="0.2">
      <c r="B82" s="8">
        <v>45380</v>
      </c>
      <c r="C82" s="7" t="s">
        <v>191</v>
      </c>
      <c r="D82" s="11" t="str">
        <f>IF(C82="","",VLOOKUP(C82,Bilgiler!D:E,2,0))</f>
        <v>150.01.163</v>
      </c>
      <c r="E82" s="7" t="s">
        <v>337</v>
      </c>
      <c r="F82" s="8">
        <v>45653</v>
      </c>
      <c r="G82" s="7" t="s">
        <v>30</v>
      </c>
      <c r="H82" s="7" t="s">
        <v>10</v>
      </c>
      <c r="I82" s="7" t="s">
        <v>291</v>
      </c>
      <c r="J82" s="17">
        <v>15400</v>
      </c>
      <c r="K82" s="11" t="str">
        <f t="shared" si="7"/>
        <v>Poşet-30 cm Tortillove DeğişkenMAT008358</v>
      </c>
      <c r="L82" s="11">
        <f>IF(K82="","",IFERROR(VLOOKUP(K82,$K$2:L81,2,0),MAX($L$2:L81)+1))</f>
        <v>47</v>
      </c>
      <c r="M82" s="11" t="str">
        <f t="shared" si="8"/>
        <v>Poşet-30 cm Tortillove Değişken</v>
      </c>
      <c r="N82" s="11" t="str">
        <f t="shared" si="9"/>
        <v>MAT008358</v>
      </c>
      <c r="O82" s="35">
        <f t="shared" si="10"/>
        <v>45653</v>
      </c>
    </row>
    <row r="83" spans="2:15" x14ac:dyDescent="0.2">
      <c r="B83" s="6">
        <v>45383</v>
      </c>
      <c r="C83" s="1" t="s">
        <v>252</v>
      </c>
      <c r="D83" s="1" t="str">
        <f>IF(C83="","",VLOOKUP(C83,Bilgiler!D:E,2,0))</f>
        <v>150.01.295</v>
      </c>
      <c r="E83" s="1" t="s">
        <v>335</v>
      </c>
      <c r="F83" s="6">
        <v>45655</v>
      </c>
      <c r="G83" s="1" t="s">
        <v>30</v>
      </c>
      <c r="H83" s="1" t="s">
        <v>10</v>
      </c>
      <c r="I83" s="1" t="s">
        <v>291</v>
      </c>
      <c r="J83" s="16">
        <v>58800</v>
      </c>
      <c r="K83" s="1" t="str">
        <f t="shared" si="7"/>
        <v>Poşet-25 cm Mutlukal Tortillas 260 Gr ( Rusca )MAT008295</v>
      </c>
      <c r="L83" s="1">
        <f>IF(K83="","",IFERROR(VLOOKUP(K83,$K$2:L82,2,0),MAX($L$2:L82)+1))</f>
        <v>44</v>
      </c>
      <c r="M83" s="1" t="str">
        <f t="shared" si="8"/>
        <v>Poşet-25 cm Mutlukal Tortillas 260 Gr ( Rusca )</v>
      </c>
      <c r="N83" s="1" t="str">
        <f t="shared" si="9"/>
        <v>MAT008295</v>
      </c>
      <c r="O83" s="6">
        <f t="shared" si="10"/>
        <v>45655</v>
      </c>
    </row>
    <row r="84" spans="2:15" x14ac:dyDescent="0.2">
      <c r="B84" s="8">
        <v>45383</v>
      </c>
      <c r="C84" s="7" t="s">
        <v>187</v>
      </c>
      <c r="D84" s="11" t="str">
        <f>IF(C84="","",VLOOKUP(C84,Bilgiler!D:E,2,0))</f>
        <v>150.01.147</v>
      </c>
      <c r="E84" s="7" t="s">
        <v>337</v>
      </c>
      <c r="F84" s="8">
        <v>45653</v>
      </c>
      <c r="G84" s="7" t="s">
        <v>30</v>
      </c>
      <c r="H84" s="7" t="s">
        <v>10</v>
      </c>
      <c r="I84" s="7" t="s">
        <v>291</v>
      </c>
      <c r="J84" s="17">
        <v>42000</v>
      </c>
      <c r="K84" s="11" t="str">
        <f t="shared" si="7"/>
        <v>Poşet-33 cm Tortillove DeğişkenMAT008358</v>
      </c>
      <c r="L84" s="11">
        <f>IF(K84="","",IFERROR(VLOOKUP(K84,$K$2:L83,2,0),MAX($L$2:L83)+1))</f>
        <v>48</v>
      </c>
      <c r="M84" s="11" t="str">
        <f t="shared" si="8"/>
        <v>Poşet-33 cm Tortillove Değişken</v>
      </c>
      <c r="N84" s="11" t="str">
        <f t="shared" si="9"/>
        <v>MAT008358</v>
      </c>
      <c r="O84" s="35">
        <f t="shared" si="10"/>
        <v>45653</v>
      </c>
    </row>
    <row r="85" spans="2:15" x14ac:dyDescent="0.2">
      <c r="B85" s="6">
        <v>45387</v>
      </c>
      <c r="C85" s="1" t="s">
        <v>252</v>
      </c>
      <c r="D85" s="1" t="str">
        <f>IF(C85="","",VLOOKUP(C85,Bilgiler!D:E,2,0))</f>
        <v>150.01.295</v>
      </c>
      <c r="E85" s="1" t="s">
        <v>335</v>
      </c>
      <c r="F85" s="6">
        <v>45630</v>
      </c>
      <c r="G85" s="1" t="s">
        <v>30</v>
      </c>
      <c r="H85" s="1" t="s">
        <v>10</v>
      </c>
      <c r="I85" s="1" t="s">
        <v>291</v>
      </c>
      <c r="J85" s="16">
        <v>249200</v>
      </c>
      <c r="K85" s="1" t="str">
        <f t="shared" si="7"/>
        <v>Poşet-25 cm Mutlukal Tortillas 260 Gr ( Rusca )MAT008295</v>
      </c>
      <c r="L85" s="1">
        <f>IF(K85="","",IFERROR(VLOOKUP(K85,$K$2:L84,2,0),MAX($L$2:L84)+1))</f>
        <v>44</v>
      </c>
      <c r="M85" s="1" t="str">
        <f t="shared" si="8"/>
        <v>Poşet-25 cm Mutlukal Tortillas 260 Gr ( Rusca )</v>
      </c>
      <c r="N85" s="1" t="str">
        <f t="shared" si="9"/>
        <v>MAT008295</v>
      </c>
      <c r="O85" s="6">
        <f t="shared" si="10"/>
        <v>45630</v>
      </c>
    </row>
    <row r="86" spans="2:15" x14ac:dyDescent="0.2">
      <c r="B86" s="8">
        <v>45387</v>
      </c>
      <c r="C86" s="7" t="s">
        <v>173</v>
      </c>
      <c r="D86" s="11" t="str">
        <f>IF(C86="","",VLOOKUP(C86,Bilgiler!D:E,2,0))</f>
        <v>150.01.055</v>
      </c>
      <c r="E86" s="7" t="s">
        <v>336</v>
      </c>
      <c r="F86" s="8">
        <v>45629</v>
      </c>
      <c r="G86" s="7" t="s">
        <v>30</v>
      </c>
      <c r="H86" s="7" t="s">
        <v>10</v>
      </c>
      <c r="I86" s="7" t="s">
        <v>291</v>
      </c>
      <c r="J86" s="17">
        <v>162400</v>
      </c>
      <c r="K86" s="11" t="str">
        <f t="shared" si="7"/>
        <v>Poşet-25 cm Nimet (Lam.Baskılı Zıp.Vakum )MAT008349</v>
      </c>
      <c r="L86" s="11">
        <f>IF(K86="","",IFERROR(VLOOKUP(K86,$K$2:L85,2,0),MAX($L$2:L85)+1))</f>
        <v>46</v>
      </c>
      <c r="M86" s="11" t="str">
        <f t="shared" si="8"/>
        <v>Poşet-25 cm Nimet (Lam.Baskılı Zıp.Vakum )</v>
      </c>
      <c r="N86" s="11" t="str">
        <f t="shared" si="9"/>
        <v>MAT008349</v>
      </c>
      <c r="O86" s="35">
        <f t="shared" si="10"/>
        <v>45629</v>
      </c>
    </row>
    <row r="87" spans="2:15" x14ac:dyDescent="0.2">
      <c r="B87" s="6">
        <v>45398</v>
      </c>
      <c r="C87" s="1" t="s">
        <v>252</v>
      </c>
      <c r="D87" s="1" t="str">
        <f>IF(C87="","",VLOOKUP(C87,Bilgiler!D:E,2,0))</f>
        <v>150.01.295</v>
      </c>
      <c r="E87" s="63">
        <v>1622409</v>
      </c>
      <c r="F87" s="6">
        <v>45639</v>
      </c>
      <c r="G87" s="1" t="s">
        <v>30</v>
      </c>
      <c r="H87" s="1" t="s">
        <v>10</v>
      </c>
      <c r="I87" s="1" t="s">
        <v>294</v>
      </c>
      <c r="J87" s="16">
        <v>204400</v>
      </c>
      <c r="K87" s="1" t="str">
        <f t="shared" si="7"/>
        <v>Poşet-25 cm Mutlukal Tortillas 260 Gr ( Rusca )1622409</v>
      </c>
      <c r="L87" s="1">
        <f>IF(K87="","",IFERROR(VLOOKUP(K87,$K$2:L86,2,0),MAX($L$2:L86)+1))</f>
        <v>49</v>
      </c>
      <c r="M87" s="1" t="str">
        <f t="shared" si="8"/>
        <v>Poşet-25 cm Mutlukal Tortillas 260 Gr ( Rusca )</v>
      </c>
      <c r="N87" s="1">
        <f t="shared" si="9"/>
        <v>1622409</v>
      </c>
      <c r="O87" s="6">
        <f t="shared" si="10"/>
        <v>45639</v>
      </c>
    </row>
    <row r="88" spans="2:15" x14ac:dyDescent="0.2">
      <c r="B88" s="8">
        <v>45398</v>
      </c>
      <c r="C88" s="7" t="s">
        <v>173</v>
      </c>
      <c r="D88" s="11" t="str">
        <f>IF(C88="","",VLOOKUP(C88,Bilgiler!D:E,2,0))</f>
        <v>150.01.055</v>
      </c>
      <c r="E88" s="64">
        <v>1622774</v>
      </c>
      <c r="F88" s="8">
        <v>45634</v>
      </c>
      <c r="G88" s="7" t="s">
        <v>30</v>
      </c>
      <c r="H88" s="7" t="s">
        <v>10</v>
      </c>
      <c r="I88" s="7" t="s">
        <v>294</v>
      </c>
      <c r="J88" s="17">
        <v>81850</v>
      </c>
      <c r="K88" s="11" t="str">
        <f t="shared" si="7"/>
        <v>Poşet-25 cm Nimet (Lam.Baskılı Zıp.Vakum )1622774</v>
      </c>
      <c r="L88" s="11">
        <f>IF(K88="","",IFERROR(VLOOKUP(K88,$K$2:L87,2,0),MAX($L$2:L87)+1))</f>
        <v>50</v>
      </c>
      <c r="M88" s="11" t="str">
        <f t="shared" si="8"/>
        <v>Poşet-25 cm Nimet (Lam.Baskılı Zıp.Vakum )</v>
      </c>
      <c r="N88" s="11">
        <f t="shared" si="9"/>
        <v>1622774</v>
      </c>
      <c r="O88" s="35">
        <f t="shared" si="10"/>
        <v>45634</v>
      </c>
    </row>
    <row r="89" spans="2:15" x14ac:dyDescent="0.2">
      <c r="B89" s="6">
        <v>45399</v>
      </c>
      <c r="C89" s="1" t="s">
        <v>252</v>
      </c>
      <c r="D89" s="1" t="str">
        <f>IF(C89="","",VLOOKUP(C89,Bilgiler!D:E,2,0))</f>
        <v>150.01.295</v>
      </c>
      <c r="E89" s="1" t="s">
        <v>335</v>
      </c>
      <c r="F89" s="6">
        <v>45632</v>
      </c>
      <c r="G89" s="1" t="s">
        <v>30</v>
      </c>
      <c r="H89" s="1" t="s">
        <v>10</v>
      </c>
      <c r="I89" s="1" t="s">
        <v>291</v>
      </c>
      <c r="J89" s="16">
        <v>176400</v>
      </c>
      <c r="K89" s="1" t="str">
        <f t="shared" si="7"/>
        <v>Poşet-25 cm Mutlukal Tortillas 260 Gr ( Rusca )MAT008295</v>
      </c>
      <c r="L89" s="1">
        <f>IF(K89="","",IFERROR(VLOOKUP(K89,$K$2:L88,2,0),MAX($L$2:L88)+1))</f>
        <v>44</v>
      </c>
      <c r="M89" s="1" t="str">
        <f t="shared" si="8"/>
        <v>Poşet-25 cm Mutlukal Tortillas 260 Gr ( Rusca )</v>
      </c>
      <c r="N89" s="1" t="str">
        <f t="shared" si="9"/>
        <v>MAT008295</v>
      </c>
      <c r="O89" s="6">
        <f t="shared" si="10"/>
        <v>45632</v>
      </c>
    </row>
    <row r="90" spans="2:15" x14ac:dyDescent="0.2">
      <c r="B90" s="8">
        <v>45399</v>
      </c>
      <c r="C90" s="7" t="s">
        <v>338</v>
      </c>
      <c r="D90" s="11">
        <f>IF(C90="","",VLOOKUP(C90,Bilgiler!D:E,2,0))</f>
        <v>0</v>
      </c>
      <c r="E90" s="7" t="s">
        <v>339</v>
      </c>
      <c r="F90" s="8">
        <v>45642</v>
      </c>
      <c r="G90" s="7" t="s">
        <v>30</v>
      </c>
      <c r="H90" s="7" t="s">
        <v>10</v>
      </c>
      <c r="I90" s="7" t="s">
        <v>291</v>
      </c>
      <c r="J90" s="17">
        <v>140400</v>
      </c>
      <c r="K90" s="11" t="str">
        <f t="shared" si="7"/>
        <v>20CM MAGNET DOMATESLİ MAT008445</v>
      </c>
      <c r="L90" s="11">
        <f>IF(K90="","",IFERROR(VLOOKUP(K90,$K$2:L89,2,0),MAX($L$2:L89)+1))</f>
        <v>51</v>
      </c>
      <c r="M90" s="11" t="str">
        <f t="shared" si="8"/>
        <v xml:space="preserve">20CM MAGNET DOMATESLİ </v>
      </c>
      <c r="N90" s="11" t="str">
        <f t="shared" si="9"/>
        <v>MAT008445</v>
      </c>
      <c r="O90" s="35">
        <f t="shared" si="10"/>
        <v>45642</v>
      </c>
    </row>
    <row r="91" spans="2:15" x14ac:dyDescent="0.2">
      <c r="B91" s="6">
        <v>45402</v>
      </c>
      <c r="C91" s="6" t="s">
        <v>338</v>
      </c>
      <c r="D91" s="1">
        <f>IF(C91="","",VLOOKUP(C91,Bilgiler!D:E,2,0))</f>
        <v>0</v>
      </c>
      <c r="E91" s="6" t="s">
        <v>339</v>
      </c>
      <c r="F91" s="6">
        <v>45642</v>
      </c>
      <c r="G91" s="1" t="s">
        <v>30</v>
      </c>
      <c r="H91" s="1" t="s">
        <v>10</v>
      </c>
      <c r="I91" s="1" t="s">
        <v>291</v>
      </c>
      <c r="J91" s="16">
        <v>54000</v>
      </c>
      <c r="K91" s="1" t="str">
        <f t="shared" si="7"/>
        <v>20CM MAGNET DOMATESLİ MAT008445</v>
      </c>
      <c r="L91" s="1">
        <f>IF(K91="","",IFERROR(VLOOKUP(K91,$K$2:L90,2,0),MAX($L$2:L90)+1))</f>
        <v>51</v>
      </c>
      <c r="M91" s="1" t="str">
        <f t="shared" si="8"/>
        <v xml:space="preserve">20CM MAGNET DOMATESLİ </v>
      </c>
      <c r="N91" s="1" t="str">
        <f t="shared" si="9"/>
        <v>MAT008445</v>
      </c>
      <c r="O91" s="6">
        <f t="shared" si="10"/>
        <v>45642</v>
      </c>
    </row>
    <row r="92" spans="2:15" x14ac:dyDescent="0.2">
      <c r="B92" s="8">
        <v>45402</v>
      </c>
      <c r="C92" s="7" t="s">
        <v>252</v>
      </c>
      <c r="D92" s="11" t="str">
        <f>IF(C92="","",VLOOKUP(C92,Bilgiler!D:E,2,0))</f>
        <v>150.01.295</v>
      </c>
      <c r="E92" s="7" t="s">
        <v>335</v>
      </c>
      <c r="F92" s="8">
        <v>45643</v>
      </c>
      <c r="G92" s="7" t="s">
        <v>30</v>
      </c>
      <c r="H92" s="7" t="s">
        <v>10</v>
      </c>
      <c r="I92" s="7" t="s">
        <v>291</v>
      </c>
      <c r="J92" s="17">
        <v>121800</v>
      </c>
      <c r="K92" s="11" t="str">
        <f t="shared" si="7"/>
        <v>Poşet-25 cm Mutlukal Tortillas 260 Gr ( Rusca )MAT008295</v>
      </c>
      <c r="L92" s="11">
        <f>IF(K92="","",IFERROR(VLOOKUP(K92,$K$2:L91,2,0),MAX($L$2:L91)+1))</f>
        <v>44</v>
      </c>
      <c r="M92" s="11" t="str">
        <f t="shared" si="8"/>
        <v>Poşet-25 cm Mutlukal Tortillas 260 Gr ( Rusca )</v>
      </c>
      <c r="N92" s="11" t="str">
        <f t="shared" si="9"/>
        <v>MAT008295</v>
      </c>
      <c r="O92" s="35">
        <f t="shared" si="10"/>
        <v>45643</v>
      </c>
    </row>
    <row r="93" spans="2:15" x14ac:dyDescent="0.2">
      <c r="B93" s="6">
        <v>45402</v>
      </c>
      <c r="C93" s="1" t="s">
        <v>190</v>
      </c>
      <c r="D93" s="1" t="str">
        <f>IF(C93="","",VLOOKUP(C93,Bilgiler!D:E,2,0))</f>
        <v>150.01.151</v>
      </c>
      <c r="E93" s="1" t="s">
        <v>340</v>
      </c>
      <c r="F93" s="6">
        <v>45644</v>
      </c>
      <c r="G93" s="1" t="s">
        <v>30</v>
      </c>
      <c r="H93" s="1" t="s">
        <v>10</v>
      </c>
      <c r="I93" s="1" t="s">
        <v>291</v>
      </c>
      <c r="J93" s="16">
        <v>79800</v>
      </c>
      <c r="K93" s="1" t="str">
        <f t="shared" si="7"/>
        <v>Poşet-25 cm SofiasMAT008411</v>
      </c>
      <c r="L93" s="1">
        <f>IF(K93="","",IFERROR(VLOOKUP(K93,$K$2:L92,2,0),MAX($L$2:L92)+1))</f>
        <v>52</v>
      </c>
      <c r="M93" s="1" t="str">
        <f t="shared" si="8"/>
        <v>Poşet-25 cm Sofias</v>
      </c>
      <c r="N93" s="1" t="str">
        <f t="shared" si="9"/>
        <v>MAT008411</v>
      </c>
      <c r="O93" s="6">
        <f t="shared" si="10"/>
        <v>45644</v>
      </c>
    </row>
    <row r="94" spans="2:15" x14ac:dyDescent="0.2">
      <c r="B94" s="8">
        <v>45402</v>
      </c>
      <c r="C94" s="7" t="s">
        <v>254</v>
      </c>
      <c r="D94" s="11" t="str">
        <f>IF(C94="","",VLOOKUP(C94,Bilgiler!D:E,2,0))</f>
        <v>150.01.301</v>
      </c>
      <c r="E94" s="7" t="s">
        <v>341</v>
      </c>
      <c r="F94" s="8">
        <v>45645</v>
      </c>
      <c r="G94" s="7" t="s">
        <v>30</v>
      </c>
      <c r="H94" s="7" t="s">
        <v>10</v>
      </c>
      <c r="I94" s="7" t="s">
        <v>291</v>
      </c>
      <c r="J94" s="17">
        <v>72000</v>
      </c>
      <c r="K94" s="11" t="str">
        <f t="shared" si="7"/>
        <v>Poşet-15 cm Mutlukal TacoMAT008410</v>
      </c>
      <c r="L94" s="11">
        <f>IF(K94="","",IFERROR(VLOOKUP(K94,$K$2:L93,2,0),MAX($L$2:L93)+1))</f>
        <v>53</v>
      </c>
      <c r="M94" s="11" t="str">
        <f t="shared" si="8"/>
        <v>Poşet-15 cm Mutlukal Taco</v>
      </c>
      <c r="N94" s="11" t="str">
        <f t="shared" si="9"/>
        <v>MAT008410</v>
      </c>
      <c r="O94" s="35">
        <f t="shared" si="10"/>
        <v>45645</v>
      </c>
    </row>
    <row r="95" spans="2:15" x14ac:dyDescent="0.2">
      <c r="B95" s="6">
        <v>45406</v>
      </c>
      <c r="C95" s="1" t="s">
        <v>257</v>
      </c>
      <c r="D95" s="1" t="str">
        <f>IF(C95="","",VLOOKUP(C95,Bilgiler!D:E,2,0))</f>
        <v>150.01.307</v>
      </c>
      <c r="E95" s="1" t="s">
        <v>342</v>
      </c>
      <c r="F95" s="6">
        <v>45650</v>
      </c>
      <c r="G95" s="1" t="s">
        <v>30</v>
      </c>
      <c r="H95" s="1" t="s">
        <v>10</v>
      </c>
      <c r="I95" s="1" t="s">
        <v>291</v>
      </c>
      <c r="J95" s="16">
        <v>79800</v>
      </c>
      <c r="K95" s="1" t="str">
        <f t="shared" si="7"/>
        <v>Poşet-25 cm Mutlukal Tortillas Mavi DeğişkenMAT008427</v>
      </c>
      <c r="L95" s="1">
        <f>IF(K95="","",IFERROR(VLOOKUP(K95,$K$2:L94,2,0),MAX($L$2:L94)+1))</f>
        <v>54</v>
      </c>
      <c r="M95" s="1" t="str">
        <f t="shared" si="8"/>
        <v>Poşet-25 cm Mutlukal Tortillas Mavi Değişken</v>
      </c>
      <c r="N95" s="1" t="str">
        <f t="shared" si="9"/>
        <v>MAT008427</v>
      </c>
      <c r="O95" s="6">
        <f t="shared" si="10"/>
        <v>45650</v>
      </c>
    </row>
    <row r="96" spans="2:15" x14ac:dyDescent="0.2">
      <c r="B96" s="8">
        <v>45406</v>
      </c>
      <c r="C96" s="7" t="s">
        <v>254</v>
      </c>
      <c r="D96" s="11" t="str">
        <f>IF(C96="","",VLOOKUP(C96,Bilgiler!D:E,2,0))</f>
        <v>150.01.301</v>
      </c>
      <c r="E96" s="7" t="s">
        <v>341</v>
      </c>
      <c r="F96" s="8">
        <v>45650</v>
      </c>
      <c r="G96" s="7" t="s">
        <v>30</v>
      </c>
      <c r="H96" s="7" t="s">
        <v>10</v>
      </c>
      <c r="I96" s="7" t="s">
        <v>291</v>
      </c>
      <c r="J96" s="17">
        <v>138000</v>
      </c>
      <c r="K96" s="11" t="str">
        <f t="shared" si="7"/>
        <v>Poşet-15 cm Mutlukal TacoMAT008410</v>
      </c>
      <c r="L96" s="11">
        <f>IF(K96="","",IFERROR(VLOOKUP(K96,$K$2:L95,2,0),MAX($L$2:L95)+1))</f>
        <v>53</v>
      </c>
      <c r="M96" s="11" t="str">
        <f t="shared" si="8"/>
        <v>Poşet-15 cm Mutlukal Taco</v>
      </c>
      <c r="N96" s="11" t="str">
        <f t="shared" si="9"/>
        <v>MAT008410</v>
      </c>
      <c r="O96" s="35">
        <f t="shared" si="10"/>
        <v>45650</v>
      </c>
    </row>
    <row r="97" spans="2:15" x14ac:dyDescent="0.2">
      <c r="B97" s="6">
        <v>45409</v>
      </c>
      <c r="C97" s="1" t="s">
        <v>168</v>
      </c>
      <c r="D97" s="1" t="str">
        <f>IF(C97="","",VLOOKUP(C97,Bilgiler!D:E,2,0))</f>
        <v>150.01.041</v>
      </c>
      <c r="E97" s="1" t="s">
        <v>343</v>
      </c>
      <c r="F97" s="6">
        <v>45653</v>
      </c>
      <c r="G97" s="1" t="s">
        <v>30</v>
      </c>
      <c r="H97" s="1" t="s">
        <v>10</v>
      </c>
      <c r="I97" s="1" t="s">
        <v>291</v>
      </c>
      <c r="J97" s="16">
        <v>112000</v>
      </c>
      <c r="K97" s="1" t="str">
        <f t="shared" si="7"/>
        <v>Poşet-20 cm Wıllı Food 540 grMAT008462</v>
      </c>
      <c r="L97" s="1">
        <f>IF(K97="","",IFERROR(VLOOKUP(K97,$K$2:L96,2,0),MAX($L$2:L96)+1))</f>
        <v>55</v>
      </c>
      <c r="M97" s="1" t="str">
        <f t="shared" si="8"/>
        <v>Poşet-20 cm Wıllı Food 540 gr</v>
      </c>
      <c r="N97" s="1" t="str">
        <f t="shared" si="9"/>
        <v>MAT008462</v>
      </c>
      <c r="O97" s="6">
        <f t="shared" si="10"/>
        <v>45653</v>
      </c>
    </row>
    <row r="98" spans="2:15" x14ac:dyDescent="0.2">
      <c r="B98" s="8">
        <v>45409</v>
      </c>
      <c r="C98" s="7" t="s">
        <v>252</v>
      </c>
      <c r="D98" s="11" t="str">
        <f>IF(C98="","",VLOOKUP(C98,Bilgiler!D:E,2,0))</f>
        <v>150.01.295</v>
      </c>
      <c r="E98" s="7" t="s">
        <v>344</v>
      </c>
      <c r="F98" s="8">
        <v>45653</v>
      </c>
      <c r="G98" s="7" t="s">
        <v>30</v>
      </c>
      <c r="H98" s="7" t="s">
        <v>10</v>
      </c>
      <c r="I98" s="7" t="s">
        <v>291</v>
      </c>
      <c r="J98" s="17">
        <v>197400</v>
      </c>
      <c r="K98" s="11" t="str">
        <f t="shared" si="7"/>
        <v>Poşet-25 cm Mutlukal Tortillas 260 Gr ( Rusca )MAT008322</v>
      </c>
      <c r="L98" s="11">
        <f>IF(K98="","",IFERROR(VLOOKUP(K98,$K$2:L97,2,0),MAX($L$2:L97)+1))</f>
        <v>56</v>
      </c>
      <c r="M98" s="11" t="str">
        <f t="shared" si="8"/>
        <v>Poşet-25 cm Mutlukal Tortillas 260 Gr ( Rusca )</v>
      </c>
      <c r="N98" s="11" t="str">
        <f t="shared" si="9"/>
        <v>MAT008322</v>
      </c>
      <c r="O98" s="35">
        <f t="shared" si="10"/>
        <v>45653</v>
      </c>
    </row>
    <row r="99" spans="2:15" x14ac:dyDescent="0.2">
      <c r="B99" s="6">
        <v>45409</v>
      </c>
      <c r="C99" s="1" t="s">
        <v>177</v>
      </c>
      <c r="D99" s="1" t="str">
        <f>IF(C99="","",VLOOKUP(C99,Bilgiler!D:E,2,0))</f>
        <v>150.01.062</v>
      </c>
      <c r="E99" s="1" t="s">
        <v>345</v>
      </c>
      <c r="F99" s="6">
        <v>45653</v>
      </c>
      <c r="G99" s="1" t="s">
        <v>30</v>
      </c>
      <c r="H99" s="1" t="s">
        <v>10</v>
      </c>
      <c r="I99" s="1" t="s">
        <v>291</v>
      </c>
      <c r="J99" s="16">
        <v>77000</v>
      </c>
      <c r="K99" s="1" t="str">
        <f t="shared" si="7"/>
        <v>Poşet-25 cm Wıllı Food 840 grMAT008463</v>
      </c>
      <c r="L99" s="1">
        <f>IF(K99="","",IFERROR(VLOOKUP(K99,$K$2:L98,2,0),MAX($L$2:L98)+1))</f>
        <v>57</v>
      </c>
      <c r="M99" s="1" t="str">
        <f t="shared" si="8"/>
        <v>Poşet-25 cm Wıllı Food 840 gr</v>
      </c>
      <c r="N99" s="1" t="str">
        <f t="shared" si="9"/>
        <v>MAT008463</v>
      </c>
      <c r="O99" s="6">
        <f t="shared" si="10"/>
        <v>45653</v>
      </c>
    </row>
    <row r="100" spans="2:15" x14ac:dyDescent="0.2">
      <c r="B100" s="8">
        <v>45413</v>
      </c>
      <c r="C100" s="7" t="s">
        <v>173</v>
      </c>
      <c r="D100" s="11" t="str">
        <f>IF(C100="","",VLOOKUP(C100,Bilgiler!D:E,2,0))</f>
        <v>150.01.055</v>
      </c>
      <c r="E100" s="7" t="s">
        <v>336</v>
      </c>
      <c r="F100" s="8">
        <v>45654</v>
      </c>
      <c r="G100" s="7" t="s">
        <v>30</v>
      </c>
      <c r="H100" s="7" t="s">
        <v>10</v>
      </c>
      <c r="I100" s="7" t="s">
        <v>291</v>
      </c>
      <c r="J100" s="17">
        <v>158200</v>
      </c>
      <c r="K100" s="11" t="str">
        <f t="shared" si="7"/>
        <v>Poşet-25 cm Nimet (Lam.Baskılı Zıp.Vakum )MAT008349</v>
      </c>
      <c r="L100" s="11">
        <f>IF(K100="","",IFERROR(VLOOKUP(K100,$K$2:L99,2,0),MAX($L$2:L99)+1))</f>
        <v>46</v>
      </c>
      <c r="M100" s="11" t="str">
        <f t="shared" si="8"/>
        <v>Poşet-25 cm Nimet (Lam.Baskılı Zıp.Vakum )</v>
      </c>
      <c r="N100" s="11" t="str">
        <f t="shared" si="9"/>
        <v>MAT008349</v>
      </c>
      <c r="O100" s="35">
        <f t="shared" si="10"/>
        <v>45654</v>
      </c>
    </row>
    <row r="101" spans="2:15" x14ac:dyDescent="0.2">
      <c r="B101" s="6">
        <v>45413</v>
      </c>
      <c r="C101" s="1" t="s">
        <v>252</v>
      </c>
      <c r="D101" s="1" t="str">
        <f>IF(C101="","",VLOOKUP(C101,Bilgiler!D:E,2,0))</f>
        <v>150.01.295</v>
      </c>
      <c r="E101" s="1" t="s">
        <v>335</v>
      </c>
      <c r="F101" s="6">
        <v>45653</v>
      </c>
      <c r="G101" s="1" t="s">
        <v>30</v>
      </c>
      <c r="H101" s="1" t="s">
        <v>10</v>
      </c>
      <c r="I101" s="1" t="s">
        <v>291</v>
      </c>
      <c r="J101" s="16">
        <v>128800</v>
      </c>
      <c r="K101" s="1" t="str">
        <f t="shared" si="7"/>
        <v>Poşet-25 cm Mutlukal Tortillas 260 Gr ( Rusca )MAT008295</v>
      </c>
      <c r="L101" s="1">
        <f>IF(K101="","",IFERROR(VLOOKUP(K101,$K$2:L100,2,0),MAX($L$2:L100)+1))</f>
        <v>44</v>
      </c>
      <c r="M101" s="1" t="str">
        <f t="shared" si="8"/>
        <v>Poşet-25 cm Mutlukal Tortillas 260 Gr ( Rusca )</v>
      </c>
      <c r="N101" s="1" t="str">
        <f t="shared" si="9"/>
        <v>MAT008295</v>
      </c>
      <c r="O101" s="6">
        <f t="shared" si="10"/>
        <v>45653</v>
      </c>
    </row>
    <row r="102" spans="2:15" x14ac:dyDescent="0.2">
      <c r="B102" s="8">
        <v>45418</v>
      </c>
      <c r="C102" s="7" t="s">
        <v>173</v>
      </c>
      <c r="D102" s="11" t="str">
        <f>IF(C102="","",VLOOKUP(C102,Bilgiler!D:E,2,0))</f>
        <v>150.01.055</v>
      </c>
      <c r="E102" s="7" t="s">
        <v>336</v>
      </c>
      <c r="F102" s="8">
        <v>45595</v>
      </c>
      <c r="G102" s="7" t="s">
        <v>30</v>
      </c>
      <c r="H102" s="7" t="s">
        <v>10</v>
      </c>
      <c r="I102" s="7" t="s">
        <v>346</v>
      </c>
      <c r="J102" s="17">
        <v>12600</v>
      </c>
      <c r="K102" s="11" t="str">
        <f t="shared" si="7"/>
        <v>Poşet-25 cm Nimet (Lam.Baskılı Zıp.Vakum )MAT008349</v>
      </c>
      <c r="L102" s="11">
        <f>IF(K102="","",IFERROR(VLOOKUP(K102,$K$2:L101,2,0),MAX($L$2:L101)+1))</f>
        <v>46</v>
      </c>
      <c r="M102" s="11" t="str">
        <f t="shared" si="8"/>
        <v>Poşet-25 cm Nimet (Lam.Baskılı Zıp.Vakum )</v>
      </c>
      <c r="N102" s="11" t="str">
        <f t="shared" si="9"/>
        <v>MAT008349</v>
      </c>
      <c r="O102" s="35">
        <f t="shared" si="10"/>
        <v>45595</v>
      </c>
    </row>
    <row r="103" spans="2:15" x14ac:dyDescent="0.2">
      <c r="B103" s="6">
        <v>45418</v>
      </c>
      <c r="C103" s="1" t="s">
        <v>252</v>
      </c>
      <c r="D103" s="1" t="str">
        <f>IF(C103="","",VLOOKUP(C103,Bilgiler!D:E,2,0))</f>
        <v>150.01.295</v>
      </c>
      <c r="E103" s="1" t="s">
        <v>335</v>
      </c>
      <c r="F103" s="6">
        <v>45598</v>
      </c>
      <c r="G103" s="1" t="s">
        <v>30</v>
      </c>
      <c r="H103" s="1" t="s">
        <v>10</v>
      </c>
      <c r="I103" s="1" t="s">
        <v>291</v>
      </c>
      <c r="J103" s="16">
        <v>457800</v>
      </c>
      <c r="K103" s="1" t="str">
        <f t="shared" si="7"/>
        <v>Poşet-25 cm Mutlukal Tortillas 260 Gr ( Rusca )MAT008295</v>
      </c>
      <c r="L103" s="1">
        <f>IF(K103="","",IFERROR(VLOOKUP(K103,$K$2:L102,2,0),MAX($L$2:L102)+1))</f>
        <v>44</v>
      </c>
      <c r="M103" s="1" t="str">
        <f t="shared" si="8"/>
        <v>Poşet-25 cm Mutlukal Tortillas 260 Gr ( Rusca )</v>
      </c>
      <c r="N103" s="1" t="str">
        <f t="shared" si="9"/>
        <v>MAT008295</v>
      </c>
      <c r="O103" s="6">
        <f t="shared" si="10"/>
        <v>45598</v>
      </c>
    </row>
    <row r="104" spans="2:15" x14ac:dyDescent="0.2">
      <c r="B104" s="8">
        <v>45421</v>
      </c>
      <c r="C104" s="7" t="s">
        <v>250</v>
      </c>
      <c r="D104" s="11" t="str">
        <f>IF(C104="","",VLOOKUP(C104,Bilgiler!D:E,2,0))</f>
        <v>150.01.292</v>
      </c>
      <c r="E104" s="7" t="s">
        <v>347</v>
      </c>
      <c r="F104" s="8">
        <v>45671</v>
      </c>
      <c r="G104" s="7" t="s">
        <v>30</v>
      </c>
      <c r="H104" s="7" t="s">
        <v>10</v>
      </c>
      <c r="I104" s="7" t="s">
        <v>292</v>
      </c>
      <c r="J104" s="17">
        <v>128300</v>
      </c>
      <c r="K104" s="11" t="str">
        <f t="shared" si="7"/>
        <v>Poşet-25 cm Mutlukal Tortillas Kırmızı Değişken ( Beyaz Rusya )2024-001</v>
      </c>
      <c r="L104" s="11">
        <f>IF(K104="","",IFERROR(VLOOKUP(K104,$K$2:L103,2,0),MAX($L$2:L103)+1))</f>
        <v>58</v>
      </c>
      <c r="M104" s="11" t="str">
        <f t="shared" si="8"/>
        <v>Poşet-25 cm Mutlukal Tortillas Kırmızı Değişken ( Beyaz Rusya )</v>
      </c>
      <c r="N104" s="11" t="str">
        <f t="shared" si="9"/>
        <v>2024-001</v>
      </c>
      <c r="O104" s="35">
        <f t="shared" si="10"/>
        <v>45671</v>
      </c>
    </row>
    <row r="105" spans="2:15" x14ac:dyDescent="0.2">
      <c r="B105" s="6">
        <v>45422</v>
      </c>
      <c r="C105" s="1" t="s">
        <v>252</v>
      </c>
      <c r="D105" s="1" t="str">
        <f>IF(C105="","",VLOOKUP(C105,Bilgiler!D:E,2,0))</f>
        <v>150.01.295</v>
      </c>
      <c r="E105" s="1" t="s">
        <v>344</v>
      </c>
      <c r="F105" s="6">
        <v>45661</v>
      </c>
      <c r="G105" s="1" t="s">
        <v>30</v>
      </c>
      <c r="H105" s="1" t="s">
        <v>10</v>
      </c>
      <c r="I105" s="1" t="s">
        <v>291</v>
      </c>
      <c r="J105" s="16">
        <v>182000</v>
      </c>
      <c r="K105" s="1" t="str">
        <f t="shared" si="7"/>
        <v>Poşet-25 cm Mutlukal Tortillas 260 Gr ( Rusca )MAT008322</v>
      </c>
      <c r="L105" s="1">
        <f>IF(K105="","",IFERROR(VLOOKUP(K105,$K$2:L104,2,0),MAX($L$2:L104)+1))</f>
        <v>56</v>
      </c>
      <c r="M105" s="1" t="str">
        <f t="shared" si="8"/>
        <v>Poşet-25 cm Mutlukal Tortillas 260 Gr ( Rusca )</v>
      </c>
      <c r="N105" s="1" t="str">
        <f t="shared" si="9"/>
        <v>MAT008322</v>
      </c>
      <c r="O105" s="6">
        <f t="shared" si="10"/>
        <v>45661</v>
      </c>
    </row>
    <row r="106" spans="2:15" x14ac:dyDescent="0.2">
      <c r="B106" s="8">
        <v>45422</v>
      </c>
      <c r="C106" s="7" t="s">
        <v>233</v>
      </c>
      <c r="D106" s="11" t="str">
        <f>IF(C106="","",VLOOKUP(C106,Bilgiler!D:E,2,0))</f>
        <v>150.01.259</v>
      </c>
      <c r="E106" s="7" t="s">
        <v>348</v>
      </c>
      <c r="F106" s="8">
        <v>45661</v>
      </c>
      <c r="G106" s="7" t="s">
        <v>30</v>
      </c>
      <c r="H106" s="7" t="s">
        <v>10</v>
      </c>
      <c r="I106" s="7" t="s">
        <v>291</v>
      </c>
      <c r="J106" s="17">
        <v>72800</v>
      </c>
      <c r="K106" s="11" t="str">
        <f t="shared" si="7"/>
        <v>Poşet-25 cm BistoMAT008458</v>
      </c>
      <c r="L106" s="11">
        <f>IF(K106="","",IFERROR(VLOOKUP(K106,$K$2:L105,2,0),MAX($L$2:L105)+1))</f>
        <v>59</v>
      </c>
      <c r="M106" s="11" t="str">
        <f t="shared" si="8"/>
        <v>Poşet-25 cm Bisto</v>
      </c>
      <c r="N106" s="11" t="str">
        <f t="shared" si="9"/>
        <v>MAT008458</v>
      </c>
      <c r="O106" s="35">
        <f t="shared" si="10"/>
        <v>45661</v>
      </c>
    </row>
    <row r="107" spans="2:15" x14ac:dyDescent="0.2">
      <c r="B107" s="6">
        <v>45422</v>
      </c>
      <c r="C107" s="1" t="s">
        <v>173</v>
      </c>
      <c r="D107" s="1" t="str">
        <f>IF(C107="","",VLOOKUP(C107,Bilgiler!D:E,2,0))</f>
        <v>150.01.055</v>
      </c>
      <c r="E107" s="1" t="s">
        <v>336</v>
      </c>
      <c r="F107" s="6">
        <v>45664</v>
      </c>
      <c r="G107" s="1" t="s">
        <v>30</v>
      </c>
      <c r="H107" s="1" t="s">
        <v>10</v>
      </c>
      <c r="I107" s="1" t="s">
        <v>291</v>
      </c>
      <c r="J107" s="16">
        <v>222600</v>
      </c>
      <c r="K107" s="1" t="str">
        <f t="shared" si="7"/>
        <v>Poşet-25 cm Nimet (Lam.Baskılı Zıp.Vakum )MAT008349</v>
      </c>
      <c r="L107" s="1">
        <f>IF(K107="","",IFERROR(VLOOKUP(K107,$K$2:L106,2,0),MAX($L$2:L106)+1))</f>
        <v>46</v>
      </c>
      <c r="M107" s="1" t="str">
        <f t="shared" si="8"/>
        <v>Poşet-25 cm Nimet (Lam.Baskılı Zıp.Vakum )</v>
      </c>
      <c r="N107" s="1" t="str">
        <f t="shared" si="9"/>
        <v>MAT008349</v>
      </c>
      <c r="O107" s="6">
        <f t="shared" si="10"/>
        <v>45664</v>
      </c>
    </row>
    <row r="108" spans="2:15" x14ac:dyDescent="0.2">
      <c r="B108" s="8">
        <v>45422</v>
      </c>
      <c r="C108" s="7" t="s">
        <v>230</v>
      </c>
      <c r="D108" s="11" t="str">
        <f>IF(C108="","",VLOOKUP(C108,Bilgiler!D:E,2,0))</f>
        <v>150.01.256</v>
      </c>
      <c r="E108" s="7" t="s">
        <v>349</v>
      </c>
      <c r="F108" s="8">
        <v>45664</v>
      </c>
      <c r="G108" s="7" t="s">
        <v>30</v>
      </c>
      <c r="H108" s="7" t="s">
        <v>10</v>
      </c>
      <c r="I108" s="7" t="s">
        <v>291</v>
      </c>
      <c r="J108" s="17">
        <v>70200</v>
      </c>
      <c r="K108" s="11" t="str">
        <f t="shared" si="7"/>
        <v>Poşet-20 cm Alkafeel 10 AdetMAT008456</v>
      </c>
      <c r="L108" s="11">
        <f>IF(K108="","",IFERROR(VLOOKUP(K108,$K$2:L107,2,0),MAX($L$2:L107)+1))</f>
        <v>60</v>
      </c>
      <c r="M108" s="11" t="str">
        <f t="shared" si="8"/>
        <v>Poşet-20 cm Alkafeel 10 Adet</v>
      </c>
      <c r="N108" s="11" t="str">
        <f t="shared" si="9"/>
        <v>MAT008456</v>
      </c>
      <c r="O108" s="35">
        <f t="shared" si="10"/>
        <v>45664</v>
      </c>
    </row>
    <row r="109" spans="2:15" x14ac:dyDescent="0.2">
      <c r="B109" s="6">
        <v>45422</v>
      </c>
      <c r="C109" s="1" t="s">
        <v>195</v>
      </c>
      <c r="D109" s="1" t="str">
        <f>IF(C109="","",VLOOKUP(C109,Bilgiler!D:E,2,0))</f>
        <v>150.01.185</v>
      </c>
      <c r="E109" s="1" t="s">
        <v>350</v>
      </c>
      <c r="F109" s="6">
        <v>45664</v>
      </c>
      <c r="G109" s="1" t="s">
        <v>30</v>
      </c>
      <c r="H109" s="1" t="s">
        <v>10</v>
      </c>
      <c r="I109" s="1" t="s">
        <v>291</v>
      </c>
      <c r="J109" s="16">
        <v>57600</v>
      </c>
      <c r="K109" s="1" t="str">
        <f t="shared" si="7"/>
        <v>Poşet-30 cm AlkafeelMAT008453</v>
      </c>
      <c r="L109" s="1">
        <f>IF(K109="","",IFERROR(VLOOKUP(K109,$K$2:L108,2,0),MAX($L$2:L108)+1))</f>
        <v>61</v>
      </c>
      <c r="M109" s="1" t="str">
        <f t="shared" si="8"/>
        <v>Poşet-30 cm Alkafeel</v>
      </c>
      <c r="N109" s="1" t="str">
        <f t="shared" si="9"/>
        <v>MAT008453</v>
      </c>
      <c r="O109" s="6">
        <f t="shared" si="10"/>
        <v>45664</v>
      </c>
    </row>
    <row r="110" spans="2:15" x14ac:dyDescent="0.2">
      <c r="B110" s="8">
        <v>45422</v>
      </c>
      <c r="C110" s="7" t="s">
        <v>188</v>
      </c>
      <c r="D110" s="11" t="str">
        <f>IF(C110="","",VLOOKUP(C110,Bilgiler!D:E,2,0))</f>
        <v>150.01.148</v>
      </c>
      <c r="E110" s="7" t="s">
        <v>351</v>
      </c>
      <c r="F110" s="8">
        <v>45664</v>
      </c>
      <c r="G110" s="7" t="s">
        <v>30</v>
      </c>
      <c r="H110" s="7" t="s">
        <v>10</v>
      </c>
      <c r="I110" s="7" t="s">
        <v>291</v>
      </c>
      <c r="J110" s="17">
        <v>56000</v>
      </c>
      <c r="K110" s="11" t="str">
        <f t="shared" si="7"/>
        <v>Poşet-25 cm Tortillove DeğişkenMAT003456</v>
      </c>
      <c r="L110" s="11">
        <f>IF(K110="","",IFERROR(VLOOKUP(K110,$K$2:L109,2,0),MAX($L$2:L109)+1))</f>
        <v>62</v>
      </c>
      <c r="M110" s="11" t="str">
        <f t="shared" si="8"/>
        <v>Poşet-25 cm Tortillove Değişken</v>
      </c>
      <c r="N110" s="11" t="str">
        <f t="shared" si="9"/>
        <v>MAT003456</v>
      </c>
      <c r="O110" s="35">
        <f t="shared" si="10"/>
        <v>45664</v>
      </c>
    </row>
    <row r="111" spans="2:15" x14ac:dyDescent="0.2">
      <c r="B111" s="6">
        <v>45426</v>
      </c>
      <c r="C111" s="1" t="s">
        <v>173</v>
      </c>
      <c r="D111" s="1" t="str">
        <f>IF(C111="","",VLOOKUP(C111,Bilgiler!D:E,2,0))</f>
        <v>150.01.055</v>
      </c>
      <c r="E111" s="1" t="s">
        <v>336</v>
      </c>
      <c r="F111" s="6">
        <v>45635</v>
      </c>
      <c r="G111" s="1" t="s">
        <v>30</v>
      </c>
      <c r="H111" s="1" t="s">
        <v>10</v>
      </c>
      <c r="I111" s="1" t="s">
        <v>291</v>
      </c>
      <c r="J111" s="16">
        <v>65800</v>
      </c>
      <c r="K111" s="1" t="str">
        <f t="shared" si="7"/>
        <v>Poşet-25 cm Nimet (Lam.Baskılı Zıp.Vakum )MAT008349</v>
      </c>
      <c r="L111" s="1">
        <f>IF(K111="","",IFERROR(VLOOKUP(K111,$K$2:L110,2,0),MAX($L$2:L110)+1))</f>
        <v>46</v>
      </c>
      <c r="M111" s="1" t="str">
        <f t="shared" si="8"/>
        <v>Poşet-25 cm Nimet (Lam.Baskılı Zıp.Vakum )</v>
      </c>
      <c r="N111" s="1" t="str">
        <f t="shared" si="9"/>
        <v>MAT008349</v>
      </c>
      <c r="O111" s="6">
        <f t="shared" si="10"/>
        <v>45635</v>
      </c>
    </row>
    <row r="112" spans="2:15" x14ac:dyDescent="0.2">
      <c r="B112" s="8">
        <v>45426</v>
      </c>
      <c r="C112" s="7" t="s">
        <v>188</v>
      </c>
      <c r="D112" s="11" t="str">
        <f>IF(C112="","",VLOOKUP(C112,Bilgiler!D:E,2,0))</f>
        <v>150.01.148</v>
      </c>
      <c r="E112" s="7" t="s">
        <v>352</v>
      </c>
      <c r="F112" s="8">
        <v>45635</v>
      </c>
      <c r="G112" s="7" t="s">
        <v>30</v>
      </c>
      <c r="H112" s="7" t="s">
        <v>10</v>
      </c>
      <c r="I112" s="7" t="s">
        <v>291</v>
      </c>
      <c r="J112" s="17">
        <v>16800</v>
      </c>
      <c r="K112" s="11" t="str">
        <f t="shared" si="7"/>
        <v>Poşet-25 cm Tortillove DeğişkenMAT008443</v>
      </c>
      <c r="L112" s="11">
        <f>IF(K112="","",IFERROR(VLOOKUP(K112,$K$2:L111,2,0),MAX($L$2:L111)+1))</f>
        <v>63</v>
      </c>
      <c r="M112" s="11" t="str">
        <f t="shared" si="8"/>
        <v>Poşet-25 cm Tortillove Değişken</v>
      </c>
      <c r="N112" s="11" t="str">
        <f t="shared" si="9"/>
        <v>MAT008443</v>
      </c>
      <c r="O112" s="35">
        <f t="shared" si="10"/>
        <v>45635</v>
      </c>
    </row>
    <row r="113" spans="2:15" x14ac:dyDescent="0.2">
      <c r="B113" s="6">
        <v>45426</v>
      </c>
      <c r="C113" s="1" t="s">
        <v>231</v>
      </c>
      <c r="D113" s="1" t="str">
        <f>IF(C113="","",VLOOKUP(C113,Bilgiler!D:E,2,0))</f>
        <v>150.01.257</v>
      </c>
      <c r="E113" s="1" t="s">
        <v>353</v>
      </c>
      <c r="F113" s="6">
        <v>45636</v>
      </c>
      <c r="G113" s="1" t="s">
        <v>30</v>
      </c>
      <c r="H113" s="1" t="s">
        <v>10</v>
      </c>
      <c r="I113" s="1" t="s">
        <v>291</v>
      </c>
      <c r="J113" s="16">
        <v>51000</v>
      </c>
      <c r="K113" s="1" t="str">
        <f t="shared" si="7"/>
        <v>Poşet-33 cm Alkafeel 10 AdetMAT008457</v>
      </c>
      <c r="L113" s="1">
        <f>IF(K113="","",IFERROR(VLOOKUP(K113,$K$2:L112,2,0),MAX($L$2:L112)+1))</f>
        <v>64</v>
      </c>
      <c r="M113" s="1" t="str">
        <f t="shared" si="8"/>
        <v>Poşet-33 cm Alkafeel 10 Adet</v>
      </c>
      <c r="N113" s="1" t="str">
        <f t="shared" si="9"/>
        <v>MAT008457</v>
      </c>
      <c r="O113" s="6">
        <f t="shared" si="10"/>
        <v>45636</v>
      </c>
    </row>
    <row r="114" spans="2:15" x14ac:dyDescent="0.2">
      <c r="B114" s="8">
        <v>45426</v>
      </c>
      <c r="C114" s="7" t="s">
        <v>252</v>
      </c>
      <c r="D114" s="11" t="str">
        <f>IF(C114="","",VLOOKUP(C114,Bilgiler!D:E,2,0))</f>
        <v>150.01.295</v>
      </c>
      <c r="E114" s="7" t="s">
        <v>344</v>
      </c>
      <c r="F114" s="8">
        <v>45636</v>
      </c>
      <c r="G114" s="7" t="s">
        <v>30</v>
      </c>
      <c r="H114" s="7" t="s">
        <v>10</v>
      </c>
      <c r="I114" s="7" t="s">
        <v>291</v>
      </c>
      <c r="J114" s="17">
        <v>16800</v>
      </c>
      <c r="K114" s="11" t="str">
        <f t="shared" si="7"/>
        <v>Poşet-25 cm Mutlukal Tortillas 260 Gr ( Rusca )MAT008322</v>
      </c>
      <c r="L114" s="11">
        <f>IF(K114="","",IFERROR(VLOOKUP(K114,$K$2:L113,2,0),MAX($L$2:L113)+1))</f>
        <v>56</v>
      </c>
      <c r="M114" s="11" t="str">
        <f t="shared" si="8"/>
        <v>Poşet-25 cm Mutlukal Tortillas 260 Gr ( Rusca )</v>
      </c>
      <c r="N114" s="11" t="str">
        <f t="shared" si="9"/>
        <v>MAT008322</v>
      </c>
      <c r="O114" s="35">
        <f t="shared" si="10"/>
        <v>45636</v>
      </c>
    </row>
    <row r="115" spans="2:15" x14ac:dyDescent="0.2">
      <c r="B115" s="6">
        <v>45426</v>
      </c>
      <c r="C115" s="1" t="s">
        <v>223</v>
      </c>
      <c r="D115" s="1" t="str">
        <f>IF(C115="","",VLOOKUP(C115,Bilgiler!D:E,2,0))</f>
        <v>150.01.247</v>
      </c>
      <c r="E115" s="1" t="s">
        <v>354</v>
      </c>
      <c r="F115" s="6">
        <v>45636</v>
      </c>
      <c r="G115" s="1" t="s">
        <v>30</v>
      </c>
      <c r="H115" s="1" t="s">
        <v>10</v>
      </c>
      <c r="I115" s="1" t="s">
        <v>291</v>
      </c>
      <c r="J115" s="16">
        <v>36000</v>
      </c>
      <c r="K115" s="1" t="str">
        <f t="shared" si="7"/>
        <v>Poşet-30 cm LazezaMAT008444</v>
      </c>
      <c r="L115" s="1">
        <f>IF(K115="","",IFERROR(VLOOKUP(K115,$K$2:L114,2,0),MAX($L$2:L114)+1))</f>
        <v>65</v>
      </c>
      <c r="M115" s="1" t="str">
        <f t="shared" si="8"/>
        <v>Poşet-30 cm Lazeza</v>
      </c>
      <c r="N115" s="1" t="str">
        <f t="shared" si="9"/>
        <v>MAT008444</v>
      </c>
      <c r="O115" s="6">
        <f t="shared" si="10"/>
        <v>45636</v>
      </c>
    </row>
    <row r="116" spans="2:15" x14ac:dyDescent="0.2">
      <c r="B116" s="8">
        <v>45427</v>
      </c>
      <c r="C116" s="7" t="s">
        <v>223</v>
      </c>
      <c r="D116" s="11" t="str">
        <f>IF(C116="","",VLOOKUP(C116,Bilgiler!D:E,2,0))</f>
        <v>150.01.247</v>
      </c>
      <c r="E116" s="7" t="s">
        <v>354</v>
      </c>
      <c r="F116" s="8">
        <v>45637</v>
      </c>
      <c r="G116" s="7" t="s">
        <v>30</v>
      </c>
      <c r="H116" s="7" t="s">
        <v>10</v>
      </c>
      <c r="I116" s="7" t="s">
        <v>291</v>
      </c>
      <c r="J116" s="17">
        <v>21600</v>
      </c>
      <c r="K116" s="11" t="str">
        <f t="shared" si="7"/>
        <v>Poşet-30 cm LazezaMAT008444</v>
      </c>
      <c r="L116" s="11">
        <f>IF(K116="","",IFERROR(VLOOKUP(K116,$K$2:L115,2,0),MAX($L$2:L115)+1))</f>
        <v>65</v>
      </c>
      <c r="M116" s="11" t="str">
        <f t="shared" si="8"/>
        <v>Poşet-30 cm Lazeza</v>
      </c>
      <c r="N116" s="11" t="str">
        <f t="shared" si="9"/>
        <v>MAT008444</v>
      </c>
      <c r="O116" s="35">
        <f t="shared" si="10"/>
        <v>45637</v>
      </c>
    </row>
    <row r="117" spans="2:15" x14ac:dyDescent="0.2">
      <c r="B117" s="6">
        <v>45427</v>
      </c>
      <c r="C117" s="1" t="s">
        <v>252</v>
      </c>
      <c r="D117" s="1" t="str">
        <f>IF(C117="","",VLOOKUP(C117,Bilgiler!D:E,2,0))</f>
        <v>150.01.295</v>
      </c>
      <c r="E117" s="1" t="s">
        <v>344</v>
      </c>
      <c r="F117" s="6">
        <v>45639</v>
      </c>
      <c r="G117" s="1" t="s">
        <v>30</v>
      </c>
      <c r="H117" s="1" t="s">
        <v>10</v>
      </c>
      <c r="I117" s="1" t="s">
        <v>291</v>
      </c>
      <c r="J117" s="16">
        <v>341600</v>
      </c>
      <c r="K117" s="1" t="str">
        <f t="shared" si="7"/>
        <v>Poşet-25 cm Mutlukal Tortillas 260 Gr ( Rusca )MAT008322</v>
      </c>
      <c r="L117" s="1">
        <f>IF(K117="","",IFERROR(VLOOKUP(K117,$K$2:L116,2,0),MAX($L$2:L116)+1))</f>
        <v>56</v>
      </c>
      <c r="M117" s="1" t="str">
        <f t="shared" si="8"/>
        <v>Poşet-25 cm Mutlukal Tortillas 260 Gr ( Rusca )</v>
      </c>
      <c r="N117" s="1" t="str">
        <f t="shared" si="9"/>
        <v>MAT008322</v>
      </c>
      <c r="O117" s="6">
        <f t="shared" si="10"/>
        <v>45639</v>
      </c>
    </row>
    <row r="118" spans="2:15" x14ac:dyDescent="0.2">
      <c r="B118" s="8">
        <v>45427</v>
      </c>
      <c r="C118" s="7" t="s">
        <v>173</v>
      </c>
      <c r="D118" s="11" t="str">
        <f>IF(C118="","",VLOOKUP(C118,Bilgiler!D:E,2,0))</f>
        <v>150.01.055</v>
      </c>
      <c r="E118" s="7" t="s">
        <v>336</v>
      </c>
      <c r="F118" s="8">
        <v>45635</v>
      </c>
      <c r="G118" s="7" t="s">
        <v>30</v>
      </c>
      <c r="H118" s="7" t="s">
        <v>10</v>
      </c>
      <c r="I118" s="7" t="s">
        <v>291</v>
      </c>
      <c r="J118" s="17">
        <v>11200</v>
      </c>
      <c r="K118" s="11" t="str">
        <f t="shared" si="7"/>
        <v>Poşet-25 cm Nimet (Lam.Baskılı Zıp.Vakum )MAT008349</v>
      </c>
      <c r="L118" s="11">
        <f>IF(K118="","",IFERROR(VLOOKUP(K118,$K$2:L117,2,0),MAX($L$2:L117)+1))</f>
        <v>46</v>
      </c>
      <c r="M118" s="11" t="str">
        <f t="shared" si="8"/>
        <v>Poşet-25 cm Nimet (Lam.Baskılı Zıp.Vakum )</v>
      </c>
      <c r="N118" s="11" t="str">
        <f t="shared" si="9"/>
        <v>MAT008349</v>
      </c>
      <c r="O118" s="35">
        <f t="shared" si="10"/>
        <v>45635</v>
      </c>
    </row>
    <row r="119" spans="2:15" x14ac:dyDescent="0.2">
      <c r="B119" s="6">
        <v>45427</v>
      </c>
      <c r="C119" s="1" t="s">
        <v>229</v>
      </c>
      <c r="D119" s="1" t="str">
        <f>IF(C119="","",VLOOKUP(C119,Bilgiler!D:E,2,0))</f>
        <v>150.01.255</v>
      </c>
      <c r="E119" s="1" t="s">
        <v>355</v>
      </c>
      <c r="F119" s="6">
        <v>45640</v>
      </c>
      <c r="G119" s="1" t="s">
        <v>30</v>
      </c>
      <c r="H119" s="1" t="s">
        <v>10</v>
      </c>
      <c r="I119" s="1" t="s">
        <v>291</v>
      </c>
      <c r="J119" s="16">
        <v>26000</v>
      </c>
      <c r="K119" s="1" t="str">
        <f t="shared" si="7"/>
        <v>Poşet-15 cm Alkafeel 10 AdetMAT008455</v>
      </c>
      <c r="L119" s="1">
        <f>IF(K119="","",IFERROR(VLOOKUP(K119,$K$2:L118,2,0),MAX($L$2:L118)+1))</f>
        <v>66</v>
      </c>
      <c r="M119" s="1" t="str">
        <f t="shared" si="8"/>
        <v>Poşet-15 cm Alkafeel 10 Adet</v>
      </c>
      <c r="N119" s="1" t="str">
        <f t="shared" si="9"/>
        <v>MAT008455</v>
      </c>
      <c r="O119" s="6">
        <f t="shared" si="10"/>
        <v>45640</v>
      </c>
    </row>
    <row r="120" spans="2:15" x14ac:dyDescent="0.2">
      <c r="B120" s="8">
        <v>45429</v>
      </c>
      <c r="C120" s="7" t="s">
        <v>252</v>
      </c>
      <c r="D120" s="11" t="str">
        <f>IF(C120="","",VLOOKUP(C120,Bilgiler!D:E,2,0))</f>
        <v>150.01.295</v>
      </c>
      <c r="E120" s="7" t="s">
        <v>356</v>
      </c>
      <c r="F120" s="8">
        <v>45641</v>
      </c>
      <c r="G120" s="7" t="s">
        <v>30</v>
      </c>
      <c r="H120" s="7" t="s">
        <v>10</v>
      </c>
      <c r="I120" s="7" t="s">
        <v>292</v>
      </c>
      <c r="J120" s="17">
        <v>122400</v>
      </c>
      <c r="K120" s="11" t="str">
        <f t="shared" si="7"/>
        <v>Poşet-25 cm Mutlukal Tortillas 260 Gr ( Rusca )2024-002</v>
      </c>
      <c r="L120" s="11">
        <f>IF(K120="","",IFERROR(VLOOKUP(K120,$K$2:L119,2,0),MAX($L$2:L119)+1))</f>
        <v>67</v>
      </c>
      <c r="M120" s="11" t="str">
        <f t="shared" si="8"/>
        <v>Poşet-25 cm Mutlukal Tortillas 260 Gr ( Rusca )</v>
      </c>
      <c r="N120" s="11" t="str">
        <f t="shared" si="9"/>
        <v>2024-002</v>
      </c>
      <c r="O120" s="35">
        <f t="shared" si="10"/>
        <v>45641</v>
      </c>
    </row>
    <row r="121" spans="2:15" x14ac:dyDescent="0.2">
      <c r="B121" s="6">
        <v>45435</v>
      </c>
      <c r="C121" s="1" t="s">
        <v>229</v>
      </c>
      <c r="D121" s="1" t="str">
        <f>IF(C121="","",VLOOKUP(C121,Bilgiler!D:E,2,0))</f>
        <v>150.01.255</v>
      </c>
      <c r="E121" s="1" t="s">
        <v>355</v>
      </c>
      <c r="F121" s="6">
        <v>45641</v>
      </c>
      <c r="G121" s="1" t="s">
        <v>30</v>
      </c>
      <c r="H121" s="1" t="s">
        <v>10</v>
      </c>
      <c r="I121" s="1" t="s">
        <v>291</v>
      </c>
      <c r="J121" s="16">
        <v>86000</v>
      </c>
      <c r="K121" s="1" t="str">
        <f t="shared" si="7"/>
        <v>Poşet-15 cm Alkafeel 10 AdetMAT008455</v>
      </c>
      <c r="L121" s="1">
        <f>IF(K121="","",IFERROR(VLOOKUP(K121,$K$2:L120,2,0),MAX($L$2:L120)+1))</f>
        <v>66</v>
      </c>
      <c r="M121" s="1" t="str">
        <f t="shared" si="8"/>
        <v>Poşet-15 cm Alkafeel 10 Adet</v>
      </c>
      <c r="N121" s="1" t="str">
        <f t="shared" si="9"/>
        <v>MAT008455</v>
      </c>
      <c r="O121" s="6">
        <f t="shared" si="10"/>
        <v>45641</v>
      </c>
    </row>
    <row r="122" spans="2:15" x14ac:dyDescent="0.2">
      <c r="B122" s="8">
        <v>45435</v>
      </c>
      <c r="C122" s="7" t="s">
        <v>252</v>
      </c>
      <c r="D122" s="11" t="str">
        <f>IF(C122="","",VLOOKUP(C122,Bilgiler!D:E,2,0))</f>
        <v>150.01.295</v>
      </c>
      <c r="E122" s="7" t="s">
        <v>344</v>
      </c>
      <c r="F122" s="8">
        <v>45647</v>
      </c>
      <c r="G122" s="7" t="s">
        <v>30</v>
      </c>
      <c r="H122" s="7" t="s">
        <v>10</v>
      </c>
      <c r="I122" s="7" t="s">
        <v>291</v>
      </c>
      <c r="J122" s="17">
        <v>128800</v>
      </c>
      <c r="K122" s="11" t="str">
        <f t="shared" si="7"/>
        <v>Poşet-25 cm Mutlukal Tortillas 260 Gr ( Rusca )MAT008322</v>
      </c>
      <c r="L122" s="11">
        <f>IF(K122="","",IFERROR(VLOOKUP(K122,$K$2:L121,2,0),MAX($L$2:L121)+1))</f>
        <v>56</v>
      </c>
      <c r="M122" s="11" t="str">
        <f t="shared" si="8"/>
        <v>Poşet-25 cm Mutlukal Tortillas 260 Gr ( Rusca )</v>
      </c>
      <c r="N122" s="11" t="str">
        <f t="shared" si="9"/>
        <v>MAT008322</v>
      </c>
      <c r="O122" s="35">
        <f t="shared" si="10"/>
        <v>45647</v>
      </c>
    </row>
    <row r="123" spans="2:15" x14ac:dyDescent="0.2">
      <c r="B123" s="6">
        <v>45435</v>
      </c>
      <c r="C123" s="1" t="s">
        <v>194</v>
      </c>
      <c r="D123" s="1" t="str">
        <f>IF(C123="","",VLOOKUP(C123,Bilgiler!D:E,2,0))</f>
        <v>150.01.184</v>
      </c>
      <c r="E123" s="1" t="s">
        <v>357</v>
      </c>
      <c r="F123" s="6">
        <v>45648</v>
      </c>
      <c r="G123" s="1" t="s">
        <v>30</v>
      </c>
      <c r="H123" s="1" t="s">
        <v>10</v>
      </c>
      <c r="I123" s="1" t="s">
        <v>291</v>
      </c>
      <c r="J123" s="16">
        <v>47600</v>
      </c>
      <c r="K123" s="1" t="str">
        <f t="shared" si="7"/>
        <v>Poşet-25 cm AlkafeelMAT008454</v>
      </c>
      <c r="L123" s="1">
        <f>IF(K123="","",IFERROR(VLOOKUP(K123,$K$2:L122,2,0),MAX($L$2:L122)+1))</f>
        <v>68</v>
      </c>
      <c r="M123" s="1" t="str">
        <f t="shared" si="8"/>
        <v>Poşet-25 cm Alkafeel</v>
      </c>
      <c r="N123" s="1" t="str">
        <f t="shared" si="9"/>
        <v>MAT008454</v>
      </c>
      <c r="O123" s="6">
        <f t="shared" si="10"/>
        <v>45648</v>
      </c>
    </row>
    <row r="124" spans="2:15" x14ac:dyDescent="0.2">
      <c r="B124" s="8">
        <v>45439</v>
      </c>
      <c r="C124" s="7" t="s">
        <v>252</v>
      </c>
      <c r="D124" s="11" t="str">
        <f>IF(C124="","",VLOOKUP(C124,Bilgiler!D:E,2,0))</f>
        <v>150.01.295</v>
      </c>
      <c r="E124" s="7" t="s">
        <v>344</v>
      </c>
      <c r="F124" s="8">
        <v>45648</v>
      </c>
      <c r="G124" s="7" t="s">
        <v>30</v>
      </c>
      <c r="H124" s="7" t="s">
        <v>10</v>
      </c>
      <c r="I124" s="7" t="s">
        <v>291</v>
      </c>
      <c r="J124" s="17">
        <v>189000</v>
      </c>
      <c r="K124" s="11" t="str">
        <f t="shared" si="7"/>
        <v>Poşet-25 cm Mutlukal Tortillas 260 Gr ( Rusca )MAT008322</v>
      </c>
      <c r="L124" s="11">
        <f>IF(K124="","",IFERROR(VLOOKUP(K124,$K$2:L123,2,0),MAX($L$2:L123)+1))</f>
        <v>56</v>
      </c>
      <c r="M124" s="11" t="str">
        <f t="shared" si="8"/>
        <v>Poşet-25 cm Mutlukal Tortillas 260 Gr ( Rusca )</v>
      </c>
      <c r="N124" s="11" t="str">
        <f t="shared" si="9"/>
        <v>MAT008322</v>
      </c>
      <c r="O124" s="35">
        <f t="shared" si="10"/>
        <v>45648</v>
      </c>
    </row>
    <row r="125" spans="2:15" x14ac:dyDescent="0.2">
      <c r="B125" s="6">
        <v>45439</v>
      </c>
      <c r="C125" s="1" t="s">
        <v>194</v>
      </c>
      <c r="D125" s="1" t="str">
        <f>IF(C125="","",VLOOKUP(C125,Bilgiler!D:E,2,0))</f>
        <v>150.01.184</v>
      </c>
      <c r="E125" s="1" t="s">
        <v>357</v>
      </c>
      <c r="F125" s="6">
        <v>45648</v>
      </c>
      <c r="G125" s="1" t="s">
        <v>30</v>
      </c>
      <c r="H125" s="1" t="s">
        <v>10</v>
      </c>
      <c r="I125" s="1" t="s">
        <v>291</v>
      </c>
      <c r="J125" s="16">
        <v>28000</v>
      </c>
      <c r="K125" s="1" t="str">
        <f t="shared" si="7"/>
        <v>Poşet-25 cm AlkafeelMAT008454</v>
      </c>
      <c r="L125" s="1">
        <f>IF(K125="","",IFERROR(VLOOKUP(K125,$K$2:L124,2,0),MAX($L$2:L124)+1))</f>
        <v>68</v>
      </c>
      <c r="M125" s="1" t="str">
        <f t="shared" si="8"/>
        <v>Poşet-25 cm Alkafeel</v>
      </c>
      <c r="N125" s="1" t="str">
        <f t="shared" si="9"/>
        <v>MAT008454</v>
      </c>
      <c r="O125" s="6">
        <f t="shared" si="10"/>
        <v>45648</v>
      </c>
    </row>
    <row r="126" spans="2:15" x14ac:dyDescent="0.2">
      <c r="B126" s="8">
        <v>45439</v>
      </c>
      <c r="C126" s="7" t="s">
        <v>257</v>
      </c>
      <c r="D126" s="11" t="str">
        <f>IF(C126="","",VLOOKUP(C126,Bilgiler!D:E,2,0))</f>
        <v>150.01.307</v>
      </c>
      <c r="E126" s="7" t="s">
        <v>358</v>
      </c>
      <c r="F126" s="8">
        <v>45649</v>
      </c>
      <c r="G126" s="7" t="s">
        <v>30</v>
      </c>
      <c r="H126" s="7" t="s">
        <v>10</v>
      </c>
      <c r="I126" s="7" t="s">
        <v>291</v>
      </c>
      <c r="J126" s="17">
        <v>77000</v>
      </c>
      <c r="K126" s="11" t="str">
        <f t="shared" si="7"/>
        <v>Poşet-25 cm Mutlukal Tortillas Mavi DeğişkenMAT008510</v>
      </c>
      <c r="L126" s="11">
        <f>IF(K126="","",IFERROR(VLOOKUP(K126,$K$2:L125,2,0),MAX($L$2:L125)+1))</f>
        <v>69</v>
      </c>
      <c r="M126" s="11" t="str">
        <f t="shared" si="8"/>
        <v>Poşet-25 cm Mutlukal Tortillas Mavi Değişken</v>
      </c>
      <c r="N126" s="11" t="str">
        <f t="shared" si="9"/>
        <v>MAT008510</v>
      </c>
      <c r="O126" s="35">
        <f t="shared" si="10"/>
        <v>45649</v>
      </c>
    </row>
    <row r="127" spans="2:15" x14ac:dyDescent="0.2">
      <c r="B127" s="6">
        <v>45441</v>
      </c>
      <c r="C127" s="1" t="s">
        <v>188</v>
      </c>
      <c r="D127" s="1" t="str">
        <f>IF(C127="","",VLOOKUP(C127,Bilgiler!D:E,2,0))</f>
        <v>150.01.148</v>
      </c>
      <c r="E127" s="1" t="s">
        <v>359</v>
      </c>
      <c r="F127" s="6">
        <v>45654</v>
      </c>
      <c r="G127" s="1" t="s">
        <v>30</v>
      </c>
      <c r="H127" s="1" t="s">
        <v>10</v>
      </c>
      <c r="I127" s="1" t="s">
        <v>291</v>
      </c>
      <c r="J127" s="16">
        <v>39200</v>
      </c>
      <c r="K127" s="1" t="str">
        <f t="shared" si="7"/>
        <v>Poşet-25 cm Tortillove DeğişkenMAT008485</v>
      </c>
      <c r="L127" s="1">
        <f>IF(K127="","",IFERROR(VLOOKUP(K127,$K$2:L126,2,0),MAX($L$2:L126)+1))</f>
        <v>70</v>
      </c>
      <c r="M127" s="1" t="str">
        <f t="shared" si="8"/>
        <v>Poşet-25 cm Tortillove Değişken</v>
      </c>
      <c r="N127" s="1" t="str">
        <f t="shared" si="9"/>
        <v>MAT008485</v>
      </c>
      <c r="O127" s="6">
        <f t="shared" si="10"/>
        <v>45654</v>
      </c>
    </row>
    <row r="128" spans="2:15" x14ac:dyDescent="0.2">
      <c r="B128" s="8">
        <v>45441</v>
      </c>
      <c r="C128" s="7" t="s">
        <v>252</v>
      </c>
      <c r="D128" s="11" t="str">
        <f>IF(C128="","",VLOOKUP(C128,Bilgiler!D:E,2,0))</f>
        <v>150.01.295</v>
      </c>
      <c r="E128" s="7" t="s">
        <v>344</v>
      </c>
      <c r="F128" s="8">
        <v>45653</v>
      </c>
      <c r="G128" s="7" t="s">
        <v>30</v>
      </c>
      <c r="H128" s="7" t="s">
        <v>10</v>
      </c>
      <c r="I128" s="7" t="s">
        <v>291</v>
      </c>
      <c r="J128" s="17">
        <v>235200</v>
      </c>
      <c r="K128" s="11" t="str">
        <f t="shared" si="7"/>
        <v>Poşet-25 cm Mutlukal Tortillas 260 Gr ( Rusca )MAT008322</v>
      </c>
      <c r="L128" s="11">
        <f>IF(K128="","",IFERROR(VLOOKUP(K128,$K$2:L127,2,0),MAX($L$2:L127)+1))</f>
        <v>56</v>
      </c>
      <c r="M128" s="11" t="str">
        <f t="shared" si="8"/>
        <v>Poşet-25 cm Mutlukal Tortillas 260 Gr ( Rusca )</v>
      </c>
      <c r="N128" s="11" t="str">
        <f t="shared" si="9"/>
        <v>MAT008322</v>
      </c>
      <c r="O128" s="35">
        <f t="shared" si="10"/>
        <v>45653</v>
      </c>
    </row>
    <row r="129" spans="2:15" x14ac:dyDescent="0.2">
      <c r="B129" s="6">
        <v>45441</v>
      </c>
      <c r="C129" s="1" t="s">
        <v>271</v>
      </c>
      <c r="D129" s="1" t="str">
        <f>IF(C129="","",VLOOKUP(C129,Bilgiler!D:E,2,0))</f>
        <v>150.01.322</v>
      </c>
      <c r="E129" s="1" t="s">
        <v>360</v>
      </c>
      <c r="F129" s="6">
        <v>45653</v>
      </c>
      <c r="G129" s="1" t="s">
        <v>30</v>
      </c>
      <c r="H129" s="1" t="s">
        <v>10</v>
      </c>
      <c r="I129" s="1" t="s">
        <v>291</v>
      </c>
      <c r="J129" s="16">
        <v>81200</v>
      </c>
      <c r="K129" s="1" t="str">
        <f t="shared" si="7"/>
        <v>Poşet-25 cm SwitzMAT008599</v>
      </c>
      <c r="L129" s="1">
        <f>IF(K129="","",IFERROR(VLOOKUP(K129,$K$2:L128,2,0),MAX($L$2:L128)+1))</f>
        <v>71</v>
      </c>
      <c r="M129" s="1" t="str">
        <f t="shared" si="8"/>
        <v>Poşet-25 cm Switz</v>
      </c>
      <c r="N129" s="1" t="str">
        <f t="shared" si="9"/>
        <v>MAT008599</v>
      </c>
      <c r="O129" s="6">
        <f t="shared" si="10"/>
        <v>45653</v>
      </c>
    </row>
    <row r="130" spans="2:15" x14ac:dyDescent="0.2">
      <c r="B130" s="8">
        <v>45441</v>
      </c>
      <c r="C130" s="7" t="s">
        <v>252</v>
      </c>
      <c r="D130" s="11" t="str">
        <f>IF(C130="","",VLOOKUP(C130,Bilgiler!D:E,2,0))</f>
        <v>150.01.295</v>
      </c>
      <c r="E130" s="65">
        <v>1622409</v>
      </c>
      <c r="F130" s="8">
        <v>45650</v>
      </c>
      <c r="G130" s="7" t="s">
        <v>30</v>
      </c>
      <c r="H130" s="7" t="s">
        <v>10</v>
      </c>
      <c r="I130" s="7" t="s">
        <v>294</v>
      </c>
      <c r="J130" s="17">
        <v>86800</v>
      </c>
      <c r="K130" s="11" t="str">
        <f t="shared" si="7"/>
        <v>Poşet-25 cm Mutlukal Tortillas 260 Gr ( Rusca )1622409</v>
      </c>
      <c r="L130" s="11">
        <f>IF(K130="","",IFERROR(VLOOKUP(K130,$K$2:L129,2,0),MAX($L$2:L129)+1))</f>
        <v>49</v>
      </c>
      <c r="M130" s="11" t="str">
        <f t="shared" si="8"/>
        <v>Poşet-25 cm Mutlukal Tortillas 260 Gr ( Rusca )</v>
      </c>
      <c r="N130" s="11">
        <f t="shared" si="9"/>
        <v>1622409</v>
      </c>
      <c r="O130" s="35">
        <f t="shared" si="10"/>
        <v>45650</v>
      </c>
    </row>
    <row r="131" spans="2:15" x14ac:dyDescent="0.2">
      <c r="B131" s="6">
        <v>45446</v>
      </c>
      <c r="C131" s="1" t="s">
        <v>252</v>
      </c>
      <c r="D131" s="1" t="str">
        <f>IF(C131="","",VLOOKUP(C131,Bilgiler!D:E,2,0))</f>
        <v>150.01.295</v>
      </c>
      <c r="E131" s="1" t="s">
        <v>344</v>
      </c>
      <c r="F131" s="6">
        <v>45657</v>
      </c>
      <c r="G131" s="1" t="s">
        <v>30</v>
      </c>
      <c r="H131" s="1" t="s">
        <v>10</v>
      </c>
      <c r="I131" s="1" t="s">
        <v>291</v>
      </c>
      <c r="J131" s="16">
        <v>141400</v>
      </c>
      <c r="K131" s="1" t="str">
        <f t="shared" si="7"/>
        <v>Poşet-25 cm Mutlukal Tortillas 260 Gr ( Rusca )MAT008322</v>
      </c>
      <c r="L131" s="1">
        <f>IF(K131="","",IFERROR(VLOOKUP(K131,$K$2:L130,2,0),MAX($L$2:L130)+1))</f>
        <v>56</v>
      </c>
      <c r="M131" s="1" t="str">
        <f t="shared" si="8"/>
        <v>Poşet-25 cm Mutlukal Tortillas 260 Gr ( Rusca )</v>
      </c>
      <c r="N131" s="1" t="str">
        <f t="shared" si="9"/>
        <v>MAT008322</v>
      </c>
      <c r="O131" s="6">
        <f t="shared" si="10"/>
        <v>45657</v>
      </c>
    </row>
    <row r="132" spans="2:15" x14ac:dyDescent="0.2">
      <c r="B132" s="8">
        <v>45446</v>
      </c>
      <c r="C132" s="7" t="s">
        <v>254</v>
      </c>
      <c r="D132" s="11" t="str">
        <f>IF(C132="","",VLOOKUP(C132,Bilgiler!D:E,2,0))</f>
        <v>150.01.301</v>
      </c>
      <c r="E132" s="7" t="s">
        <v>341</v>
      </c>
      <c r="F132" s="8">
        <v>45655</v>
      </c>
      <c r="G132" s="7" t="s">
        <v>30</v>
      </c>
      <c r="H132" s="7" t="s">
        <v>10</v>
      </c>
      <c r="I132" s="7" t="s">
        <v>291</v>
      </c>
      <c r="J132" s="17">
        <v>91200</v>
      </c>
      <c r="K132" s="11" t="str">
        <f t="shared" ref="K132:K195" si="11">IF(C132="","",CONCATENATE(C132,E132))</f>
        <v>Poşet-15 cm Mutlukal TacoMAT008410</v>
      </c>
      <c r="L132" s="11">
        <f>IF(K132="","",IFERROR(VLOOKUP(K132,$K$2:L131,2,0),MAX($L$2:L131)+1))</f>
        <v>53</v>
      </c>
      <c r="M132" s="11" t="str">
        <f t="shared" si="8"/>
        <v>Poşet-15 cm Mutlukal Taco</v>
      </c>
      <c r="N132" s="11" t="str">
        <f t="shared" si="9"/>
        <v>MAT008410</v>
      </c>
      <c r="O132" s="35">
        <f t="shared" si="10"/>
        <v>45655</v>
      </c>
    </row>
    <row r="133" spans="2:15" x14ac:dyDescent="0.2">
      <c r="B133" s="6">
        <v>45446</v>
      </c>
      <c r="C133" s="1" t="s">
        <v>188</v>
      </c>
      <c r="D133" s="1" t="str">
        <f>IF(C133="","",VLOOKUP(C133,Bilgiler!D:E,2,0))</f>
        <v>150.01.148</v>
      </c>
      <c r="E133" s="1" t="s">
        <v>359</v>
      </c>
      <c r="F133" s="6">
        <v>45654</v>
      </c>
      <c r="G133" s="1" t="s">
        <v>30</v>
      </c>
      <c r="H133" s="1" t="s">
        <v>10</v>
      </c>
      <c r="I133" s="1" t="s">
        <v>291</v>
      </c>
      <c r="J133" s="16">
        <v>46200</v>
      </c>
      <c r="K133" s="1" t="str">
        <f t="shared" si="11"/>
        <v>Poşet-25 cm Tortillove DeğişkenMAT008485</v>
      </c>
      <c r="L133" s="1">
        <f>IF(K133="","",IFERROR(VLOOKUP(K133,$K$2:L132,2,0),MAX($L$2:L132)+1))</f>
        <v>70</v>
      </c>
      <c r="M133" s="1" t="str">
        <f t="shared" si="8"/>
        <v>Poşet-25 cm Tortillove Değişken</v>
      </c>
      <c r="N133" s="1" t="str">
        <f t="shared" si="9"/>
        <v>MAT008485</v>
      </c>
      <c r="O133" s="6">
        <f t="shared" si="10"/>
        <v>45654</v>
      </c>
    </row>
    <row r="134" spans="2:15" x14ac:dyDescent="0.2">
      <c r="B134" s="8">
        <v>45446</v>
      </c>
      <c r="C134" s="7" t="s">
        <v>191</v>
      </c>
      <c r="D134" s="11" t="str">
        <f>IF(C134="","",VLOOKUP(C134,Bilgiler!D:E,2,0))</f>
        <v>150.01.163</v>
      </c>
      <c r="E134" s="7" t="s">
        <v>361</v>
      </c>
      <c r="F134" s="8">
        <v>45656</v>
      </c>
      <c r="G134" s="7" t="s">
        <v>30</v>
      </c>
      <c r="H134" s="7" t="s">
        <v>10</v>
      </c>
      <c r="I134" s="7" t="s">
        <v>346</v>
      </c>
      <c r="J134" s="17">
        <v>56400</v>
      </c>
      <c r="K134" s="11" t="str">
        <f t="shared" si="11"/>
        <v>Poşet-30 cm Tortillove DeğişkenMAT008500</v>
      </c>
      <c r="L134" s="11">
        <f>IF(K134="","",IFERROR(VLOOKUP(K134,$K$2:L133,2,0),MAX($L$2:L133)+1))</f>
        <v>72</v>
      </c>
      <c r="M134" s="11" t="str">
        <f t="shared" ref="M134:M197" si="12">IF(K134="","",C134)</f>
        <v>Poşet-30 cm Tortillove Değişken</v>
      </c>
      <c r="N134" s="11" t="str">
        <f t="shared" ref="N134:N197" si="13">IF(K134="","",E134)</f>
        <v>MAT008500</v>
      </c>
      <c r="O134" s="35">
        <f t="shared" ref="O134:O197" si="14">IF(K134="","",F134)</f>
        <v>45656</v>
      </c>
    </row>
    <row r="135" spans="2:15" x14ac:dyDescent="0.2">
      <c r="B135" s="6">
        <v>45446</v>
      </c>
      <c r="C135" s="1" t="s">
        <v>252</v>
      </c>
      <c r="D135" s="1" t="str">
        <f>IF(C135="","",VLOOKUP(C135,Bilgiler!D:E,2,0))</f>
        <v>150.01.295</v>
      </c>
      <c r="E135" s="66">
        <v>1662221</v>
      </c>
      <c r="F135" s="6">
        <v>45655</v>
      </c>
      <c r="G135" s="1" t="s">
        <v>30</v>
      </c>
      <c r="H135" s="1" t="s">
        <v>10</v>
      </c>
      <c r="I135" s="1" t="s">
        <v>294</v>
      </c>
      <c r="J135" s="16">
        <v>173600</v>
      </c>
      <c r="K135" s="1" t="str">
        <f t="shared" si="11"/>
        <v>Poşet-25 cm Mutlukal Tortillas 260 Gr ( Rusca )1662221</v>
      </c>
      <c r="L135" s="1">
        <f>IF(K135="","",IFERROR(VLOOKUP(K135,$K$2:L134,2,0),MAX($L$2:L134)+1))</f>
        <v>73</v>
      </c>
      <c r="M135" s="1" t="str">
        <f t="shared" si="12"/>
        <v>Poşet-25 cm Mutlukal Tortillas 260 Gr ( Rusca )</v>
      </c>
      <c r="N135" s="1">
        <f t="shared" si="13"/>
        <v>1662221</v>
      </c>
      <c r="O135" s="6">
        <f t="shared" si="14"/>
        <v>45655</v>
      </c>
    </row>
    <row r="136" spans="2:15" x14ac:dyDescent="0.2">
      <c r="B136" s="8">
        <v>45447</v>
      </c>
      <c r="C136" s="7" t="s">
        <v>257</v>
      </c>
      <c r="D136" s="11" t="str">
        <f>IF(C136="","",VLOOKUP(C136,Bilgiler!D:E,2,0))</f>
        <v>150.01.307</v>
      </c>
      <c r="E136" s="7" t="s">
        <v>362</v>
      </c>
      <c r="F136" s="8">
        <v>45644</v>
      </c>
      <c r="G136" s="7" t="s">
        <v>30</v>
      </c>
      <c r="H136" s="7" t="s">
        <v>10</v>
      </c>
      <c r="I136" s="7" t="s">
        <v>292</v>
      </c>
      <c r="J136" s="17">
        <v>86263</v>
      </c>
      <c r="K136" s="11" t="str">
        <f t="shared" si="11"/>
        <v>Poşet-25 cm Mutlukal Tortillas Mavi Değişken2024-003</v>
      </c>
      <c r="L136" s="11">
        <f>IF(K136="","",IFERROR(VLOOKUP(K136,$K$2:L135,2,0),MAX($L$2:L135)+1))</f>
        <v>74</v>
      </c>
      <c r="M136" s="11" t="str">
        <f t="shared" si="12"/>
        <v>Poşet-25 cm Mutlukal Tortillas Mavi Değişken</v>
      </c>
      <c r="N136" s="11" t="str">
        <f t="shared" si="13"/>
        <v>2024-003</v>
      </c>
      <c r="O136" s="35">
        <f t="shared" si="14"/>
        <v>45644</v>
      </c>
    </row>
    <row r="137" spans="2:15" x14ac:dyDescent="0.2">
      <c r="B137" s="6">
        <v>45447</v>
      </c>
      <c r="C137" s="1" t="s">
        <v>252</v>
      </c>
      <c r="D137" s="1" t="str">
        <f>IF(C137="","",VLOOKUP(C137,Bilgiler!D:E,2,0))</f>
        <v>150.01.295</v>
      </c>
      <c r="E137" s="1" t="s">
        <v>356</v>
      </c>
      <c r="F137" s="6">
        <v>45645</v>
      </c>
      <c r="G137" s="1" t="s">
        <v>30</v>
      </c>
      <c r="H137" s="1" t="s">
        <v>10</v>
      </c>
      <c r="I137" s="1" t="s">
        <v>292</v>
      </c>
      <c r="J137" s="16">
        <v>244800</v>
      </c>
      <c r="K137" s="1" t="str">
        <f t="shared" si="11"/>
        <v>Poşet-25 cm Mutlukal Tortillas 260 Gr ( Rusca )2024-002</v>
      </c>
      <c r="L137" s="1">
        <f>IF(K137="","",IFERROR(VLOOKUP(K137,$K$2:L136,2,0),MAX($L$2:L136)+1))</f>
        <v>67</v>
      </c>
      <c r="M137" s="1" t="str">
        <f t="shared" si="12"/>
        <v>Poşet-25 cm Mutlukal Tortillas 260 Gr ( Rusca )</v>
      </c>
      <c r="N137" s="1" t="str">
        <f t="shared" si="13"/>
        <v>2024-002</v>
      </c>
      <c r="O137" s="6">
        <f t="shared" si="14"/>
        <v>45645</v>
      </c>
    </row>
    <row r="138" spans="2:15" x14ac:dyDescent="0.2">
      <c r="B138" s="8">
        <v>45447</v>
      </c>
      <c r="C138" s="7" t="s">
        <v>266</v>
      </c>
      <c r="D138" s="11" t="str">
        <f>IF(C138="","",VLOOKUP(C138,Bilgiler!D:E,2,0))</f>
        <v>150.01.316</v>
      </c>
      <c r="E138" s="7" t="s">
        <v>363</v>
      </c>
      <c r="F138" s="8">
        <v>45646</v>
      </c>
      <c r="G138" s="7" t="s">
        <v>30</v>
      </c>
      <c r="H138" s="7" t="s">
        <v>10</v>
      </c>
      <c r="I138" s="7" t="s">
        <v>292</v>
      </c>
      <c r="J138" s="17">
        <v>89367</v>
      </c>
      <c r="K138" s="11" t="str">
        <f t="shared" si="11"/>
        <v>Poşet-25 cm Tortillas Domatesli2024-005</v>
      </c>
      <c r="L138" s="11">
        <f>IF(K138="","",IFERROR(VLOOKUP(K138,$K$2:L137,2,0),MAX($L$2:L137)+1))</f>
        <v>75</v>
      </c>
      <c r="M138" s="11" t="str">
        <f t="shared" si="12"/>
        <v>Poşet-25 cm Tortillas Domatesli</v>
      </c>
      <c r="N138" s="11" t="str">
        <f t="shared" si="13"/>
        <v>2024-005</v>
      </c>
      <c r="O138" s="35">
        <f t="shared" si="14"/>
        <v>45646</v>
      </c>
    </row>
    <row r="139" spans="2:15" x14ac:dyDescent="0.2">
      <c r="B139" s="6">
        <v>45447</v>
      </c>
      <c r="C139" s="1" t="s">
        <v>202</v>
      </c>
      <c r="D139" s="1" t="str">
        <f>IF(C139="","",VLOOKUP(C139,Bilgiler!D:E,2,0))</f>
        <v>150.01.200</v>
      </c>
      <c r="E139" s="1" t="s">
        <v>364</v>
      </c>
      <c r="F139" s="6">
        <v>45649</v>
      </c>
      <c r="G139" s="1" t="s">
        <v>30</v>
      </c>
      <c r="H139" s="1" t="s">
        <v>10</v>
      </c>
      <c r="I139" s="1" t="s">
        <v>292</v>
      </c>
      <c r="J139" s="16">
        <v>86080</v>
      </c>
      <c r="K139" s="1" t="str">
        <f t="shared" si="11"/>
        <v>Poşet-26 cm Mutlukal Tortillas Pizza2024-004</v>
      </c>
      <c r="L139" s="1">
        <f>IF(K139="","",IFERROR(VLOOKUP(K139,$K$2:L138,2,0),MAX($L$2:L138)+1))</f>
        <v>76</v>
      </c>
      <c r="M139" s="1" t="str">
        <f t="shared" si="12"/>
        <v>Poşet-26 cm Mutlukal Tortillas Pizza</v>
      </c>
      <c r="N139" s="1" t="str">
        <f t="shared" si="13"/>
        <v>2024-004</v>
      </c>
      <c r="O139" s="6">
        <f t="shared" si="14"/>
        <v>45649</v>
      </c>
    </row>
    <row r="140" spans="2:15" x14ac:dyDescent="0.2">
      <c r="B140" s="8">
        <v>45447</v>
      </c>
      <c r="C140" s="7" t="s">
        <v>265</v>
      </c>
      <c r="D140" s="11" t="str">
        <f>IF(C140="","",VLOOKUP(C140,Bilgiler!D:E,2,0))</f>
        <v>150.01.315</v>
      </c>
      <c r="E140" s="7" t="s">
        <v>347</v>
      </c>
      <c r="F140" s="8">
        <v>45648</v>
      </c>
      <c r="G140" s="7" t="s">
        <v>30</v>
      </c>
      <c r="H140" s="7" t="s">
        <v>10</v>
      </c>
      <c r="I140" s="7" t="s">
        <v>292</v>
      </c>
      <c r="J140" s="17">
        <v>85753</v>
      </c>
      <c r="K140" s="11" t="str">
        <f t="shared" si="11"/>
        <v>Poşet-25 cm Mutlukal Tortillas Tam Buğday2024-001</v>
      </c>
      <c r="L140" s="11">
        <f>IF(K140="","",IFERROR(VLOOKUP(K140,$K$2:L139,2,0),MAX($L$2:L139)+1))</f>
        <v>77</v>
      </c>
      <c r="M140" s="11" t="str">
        <f t="shared" si="12"/>
        <v>Poşet-25 cm Mutlukal Tortillas Tam Buğday</v>
      </c>
      <c r="N140" s="11" t="str">
        <f t="shared" si="13"/>
        <v>2024-001</v>
      </c>
      <c r="O140" s="35">
        <f t="shared" si="14"/>
        <v>45648</v>
      </c>
    </row>
    <row r="141" spans="2:15" x14ac:dyDescent="0.2">
      <c r="B141" s="6">
        <v>45448</v>
      </c>
      <c r="C141" s="1" t="s">
        <v>252</v>
      </c>
      <c r="D141" s="1" t="str">
        <f>IF(C141="","",VLOOKUP(C141,Bilgiler!D:E,2,0))</f>
        <v>150.01.295</v>
      </c>
      <c r="E141" s="66">
        <v>1662221</v>
      </c>
      <c r="F141" s="6">
        <v>45657</v>
      </c>
      <c r="G141" s="1" t="s">
        <v>30</v>
      </c>
      <c r="H141" s="1" t="s">
        <v>10</v>
      </c>
      <c r="I141" s="1" t="s">
        <v>294</v>
      </c>
      <c r="J141" s="16">
        <v>122100</v>
      </c>
      <c r="K141" s="1" t="str">
        <f t="shared" si="11"/>
        <v>Poşet-25 cm Mutlukal Tortillas 260 Gr ( Rusca )1662221</v>
      </c>
      <c r="L141" s="1">
        <f>IF(K141="","",IFERROR(VLOOKUP(K141,$K$2:L140,2,0),MAX($L$2:L140)+1))</f>
        <v>73</v>
      </c>
      <c r="M141" s="1" t="str">
        <f t="shared" si="12"/>
        <v>Poşet-25 cm Mutlukal Tortillas 260 Gr ( Rusca )</v>
      </c>
      <c r="N141" s="1">
        <f t="shared" si="13"/>
        <v>1662221</v>
      </c>
      <c r="O141" s="6">
        <f t="shared" si="14"/>
        <v>45657</v>
      </c>
    </row>
    <row r="142" spans="2:15" x14ac:dyDescent="0.2">
      <c r="B142" s="8">
        <v>45448</v>
      </c>
      <c r="C142" s="7" t="s">
        <v>169</v>
      </c>
      <c r="D142" s="11" t="str">
        <f>IF(C142="","",VLOOKUP(C142,Bilgiler!D:E,2,0))</f>
        <v>150.01.044</v>
      </c>
      <c r="E142" s="7" t="s">
        <v>365</v>
      </c>
      <c r="F142" s="8">
        <v>45627</v>
      </c>
      <c r="G142" s="7" t="s">
        <v>30</v>
      </c>
      <c r="H142" s="7" t="s">
        <v>10</v>
      </c>
      <c r="I142" s="7" t="s">
        <v>291</v>
      </c>
      <c r="J142" s="17">
        <v>113400</v>
      </c>
      <c r="K142" s="11" t="str">
        <f t="shared" si="11"/>
        <v>Poşet-25 cm B.sız KilitliMAT008483</v>
      </c>
      <c r="L142" s="11">
        <f>IF(K142="","",IFERROR(VLOOKUP(K142,$K$2:L141,2,0),MAX($L$2:L141)+1))</f>
        <v>78</v>
      </c>
      <c r="M142" s="11" t="str">
        <f t="shared" si="12"/>
        <v>Poşet-25 cm B.sız Kilitli</v>
      </c>
      <c r="N142" s="11" t="str">
        <f t="shared" si="13"/>
        <v>MAT008483</v>
      </c>
      <c r="O142" s="35">
        <f t="shared" si="14"/>
        <v>45627</v>
      </c>
    </row>
    <row r="143" spans="2:15" x14ac:dyDescent="0.2">
      <c r="B143" s="6">
        <v>45448</v>
      </c>
      <c r="C143" s="1" t="s">
        <v>252</v>
      </c>
      <c r="D143" s="1" t="str">
        <f>IF(C143="","",VLOOKUP(C143,Bilgiler!D:E,2,0))</f>
        <v>150.01.295</v>
      </c>
      <c r="E143" s="1" t="s">
        <v>344</v>
      </c>
      <c r="F143" s="6">
        <v>45657</v>
      </c>
      <c r="G143" s="1" t="s">
        <v>30</v>
      </c>
      <c r="H143" s="1" t="s">
        <v>10</v>
      </c>
      <c r="I143" s="1" t="s">
        <v>291</v>
      </c>
      <c r="J143" s="16">
        <v>110600</v>
      </c>
      <c r="K143" s="1" t="str">
        <f t="shared" si="11"/>
        <v>Poşet-25 cm Mutlukal Tortillas 260 Gr ( Rusca )MAT008322</v>
      </c>
      <c r="L143" s="1">
        <f>IF(K143="","",IFERROR(VLOOKUP(K143,$K$2:L142,2,0),MAX($L$2:L142)+1))</f>
        <v>56</v>
      </c>
      <c r="M143" s="1" t="str">
        <f t="shared" si="12"/>
        <v>Poşet-25 cm Mutlukal Tortillas 260 Gr ( Rusca )</v>
      </c>
      <c r="N143" s="1" t="str">
        <f t="shared" si="13"/>
        <v>MAT008322</v>
      </c>
      <c r="O143" s="6">
        <f t="shared" si="14"/>
        <v>45657</v>
      </c>
    </row>
    <row r="144" spans="2:15" x14ac:dyDescent="0.2">
      <c r="B144" s="8">
        <v>45453</v>
      </c>
      <c r="C144" s="7" t="s">
        <v>252</v>
      </c>
      <c r="D144" s="11" t="str">
        <f>IF(C144="","",VLOOKUP(C144,Bilgiler!D:E,2,0))</f>
        <v>150.01.295</v>
      </c>
      <c r="E144" s="7" t="s">
        <v>366</v>
      </c>
      <c r="F144" s="8">
        <v>45632</v>
      </c>
      <c r="G144" s="7" t="s">
        <v>30</v>
      </c>
      <c r="H144" s="7" t="s">
        <v>10</v>
      </c>
      <c r="I144" s="7" t="s">
        <v>291</v>
      </c>
      <c r="J144" s="17">
        <v>285600</v>
      </c>
      <c r="K144" s="11" t="str">
        <f t="shared" si="11"/>
        <v>Poşet-25 cm Mutlukal Tortillas 260 Gr ( Rusca )MAT008388</v>
      </c>
      <c r="L144" s="11">
        <f>IF(K144="","",IFERROR(VLOOKUP(K144,$K$2:L143,2,0),MAX($L$2:L143)+1))</f>
        <v>79</v>
      </c>
      <c r="M144" s="11" t="str">
        <f t="shared" si="12"/>
        <v>Poşet-25 cm Mutlukal Tortillas 260 Gr ( Rusca )</v>
      </c>
      <c r="N144" s="11" t="str">
        <f t="shared" si="13"/>
        <v>MAT008388</v>
      </c>
      <c r="O144" s="35">
        <f t="shared" si="14"/>
        <v>45632</v>
      </c>
    </row>
    <row r="145" spans="2:15" x14ac:dyDescent="0.2">
      <c r="B145" s="6">
        <v>45457</v>
      </c>
      <c r="C145" s="1" t="s">
        <v>233</v>
      </c>
      <c r="D145" s="1" t="str">
        <f>IF(C145="","",VLOOKUP(C145,Bilgiler!D:E,2,0))</f>
        <v>150.01.259</v>
      </c>
      <c r="E145" s="6">
        <v>45457</v>
      </c>
      <c r="F145" s="6">
        <v>46005</v>
      </c>
      <c r="G145" s="1" t="s">
        <v>30</v>
      </c>
      <c r="H145" s="1" t="s">
        <v>10</v>
      </c>
      <c r="I145" s="1" t="s">
        <v>325</v>
      </c>
      <c r="J145" s="16">
        <v>80000</v>
      </c>
      <c r="K145" s="1" t="str">
        <f t="shared" si="11"/>
        <v>Poşet-25 cm Bisto45457</v>
      </c>
      <c r="L145" s="1">
        <f>IF(K145="","",IFERROR(VLOOKUP(K145,$K$2:L144,2,0),MAX($L$2:L144)+1))</f>
        <v>80</v>
      </c>
      <c r="M145" s="1" t="str">
        <f t="shared" si="12"/>
        <v>Poşet-25 cm Bisto</v>
      </c>
      <c r="N145" s="1">
        <f t="shared" si="13"/>
        <v>45457</v>
      </c>
      <c r="O145" s="6">
        <f t="shared" si="14"/>
        <v>46005</v>
      </c>
    </row>
    <row r="146" spans="2:15" x14ac:dyDescent="0.2">
      <c r="B146" s="8">
        <v>45457</v>
      </c>
      <c r="C146" s="7" t="s">
        <v>252</v>
      </c>
      <c r="D146" s="11" t="str">
        <f>IF(C146="","",VLOOKUP(C146,Bilgiler!D:E,2,0))</f>
        <v>150.01.295</v>
      </c>
      <c r="E146" s="8" t="s">
        <v>344</v>
      </c>
      <c r="F146" s="8">
        <v>45456</v>
      </c>
      <c r="G146" s="7" t="s">
        <v>30</v>
      </c>
      <c r="H146" s="7" t="s">
        <v>10</v>
      </c>
      <c r="I146" s="7" t="s">
        <v>291</v>
      </c>
      <c r="J146" s="17">
        <v>288400</v>
      </c>
      <c r="K146" s="11" t="str">
        <f t="shared" si="11"/>
        <v>Poşet-25 cm Mutlukal Tortillas 260 Gr ( Rusca )MAT008322</v>
      </c>
      <c r="L146" s="11">
        <f>IF(K146="","",IFERROR(VLOOKUP(K146,$K$2:L145,2,0),MAX($L$2:L145)+1))</f>
        <v>56</v>
      </c>
      <c r="M146" s="11" t="str">
        <f t="shared" si="12"/>
        <v>Poşet-25 cm Mutlukal Tortillas 260 Gr ( Rusca )</v>
      </c>
      <c r="N146" s="11" t="str">
        <f t="shared" si="13"/>
        <v>MAT008322</v>
      </c>
      <c r="O146" s="35">
        <f t="shared" si="14"/>
        <v>45456</v>
      </c>
    </row>
    <row r="147" spans="2:15" x14ac:dyDescent="0.2">
      <c r="B147" s="6">
        <v>45470</v>
      </c>
      <c r="C147" s="1" t="s">
        <v>367</v>
      </c>
      <c r="D147" s="1">
        <f>IF(C147="","",VLOOKUP(C147,Bilgiler!D:E,2,0))</f>
        <v>0</v>
      </c>
      <c r="E147" s="1" t="s">
        <v>369</v>
      </c>
      <c r="F147" s="6">
        <v>45469</v>
      </c>
      <c r="G147" s="1" t="s">
        <v>30</v>
      </c>
      <c r="H147" s="1" t="s">
        <v>10</v>
      </c>
      <c r="I147" s="1" t="s">
        <v>291</v>
      </c>
      <c r="J147" s="16">
        <v>10800</v>
      </c>
      <c r="K147" s="1" t="str">
        <f t="shared" si="11"/>
        <v>20CM BUENA COMIDAMAT008561</v>
      </c>
      <c r="L147" s="1">
        <f>IF(K147="","",IFERROR(VLOOKUP(K147,$K$2:L146,2,0),MAX($L$2:L146)+1))</f>
        <v>81</v>
      </c>
      <c r="M147" s="1" t="str">
        <f t="shared" si="12"/>
        <v>20CM BUENA COMIDA</v>
      </c>
      <c r="N147" s="1" t="str">
        <f t="shared" si="13"/>
        <v>MAT008561</v>
      </c>
      <c r="O147" s="6">
        <f t="shared" si="14"/>
        <v>45469</v>
      </c>
    </row>
    <row r="148" spans="2:15" x14ac:dyDescent="0.2">
      <c r="B148" s="8">
        <v>45470</v>
      </c>
      <c r="C148" s="7" t="s">
        <v>368</v>
      </c>
      <c r="D148" s="11">
        <f>IF(C148="","",VLOOKUP(C148,Bilgiler!D:E,2,0))</f>
        <v>0</v>
      </c>
      <c r="E148" s="7" t="s">
        <v>370</v>
      </c>
      <c r="F148" s="8">
        <v>45469</v>
      </c>
      <c r="G148" s="7" t="s">
        <v>30</v>
      </c>
      <c r="H148" s="7" t="s">
        <v>10</v>
      </c>
      <c r="I148" s="7" t="s">
        <v>291</v>
      </c>
      <c r="J148" s="17">
        <v>48000</v>
      </c>
      <c r="K148" s="11" t="str">
        <f t="shared" si="11"/>
        <v>30CM BUENA COMIDAMAT008560</v>
      </c>
      <c r="L148" s="11">
        <f>IF(K148="","",IFERROR(VLOOKUP(K148,$K$2:L147,2,0),MAX($L$2:L147)+1))</f>
        <v>82</v>
      </c>
      <c r="M148" s="11" t="str">
        <f t="shared" si="12"/>
        <v>30CM BUENA COMIDA</v>
      </c>
      <c r="N148" s="11" t="str">
        <f t="shared" si="13"/>
        <v>MAT008560</v>
      </c>
      <c r="O148" s="35">
        <f t="shared" si="14"/>
        <v>45469</v>
      </c>
    </row>
    <row r="149" spans="2:15" x14ac:dyDescent="0.2">
      <c r="B149" s="6">
        <v>45472</v>
      </c>
      <c r="C149" s="1" t="s">
        <v>367</v>
      </c>
      <c r="D149" s="1">
        <f>IF(C149="","",VLOOKUP(C149,Bilgiler!D:E,2,0))</f>
        <v>0</v>
      </c>
      <c r="E149" s="1" t="s">
        <v>371</v>
      </c>
      <c r="F149" s="6">
        <v>45469</v>
      </c>
      <c r="G149" s="1" t="s">
        <v>30</v>
      </c>
      <c r="H149" s="1" t="s">
        <v>10</v>
      </c>
      <c r="I149" s="1" t="s">
        <v>291</v>
      </c>
      <c r="J149" s="16">
        <v>59400</v>
      </c>
      <c r="K149" s="1" t="str">
        <f t="shared" si="11"/>
        <v>20CM BUENA COMIDAMAT008559</v>
      </c>
      <c r="L149" s="1">
        <f>IF(K149="","",IFERROR(VLOOKUP(K149,$K$2:L148,2,0),MAX($L$2:L148)+1))</f>
        <v>83</v>
      </c>
      <c r="M149" s="1" t="str">
        <f t="shared" si="12"/>
        <v>20CM BUENA COMIDA</v>
      </c>
      <c r="N149" s="1" t="str">
        <f t="shared" si="13"/>
        <v>MAT008559</v>
      </c>
      <c r="O149" s="6">
        <f t="shared" si="14"/>
        <v>45469</v>
      </c>
    </row>
    <row r="150" spans="2:15" x14ac:dyDescent="0.2">
      <c r="B150" s="8">
        <v>45472</v>
      </c>
      <c r="C150" s="7" t="s">
        <v>368</v>
      </c>
      <c r="D150" s="11">
        <f>IF(C150="","",VLOOKUP(C150,Bilgiler!D:E,2,0))</f>
        <v>0</v>
      </c>
      <c r="E150" s="7" t="s">
        <v>372</v>
      </c>
      <c r="F150" s="8">
        <v>45469</v>
      </c>
      <c r="G150" s="7" t="s">
        <v>30</v>
      </c>
      <c r="H150" s="7" t="s">
        <v>10</v>
      </c>
      <c r="I150" s="7" t="s">
        <v>291</v>
      </c>
      <c r="J150" s="17">
        <v>125000</v>
      </c>
      <c r="K150" s="11" t="str">
        <f t="shared" si="11"/>
        <v>30CM BUENA COMIDAMAT008558</v>
      </c>
      <c r="L150" s="11">
        <f>IF(K150="","",IFERROR(VLOOKUP(K150,$K$2:L149,2,0),MAX($L$2:L149)+1))</f>
        <v>84</v>
      </c>
      <c r="M150" s="11" t="str">
        <f t="shared" si="12"/>
        <v>30CM BUENA COMIDA</v>
      </c>
      <c r="N150" s="11" t="str">
        <f t="shared" si="13"/>
        <v>MAT008558</v>
      </c>
      <c r="O150" s="35">
        <f t="shared" si="14"/>
        <v>45469</v>
      </c>
    </row>
    <row r="151" spans="2:15" x14ac:dyDescent="0.2">
      <c r="B151" s="6">
        <v>45472</v>
      </c>
      <c r="C151" s="1" t="s">
        <v>252</v>
      </c>
      <c r="D151" s="1" t="str">
        <f>IF(C151="","",VLOOKUP(C151,Bilgiler!D:E,2,0))</f>
        <v>150.01.295</v>
      </c>
      <c r="E151" s="1" t="s">
        <v>344</v>
      </c>
      <c r="F151" s="6">
        <v>45655</v>
      </c>
      <c r="G151" s="1" t="s">
        <v>30</v>
      </c>
      <c r="H151" s="1" t="s">
        <v>10</v>
      </c>
      <c r="I151" s="1" t="s">
        <v>291</v>
      </c>
      <c r="J151" s="16">
        <v>12600</v>
      </c>
      <c r="K151" s="1" t="str">
        <f t="shared" si="11"/>
        <v>Poşet-25 cm Mutlukal Tortillas 260 Gr ( Rusca )MAT008322</v>
      </c>
      <c r="L151" s="1">
        <f>IF(K151="","",IFERROR(VLOOKUP(K151,$K$2:L150,2,0),MAX($L$2:L150)+1))</f>
        <v>56</v>
      </c>
      <c r="M151" s="1" t="str">
        <f t="shared" si="12"/>
        <v>Poşet-25 cm Mutlukal Tortillas 260 Gr ( Rusca )</v>
      </c>
      <c r="N151" s="1" t="str">
        <f t="shared" si="13"/>
        <v>MAT008322</v>
      </c>
      <c r="O151" s="6">
        <f t="shared" si="14"/>
        <v>45655</v>
      </c>
    </row>
    <row r="152" spans="2:15" x14ac:dyDescent="0.2">
      <c r="B152" s="8">
        <v>45472</v>
      </c>
      <c r="C152" s="7" t="s">
        <v>218</v>
      </c>
      <c r="D152" s="11" t="str">
        <f>IF(C152="","",VLOOKUP(C152,Bilgiler!D:E,2,0))</f>
        <v>150.01.233</v>
      </c>
      <c r="E152" s="7" t="s">
        <v>373</v>
      </c>
      <c r="F152" s="8">
        <v>45655</v>
      </c>
      <c r="G152" s="7" t="s">
        <v>30</v>
      </c>
      <c r="H152" s="7" t="s">
        <v>10</v>
      </c>
      <c r="I152" s="7" t="s">
        <v>346</v>
      </c>
      <c r="J152" s="17">
        <v>77000</v>
      </c>
      <c r="K152" s="11" t="str">
        <f t="shared" si="11"/>
        <v>Poşet-26 cm Pizza 6 ( 480 gr ) Wıllı FoodMAT008312</v>
      </c>
      <c r="L152" s="11">
        <f>IF(K152="","",IFERROR(VLOOKUP(K152,$K$2:L151,2,0),MAX($L$2:L151)+1))</f>
        <v>85</v>
      </c>
      <c r="M152" s="11" t="str">
        <f t="shared" si="12"/>
        <v>Poşet-26 cm Pizza 6 ( 480 gr ) Wıllı Food</v>
      </c>
      <c r="N152" s="11" t="str">
        <f t="shared" si="13"/>
        <v>MAT008312</v>
      </c>
      <c r="O152" s="35">
        <f t="shared" si="14"/>
        <v>45655</v>
      </c>
    </row>
    <row r="153" spans="2:15" x14ac:dyDescent="0.2">
      <c r="B153" s="6">
        <v>45474</v>
      </c>
      <c r="C153" s="1" t="s">
        <v>173</v>
      </c>
      <c r="D153" s="1" t="str">
        <f>IF(C153="","",VLOOKUP(C153,Bilgiler!D:E,2,0))</f>
        <v>150.01.055</v>
      </c>
      <c r="E153" s="1" t="s">
        <v>374</v>
      </c>
      <c r="F153" s="6">
        <v>45655</v>
      </c>
      <c r="G153" s="1" t="s">
        <v>30</v>
      </c>
      <c r="H153" s="1" t="s">
        <v>10</v>
      </c>
      <c r="I153" s="1" t="s">
        <v>291</v>
      </c>
      <c r="J153" s="16">
        <v>64400</v>
      </c>
      <c r="K153" s="1" t="str">
        <f t="shared" si="11"/>
        <v>Poşet-25 cm Nimet (Lam.Baskılı Zıp.Vakum )MAT008389</v>
      </c>
      <c r="L153" s="1">
        <f>IF(K153="","",IFERROR(VLOOKUP(K153,$K$2:L152,2,0),MAX($L$2:L152)+1))</f>
        <v>86</v>
      </c>
      <c r="M153" s="1" t="str">
        <f t="shared" si="12"/>
        <v>Poşet-25 cm Nimet (Lam.Baskılı Zıp.Vakum )</v>
      </c>
      <c r="N153" s="1" t="str">
        <f t="shared" si="13"/>
        <v>MAT008389</v>
      </c>
      <c r="O153" s="6">
        <f t="shared" si="14"/>
        <v>45655</v>
      </c>
    </row>
    <row r="154" spans="2:15" x14ac:dyDescent="0.2">
      <c r="B154" s="8">
        <v>45474</v>
      </c>
      <c r="C154" s="7" t="s">
        <v>173</v>
      </c>
      <c r="D154" s="11" t="str">
        <f>IF(C154="","",VLOOKUP(C154,Bilgiler!D:E,2,0))</f>
        <v>150.01.055</v>
      </c>
      <c r="E154" s="7" t="s">
        <v>375</v>
      </c>
      <c r="F154" s="8">
        <v>45638</v>
      </c>
      <c r="G154" s="7" t="s">
        <v>30</v>
      </c>
      <c r="H154" s="7" t="s">
        <v>10</v>
      </c>
      <c r="I154" s="7" t="s">
        <v>292</v>
      </c>
      <c r="J154" s="17">
        <v>57750</v>
      </c>
      <c r="K154" s="11" t="str">
        <f t="shared" si="11"/>
        <v>Poşet-25 cm Nimet (Lam.Baskılı Zıp.Vakum )2024-012</v>
      </c>
      <c r="L154" s="11">
        <f>IF(K154="","",IFERROR(VLOOKUP(K154,$K$2:L153,2,0),MAX($L$2:L153)+1))</f>
        <v>87</v>
      </c>
      <c r="M154" s="11" t="str">
        <f t="shared" si="12"/>
        <v>Poşet-25 cm Nimet (Lam.Baskılı Zıp.Vakum )</v>
      </c>
      <c r="N154" s="11" t="str">
        <f t="shared" si="13"/>
        <v>2024-012</v>
      </c>
      <c r="O154" s="35">
        <f t="shared" si="14"/>
        <v>45638</v>
      </c>
    </row>
    <row r="155" spans="2:15" x14ac:dyDescent="0.2">
      <c r="B155" s="6">
        <v>45474</v>
      </c>
      <c r="C155" s="1" t="s">
        <v>252</v>
      </c>
      <c r="D155" s="1" t="str">
        <f>IF(C155="","",VLOOKUP(C155,Bilgiler!D:E,2,0))</f>
        <v>150.01.295</v>
      </c>
      <c r="E155" s="1" t="s">
        <v>366</v>
      </c>
      <c r="F155" s="6">
        <v>45654</v>
      </c>
      <c r="G155" s="1" t="s">
        <v>30</v>
      </c>
      <c r="H155" s="1" t="s">
        <v>10</v>
      </c>
      <c r="I155" s="1" t="s">
        <v>291</v>
      </c>
      <c r="J155" s="16">
        <v>58800</v>
      </c>
      <c r="K155" s="1" t="str">
        <f t="shared" si="11"/>
        <v>Poşet-25 cm Mutlukal Tortillas 260 Gr ( Rusca )MAT008388</v>
      </c>
      <c r="L155" s="1">
        <f>IF(K155="","",IFERROR(VLOOKUP(K155,$K$2:L154,2,0),MAX($L$2:L154)+1))</f>
        <v>79</v>
      </c>
      <c r="M155" s="1" t="str">
        <f t="shared" si="12"/>
        <v>Poşet-25 cm Mutlukal Tortillas 260 Gr ( Rusca )</v>
      </c>
      <c r="N155" s="1" t="str">
        <f t="shared" si="13"/>
        <v>MAT008388</v>
      </c>
      <c r="O155" s="6">
        <f t="shared" si="14"/>
        <v>45654</v>
      </c>
    </row>
    <row r="156" spans="2:15" x14ac:dyDescent="0.2">
      <c r="B156" s="8">
        <v>45474</v>
      </c>
      <c r="C156" s="7" t="s">
        <v>367</v>
      </c>
      <c r="D156" s="11">
        <f>IF(C156="","",VLOOKUP(C156,Bilgiler!D:E,2,0))</f>
        <v>0</v>
      </c>
      <c r="E156" s="7" t="s">
        <v>369</v>
      </c>
      <c r="F156" s="8">
        <v>45655</v>
      </c>
      <c r="G156" s="7" t="s">
        <v>30</v>
      </c>
      <c r="H156" s="7" t="s">
        <v>10</v>
      </c>
      <c r="I156" s="7" t="s">
        <v>291</v>
      </c>
      <c r="J156" s="17">
        <v>81000</v>
      </c>
      <c r="K156" s="11" t="str">
        <f t="shared" si="11"/>
        <v>20CM BUENA COMIDAMAT008561</v>
      </c>
      <c r="L156" s="11">
        <f>IF(K156="","",IFERROR(VLOOKUP(K156,$K$2:L155,2,0),MAX($L$2:L155)+1))</f>
        <v>81</v>
      </c>
      <c r="M156" s="11" t="str">
        <f t="shared" si="12"/>
        <v>20CM BUENA COMIDA</v>
      </c>
      <c r="N156" s="11" t="str">
        <f t="shared" si="13"/>
        <v>MAT008561</v>
      </c>
      <c r="O156" s="35">
        <f t="shared" si="14"/>
        <v>45655</v>
      </c>
    </row>
    <row r="157" spans="2:15" x14ac:dyDescent="0.2">
      <c r="B157" s="6">
        <v>45474</v>
      </c>
      <c r="C157" s="1" t="s">
        <v>368</v>
      </c>
      <c r="D157" s="1">
        <f>IF(C157="","",VLOOKUP(C157,Bilgiler!D:E,2,0))</f>
        <v>0</v>
      </c>
      <c r="E157" s="1" t="s">
        <v>370</v>
      </c>
      <c r="F157" s="6">
        <v>45655</v>
      </c>
      <c r="G157" s="1" t="s">
        <v>30</v>
      </c>
      <c r="H157" s="1" t="s">
        <v>10</v>
      </c>
      <c r="I157" s="1" t="s">
        <v>291</v>
      </c>
      <c r="J157" s="16">
        <v>48000</v>
      </c>
      <c r="K157" s="1" t="str">
        <f t="shared" si="11"/>
        <v>30CM BUENA COMIDAMAT008560</v>
      </c>
      <c r="L157" s="1">
        <f>IF(K157="","",IFERROR(VLOOKUP(K157,$K$2:L156,2,0),MAX($L$2:L156)+1))</f>
        <v>82</v>
      </c>
      <c r="M157" s="1" t="str">
        <f t="shared" si="12"/>
        <v>30CM BUENA COMIDA</v>
      </c>
      <c r="N157" s="1" t="str">
        <f t="shared" si="13"/>
        <v>MAT008560</v>
      </c>
      <c r="O157" s="6">
        <f t="shared" si="14"/>
        <v>45655</v>
      </c>
    </row>
    <row r="158" spans="2:15" x14ac:dyDescent="0.2">
      <c r="B158" s="8">
        <v>45478</v>
      </c>
      <c r="C158" s="7" t="s">
        <v>368</v>
      </c>
      <c r="D158" s="11">
        <f>IF(C158="","",VLOOKUP(C158,Bilgiler!D:E,2,0))</f>
        <v>0</v>
      </c>
      <c r="E158" s="7" t="s">
        <v>370</v>
      </c>
      <c r="F158" s="8">
        <v>45689</v>
      </c>
      <c r="G158" s="7" t="s">
        <v>30</v>
      </c>
      <c r="H158" s="7" t="s">
        <v>10</v>
      </c>
      <c r="I158" s="7" t="s">
        <v>291</v>
      </c>
      <c r="J158" s="17">
        <v>73000</v>
      </c>
      <c r="K158" s="11" t="str">
        <f t="shared" si="11"/>
        <v>30CM BUENA COMIDAMAT008560</v>
      </c>
      <c r="L158" s="11">
        <f>IF(K158="","",IFERROR(VLOOKUP(K158,$K$2:L157,2,0),MAX($L$2:L157)+1))</f>
        <v>82</v>
      </c>
      <c r="M158" s="11" t="str">
        <f t="shared" si="12"/>
        <v>30CM BUENA COMIDA</v>
      </c>
      <c r="N158" s="11" t="str">
        <f t="shared" si="13"/>
        <v>MAT008560</v>
      </c>
      <c r="O158" s="35">
        <f t="shared" si="14"/>
        <v>45689</v>
      </c>
    </row>
    <row r="159" spans="2:15" x14ac:dyDescent="0.2">
      <c r="B159" s="6">
        <v>45478</v>
      </c>
      <c r="C159" s="1" t="s">
        <v>173</v>
      </c>
      <c r="D159" s="1" t="str">
        <f>IF(C159="","",VLOOKUP(C159,Bilgiler!D:E,2,0))</f>
        <v>150.01.055</v>
      </c>
      <c r="E159" s="1" t="s">
        <v>374</v>
      </c>
      <c r="F159" s="6">
        <v>45689</v>
      </c>
      <c r="G159" s="1" t="s">
        <v>30</v>
      </c>
      <c r="H159" s="1" t="s">
        <v>10</v>
      </c>
      <c r="I159" s="1" t="s">
        <v>291</v>
      </c>
      <c r="J159" s="16">
        <v>124600</v>
      </c>
      <c r="K159" s="1" t="str">
        <f t="shared" si="11"/>
        <v>Poşet-25 cm Nimet (Lam.Baskılı Zıp.Vakum )MAT008389</v>
      </c>
      <c r="L159" s="1">
        <f>IF(K159="","",IFERROR(VLOOKUP(K159,$K$2:L158,2,0),MAX($L$2:L158)+1))</f>
        <v>86</v>
      </c>
      <c r="M159" s="1" t="str">
        <f t="shared" si="12"/>
        <v>Poşet-25 cm Nimet (Lam.Baskılı Zıp.Vakum )</v>
      </c>
      <c r="N159" s="1" t="str">
        <f t="shared" si="13"/>
        <v>MAT008389</v>
      </c>
      <c r="O159" s="6">
        <f t="shared" si="14"/>
        <v>45689</v>
      </c>
    </row>
    <row r="160" spans="2:15" x14ac:dyDescent="0.2">
      <c r="B160" s="8">
        <v>45478</v>
      </c>
      <c r="C160" s="7" t="s">
        <v>367</v>
      </c>
      <c r="D160" s="11">
        <f>IF(C160="","",VLOOKUP(C160,Bilgiler!D:E,2,0))</f>
        <v>0</v>
      </c>
      <c r="E160" s="7" t="s">
        <v>369</v>
      </c>
      <c r="F160" s="8">
        <v>45689</v>
      </c>
      <c r="G160" s="7" t="s">
        <v>30</v>
      </c>
      <c r="H160" s="7" t="s">
        <v>10</v>
      </c>
      <c r="I160" s="7" t="s">
        <v>291</v>
      </c>
      <c r="J160" s="17">
        <v>75600</v>
      </c>
      <c r="K160" s="11" t="str">
        <f t="shared" si="11"/>
        <v>20CM BUENA COMIDAMAT008561</v>
      </c>
      <c r="L160" s="11">
        <f>IF(K160="","",IFERROR(VLOOKUP(K160,$K$2:L159,2,0),MAX($L$2:L159)+1))</f>
        <v>81</v>
      </c>
      <c r="M160" s="11" t="str">
        <f t="shared" si="12"/>
        <v>20CM BUENA COMIDA</v>
      </c>
      <c r="N160" s="11" t="str">
        <f t="shared" si="13"/>
        <v>MAT008561</v>
      </c>
      <c r="O160" s="35">
        <f t="shared" si="14"/>
        <v>45689</v>
      </c>
    </row>
    <row r="161" spans="2:15" x14ac:dyDescent="0.2">
      <c r="B161" s="6">
        <v>45479</v>
      </c>
      <c r="C161" s="1" t="s">
        <v>173</v>
      </c>
      <c r="D161" s="1" t="str">
        <f>IF(C161="","",VLOOKUP(C161,Bilgiler!D:E,2,0))</f>
        <v>150.01.055</v>
      </c>
      <c r="E161" s="1" t="s">
        <v>374</v>
      </c>
      <c r="F161" s="6">
        <v>45692</v>
      </c>
      <c r="G161" s="1" t="s">
        <v>30</v>
      </c>
      <c r="H161" s="1" t="s">
        <v>10</v>
      </c>
      <c r="I161" s="1" t="s">
        <v>291</v>
      </c>
      <c r="J161" s="16">
        <v>77000</v>
      </c>
      <c r="K161" s="1" t="str">
        <f t="shared" si="11"/>
        <v>Poşet-25 cm Nimet (Lam.Baskılı Zıp.Vakum )MAT008389</v>
      </c>
      <c r="L161" s="1">
        <f>IF(K161="","",IFERROR(VLOOKUP(K161,$K$2:L160,2,0),MAX($L$2:L160)+1))</f>
        <v>86</v>
      </c>
      <c r="M161" s="1" t="str">
        <f t="shared" si="12"/>
        <v>Poşet-25 cm Nimet (Lam.Baskılı Zıp.Vakum )</v>
      </c>
      <c r="N161" s="1" t="str">
        <f t="shared" si="13"/>
        <v>MAT008389</v>
      </c>
      <c r="O161" s="6">
        <f t="shared" si="14"/>
        <v>45692</v>
      </c>
    </row>
    <row r="162" spans="2:15" x14ac:dyDescent="0.2">
      <c r="B162" s="8">
        <v>45479</v>
      </c>
      <c r="C162" s="7" t="s">
        <v>252</v>
      </c>
      <c r="D162" s="11" t="str">
        <f>IF(C162="","",VLOOKUP(C162,Bilgiler!D:E,2,0))</f>
        <v>150.01.295</v>
      </c>
      <c r="E162" s="7" t="s">
        <v>366</v>
      </c>
      <c r="F162" s="8">
        <v>45692</v>
      </c>
      <c r="G162" s="7" t="s">
        <v>30</v>
      </c>
      <c r="H162" s="7" t="s">
        <v>10</v>
      </c>
      <c r="I162" s="7" t="s">
        <v>291</v>
      </c>
      <c r="J162" s="17">
        <v>46200</v>
      </c>
      <c r="K162" s="11" t="str">
        <f t="shared" si="11"/>
        <v>Poşet-25 cm Mutlukal Tortillas 260 Gr ( Rusca )MAT008388</v>
      </c>
      <c r="L162" s="11">
        <f>IF(K162="","",IFERROR(VLOOKUP(K162,$K$2:L161,2,0),MAX($L$2:L161)+1))</f>
        <v>79</v>
      </c>
      <c r="M162" s="11" t="str">
        <f t="shared" si="12"/>
        <v>Poşet-25 cm Mutlukal Tortillas 260 Gr ( Rusca )</v>
      </c>
      <c r="N162" s="11" t="str">
        <f t="shared" si="13"/>
        <v>MAT008388</v>
      </c>
      <c r="O162" s="35">
        <f t="shared" si="14"/>
        <v>45692</v>
      </c>
    </row>
    <row r="163" spans="2:15" x14ac:dyDescent="0.2">
      <c r="B163" s="6">
        <v>45479</v>
      </c>
      <c r="C163" s="1" t="s">
        <v>252</v>
      </c>
      <c r="D163" s="1" t="str">
        <f>IF(C163="","",VLOOKUP(C163,Bilgiler!D:E,2,0))</f>
        <v>150.01.295</v>
      </c>
      <c r="E163" s="6" t="s">
        <v>356</v>
      </c>
      <c r="F163" s="6">
        <v>45668</v>
      </c>
      <c r="G163" s="1" t="s">
        <v>30</v>
      </c>
      <c r="H163" s="1" t="s">
        <v>10</v>
      </c>
      <c r="I163" s="1" t="s">
        <v>292</v>
      </c>
      <c r="J163" s="16">
        <v>40100</v>
      </c>
      <c r="K163" s="1" t="str">
        <f t="shared" si="11"/>
        <v>Poşet-25 cm Mutlukal Tortillas 260 Gr ( Rusca )2024-002</v>
      </c>
      <c r="L163" s="1">
        <f>IF(K163="","",IFERROR(VLOOKUP(K163,$K$2:L162,2,0),MAX($L$2:L162)+1))</f>
        <v>67</v>
      </c>
      <c r="M163" s="1" t="str">
        <f t="shared" si="12"/>
        <v>Poşet-25 cm Mutlukal Tortillas 260 Gr ( Rusca )</v>
      </c>
      <c r="N163" s="1" t="str">
        <f t="shared" si="13"/>
        <v>2024-002</v>
      </c>
      <c r="O163" s="6">
        <f t="shared" si="14"/>
        <v>45668</v>
      </c>
    </row>
    <row r="164" spans="2:15" x14ac:dyDescent="0.2">
      <c r="B164" s="8">
        <v>45479</v>
      </c>
      <c r="C164" s="7" t="s">
        <v>173</v>
      </c>
      <c r="D164" s="11" t="str">
        <f>IF(C164="","",VLOOKUP(C164,Bilgiler!D:E,2,0))</f>
        <v>150.01.055</v>
      </c>
      <c r="E164" s="7" t="s">
        <v>375</v>
      </c>
      <c r="F164" s="8">
        <v>45670</v>
      </c>
      <c r="G164" s="7" t="s">
        <v>30</v>
      </c>
      <c r="H164" s="7" t="s">
        <v>10</v>
      </c>
      <c r="I164" s="7" t="s">
        <v>292</v>
      </c>
      <c r="J164" s="17">
        <v>113000</v>
      </c>
      <c r="K164" s="11" t="str">
        <f t="shared" si="11"/>
        <v>Poşet-25 cm Nimet (Lam.Baskılı Zıp.Vakum )2024-012</v>
      </c>
      <c r="L164" s="11">
        <f>IF(K164="","",IFERROR(VLOOKUP(K164,$K$2:L163,2,0),MAX($L$2:L163)+1))</f>
        <v>87</v>
      </c>
      <c r="M164" s="11" t="str">
        <f t="shared" si="12"/>
        <v>Poşet-25 cm Nimet (Lam.Baskılı Zıp.Vakum )</v>
      </c>
      <c r="N164" s="11" t="str">
        <f t="shared" si="13"/>
        <v>2024-012</v>
      </c>
      <c r="O164" s="35">
        <f t="shared" si="14"/>
        <v>45670</v>
      </c>
    </row>
    <row r="165" spans="2:15" x14ac:dyDescent="0.2">
      <c r="B165" s="6">
        <v>45479</v>
      </c>
      <c r="C165" s="1" t="s">
        <v>257</v>
      </c>
      <c r="D165" s="1" t="str">
        <f>IF(C165="","",VLOOKUP(C165,Bilgiler!D:E,2,0))</f>
        <v>150.01.307</v>
      </c>
      <c r="E165" s="1" t="s">
        <v>356</v>
      </c>
      <c r="F165" s="6">
        <v>45667</v>
      </c>
      <c r="G165" s="1" t="s">
        <v>30</v>
      </c>
      <c r="H165" s="1" t="s">
        <v>10</v>
      </c>
      <c r="I165" s="1" t="s">
        <v>292</v>
      </c>
      <c r="J165" s="16">
        <v>84500</v>
      </c>
      <c r="K165" s="1" t="str">
        <f t="shared" si="11"/>
        <v>Poşet-25 cm Mutlukal Tortillas Mavi Değişken2024-002</v>
      </c>
      <c r="L165" s="1">
        <f>IF(K165="","",IFERROR(VLOOKUP(K165,$K$2:L164,2,0),MAX($L$2:L164)+1))</f>
        <v>88</v>
      </c>
      <c r="M165" s="1" t="str">
        <f t="shared" si="12"/>
        <v>Poşet-25 cm Mutlukal Tortillas Mavi Değişken</v>
      </c>
      <c r="N165" s="1" t="str">
        <f t="shared" si="13"/>
        <v>2024-002</v>
      </c>
      <c r="O165" s="6">
        <f t="shared" si="14"/>
        <v>45667</v>
      </c>
    </row>
    <row r="166" spans="2:15" x14ac:dyDescent="0.2">
      <c r="B166" s="8">
        <v>45479</v>
      </c>
      <c r="C166" s="7" t="s">
        <v>166</v>
      </c>
      <c r="D166" s="11" t="str">
        <f>IF(C166="","",VLOOKUP(C166,Bilgiler!D:E,2,0))</f>
        <v>150.01.037</v>
      </c>
      <c r="E166" s="7" t="s">
        <v>375</v>
      </c>
      <c r="F166" s="8">
        <v>45668</v>
      </c>
      <c r="G166" s="7" t="s">
        <v>30</v>
      </c>
      <c r="H166" s="7" t="s">
        <v>10</v>
      </c>
      <c r="I166" s="7" t="s">
        <v>292</v>
      </c>
      <c r="J166" s="17">
        <v>44000</v>
      </c>
      <c r="K166" s="11" t="str">
        <f t="shared" si="11"/>
        <v>Poşet-20 cm B.sız Kilitli2024-012</v>
      </c>
      <c r="L166" s="11">
        <f>IF(K166="","",IFERROR(VLOOKUP(K166,$K$2:L165,2,0),MAX($L$2:L165)+1))</f>
        <v>89</v>
      </c>
      <c r="M166" s="11" t="str">
        <f t="shared" si="12"/>
        <v>Poşet-20 cm B.sız Kilitli</v>
      </c>
      <c r="N166" s="11" t="str">
        <f t="shared" si="13"/>
        <v>2024-012</v>
      </c>
      <c r="O166" s="35">
        <f t="shared" si="14"/>
        <v>45668</v>
      </c>
    </row>
    <row r="167" spans="2:15" x14ac:dyDescent="0.2">
      <c r="B167" s="6">
        <v>45488</v>
      </c>
      <c r="C167" s="1" t="s">
        <v>173</v>
      </c>
      <c r="D167" s="1" t="str">
        <f>IF(C167="","",VLOOKUP(C167,Bilgiler!D:E,2,0))</f>
        <v>150.01.055</v>
      </c>
      <c r="E167" s="1" t="s">
        <v>374</v>
      </c>
      <c r="F167" s="6">
        <v>45672</v>
      </c>
      <c r="G167" s="1" t="s">
        <v>30</v>
      </c>
      <c r="H167" s="1" t="s">
        <v>10</v>
      </c>
      <c r="I167" s="1" t="s">
        <v>291</v>
      </c>
      <c r="J167" s="16">
        <v>120400</v>
      </c>
      <c r="K167" s="1" t="str">
        <f t="shared" si="11"/>
        <v>Poşet-25 cm Nimet (Lam.Baskılı Zıp.Vakum )MAT008389</v>
      </c>
      <c r="L167" s="1">
        <f>IF(K167="","",IFERROR(VLOOKUP(K167,$K$2:L166,2,0),MAX($L$2:L166)+1))</f>
        <v>86</v>
      </c>
      <c r="M167" s="1" t="str">
        <f t="shared" si="12"/>
        <v>Poşet-25 cm Nimet (Lam.Baskılı Zıp.Vakum )</v>
      </c>
      <c r="N167" s="1" t="str">
        <f t="shared" si="13"/>
        <v>MAT008389</v>
      </c>
      <c r="O167" s="6">
        <f t="shared" si="14"/>
        <v>45672</v>
      </c>
    </row>
    <row r="168" spans="2:15" x14ac:dyDescent="0.2">
      <c r="B168" s="8">
        <v>45488</v>
      </c>
      <c r="C168" s="7" t="s">
        <v>376</v>
      </c>
      <c r="D168" s="11">
        <f>IF(C168="","",VLOOKUP(C168,Bilgiler!D:E,2,0))</f>
        <v>0</v>
      </c>
      <c r="E168" s="7" t="s">
        <v>377</v>
      </c>
      <c r="F168" s="8">
        <v>45672</v>
      </c>
      <c r="G168" s="7" t="s">
        <v>30</v>
      </c>
      <c r="H168" s="7" t="s">
        <v>10</v>
      </c>
      <c r="I168" s="7" t="s">
        <v>291</v>
      </c>
      <c r="J168" s="17">
        <v>78400</v>
      </c>
      <c r="K168" s="11" t="str">
        <f t="shared" si="11"/>
        <v>25CM TORTILLAS 390 GR A101MAT008607</v>
      </c>
      <c r="L168" s="11">
        <f>IF(K168="","",IFERROR(VLOOKUP(K168,$K$2:L167,2,0),MAX($L$2:L167)+1))</f>
        <v>90</v>
      </c>
      <c r="M168" s="11" t="str">
        <f t="shared" si="12"/>
        <v>25CM TORTILLAS 390 GR A101</v>
      </c>
      <c r="N168" s="11" t="str">
        <f t="shared" si="13"/>
        <v>MAT008607</v>
      </c>
      <c r="O168" s="35">
        <f t="shared" si="14"/>
        <v>45672</v>
      </c>
    </row>
    <row r="169" spans="2:15" x14ac:dyDescent="0.2">
      <c r="B169" s="6">
        <v>45488</v>
      </c>
      <c r="C169" s="1" t="s">
        <v>184</v>
      </c>
      <c r="D169" s="1" t="str">
        <f>IF(C169="","",VLOOKUP(C169,Bilgiler!D:E,2,0))</f>
        <v>150.01.131</v>
      </c>
      <c r="E169" s="1" t="s">
        <v>378</v>
      </c>
      <c r="F169" s="6">
        <v>45672</v>
      </c>
      <c r="G169" s="1" t="s">
        <v>30</v>
      </c>
      <c r="H169" s="1" t="s">
        <v>10</v>
      </c>
      <c r="I169" s="1" t="s">
        <v>291</v>
      </c>
      <c r="J169" s="16">
        <v>67080</v>
      </c>
      <c r="K169" s="1" t="str">
        <f t="shared" si="11"/>
        <v>Poşet-25 cm Eyal 1620 gr ( Dış )MAT008620</v>
      </c>
      <c r="L169" s="1">
        <f>IF(K169="","",IFERROR(VLOOKUP(K169,$K$2:L168,2,0),MAX($L$2:L168)+1))</f>
        <v>91</v>
      </c>
      <c r="M169" s="1" t="str">
        <f t="shared" si="12"/>
        <v>Poşet-25 cm Eyal 1620 gr ( Dış )</v>
      </c>
      <c r="N169" s="1" t="str">
        <f t="shared" si="13"/>
        <v>MAT008620</v>
      </c>
      <c r="O169" s="6">
        <f t="shared" si="14"/>
        <v>45672</v>
      </c>
    </row>
    <row r="170" spans="2:15" x14ac:dyDescent="0.2">
      <c r="B170" s="8">
        <v>45488</v>
      </c>
      <c r="C170" s="7" t="s">
        <v>260</v>
      </c>
      <c r="D170" s="11" t="str">
        <f>IF(C170="","",VLOOKUP(C170,Bilgiler!D:E,2,0))</f>
        <v>150.01.310</v>
      </c>
      <c r="E170" s="7" t="s">
        <v>379</v>
      </c>
      <c r="F170" s="8">
        <v>45672</v>
      </c>
      <c r="G170" s="7" t="s">
        <v>30</v>
      </c>
      <c r="H170" s="7" t="s">
        <v>10</v>
      </c>
      <c r="I170" s="7" t="s">
        <v>291</v>
      </c>
      <c r="J170" s="17">
        <v>61200</v>
      </c>
      <c r="K170" s="11" t="str">
        <f t="shared" si="11"/>
        <v>Poşet-20 cm Eyal Durum 540 gr ( İç ) Tam BuğdayMAT008618</v>
      </c>
      <c r="L170" s="11">
        <f>IF(K170="","",IFERROR(VLOOKUP(K170,$K$2:L169,2,0),MAX($L$2:L169)+1))</f>
        <v>92</v>
      </c>
      <c r="M170" s="11" t="str">
        <f t="shared" si="12"/>
        <v>Poşet-20 cm Eyal Durum 540 gr ( İç ) Tam Buğday</v>
      </c>
      <c r="N170" s="11" t="str">
        <f t="shared" si="13"/>
        <v>MAT008618</v>
      </c>
      <c r="O170" s="35">
        <f t="shared" si="14"/>
        <v>45672</v>
      </c>
    </row>
    <row r="171" spans="2:15" x14ac:dyDescent="0.2">
      <c r="B171" s="6">
        <v>45488</v>
      </c>
      <c r="C171" s="1" t="s">
        <v>261</v>
      </c>
      <c r="D171" s="1" t="str">
        <f>IF(C171="","",VLOOKUP(C171,Bilgiler!D:E,2,0))</f>
        <v>150.01.311</v>
      </c>
      <c r="E171" s="1" t="s">
        <v>380</v>
      </c>
      <c r="F171" s="6">
        <v>45672</v>
      </c>
      <c r="G171" s="1" t="s">
        <v>30</v>
      </c>
      <c r="H171" s="1" t="s">
        <v>10</v>
      </c>
      <c r="I171" s="1" t="s">
        <v>291</v>
      </c>
      <c r="J171" s="16">
        <v>70000</v>
      </c>
      <c r="K171" s="1" t="str">
        <f t="shared" si="11"/>
        <v>Poşet-25 cm Eyal Durum 1620 gr ( Dış ) Tam BuğdayMAT008022</v>
      </c>
      <c r="L171" s="1">
        <f>IF(K171="","",IFERROR(VLOOKUP(K171,$K$2:L170,2,0),MAX($L$2:L170)+1))</f>
        <v>93</v>
      </c>
      <c r="M171" s="1" t="str">
        <f t="shared" si="12"/>
        <v>Poşet-25 cm Eyal Durum 1620 gr ( Dış ) Tam Buğday</v>
      </c>
      <c r="N171" s="1" t="str">
        <f t="shared" si="13"/>
        <v>MAT008022</v>
      </c>
      <c r="O171" s="6">
        <f t="shared" si="14"/>
        <v>45672</v>
      </c>
    </row>
    <row r="172" spans="2:15" x14ac:dyDescent="0.2">
      <c r="B172" s="8">
        <v>45490</v>
      </c>
      <c r="C172" s="7" t="s">
        <v>186</v>
      </c>
      <c r="D172" s="11" t="str">
        <f>IF(C172="","",VLOOKUP(C172,Bilgiler!D:E,2,0))</f>
        <v>150.01.146</v>
      </c>
      <c r="E172" s="7">
        <v>122</v>
      </c>
      <c r="F172" s="8">
        <v>45672</v>
      </c>
      <c r="G172" s="7" t="s">
        <v>30</v>
      </c>
      <c r="H172" s="7" t="s">
        <v>10</v>
      </c>
      <c r="I172" s="7" t="s">
        <v>291</v>
      </c>
      <c r="J172" s="17">
        <v>77400</v>
      </c>
      <c r="K172" s="11" t="str">
        <f t="shared" si="11"/>
        <v>Poşet-20 cm Eyal 540 gr ( İç )122</v>
      </c>
      <c r="L172" s="11">
        <f>IF(K172="","",IFERROR(VLOOKUP(K172,$K$2:L171,2,0),MAX($L$2:L171)+1))</f>
        <v>94</v>
      </c>
      <c r="M172" s="11" t="str">
        <f t="shared" si="12"/>
        <v>Poşet-20 cm Eyal 540 gr ( İç )</v>
      </c>
      <c r="N172" s="11">
        <f t="shared" si="13"/>
        <v>122</v>
      </c>
      <c r="O172" s="35">
        <f t="shared" si="14"/>
        <v>45672</v>
      </c>
    </row>
    <row r="173" spans="2:15" x14ac:dyDescent="0.2">
      <c r="B173" s="6">
        <v>45490</v>
      </c>
      <c r="C173" s="1" t="s">
        <v>260</v>
      </c>
      <c r="D173" s="1" t="str">
        <f>IF(C173="","",VLOOKUP(C173,Bilgiler!D:E,2,0))</f>
        <v>150.01.310</v>
      </c>
      <c r="E173" s="1">
        <v>122</v>
      </c>
      <c r="F173" s="6">
        <v>45672</v>
      </c>
      <c r="G173" s="1" t="s">
        <v>30</v>
      </c>
      <c r="H173" s="1" t="s">
        <v>10</v>
      </c>
      <c r="I173" s="1" t="s">
        <v>291</v>
      </c>
      <c r="J173" s="16">
        <v>16200</v>
      </c>
      <c r="K173" s="1" t="str">
        <f t="shared" si="11"/>
        <v>Poşet-20 cm Eyal Durum 540 gr ( İç ) Tam Buğday122</v>
      </c>
      <c r="L173" s="1">
        <f>IF(K173="","",IFERROR(VLOOKUP(K173,$K$2:L172,2,0),MAX($L$2:L172)+1))</f>
        <v>95</v>
      </c>
      <c r="M173" s="1" t="str">
        <f t="shared" si="12"/>
        <v>Poşet-20 cm Eyal Durum 540 gr ( İç ) Tam Buğday</v>
      </c>
      <c r="N173" s="1">
        <f t="shared" si="13"/>
        <v>122</v>
      </c>
      <c r="O173" s="6">
        <f t="shared" si="14"/>
        <v>45672</v>
      </c>
    </row>
    <row r="174" spans="2:15" x14ac:dyDescent="0.2">
      <c r="B174" s="8">
        <v>45490</v>
      </c>
      <c r="C174" s="7" t="s">
        <v>252</v>
      </c>
      <c r="D174" s="11" t="str">
        <f>IF(C174="","",VLOOKUP(C174,Bilgiler!D:E,2,0))</f>
        <v>150.01.295</v>
      </c>
      <c r="E174" s="7">
        <v>122</v>
      </c>
      <c r="F174" s="8">
        <v>45672</v>
      </c>
      <c r="G174" s="7" t="s">
        <v>30</v>
      </c>
      <c r="H174" s="7" t="s">
        <v>10</v>
      </c>
      <c r="I174" s="7" t="s">
        <v>291</v>
      </c>
      <c r="J174" s="17">
        <v>71400</v>
      </c>
      <c r="K174" s="11" t="str">
        <f t="shared" si="11"/>
        <v>Poşet-25 cm Mutlukal Tortillas 260 Gr ( Rusca )122</v>
      </c>
      <c r="L174" s="11">
        <f>IF(K174="","",IFERROR(VLOOKUP(K174,$K$2:L173,2,0),MAX($L$2:L173)+1))</f>
        <v>96</v>
      </c>
      <c r="M174" s="11" t="str">
        <f t="shared" si="12"/>
        <v>Poşet-25 cm Mutlukal Tortillas 260 Gr ( Rusca )</v>
      </c>
      <c r="N174" s="11">
        <f t="shared" si="13"/>
        <v>122</v>
      </c>
      <c r="O174" s="35">
        <f t="shared" si="14"/>
        <v>45672</v>
      </c>
    </row>
    <row r="175" spans="2:15" x14ac:dyDescent="0.2">
      <c r="B175" s="6">
        <v>45497</v>
      </c>
      <c r="C175" s="1" t="s">
        <v>166</v>
      </c>
      <c r="D175" s="1" t="str">
        <f>IF(C175="","",VLOOKUP(C175,Bilgiler!D:E,2,0))</f>
        <v>150.01.037</v>
      </c>
      <c r="E175" s="6" t="s">
        <v>375</v>
      </c>
      <c r="F175" s="6">
        <v>45704</v>
      </c>
      <c r="G175" s="1" t="s">
        <v>30</v>
      </c>
      <c r="H175" s="1" t="s">
        <v>10</v>
      </c>
      <c r="I175" s="1" t="s">
        <v>292</v>
      </c>
      <c r="J175" s="16">
        <v>80800</v>
      </c>
      <c r="K175" s="1" t="str">
        <f t="shared" si="11"/>
        <v>Poşet-20 cm B.sız Kilitli2024-012</v>
      </c>
      <c r="L175" s="1">
        <f>IF(K175="","",IFERROR(VLOOKUP(K175,$K$2:L174,2,0),MAX($L$2:L174)+1))</f>
        <v>89</v>
      </c>
      <c r="M175" s="1" t="str">
        <f t="shared" si="12"/>
        <v>Poşet-20 cm B.sız Kilitli</v>
      </c>
      <c r="N175" s="1" t="str">
        <f t="shared" si="13"/>
        <v>2024-012</v>
      </c>
      <c r="O175" s="6">
        <f t="shared" si="14"/>
        <v>45704</v>
      </c>
    </row>
    <row r="176" spans="2:15" x14ac:dyDescent="0.2">
      <c r="B176" s="8">
        <v>45497</v>
      </c>
      <c r="C176" s="7" t="s">
        <v>178</v>
      </c>
      <c r="D176" s="11" t="str">
        <f>IF(C176="","",VLOOKUP(C176,Bilgiler!D:E,2,0))</f>
        <v>150.01.064</v>
      </c>
      <c r="E176" s="8" t="s">
        <v>375</v>
      </c>
      <c r="F176" s="8">
        <v>45704</v>
      </c>
      <c r="G176" s="7" t="s">
        <v>30</v>
      </c>
      <c r="H176" s="7" t="s">
        <v>10</v>
      </c>
      <c r="I176" s="7" t="s">
        <v>292</v>
      </c>
      <c r="J176" s="17">
        <v>64500</v>
      </c>
      <c r="K176" s="11" t="str">
        <f t="shared" si="11"/>
        <v>Poşet-30 cm B.sız Kilitli2024-012</v>
      </c>
      <c r="L176" s="11">
        <f>IF(K176="","",IFERROR(VLOOKUP(K176,$K$2:L175,2,0),MAX($L$2:L175)+1))</f>
        <v>97</v>
      </c>
      <c r="M176" s="11" t="str">
        <f t="shared" si="12"/>
        <v>Poşet-30 cm B.sız Kilitli</v>
      </c>
      <c r="N176" s="11" t="str">
        <f t="shared" si="13"/>
        <v>2024-012</v>
      </c>
      <c r="O176" s="35">
        <f t="shared" si="14"/>
        <v>45704</v>
      </c>
    </row>
    <row r="177" spans="2:15" x14ac:dyDescent="0.2">
      <c r="B177" s="6">
        <v>45497</v>
      </c>
      <c r="C177" s="1" t="s">
        <v>169</v>
      </c>
      <c r="D177" s="1" t="str">
        <f>IF(C177="","",VLOOKUP(C177,Bilgiler!D:E,2,0))</f>
        <v>150.01.044</v>
      </c>
      <c r="E177" s="6" t="s">
        <v>375</v>
      </c>
      <c r="F177" s="6">
        <v>45704</v>
      </c>
      <c r="G177" s="1" t="s">
        <v>30</v>
      </c>
      <c r="H177" s="1" t="s">
        <v>10</v>
      </c>
      <c r="I177" s="1" t="s">
        <v>292</v>
      </c>
      <c r="J177" s="16">
        <v>168050</v>
      </c>
      <c r="K177" s="1" t="str">
        <f t="shared" si="11"/>
        <v>Poşet-25 cm B.sız Kilitli2024-012</v>
      </c>
      <c r="L177" s="1">
        <f>IF(K177="","",IFERROR(VLOOKUP(K177,$K$2:L176,2,0),MAX($L$2:L176)+1))</f>
        <v>98</v>
      </c>
      <c r="M177" s="1" t="str">
        <f t="shared" si="12"/>
        <v>Poşet-25 cm B.sız Kilitli</v>
      </c>
      <c r="N177" s="1" t="str">
        <f t="shared" si="13"/>
        <v>2024-012</v>
      </c>
      <c r="O177" s="6">
        <f t="shared" si="14"/>
        <v>45704</v>
      </c>
    </row>
    <row r="178" spans="2:15" x14ac:dyDescent="0.2">
      <c r="B178" s="8">
        <v>45497</v>
      </c>
      <c r="C178" s="7" t="s">
        <v>255</v>
      </c>
      <c r="D178" s="11" t="str">
        <f>IF(C178="","",VLOOKUP(C178,Bilgiler!D:E,2,0))</f>
        <v>150.01.305</v>
      </c>
      <c r="E178" s="7" t="s">
        <v>381</v>
      </c>
      <c r="F178" s="8">
        <v>45705</v>
      </c>
      <c r="G178" s="7" t="s">
        <v>30</v>
      </c>
      <c r="H178" s="7" t="s">
        <v>10</v>
      </c>
      <c r="I178" s="7" t="s">
        <v>292</v>
      </c>
      <c r="J178" s="17">
        <v>100602</v>
      </c>
      <c r="K178" s="11" t="str">
        <f t="shared" si="11"/>
        <v>Poşet--15 cm Mutlukal Tortillas Mavi Değişken2024-008</v>
      </c>
      <c r="L178" s="11">
        <f>IF(K178="","",IFERROR(VLOOKUP(K178,$K$2:L177,2,0),MAX($L$2:L177)+1))</f>
        <v>99</v>
      </c>
      <c r="M178" s="11" t="str">
        <f t="shared" si="12"/>
        <v>Poşet--15 cm Mutlukal Tortillas Mavi Değişken</v>
      </c>
      <c r="N178" s="11" t="str">
        <f t="shared" si="13"/>
        <v>2024-008</v>
      </c>
      <c r="O178" s="35">
        <f t="shared" si="14"/>
        <v>45705</v>
      </c>
    </row>
    <row r="179" spans="2:15" x14ac:dyDescent="0.2">
      <c r="B179" s="6">
        <v>45499</v>
      </c>
      <c r="C179" s="1" t="s">
        <v>252</v>
      </c>
      <c r="D179" s="1" t="str">
        <f>IF(C179="","",VLOOKUP(C179,Bilgiler!D:E,2,0))</f>
        <v>150.01.295</v>
      </c>
      <c r="E179" s="6">
        <v>45498</v>
      </c>
      <c r="F179" s="6">
        <v>45713</v>
      </c>
      <c r="G179" s="1" t="s">
        <v>30</v>
      </c>
      <c r="H179" s="1" t="s">
        <v>10</v>
      </c>
      <c r="I179" s="1" t="s">
        <v>291</v>
      </c>
      <c r="J179" s="16">
        <f>252*1400</f>
        <v>352800</v>
      </c>
      <c r="K179" s="1" t="str">
        <f t="shared" si="11"/>
        <v>Poşet-25 cm Mutlukal Tortillas 260 Gr ( Rusca )45498</v>
      </c>
      <c r="L179" s="1">
        <f>IF(K179="","",IFERROR(VLOOKUP(K179,$K$2:L178,2,0),MAX($L$2:L178)+1))</f>
        <v>100</v>
      </c>
      <c r="M179" s="1" t="str">
        <f t="shared" si="12"/>
        <v>Poşet-25 cm Mutlukal Tortillas 260 Gr ( Rusca )</v>
      </c>
      <c r="N179" s="1">
        <f t="shared" si="13"/>
        <v>45498</v>
      </c>
      <c r="O179" s="6">
        <f t="shared" si="14"/>
        <v>45713</v>
      </c>
    </row>
    <row r="180" spans="2:15" x14ac:dyDescent="0.2">
      <c r="B180" s="8">
        <v>45502</v>
      </c>
      <c r="C180" s="7" t="s">
        <v>252</v>
      </c>
      <c r="D180" s="11" t="str">
        <f>IF(C180="","",VLOOKUP(C180,Bilgiler!D:E,2,0))</f>
        <v>150.01.295</v>
      </c>
      <c r="E180" s="8">
        <v>45499</v>
      </c>
      <c r="F180" s="7" t="s">
        <v>366</v>
      </c>
      <c r="G180" s="7" t="s">
        <v>30</v>
      </c>
      <c r="H180" s="7" t="s">
        <v>10</v>
      </c>
      <c r="I180" s="7" t="s">
        <v>291</v>
      </c>
      <c r="J180" s="17">
        <v>154000</v>
      </c>
      <c r="K180" s="11" t="str">
        <f t="shared" si="11"/>
        <v>Poşet-25 cm Mutlukal Tortillas 260 Gr ( Rusca )45499</v>
      </c>
      <c r="L180" s="11">
        <f>IF(K180="","",IFERROR(VLOOKUP(K180,$K$2:L179,2,0),MAX($L$2:L179)+1))</f>
        <v>101</v>
      </c>
      <c r="M180" s="11" t="str">
        <f t="shared" si="12"/>
        <v>Poşet-25 cm Mutlukal Tortillas 260 Gr ( Rusca )</v>
      </c>
      <c r="N180" s="11">
        <f t="shared" si="13"/>
        <v>45499</v>
      </c>
      <c r="O180" s="35" t="str">
        <f t="shared" si="14"/>
        <v>MAT008388</v>
      </c>
    </row>
    <row r="181" spans="2:15" x14ac:dyDescent="0.2">
      <c r="B181" s="6">
        <v>45502</v>
      </c>
      <c r="C181" s="1" t="s">
        <v>249</v>
      </c>
      <c r="D181" s="1" t="str">
        <f>IF(C181="","",VLOOKUP(C181,Bilgiler!D:E,2,0))</f>
        <v>150.01.291</v>
      </c>
      <c r="E181" s="6">
        <v>45500</v>
      </c>
      <c r="F181" s="6" t="s">
        <v>382</v>
      </c>
      <c r="G181" s="1" t="s">
        <v>30</v>
      </c>
      <c r="H181" s="1" t="s">
        <v>10</v>
      </c>
      <c r="I181" s="1" t="s">
        <v>291</v>
      </c>
      <c r="J181" s="16">
        <v>30000</v>
      </c>
      <c r="K181" s="1" t="str">
        <f t="shared" si="11"/>
        <v>Poşet-15 cm Komagene Tako Lavaşı45500</v>
      </c>
      <c r="L181" s="1">
        <f>IF(K181="","",IFERROR(VLOOKUP(K181,$K$2:L180,2,0),MAX($L$2:L180)+1))</f>
        <v>102</v>
      </c>
      <c r="M181" s="1" t="str">
        <f t="shared" si="12"/>
        <v>Poşet-15 cm Komagene Tako Lavaşı</v>
      </c>
      <c r="N181" s="1">
        <f t="shared" si="13"/>
        <v>45500</v>
      </c>
      <c r="O181" s="6" t="str">
        <f t="shared" si="14"/>
        <v>MAT008629</v>
      </c>
    </row>
    <row r="182" spans="2:15" x14ac:dyDescent="0.2">
      <c r="B182" s="8">
        <v>45504</v>
      </c>
      <c r="C182" s="7" t="s">
        <v>252</v>
      </c>
      <c r="D182" s="11" t="str">
        <f>IF(C182="","",VLOOKUP(C182,Bilgiler!D:E,2,0))</f>
        <v>150.01.295</v>
      </c>
      <c r="E182" s="8">
        <v>45504</v>
      </c>
      <c r="F182" s="8">
        <v>45869</v>
      </c>
      <c r="G182" s="7" t="s">
        <v>30</v>
      </c>
      <c r="H182" s="7" t="s">
        <v>10</v>
      </c>
      <c r="I182" s="7" t="s">
        <v>325</v>
      </c>
      <c r="J182" s="17">
        <v>340800</v>
      </c>
      <c r="K182" s="11" t="str">
        <f t="shared" si="11"/>
        <v>Poşet-25 cm Mutlukal Tortillas 260 Gr ( Rusca )45504</v>
      </c>
      <c r="L182" s="11">
        <f>IF(K182="","",IFERROR(VLOOKUP(K182,$K$2:L181,2,0),MAX($L$2:L181)+1))</f>
        <v>103</v>
      </c>
      <c r="M182" s="11" t="str">
        <f t="shared" si="12"/>
        <v>Poşet-25 cm Mutlukal Tortillas 260 Gr ( Rusca )</v>
      </c>
      <c r="N182" s="11">
        <f t="shared" si="13"/>
        <v>45504</v>
      </c>
      <c r="O182" s="35">
        <f t="shared" si="14"/>
        <v>45869</v>
      </c>
    </row>
    <row r="183" spans="2:15" x14ac:dyDescent="0.2">
      <c r="B183" s="6">
        <v>45509</v>
      </c>
      <c r="C183" s="1" t="s">
        <v>249</v>
      </c>
      <c r="D183" s="1" t="str">
        <f>IF(C183="","",VLOOKUP(C183,Bilgiler!D:E,2,0))</f>
        <v>150.01.291</v>
      </c>
      <c r="E183" s="1" t="s">
        <v>382</v>
      </c>
      <c r="F183" s="6">
        <v>45868</v>
      </c>
      <c r="G183" s="1" t="s">
        <v>30</v>
      </c>
      <c r="H183" s="1" t="s">
        <v>10</v>
      </c>
      <c r="I183" s="1" t="s">
        <v>291</v>
      </c>
      <c r="J183" s="16">
        <v>86150</v>
      </c>
      <c r="K183" s="1" t="str">
        <f t="shared" si="11"/>
        <v>Poşet-15 cm Komagene Tako LavaşıMAT008629</v>
      </c>
      <c r="L183" s="1">
        <f>IF(K183="","",IFERROR(VLOOKUP(K183,$K$2:L182,2,0),MAX($L$2:L182)+1))</f>
        <v>104</v>
      </c>
      <c r="M183" s="1" t="str">
        <f t="shared" si="12"/>
        <v>Poşet-15 cm Komagene Tako Lavaşı</v>
      </c>
      <c r="N183" s="1" t="str">
        <f t="shared" si="13"/>
        <v>MAT008629</v>
      </c>
      <c r="O183" s="6">
        <f t="shared" si="14"/>
        <v>45868</v>
      </c>
    </row>
    <row r="184" spans="2:15" x14ac:dyDescent="0.2">
      <c r="B184" s="8">
        <v>45509</v>
      </c>
      <c r="C184" s="7" t="s">
        <v>239</v>
      </c>
      <c r="D184" s="11" t="str">
        <f>IF(C184="","",VLOOKUP(C184,Bilgiler!D:E,2,0))</f>
        <v>150.01.271</v>
      </c>
      <c r="E184" s="7" t="s">
        <v>383</v>
      </c>
      <c r="F184" s="8">
        <v>45869</v>
      </c>
      <c r="G184" s="7" t="s">
        <v>30</v>
      </c>
      <c r="H184" s="7" t="s">
        <v>10</v>
      </c>
      <c r="I184" s="7" t="s">
        <v>346</v>
      </c>
      <c r="J184" s="17">
        <v>82800</v>
      </c>
      <c r="K184" s="11" t="str">
        <f t="shared" si="11"/>
        <v>Poşet-20 cm LazezaMAT008630</v>
      </c>
      <c r="L184" s="11">
        <f>IF(K184="","",IFERROR(VLOOKUP(K184,$K$2:L183,2,0),MAX($L$2:L183)+1))</f>
        <v>105</v>
      </c>
      <c r="M184" s="11" t="str">
        <f t="shared" si="12"/>
        <v>Poşet-20 cm Lazeza</v>
      </c>
      <c r="N184" s="11" t="str">
        <f t="shared" si="13"/>
        <v>MAT008630</v>
      </c>
      <c r="O184" s="35">
        <f t="shared" si="14"/>
        <v>45869</v>
      </c>
    </row>
    <row r="185" spans="2:15" x14ac:dyDescent="0.2">
      <c r="B185" s="6">
        <v>45509</v>
      </c>
      <c r="C185" s="1" t="s">
        <v>191</v>
      </c>
      <c r="D185" s="1" t="str">
        <f>IF(C185="","",VLOOKUP(C185,Bilgiler!D:E,2,0))</f>
        <v>150.01.163</v>
      </c>
      <c r="E185" s="1" t="s">
        <v>384</v>
      </c>
      <c r="F185" s="6">
        <v>45869</v>
      </c>
      <c r="G185" s="1" t="s">
        <v>30</v>
      </c>
      <c r="H185" s="1" t="s">
        <v>10</v>
      </c>
      <c r="I185" s="1" t="s">
        <v>291</v>
      </c>
      <c r="J185" s="16">
        <v>60000</v>
      </c>
      <c r="K185" s="1" t="str">
        <f t="shared" si="11"/>
        <v>Poşet-30 cm Tortillove DeğişkenMAT008628</v>
      </c>
      <c r="L185" s="1">
        <f>IF(K185="","",IFERROR(VLOOKUP(K185,$K$2:L184,2,0),MAX($L$2:L184)+1))</f>
        <v>106</v>
      </c>
      <c r="M185" s="1" t="str">
        <f t="shared" si="12"/>
        <v>Poşet-30 cm Tortillove Değişken</v>
      </c>
      <c r="N185" s="1" t="str">
        <f t="shared" si="13"/>
        <v>MAT008628</v>
      </c>
      <c r="O185" s="6">
        <f t="shared" si="14"/>
        <v>45869</v>
      </c>
    </row>
    <row r="186" spans="2:15" x14ac:dyDescent="0.2">
      <c r="B186" s="8">
        <v>45509</v>
      </c>
      <c r="C186" s="7" t="s">
        <v>252</v>
      </c>
      <c r="D186" s="11" t="str">
        <f>IF(C186="","",VLOOKUP(C186,Bilgiler!D:E,2,0))</f>
        <v>150.01.295</v>
      </c>
      <c r="E186" s="7" t="s">
        <v>366</v>
      </c>
      <c r="F186" s="8">
        <v>45872</v>
      </c>
      <c r="G186" s="7" t="s">
        <v>30</v>
      </c>
      <c r="H186" s="7" t="s">
        <v>10</v>
      </c>
      <c r="I186" s="7" t="s">
        <v>291</v>
      </c>
      <c r="J186" s="17">
        <v>177800</v>
      </c>
      <c r="K186" s="11" t="str">
        <f t="shared" si="11"/>
        <v>Poşet-25 cm Mutlukal Tortillas 260 Gr ( Rusca )MAT008388</v>
      </c>
      <c r="L186" s="11">
        <f>IF(K186="","",IFERROR(VLOOKUP(K186,$K$2:L185,2,0),MAX($L$2:L185)+1))</f>
        <v>79</v>
      </c>
      <c r="M186" s="11" t="str">
        <f t="shared" si="12"/>
        <v>Poşet-25 cm Mutlukal Tortillas 260 Gr ( Rusca )</v>
      </c>
      <c r="N186" s="11" t="str">
        <f t="shared" si="13"/>
        <v>MAT008388</v>
      </c>
      <c r="O186" s="35">
        <f t="shared" si="14"/>
        <v>45872</v>
      </c>
    </row>
    <row r="187" spans="2:15" x14ac:dyDescent="0.2">
      <c r="B187" s="6">
        <v>45511</v>
      </c>
      <c r="C187" s="1" t="s">
        <v>252</v>
      </c>
      <c r="D187" s="1" t="str">
        <f>IF(C187="","",VLOOKUP(C187,Bilgiler!D:E,2,0))</f>
        <v>150.01.295</v>
      </c>
      <c r="E187" s="6">
        <v>45511</v>
      </c>
      <c r="F187" s="6">
        <v>45876</v>
      </c>
      <c r="G187" s="1" t="s">
        <v>30</v>
      </c>
      <c r="H187" s="1" t="s">
        <v>10</v>
      </c>
      <c r="I187" s="1" t="s">
        <v>325</v>
      </c>
      <c r="J187" s="16">
        <v>360000</v>
      </c>
      <c r="K187" s="1" t="str">
        <f t="shared" si="11"/>
        <v>Poşet-25 cm Mutlukal Tortillas 260 Gr ( Rusca )45511</v>
      </c>
      <c r="L187" s="1">
        <f>IF(K187="","",IFERROR(VLOOKUP(K187,$K$2:L186,2,0),MAX($L$2:L186)+1))</f>
        <v>107</v>
      </c>
      <c r="M187" s="1" t="str">
        <f t="shared" si="12"/>
        <v>Poşet-25 cm Mutlukal Tortillas 260 Gr ( Rusca )</v>
      </c>
      <c r="N187" s="1">
        <f t="shared" si="13"/>
        <v>45511</v>
      </c>
      <c r="O187" s="6">
        <f t="shared" si="14"/>
        <v>45876</v>
      </c>
    </row>
    <row r="188" spans="2:15" x14ac:dyDescent="0.2">
      <c r="B188" s="8">
        <v>45516</v>
      </c>
      <c r="C188" s="7" t="s">
        <v>252</v>
      </c>
      <c r="D188" s="11" t="str">
        <f>IF(C188="","",VLOOKUP(C188,Bilgiler!D:E,2,0))</f>
        <v>150.01.295</v>
      </c>
      <c r="E188" s="8" t="s">
        <v>366</v>
      </c>
      <c r="F188" s="8">
        <v>45875</v>
      </c>
      <c r="G188" s="7" t="s">
        <v>30</v>
      </c>
      <c r="H188" s="7" t="s">
        <v>10</v>
      </c>
      <c r="I188" s="7" t="s">
        <v>291</v>
      </c>
      <c r="J188" s="17">
        <v>470400</v>
      </c>
      <c r="K188" s="11" t="str">
        <f t="shared" si="11"/>
        <v>Poşet-25 cm Mutlukal Tortillas 260 Gr ( Rusca )MAT008388</v>
      </c>
      <c r="L188" s="11">
        <f>IF(K188="","",IFERROR(VLOOKUP(K188,$K$2:L187,2,0),MAX($L$2:L187)+1))</f>
        <v>79</v>
      </c>
      <c r="M188" s="11" t="str">
        <f t="shared" si="12"/>
        <v>Poşet-25 cm Mutlukal Tortillas 260 Gr ( Rusca )</v>
      </c>
      <c r="N188" s="11" t="str">
        <f t="shared" si="13"/>
        <v>MAT008388</v>
      </c>
      <c r="O188" s="35">
        <f t="shared" si="14"/>
        <v>45875</v>
      </c>
    </row>
    <row r="189" spans="2:15" x14ac:dyDescent="0.2">
      <c r="B189" s="6">
        <v>45516</v>
      </c>
      <c r="C189" s="1" t="s">
        <v>173</v>
      </c>
      <c r="D189" s="1" t="str">
        <f>IF(C189="","",VLOOKUP(C189,Bilgiler!D:E,2,0))</f>
        <v>150.01.055</v>
      </c>
      <c r="E189" s="1" t="s">
        <v>385</v>
      </c>
      <c r="F189" s="6">
        <v>45877</v>
      </c>
      <c r="G189" s="1" t="s">
        <v>30</v>
      </c>
      <c r="H189" s="1" t="s">
        <v>10</v>
      </c>
      <c r="I189" s="1" t="s">
        <v>291</v>
      </c>
      <c r="J189" s="16">
        <v>58800</v>
      </c>
      <c r="K189" s="1" t="str">
        <f t="shared" si="11"/>
        <v>Poşet-25 cm Nimet (Lam.Baskılı Zıp.Vakum )MAT008701</v>
      </c>
      <c r="L189" s="1">
        <f>IF(K189="","",IFERROR(VLOOKUP(K189,$K$2:L188,2,0),MAX($L$2:L188)+1))</f>
        <v>108</v>
      </c>
      <c r="M189" s="1" t="str">
        <f t="shared" si="12"/>
        <v>Poşet-25 cm Nimet (Lam.Baskılı Zıp.Vakum )</v>
      </c>
      <c r="N189" s="1" t="str">
        <f t="shared" si="13"/>
        <v>MAT008701</v>
      </c>
      <c r="O189" s="6">
        <f t="shared" si="14"/>
        <v>45877</v>
      </c>
    </row>
    <row r="190" spans="2:15" x14ac:dyDescent="0.2">
      <c r="B190" s="8">
        <v>45517</v>
      </c>
      <c r="C190" s="7" t="s">
        <v>252</v>
      </c>
      <c r="D190" s="11" t="str">
        <f>IF(C190="","",VLOOKUP(C190,Bilgiler!D:E,2,0))</f>
        <v>150.01.295</v>
      </c>
      <c r="E190" s="7">
        <v>1</v>
      </c>
      <c r="F190" s="8">
        <v>46242</v>
      </c>
      <c r="G190" s="7" t="s">
        <v>30</v>
      </c>
      <c r="H190" s="7" t="s">
        <v>10</v>
      </c>
      <c r="I190" s="7" t="s">
        <v>325</v>
      </c>
      <c r="J190" s="17">
        <v>345600</v>
      </c>
      <c r="K190" s="11" t="str">
        <f t="shared" si="11"/>
        <v>Poşet-25 cm Mutlukal Tortillas 260 Gr ( Rusca )1</v>
      </c>
      <c r="L190" s="11">
        <f>IF(K190="","",IFERROR(VLOOKUP(K190,$K$2:L189,2,0),MAX($L$2:L189)+1))</f>
        <v>109</v>
      </c>
      <c r="M190" s="11" t="str">
        <f t="shared" si="12"/>
        <v>Poşet-25 cm Mutlukal Tortillas 260 Gr ( Rusca )</v>
      </c>
      <c r="N190" s="11">
        <f t="shared" si="13"/>
        <v>1</v>
      </c>
      <c r="O190" s="35">
        <f t="shared" si="14"/>
        <v>46242</v>
      </c>
    </row>
    <row r="191" spans="2:15" x14ac:dyDescent="0.2">
      <c r="B191" s="6">
        <v>45520</v>
      </c>
      <c r="C191" s="1" t="s">
        <v>173</v>
      </c>
      <c r="D191" s="1" t="str">
        <f>IF(C191="","",VLOOKUP(C191,Bilgiler!D:E,2,0))</f>
        <v>150.01.055</v>
      </c>
      <c r="E191" s="1" t="s">
        <v>386</v>
      </c>
      <c r="F191" s="6">
        <v>45878</v>
      </c>
      <c r="G191" s="1" t="s">
        <v>30</v>
      </c>
      <c r="H191" s="1" t="s">
        <v>10</v>
      </c>
      <c r="I191" s="1" t="s">
        <v>291</v>
      </c>
      <c r="J191" s="16">
        <v>98000</v>
      </c>
      <c r="K191" s="1" t="str">
        <f t="shared" si="11"/>
        <v>Poşet-25 cm Nimet (Lam.Baskılı Zıp.Vakum )MAT008702</v>
      </c>
      <c r="L191" s="1">
        <f>IF(K191="","",IFERROR(VLOOKUP(K191,$K$2:L190,2,0),MAX($L$2:L190)+1))</f>
        <v>110</v>
      </c>
      <c r="M191" s="1" t="str">
        <f t="shared" si="12"/>
        <v>Poşet-25 cm Nimet (Lam.Baskılı Zıp.Vakum )</v>
      </c>
      <c r="N191" s="1" t="str">
        <f t="shared" si="13"/>
        <v>MAT008702</v>
      </c>
      <c r="O191" s="6">
        <f t="shared" si="14"/>
        <v>45878</v>
      </c>
    </row>
    <row r="192" spans="2:15" x14ac:dyDescent="0.2">
      <c r="B192" s="8">
        <v>45520</v>
      </c>
      <c r="C192" s="7" t="s">
        <v>252</v>
      </c>
      <c r="D192" s="11" t="str">
        <f>IF(C192="","",VLOOKUP(C192,Bilgiler!D:E,2,0))</f>
        <v>150.01.295</v>
      </c>
      <c r="E192" s="7" t="s">
        <v>366</v>
      </c>
      <c r="F192" s="8">
        <v>45879</v>
      </c>
      <c r="G192" s="7" t="s">
        <v>30</v>
      </c>
      <c r="H192" s="7" t="s">
        <v>10</v>
      </c>
      <c r="I192" s="7" t="s">
        <v>291</v>
      </c>
      <c r="J192" s="17">
        <v>117600</v>
      </c>
      <c r="K192" s="11" t="str">
        <f t="shared" si="11"/>
        <v>Poşet-25 cm Mutlukal Tortillas 260 Gr ( Rusca )MAT008388</v>
      </c>
      <c r="L192" s="11">
        <f>IF(K192="","",IFERROR(VLOOKUP(K192,$K$2:L191,2,0),MAX($L$2:L191)+1))</f>
        <v>79</v>
      </c>
      <c r="M192" s="11" t="str">
        <f t="shared" si="12"/>
        <v>Poşet-25 cm Mutlukal Tortillas 260 Gr ( Rusca )</v>
      </c>
      <c r="N192" s="11" t="str">
        <f t="shared" si="13"/>
        <v>MAT008388</v>
      </c>
      <c r="O192" s="35">
        <f t="shared" si="14"/>
        <v>45879</v>
      </c>
    </row>
    <row r="193" spans="2:15" x14ac:dyDescent="0.2">
      <c r="B193" s="6">
        <v>45528</v>
      </c>
      <c r="C193" s="1" t="s">
        <v>252</v>
      </c>
      <c r="D193" s="1" t="str">
        <f>IF(C193="","",VLOOKUP(C193,Bilgiler!D:E,2,0))</f>
        <v>150.01.295</v>
      </c>
      <c r="E193" s="1" t="s">
        <v>387</v>
      </c>
      <c r="F193" s="6">
        <v>45885</v>
      </c>
      <c r="G193" s="1" t="s">
        <v>30</v>
      </c>
      <c r="H193" s="1" t="s">
        <v>10</v>
      </c>
      <c r="I193" s="1" t="s">
        <v>325</v>
      </c>
      <c r="J193" s="16">
        <v>268800</v>
      </c>
      <c r="K193" s="1" t="str">
        <f t="shared" si="11"/>
        <v>Poşet-25 cm Mutlukal Tortillas 260 Gr ( Rusca )00012143/10</v>
      </c>
      <c r="L193" s="1">
        <f>IF(K193="","",IFERROR(VLOOKUP(K193,$K$2:L192,2,0),MAX($L$2:L192)+1))</f>
        <v>111</v>
      </c>
      <c r="M193" s="1" t="str">
        <f t="shared" si="12"/>
        <v>Poşet-25 cm Mutlukal Tortillas 260 Gr ( Rusca )</v>
      </c>
      <c r="N193" s="1" t="str">
        <f t="shared" si="13"/>
        <v>00012143/10</v>
      </c>
      <c r="O193" s="6">
        <f t="shared" si="14"/>
        <v>45885</v>
      </c>
    </row>
    <row r="194" spans="2:15" x14ac:dyDescent="0.2">
      <c r="B194" s="8">
        <v>45530</v>
      </c>
      <c r="C194" s="7" t="s">
        <v>252</v>
      </c>
      <c r="D194" s="11" t="str">
        <f>IF(C194="","",VLOOKUP(C194,Bilgiler!D:E,2,0))</f>
        <v>150.01.295</v>
      </c>
      <c r="E194" s="7" t="s">
        <v>366</v>
      </c>
      <c r="F194" s="8">
        <v>45879</v>
      </c>
      <c r="G194" s="7" t="s">
        <v>30</v>
      </c>
      <c r="H194" s="7" t="s">
        <v>10</v>
      </c>
      <c r="I194" s="7" t="s">
        <v>291</v>
      </c>
      <c r="J194" s="17">
        <v>348600</v>
      </c>
      <c r="K194" s="11" t="str">
        <f t="shared" si="11"/>
        <v>Poşet-25 cm Mutlukal Tortillas 260 Gr ( Rusca )MAT008388</v>
      </c>
      <c r="L194" s="11">
        <f>IF(K194="","",IFERROR(VLOOKUP(K194,$K$2:L193,2,0),MAX($L$2:L193)+1))</f>
        <v>79</v>
      </c>
      <c r="M194" s="11" t="str">
        <f t="shared" si="12"/>
        <v>Poşet-25 cm Mutlukal Tortillas 260 Gr ( Rusca )</v>
      </c>
      <c r="N194" s="11" t="str">
        <f t="shared" si="13"/>
        <v>MAT008388</v>
      </c>
      <c r="O194" s="35">
        <f t="shared" si="14"/>
        <v>45879</v>
      </c>
    </row>
    <row r="195" spans="2:15" x14ac:dyDescent="0.2">
      <c r="B195" s="6">
        <v>45534</v>
      </c>
      <c r="C195" s="1" t="s">
        <v>252</v>
      </c>
      <c r="D195" s="1" t="str">
        <f>IF(C195="","",VLOOKUP(C195,Bilgiler!D:E,2,0))</f>
        <v>150.01.295</v>
      </c>
      <c r="E195" s="1">
        <v>1</v>
      </c>
      <c r="F195" s="6">
        <v>45892</v>
      </c>
      <c r="G195" s="1" t="s">
        <v>30</v>
      </c>
      <c r="H195" s="1" t="s">
        <v>10</v>
      </c>
      <c r="I195" s="1" t="s">
        <v>325</v>
      </c>
      <c r="J195" s="16">
        <v>184800</v>
      </c>
      <c r="K195" s="1" t="str">
        <f t="shared" si="11"/>
        <v>Poşet-25 cm Mutlukal Tortillas 260 Gr ( Rusca )1</v>
      </c>
      <c r="L195" s="1">
        <f>IF(K195="","",IFERROR(VLOOKUP(K195,$K$2:L194,2,0),MAX($L$2:L194)+1))</f>
        <v>109</v>
      </c>
      <c r="M195" s="1" t="str">
        <f t="shared" si="12"/>
        <v>Poşet-25 cm Mutlukal Tortillas 260 Gr ( Rusca )</v>
      </c>
      <c r="N195" s="1">
        <f t="shared" si="13"/>
        <v>1</v>
      </c>
      <c r="O195" s="6">
        <f t="shared" si="14"/>
        <v>45892</v>
      </c>
    </row>
    <row r="196" spans="2:15" x14ac:dyDescent="0.2">
      <c r="B196" s="8">
        <v>45534</v>
      </c>
      <c r="C196" s="7" t="s">
        <v>252</v>
      </c>
      <c r="D196" s="11" t="str">
        <f>IF(C196="","",VLOOKUP(C196,Bilgiler!D:E,2,0))</f>
        <v>150.01.295</v>
      </c>
      <c r="E196" s="7" t="s">
        <v>347</v>
      </c>
      <c r="F196" s="8">
        <v>45892</v>
      </c>
      <c r="G196" s="7" t="s">
        <v>30</v>
      </c>
      <c r="H196" s="7" t="s">
        <v>10</v>
      </c>
      <c r="I196" s="7" t="s">
        <v>292</v>
      </c>
      <c r="J196" s="17">
        <v>52500</v>
      </c>
      <c r="K196" s="11" t="str">
        <f t="shared" ref="K196:K250" si="15">IF(C196="","",CONCATENATE(C196,E196))</f>
        <v>Poşet-25 cm Mutlukal Tortillas 260 Gr ( Rusca )2024-001</v>
      </c>
      <c r="L196" s="11">
        <f>IF(K196="","",IFERROR(VLOOKUP(K196,$K$2:L195,2,0),MAX($L$2:L195)+1))</f>
        <v>112</v>
      </c>
      <c r="M196" s="11" t="str">
        <f t="shared" si="12"/>
        <v>Poşet-25 cm Mutlukal Tortillas 260 Gr ( Rusca )</v>
      </c>
      <c r="N196" s="11" t="str">
        <f t="shared" si="13"/>
        <v>2024-001</v>
      </c>
      <c r="O196" s="35">
        <f t="shared" si="14"/>
        <v>45892</v>
      </c>
    </row>
    <row r="197" spans="2:15" x14ac:dyDescent="0.2">
      <c r="B197" s="6">
        <v>45534</v>
      </c>
      <c r="C197" s="1" t="s">
        <v>173</v>
      </c>
      <c r="D197" s="1" t="str">
        <f>IF(C197="","",VLOOKUP(C197,Bilgiler!D:E,2,0))</f>
        <v>150.01.055</v>
      </c>
      <c r="E197" s="1" t="s">
        <v>347</v>
      </c>
      <c r="F197" s="6">
        <v>45837</v>
      </c>
      <c r="G197" s="1" t="s">
        <v>30</v>
      </c>
      <c r="H197" s="1" t="s">
        <v>10</v>
      </c>
      <c r="I197" s="1" t="s">
        <v>292</v>
      </c>
      <c r="J197" s="16">
        <v>351750</v>
      </c>
      <c r="K197" s="1" t="str">
        <f t="shared" si="15"/>
        <v>Poşet-25 cm Nimet (Lam.Baskılı Zıp.Vakum )2024-001</v>
      </c>
      <c r="L197" s="1">
        <f>IF(K197="","",IFERROR(VLOOKUP(K197,$K$2:L196,2,0),MAX($L$2:L196)+1))</f>
        <v>113</v>
      </c>
      <c r="M197" s="1" t="str">
        <f t="shared" si="12"/>
        <v>Poşet-25 cm Nimet (Lam.Baskılı Zıp.Vakum )</v>
      </c>
      <c r="N197" s="1" t="str">
        <f t="shared" si="13"/>
        <v>2024-001</v>
      </c>
      <c r="O197" s="6">
        <f t="shared" si="14"/>
        <v>45837</v>
      </c>
    </row>
    <row r="198" spans="2:15" x14ac:dyDescent="0.2">
      <c r="B198" s="8">
        <v>45537</v>
      </c>
      <c r="C198" s="7" t="s">
        <v>193</v>
      </c>
      <c r="D198" s="11" t="str">
        <f>IF(C198="","",VLOOKUP(C198,Bilgiler!D:E,2,0))</f>
        <v>150.01.183</v>
      </c>
      <c r="E198" s="7" t="s">
        <v>388</v>
      </c>
      <c r="F198" s="8">
        <v>45898</v>
      </c>
      <c r="G198" s="7" t="s">
        <v>30</v>
      </c>
      <c r="H198" s="7" t="s">
        <v>10</v>
      </c>
      <c r="I198" s="7" t="s">
        <v>291</v>
      </c>
      <c r="J198" s="17">
        <v>40600</v>
      </c>
      <c r="K198" s="11" t="str">
        <f t="shared" si="15"/>
        <v>Poşet-25 cm Tortillove T.Buğday DeğişkenMAT0087146</v>
      </c>
      <c r="L198" s="11">
        <f>IF(K198="","",IFERROR(VLOOKUP(K198,$K$2:L197,2,0),MAX($L$2:L197)+1))</f>
        <v>114</v>
      </c>
      <c r="M198" s="11" t="str">
        <f t="shared" ref="M198:M250" si="16">IF(K198="","",C198)</f>
        <v>Poşet-25 cm Tortillove T.Buğday Değişken</v>
      </c>
      <c r="N198" s="11" t="str">
        <f t="shared" ref="N198:N250" si="17">IF(K198="","",E198)</f>
        <v>MAT0087146</v>
      </c>
      <c r="O198" s="35">
        <f t="shared" ref="O198:O250" si="18">IF(K198="","",F198)</f>
        <v>45898</v>
      </c>
    </row>
    <row r="199" spans="2:15" x14ac:dyDescent="0.2">
      <c r="B199" s="6">
        <v>45537</v>
      </c>
      <c r="C199" s="1" t="s">
        <v>252</v>
      </c>
      <c r="D199" s="1" t="str">
        <f>IF(C199="","",VLOOKUP(C199,Bilgiler!D:E,2,0))</f>
        <v>150.01.295</v>
      </c>
      <c r="E199" s="1" t="s">
        <v>389</v>
      </c>
      <c r="F199" s="6">
        <v>45895</v>
      </c>
      <c r="G199" s="1" t="s">
        <v>30</v>
      </c>
      <c r="H199" s="1" t="s">
        <v>10</v>
      </c>
      <c r="I199" s="1" t="s">
        <v>291</v>
      </c>
      <c r="J199" s="16">
        <v>19600</v>
      </c>
      <c r="K199" s="1" t="str">
        <f t="shared" si="15"/>
        <v>Poşet-25 cm Mutlukal Tortillas 260 Gr ( Rusca )MAT008497</v>
      </c>
      <c r="L199" s="1">
        <f>IF(K199="","",IFERROR(VLOOKUP(K199,$K$2:L198,2,0),MAX($L$2:L198)+1))</f>
        <v>115</v>
      </c>
      <c r="M199" s="1" t="str">
        <f t="shared" si="16"/>
        <v>Poşet-25 cm Mutlukal Tortillas 260 Gr ( Rusca )</v>
      </c>
      <c r="N199" s="1" t="str">
        <f t="shared" si="17"/>
        <v>MAT008497</v>
      </c>
      <c r="O199" s="6">
        <f t="shared" si="18"/>
        <v>45895</v>
      </c>
    </row>
    <row r="200" spans="2:15" x14ac:dyDescent="0.2">
      <c r="B200" s="8">
        <v>45537</v>
      </c>
      <c r="C200" s="7" t="s">
        <v>222</v>
      </c>
      <c r="D200" s="11" t="str">
        <f>IF(C200="","",VLOOKUP(C200,Bilgiler!D:E,2,0))</f>
        <v>150.01.246</v>
      </c>
      <c r="E200" s="7" t="s">
        <v>390</v>
      </c>
      <c r="F200" s="8">
        <v>45898</v>
      </c>
      <c r="G200" s="7" t="s">
        <v>30</v>
      </c>
      <c r="H200" s="7" t="s">
        <v>10</v>
      </c>
      <c r="I200" s="7" t="s">
        <v>291</v>
      </c>
      <c r="J200" s="17">
        <v>58800</v>
      </c>
      <c r="K200" s="11" t="str">
        <f t="shared" si="15"/>
        <v>Poşet-25 cm LazezaMAT008699</v>
      </c>
      <c r="L200" s="11">
        <f>IF(K200="","",IFERROR(VLOOKUP(K200,$K$2:L199,2,0),MAX($L$2:L199)+1))</f>
        <v>116</v>
      </c>
      <c r="M200" s="11" t="str">
        <f t="shared" si="16"/>
        <v>Poşet-25 cm Lazeza</v>
      </c>
      <c r="N200" s="11" t="str">
        <f t="shared" si="17"/>
        <v>MAT008699</v>
      </c>
      <c r="O200" s="35">
        <f t="shared" si="18"/>
        <v>45898</v>
      </c>
    </row>
    <row r="201" spans="2:15" x14ac:dyDescent="0.2">
      <c r="B201" s="6">
        <v>45537</v>
      </c>
      <c r="C201" s="1" t="s">
        <v>192</v>
      </c>
      <c r="D201" s="1" t="str">
        <f>IF(C201="","",VLOOKUP(C201,Bilgiler!D:E,2,0))</f>
        <v>150.01.164</v>
      </c>
      <c r="E201" s="1" t="s">
        <v>391</v>
      </c>
      <c r="F201" s="6">
        <v>45898</v>
      </c>
      <c r="G201" s="1" t="s">
        <v>30</v>
      </c>
      <c r="H201" s="1" t="s">
        <v>10</v>
      </c>
      <c r="I201" s="1" t="s">
        <v>291</v>
      </c>
      <c r="J201" s="16">
        <v>84000</v>
      </c>
      <c r="K201" s="1" t="str">
        <f t="shared" si="15"/>
        <v>Poşet-15 cm Tortillove DeğişkenMAT008715</v>
      </c>
      <c r="L201" s="1">
        <f>IF(K201="","",IFERROR(VLOOKUP(K201,$K$2:L200,2,0),MAX($L$2:L200)+1))</f>
        <v>117</v>
      </c>
      <c r="M201" s="1" t="str">
        <f t="shared" si="16"/>
        <v>Poşet-15 cm Tortillove Değişken</v>
      </c>
      <c r="N201" s="1" t="str">
        <f t="shared" si="17"/>
        <v>MAT008715</v>
      </c>
      <c r="O201" s="6">
        <f t="shared" si="18"/>
        <v>45898</v>
      </c>
    </row>
    <row r="202" spans="2:15" x14ac:dyDescent="0.2">
      <c r="B202" s="8">
        <v>45507</v>
      </c>
      <c r="C202" s="7" t="s">
        <v>252</v>
      </c>
      <c r="D202" s="11" t="str">
        <f>IF(C202="","",VLOOKUP(C202,Bilgiler!D:E,2,0))</f>
        <v>150.01.295</v>
      </c>
      <c r="E202" s="7">
        <v>1</v>
      </c>
      <c r="F202" s="8">
        <v>45872</v>
      </c>
      <c r="G202" s="7" t="s">
        <v>30</v>
      </c>
      <c r="H202" s="7" t="s">
        <v>10</v>
      </c>
      <c r="I202" s="7" t="s">
        <v>325</v>
      </c>
      <c r="J202" s="17">
        <v>120000</v>
      </c>
      <c r="K202" s="11" t="str">
        <f t="shared" si="15"/>
        <v>Poşet-25 cm Mutlukal Tortillas 260 Gr ( Rusca )1</v>
      </c>
      <c r="L202" s="11">
        <f>IF(K202="","",IFERROR(VLOOKUP(K202,$K$2:L201,2,0),MAX($L$2:L201)+1))</f>
        <v>109</v>
      </c>
      <c r="M202" s="11" t="str">
        <f t="shared" si="16"/>
        <v>Poşet-25 cm Mutlukal Tortillas 260 Gr ( Rusca )</v>
      </c>
      <c r="N202" s="11">
        <f t="shared" si="17"/>
        <v>1</v>
      </c>
      <c r="O202" s="35">
        <f t="shared" si="18"/>
        <v>45872</v>
      </c>
    </row>
    <row r="203" spans="2:15" x14ac:dyDescent="0.2">
      <c r="B203" s="6">
        <v>45512</v>
      </c>
      <c r="C203" s="1" t="s">
        <v>264</v>
      </c>
      <c r="D203" s="1" t="str">
        <f>IF(C203="","",VLOOKUP(C203,Bilgiler!D:E,2,0))</f>
        <v>150.01.314</v>
      </c>
      <c r="E203" s="1" t="s">
        <v>347</v>
      </c>
      <c r="F203" s="6">
        <v>45877</v>
      </c>
      <c r="G203" s="1" t="s">
        <v>30</v>
      </c>
      <c r="H203" s="1" t="s">
        <v>10</v>
      </c>
      <c r="I203" s="1" t="s">
        <v>292</v>
      </c>
      <c r="J203" s="16">
        <v>87300</v>
      </c>
      <c r="K203" s="1" t="str">
        <f t="shared" si="15"/>
        <v>Poşet-25 cm Tortillas Ispanaklı2024-001</v>
      </c>
      <c r="L203" s="1">
        <f>IF(K203="","",IFERROR(VLOOKUP(K203,$K$2:L202,2,0),MAX($L$2:L202)+1))</f>
        <v>118</v>
      </c>
      <c r="M203" s="1" t="str">
        <f t="shared" si="16"/>
        <v>Poşet-25 cm Tortillas Ispanaklı</v>
      </c>
      <c r="N203" s="1" t="str">
        <f t="shared" si="17"/>
        <v>2024-001</v>
      </c>
      <c r="O203" s="6">
        <f t="shared" si="18"/>
        <v>45877</v>
      </c>
    </row>
    <row r="204" spans="2:15" x14ac:dyDescent="0.2">
      <c r="B204" s="8">
        <v>45526</v>
      </c>
      <c r="C204" s="7" t="s">
        <v>250</v>
      </c>
      <c r="D204" s="11" t="str">
        <f>IF(C204="","",VLOOKUP(C204,Bilgiler!D:E,2,0))</f>
        <v>150.01.292</v>
      </c>
      <c r="E204" s="7" t="s">
        <v>356</v>
      </c>
      <c r="F204" s="8">
        <v>45891</v>
      </c>
      <c r="G204" s="7" t="s">
        <v>30</v>
      </c>
      <c r="H204" s="7" t="s">
        <v>10</v>
      </c>
      <c r="I204" s="7" t="s">
        <v>292</v>
      </c>
      <c r="J204" s="17">
        <v>109900</v>
      </c>
      <c r="K204" s="11" t="str">
        <f t="shared" si="15"/>
        <v>Poşet-25 cm Mutlukal Tortillas Kırmızı Değişken ( Beyaz Rusya )2024-002</v>
      </c>
      <c r="L204" s="11">
        <f>IF(K204="","",IFERROR(VLOOKUP(K204,$K$2:L203,2,0),MAX($L$2:L203)+1))</f>
        <v>119</v>
      </c>
      <c r="M204" s="11" t="str">
        <f t="shared" si="16"/>
        <v>Poşet-25 cm Mutlukal Tortillas Kırmızı Değişken ( Beyaz Rusya )</v>
      </c>
      <c r="N204" s="11" t="str">
        <f t="shared" si="17"/>
        <v>2024-002</v>
      </c>
      <c r="O204" s="35">
        <f t="shared" si="18"/>
        <v>45891</v>
      </c>
    </row>
    <row r="205" spans="2:15" x14ac:dyDescent="0.2">
      <c r="B205" s="6">
        <v>45539</v>
      </c>
      <c r="C205" s="1" t="s">
        <v>192</v>
      </c>
      <c r="D205" s="1" t="str">
        <f>IF(C205="","",VLOOKUP(C205,Bilgiler!D:E,2,0))</f>
        <v>150.01.164</v>
      </c>
      <c r="E205" s="1" t="s">
        <v>391</v>
      </c>
      <c r="F205" s="6">
        <v>45898</v>
      </c>
      <c r="G205" s="1" t="s">
        <v>30</v>
      </c>
      <c r="H205" s="1" t="s">
        <v>10</v>
      </c>
      <c r="I205" s="1" t="s">
        <v>291</v>
      </c>
      <c r="J205" s="16">
        <v>68000</v>
      </c>
      <c r="K205" s="1" t="str">
        <f t="shared" si="15"/>
        <v>Poşet-15 cm Tortillove DeğişkenMAT008715</v>
      </c>
      <c r="L205" s="1">
        <f>IF(K205="","",IFERROR(VLOOKUP(K205,$K$2:L204,2,0),MAX($L$2:L204)+1))</f>
        <v>117</v>
      </c>
      <c r="M205" s="1" t="str">
        <f t="shared" si="16"/>
        <v>Poşet-15 cm Tortillove Değişken</v>
      </c>
      <c r="N205" s="1" t="str">
        <f t="shared" si="17"/>
        <v>MAT008715</v>
      </c>
      <c r="O205" s="6">
        <f t="shared" si="18"/>
        <v>45898</v>
      </c>
    </row>
    <row r="206" spans="2:15" x14ac:dyDescent="0.2">
      <c r="B206" s="8">
        <v>45539</v>
      </c>
      <c r="C206" s="7" t="s">
        <v>258</v>
      </c>
      <c r="D206" s="11" t="str">
        <f>IF(C206="","",VLOOKUP(C206,Bilgiler!D:E,2,0))</f>
        <v>150.01.308</v>
      </c>
      <c r="E206" s="7" t="s">
        <v>392</v>
      </c>
      <c r="F206" s="8">
        <v>45899</v>
      </c>
      <c r="G206" s="7" t="s">
        <v>30</v>
      </c>
      <c r="H206" s="7" t="s">
        <v>10</v>
      </c>
      <c r="I206" s="7" t="s">
        <v>291</v>
      </c>
      <c r="J206" s="17">
        <v>60200</v>
      </c>
      <c r="K206" s="11" t="str">
        <f t="shared" si="15"/>
        <v>Poşet-25 cm Happylla DeğişkenMAT008717</v>
      </c>
      <c r="L206" s="11">
        <f>IF(K206="","",IFERROR(VLOOKUP(K206,$K$2:L205,2,0),MAX($L$2:L205)+1))</f>
        <v>120</v>
      </c>
      <c r="M206" s="11" t="str">
        <f t="shared" si="16"/>
        <v>Poşet-25 cm Happylla Değişken</v>
      </c>
      <c r="N206" s="11" t="str">
        <f t="shared" si="17"/>
        <v>MAT008717</v>
      </c>
      <c r="O206" s="35">
        <f t="shared" si="18"/>
        <v>45899</v>
      </c>
    </row>
    <row r="207" spans="2:15" x14ac:dyDescent="0.2">
      <c r="B207" s="6">
        <v>45539</v>
      </c>
      <c r="C207" s="1" t="s">
        <v>252</v>
      </c>
      <c r="D207" s="1" t="str">
        <f>IF(C207="","",VLOOKUP(C207,Bilgiler!D:E,2,0))</f>
        <v>150.01.295</v>
      </c>
      <c r="E207" s="1" t="s">
        <v>389</v>
      </c>
      <c r="F207" s="6">
        <v>45904</v>
      </c>
      <c r="G207" s="1" t="s">
        <v>30</v>
      </c>
      <c r="H207" s="1" t="s">
        <v>10</v>
      </c>
      <c r="I207" s="1" t="s">
        <v>291</v>
      </c>
      <c r="J207" s="16">
        <v>47600</v>
      </c>
      <c r="K207" s="1" t="str">
        <f t="shared" si="15"/>
        <v>Poşet-25 cm Mutlukal Tortillas 260 Gr ( Rusca )MAT008497</v>
      </c>
      <c r="L207" s="1">
        <f>IF(K207="","",IFERROR(VLOOKUP(K207,$K$2:L206,2,0),MAX($L$2:L206)+1))</f>
        <v>115</v>
      </c>
      <c r="M207" s="1" t="str">
        <f t="shared" si="16"/>
        <v>Poşet-25 cm Mutlukal Tortillas 260 Gr ( Rusca )</v>
      </c>
      <c r="N207" s="1" t="str">
        <f t="shared" si="17"/>
        <v>MAT008497</v>
      </c>
      <c r="O207" s="6">
        <f t="shared" si="18"/>
        <v>45904</v>
      </c>
    </row>
    <row r="208" spans="2:15" x14ac:dyDescent="0.2">
      <c r="B208" s="8">
        <v>45539</v>
      </c>
      <c r="C208" s="7" t="s">
        <v>184</v>
      </c>
      <c r="D208" s="11" t="str">
        <f>IF(C208="","",VLOOKUP(C208,Bilgiler!D:E,2,0))</f>
        <v>150.01.131</v>
      </c>
      <c r="E208" s="7" t="s">
        <v>393</v>
      </c>
      <c r="F208" s="8">
        <v>45904</v>
      </c>
      <c r="G208" s="7" t="s">
        <v>30</v>
      </c>
      <c r="H208" s="7" t="s">
        <v>10</v>
      </c>
      <c r="I208" s="7" t="s">
        <v>291</v>
      </c>
      <c r="J208" s="17">
        <v>39600</v>
      </c>
      <c r="K208" s="11" t="str">
        <f t="shared" si="15"/>
        <v>Poşet-25 cm Eyal 1620 gr ( Dış )MAT008741</v>
      </c>
      <c r="L208" s="11">
        <f>IF(K208="","",IFERROR(VLOOKUP(K208,$K$2:L207,2,0),MAX($L$2:L207)+1))</f>
        <v>121</v>
      </c>
      <c r="M208" s="11" t="str">
        <f t="shared" si="16"/>
        <v>Poşet-25 cm Eyal 1620 gr ( Dış )</v>
      </c>
      <c r="N208" s="11" t="str">
        <f t="shared" si="17"/>
        <v>MAT008741</v>
      </c>
      <c r="O208" s="35">
        <f t="shared" si="18"/>
        <v>45904</v>
      </c>
    </row>
    <row r="209" spans="2:15" x14ac:dyDescent="0.2">
      <c r="B209" s="6">
        <v>45539</v>
      </c>
      <c r="C209" s="1" t="s">
        <v>223</v>
      </c>
      <c r="D209" s="1" t="str">
        <f>IF(C209="","",VLOOKUP(C209,Bilgiler!D:E,2,0))</f>
        <v>150.01.247</v>
      </c>
      <c r="E209" s="1" t="s">
        <v>394</v>
      </c>
      <c r="F209" s="6">
        <v>45539</v>
      </c>
      <c r="G209" s="1" t="s">
        <v>30</v>
      </c>
      <c r="H209" s="1" t="s">
        <v>10</v>
      </c>
      <c r="I209" s="1" t="s">
        <v>291</v>
      </c>
      <c r="J209" s="16">
        <v>57600</v>
      </c>
      <c r="K209" s="1" t="str">
        <f t="shared" si="15"/>
        <v>Poşet-30 cm LazezaMAT007800</v>
      </c>
      <c r="L209" s="1">
        <f>IF(K209="","",IFERROR(VLOOKUP(K209,$K$2:L208,2,0),MAX($L$2:L208)+1))</f>
        <v>122</v>
      </c>
      <c r="M209" s="1" t="str">
        <f t="shared" si="16"/>
        <v>Poşet-30 cm Lazeza</v>
      </c>
      <c r="N209" s="1" t="str">
        <f t="shared" si="17"/>
        <v>MAT007800</v>
      </c>
      <c r="O209" s="6">
        <f t="shared" si="18"/>
        <v>45539</v>
      </c>
    </row>
    <row r="210" spans="2:15" x14ac:dyDescent="0.2">
      <c r="B210" s="8">
        <v>45539</v>
      </c>
      <c r="C210" s="7" t="s">
        <v>222</v>
      </c>
      <c r="D210" s="11" t="str">
        <f>IF(C210="","",VLOOKUP(C210,Bilgiler!D:E,2,0))</f>
        <v>150.01.246</v>
      </c>
      <c r="E210" s="7" t="s">
        <v>390</v>
      </c>
      <c r="F210" s="8">
        <v>45904</v>
      </c>
      <c r="G210" s="7" t="s">
        <v>30</v>
      </c>
      <c r="H210" s="7" t="s">
        <v>10</v>
      </c>
      <c r="I210" s="7" t="s">
        <v>291</v>
      </c>
      <c r="J210" s="17">
        <v>23800</v>
      </c>
      <c r="K210" s="11" t="str">
        <f t="shared" si="15"/>
        <v>Poşet-25 cm LazezaMAT008699</v>
      </c>
      <c r="L210" s="11">
        <f>IF(K210="","",IFERROR(VLOOKUP(K210,$K$2:L209,2,0),MAX($L$2:L209)+1))</f>
        <v>116</v>
      </c>
      <c r="M210" s="11" t="str">
        <f t="shared" si="16"/>
        <v>Poşet-25 cm Lazeza</v>
      </c>
      <c r="N210" s="11" t="str">
        <f t="shared" si="17"/>
        <v>MAT008699</v>
      </c>
      <c r="O210" s="35">
        <f t="shared" si="18"/>
        <v>45904</v>
      </c>
    </row>
    <row r="211" spans="2:15" x14ac:dyDescent="0.2">
      <c r="B211" s="6">
        <v>45547</v>
      </c>
      <c r="C211" s="1" t="s">
        <v>252</v>
      </c>
      <c r="D211" s="1" t="str">
        <f>IF(C211="","",VLOOKUP(C211,Bilgiler!D:E,2,0))</f>
        <v>150.01.295</v>
      </c>
      <c r="E211" s="1">
        <v>1</v>
      </c>
      <c r="F211" s="6">
        <v>45902</v>
      </c>
      <c r="G211" s="1" t="s">
        <v>30</v>
      </c>
      <c r="H211" s="1" t="s">
        <v>10</v>
      </c>
      <c r="I211" s="1" t="s">
        <v>325</v>
      </c>
      <c r="J211" s="16">
        <v>9600</v>
      </c>
      <c r="K211" s="1" t="str">
        <f t="shared" si="15"/>
        <v>Poşet-25 cm Mutlukal Tortillas 260 Gr ( Rusca )1</v>
      </c>
      <c r="L211" s="1">
        <f>IF(K211="","",IFERROR(VLOOKUP(K211,$K$2:L210,2,0),MAX($L$2:L210)+1))</f>
        <v>109</v>
      </c>
      <c r="M211" s="1" t="str">
        <f t="shared" si="16"/>
        <v>Poşet-25 cm Mutlukal Tortillas 260 Gr ( Rusca )</v>
      </c>
      <c r="N211" s="1">
        <f t="shared" si="17"/>
        <v>1</v>
      </c>
      <c r="O211" s="6">
        <f t="shared" si="18"/>
        <v>45902</v>
      </c>
    </row>
    <row r="212" spans="2:15" x14ac:dyDescent="0.2">
      <c r="B212" s="8">
        <v>45547</v>
      </c>
      <c r="C212" s="7" t="s">
        <v>252</v>
      </c>
      <c r="D212" s="11" t="str">
        <f>IF(C212="","",VLOOKUP(C212,Bilgiler!D:E,2,0))</f>
        <v>150.01.295</v>
      </c>
      <c r="E212" s="7" t="s">
        <v>347</v>
      </c>
      <c r="F212" s="8">
        <v>45845</v>
      </c>
      <c r="G212" s="7" t="s">
        <v>30</v>
      </c>
      <c r="H212" s="7" t="s">
        <v>10</v>
      </c>
      <c r="I212" s="7" t="s">
        <v>292</v>
      </c>
      <c r="J212" s="17">
        <v>365750</v>
      </c>
      <c r="K212" s="11" t="str">
        <f t="shared" si="15"/>
        <v>Poşet-25 cm Mutlukal Tortillas 260 Gr ( Rusca )2024-001</v>
      </c>
      <c r="L212" s="11">
        <f>IF(K212="","",IFERROR(VLOOKUP(K212,$K$2:L211,2,0),MAX($L$2:L211)+1))</f>
        <v>112</v>
      </c>
      <c r="M212" s="11" t="str">
        <f t="shared" si="16"/>
        <v>Poşet-25 cm Mutlukal Tortillas 260 Gr ( Rusca )</v>
      </c>
      <c r="N212" s="11" t="str">
        <f t="shared" si="17"/>
        <v>2024-001</v>
      </c>
      <c r="O212" s="35">
        <f t="shared" si="18"/>
        <v>45845</v>
      </c>
    </row>
    <row r="213" spans="2:15" x14ac:dyDescent="0.2">
      <c r="B213" s="6">
        <v>45547</v>
      </c>
      <c r="C213" s="1" t="s">
        <v>250</v>
      </c>
      <c r="D213" s="1" t="str">
        <f>IF(C213="","",VLOOKUP(C213,Bilgiler!D:E,2,0))</f>
        <v>150.01.292</v>
      </c>
      <c r="E213" s="1" t="s">
        <v>347</v>
      </c>
      <c r="F213" s="6">
        <v>45845</v>
      </c>
      <c r="G213" s="1" t="s">
        <v>30</v>
      </c>
      <c r="H213" s="1" t="s">
        <v>10</v>
      </c>
      <c r="I213" s="1" t="s">
        <v>292</v>
      </c>
      <c r="J213" s="16">
        <v>57350</v>
      </c>
      <c r="K213" s="1" t="str">
        <f t="shared" si="15"/>
        <v>Poşet-25 cm Mutlukal Tortillas Kırmızı Değişken ( Beyaz Rusya )2024-001</v>
      </c>
      <c r="L213" s="1">
        <f>IF(K213="","",IFERROR(VLOOKUP(K213,$K$2:L212,2,0),MAX($L$2:L212)+1))</f>
        <v>58</v>
      </c>
      <c r="M213" s="1" t="str">
        <f t="shared" si="16"/>
        <v>Poşet-25 cm Mutlukal Tortillas Kırmızı Değişken ( Beyaz Rusya )</v>
      </c>
      <c r="N213" s="1" t="str">
        <f t="shared" si="17"/>
        <v>2024-001</v>
      </c>
      <c r="O213" s="6">
        <f t="shared" si="18"/>
        <v>45845</v>
      </c>
    </row>
    <row r="214" spans="2:15" x14ac:dyDescent="0.2">
      <c r="B214" s="8">
        <v>45547</v>
      </c>
      <c r="C214" s="7" t="s">
        <v>254</v>
      </c>
      <c r="D214" s="11" t="str">
        <f>IF(C214="","",VLOOKUP(C214,Bilgiler!D:E,2,0))</f>
        <v>150.01.301</v>
      </c>
      <c r="E214" s="7" t="s">
        <v>347</v>
      </c>
      <c r="F214" s="8">
        <v>45847</v>
      </c>
      <c r="G214" s="7" t="s">
        <v>30</v>
      </c>
      <c r="H214" s="7" t="s">
        <v>10</v>
      </c>
      <c r="I214" s="7" t="s">
        <v>292</v>
      </c>
      <c r="J214" s="17">
        <v>28000</v>
      </c>
      <c r="K214" s="11" t="str">
        <f t="shared" si="15"/>
        <v>Poşet-15 cm Mutlukal Taco2024-001</v>
      </c>
      <c r="L214" s="11">
        <f>IF(K214="","",IFERROR(VLOOKUP(K214,$K$2:L213,2,0),MAX($L$2:L213)+1))</f>
        <v>123</v>
      </c>
      <c r="M214" s="11" t="str">
        <f t="shared" si="16"/>
        <v>Poşet-15 cm Mutlukal Taco</v>
      </c>
      <c r="N214" s="11" t="str">
        <f t="shared" si="17"/>
        <v>2024-001</v>
      </c>
      <c r="O214" s="35">
        <f t="shared" si="18"/>
        <v>45847</v>
      </c>
    </row>
    <row r="215" spans="2:15" x14ac:dyDescent="0.2">
      <c r="B215" s="6">
        <v>45547</v>
      </c>
      <c r="C215" s="1" t="s">
        <v>173</v>
      </c>
      <c r="D215" s="1" t="str">
        <f>IF(C215="","",VLOOKUP(C215,Bilgiler!D:E,2,0))</f>
        <v>150.01.055</v>
      </c>
      <c r="E215" s="1" t="s">
        <v>395</v>
      </c>
      <c r="F215" s="6">
        <v>45907</v>
      </c>
      <c r="G215" s="1" t="s">
        <v>30</v>
      </c>
      <c r="H215" s="1" t="s">
        <v>10</v>
      </c>
      <c r="I215" s="1" t="s">
        <v>291</v>
      </c>
      <c r="J215" s="16">
        <v>12600</v>
      </c>
      <c r="K215" s="1" t="str">
        <f t="shared" si="15"/>
        <v>Poşet-25 cm Nimet (Lam.Baskılı Zıp.Vakum )MAT008764</v>
      </c>
      <c r="L215" s="1">
        <f>IF(K215="","",IFERROR(VLOOKUP(K215,$K$2:L214,2,0),MAX($L$2:L214)+1))</f>
        <v>124</v>
      </c>
      <c r="M215" s="1" t="str">
        <f t="shared" si="16"/>
        <v>Poşet-25 cm Nimet (Lam.Baskılı Zıp.Vakum )</v>
      </c>
      <c r="N215" s="1" t="str">
        <f t="shared" si="17"/>
        <v>MAT008764</v>
      </c>
      <c r="O215" s="6">
        <f t="shared" si="18"/>
        <v>45907</v>
      </c>
    </row>
    <row r="216" spans="2:15" x14ac:dyDescent="0.2">
      <c r="B216" s="8">
        <v>45547</v>
      </c>
      <c r="C216" s="7" t="s">
        <v>367</v>
      </c>
      <c r="D216" s="11">
        <f>IF(C216="","",VLOOKUP(C216,Bilgiler!D:E,2,0))</f>
        <v>0</v>
      </c>
      <c r="E216" s="7" t="s">
        <v>396</v>
      </c>
      <c r="F216" s="8">
        <v>45910</v>
      </c>
      <c r="G216" s="7" t="s">
        <v>30</v>
      </c>
      <c r="H216" s="7" t="s">
        <v>10</v>
      </c>
      <c r="I216" s="7" t="s">
        <v>291</v>
      </c>
      <c r="J216" s="17">
        <v>59400</v>
      </c>
      <c r="K216" s="11" t="str">
        <f t="shared" si="15"/>
        <v>20CM BUENA COMIDAMAT008743</v>
      </c>
      <c r="L216" s="11">
        <f>IF(K216="","",IFERROR(VLOOKUP(K216,$K$2:L215,2,0),MAX($L$2:L215)+1))</f>
        <v>125</v>
      </c>
      <c r="M216" s="11" t="str">
        <f t="shared" si="16"/>
        <v>20CM BUENA COMIDA</v>
      </c>
      <c r="N216" s="11" t="str">
        <f t="shared" si="17"/>
        <v>MAT008743</v>
      </c>
      <c r="O216" s="35">
        <f t="shared" si="18"/>
        <v>45910</v>
      </c>
    </row>
    <row r="217" spans="2:15" x14ac:dyDescent="0.2">
      <c r="B217" s="6">
        <v>45548</v>
      </c>
      <c r="C217" s="1" t="s">
        <v>173</v>
      </c>
      <c r="D217" s="1" t="str">
        <f>IF(C217="","",VLOOKUP(C217,Bilgiler!D:E,2,0))</f>
        <v>150.01.055</v>
      </c>
      <c r="E217" s="1" t="s">
        <v>395</v>
      </c>
      <c r="F217" s="6">
        <v>45907</v>
      </c>
      <c r="G217" s="1" t="s">
        <v>30</v>
      </c>
      <c r="H217" s="1" t="s">
        <v>10</v>
      </c>
      <c r="I217" s="1" t="s">
        <v>291</v>
      </c>
      <c r="J217" s="16">
        <v>117600</v>
      </c>
      <c r="K217" s="1" t="str">
        <f t="shared" si="15"/>
        <v>Poşet-25 cm Nimet (Lam.Baskılı Zıp.Vakum )MAT008764</v>
      </c>
      <c r="L217" s="1">
        <f>IF(K217="","",IFERROR(VLOOKUP(K217,$K$2:L216,2,0),MAX($L$2:L216)+1))</f>
        <v>124</v>
      </c>
      <c r="M217" s="1" t="str">
        <f t="shared" si="16"/>
        <v>Poşet-25 cm Nimet (Lam.Baskılı Zıp.Vakum )</v>
      </c>
      <c r="N217" s="1" t="str">
        <f t="shared" si="17"/>
        <v>MAT008764</v>
      </c>
      <c r="O217" s="6">
        <f t="shared" si="18"/>
        <v>45907</v>
      </c>
    </row>
    <row r="218" spans="2:15" x14ac:dyDescent="0.2">
      <c r="B218" s="8">
        <v>45548</v>
      </c>
      <c r="C218" s="7" t="s">
        <v>368</v>
      </c>
      <c r="D218" s="11">
        <f>IF(C218="","",VLOOKUP(C218,Bilgiler!D:E,2,0))</f>
        <v>0</v>
      </c>
      <c r="E218" s="7" t="s">
        <v>396</v>
      </c>
      <c r="F218" s="8">
        <v>45910</v>
      </c>
      <c r="G218" s="7" t="s">
        <v>30</v>
      </c>
      <c r="H218" s="7" t="s">
        <v>10</v>
      </c>
      <c r="I218" s="7" t="s">
        <v>291</v>
      </c>
      <c r="J218" s="17">
        <v>50400</v>
      </c>
      <c r="K218" s="11" t="str">
        <f t="shared" si="15"/>
        <v>30CM BUENA COMIDAMAT008743</v>
      </c>
      <c r="L218" s="11">
        <f>IF(K218="","",IFERROR(VLOOKUP(K218,$K$2:L217,2,0),MAX($L$2:L217)+1))</f>
        <v>126</v>
      </c>
      <c r="M218" s="11" t="str">
        <f t="shared" si="16"/>
        <v>30CM BUENA COMIDA</v>
      </c>
      <c r="N218" s="11" t="str">
        <f t="shared" si="17"/>
        <v>MAT008743</v>
      </c>
      <c r="O218" s="35">
        <f t="shared" si="18"/>
        <v>45910</v>
      </c>
    </row>
    <row r="219" spans="2:15" x14ac:dyDescent="0.2">
      <c r="B219" s="6">
        <v>45548</v>
      </c>
      <c r="C219" s="1" t="s">
        <v>367</v>
      </c>
      <c r="D219" s="1">
        <f>IF(C219="","",VLOOKUP(C219,Bilgiler!D:E,2,0))</f>
        <v>0</v>
      </c>
      <c r="E219" s="1" t="s">
        <v>396</v>
      </c>
      <c r="F219" s="6">
        <v>45910</v>
      </c>
      <c r="G219" s="1" t="s">
        <v>30</v>
      </c>
      <c r="H219" s="1" t="s">
        <v>10</v>
      </c>
      <c r="I219" s="1" t="s">
        <v>291</v>
      </c>
      <c r="J219" s="16">
        <v>54000</v>
      </c>
      <c r="K219" s="1" t="str">
        <f t="shared" si="15"/>
        <v>20CM BUENA COMIDAMAT008743</v>
      </c>
      <c r="L219" s="1">
        <f>IF(K219="","",IFERROR(VLOOKUP(K219,$K$2:L218,2,0),MAX($L$2:L218)+1))</f>
        <v>125</v>
      </c>
      <c r="M219" s="1" t="str">
        <f t="shared" si="16"/>
        <v>20CM BUENA COMIDA</v>
      </c>
      <c r="N219" s="1" t="str">
        <f t="shared" si="17"/>
        <v>MAT008743</v>
      </c>
      <c r="O219" s="6">
        <f t="shared" si="18"/>
        <v>45910</v>
      </c>
    </row>
    <row r="220" spans="2:15" x14ac:dyDescent="0.2">
      <c r="B220" s="8">
        <v>45548</v>
      </c>
      <c r="C220" s="7" t="s">
        <v>252</v>
      </c>
      <c r="D220" s="11" t="str">
        <f>IF(C220="","",VLOOKUP(C220,Bilgiler!D:E,2,0))</f>
        <v>150.01.295</v>
      </c>
      <c r="E220" s="7" t="s">
        <v>389</v>
      </c>
      <c r="F220" s="8">
        <v>45904</v>
      </c>
      <c r="G220" s="7" t="s">
        <v>30</v>
      </c>
      <c r="H220" s="7" t="s">
        <v>10</v>
      </c>
      <c r="I220" s="7" t="s">
        <v>291</v>
      </c>
      <c r="J220" s="17">
        <v>75600</v>
      </c>
      <c r="K220" s="11" t="str">
        <f t="shared" si="15"/>
        <v>Poşet-25 cm Mutlukal Tortillas 260 Gr ( Rusca )MAT008497</v>
      </c>
      <c r="L220" s="11">
        <f>IF(K220="","",IFERROR(VLOOKUP(K220,$K$2:L219,2,0),MAX($L$2:L219)+1))</f>
        <v>115</v>
      </c>
      <c r="M220" s="11" t="str">
        <f t="shared" si="16"/>
        <v>Poşet-25 cm Mutlukal Tortillas 260 Gr ( Rusca )</v>
      </c>
      <c r="N220" s="11" t="str">
        <f t="shared" si="17"/>
        <v>MAT008497</v>
      </c>
      <c r="O220" s="35">
        <f t="shared" si="18"/>
        <v>45904</v>
      </c>
    </row>
    <row r="221" spans="2:15" x14ac:dyDescent="0.2">
      <c r="B221" s="6">
        <v>45551</v>
      </c>
      <c r="C221" s="1" t="s">
        <v>368</v>
      </c>
      <c r="D221" s="1">
        <f>IF(C221="","",VLOOKUP(C221,Bilgiler!D:E,2,0))</f>
        <v>0</v>
      </c>
      <c r="E221" s="1" t="s">
        <v>396</v>
      </c>
      <c r="F221" s="6">
        <v>45910</v>
      </c>
      <c r="G221" s="1" t="s">
        <v>30</v>
      </c>
      <c r="H221" s="1" t="s">
        <v>10</v>
      </c>
      <c r="I221" s="1" t="s">
        <v>291</v>
      </c>
      <c r="J221" s="16">
        <v>84000</v>
      </c>
      <c r="K221" s="1" t="str">
        <f t="shared" si="15"/>
        <v>30CM BUENA COMIDAMAT008743</v>
      </c>
      <c r="L221" s="1">
        <f>IF(K221="","",IFERROR(VLOOKUP(K221,$K$2:L220,2,0),MAX($L$2:L220)+1))</f>
        <v>126</v>
      </c>
      <c r="M221" s="1" t="str">
        <f t="shared" si="16"/>
        <v>30CM BUENA COMIDA</v>
      </c>
      <c r="N221" s="1" t="str">
        <f t="shared" si="17"/>
        <v>MAT008743</v>
      </c>
      <c r="O221" s="6">
        <f t="shared" si="18"/>
        <v>45910</v>
      </c>
    </row>
    <row r="222" spans="2:15" x14ac:dyDescent="0.2">
      <c r="B222" s="8">
        <v>45551</v>
      </c>
      <c r="C222" s="7" t="s">
        <v>252</v>
      </c>
      <c r="D222" s="11" t="str">
        <f>IF(C222="","",VLOOKUP(C222,Bilgiler!D:E,2,0))</f>
        <v>150.01.295</v>
      </c>
      <c r="E222" s="7" t="s">
        <v>389</v>
      </c>
      <c r="F222" s="8">
        <v>45904</v>
      </c>
      <c r="G222" s="7" t="s">
        <v>30</v>
      </c>
      <c r="H222" s="7" t="s">
        <v>10</v>
      </c>
      <c r="I222" s="7" t="s">
        <v>291</v>
      </c>
      <c r="J222" s="17">
        <v>117600</v>
      </c>
      <c r="K222" s="11" t="str">
        <f t="shared" si="15"/>
        <v>Poşet-25 cm Mutlukal Tortillas 260 Gr ( Rusca )MAT008497</v>
      </c>
      <c r="L222" s="11">
        <f>IF(K222="","",IFERROR(VLOOKUP(K222,$K$2:L221,2,0),MAX($L$2:L221)+1))</f>
        <v>115</v>
      </c>
      <c r="M222" s="11" t="str">
        <f t="shared" si="16"/>
        <v>Poşet-25 cm Mutlukal Tortillas 260 Gr ( Rusca )</v>
      </c>
      <c r="N222" s="11" t="str">
        <f t="shared" si="17"/>
        <v>MAT008497</v>
      </c>
      <c r="O222" s="35">
        <f t="shared" si="18"/>
        <v>45904</v>
      </c>
    </row>
    <row r="223" spans="2:15" x14ac:dyDescent="0.2">
      <c r="B223" s="6">
        <v>45555</v>
      </c>
      <c r="C223" s="1" t="s">
        <v>252</v>
      </c>
      <c r="D223" s="1" t="str">
        <f>IF(C223="","",VLOOKUP(C223,Bilgiler!D:E,2,0))</f>
        <v>150.01.295</v>
      </c>
      <c r="E223" s="1" t="s">
        <v>389</v>
      </c>
      <c r="F223" s="6">
        <v>45904</v>
      </c>
      <c r="G223" s="1" t="s">
        <v>30</v>
      </c>
      <c r="H223" s="1" t="s">
        <v>10</v>
      </c>
      <c r="I223" s="1" t="s">
        <v>291</v>
      </c>
      <c r="J223" s="16">
        <v>117600</v>
      </c>
      <c r="K223" s="1" t="str">
        <f t="shared" si="15"/>
        <v>Poşet-25 cm Mutlukal Tortillas 260 Gr ( Rusca )MAT008497</v>
      </c>
      <c r="L223" s="1">
        <f>IF(K223="","",IFERROR(VLOOKUP(K223,$K$2:L222,2,0),MAX($L$2:L222)+1))</f>
        <v>115</v>
      </c>
      <c r="M223" s="1" t="str">
        <f t="shared" si="16"/>
        <v>Poşet-25 cm Mutlukal Tortillas 260 Gr ( Rusca )</v>
      </c>
      <c r="N223" s="1" t="str">
        <f t="shared" si="17"/>
        <v>MAT008497</v>
      </c>
      <c r="O223" s="6">
        <f t="shared" si="18"/>
        <v>45904</v>
      </c>
    </row>
    <row r="224" spans="2:15" x14ac:dyDescent="0.2">
      <c r="B224" s="8">
        <v>45558</v>
      </c>
      <c r="C224" s="7" t="s">
        <v>252</v>
      </c>
      <c r="D224" s="11" t="str">
        <f>IF(C224="","",VLOOKUP(C224,Bilgiler!D:E,2,0))</f>
        <v>150.01.295</v>
      </c>
      <c r="E224" s="7" t="s">
        <v>389</v>
      </c>
      <c r="F224" s="8">
        <v>45904</v>
      </c>
      <c r="G224" s="7" t="s">
        <v>30</v>
      </c>
      <c r="H224" s="7" t="s">
        <v>10</v>
      </c>
      <c r="I224" s="7" t="s">
        <v>291</v>
      </c>
      <c r="J224" s="17">
        <v>105000</v>
      </c>
      <c r="K224" s="11" t="str">
        <f t="shared" si="15"/>
        <v>Poşet-25 cm Mutlukal Tortillas 260 Gr ( Rusca )MAT008497</v>
      </c>
      <c r="L224" s="11">
        <f>IF(K224="","",IFERROR(VLOOKUP(K224,$K$2:L223,2,0),MAX($L$2:L223)+1))</f>
        <v>115</v>
      </c>
      <c r="M224" s="11" t="str">
        <f t="shared" si="16"/>
        <v>Poşet-25 cm Mutlukal Tortillas 260 Gr ( Rusca )</v>
      </c>
      <c r="N224" s="11" t="str">
        <f t="shared" si="17"/>
        <v>MAT008497</v>
      </c>
      <c r="O224" s="35">
        <f t="shared" si="18"/>
        <v>45904</v>
      </c>
    </row>
    <row r="225" spans="2:15" x14ac:dyDescent="0.2">
      <c r="B225" s="6">
        <v>45558</v>
      </c>
      <c r="C225" s="1" t="s">
        <v>177</v>
      </c>
      <c r="D225" s="1" t="str">
        <f>IF(C225="","",VLOOKUP(C225,Bilgiler!D:E,2,0))</f>
        <v>150.01.062</v>
      </c>
      <c r="E225" s="1">
        <v>1</v>
      </c>
      <c r="F225" s="6">
        <v>45920</v>
      </c>
      <c r="G225" s="1" t="s">
        <v>30</v>
      </c>
      <c r="H225" s="1" t="s">
        <v>10</v>
      </c>
      <c r="I225" s="1" t="s">
        <v>291</v>
      </c>
      <c r="J225" s="16">
        <v>79800</v>
      </c>
      <c r="K225" s="1" t="str">
        <f t="shared" si="15"/>
        <v>Poşet-25 cm Wıllı Food 840 gr1</v>
      </c>
      <c r="L225" s="1">
        <f>IF(K225="","",IFERROR(VLOOKUP(K225,$K$2:L224,2,0),MAX($L$2:L224)+1))</f>
        <v>127</v>
      </c>
      <c r="M225" s="1" t="str">
        <f t="shared" si="16"/>
        <v>Poşet-25 cm Wıllı Food 840 gr</v>
      </c>
      <c r="N225" s="1">
        <f t="shared" si="17"/>
        <v>1</v>
      </c>
      <c r="O225" s="6">
        <f t="shared" si="18"/>
        <v>45920</v>
      </c>
    </row>
    <row r="226" spans="2:15" x14ac:dyDescent="0.2">
      <c r="B226" s="8">
        <v>45558</v>
      </c>
      <c r="C226" s="7" t="s">
        <v>168</v>
      </c>
      <c r="D226" s="11" t="str">
        <f>IF(C226="","",VLOOKUP(C226,Bilgiler!D:E,2,0))</f>
        <v>150.01.041</v>
      </c>
      <c r="E226" s="7">
        <v>1</v>
      </c>
      <c r="F226" s="8">
        <v>45920</v>
      </c>
      <c r="G226" s="7" t="s">
        <v>30</v>
      </c>
      <c r="H226" s="7" t="s">
        <v>10</v>
      </c>
      <c r="I226" s="7" t="s">
        <v>291</v>
      </c>
      <c r="J226" s="17">
        <v>122000</v>
      </c>
      <c r="K226" s="11" t="str">
        <f t="shared" si="15"/>
        <v>Poşet-20 cm Wıllı Food 540 gr1</v>
      </c>
      <c r="L226" s="11">
        <f>IF(K226="","",IFERROR(VLOOKUP(K226,$K$2:L225,2,0),MAX($L$2:L225)+1))</f>
        <v>128</v>
      </c>
      <c r="M226" s="11" t="str">
        <f t="shared" si="16"/>
        <v>Poşet-20 cm Wıllı Food 540 gr</v>
      </c>
      <c r="N226" s="11">
        <f t="shared" si="17"/>
        <v>1</v>
      </c>
      <c r="O226" s="35">
        <f t="shared" si="18"/>
        <v>45920</v>
      </c>
    </row>
    <row r="227" spans="2:15" x14ac:dyDescent="0.2">
      <c r="B227" s="6"/>
      <c r="D227" s="1" t="str">
        <f>IF(C227="","",VLOOKUP(C227,Bilgiler!D:E,2,0))</f>
        <v/>
      </c>
      <c r="F227" s="6"/>
      <c r="K227" s="1" t="str">
        <f t="shared" si="15"/>
        <v/>
      </c>
      <c r="L227" s="1" t="str">
        <f>IF(K227="","",IFERROR(VLOOKUP(K227,$K$2:L226,2,0),MAX($L$2:L226)+1))</f>
        <v/>
      </c>
      <c r="M227" s="1" t="str">
        <f t="shared" si="16"/>
        <v/>
      </c>
      <c r="N227" s="1" t="str">
        <f t="shared" si="17"/>
        <v/>
      </c>
      <c r="O227" s="6" t="str">
        <f t="shared" si="18"/>
        <v/>
      </c>
    </row>
    <row r="228" spans="2:15" x14ac:dyDescent="0.2">
      <c r="B228" s="8"/>
      <c r="C228" s="7"/>
      <c r="D228" s="11" t="str">
        <f>IF(C228="","",VLOOKUP(C228,Bilgiler!D:E,2,0))</f>
        <v/>
      </c>
      <c r="E228" s="7"/>
      <c r="F228" s="7"/>
      <c r="G228" s="7"/>
      <c r="H228" s="7"/>
      <c r="I228" s="7"/>
      <c r="J228" s="17"/>
      <c r="K228" s="11" t="str">
        <f t="shared" si="15"/>
        <v/>
      </c>
      <c r="L228" s="11" t="str">
        <f>IF(K228="","",IFERROR(VLOOKUP(K228,$K$2:L227,2,0),MAX($L$2:L227)+1))</f>
        <v/>
      </c>
      <c r="M228" s="11" t="str">
        <f t="shared" si="16"/>
        <v/>
      </c>
      <c r="N228" s="11" t="str">
        <f t="shared" si="17"/>
        <v/>
      </c>
      <c r="O228" s="35" t="str">
        <f t="shared" si="18"/>
        <v/>
      </c>
    </row>
    <row r="229" spans="2:15" x14ac:dyDescent="0.2">
      <c r="B229" s="6"/>
      <c r="D229" s="1" t="str">
        <f>IF(C229="","",VLOOKUP(C229,Bilgiler!D:E,2,0))</f>
        <v/>
      </c>
      <c r="F229" s="6"/>
      <c r="K229" s="1" t="str">
        <f t="shared" si="15"/>
        <v/>
      </c>
      <c r="L229" s="1" t="str">
        <f>IF(K229="","",IFERROR(VLOOKUP(K229,$K$2:L228,2,0),MAX($L$2:L228)+1))</f>
        <v/>
      </c>
      <c r="M229" s="1" t="str">
        <f t="shared" si="16"/>
        <v/>
      </c>
      <c r="N229" s="1" t="str">
        <f t="shared" si="17"/>
        <v/>
      </c>
      <c r="O229" s="6" t="str">
        <f t="shared" si="18"/>
        <v/>
      </c>
    </row>
    <row r="230" spans="2:15" x14ac:dyDescent="0.2">
      <c r="B230" s="8"/>
      <c r="C230" s="7"/>
      <c r="D230" s="11" t="str">
        <f>IF(C230="","",VLOOKUP(C230,Bilgiler!D:E,2,0))</f>
        <v/>
      </c>
      <c r="E230" s="7"/>
      <c r="F230" s="7"/>
      <c r="G230" s="7"/>
      <c r="H230" s="7"/>
      <c r="I230" s="7"/>
      <c r="J230" s="17"/>
      <c r="K230" s="11" t="str">
        <f t="shared" si="15"/>
        <v/>
      </c>
      <c r="L230" s="11" t="str">
        <f>IF(K230="","",IFERROR(VLOOKUP(K230,$K$2:L229,2,0),MAX($L$2:L229)+1))</f>
        <v/>
      </c>
      <c r="M230" s="11" t="str">
        <f t="shared" si="16"/>
        <v/>
      </c>
      <c r="N230" s="11" t="str">
        <f t="shared" si="17"/>
        <v/>
      </c>
      <c r="O230" s="35" t="str">
        <f t="shared" si="18"/>
        <v/>
      </c>
    </row>
    <row r="231" spans="2:15" x14ac:dyDescent="0.2">
      <c r="B231" s="6"/>
      <c r="D231" s="1" t="str">
        <f>IF(C231="","",VLOOKUP(C231,Bilgiler!D:E,2,0))</f>
        <v/>
      </c>
      <c r="F231" s="6"/>
      <c r="K231" s="1" t="str">
        <f t="shared" si="15"/>
        <v/>
      </c>
      <c r="L231" s="1" t="str">
        <f>IF(K231="","",IFERROR(VLOOKUP(K231,$K$2:L230,2,0),MAX($L$2:L230)+1))</f>
        <v/>
      </c>
      <c r="M231" s="1" t="str">
        <f t="shared" si="16"/>
        <v/>
      </c>
      <c r="N231" s="1" t="str">
        <f t="shared" si="17"/>
        <v/>
      </c>
      <c r="O231" s="6" t="str">
        <f t="shared" si="18"/>
        <v/>
      </c>
    </row>
    <row r="232" spans="2:15" x14ac:dyDescent="0.2">
      <c r="B232" s="8"/>
      <c r="C232" s="7"/>
      <c r="D232" s="11" t="str">
        <f>IF(C232="","",VLOOKUP(C232,Bilgiler!D:E,2,0))</f>
        <v/>
      </c>
      <c r="E232" s="7"/>
      <c r="F232" s="7"/>
      <c r="G232" s="7"/>
      <c r="H232" s="7"/>
      <c r="I232" s="7"/>
      <c r="J232" s="17"/>
      <c r="K232" s="11" t="str">
        <f t="shared" si="15"/>
        <v/>
      </c>
      <c r="L232" s="11" t="str">
        <f>IF(K232="","",IFERROR(VLOOKUP(K232,$K$2:L231,2,0),MAX($L$2:L231)+1))</f>
        <v/>
      </c>
      <c r="M232" s="11" t="str">
        <f t="shared" si="16"/>
        <v/>
      </c>
      <c r="N232" s="11" t="str">
        <f t="shared" si="17"/>
        <v/>
      </c>
      <c r="O232" s="35" t="str">
        <f t="shared" si="18"/>
        <v/>
      </c>
    </row>
    <row r="233" spans="2:15" x14ac:dyDescent="0.2">
      <c r="B233" s="6"/>
      <c r="D233" s="1" t="str">
        <f>IF(C233="","",VLOOKUP(C233,Bilgiler!D:E,2,0))</f>
        <v/>
      </c>
      <c r="F233" s="6"/>
      <c r="K233" s="1" t="str">
        <f t="shared" si="15"/>
        <v/>
      </c>
      <c r="L233" s="1" t="str">
        <f>IF(K233="","",IFERROR(VLOOKUP(K233,$K$2:L232,2,0),MAX($L$2:L232)+1))</f>
        <v/>
      </c>
      <c r="M233" s="1" t="str">
        <f t="shared" si="16"/>
        <v/>
      </c>
      <c r="N233" s="1" t="str">
        <f t="shared" si="17"/>
        <v/>
      </c>
      <c r="O233" s="6" t="str">
        <f t="shared" si="18"/>
        <v/>
      </c>
    </row>
    <row r="234" spans="2:15" x14ac:dyDescent="0.2">
      <c r="B234" s="8"/>
      <c r="C234" s="7"/>
      <c r="D234" s="11" t="str">
        <f>IF(C234="","",VLOOKUP(C234,Bilgiler!D:E,2,0))</f>
        <v/>
      </c>
      <c r="E234" s="7"/>
      <c r="F234" s="7"/>
      <c r="G234" s="7"/>
      <c r="H234" s="7"/>
      <c r="I234" s="7"/>
      <c r="J234" s="17"/>
      <c r="K234" s="11" t="str">
        <f t="shared" si="15"/>
        <v/>
      </c>
      <c r="L234" s="11" t="str">
        <f>IF(K234="","",IFERROR(VLOOKUP(K234,$K$2:L233,2,0),MAX($L$2:L233)+1))</f>
        <v/>
      </c>
      <c r="M234" s="11" t="str">
        <f t="shared" si="16"/>
        <v/>
      </c>
      <c r="N234" s="11" t="str">
        <f t="shared" si="17"/>
        <v/>
      </c>
      <c r="O234" s="35" t="str">
        <f t="shared" si="18"/>
        <v/>
      </c>
    </row>
    <row r="235" spans="2:15" x14ac:dyDescent="0.2">
      <c r="B235" s="6"/>
      <c r="D235" s="1" t="str">
        <f>IF(C235="","",VLOOKUP(C235,Bilgiler!D:E,2,0))</f>
        <v/>
      </c>
      <c r="F235" s="6"/>
      <c r="K235" s="1" t="str">
        <f t="shared" si="15"/>
        <v/>
      </c>
      <c r="L235" s="1" t="str">
        <f>IF(K235="","",IFERROR(VLOOKUP(K235,$K$2:L234,2,0),MAX($L$2:L234)+1))</f>
        <v/>
      </c>
      <c r="M235" s="1" t="str">
        <f t="shared" si="16"/>
        <v/>
      </c>
      <c r="N235" s="1" t="str">
        <f t="shared" si="17"/>
        <v/>
      </c>
      <c r="O235" s="6" t="str">
        <f t="shared" si="18"/>
        <v/>
      </c>
    </row>
    <row r="236" spans="2:15" x14ac:dyDescent="0.2">
      <c r="B236" s="8"/>
      <c r="C236" s="7"/>
      <c r="D236" s="11" t="str">
        <f>IF(C236="","",VLOOKUP(C236,Bilgiler!D:E,2,0))</f>
        <v/>
      </c>
      <c r="E236" s="7"/>
      <c r="F236" s="7"/>
      <c r="G236" s="7"/>
      <c r="H236" s="7"/>
      <c r="I236" s="7"/>
      <c r="J236" s="17"/>
      <c r="K236" s="11" t="str">
        <f t="shared" si="15"/>
        <v/>
      </c>
      <c r="L236" s="11" t="str">
        <f>IF(K236="","",IFERROR(VLOOKUP(K236,$K$2:L235,2,0),MAX($L$2:L235)+1))</f>
        <v/>
      </c>
      <c r="M236" s="11" t="str">
        <f t="shared" si="16"/>
        <v/>
      </c>
      <c r="N236" s="11" t="str">
        <f t="shared" si="17"/>
        <v/>
      </c>
      <c r="O236" s="35" t="str">
        <f t="shared" si="18"/>
        <v/>
      </c>
    </row>
    <row r="237" spans="2:15" x14ac:dyDescent="0.2">
      <c r="B237" s="6"/>
      <c r="D237" s="1" t="str">
        <f>IF(C237="","",VLOOKUP(C237,Bilgiler!D:E,2,0))</f>
        <v/>
      </c>
      <c r="F237" s="6"/>
      <c r="K237" s="1" t="str">
        <f t="shared" si="15"/>
        <v/>
      </c>
      <c r="L237" s="1" t="str">
        <f>IF(K237="","",IFERROR(VLOOKUP(K237,$K$2:L236,2,0),MAX($L$2:L236)+1))</f>
        <v/>
      </c>
      <c r="M237" s="1" t="str">
        <f t="shared" si="16"/>
        <v/>
      </c>
      <c r="N237" s="1" t="str">
        <f t="shared" si="17"/>
        <v/>
      </c>
      <c r="O237" s="6" t="str">
        <f t="shared" si="18"/>
        <v/>
      </c>
    </row>
    <row r="238" spans="2:15" x14ac:dyDescent="0.2">
      <c r="B238" s="8"/>
      <c r="C238" s="7"/>
      <c r="D238" s="11" t="str">
        <f>IF(C238="","",VLOOKUP(C238,Bilgiler!D:E,2,0))</f>
        <v/>
      </c>
      <c r="E238" s="7"/>
      <c r="F238" s="7"/>
      <c r="G238" s="7"/>
      <c r="H238" s="7"/>
      <c r="I238" s="7"/>
      <c r="J238" s="17"/>
      <c r="K238" s="11" t="str">
        <f t="shared" si="15"/>
        <v/>
      </c>
      <c r="L238" s="11" t="str">
        <f>IF(K238="","",IFERROR(VLOOKUP(K238,$K$2:L237,2,0),MAX($L$2:L237)+1))</f>
        <v/>
      </c>
      <c r="M238" s="11" t="str">
        <f t="shared" si="16"/>
        <v/>
      </c>
      <c r="N238" s="11" t="str">
        <f t="shared" si="17"/>
        <v/>
      </c>
      <c r="O238" s="35" t="str">
        <f t="shared" si="18"/>
        <v/>
      </c>
    </row>
    <row r="239" spans="2:15" x14ac:dyDescent="0.2">
      <c r="B239" s="6"/>
      <c r="D239" s="1" t="str">
        <f>IF(C239="","",VLOOKUP(C239,Bilgiler!D:E,2,0))</f>
        <v/>
      </c>
      <c r="F239" s="6"/>
      <c r="K239" s="1" t="str">
        <f t="shared" si="15"/>
        <v/>
      </c>
      <c r="L239" s="1" t="str">
        <f>IF(K239="","",IFERROR(VLOOKUP(K239,$K$2:L238,2,0),MAX($L$2:L238)+1))</f>
        <v/>
      </c>
      <c r="M239" s="1" t="str">
        <f t="shared" si="16"/>
        <v/>
      </c>
      <c r="N239" s="1" t="str">
        <f t="shared" si="17"/>
        <v/>
      </c>
      <c r="O239" s="6" t="str">
        <f t="shared" si="18"/>
        <v/>
      </c>
    </row>
    <row r="240" spans="2:15" x14ac:dyDescent="0.2">
      <c r="B240" s="8"/>
      <c r="C240" s="7"/>
      <c r="D240" s="11" t="str">
        <f>IF(C240="","",VLOOKUP(C240,Bilgiler!D:E,2,0))</f>
        <v/>
      </c>
      <c r="E240" s="7"/>
      <c r="F240" s="7"/>
      <c r="G240" s="7"/>
      <c r="H240" s="7"/>
      <c r="I240" s="7"/>
      <c r="J240" s="17"/>
      <c r="K240" s="11" t="str">
        <f t="shared" si="15"/>
        <v/>
      </c>
      <c r="L240" s="11" t="str">
        <f>IF(K240="","",IFERROR(VLOOKUP(K240,$K$2:L239,2,0),MAX($L$2:L239)+1))</f>
        <v/>
      </c>
      <c r="M240" s="11" t="str">
        <f t="shared" si="16"/>
        <v/>
      </c>
      <c r="N240" s="11" t="str">
        <f t="shared" si="17"/>
        <v/>
      </c>
      <c r="O240" s="35" t="str">
        <f t="shared" si="18"/>
        <v/>
      </c>
    </row>
    <row r="241" spans="2:15" x14ac:dyDescent="0.2">
      <c r="B241" s="6"/>
      <c r="D241" s="1" t="str">
        <f>IF(C241="","",VLOOKUP(C241,Bilgiler!D:E,2,0))</f>
        <v/>
      </c>
      <c r="F241" s="6"/>
      <c r="K241" s="1" t="str">
        <f t="shared" si="15"/>
        <v/>
      </c>
      <c r="L241" s="1" t="str">
        <f>IF(K241="","",IFERROR(VLOOKUP(K241,$K$2:L240,2,0),MAX($L$2:L240)+1))</f>
        <v/>
      </c>
      <c r="M241" s="1" t="str">
        <f t="shared" si="16"/>
        <v/>
      </c>
      <c r="N241" s="1" t="str">
        <f t="shared" si="17"/>
        <v/>
      </c>
      <c r="O241" s="6" t="str">
        <f t="shared" si="18"/>
        <v/>
      </c>
    </row>
    <row r="242" spans="2:15" x14ac:dyDescent="0.2">
      <c r="B242" s="8"/>
      <c r="C242" s="7"/>
      <c r="D242" s="11" t="str">
        <f>IF(C242="","",VLOOKUP(C242,Bilgiler!D:E,2,0))</f>
        <v/>
      </c>
      <c r="E242" s="7"/>
      <c r="F242" s="7"/>
      <c r="G242" s="7"/>
      <c r="H242" s="7"/>
      <c r="I242" s="7"/>
      <c r="J242" s="17"/>
      <c r="K242" s="11" t="str">
        <f t="shared" si="15"/>
        <v/>
      </c>
      <c r="L242" s="11" t="str">
        <f>IF(K242="","",IFERROR(VLOOKUP(K242,$K$2:L241,2,0),MAX($L$2:L241)+1))</f>
        <v/>
      </c>
      <c r="M242" s="11" t="str">
        <f t="shared" si="16"/>
        <v/>
      </c>
      <c r="N242" s="11" t="str">
        <f t="shared" si="17"/>
        <v/>
      </c>
      <c r="O242" s="35" t="str">
        <f t="shared" si="18"/>
        <v/>
      </c>
    </row>
    <row r="243" spans="2:15" x14ac:dyDescent="0.2">
      <c r="B243" s="6"/>
      <c r="D243" s="1" t="str">
        <f>IF(C243="","",VLOOKUP(C243,Bilgiler!D:E,2,0))</f>
        <v/>
      </c>
      <c r="F243" s="6"/>
      <c r="K243" s="1" t="str">
        <f t="shared" si="15"/>
        <v/>
      </c>
      <c r="L243" s="1" t="str">
        <f>IF(K243="","",IFERROR(VLOOKUP(K243,$K$2:L242,2,0),MAX($L$2:L242)+1))</f>
        <v/>
      </c>
      <c r="M243" s="1" t="str">
        <f t="shared" si="16"/>
        <v/>
      </c>
      <c r="N243" s="1" t="str">
        <f t="shared" si="17"/>
        <v/>
      </c>
      <c r="O243" s="6" t="str">
        <f t="shared" si="18"/>
        <v/>
      </c>
    </row>
    <row r="244" spans="2:15" x14ac:dyDescent="0.2">
      <c r="B244" s="8"/>
      <c r="C244" s="7"/>
      <c r="D244" s="11" t="str">
        <f>IF(C244="","",VLOOKUP(C244,Bilgiler!D:E,2,0))</f>
        <v/>
      </c>
      <c r="E244" s="7"/>
      <c r="F244" s="7"/>
      <c r="G244" s="7"/>
      <c r="H244" s="7"/>
      <c r="I244" s="7"/>
      <c r="J244" s="17"/>
      <c r="K244" s="11" t="str">
        <f t="shared" si="15"/>
        <v/>
      </c>
      <c r="L244" s="11" t="str">
        <f>IF(K244="","",IFERROR(VLOOKUP(K244,$K$2:L243,2,0),MAX($L$2:L243)+1))</f>
        <v/>
      </c>
      <c r="M244" s="11" t="str">
        <f t="shared" si="16"/>
        <v/>
      </c>
      <c r="N244" s="11" t="str">
        <f t="shared" si="17"/>
        <v/>
      </c>
      <c r="O244" s="35" t="str">
        <f t="shared" si="18"/>
        <v/>
      </c>
    </row>
    <row r="245" spans="2:15" x14ac:dyDescent="0.2">
      <c r="B245" s="6"/>
      <c r="D245" s="1" t="str">
        <f>IF(C245="","",VLOOKUP(C245,Bilgiler!D:E,2,0))</f>
        <v/>
      </c>
      <c r="F245" s="6"/>
      <c r="K245" s="1" t="str">
        <f t="shared" si="15"/>
        <v/>
      </c>
      <c r="L245" s="1" t="str">
        <f>IF(K245="","",IFERROR(VLOOKUP(K245,$K$2:L244,2,0),MAX($L$2:L244)+1))</f>
        <v/>
      </c>
      <c r="M245" s="1" t="str">
        <f t="shared" si="16"/>
        <v/>
      </c>
      <c r="N245" s="1" t="str">
        <f t="shared" si="17"/>
        <v/>
      </c>
      <c r="O245" s="6" t="str">
        <f t="shared" si="18"/>
        <v/>
      </c>
    </row>
    <row r="246" spans="2:15" x14ac:dyDescent="0.2">
      <c r="B246" s="8"/>
      <c r="C246" s="7"/>
      <c r="D246" s="11" t="str">
        <f>IF(C246="","",VLOOKUP(C246,Bilgiler!D:E,2,0))</f>
        <v/>
      </c>
      <c r="E246" s="7"/>
      <c r="F246" s="7"/>
      <c r="G246" s="7"/>
      <c r="H246" s="7"/>
      <c r="I246" s="7"/>
      <c r="J246" s="17"/>
      <c r="K246" s="11" t="str">
        <f t="shared" si="15"/>
        <v/>
      </c>
      <c r="L246" s="11" t="str">
        <f>IF(K246="","",IFERROR(VLOOKUP(K246,$K$2:L245,2,0),MAX($L$2:L245)+1))</f>
        <v/>
      </c>
      <c r="M246" s="11" t="str">
        <f t="shared" si="16"/>
        <v/>
      </c>
      <c r="N246" s="11" t="str">
        <f t="shared" si="17"/>
        <v/>
      </c>
      <c r="O246" s="35" t="str">
        <f t="shared" si="18"/>
        <v/>
      </c>
    </row>
    <row r="247" spans="2:15" x14ac:dyDescent="0.2">
      <c r="B247" s="6"/>
      <c r="D247" s="1" t="str">
        <f>IF(C247="","",VLOOKUP(C247,Bilgiler!D:E,2,0))</f>
        <v/>
      </c>
      <c r="F247" s="6"/>
      <c r="K247" s="1" t="str">
        <f t="shared" si="15"/>
        <v/>
      </c>
      <c r="L247" s="1" t="str">
        <f>IF(K247="","",IFERROR(VLOOKUP(K247,$K$2:L246,2,0),MAX($L$2:L246)+1))</f>
        <v/>
      </c>
      <c r="M247" s="1" t="str">
        <f t="shared" si="16"/>
        <v/>
      </c>
      <c r="N247" s="1" t="str">
        <f t="shared" si="17"/>
        <v/>
      </c>
      <c r="O247" s="6" t="str">
        <f t="shared" si="18"/>
        <v/>
      </c>
    </row>
    <row r="248" spans="2:15" x14ac:dyDescent="0.2">
      <c r="B248" s="8"/>
      <c r="C248" s="7"/>
      <c r="D248" s="11" t="str">
        <f>IF(C248="","",VLOOKUP(C248,Bilgiler!D:E,2,0))</f>
        <v/>
      </c>
      <c r="E248" s="7"/>
      <c r="F248" s="7"/>
      <c r="G248" s="7"/>
      <c r="H248" s="7"/>
      <c r="I248" s="7"/>
      <c r="J248" s="17"/>
      <c r="K248" s="11" t="str">
        <f t="shared" si="15"/>
        <v/>
      </c>
      <c r="L248" s="11" t="str">
        <f>IF(K248="","",IFERROR(VLOOKUP(K248,$K$2:L247,2,0),MAX($L$2:L247)+1))</f>
        <v/>
      </c>
      <c r="M248" s="11" t="str">
        <f t="shared" si="16"/>
        <v/>
      </c>
      <c r="N248" s="11" t="str">
        <f t="shared" si="17"/>
        <v/>
      </c>
      <c r="O248" s="35" t="str">
        <f t="shared" si="18"/>
        <v/>
      </c>
    </row>
    <row r="249" spans="2:15" x14ac:dyDescent="0.2">
      <c r="B249" s="6"/>
      <c r="D249" s="1" t="str">
        <f>IF(C249="","",VLOOKUP(C249,Bilgiler!D:E,2,0))</f>
        <v/>
      </c>
      <c r="F249" s="6"/>
      <c r="K249" s="1" t="str">
        <f t="shared" si="15"/>
        <v/>
      </c>
      <c r="L249" s="1" t="str">
        <f>IF(K249="","",IFERROR(VLOOKUP(K249,$K$2:L248,2,0),MAX($L$2:L248)+1))</f>
        <v/>
      </c>
      <c r="M249" s="1" t="str">
        <f t="shared" si="16"/>
        <v/>
      </c>
      <c r="N249" s="1" t="str">
        <f t="shared" si="17"/>
        <v/>
      </c>
      <c r="O249" s="6" t="str">
        <f t="shared" si="18"/>
        <v/>
      </c>
    </row>
    <row r="250" spans="2:15" x14ac:dyDescent="0.2">
      <c r="B250" s="8"/>
      <c r="C250" s="7"/>
      <c r="D250" s="11" t="str">
        <f>IF(C250="","",VLOOKUP(C250,Bilgiler!D:E,2,0))</f>
        <v/>
      </c>
      <c r="E250" s="7"/>
      <c r="F250" s="7"/>
      <c r="G250" s="7"/>
      <c r="H250" s="7"/>
      <c r="I250" s="7"/>
      <c r="J250" s="17"/>
      <c r="K250" s="11" t="str">
        <f t="shared" si="15"/>
        <v/>
      </c>
      <c r="L250" s="11" t="str">
        <f>IF(K250="","",IFERROR(VLOOKUP(K250,$K$2:L249,2,0),MAX($L$2:L249)+1))</f>
        <v/>
      </c>
      <c r="M250" s="11" t="str">
        <f t="shared" si="16"/>
        <v/>
      </c>
      <c r="N250" s="11" t="str">
        <f t="shared" si="17"/>
        <v/>
      </c>
      <c r="O250" s="35" t="str">
        <f t="shared" si="18"/>
        <v/>
      </c>
    </row>
  </sheetData>
  <autoFilter ref="B2:O250"/>
  <conditionalFormatting sqref="I1:I1048576">
    <cfRule type="containsText" dxfId="0" priority="1" operator="containsText" text="Mutlukal">
      <formula>NOT(ISERROR(SEARCH("Mutlukal",I1)))</formula>
    </cfRule>
  </conditionalFormatting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Bilgiler!$B$4:$B$7</xm:f>
          </x14:formula1>
          <xm:sqref>H3:H1048576</xm:sqref>
        </x14:dataValidation>
        <x14:dataValidation type="list" allowBlank="1" showInputMessage="1" showErrorMessage="1">
          <x14:formula1>
            <xm:f>Bilgiler!$AA$4:$AA$46</xm:f>
          </x14:formula1>
          <xm:sqref>I3:I1048576</xm:sqref>
        </x14:dataValidation>
        <x14:dataValidation type="list" allowBlank="1" showInputMessage="1" showErrorMessage="1">
          <x14:formula1>
            <xm:f>Bilgiler!$AC$4:$AC$5</xm:f>
          </x14:formula1>
          <xm:sqref>G1:G1048576</xm:sqref>
        </x14:dataValidation>
        <x14:dataValidation type="list" allowBlank="1" showInputMessage="1" showErrorMessage="1">
          <x14:formula1>
            <xm:f>Bilgiler!$D$4:$D$144</xm:f>
          </x14:formula1>
          <xm:sqref>C3:C1048576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Bilgiler</vt:lpstr>
      <vt:lpstr>Giriş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2024-10-17T12:45:31Z</dcterms:modified>
</cp:coreProperties>
</file>