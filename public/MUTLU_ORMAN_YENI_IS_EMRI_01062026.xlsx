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never" defaultThemeVersion="164011"/>
  <mc:AlternateContent xmlns:mc="http://schemas.openxmlformats.org/markup-compatibility/2006">
    <mc:Choice Requires="x15">
      <x15ac:absPath xmlns:x15ac="http://schemas.microsoft.com/office/spreadsheetml/2010/11/ac" url="Z:\İş Emirleri\"/>
    </mc:Choice>
  </mc:AlternateContent>
  <bookViews>
    <workbookView xWindow="0" yWindow="0" windowWidth="28800" windowHeight="12345" firstSheet="13" activeTab="26"/>
  </bookViews>
  <sheets>
    <sheet name="Varsayımlar" sheetId="2" r:id="rId1"/>
    <sheet name="Sayfa1" sheetId="4" r:id="rId2"/>
    <sheet name="Sayfa2" sheetId="5" r:id="rId3"/>
    <sheet name="Sayfa3" sheetId="6" r:id="rId4"/>
    <sheet name="Sayfa4" sheetId="7" r:id="rId5"/>
    <sheet name="Sayfa5" sheetId="8" r:id="rId6"/>
    <sheet name="Sayfa6" sheetId="9" r:id="rId7"/>
    <sheet name="Sayfa7" sheetId="10" r:id="rId8"/>
    <sheet name="Sayfa8" sheetId="11" r:id="rId9"/>
    <sheet name="Sayfa9" sheetId="12" r:id="rId10"/>
    <sheet name="Sayfa10" sheetId="13" r:id="rId11"/>
    <sheet name="Sayfa11" sheetId="14" r:id="rId12"/>
    <sheet name="Sayfa12" sheetId="15" r:id="rId13"/>
    <sheet name="Sayfa13" sheetId="16" r:id="rId14"/>
    <sheet name="Sayfa14" sheetId="17" r:id="rId15"/>
    <sheet name="Sayfa15" sheetId="18" r:id="rId16"/>
    <sheet name="Sayfa16" sheetId="19" r:id="rId17"/>
    <sheet name="Sayfa17" sheetId="20" r:id="rId18"/>
    <sheet name="Sayfa18" sheetId="21" r:id="rId19"/>
    <sheet name="Sayfa19" sheetId="22" r:id="rId20"/>
    <sheet name="Sayfa20" sheetId="23" r:id="rId21"/>
    <sheet name="Sayfa21" sheetId="24" r:id="rId22"/>
    <sheet name="Sayfa22" sheetId="25" r:id="rId23"/>
    <sheet name="Sayfa23" sheetId="26" r:id="rId24"/>
    <sheet name="Sayfa24" sheetId="27" r:id="rId25"/>
    <sheet name="Sayfa25" sheetId="28" r:id="rId26"/>
    <sheet name="Sayfa26" sheetId="29" r:id="rId27"/>
  </sheets>
  <definedNames>
    <definedName name="_xlnm._FilterDatabase" localSheetId="6" hidden="1">Sayfa6!$A$3:$AE$96</definedName>
    <definedName name="_xlnm._FilterDatabase" localSheetId="0" hidden="1">Varsayımlar!$A$3:$V$547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77" i="29" l="1"/>
  <c r="AA77" i="29"/>
  <c r="W77" i="29"/>
  <c r="V77" i="29"/>
  <c r="U77" i="29"/>
  <c r="T77" i="29"/>
  <c r="S77" i="29"/>
  <c r="R77" i="29"/>
  <c r="Q77" i="29"/>
  <c r="P77" i="29"/>
  <c r="M77" i="29"/>
  <c r="J77" i="29"/>
  <c r="I77" i="29"/>
  <c r="H77" i="29"/>
  <c r="C77" i="29"/>
  <c r="AB76" i="29"/>
  <c r="AA76" i="29"/>
  <c r="W76" i="29"/>
  <c r="V76" i="29"/>
  <c r="U76" i="29"/>
  <c r="T76" i="29"/>
  <c r="S76" i="29"/>
  <c r="R76" i="29"/>
  <c r="Q76" i="29"/>
  <c r="P76" i="29"/>
  <c r="M76" i="29"/>
  <c r="J76" i="29"/>
  <c r="I76" i="29"/>
  <c r="H76" i="29"/>
  <c r="C76" i="29"/>
  <c r="AB75" i="29"/>
  <c r="AA75" i="29"/>
  <c r="W75" i="29"/>
  <c r="V75" i="29"/>
  <c r="U75" i="29"/>
  <c r="T75" i="29"/>
  <c r="S75" i="29"/>
  <c r="R75" i="29"/>
  <c r="Q75" i="29"/>
  <c r="P75" i="29"/>
  <c r="M75" i="29"/>
  <c r="J75" i="29"/>
  <c r="I75" i="29"/>
  <c r="H75" i="29"/>
  <c r="C75" i="29"/>
  <c r="AB74" i="29"/>
  <c r="AA74" i="29"/>
  <c r="W74" i="29"/>
  <c r="V74" i="29"/>
  <c r="U74" i="29"/>
  <c r="T74" i="29"/>
  <c r="S74" i="29"/>
  <c r="R74" i="29"/>
  <c r="Q74" i="29"/>
  <c r="P74" i="29"/>
  <c r="M74" i="29"/>
  <c r="J74" i="29"/>
  <c r="I74" i="29"/>
  <c r="H74" i="29"/>
  <c r="C74" i="29"/>
  <c r="AB73" i="29"/>
  <c r="AA73" i="29"/>
  <c r="W73" i="29"/>
  <c r="V73" i="29"/>
  <c r="U73" i="29"/>
  <c r="T73" i="29"/>
  <c r="S73" i="29"/>
  <c r="R73" i="29"/>
  <c r="Q73" i="29"/>
  <c r="P73" i="29"/>
  <c r="M73" i="29"/>
  <c r="J73" i="29"/>
  <c r="I73" i="29"/>
  <c r="H73" i="29"/>
  <c r="C73" i="29"/>
  <c r="AB72" i="29"/>
  <c r="AA72" i="29"/>
  <c r="W72" i="29"/>
  <c r="V72" i="29"/>
  <c r="U72" i="29"/>
  <c r="T72" i="29"/>
  <c r="S72" i="29"/>
  <c r="R72" i="29"/>
  <c r="Q72" i="29"/>
  <c r="P72" i="29"/>
  <c r="M72" i="29"/>
  <c r="J72" i="29"/>
  <c r="I72" i="29"/>
  <c r="H72" i="29"/>
  <c r="C72" i="29"/>
  <c r="AB71" i="29"/>
  <c r="AA71" i="29"/>
  <c r="W71" i="29"/>
  <c r="V71" i="29"/>
  <c r="U71" i="29"/>
  <c r="T71" i="29"/>
  <c r="S71" i="29"/>
  <c r="R71" i="29"/>
  <c r="Q71" i="29"/>
  <c r="P71" i="29"/>
  <c r="M71" i="29"/>
  <c r="J71" i="29"/>
  <c r="I71" i="29"/>
  <c r="H71" i="29"/>
  <c r="C71" i="29"/>
  <c r="AD70" i="29"/>
  <c r="AA70" i="29" s="1"/>
  <c r="AC70" i="29"/>
  <c r="AD69" i="29"/>
  <c r="I69" i="29" s="1"/>
  <c r="AC69" i="29"/>
  <c r="AB69" i="29"/>
  <c r="T69" i="29"/>
  <c r="S69" i="29"/>
  <c r="R69" i="29"/>
  <c r="Q69" i="29"/>
  <c r="P69" i="29"/>
  <c r="H69" i="29"/>
  <c r="AD68" i="29"/>
  <c r="Q68" i="29" s="1"/>
  <c r="AC68" i="29"/>
  <c r="AD67" i="29"/>
  <c r="J67" i="29" s="1"/>
  <c r="AC67" i="29"/>
  <c r="P67" i="29"/>
  <c r="AD66" i="29"/>
  <c r="W66" i="29" s="1"/>
  <c r="AC66" i="29"/>
  <c r="AD65" i="29"/>
  <c r="AB65" i="29" s="1"/>
  <c r="AC65" i="29"/>
  <c r="AD64" i="29"/>
  <c r="AC64" i="29"/>
  <c r="AD63" i="29"/>
  <c r="V63" i="29" s="1"/>
  <c r="AC63" i="29"/>
  <c r="AD62" i="29"/>
  <c r="AB62" i="29" s="1"/>
  <c r="AC62" i="29"/>
  <c r="R62" i="29"/>
  <c r="Q62" i="29"/>
  <c r="J62" i="29"/>
  <c r="AD61" i="29"/>
  <c r="Q61" i="29" s="1"/>
  <c r="H61" i="29"/>
  <c r="C61" i="29"/>
  <c r="AD60" i="29"/>
  <c r="AB60" i="29" s="1"/>
  <c r="AC60" i="29"/>
  <c r="AD59" i="29"/>
  <c r="AB59" i="29" s="1"/>
  <c r="AC59" i="29"/>
  <c r="AA59" i="29"/>
  <c r="W59" i="29"/>
  <c r="V59" i="29"/>
  <c r="U59" i="29"/>
  <c r="S59" i="29"/>
  <c r="R59" i="29"/>
  <c r="J59" i="29"/>
  <c r="H59" i="29"/>
  <c r="AD58" i="29"/>
  <c r="AB58" i="29" s="1"/>
  <c r="AD55" i="29"/>
  <c r="AB55" i="29"/>
  <c r="AA55" i="29"/>
  <c r="W55" i="29"/>
  <c r="V55" i="29"/>
  <c r="U55" i="29"/>
  <c r="T55" i="29"/>
  <c r="S55" i="29"/>
  <c r="R55" i="29"/>
  <c r="Q55" i="29"/>
  <c r="P55" i="29"/>
  <c r="J55" i="29"/>
  <c r="H55" i="29"/>
  <c r="C55" i="29"/>
  <c r="AB54" i="29"/>
  <c r="AA54" i="29"/>
  <c r="W54" i="29"/>
  <c r="V54" i="29"/>
  <c r="U54" i="29"/>
  <c r="T54" i="29"/>
  <c r="S54" i="29"/>
  <c r="R54" i="29"/>
  <c r="Q54" i="29"/>
  <c r="P54" i="29"/>
  <c r="M54" i="29"/>
  <c r="J54" i="29"/>
  <c r="I54" i="29"/>
  <c r="H54" i="29"/>
  <c r="C54" i="29"/>
  <c r="AB53" i="29"/>
  <c r="AA53" i="29"/>
  <c r="W53" i="29"/>
  <c r="V53" i="29"/>
  <c r="U53" i="29"/>
  <c r="T53" i="29"/>
  <c r="S53" i="29"/>
  <c r="R53" i="29"/>
  <c r="Q53" i="29"/>
  <c r="P53" i="29"/>
  <c r="M53" i="29"/>
  <c r="J53" i="29"/>
  <c r="I53" i="29"/>
  <c r="H53" i="29"/>
  <c r="C53" i="29"/>
  <c r="AB52" i="29"/>
  <c r="AA52" i="29"/>
  <c r="W52" i="29"/>
  <c r="V52" i="29"/>
  <c r="U52" i="29"/>
  <c r="T52" i="29"/>
  <c r="S52" i="29"/>
  <c r="R52" i="29"/>
  <c r="Q52" i="29"/>
  <c r="P52" i="29"/>
  <c r="M52" i="29"/>
  <c r="J52" i="29"/>
  <c r="I52" i="29"/>
  <c r="H52" i="29"/>
  <c r="C52" i="29"/>
  <c r="AD51" i="29"/>
  <c r="U51" i="29" s="1"/>
  <c r="AC51" i="29"/>
  <c r="AA51" i="29"/>
  <c r="T51" i="29"/>
  <c r="S51" i="29"/>
  <c r="R51" i="29"/>
  <c r="AD50" i="29"/>
  <c r="R50" i="29" s="1"/>
  <c r="AC50" i="29"/>
  <c r="AD49" i="29"/>
  <c r="I49" i="29" s="1"/>
  <c r="AC49" i="29"/>
  <c r="AD48" i="29"/>
  <c r="T48" i="29" s="1"/>
  <c r="AC48" i="29"/>
  <c r="AA48" i="29"/>
  <c r="AD47" i="29"/>
  <c r="AA47" i="29" s="1"/>
  <c r="AB47" i="29"/>
  <c r="AD46" i="29"/>
  <c r="C46" i="29" s="1"/>
  <c r="AC46" i="29"/>
  <c r="AD45" i="29"/>
  <c r="P45" i="29" s="1"/>
  <c r="AC45" i="29"/>
  <c r="AD44" i="29"/>
  <c r="AB44" i="29" s="1"/>
  <c r="AA44" i="29"/>
  <c r="V44" i="29"/>
  <c r="Q44" i="29"/>
  <c r="P44" i="29"/>
  <c r="J44" i="29"/>
  <c r="I44" i="29"/>
  <c r="AD43" i="29"/>
  <c r="R43" i="29" s="1"/>
  <c r="AC43" i="29"/>
  <c r="AD42" i="29"/>
  <c r="AB42" i="29" s="1"/>
  <c r="Q42" i="29"/>
  <c r="J42" i="29"/>
  <c r="H42" i="29"/>
  <c r="C42" i="29"/>
  <c r="AB38" i="29"/>
  <c r="AA38" i="29"/>
  <c r="W38" i="29"/>
  <c r="V38" i="29"/>
  <c r="U38" i="29"/>
  <c r="T38" i="29"/>
  <c r="S38" i="29"/>
  <c r="R38" i="29"/>
  <c r="Q38" i="29"/>
  <c r="P38" i="29"/>
  <c r="M38" i="29"/>
  <c r="J38" i="29"/>
  <c r="I38" i="29"/>
  <c r="H38" i="29"/>
  <c r="C38" i="29"/>
  <c r="AB37" i="29"/>
  <c r="AA37" i="29"/>
  <c r="W37" i="29"/>
  <c r="V37" i="29"/>
  <c r="U37" i="29"/>
  <c r="T37" i="29"/>
  <c r="S37" i="29"/>
  <c r="R37" i="29"/>
  <c r="Q37" i="29"/>
  <c r="P37" i="29"/>
  <c r="M37" i="29"/>
  <c r="J37" i="29"/>
  <c r="I37" i="29"/>
  <c r="H37" i="29"/>
  <c r="C37" i="29"/>
  <c r="AB36" i="29"/>
  <c r="AA36" i="29"/>
  <c r="W36" i="29"/>
  <c r="V36" i="29"/>
  <c r="U36" i="29"/>
  <c r="T36" i="29"/>
  <c r="S36" i="29"/>
  <c r="R36" i="29"/>
  <c r="Q36" i="29"/>
  <c r="P36" i="29"/>
  <c r="M36" i="29"/>
  <c r="J36" i="29"/>
  <c r="I36" i="29"/>
  <c r="H36" i="29"/>
  <c r="C36" i="29"/>
  <c r="AB35" i="29"/>
  <c r="AA35" i="29"/>
  <c r="W35" i="29"/>
  <c r="V35" i="29"/>
  <c r="U35" i="29"/>
  <c r="T35" i="29"/>
  <c r="S35" i="29"/>
  <c r="R35" i="29"/>
  <c r="Q35" i="29"/>
  <c r="P35" i="29"/>
  <c r="M35" i="29"/>
  <c r="J35" i="29"/>
  <c r="I35" i="29"/>
  <c r="H35" i="29"/>
  <c r="C35" i="29"/>
  <c r="AD34" i="29"/>
  <c r="Q34" i="29" s="1"/>
  <c r="AC34" i="29"/>
  <c r="AD33" i="29"/>
  <c r="R33" i="29" s="1"/>
  <c r="AC33" i="29"/>
  <c r="S33" i="29"/>
  <c r="Q33" i="29"/>
  <c r="J33" i="29"/>
  <c r="I33" i="29"/>
  <c r="H33" i="29"/>
  <c r="AD32" i="29"/>
  <c r="AB32" i="29" s="1"/>
  <c r="AC32" i="29"/>
  <c r="AD31" i="29"/>
  <c r="AA31" i="29" s="1"/>
  <c r="AC31" i="29"/>
  <c r="W31" i="29"/>
  <c r="V31" i="29"/>
  <c r="AD30" i="29"/>
  <c r="V30" i="29" s="1"/>
  <c r="AC30" i="29"/>
  <c r="AD29" i="29"/>
  <c r="Q29" i="29" s="1"/>
  <c r="AC29" i="29"/>
  <c r="AD28" i="29"/>
  <c r="AB28" i="29" s="1"/>
  <c r="M28" i="29"/>
  <c r="AD27" i="29"/>
  <c r="AB27" i="29" s="1"/>
  <c r="AC27" i="29"/>
  <c r="R27" i="29"/>
  <c r="AD26" i="29"/>
  <c r="AA26" i="29" s="1"/>
  <c r="AC26" i="29"/>
  <c r="AB26" i="29"/>
  <c r="W26" i="29"/>
  <c r="V26" i="29"/>
  <c r="I26" i="29"/>
  <c r="H26" i="29"/>
  <c r="C26" i="29"/>
  <c r="AD25" i="29"/>
  <c r="H25" i="29" s="1"/>
  <c r="AC25" i="29"/>
  <c r="AD24" i="29"/>
  <c r="T24" i="29" s="1"/>
  <c r="AA24" i="29"/>
  <c r="AD23" i="29"/>
  <c r="Q23" i="29" s="1"/>
  <c r="AC23" i="29"/>
  <c r="AD22" i="29"/>
  <c r="H22" i="29" s="1"/>
  <c r="AC22" i="29"/>
  <c r="AB22" i="29"/>
  <c r="T22" i="29"/>
  <c r="S22" i="29"/>
  <c r="AD21" i="29"/>
  <c r="M21" i="29" s="1"/>
  <c r="AC21" i="29"/>
  <c r="AD20" i="29"/>
  <c r="H20" i="29" s="1"/>
  <c r="AC20" i="29"/>
  <c r="AA20" i="29"/>
  <c r="V20" i="29"/>
  <c r="T20" i="29"/>
  <c r="AD19" i="29"/>
  <c r="P19" i="29" s="1"/>
  <c r="AC19" i="29"/>
  <c r="AD18" i="29"/>
  <c r="U18" i="29" s="1"/>
  <c r="AC18" i="29"/>
  <c r="AD17" i="29"/>
  <c r="AB17" i="29" s="1"/>
  <c r="AC17" i="29"/>
  <c r="I17" i="29"/>
  <c r="C17" i="29"/>
  <c r="AD16" i="29"/>
  <c r="V16" i="29" s="1"/>
  <c r="AC16" i="29"/>
  <c r="AD15" i="29"/>
  <c r="J15" i="29" s="1"/>
  <c r="AC15" i="29"/>
  <c r="AD14" i="29"/>
  <c r="AB14" i="29" s="1"/>
  <c r="AC14" i="29"/>
  <c r="AD13" i="29"/>
  <c r="J13" i="29" s="1"/>
  <c r="AC13" i="29"/>
  <c r="S13" i="29"/>
  <c r="Q13" i="29"/>
  <c r="P13" i="29"/>
  <c r="I13" i="29"/>
  <c r="AD12" i="29"/>
  <c r="AA12" i="29" s="1"/>
  <c r="AC12" i="29"/>
  <c r="AD11" i="29"/>
  <c r="H11" i="29" s="1"/>
  <c r="AC11" i="29"/>
  <c r="AB11" i="29"/>
  <c r="AD10" i="29"/>
  <c r="S10" i="29" s="1"/>
  <c r="AC10" i="29"/>
  <c r="AB10" i="29"/>
  <c r="I10" i="29"/>
  <c r="H10" i="29"/>
  <c r="AD9" i="29"/>
  <c r="H9" i="29" s="1"/>
  <c r="AC9" i="29"/>
  <c r="AD8" i="29"/>
  <c r="H8" i="29" s="1"/>
  <c r="AC8" i="29"/>
  <c r="AD7" i="29"/>
  <c r="C7" i="29" s="1"/>
  <c r="AC7" i="29"/>
  <c r="W7" i="29"/>
  <c r="V7" i="29"/>
  <c r="U7" i="29"/>
  <c r="Q7" i="29"/>
  <c r="AD6" i="29"/>
  <c r="J6" i="29" s="1"/>
  <c r="AC6" i="29"/>
  <c r="M6" i="29"/>
  <c r="AD4" i="29"/>
  <c r="C4" i="29" s="1"/>
  <c r="AD60" i="28"/>
  <c r="AB60" i="28" s="1"/>
  <c r="AD43" i="28"/>
  <c r="AB43" i="28" s="1"/>
  <c r="P14" i="29" l="1"/>
  <c r="AA16" i="29"/>
  <c r="W19" i="29"/>
  <c r="M22" i="29"/>
  <c r="W30" i="29"/>
  <c r="V32" i="29"/>
  <c r="J34" i="29"/>
  <c r="P43" i="29"/>
  <c r="AA49" i="29"/>
  <c r="W58" i="29"/>
  <c r="W60" i="29"/>
  <c r="M70" i="29"/>
  <c r="T12" i="29"/>
  <c r="Q14" i="29"/>
  <c r="AB16" i="29"/>
  <c r="AB19" i="29"/>
  <c r="P22" i="29"/>
  <c r="H28" i="29"/>
  <c r="AA30" i="29"/>
  <c r="AA32" i="29"/>
  <c r="M34" i="29"/>
  <c r="Q43" i="29"/>
  <c r="AB49" i="29"/>
  <c r="Q22" i="29"/>
  <c r="I28" i="29"/>
  <c r="AB30" i="29"/>
  <c r="P34" i="29"/>
  <c r="AB46" i="29"/>
  <c r="J28" i="29"/>
  <c r="AA66" i="29"/>
  <c r="C30" i="29"/>
  <c r="P30" i="29"/>
  <c r="H32" i="29"/>
  <c r="C16" i="29"/>
  <c r="I16" i="29"/>
  <c r="R30" i="29"/>
  <c r="M32" i="29"/>
  <c r="I43" i="29"/>
  <c r="H49" i="29"/>
  <c r="S67" i="29"/>
  <c r="H16" i="29"/>
  <c r="J16" i="29"/>
  <c r="H14" i="29"/>
  <c r="U16" i="29"/>
  <c r="C19" i="29"/>
  <c r="J14" i="29"/>
  <c r="W16" i="29"/>
  <c r="I19" i="29"/>
  <c r="I22" i="29"/>
  <c r="T30" i="29"/>
  <c r="S32" i="29"/>
  <c r="H34" i="29"/>
  <c r="M43" i="29"/>
  <c r="R45" i="29"/>
  <c r="V49" i="29"/>
  <c r="V58" i="29"/>
  <c r="AA63" i="29"/>
  <c r="W48" i="29"/>
  <c r="W63" i="29"/>
  <c r="AB63" i="29"/>
  <c r="R61" i="29"/>
  <c r="V67" i="29"/>
  <c r="C15" i="29"/>
  <c r="J25" i="29"/>
  <c r="U33" i="29"/>
  <c r="R34" i="29"/>
  <c r="T42" i="29"/>
  <c r="S43" i="29"/>
  <c r="W44" i="29"/>
  <c r="S61" i="29"/>
  <c r="C63" i="29"/>
  <c r="AB67" i="29"/>
  <c r="U61" i="29"/>
  <c r="H63" i="29"/>
  <c r="S34" i="29"/>
  <c r="U42" i="29"/>
  <c r="V42" i="29"/>
  <c r="P16" i="29"/>
  <c r="V33" i="29"/>
  <c r="T43" i="29"/>
  <c r="V11" i="29"/>
  <c r="S15" i="29"/>
  <c r="R16" i="29"/>
  <c r="AA25" i="29"/>
  <c r="I30" i="29"/>
  <c r="H31" i="29"/>
  <c r="AA33" i="29"/>
  <c r="U34" i="29"/>
  <c r="W42" i="29"/>
  <c r="V43" i="29"/>
  <c r="J45" i="29"/>
  <c r="Q48" i="29"/>
  <c r="W61" i="29"/>
  <c r="J63" i="29"/>
  <c r="R66" i="29"/>
  <c r="M68" i="29"/>
  <c r="I25" i="29"/>
  <c r="M16" i="29"/>
  <c r="Q25" i="29"/>
  <c r="J11" i="29"/>
  <c r="I15" i="29"/>
  <c r="Q16" i="29"/>
  <c r="H30" i="29"/>
  <c r="C31" i="29"/>
  <c r="W33" i="29"/>
  <c r="T34" i="29"/>
  <c r="U43" i="29"/>
  <c r="V61" i="29"/>
  <c r="I63" i="29"/>
  <c r="W11" i="29"/>
  <c r="AA15" i="29"/>
  <c r="S16" i="29"/>
  <c r="H23" i="29"/>
  <c r="AB25" i="29"/>
  <c r="J30" i="29"/>
  <c r="R31" i="29"/>
  <c r="AB33" i="29"/>
  <c r="AA34" i="29"/>
  <c r="AA42" i="29"/>
  <c r="AB43" i="29"/>
  <c r="M45" i="29"/>
  <c r="S48" i="29"/>
  <c r="C50" i="29"/>
  <c r="M60" i="29"/>
  <c r="AA61" i="29"/>
  <c r="M63" i="29"/>
  <c r="U66" i="29"/>
  <c r="R68" i="29"/>
  <c r="C25" i="29"/>
  <c r="T33" i="29"/>
  <c r="S42" i="29"/>
  <c r="I11" i="29"/>
  <c r="H15" i="29"/>
  <c r="W25" i="29"/>
  <c r="H6" i="29"/>
  <c r="M9" i="29"/>
  <c r="AA11" i="29"/>
  <c r="AB15" i="29"/>
  <c r="T16" i="29"/>
  <c r="I23" i="29"/>
  <c r="M30" i="29"/>
  <c r="U31" i="29"/>
  <c r="C33" i="29"/>
  <c r="Q45" i="29"/>
  <c r="U48" i="29"/>
  <c r="C59" i="29"/>
  <c r="U60" i="29"/>
  <c r="AB61" i="29"/>
  <c r="T63" i="29"/>
  <c r="V66" i="29"/>
  <c r="S68" i="29"/>
  <c r="H70" i="29"/>
  <c r="P6" i="29"/>
  <c r="H50" i="29"/>
  <c r="S50" i="29"/>
  <c r="P63" i="29"/>
  <c r="C68" i="29"/>
  <c r="W68" i="29"/>
  <c r="AA6" i="29"/>
  <c r="P8" i="29"/>
  <c r="H12" i="29"/>
  <c r="V14" i="29"/>
  <c r="R17" i="29"/>
  <c r="T21" i="29"/>
  <c r="V25" i="29"/>
  <c r="S26" i="29"/>
  <c r="M27" i="29"/>
  <c r="C45" i="29"/>
  <c r="W45" i="29"/>
  <c r="C48" i="29"/>
  <c r="T50" i="29"/>
  <c r="M59" i="29"/>
  <c r="C60" i="29"/>
  <c r="I61" i="29"/>
  <c r="H62" i="29"/>
  <c r="Q63" i="29"/>
  <c r="H68" i="29"/>
  <c r="AA68" i="29"/>
  <c r="V6" i="29"/>
  <c r="T14" i="29"/>
  <c r="P17" i="29"/>
  <c r="W6" i="29"/>
  <c r="I8" i="29"/>
  <c r="Q17" i="29"/>
  <c r="P12" i="29"/>
  <c r="T17" i="29"/>
  <c r="U21" i="29"/>
  <c r="T26" i="29"/>
  <c r="P27" i="29"/>
  <c r="C29" i="29"/>
  <c r="C44" i="29"/>
  <c r="H45" i="29"/>
  <c r="AA45" i="29"/>
  <c r="H48" i="29"/>
  <c r="U50" i="29"/>
  <c r="P59" i="29"/>
  <c r="H60" i="29"/>
  <c r="J61" i="29"/>
  <c r="R63" i="29"/>
  <c r="I65" i="29"/>
  <c r="I67" i="29"/>
  <c r="I68" i="29"/>
  <c r="AB68" i="29"/>
  <c r="T6" i="29"/>
  <c r="R14" i="29"/>
  <c r="J17" i="29"/>
  <c r="S45" i="29"/>
  <c r="I50" i="29"/>
  <c r="T68" i="29"/>
  <c r="U6" i="29"/>
  <c r="S14" i="29"/>
  <c r="M17" i="29"/>
  <c r="I21" i="29"/>
  <c r="M26" i="29"/>
  <c r="H27" i="29"/>
  <c r="T45" i="29"/>
  <c r="J50" i="29"/>
  <c r="U68" i="29"/>
  <c r="R21" i="29"/>
  <c r="Q26" i="29"/>
  <c r="I27" i="29"/>
  <c r="U45" i="29"/>
  <c r="Q50" i="29"/>
  <c r="V68" i="29"/>
  <c r="U14" i="29"/>
  <c r="S21" i="29"/>
  <c r="R26" i="29"/>
  <c r="J27" i="29"/>
  <c r="V45" i="29"/>
  <c r="AB6" i="29"/>
  <c r="Q8" i="29"/>
  <c r="W14" i="29"/>
  <c r="C6" i="29"/>
  <c r="R8" i="29"/>
  <c r="C11" i="29"/>
  <c r="S12" i="29"/>
  <c r="C14" i="29"/>
  <c r="AA14" i="29"/>
  <c r="U17" i="29"/>
  <c r="P20" i="29"/>
  <c r="U26" i="29"/>
  <c r="Q27" i="29"/>
  <c r="H44" i="29"/>
  <c r="I45" i="29"/>
  <c r="AB45" i="29"/>
  <c r="M48" i="29"/>
  <c r="V50" i="29"/>
  <c r="Q59" i="29"/>
  <c r="J60" i="29"/>
  <c r="P61" i="29"/>
  <c r="S63" i="29"/>
  <c r="J65" i="29"/>
  <c r="M67" i="29"/>
  <c r="J68" i="29"/>
  <c r="C70" i="29"/>
  <c r="W50" i="29"/>
  <c r="P65" i="29"/>
  <c r="I6" i="29"/>
  <c r="U12" i="29"/>
  <c r="T27" i="29"/>
  <c r="AA50" i="29"/>
  <c r="P60" i="29"/>
  <c r="U63" i="29"/>
  <c r="S65" i="29"/>
  <c r="Q67" i="29"/>
  <c r="P68" i="29"/>
  <c r="I70" i="29"/>
  <c r="T7" i="29"/>
  <c r="I9" i="29"/>
  <c r="S11" i="29"/>
  <c r="V12" i="29"/>
  <c r="M14" i="29"/>
  <c r="I18" i="29"/>
  <c r="W20" i="29"/>
  <c r="J22" i="29"/>
  <c r="V27" i="29"/>
  <c r="R32" i="29"/>
  <c r="M44" i="29"/>
  <c r="AB50" i="29"/>
  <c r="U58" i="29"/>
  <c r="T59" i="29"/>
  <c r="R60" i="29"/>
  <c r="T61" i="29"/>
  <c r="R67" i="29"/>
  <c r="J69" i="29"/>
  <c r="J70" i="29"/>
  <c r="W4" i="29"/>
  <c r="U4" i="29"/>
  <c r="P64" i="29"/>
  <c r="J64" i="29"/>
  <c r="AB64" i="29"/>
  <c r="I64" i="29"/>
  <c r="W64" i="29"/>
  <c r="C64" i="29"/>
  <c r="V64" i="29"/>
  <c r="Q64" i="29"/>
  <c r="T8" i="29"/>
  <c r="R9" i="29"/>
  <c r="J10" i="29"/>
  <c r="AA46" i="29"/>
  <c r="H46" i="29"/>
  <c r="V46" i="29"/>
  <c r="U46" i="29"/>
  <c r="T47" i="29"/>
  <c r="R47" i="29"/>
  <c r="Q47" i="29"/>
  <c r="M4" i="29"/>
  <c r="S6" i="29"/>
  <c r="Q6" i="29"/>
  <c r="AB7" i="29"/>
  <c r="V8" i="29"/>
  <c r="S9" i="29"/>
  <c r="M10" i="29"/>
  <c r="V13" i="29"/>
  <c r="S17" i="29"/>
  <c r="P18" i="29"/>
  <c r="M19" i="29"/>
  <c r="C20" i="29"/>
  <c r="AB20" i="29"/>
  <c r="V21" i="29"/>
  <c r="R22" i="29"/>
  <c r="M23" i="29"/>
  <c r="J24" i="29"/>
  <c r="S27" i="29"/>
  <c r="Q28" i="29"/>
  <c r="P29" i="29"/>
  <c r="U30" i="29"/>
  <c r="S30" i="29"/>
  <c r="T44" i="29"/>
  <c r="I46" i="29"/>
  <c r="C47" i="29"/>
  <c r="P48" i="29"/>
  <c r="J48" i="29"/>
  <c r="AB48" i="29"/>
  <c r="I48" i="29"/>
  <c r="AA58" i="29"/>
  <c r="Q60" i="29"/>
  <c r="P62" i="29"/>
  <c r="M65" i="29"/>
  <c r="J4" i="29"/>
  <c r="V15" i="29"/>
  <c r="T15" i="29"/>
  <c r="P4" i="29"/>
  <c r="W8" i="29"/>
  <c r="T9" i="29"/>
  <c r="P10" i="29"/>
  <c r="R11" i="29"/>
  <c r="P11" i="29"/>
  <c r="W13" i="29"/>
  <c r="M15" i="29"/>
  <c r="R18" i="29"/>
  <c r="W21" i="29"/>
  <c r="M24" i="29"/>
  <c r="U25" i="29"/>
  <c r="S25" i="29"/>
  <c r="S28" i="29"/>
  <c r="P31" i="29"/>
  <c r="J31" i="29"/>
  <c r="AB31" i="29"/>
  <c r="I31" i="29"/>
  <c r="J46" i="29"/>
  <c r="H47" i="29"/>
  <c r="W49" i="29"/>
  <c r="C49" i="29"/>
  <c r="U49" i="29"/>
  <c r="T49" i="29"/>
  <c r="H64" i="29"/>
  <c r="M46" i="29"/>
  <c r="J47" i="29"/>
  <c r="S58" i="29"/>
  <c r="Q58" i="29"/>
  <c r="P58" i="29"/>
  <c r="M64" i="29"/>
  <c r="J29" i="29"/>
  <c r="AA29" i="29"/>
  <c r="H29" i="29"/>
  <c r="W29" i="29"/>
  <c r="Q9" i="29"/>
  <c r="R23" i="29"/>
  <c r="P23" i="29"/>
  <c r="J19" i="29"/>
  <c r="AA19" i="29"/>
  <c r="H19" i="29"/>
  <c r="M29" i="29"/>
  <c r="Q4" i="29"/>
  <c r="J7" i="29"/>
  <c r="AA7" i="29"/>
  <c r="H7" i="29"/>
  <c r="AB12" i="29"/>
  <c r="I12" i="29"/>
  <c r="W12" i="29"/>
  <c r="C12" i="29"/>
  <c r="AA13" i="29"/>
  <c r="U20" i="29"/>
  <c r="S20" i="29"/>
  <c r="S23" i="29"/>
  <c r="P24" i="29"/>
  <c r="W32" i="29"/>
  <c r="C32" i="29"/>
  <c r="U32" i="29"/>
  <c r="T32" i="29"/>
  <c r="R4" i="29"/>
  <c r="Q15" i="29"/>
  <c r="J20" i="29"/>
  <c r="C21" i="29"/>
  <c r="AB21" i="29"/>
  <c r="V22" i="29"/>
  <c r="T23" i="29"/>
  <c r="Q24" i="29"/>
  <c r="M25" i="29"/>
  <c r="M31" i="29"/>
  <c r="I32" i="29"/>
  <c r="J49" i="29"/>
  <c r="AB51" i="29"/>
  <c r="I51" i="29"/>
  <c r="W51" i="29"/>
  <c r="C51" i="29"/>
  <c r="V51" i="29"/>
  <c r="C58" i="29"/>
  <c r="S62" i="29"/>
  <c r="R64" i="29"/>
  <c r="V65" i="29"/>
  <c r="S66" i="29"/>
  <c r="Q66" i="29"/>
  <c r="P66" i="29"/>
  <c r="I66" i="29"/>
  <c r="AB66" i="29"/>
  <c r="H66" i="29"/>
  <c r="T66" i="29"/>
  <c r="S18" i="29"/>
  <c r="Q18" i="29"/>
  <c r="J18" i="29"/>
  <c r="I29" i="29"/>
  <c r="U13" i="29"/>
  <c r="M18" i="29"/>
  <c r="J23" i="29"/>
  <c r="H24" i="29"/>
  <c r="I7" i="29"/>
  <c r="AA8" i="29"/>
  <c r="U9" i="29"/>
  <c r="Q10" i="29"/>
  <c r="P15" i="29"/>
  <c r="T18" i="29"/>
  <c r="Q19" i="29"/>
  <c r="I20" i="29"/>
  <c r="AA21" i="29"/>
  <c r="T28" i="29"/>
  <c r="R29" i="29"/>
  <c r="M7" i="29"/>
  <c r="C8" i="29"/>
  <c r="AB8" i="29"/>
  <c r="V9" i="29"/>
  <c r="R10" i="29"/>
  <c r="M11" i="29"/>
  <c r="J12" i="29"/>
  <c r="C13" i="29"/>
  <c r="AB13" i="29"/>
  <c r="W17" i="29"/>
  <c r="R19" i="29"/>
  <c r="AA27" i="29"/>
  <c r="U28" i="29"/>
  <c r="S29" i="29"/>
  <c r="P46" i="29"/>
  <c r="M47" i="29"/>
  <c r="S4" i="29"/>
  <c r="R6" i="29"/>
  <c r="P7" i="29"/>
  <c r="W9" i="29"/>
  <c r="Q11" i="29"/>
  <c r="M12" i="29"/>
  <c r="H13" i="29"/>
  <c r="R15" i="29"/>
  <c r="V18" i="29"/>
  <c r="S19" i="29"/>
  <c r="M20" i="29"/>
  <c r="H21" i="29"/>
  <c r="AA22" i="29"/>
  <c r="U23" i="29"/>
  <c r="R24" i="29"/>
  <c r="P25" i="29"/>
  <c r="P26" i="29"/>
  <c r="J26" i="29"/>
  <c r="V28" i="29"/>
  <c r="T29" i="29"/>
  <c r="Q30" i="29"/>
  <c r="Q31" i="29"/>
  <c r="J32" i="29"/>
  <c r="AB34" i="29"/>
  <c r="I34" i="29"/>
  <c r="W34" i="29"/>
  <c r="C34" i="29"/>
  <c r="V34" i="29"/>
  <c r="R42" i="29"/>
  <c r="P42" i="29"/>
  <c r="M42" i="29"/>
  <c r="J43" i="29"/>
  <c r="AA43" i="29"/>
  <c r="H43" i="29"/>
  <c r="W43" i="29"/>
  <c r="C43" i="29"/>
  <c r="Q46" i="29"/>
  <c r="P47" i="29"/>
  <c r="R48" i="29"/>
  <c r="M49" i="29"/>
  <c r="H51" i="29"/>
  <c r="H58" i="29"/>
  <c r="AA60" i="29"/>
  <c r="V62" i="29"/>
  <c r="S64" i="29"/>
  <c r="U44" i="29"/>
  <c r="S44" i="29"/>
  <c r="R44" i="29"/>
  <c r="R46" i="29"/>
  <c r="S47" i="29"/>
  <c r="P49" i="29"/>
  <c r="J51" i="29"/>
  <c r="J58" i="29"/>
  <c r="T64" i="29"/>
  <c r="W10" i="29"/>
  <c r="C10" i="29"/>
  <c r="U10" i="29"/>
  <c r="U8" i="29"/>
  <c r="S8" i="29"/>
  <c r="AA9" i="29"/>
  <c r="T10" i="29"/>
  <c r="V23" i="29"/>
  <c r="S24" i="29"/>
  <c r="W28" i="29"/>
  <c r="U29" i="29"/>
  <c r="V4" i="29"/>
  <c r="R7" i="29"/>
  <c r="J8" i="29"/>
  <c r="C9" i="29"/>
  <c r="AB9" i="29"/>
  <c r="V10" i="29"/>
  <c r="T11" i="29"/>
  <c r="Q12" i="29"/>
  <c r="U15" i="29"/>
  <c r="AA17" i="29"/>
  <c r="H17" i="29"/>
  <c r="V17" i="29"/>
  <c r="AA18" i="29"/>
  <c r="U19" i="29"/>
  <c r="Q20" i="29"/>
  <c r="W23" i="29"/>
  <c r="R25" i="29"/>
  <c r="W27" i="29"/>
  <c r="C27" i="29"/>
  <c r="U27" i="29"/>
  <c r="AA28" i="29"/>
  <c r="V29" i="29"/>
  <c r="S31" i="29"/>
  <c r="P32" i="29"/>
  <c r="S46" i="29"/>
  <c r="U47" i="29"/>
  <c r="Q49" i="29"/>
  <c r="M51" i="29"/>
  <c r="M58" i="29"/>
  <c r="U64" i="29"/>
  <c r="W65" i="29"/>
  <c r="C65" i="29"/>
  <c r="U65" i="29"/>
  <c r="T65" i="29"/>
  <c r="R65" i="29"/>
  <c r="Q65" i="29"/>
  <c r="AA65" i="29"/>
  <c r="H65" i="29"/>
  <c r="H4" i="29"/>
  <c r="AB24" i="29"/>
  <c r="I24" i="29"/>
  <c r="W24" i="29"/>
  <c r="C24" i="29"/>
  <c r="T4" i="29"/>
  <c r="T13" i="29"/>
  <c r="R13" i="29"/>
  <c r="W18" i="29"/>
  <c r="T19" i="29"/>
  <c r="P21" i="29"/>
  <c r="J21" i="29"/>
  <c r="AA4" i="29"/>
  <c r="S7" i="29"/>
  <c r="M8" i="29"/>
  <c r="AA10" i="29"/>
  <c r="U11" i="29"/>
  <c r="R12" i="29"/>
  <c r="M13" i="29"/>
  <c r="W15" i="29"/>
  <c r="C18" i="29"/>
  <c r="AB18" i="29"/>
  <c r="V19" i="29"/>
  <c r="R20" i="29"/>
  <c r="Q21" i="29"/>
  <c r="W22" i="29"/>
  <c r="C22" i="29"/>
  <c r="U22" i="29"/>
  <c r="AA23" i="29"/>
  <c r="U24" i="29"/>
  <c r="T25" i="29"/>
  <c r="C28" i="29"/>
  <c r="AB29" i="29"/>
  <c r="T31" i="29"/>
  <c r="Q32" i="29"/>
  <c r="T46" i="29"/>
  <c r="V47" i="29"/>
  <c r="R49" i="29"/>
  <c r="P51" i="29"/>
  <c r="R58" i="29"/>
  <c r="V60" i="29"/>
  <c r="T60" i="29"/>
  <c r="S60" i="29"/>
  <c r="I62" i="29"/>
  <c r="AA62" i="29"/>
  <c r="C62" i="29"/>
  <c r="W62" i="29"/>
  <c r="U62" i="29"/>
  <c r="T62" i="29"/>
  <c r="AA64" i="29"/>
  <c r="C66" i="29"/>
  <c r="AB4" i="29"/>
  <c r="P9" i="29"/>
  <c r="J9" i="29"/>
  <c r="H18" i="29"/>
  <c r="C23" i="29"/>
  <c r="AB23" i="29"/>
  <c r="V24" i="29"/>
  <c r="R28" i="29"/>
  <c r="P28" i="29"/>
  <c r="W46" i="29"/>
  <c r="W47" i="29"/>
  <c r="V48" i="29"/>
  <c r="S49" i="29"/>
  <c r="Q51" i="29"/>
  <c r="T58" i="29"/>
  <c r="I60" i="29"/>
  <c r="J66" i="29"/>
  <c r="AB70" i="29"/>
  <c r="U69" i="29"/>
  <c r="P70" i="29"/>
  <c r="V69" i="29"/>
  <c r="Q70" i="29"/>
  <c r="T67" i="29"/>
  <c r="W69" i="29"/>
  <c r="R70" i="29"/>
  <c r="U67" i="29"/>
  <c r="C69" i="29"/>
  <c r="AA69" i="29"/>
  <c r="S70" i="29"/>
  <c r="T70" i="29"/>
  <c r="C67" i="29"/>
  <c r="W67" i="29"/>
  <c r="U70" i="29"/>
  <c r="M33" i="29"/>
  <c r="M50" i="29"/>
  <c r="I14" i="29"/>
  <c r="P33" i="29"/>
  <c r="P50" i="29"/>
  <c r="I59" i="29"/>
  <c r="M61" i="29"/>
  <c r="H67" i="29"/>
  <c r="AA67" i="29"/>
  <c r="V70" i="29"/>
  <c r="W70" i="29"/>
  <c r="W60" i="28"/>
  <c r="AA60" i="28"/>
  <c r="J60" i="28"/>
  <c r="M60" i="28"/>
  <c r="P60" i="28"/>
  <c r="Q60" i="28"/>
  <c r="R60" i="28"/>
  <c r="S60" i="28"/>
  <c r="T60" i="28"/>
  <c r="U60" i="28"/>
  <c r="V60" i="28"/>
  <c r="C60" i="28"/>
  <c r="H60" i="28"/>
  <c r="M43" i="28"/>
  <c r="Q43" i="28"/>
  <c r="S43" i="28"/>
  <c r="U43" i="28"/>
  <c r="C43" i="28"/>
  <c r="AA43" i="28"/>
  <c r="J43" i="28"/>
  <c r="P43" i="28"/>
  <c r="R43" i="28"/>
  <c r="T43" i="28"/>
  <c r="V43" i="28"/>
  <c r="W43" i="28"/>
  <c r="H43" i="28"/>
  <c r="AB80" i="28"/>
  <c r="AA80" i="28"/>
  <c r="W80" i="28"/>
  <c r="V80" i="28"/>
  <c r="U80" i="28"/>
  <c r="T80" i="28"/>
  <c r="S80" i="28"/>
  <c r="R80" i="28"/>
  <c r="Q80" i="28"/>
  <c r="P80" i="28"/>
  <c r="M80" i="28"/>
  <c r="J80" i="28"/>
  <c r="I80" i="28"/>
  <c r="H80" i="28"/>
  <c r="C80" i="28"/>
  <c r="AB79" i="28"/>
  <c r="AA79" i="28"/>
  <c r="W79" i="28"/>
  <c r="V79" i="28"/>
  <c r="U79" i="28"/>
  <c r="T79" i="28"/>
  <c r="S79" i="28"/>
  <c r="R79" i="28"/>
  <c r="Q79" i="28"/>
  <c r="P79" i="28"/>
  <c r="M79" i="28"/>
  <c r="J79" i="28"/>
  <c r="I79" i="28"/>
  <c r="H79" i="28"/>
  <c r="C79" i="28"/>
  <c r="AB78" i="28"/>
  <c r="AA78" i="28"/>
  <c r="W78" i="28"/>
  <c r="V78" i="28"/>
  <c r="U78" i="28"/>
  <c r="T78" i="28"/>
  <c r="S78" i="28"/>
  <c r="R78" i="28"/>
  <c r="Q78" i="28"/>
  <c r="P78" i="28"/>
  <c r="M78" i="28"/>
  <c r="J78" i="28"/>
  <c r="I78" i="28"/>
  <c r="H78" i="28"/>
  <c r="C78" i="28"/>
  <c r="AB77" i="28"/>
  <c r="AA77" i="28"/>
  <c r="W77" i="28"/>
  <c r="V77" i="28"/>
  <c r="U77" i="28"/>
  <c r="T77" i="28"/>
  <c r="S77" i="28"/>
  <c r="R77" i="28"/>
  <c r="Q77" i="28"/>
  <c r="P77" i="28"/>
  <c r="M77" i="28"/>
  <c r="J77" i="28"/>
  <c r="I77" i="28"/>
  <c r="H77" i="28"/>
  <c r="C77" i="28"/>
  <c r="AB76" i="28"/>
  <c r="AA76" i="28"/>
  <c r="W76" i="28"/>
  <c r="V76" i="28"/>
  <c r="U76" i="28"/>
  <c r="T76" i="28"/>
  <c r="S76" i="28"/>
  <c r="R76" i="28"/>
  <c r="Q76" i="28"/>
  <c r="P76" i="28"/>
  <c r="M76" i="28"/>
  <c r="J76" i="28"/>
  <c r="I76" i="28"/>
  <c r="H76" i="28"/>
  <c r="C76" i="28"/>
  <c r="AB75" i="28"/>
  <c r="AA75" i="28"/>
  <c r="W75" i="28"/>
  <c r="V75" i="28"/>
  <c r="U75" i="28"/>
  <c r="T75" i="28"/>
  <c r="S75" i="28"/>
  <c r="R75" i="28"/>
  <c r="Q75" i="28"/>
  <c r="P75" i="28"/>
  <c r="M75" i="28"/>
  <c r="J75" i="28"/>
  <c r="I75" i="28"/>
  <c r="H75" i="28"/>
  <c r="C75" i="28"/>
  <c r="AB74" i="28"/>
  <c r="AA74" i="28"/>
  <c r="W74" i="28"/>
  <c r="V74" i="28"/>
  <c r="U74" i="28"/>
  <c r="T74" i="28"/>
  <c r="S74" i="28"/>
  <c r="R74" i="28"/>
  <c r="Q74" i="28"/>
  <c r="P74" i="28"/>
  <c r="M74" i="28"/>
  <c r="J74" i="28"/>
  <c r="I74" i="28"/>
  <c r="H74" i="28"/>
  <c r="C74" i="28"/>
  <c r="AD73" i="28"/>
  <c r="AB73" i="28" s="1"/>
  <c r="AC73" i="28"/>
  <c r="AD72" i="28"/>
  <c r="Q72" i="28" s="1"/>
  <c r="AC72" i="28"/>
  <c r="AD68" i="28"/>
  <c r="U68" i="28" s="1"/>
  <c r="AC68" i="28"/>
  <c r="AD71" i="28"/>
  <c r="M71" i="28" s="1"/>
  <c r="AC71" i="28"/>
  <c r="AD70" i="28"/>
  <c r="S70" i="28" s="1"/>
  <c r="AC70" i="28"/>
  <c r="AD63" i="28"/>
  <c r="AB63" i="28" s="1"/>
  <c r="AC63" i="28"/>
  <c r="AD64" i="28"/>
  <c r="P64" i="28" s="1"/>
  <c r="AD65" i="28"/>
  <c r="U65" i="28" s="1"/>
  <c r="AC65" i="28"/>
  <c r="AD69" i="28"/>
  <c r="AB69" i="28" s="1"/>
  <c r="AC69" i="28"/>
  <c r="AD66" i="28"/>
  <c r="Q66" i="28" s="1"/>
  <c r="AC66" i="28"/>
  <c r="AD67" i="28"/>
  <c r="V67" i="28" s="1"/>
  <c r="AC67" i="28"/>
  <c r="AD62" i="28"/>
  <c r="J62" i="28" s="1"/>
  <c r="AC62" i="28"/>
  <c r="AD61" i="28"/>
  <c r="S61" i="28" s="1"/>
  <c r="AD57" i="28"/>
  <c r="AB57" i="28"/>
  <c r="AA57" i="28"/>
  <c r="W57" i="28"/>
  <c r="V57" i="28"/>
  <c r="U57" i="28"/>
  <c r="T57" i="28"/>
  <c r="S57" i="28"/>
  <c r="R57" i="28"/>
  <c r="Q57" i="28"/>
  <c r="P57" i="28"/>
  <c r="J57" i="28"/>
  <c r="H57" i="28"/>
  <c r="C57" i="28"/>
  <c r="AB56" i="28"/>
  <c r="AA56" i="28"/>
  <c r="W56" i="28"/>
  <c r="V56" i="28"/>
  <c r="U56" i="28"/>
  <c r="T56" i="28"/>
  <c r="S56" i="28"/>
  <c r="R56" i="28"/>
  <c r="Q56" i="28"/>
  <c r="P56" i="28"/>
  <c r="M56" i="28"/>
  <c r="J56" i="28"/>
  <c r="I56" i="28"/>
  <c r="H56" i="28"/>
  <c r="C56" i="28"/>
  <c r="AB55" i="28"/>
  <c r="AA55" i="28"/>
  <c r="W55" i="28"/>
  <c r="V55" i="28"/>
  <c r="U55" i="28"/>
  <c r="T55" i="28"/>
  <c r="S55" i="28"/>
  <c r="R55" i="28"/>
  <c r="Q55" i="28"/>
  <c r="P55" i="28"/>
  <c r="M55" i="28"/>
  <c r="J55" i="28"/>
  <c r="I55" i="28"/>
  <c r="H55" i="28"/>
  <c r="C55" i="28"/>
  <c r="AB54" i="28"/>
  <c r="AA54" i="28"/>
  <c r="W54" i="28"/>
  <c r="V54" i="28"/>
  <c r="U54" i="28"/>
  <c r="T54" i="28"/>
  <c r="S54" i="28"/>
  <c r="R54" i="28"/>
  <c r="Q54" i="28"/>
  <c r="P54" i="28"/>
  <c r="M54" i="28"/>
  <c r="J54" i="28"/>
  <c r="I54" i="28"/>
  <c r="H54" i="28"/>
  <c r="C54" i="28"/>
  <c r="AD53" i="28"/>
  <c r="V53" i="28" s="1"/>
  <c r="AC53" i="28"/>
  <c r="AD52" i="28"/>
  <c r="AA52" i="28" s="1"/>
  <c r="AC52" i="28"/>
  <c r="AD51" i="28"/>
  <c r="T51" i="28" s="1"/>
  <c r="AC51" i="28"/>
  <c r="AD50" i="28"/>
  <c r="AB50" i="28" s="1"/>
  <c r="AC50" i="28"/>
  <c r="AD46" i="28"/>
  <c r="Q46" i="28" s="1"/>
  <c r="AD49" i="28"/>
  <c r="U49" i="28" s="1"/>
  <c r="AD48" i="28"/>
  <c r="AB48" i="28" s="1"/>
  <c r="AC48" i="28"/>
  <c r="AD47" i="28"/>
  <c r="R47" i="28" s="1"/>
  <c r="AC47" i="28"/>
  <c r="AD45" i="28"/>
  <c r="J45" i="28" s="1"/>
  <c r="AC45" i="28"/>
  <c r="AD44" i="28"/>
  <c r="M44" i="28" s="1"/>
  <c r="AB39" i="28"/>
  <c r="AA39" i="28"/>
  <c r="W39" i="28"/>
  <c r="V39" i="28"/>
  <c r="U39" i="28"/>
  <c r="T39" i="28"/>
  <c r="S39" i="28"/>
  <c r="R39" i="28"/>
  <c r="Q39" i="28"/>
  <c r="P39" i="28"/>
  <c r="M39" i="28"/>
  <c r="J39" i="28"/>
  <c r="I39" i="28"/>
  <c r="H39" i="28"/>
  <c r="C39" i="28"/>
  <c r="AB38" i="28"/>
  <c r="AA38" i="28"/>
  <c r="W38" i="28"/>
  <c r="V38" i="28"/>
  <c r="U38" i="28"/>
  <c r="T38" i="28"/>
  <c r="S38" i="28"/>
  <c r="R38" i="28"/>
  <c r="Q38" i="28"/>
  <c r="P38" i="28"/>
  <c r="M38" i="28"/>
  <c r="J38" i="28"/>
  <c r="I38" i="28"/>
  <c r="H38" i="28"/>
  <c r="C38" i="28"/>
  <c r="AB37" i="28"/>
  <c r="AA37" i="28"/>
  <c r="W37" i="28"/>
  <c r="V37" i="28"/>
  <c r="U37" i="28"/>
  <c r="T37" i="28"/>
  <c r="S37" i="28"/>
  <c r="R37" i="28"/>
  <c r="Q37" i="28"/>
  <c r="P37" i="28"/>
  <c r="M37" i="28"/>
  <c r="J37" i="28"/>
  <c r="I37" i="28"/>
  <c r="H37" i="28"/>
  <c r="C37" i="28"/>
  <c r="AB36" i="28"/>
  <c r="AA36" i="28"/>
  <c r="W36" i="28"/>
  <c r="V36" i="28"/>
  <c r="U36" i="28"/>
  <c r="T36" i="28"/>
  <c r="S36" i="28"/>
  <c r="R36" i="28"/>
  <c r="Q36" i="28"/>
  <c r="P36" i="28"/>
  <c r="M36" i="28"/>
  <c r="J36" i="28"/>
  <c r="I36" i="28"/>
  <c r="H36" i="28"/>
  <c r="C36" i="28"/>
  <c r="AD35" i="28"/>
  <c r="S35" i="28" s="1"/>
  <c r="AC35" i="28"/>
  <c r="AD34" i="28"/>
  <c r="P34" i="28" s="1"/>
  <c r="AC34" i="28"/>
  <c r="AD33" i="28"/>
  <c r="Q33" i="28" s="1"/>
  <c r="AC33" i="28"/>
  <c r="AD32" i="28"/>
  <c r="V32" i="28" s="1"/>
  <c r="AC32" i="28"/>
  <c r="AD31" i="28"/>
  <c r="J31" i="28" s="1"/>
  <c r="AC31" i="28"/>
  <c r="AD30" i="28"/>
  <c r="T30" i="28" s="1"/>
  <c r="AC30" i="28"/>
  <c r="AD29" i="28"/>
  <c r="AB29" i="28" s="1"/>
  <c r="AD24" i="28"/>
  <c r="Q24" i="28" s="1"/>
  <c r="AC24" i="28"/>
  <c r="AD23" i="28"/>
  <c r="V23" i="28" s="1"/>
  <c r="AC23" i="28"/>
  <c r="AD22" i="28"/>
  <c r="AA22" i="28" s="1"/>
  <c r="AC22" i="28"/>
  <c r="AD16" i="28"/>
  <c r="T16" i="28" s="1"/>
  <c r="AC16" i="28"/>
  <c r="AD15" i="28"/>
  <c r="Q15" i="28" s="1"/>
  <c r="AC15" i="28"/>
  <c r="AD14" i="28"/>
  <c r="R14" i="28" s="1"/>
  <c r="AC14" i="28"/>
  <c r="AD25" i="28"/>
  <c r="J25" i="28" s="1"/>
  <c r="AD28" i="28"/>
  <c r="P28" i="28" s="1"/>
  <c r="AC28" i="28"/>
  <c r="AD27" i="28"/>
  <c r="T27" i="28" s="1"/>
  <c r="AC27" i="28"/>
  <c r="AD26" i="28"/>
  <c r="P26" i="28" s="1"/>
  <c r="AC26" i="28"/>
  <c r="AD21" i="28"/>
  <c r="R21" i="28" s="1"/>
  <c r="AC21" i="28"/>
  <c r="AD20" i="28"/>
  <c r="AB20" i="28" s="1"/>
  <c r="AC20" i="28"/>
  <c r="AD19" i="28"/>
  <c r="P19" i="28" s="1"/>
  <c r="AC19" i="28"/>
  <c r="AD18" i="28"/>
  <c r="U18" i="28" s="1"/>
  <c r="AC18" i="28"/>
  <c r="AD17" i="28"/>
  <c r="S17" i="28" s="1"/>
  <c r="AC17" i="28"/>
  <c r="AD13" i="28"/>
  <c r="S13" i="28" s="1"/>
  <c r="AC13" i="28"/>
  <c r="AD12" i="28"/>
  <c r="AB12" i="28" s="1"/>
  <c r="AC12" i="28"/>
  <c r="AD11" i="28"/>
  <c r="Q11" i="28" s="1"/>
  <c r="AC11" i="28"/>
  <c r="AD10" i="28"/>
  <c r="AA10" i="28" s="1"/>
  <c r="AC10" i="28"/>
  <c r="AD9" i="28"/>
  <c r="AA9" i="28" s="1"/>
  <c r="AC9" i="28"/>
  <c r="AB9" i="28"/>
  <c r="AD8" i="28"/>
  <c r="T8" i="28" s="1"/>
  <c r="AC8" i="28"/>
  <c r="AD7" i="28"/>
  <c r="R7" i="28" s="1"/>
  <c r="AC7" i="28"/>
  <c r="AD5" i="28"/>
  <c r="Q5" i="28" s="1"/>
  <c r="AD4" i="28"/>
  <c r="U4" i="28" s="1"/>
  <c r="AC4" i="28"/>
  <c r="U66" i="28" l="1"/>
  <c r="W30" i="28"/>
  <c r="P12" i="28"/>
  <c r="AB4" i="28"/>
  <c r="T66" i="28"/>
  <c r="H21" i="28"/>
  <c r="J9" i="28"/>
  <c r="J21" i="28"/>
  <c r="AA30" i="28"/>
  <c r="V66" i="28"/>
  <c r="AA4" i="28"/>
  <c r="J24" i="28"/>
  <c r="I33" i="28"/>
  <c r="M62" i="28"/>
  <c r="T62" i="28"/>
  <c r="AA8" i="28"/>
  <c r="W66" i="28"/>
  <c r="U62" i="28"/>
  <c r="M31" i="28"/>
  <c r="V62" i="28"/>
  <c r="C72" i="28"/>
  <c r="AB5" i="28"/>
  <c r="I28" i="28"/>
  <c r="U31" i="28"/>
  <c r="H72" i="28"/>
  <c r="AB28" i="28"/>
  <c r="V31" i="28"/>
  <c r="AB31" i="28"/>
  <c r="U44" i="28"/>
  <c r="W21" i="28"/>
  <c r="W44" i="28"/>
  <c r="H66" i="28"/>
  <c r="AB30" i="28"/>
  <c r="M66" i="28"/>
  <c r="J72" i="28"/>
  <c r="Q48" i="28"/>
  <c r="M61" i="28"/>
  <c r="R66" i="28"/>
  <c r="H28" i="28"/>
  <c r="S66" i="28"/>
  <c r="C64" i="28"/>
  <c r="V4" i="28"/>
  <c r="I9" i="28"/>
  <c r="AA13" i="28"/>
  <c r="I20" i="28"/>
  <c r="AA16" i="28"/>
  <c r="J29" i="28"/>
  <c r="V44" i="28"/>
  <c r="AA64" i="28"/>
  <c r="T47" i="28"/>
  <c r="T70" i="28"/>
  <c r="R72" i="28"/>
  <c r="H70" i="28"/>
  <c r="C18" i="28"/>
  <c r="V18" i="28"/>
  <c r="AB34" i="28"/>
  <c r="V47" i="28"/>
  <c r="R69" i="28"/>
  <c r="V70" i="28"/>
  <c r="S72" i="28"/>
  <c r="W18" i="28"/>
  <c r="AB14" i="28"/>
  <c r="H24" i="28"/>
  <c r="W70" i="28"/>
  <c r="Q26" i="28"/>
  <c r="I24" i="28"/>
  <c r="W53" i="28"/>
  <c r="U47" i="28"/>
  <c r="AB46" i="28"/>
  <c r="W4" i="28"/>
  <c r="Q12" i="28"/>
  <c r="Q18" i="28"/>
  <c r="AB27" i="28"/>
  <c r="J34" i="28"/>
  <c r="AA44" i="28"/>
  <c r="W47" i="28"/>
  <c r="R50" i="28"/>
  <c r="C65" i="28"/>
  <c r="M34" i="28"/>
  <c r="AB44" i="28"/>
  <c r="AA47" i="28"/>
  <c r="H19" i="28"/>
  <c r="AA21" i="28"/>
  <c r="I22" i="28"/>
  <c r="H47" i="28"/>
  <c r="R48" i="28"/>
  <c r="I52" i="28"/>
  <c r="T64" i="28"/>
  <c r="AA70" i="28"/>
  <c r="T72" i="28"/>
  <c r="S64" i="28"/>
  <c r="M17" i="28"/>
  <c r="I19" i="28"/>
  <c r="AB21" i="28"/>
  <c r="J22" i="28"/>
  <c r="J47" i="28"/>
  <c r="U48" i="28"/>
  <c r="J52" i="28"/>
  <c r="U64" i="28"/>
  <c r="U72" i="28"/>
  <c r="P7" i="28"/>
  <c r="P17" i="28"/>
  <c r="J19" i="28"/>
  <c r="M22" i="28"/>
  <c r="C44" i="28"/>
  <c r="M47" i="28"/>
  <c r="P69" i="28"/>
  <c r="V64" i="28"/>
  <c r="I11" i="28"/>
  <c r="Q17" i="28"/>
  <c r="AB19" i="28"/>
  <c r="AB22" i="28"/>
  <c r="H44" i="28"/>
  <c r="S47" i="28"/>
  <c r="Q69" i="28"/>
  <c r="W64" i="28"/>
  <c r="C68" i="28"/>
  <c r="J28" i="28"/>
  <c r="H68" i="28"/>
  <c r="Q7" i="28"/>
  <c r="R17" i="28"/>
  <c r="C21" i="28"/>
  <c r="M28" i="28"/>
  <c r="W25" i="28"/>
  <c r="M15" i="28"/>
  <c r="AA24" i="28"/>
  <c r="H51" i="28"/>
  <c r="M52" i="28"/>
  <c r="T61" i="28"/>
  <c r="U69" i="28"/>
  <c r="I68" i="28"/>
  <c r="Q28" i="28"/>
  <c r="AA25" i="28"/>
  <c r="AB24" i="28"/>
  <c r="I51" i="28"/>
  <c r="Q52" i="28"/>
  <c r="U61" i="28"/>
  <c r="J68" i="28"/>
  <c r="I21" i="28"/>
  <c r="R28" i="28"/>
  <c r="AB25" i="28"/>
  <c r="I31" i="28"/>
  <c r="C32" i="28"/>
  <c r="M51" i="28"/>
  <c r="AB52" i="28"/>
  <c r="W61" i="28"/>
  <c r="C67" i="28"/>
  <c r="M68" i="28"/>
  <c r="I8" i="28"/>
  <c r="S28" i="28"/>
  <c r="I16" i="28"/>
  <c r="H32" i="28"/>
  <c r="H18" i="28"/>
  <c r="I32" i="28"/>
  <c r="Q68" i="28"/>
  <c r="S21" i="28"/>
  <c r="U28" i="28"/>
  <c r="H14" i="28"/>
  <c r="P16" i="28"/>
  <c r="M29" i="28"/>
  <c r="Q31" i="28"/>
  <c r="J32" i="28"/>
  <c r="J50" i="28"/>
  <c r="V51" i="28"/>
  <c r="C53" i="28"/>
  <c r="P62" i="28"/>
  <c r="M67" i="28"/>
  <c r="V65" i="28"/>
  <c r="V68" i="28"/>
  <c r="V72" i="28"/>
  <c r="I67" i="28"/>
  <c r="P68" i="28"/>
  <c r="M21" i="28"/>
  <c r="T28" i="28"/>
  <c r="C14" i="28"/>
  <c r="M16" i="28"/>
  <c r="P31" i="28"/>
  <c r="U51" i="28"/>
  <c r="J67" i="28"/>
  <c r="Q65" i="28"/>
  <c r="P8" i="28"/>
  <c r="I10" i="28"/>
  <c r="I18" i="28"/>
  <c r="V5" i="28"/>
  <c r="U8" i="28"/>
  <c r="J10" i="28"/>
  <c r="J18" i="28"/>
  <c r="T21" i="28"/>
  <c r="V28" i="28"/>
  <c r="V14" i="28"/>
  <c r="U16" i="28"/>
  <c r="R31" i="28"/>
  <c r="M32" i="28"/>
  <c r="M50" i="28"/>
  <c r="W51" i="28"/>
  <c r="I53" i="28"/>
  <c r="Q62" i="28"/>
  <c r="W67" i="28"/>
  <c r="AA66" i="28"/>
  <c r="W65" i="28"/>
  <c r="Q71" i="28"/>
  <c r="W68" i="28"/>
  <c r="W72" i="28"/>
  <c r="M18" i="28"/>
  <c r="U21" i="28"/>
  <c r="W28" i="28"/>
  <c r="W14" i="28"/>
  <c r="V16" i="28"/>
  <c r="U30" i="28"/>
  <c r="S31" i="28"/>
  <c r="W32" i="28"/>
  <c r="W35" i="28"/>
  <c r="P50" i="28"/>
  <c r="AA51" i="28"/>
  <c r="J53" i="28"/>
  <c r="R62" i="28"/>
  <c r="AB67" i="28"/>
  <c r="AA65" i="28"/>
  <c r="I63" i="28"/>
  <c r="R71" i="28"/>
  <c r="AA68" i="28"/>
  <c r="P51" i="28"/>
  <c r="M8" i="28"/>
  <c r="W5" i="28"/>
  <c r="V8" i="28"/>
  <c r="M10" i="28"/>
  <c r="AA5" i="28"/>
  <c r="W8" i="28"/>
  <c r="W10" i="28"/>
  <c r="P18" i="28"/>
  <c r="H20" i="28"/>
  <c r="V21" i="28"/>
  <c r="C28" i="28"/>
  <c r="AA28" i="28"/>
  <c r="AA14" i="28"/>
  <c r="W16" i="28"/>
  <c r="C24" i="28"/>
  <c r="V30" i="28"/>
  <c r="T31" i="28"/>
  <c r="AA32" i="28"/>
  <c r="AA35" i="28"/>
  <c r="P48" i="28"/>
  <c r="Q50" i="28"/>
  <c r="M53" i="28"/>
  <c r="S62" i="28"/>
  <c r="AB65" i="28"/>
  <c r="M63" i="28"/>
  <c r="C46" i="28"/>
  <c r="M33" i="28"/>
  <c r="H46" i="28"/>
  <c r="J11" i="28"/>
  <c r="P9" i="28"/>
  <c r="R11" i="28"/>
  <c r="M19" i="28"/>
  <c r="C27" i="28"/>
  <c r="P22" i="28"/>
  <c r="C23" i="28"/>
  <c r="R33" i="28"/>
  <c r="I46" i="28"/>
  <c r="P52" i="28"/>
  <c r="V61" i="28"/>
  <c r="T33" i="28"/>
  <c r="R46" i="28"/>
  <c r="R52" i="28"/>
  <c r="AA61" i="28"/>
  <c r="J33" i="28"/>
  <c r="I23" i="28"/>
  <c r="M24" i="28"/>
  <c r="S19" i="28"/>
  <c r="U33" i="28"/>
  <c r="S52" i="28"/>
  <c r="M9" i="28"/>
  <c r="M11" i="28"/>
  <c r="S11" i="28"/>
  <c r="H27" i="28"/>
  <c r="Q22" i="28"/>
  <c r="S33" i="28"/>
  <c r="J46" i="28"/>
  <c r="C4" i="28"/>
  <c r="I27" i="28"/>
  <c r="R22" i="28"/>
  <c r="S9" i="28"/>
  <c r="U11" i="28"/>
  <c r="H13" i="28"/>
  <c r="M27" i="28"/>
  <c r="S22" i="28"/>
  <c r="J23" i="28"/>
  <c r="R24" i="28"/>
  <c r="C35" i="28"/>
  <c r="C49" i="28"/>
  <c r="S46" i="28"/>
  <c r="I4" i="28"/>
  <c r="H5" i="28"/>
  <c r="AB8" i="28"/>
  <c r="T9" i="28"/>
  <c r="AB10" i="28"/>
  <c r="V11" i="28"/>
  <c r="M13" i="28"/>
  <c r="AA18" i="28"/>
  <c r="T19" i="28"/>
  <c r="P27" i="28"/>
  <c r="J14" i="28"/>
  <c r="P15" i="28"/>
  <c r="AB16" i="28"/>
  <c r="T22" i="28"/>
  <c r="M23" i="28"/>
  <c r="S24" i="28"/>
  <c r="C30" i="28"/>
  <c r="C31" i="28"/>
  <c r="W31" i="28"/>
  <c r="AB32" i="28"/>
  <c r="V33" i="28"/>
  <c r="H35" i="28"/>
  <c r="P44" i="28"/>
  <c r="AB47" i="28"/>
  <c r="H49" i="28"/>
  <c r="T46" i="28"/>
  <c r="U50" i="28"/>
  <c r="AB51" i="28"/>
  <c r="T52" i="28"/>
  <c r="C62" i="28"/>
  <c r="W62" i="28"/>
  <c r="AB66" i="28"/>
  <c r="H65" i="28"/>
  <c r="H64" i="28"/>
  <c r="I14" i="28"/>
  <c r="J44" i="28"/>
  <c r="J4" i="28"/>
  <c r="R5" i="28"/>
  <c r="U9" i="28"/>
  <c r="W11" i="28"/>
  <c r="T13" i="28"/>
  <c r="AB18" i="28"/>
  <c r="U19" i="28"/>
  <c r="U27" i="28"/>
  <c r="C25" i="28"/>
  <c r="M14" i="28"/>
  <c r="U22" i="28"/>
  <c r="W23" i="28"/>
  <c r="T24" i="28"/>
  <c r="H30" i="28"/>
  <c r="H31" i="28"/>
  <c r="AA31" i="28"/>
  <c r="W33" i="28"/>
  <c r="M35" i="28"/>
  <c r="Q44" i="28"/>
  <c r="C47" i="28"/>
  <c r="J49" i="28"/>
  <c r="U46" i="28"/>
  <c r="U52" i="28"/>
  <c r="AB53" i="28"/>
  <c r="H62" i="28"/>
  <c r="AA62" i="28"/>
  <c r="C66" i="28"/>
  <c r="I65" i="28"/>
  <c r="J64" i="28"/>
  <c r="AB68" i="28"/>
  <c r="AA72" i="28"/>
  <c r="AA11" i="28"/>
  <c r="V19" i="28"/>
  <c r="H25" i="28"/>
  <c r="S14" i="28"/>
  <c r="V22" i="28"/>
  <c r="AA23" i="28"/>
  <c r="U24" i="28"/>
  <c r="I30" i="28"/>
  <c r="AA33" i="28"/>
  <c r="T35" i="28"/>
  <c r="R44" i="28"/>
  <c r="V49" i="28"/>
  <c r="V46" i="28"/>
  <c r="V52" i="28"/>
  <c r="I62" i="28"/>
  <c r="AB62" i="28"/>
  <c r="J65" i="28"/>
  <c r="Q64" i="28"/>
  <c r="AB72" i="28"/>
  <c r="M4" i="28"/>
  <c r="S5" i="28"/>
  <c r="J26" i="28"/>
  <c r="V27" i="28"/>
  <c r="P4" i="28"/>
  <c r="T5" i="28"/>
  <c r="C8" i="28"/>
  <c r="C9" i="28"/>
  <c r="W9" i="28"/>
  <c r="C11" i="28"/>
  <c r="AB11" i="28"/>
  <c r="V13" i="28"/>
  <c r="W19" i="28"/>
  <c r="M26" i="28"/>
  <c r="W27" i="28"/>
  <c r="I25" i="28"/>
  <c r="T14" i="28"/>
  <c r="C16" i="28"/>
  <c r="C22" i="28"/>
  <c r="W22" i="28"/>
  <c r="AB23" i="28"/>
  <c r="V24" i="28"/>
  <c r="M30" i="28"/>
  <c r="C33" i="28"/>
  <c r="AB33" i="28"/>
  <c r="U35" i="28"/>
  <c r="S44" i="28"/>
  <c r="I47" i="28"/>
  <c r="J48" i="28"/>
  <c r="AA49" i="28"/>
  <c r="W46" i="28"/>
  <c r="C51" i="28"/>
  <c r="C52" i="28"/>
  <c r="W52" i="28"/>
  <c r="C61" i="28"/>
  <c r="I66" i="28"/>
  <c r="I69" i="28"/>
  <c r="P65" i="28"/>
  <c r="R64" i="28"/>
  <c r="C70" i="28"/>
  <c r="Q9" i="28"/>
  <c r="Q19" i="28"/>
  <c r="H23" i="28"/>
  <c r="R9" i="28"/>
  <c r="T11" i="28"/>
  <c r="C13" i="28"/>
  <c r="R19" i="28"/>
  <c r="H4" i="28"/>
  <c r="C5" i="28"/>
  <c r="V9" i="28"/>
  <c r="U13" i="28"/>
  <c r="Q4" i="28"/>
  <c r="U5" i="28"/>
  <c r="H8" i="28"/>
  <c r="H9" i="28"/>
  <c r="H11" i="28"/>
  <c r="W13" i="28"/>
  <c r="C19" i="28"/>
  <c r="AA19" i="28"/>
  <c r="AA27" i="28"/>
  <c r="U14" i="28"/>
  <c r="H16" i="28"/>
  <c r="H22" i="28"/>
  <c r="W24" i="28"/>
  <c r="P30" i="28"/>
  <c r="H33" i="28"/>
  <c r="V35" i="28"/>
  <c r="T44" i="28"/>
  <c r="M48" i="28"/>
  <c r="AB49" i="28"/>
  <c r="AA46" i="28"/>
  <c r="H52" i="28"/>
  <c r="J61" i="28"/>
  <c r="J69" i="28"/>
  <c r="AB7" i="28"/>
  <c r="I7" i="28"/>
  <c r="H7" i="28"/>
  <c r="U7" i="28"/>
  <c r="AA7" i="28"/>
  <c r="W7" i="28"/>
  <c r="C7" i="28"/>
  <c r="V7" i="28"/>
  <c r="T7" i="28"/>
  <c r="S7" i="28"/>
  <c r="P29" i="28"/>
  <c r="P63" i="28"/>
  <c r="AA73" i="28"/>
  <c r="H73" i="28"/>
  <c r="T73" i="28"/>
  <c r="W73" i="28"/>
  <c r="C73" i="28"/>
  <c r="V73" i="28"/>
  <c r="U73" i="28"/>
  <c r="S73" i="28"/>
  <c r="R73" i="28"/>
  <c r="Q73" i="28"/>
  <c r="J73" i="28"/>
  <c r="AB15" i="28"/>
  <c r="I15" i="28"/>
  <c r="V15" i="28"/>
  <c r="U15" i="28"/>
  <c r="R15" i="28"/>
  <c r="AA15" i="28"/>
  <c r="H15" i="28"/>
  <c r="W15" i="28"/>
  <c r="C15" i="28"/>
  <c r="T15" i="28"/>
  <c r="S15" i="28"/>
  <c r="J20" i="28"/>
  <c r="AA34" i="28"/>
  <c r="H34" i="28"/>
  <c r="Q34" i="28"/>
  <c r="W34" i="28"/>
  <c r="C34" i="28"/>
  <c r="V34" i="28"/>
  <c r="T34" i="28"/>
  <c r="U34" i="28"/>
  <c r="S34" i="28"/>
  <c r="R34" i="28"/>
  <c r="AA63" i="28"/>
  <c r="H63" i="28"/>
  <c r="W63" i="28"/>
  <c r="C63" i="28"/>
  <c r="V63" i="28"/>
  <c r="T63" i="28"/>
  <c r="U63" i="28"/>
  <c r="S63" i="28"/>
  <c r="Q63" i="28"/>
  <c r="R63" i="28"/>
  <c r="J63" i="28"/>
  <c r="H45" i="28"/>
  <c r="J71" i="28"/>
  <c r="V71" i="28"/>
  <c r="AB71" i="28"/>
  <c r="I71" i="28"/>
  <c r="AA71" i="28"/>
  <c r="H71" i="28"/>
  <c r="W71" i="28"/>
  <c r="C71" i="28"/>
  <c r="U71" i="28"/>
  <c r="S71" i="28"/>
  <c r="T71" i="28"/>
  <c r="P71" i="28"/>
  <c r="P20" i="28"/>
  <c r="AB26" i="28"/>
  <c r="I26" i="28"/>
  <c r="U26" i="28"/>
  <c r="R26" i="28"/>
  <c r="AA26" i="28"/>
  <c r="H26" i="28"/>
  <c r="W26" i="28"/>
  <c r="C26" i="28"/>
  <c r="V26" i="28"/>
  <c r="T26" i="28"/>
  <c r="S26" i="28"/>
  <c r="AA12" i="28"/>
  <c r="H12" i="28"/>
  <c r="V12" i="28"/>
  <c r="W12" i="28"/>
  <c r="C12" i="28"/>
  <c r="U12" i="28"/>
  <c r="T12" i="28"/>
  <c r="S12" i="28"/>
  <c r="R12" i="28"/>
  <c r="AA29" i="28"/>
  <c r="H29" i="28"/>
  <c r="T29" i="28"/>
  <c r="W29" i="28"/>
  <c r="C29" i="28"/>
  <c r="V29" i="28"/>
  <c r="Q29" i="28"/>
  <c r="U29" i="28"/>
  <c r="S29" i="28"/>
  <c r="R29" i="28"/>
  <c r="V10" i="28"/>
  <c r="S10" i="28"/>
  <c r="U10" i="28"/>
  <c r="T10" i="28"/>
  <c r="R10" i="28"/>
  <c r="Q10" i="28"/>
  <c r="P10" i="28"/>
  <c r="I45" i="28"/>
  <c r="J7" i="28"/>
  <c r="C10" i="28"/>
  <c r="AA20" i="28"/>
  <c r="V25" i="28"/>
  <c r="U25" i="28"/>
  <c r="T25" i="28"/>
  <c r="S25" i="28"/>
  <c r="R25" i="28"/>
  <c r="M25" i="28"/>
  <c r="Q25" i="28"/>
  <c r="P25" i="28"/>
  <c r="W45" i="28"/>
  <c r="C45" i="28"/>
  <c r="V45" i="28"/>
  <c r="U45" i="28"/>
  <c r="S45" i="28"/>
  <c r="P45" i="28"/>
  <c r="T45" i="28"/>
  <c r="R45" i="28"/>
  <c r="Q45" i="28"/>
  <c r="M20" i="28"/>
  <c r="M7" i="28"/>
  <c r="H10" i="28"/>
  <c r="I12" i="28"/>
  <c r="J17" i="28"/>
  <c r="AA17" i="28"/>
  <c r="H17" i="28"/>
  <c r="AB17" i="28"/>
  <c r="I17" i="28"/>
  <c r="W17" i="28"/>
  <c r="C17" i="28"/>
  <c r="V17" i="28"/>
  <c r="U17" i="28"/>
  <c r="T17" i="28"/>
  <c r="M45" i="28"/>
  <c r="I73" i="28"/>
  <c r="J12" i="28"/>
  <c r="AA45" i="28"/>
  <c r="M73" i="28"/>
  <c r="M12" i="28"/>
  <c r="W20" i="28"/>
  <c r="C20" i="28"/>
  <c r="U20" i="28"/>
  <c r="T20" i="28"/>
  <c r="V20" i="28"/>
  <c r="S20" i="28"/>
  <c r="R20" i="28"/>
  <c r="Q20" i="28"/>
  <c r="J15" i="28"/>
  <c r="I29" i="28"/>
  <c r="I34" i="28"/>
  <c r="AB45" i="28"/>
  <c r="P73" i="28"/>
  <c r="W49" i="28"/>
  <c r="H53" i="28"/>
  <c r="AA53" i="28"/>
  <c r="H67" i="28"/>
  <c r="AA67" i="28"/>
  <c r="U70" i="28"/>
  <c r="J8" i="28"/>
  <c r="I13" i="28"/>
  <c r="AB13" i="28"/>
  <c r="J27" i="28"/>
  <c r="J16" i="28"/>
  <c r="P23" i="28"/>
  <c r="J30" i="28"/>
  <c r="P32" i="28"/>
  <c r="I35" i="28"/>
  <c r="AB35" i="28"/>
  <c r="S48" i="28"/>
  <c r="M49" i="28"/>
  <c r="S50" i="28"/>
  <c r="J51" i="28"/>
  <c r="P53" i="28"/>
  <c r="H61" i="28"/>
  <c r="AB61" i="28"/>
  <c r="P67" i="28"/>
  <c r="S69" i="28"/>
  <c r="I70" i="28"/>
  <c r="AB70" i="28"/>
  <c r="J13" i="28"/>
  <c r="Q23" i="28"/>
  <c r="Q32" i="28"/>
  <c r="J35" i="28"/>
  <c r="T48" i="28"/>
  <c r="P49" i="28"/>
  <c r="T50" i="28"/>
  <c r="Q53" i="28"/>
  <c r="Q67" i="28"/>
  <c r="T69" i="28"/>
  <c r="J70" i="28"/>
  <c r="Q30" i="28"/>
  <c r="S32" i="28"/>
  <c r="P35" i="28"/>
  <c r="V48" i="28"/>
  <c r="R49" i="28"/>
  <c r="V50" i="28"/>
  <c r="Q51" i="28"/>
  <c r="S53" i="28"/>
  <c r="P61" i="28"/>
  <c r="S67" i="28"/>
  <c r="J66" i="28"/>
  <c r="V69" i="28"/>
  <c r="R65" i="28"/>
  <c r="I64" i="28"/>
  <c r="AB64" i="28"/>
  <c r="P70" i="28"/>
  <c r="R68" i="28"/>
  <c r="I72" i="28"/>
  <c r="R23" i="28"/>
  <c r="R32" i="28"/>
  <c r="Q49" i="28"/>
  <c r="R4" i="28"/>
  <c r="J5" i="28"/>
  <c r="Q8" i="28"/>
  <c r="P13" i="28"/>
  <c r="R18" i="28"/>
  <c r="Q27" i="28"/>
  <c r="S4" i="28"/>
  <c r="M5" i="28"/>
  <c r="R8" i="28"/>
  <c r="P21" i="28"/>
  <c r="R27" i="28"/>
  <c r="P14" i="28"/>
  <c r="R16" i="28"/>
  <c r="T23" i="28"/>
  <c r="R30" i="28"/>
  <c r="T32" i="28"/>
  <c r="Q35" i="28"/>
  <c r="P47" i="28"/>
  <c r="C48" i="28"/>
  <c r="W48" i="28"/>
  <c r="S49" i="28"/>
  <c r="M46" i="28"/>
  <c r="C50" i="28"/>
  <c r="W50" i="28"/>
  <c r="R51" i="28"/>
  <c r="T53" i="28"/>
  <c r="Q61" i="28"/>
  <c r="T67" i="28"/>
  <c r="W69" i="28"/>
  <c r="S65" i="28"/>
  <c r="Q70" i="28"/>
  <c r="S68" i="28"/>
  <c r="R53" i="28"/>
  <c r="R67" i="28"/>
  <c r="T4" i="28"/>
  <c r="P5" i="28"/>
  <c r="S8" i="28"/>
  <c r="P11" i="28"/>
  <c r="R13" i="28"/>
  <c r="T18" i="28"/>
  <c r="Q21" i="28"/>
  <c r="S27" i="28"/>
  <c r="Q14" i="28"/>
  <c r="S16" i="28"/>
  <c r="U23" i="28"/>
  <c r="P24" i="28"/>
  <c r="S30" i="28"/>
  <c r="U32" i="28"/>
  <c r="P33" i="28"/>
  <c r="R35" i="28"/>
  <c r="Q47" i="28"/>
  <c r="H48" i="28"/>
  <c r="AA48" i="28"/>
  <c r="T49" i="28"/>
  <c r="P46" i="28"/>
  <c r="H50" i="28"/>
  <c r="AA50" i="28"/>
  <c r="S51" i="28"/>
  <c r="U53" i="28"/>
  <c r="R61" i="28"/>
  <c r="U67" i="28"/>
  <c r="P66" i="28"/>
  <c r="C69" i="28"/>
  <c r="AA69" i="28"/>
  <c r="T65" i="28"/>
  <c r="M64" i="28"/>
  <c r="R70" i="28"/>
  <c r="T68" i="28"/>
  <c r="P72" i="28"/>
  <c r="M70" i="28"/>
  <c r="Q16" i="28"/>
  <c r="S23" i="28"/>
  <c r="Q13" i="28"/>
  <c r="S18" i="28"/>
  <c r="I48" i="28"/>
  <c r="I50" i="28"/>
  <c r="H69" i="28"/>
  <c r="AD18" i="27" l="1"/>
  <c r="AB18" i="27" s="1"/>
  <c r="AC18" i="27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AD17" i="27"/>
  <c r="J18" i="27" l="1"/>
  <c r="M18" i="27"/>
  <c r="T18" i="27"/>
  <c r="P18" i="27"/>
  <c r="Q18" i="27"/>
  <c r="R18" i="27"/>
  <c r="S18" i="27"/>
  <c r="AA18" i="27"/>
  <c r="U18" i="27"/>
  <c r="V18" i="27"/>
  <c r="C18" i="27"/>
  <c r="W18" i="27"/>
  <c r="H18" i="27"/>
  <c r="I18" i="27"/>
  <c r="AD71" i="27" l="1"/>
  <c r="AD52" i="27"/>
  <c r="AD35" i="27"/>
  <c r="AC17" i="27" l="1"/>
  <c r="I17" i="27"/>
  <c r="M17" i="27"/>
  <c r="H17" i="27"/>
  <c r="C17" i="27"/>
  <c r="J17" i="27"/>
  <c r="P17" i="27"/>
  <c r="Q17" i="27"/>
  <c r="R17" i="27"/>
  <c r="AA17" i="27"/>
  <c r="S17" i="27"/>
  <c r="T17" i="27"/>
  <c r="U17" i="27"/>
  <c r="V17" i="27"/>
  <c r="W17" i="27"/>
  <c r="AB17" i="27"/>
  <c r="AC35" i="27"/>
  <c r="AB35" i="27"/>
  <c r="AC52" i="27"/>
  <c r="AB52" i="27"/>
  <c r="AC71" i="27"/>
  <c r="AB71" i="27"/>
  <c r="H52" i="27"/>
  <c r="J52" i="27"/>
  <c r="J71" i="27"/>
  <c r="M71" i="27"/>
  <c r="P71" i="27"/>
  <c r="Q71" i="27"/>
  <c r="R71" i="27"/>
  <c r="S71" i="27"/>
  <c r="T71" i="27"/>
  <c r="U71" i="27"/>
  <c r="AA71" i="27"/>
  <c r="V71" i="27"/>
  <c r="C71" i="27"/>
  <c r="W71" i="27"/>
  <c r="H71" i="27"/>
  <c r="I71" i="27"/>
  <c r="M52" i="27"/>
  <c r="P52" i="27"/>
  <c r="Q52" i="27"/>
  <c r="R52" i="27"/>
  <c r="S52" i="27"/>
  <c r="T52" i="27"/>
  <c r="U52" i="27"/>
  <c r="V52" i="27"/>
  <c r="W52" i="27"/>
  <c r="C52" i="27"/>
  <c r="AA52" i="27"/>
  <c r="J35" i="27"/>
  <c r="I52" i="27"/>
  <c r="H35" i="27"/>
  <c r="M35" i="27"/>
  <c r="P35" i="27"/>
  <c r="Q35" i="27"/>
  <c r="R35" i="27"/>
  <c r="S35" i="27"/>
  <c r="T35" i="27"/>
  <c r="U35" i="27"/>
  <c r="V35" i="27"/>
  <c r="W35" i="27"/>
  <c r="C35" i="27"/>
  <c r="AA35" i="27"/>
  <c r="I35" i="27"/>
  <c r="AD34" i="27"/>
  <c r="AB34" i="27" s="1"/>
  <c r="AC34" i="27"/>
  <c r="AD33" i="27"/>
  <c r="AB33" i="27" s="1"/>
  <c r="AC33" i="27"/>
  <c r="AD62" i="27"/>
  <c r="AB62" i="27" s="1"/>
  <c r="AC62" i="27"/>
  <c r="J34" i="27" l="1"/>
  <c r="M34" i="27"/>
  <c r="P34" i="27"/>
  <c r="Q34" i="27"/>
  <c r="R34" i="27"/>
  <c r="S34" i="27"/>
  <c r="T34" i="27"/>
  <c r="U34" i="27"/>
  <c r="J62" i="27"/>
  <c r="AA34" i="27"/>
  <c r="V34" i="27"/>
  <c r="C34" i="27"/>
  <c r="W34" i="27"/>
  <c r="H34" i="27"/>
  <c r="I34" i="27"/>
  <c r="J33" i="27"/>
  <c r="M33" i="27"/>
  <c r="P33" i="27"/>
  <c r="T33" i="27"/>
  <c r="Q33" i="27"/>
  <c r="R33" i="27"/>
  <c r="I62" i="27"/>
  <c r="S33" i="27"/>
  <c r="W33" i="27"/>
  <c r="H33" i="27"/>
  <c r="AA33" i="27"/>
  <c r="U33" i="27"/>
  <c r="V33" i="27"/>
  <c r="C33" i="27"/>
  <c r="I33" i="27"/>
  <c r="M62" i="27"/>
  <c r="P62" i="27"/>
  <c r="Q62" i="27"/>
  <c r="R62" i="27"/>
  <c r="S62" i="27"/>
  <c r="T62" i="27"/>
  <c r="U62" i="27"/>
  <c r="V62" i="27"/>
  <c r="C62" i="27"/>
  <c r="W62" i="27"/>
  <c r="H62" i="27"/>
  <c r="AA62" i="27"/>
  <c r="AD14" i="27"/>
  <c r="R14" i="27" l="1"/>
  <c r="M14" i="27"/>
  <c r="Q14" i="27"/>
  <c r="T14" i="27"/>
  <c r="C14" i="27"/>
  <c r="W14" i="27"/>
  <c r="P14" i="27"/>
  <c r="V14" i="27"/>
  <c r="AA14" i="27"/>
  <c r="AB14" i="27"/>
  <c r="J14" i="27"/>
  <c r="AC14" i="27"/>
  <c r="S14" i="27"/>
  <c r="U14" i="27"/>
  <c r="H14" i="27"/>
  <c r="I14" i="27"/>
  <c r="AB78" i="27"/>
  <c r="AA78" i="27"/>
  <c r="W78" i="27"/>
  <c r="V78" i="27"/>
  <c r="U78" i="27"/>
  <c r="T78" i="27"/>
  <c r="S78" i="27"/>
  <c r="R78" i="27"/>
  <c r="Q78" i="27"/>
  <c r="P78" i="27"/>
  <c r="M78" i="27"/>
  <c r="J78" i="27"/>
  <c r="I78" i="27"/>
  <c r="H78" i="27"/>
  <c r="C78" i="27"/>
  <c r="AB77" i="27"/>
  <c r="AA77" i="27"/>
  <c r="W77" i="27"/>
  <c r="V77" i="27"/>
  <c r="U77" i="27"/>
  <c r="T77" i="27"/>
  <c r="S77" i="27"/>
  <c r="R77" i="27"/>
  <c r="Q77" i="27"/>
  <c r="P77" i="27"/>
  <c r="M77" i="27"/>
  <c r="J77" i="27"/>
  <c r="I77" i="27"/>
  <c r="H77" i="27"/>
  <c r="C77" i="27"/>
  <c r="AB76" i="27"/>
  <c r="AA76" i="27"/>
  <c r="W76" i="27"/>
  <c r="V76" i="27"/>
  <c r="U76" i="27"/>
  <c r="T76" i="27"/>
  <c r="S76" i="27"/>
  <c r="R76" i="27"/>
  <c r="Q76" i="27"/>
  <c r="P76" i="27"/>
  <c r="M76" i="27"/>
  <c r="J76" i="27"/>
  <c r="I76" i="27"/>
  <c r="H76" i="27"/>
  <c r="C76" i="27"/>
  <c r="AB75" i="27"/>
  <c r="AA75" i="27"/>
  <c r="W75" i="27"/>
  <c r="V75" i="27"/>
  <c r="U75" i="27"/>
  <c r="T75" i="27"/>
  <c r="S75" i="27"/>
  <c r="R75" i="27"/>
  <c r="Q75" i="27"/>
  <c r="P75" i="27"/>
  <c r="M75" i="27"/>
  <c r="J75" i="27"/>
  <c r="I75" i="27"/>
  <c r="H75" i="27"/>
  <c r="C75" i="27"/>
  <c r="AB74" i="27"/>
  <c r="AA74" i="27"/>
  <c r="W74" i="27"/>
  <c r="V74" i="27"/>
  <c r="U74" i="27"/>
  <c r="T74" i="27"/>
  <c r="S74" i="27"/>
  <c r="R74" i="27"/>
  <c r="Q74" i="27"/>
  <c r="P74" i="27"/>
  <c r="M74" i="27"/>
  <c r="J74" i="27"/>
  <c r="I74" i="27"/>
  <c r="H74" i="27"/>
  <c r="C74" i="27"/>
  <c r="AB73" i="27"/>
  <c r="AA73" i="27"/>
  <c r="W73" i="27"/>
  <c r="V73" i="27"/>
  <c r="U73" i="27"/>
  <c r="T73" i="27"/>
  <c r="S73" i="27"/>
  <c r="R73" i="27"/>
  <c r="Q73" i="27"/>
  <c r="P73" i="27"/>
  <c r="M73" i="27"/>
  <c r="J73" i="27"/>
  <c r="I73" i="27"/>
  <c r="H73" i="27"/>
  <c r="C73" i="27"/>
  <c r="AB72" i="27"/>
  <c r="AA72" i="27"/>
  <c r="W72" i="27"/>
  <c r="V72" i="27"/>
  <c r="U72" i="27"/>
  <c r="T72" i="27"/>
  <c r="S72" i="27"/>
  <c r="R72" i="27"/>
  <c r="Q72" i="27"/>
  <c r="P72" i="27"/>
  <c r="M72" i="27"/>
  <c r="J72" i="27"/>
  <c r="I72" i="27"/>
  <c r="H72" i="27"/>
  <c r="C72" i="27"/>
  <c r="AD70" i="27"/>
  <c r="AC70" i="27"/>
  <c r="AD69" i="27"/>
  <c r="AD68" i="27"/>
  <c r="AD67" i="27"/>
  <c r="AC67" i="27"/>
  <c r="AD66" i="27"/>
  <c r="M66" i="27" s="1"/>
  <c r="AD65" i="27"/>
  <c r="AD64" i="27"/>
  <c r="AC64" i="27"/>
  <c r="AD63" i="27"/>
  <c r="AC63" i="27"/>
  <c r="AD61" i="27"/>
  <c r="AD60" i="27"/>
  <c r="AD59" i="27"/>
  <c r="AD56" i="27"/>
  <c r="AB56" i="27"/>
  <c r="AA56" i="27"/>
  <c r="W56" i="27"/>
  <c r="V56" i="27"/>
  <c r="U56" i="27"/>
  <c r="T56" i="27"/>
  <c r="S56" i="27"/>
  <c r="R56" i="27"/>
  <c r="Q56" i="27"/>
  <c r="P56" i="27"/>
  <c r="J56" i="27"/>
  <c r="H56" i="27"/>
  <c r="C56" i="27"/>
  <c r="AB55" i="27"/>
  <c r="AA55" i="27"/>
  <c r="W55" i="27"/>
  <c r="V55" i="27"/>
  <c r="U55" i="27"/>
  <c r="T55" i="27"/>
  <c r="S55" i="27"/>
  <c r="R55" i="27"/>
  <c r="Q55" i="27"/>
  <c r="P55" i="27"/>
  <c r="M55" i="27"/>
  <c r="J55" i="27"/>
  <c r="I55" i="27"/>
  <c r="H55" i="27"/>
  <c r="C55" i="27"/>
  <c r="AB54" i="27"/>
  <c r="AA54" i="27"/>
  <c r="W54" i="27"/>
  <c r="V54" i="27"/>
  <c r="U54" i="27"/>
  <c r="T54" i="27"/>
  <c r="S54" i="27"/>
  <c r="R54" i="27"/>
  <c r="Q54" i="27"/>
  <c r="P54" i="27"/>
  <c r="M54" i="27"/>
  <c r="J54" i="27"/>
  <c r="I54" i="27"/>
  <c r="H54" i="27"/>
  <c r="C54" i="27"/>
  <c r="AB53" i="27"/>
  <c r="AA53" i="27"/>
  <c r="W53" i="27"/>
  <c r="V53" i="27"/>
  <c r="U53" i="27"/>
  <c r="T53" i="27"/>
  <c r="S53" i="27"/>
  <c r="R53" i="27"/>
  <c r="Q53" i="27"/>
  <c r="P53" i="27"/>
  <c r="M53" i="27"/>
  <c r="J53" i="27"/>
  <c r="I53" i="27"/>
  <c r="H53" i="27"/>
  <c r="C53" i="27"/>
  <c r="AD51" i="27"/>
  <c r="AC51" i="27"/>
  <c r="AD50" i="27"/>
  <c r="AD49" i="27"/>
  <c r="AD48" i="27"/>
  <c r="AD47" i="27"/>
  <c r="AD46" i="27"/>
  <c r="AD45" i="27"/>
  <c r="AD44" i="27"/>
  <c r="AD43" i="27"/>
  <c r="AB39" i="27"/>
  <c r="AA39" i="27"/>
  <c r="W39" i="27"/>
  <c r="V39" i="27"/>
  <c r="U39" i="27"/>
  <c r="T39" i="27"/>
  <c r="S39" i="27"/>
  <c r="R39" i="27"/>
  <c r="Q39" i="27"/>
  <c r="P39" i="27"/>
  <c r="M39" i="27"/>
  <c r="J39" i="27"/>
  <c r="I39" i="27"/>
  <c r="H39" i="27"/>
  <c r="C39" i="27"/>
  <c r="AB38" i="27"/>
  <c r="AA38" i="27"/>
  <c r="W38" i="27"/>
  <c r="V38" i="27"/>
  <c r="U38" i="27"/>
  <c r="T38" i="27"/>
  <c r="S38" i="27"/>
  <c r="R38" i="27"/>
  <c r="Q38" i="27"/>
  <c r="P38" i="27"/>
  <c r="M38" i="27"/>
  <c r="J38" i="27"/>
  <c r="I38" i="27"/>
  <c r="H38" i="27"/>
  <c r="C38" i="27"/>
  <c r="AB37" i="27"/>
  <c r="AA37" i="27"/>
  <c r="W37" i="27"/>
  <c r="V37" i="27"/>
  <c r="U37" i="27"/>
  <c r="T37" i="27"/>
  <c r="S37" i="27"/>
  <c r="R37" i="27"/>
  <c r="Q37" i="27"/>
  <c r="P37" i="27"/>
  <c r="M37" i="27"/>
  <c r="J37" i="27"/>
  <c r="I37" i="27"/>
  <c r="H37" i="27"/>
  <c r="C37" i="27"/>
  <c r="AB36" i="27"/>
  <c r="AA36" i="27"/>
  <c r="W36" i="27"/>
  <c r="V36" i="27"/>
  <c r="U36" i="27"/>
  <c r="T36" i="27"/>
  <c r="S36" i="27"/>
  <c r="R36" i="27"/>
  <c r="Q36" i="27"/>
  <c r="P36" i="27"/>
  <c r="M36" i="27"/>
  <c r="J36" i="27"/>
  <c r="I36" i="27"/>
  <c r="H36" i="27"/>
  <c r="C36" i="27"/>
  <c r="AD32" i="27"/>
  <c r="AC32" i="27"/>
  <c r="AD31" i="27"/>
  <c r="AD30" i="27"/>
  <c r="AD29" i="27"/>
  <c r="AD27" i="27"/>
  <c r="AC27" i="27"/>
  <c r="AD28" i="27"/>
  <c r="AC28" i="27"/>
  <c r="AD26" i="27"/>
  <c r="AC26" i="27"/>
  <c r="AD25" i="27"/>
  <c r="AC25" i="27"/>
  <c r="AD24" i="27"/>
  <c r="AC24" i="27"/>
  <c r="AD23" i="27"/>
  <c r="AC23" i="27"/>
  <c r="AD22" i="27"/>
  <c r="AD20" i="27"/>
  <c r="AC20" i="27"/>
  <c r="AD19" i="27"/>
  <c r="AC19" i="27"/>
  <c r="AD21" i="27"/>
  <c r="AC21" i="27"/>
  <c r="AD16" i="27"/>
  <c r="AD13" i="27"/>
  <c r="AD15" i="27"/>
  <c r="AD12" i="27"/>
  <c r="AD10" i="27"/>
  <c r="AD9" i="27"/>
  <c r="AD8" i="27"/>
  <c r="AD7" i="27"/>
  <c r="AD11" i="27"/>
  <c r="AD6" i="27"/>
  <c r="AD5" i="27"/>
  <c r="AD4" i="27"/>
  <c r="AD54" i="26"/>
  <c r="AD64" i="26"/>
  <c r="AC64" i="26"/>
  <c r="C65" i="26"/>
  <c r="H65" i="26"/>
  <c r="I65" i="26"/>
  <c r="J65" i="26"/>
  <c r="M65" i="26"/>
  <c r="P65" i="26"/>
  <c r="Q65" i="26"/>
  <c r="R65" i="26"/>
  <c r="S65" i="26"/>
  <c r="T65" i="26"/>
  <c r="U65" i="26"/>
  <c r="V65" i="26"/>
  <c r="W65" i="26"/>
  <c r="AA65" i="26"/>
  <c r="AB65" i="26"/>
  <c r="AD47" i="26"/>
  <c r="AC47" i="26"/>
  <c r="AD31" i="26"/>
  <c r="AC31" i="26"/>
  <c r="H32" i="26"/>
  <c r="AC69" i="27"/>
  <c r="AB6" i="27" l="1"/>
  <c r="W12" i="27"/>
  <c r="R25" i="27"/>
  <c r="T49" i="27"/>
  <c r="V69" i="27"/>
  <c r="AB47" i="26"/>
  <c r="AC11" i="27"/>
  <c r="AC15" i="27"/>
  <c r="P19" i="27"/>
  <c r="T32" i="27"/>
  <c r="AC50" i="27"/>
  <c r="J63" i="27"/>
  <c r="C11" i="27"/>
  <c r="T15" i="27"/>
  <c r="V26" i="27"/>
  <c r="J43" i="27"/>
  <c r="W50" i="27"/>
  <c r="AA70" i="27"/>
  <c r="AC7" i="27"/>
  <c r="AC13" i="27"/>
  <c r="W20" i="27"/>
  <c r="AC44" i="27"/>
  <c r="U51" i="27"/>
  <c r="AB64" i="27"/>
  <c r="AA7" i="27"/>
  <c r="W13" i="27"/>
  <c r="V22" i="27"/>
  <c r="R28" i="27"/>
  <c r="S44" i="27"/>
  <c r="V51" i="27"/>
  <c r="Q65" i="27"/>
  <c r="AC8" i="27"/>
  <c r="AC16" i="27"/>
  <c r="AC45" i="27"/>
  <c r="W51" i="27"/>
  <c r="AC66" i="27"/>
  <c r="I64" i="26"/>
  <c r="AB8" i="27"/>
  <c r="V16" i="27"/>
  <c r="R23" i="27"/>
  <c r="AB27" i="27"/>
  <c r="M45" i="27"/>
  <c r="AB54" i="26"/>
  <c r="AC9" i="27"/>
  <c r="S21" i="27"/>
  <c r="T24" i="27"/>
  <c r="J29" i="27"/>
  <c r="AC46" i="27"/>
  <c r="R51" i="27"/>
  <c r="S59" i="27"/>
  <c r="AC4" i="27"/>
  <c r="H9" i="27"/>
  <c r="T21" i="27"/>
  <c r="U24" i="27"/>
  <c r="AC30" i="27"/>
  <c r="T46" i="27"/>
  <c r="AC60" i="27"/>
  <c r="AA67" i="27"/>
  <c r="U4" i="27"/>
  <c r="AC10" i="27"/>
  <c r="U21" i="27"/>
  <c r="C30" i="27"/>
  <c r="AB47" i="27"/>
  <c r="W60" i="27"/>
  <c r="AC68" i="27"/>
  <c r="AC5" i="27"/>
  <c r="H10" i="27"/>
  <c r="R24" i="27"/>
  <c r="AC31" i="27"/>
  <c r="AB48" i="27"/>
  <c r="AC61" i="27"/>
  <c r="V68" i="27"/>
  <c r="J31" i="26"/>
  <c r="R5" i="27"/>
  <c r="AC12" i="27"/>
  <c r="P21" i="27"/>
  <c r="R31" i="27"/>
  <c r="AC49" i="27"/>
  <c r="R61" i="27"/>
  <c r="U6" i="27"/>
  <c r="W21" i="27"/>
  <c r="W24" i="27"/>
  <c r="AB60" i="27"/>
  <c r="V6" i="27"/>
  <c r="W15" i="27"/>
  <c r="C16" i="27"/>
  <c r="I16" i="27"/>
  <c r="S6" i="27"/>
  <c r="M16" i="27"/>
  <c r="AB43" i="27"/>
  <c r="H50" i="27"/>
  <c r="T6" i="27"/>
  <c r="V50" i="27"/>
  <c r="W5" i="27"/>
  <c r="T22" i="27"/>
  <c r="M26" i="27"/>
  <c r="S51" i="27"/>
  <c r="AA5" i="27"/>
  <c r="R21" i="27"/>
  <c r="U22" i="27"/>
  <c r="AA49" i="27"/>
  <c r="T51" i="27"/>
  <c r="P16" i="27"/>
  <c r="W6" i="27"/>
  <c r="Q16" i="27"/>
  <c r="C51" i="27"/>
  <c r="S16" i="27"/>
  <c r="H51" i="27"/>
  <c r="C5" i="27"/>
  <c r="U5" i="27"/>
  <c r="V15" i="27"/>
  <c r="T16" i="27"/>
  <c r="H47" i="27"/>
  <c r="I51" i="27"/>
  <c r="V5" i="27"/>
  <c r="J51" i="27"/>
  <c r="AA32" i="27"/>
  <c r="J61" i="27"/>
  <c r="C69" i="27"/>
  <c r="H69" i="27"/>
  <c r="I69" i="27"/>
  <c r="J69" i="27"/>
  <c r="P6" i="27"/>
  <c r="AA16" i="27"/>
  <c r="AA50" i="27"/>
  <c r="R69" i="27"/>
  <c r="M6" i="27"/>
  <c r="Q6" i="27"/>
  <c r="U13" i="27"/>
  <c r="C31" i="27"/>
  <c r="AB59" i="27"/>
  <c r="U69" i="27"/>
  <c r="R6" i="27"/>
  <c r="AB13" i="27"/>
  <c r="C22" i="27"/>
  <c r="AB31" i="27"/>
  <c r="U15" i="27"/>
  <c r="AB19" i="27"/>
  <c r="J26" i="27"/>
  <c r="C65" i="27"/>
  <c r="T8" i="27"/>
  <c r="W26" i="27"/>
  <c r="AA15" i="27"/>
  <c r="AB20" i="27"/>
  <c r="C68" i="27"/>
  <c r="AB5" i="27"/>
  <c r="AA6" i="27"/>
  <c r="V13" i="27"/>
  <c r="U16" i="27"/>
  <c r="H22" i="27"/>
  <c r="C27" i="27"/>
  <c r="AB50" i="27"/>
  <c r="AA51" i="27"/>
  <c r="Q63" i="27"/>
  <c r="H68" i="27"/>
  <c r="S69" i="27"/>
  <c r="AA13" i="27"/>
  <c r="W16" i="27"/>
  <c r="R19" i="27"/>
  <c r="H27" i="27"/>
  <c r="AB51" i="27"/>
  <c r="I68" i="27"/>
  <c r="T69" i="27"/>
  <c r="J68" i="27"/>
  <c r="V4" i="27"/>
  <c r="C26" i="27"/>
  <c r="I27" i="27"/>
  <c r="AA4" i="27"/>
  <c r="AB16" i="27"/>
  <c r="V19" i="27"/>
  <c r="H26" i="27"/>
  <c r="M27" i="27"/>
  <c r="AB32" i="27"/>
  <c r="J47" i="27"/>
  <c r="V59" i="27"/>
  <c r="M68" i="27"/>
  <c r="W69" i="27"/>
  <c r="U19" i="27"/>
  <c r="AB4" i="27"/>
  <c r="AB7" i="27"/>
  <c r="C15" i="27"/>
  <c r="W19" i="27"/>
  <c r="H23" i="27"/>
  <c r="I26" i="27"/>
  <c r="R27" i="27"/>
  <c r="W68" i="27"/>
  <c r="J70" i="27"/>
  <c r="I23" i="27"/>
  <c r="W59" i="27"/>
  <c r="H65" i="27"/>
  <c r="H31" i="27"/>
  <c r="T23" i="27"/>
  <c r="J31" i="27"/>
  <c r="I60" i="27"/>
  <c r="S65" i="27"/>
  <c r="J67" i="27"/>
  <c r="H60" i="27"/>
  <c r="J23" i="27"/>
  <c r="R65" i="27"/>
  <c r="U23" i="27"/>
  <c r="P25" i="27"/>
  <c r="S31" i="27"/>
  <c r="H5" i="27"/>
  <c r="C6" i="27"/>
  <c r="H13" i="27"/>
  <c r="C19" i="27"/>
  <c r="H20" i="27"/>
  <c r="W22" i="27"/>
  <c r="V23" i="27"/>
  <c r="U25" i="27"/>
  <c r="AA26" i="27"/>
  <c r="T31" i="27"/>
  <c r="T43" i="27"/>
  <c r="M47" i="27"/>
  <c r="R60" i="27"/>
  <c r="U65" i="27"/>
  <c r="U67" i="27"/>
  <c r="AA68" i="27"/>
  <c r="Q23" i="27"/>
  <c r="S23" i="27"/>
  <c r="I31" i="27"/>
  <c r="Q60" i="27"/>
  <c r="T65" i="27"/>
  <c r="M67" i="27"/>
  <c r="I5" i="27"/>
  <c r="J6" i="27"/>
  <c r="W11" i="27"/>
  <c r="I13" i="27"/>
  <c r="J16" i="27"/>
  <c r="C21" i="27"/>
  <c r="I19" i="27"/>
  <c r="I20" i="27"/>
  <c r="AA22" i="27"/>
  <c r="W23" i="27"/>
  <c r="V25" i="27"/>
  <c r="AB26" i="27"/>
  <c r="U31" i="27"/>
  <c r="AA43" i="27"/>
  <c r="S60" i="27"/>
  <c r="V65" i="27"/>
  <c r="V67" i="27"/>
  <c r="AB68" i="27"/>
  <c r="AA69" i="27"/>
  <c r="I65" i="27"/>
  <c r="I67" i="27"/>
  <c r="J5" i="27"/>
  <c r="R13" i="27"/>
  <c r="J21" i="27"/>
  <c r="J19" i="27"/>
  <c r="J20" i="27"/>
  <c r="AB22" i="27"/>
  <c r="AA23" i="27"/>
  <c r="W25" i="27"/>
  <c r="V31" i="27"/>
  <c r="R59" i="27"/>
  <c r="U60" i="27"/>
  <c r="AA64" i="27"/>
  <c r="W65" i="27"/>
  <c r="W67" i="27"/>
  <c r="AB69" i="27"/>
  <c r="S5" i="27"/>
  <c r="S13" i="27"/>
  <c r="M21" i="27"/>
  <c r="M19" i="27"/>
  <c r="M20" i="27"/>
  <c r="AB23" i="27"/>
  <c r="AB25" i="27"/>
  <c r="W31" i="27"/>
  <c r="W48" i="27"/>
  <c r="T59" i="27"/>
  <c r="V60" i="27"/>
  <c r="AA65" i="27"/>
  <c r="AB67" i="27"/>
  <c r="P65" i="27"/>
  <c r="C67" i="27"/>
  <c r="T5" i="27"/>
  <c r="V7" i="27"/>
  <c r="T13" i="27"/>
  <c r="AA20" i="27"/>
  <c r="C23" i="27"/>
  <c r="T28" i="27"/>
  <c r="M30" i="27"/>
  <c r="AA31" i="27"/>
  <c r="U59" i="27"/>
  <c r="AA60" i="27"/>
  <c r="AB65" i="27"/>
  <c r="J46" i="27"/>
  <c r="M61" i="27"/>
  <c r="P61" i="27"/>
  <c r="M46" i="27"/>
  <c r="H49" i="27"/>
  <c r="H46" i="27"/>
  <c r="J50" i="27"/>
  <c r="Q46" i="27"/>
  <c r="J49" i="27"/>
  <c r="I50" i="27"/>
  <c r="S61" i="27"/>
  <c r="S46" i="27"/>
  <c r="Q49" i="27"/>
  <c r="M50" i="27"/>
  <c r="M4" i="27"/>
  <c r="I28" i="27"/>
  <c r="M15" i="27"/>
  <c r="J13" i="27"/>
  <c r="S26" i="27"/>
  <c r="M28" i="27"/>
  <c r="V46" i="27"/>
  <c r="S49" i="27"/>
  <c r="Q50" i="27"/>
  <c r="C49" i="27"/>
  <c r="Q61" i="27"/>
  <c r="Q20" i="27"/>
  <c r="P26" i="27"/>
  <c r="C28" i="27"/>
  <c r="R46" i="27"/>
  <c r="M49" i="27"/>
  <c r="P68" i="27"/>
  <c r="H4" i="27"/>
  <c r="R20" i="27"/>
  <c r="I22" i="27"/>
  <c r="C48" i="27"/>
  <c r="Q68" i="27"/>
  <c r="J15" i="27"/>
  <c r="S20" i="27"/>
  <c r="J22" i="27"/>
  <c r="R26" i="27"/>
  <c r="I48" i="27"/>
  <c r="P50" i="27"/>
  <c r="V61" i="27"/>
  <c r="R68" i="27"/>
  <c r="Q4" i="27"/>
  <c r="T20" i="27"/>
  <c r="M22" i="27"/>
  <c r="M31" i="27"/>
  <c r="J48" i="27"/>
  <c r="H59" i="27"/>
  <c r="W61" i="27"/>
  <c r="R4" i="27"/>
  <c r="Q15" i="27"/>
  <c r="M13" i="27"/>
  <c r="U20" i="27"/>
  <c r="P22" i="27"/>
  <c r="T26" i="27"/>
  <c r="P28" i="27"/>
  <c r="P31" i="27"/>
  <c r="C32" i="27"/>
  <c r="W46" i="27"/>
  <c r="M48" i="27"/>
  <c r="U49" i="27"/>
  <c r="R50" i="27"/>
  <c r="M51" i="27"/>
  <c r="J59" i="27"/>
  <c r="J60" i="27"/>
  <c r="C61" i="27"/>
  <c r="AA61" i="27"/>
  <c r="T68" i="27"/>
  <c r="M69" i="27"/>
  <c r="C70" i="27"/>
  <c r="S4" i="27"/>
  <c r="P5" i="27"/>
  <c r="H6" i="27"/>
  <c r="V9" i="27"/>
  <c r="R15" i="27"/>
  <c r="P13" i="27"/>
  <c r="H16" i="27"/>
  <c r="V20" i="27"/>
  <c r="Q22" i="27"/>
  <c r="M23" i="27"/>
  <c r="P24" i="27"/>
  <c r="U26" i="27"/>
  <c r="Q28" i="27"/>
  <c r="Q31" i="27"/>
  <c r="R32" i="27"/>
  <c r="AA46" i="27"/>
  <c r="U48" i="27"/>
  <c r="V49" i="27"/>
  <c r="S50" i="27"/>
  <c r="P51" i="27"/>
  <c r="P59" i="27"/>
  <c r="M60" i="27"/>
  <c r="H61" i="27"/>
  <c r="AB61" i="27"/>
  <c r="J65" i="27"/>
  <c r="J66" i="27"/>
  <c r="U68" i="27"/>
  <c r="P69" i="27"/>
  <c r="H70" i="27"/>
  <c r="C46" i="27"/>
  <c r="P20" i="27"/>
  <c r="T61" i="27"/>
  <c r="H15" i="27"/>
  <c r="Q26" i="27"/>
  <c r="H28" i="27"/>
  <c r="U61" i="27"/>
  <c r="U46" i="27"/>
  <c r="R49" i="27"/>
  <c r="S68" i="27"/>
  <c r="M5" i="27"/>
  <c r="Q5" i="27"/>
  <c r="S15" i="27"/>
  <c r="Q13" i="27"/>
  <c r="C20" i="27"/>
  <c r="R22" i="27"/>
  <c r="P23" i="27"/>
  <c r="S24" i="27"/>
  <c r="W32" i="27"/>
  <c r="V48" i="27"/>
  <c r="W49" i="27"/>
  <c r="U50" i="27"/>
  <c r="Q51" i="27"/>
  <c r="Q59" i="27"/>
  <c r="P60" i="27"/>
  <c r="I61" i="27"/>
  <c r="M65" i="27"/>
  <c r="Q69" i="27"/>
  <c r="I70" i="27"/>
  <c r="U44" i="27"/>
  <c r="V45" i="27"/>
  <c r="AA11" i="27"/>
  <c r="W7" i="27"/>
  <c r="V8" i="27"/>
  <c r="AA9" i="27"/>
  <c r="AA10" i="27"/>
  <c r="AA12" i="27"/>
  <c r="J28" i="27"/>
  <c r="V28" i="27"/>
  <c r="U28" i="27"/>
  <c r="S28" i="27"/>
  <c r="U43" i="27"/>
  <c r="V44" i="27"/>
  <c r="W45" i="27"/>
  <c r="P47" i="27"/>
  <c r="AA47" i="27"/>
  <c r="C47" i="27"/>
  <c r="W47" i="27"/>
  <c r="V47" i="27"/>
  <c r="U47" i="27"/>
  <c r="T47" i="27"/>
  <c r="S63" i="27"/>
  <c r="Q66" i="27"/>
  <c r="AB66" i="27"/>
  <c r="I66" i="27"/>
  <c r="AA66" i="27"/>
  <c r="H66" i="27"/>
  <c r="W66" i="27"/>
  <c r="C66" i="27"/>
  <c r="V66" i="27"/>
  <c r="U66" i="27"/>
  <c r="T66" i="27"/>
  <c r="V10" i="27"/>
  <c r="P29" i="27"/>
  <c r="AA29" i="27"/>
  <c r="H29" i="27"/>
  <c r="W29" i="27"/>
  <c r="C29" i="27"/>
  <c r="U29" i="27"/>
  <c r="AA30" i="27"/>
  <c r="H30" i="27"/>
  <c r="T30" i="27"/>
  <c r="S30" i="27"/>
  <c r="Q30" i="27"/>
  <c r="AB11" i="27"/>
  <c r="AB9" i="27"/>
  <c r="U27" i="27"/>
  <c r="Q27" i="27"/>
  <c r="P27" i="27"/>
  <c r="J27" i="27"/>
  <c r="I30" i="27"/>
  <c r="W43" i="27"/>
  <c r="AA44" i="27"/>
  <c r="AA45" i="27"/>
  <c r="T63" i="27"/>
  <c r="I29" i="27"/>
  <c r="J30" i="27"/>
  <c r="U63" i="27"/>
  <c r="I64" i="27"/>
  <c r="V64" i="27"/>
  <c r="U64" i="27"/>
  <c r="T64" i="27"/>
  <c r="S64" i="27"/>
  <c r="R64" i="27"/>
  <c r="AB12" i="27"/>
  <c r="I12" i="27"/>
  <c r="U12" i="27"/>
  <c r="T12" i="27"/>
  <c r="R12" i="27"/>
  <c r="Q29" i="27"/>
  <c r="R30" i="27"/>
  <c r="J32" i="27"/>
  <c r="V32" i="27"/>
  <c r="U32" i="27"/>
  <c r="S32" i="27"/>
  <c r="H44" i="27"/>
  <c r="H45" i="27"/>
  <c r="C64" i="27"/>
  <c r="U7" i="27"/>
  <c r="Q7" i="27"/>
  <c r="P7" i="27"/>
  <c r="J7" i="27"/>
  <c r="H12" i="27"/>
  <c r="Q24" i="27"/>
  <c r="AB24" i="27"/>
  <c r="I24" i="27"/>
  <c r="AA24" i="27"/>
  <c r="H24" i="27"/>
  <c r="V24" i="27"/>
  <c r="AA25" i="27"/>
  <c r="H25" i="27"/>
  <c r="T25" i="27"/>
  <c r="S25" i="27"/>
  <c r="Q25" i="27"/>
  <c r="S27" i="27"/>
  <c r="R29" i="27"/>
  <c r="U30" i="27"/>
  <c r="H32" i="27"/>
  <c r="C43" i="27"/>
  <c r="M44" i="27"/>
  <c r="J45" i="27"/>
  <c r="H64" i="27"/>
  <c r="R10" i="27"/>
  <c r="J10" i="27"/>
  <c r="AB10" i="27"/>
  <c r="I10" i="27"/>
  <c r="W10" i="27"/>
  <c r="C10" i="27"/>
  <c r="J11" i="27"/>
  <c r="V11" i="27"/>
  <c r="U11" i="27"/>
  <c r="S11" i="27"/>
  <c r="P8" i="27"/>
  <c r="AA8" i="27"/>
  <c r="H8" i="27"/>
  <c r="W8" i="27"/>
  <c r="C8" i="27"/>
  <c r="U8" i="27"/>
  <c r="W9" i="27"/>
  <c r="C9" i="27"/>
  <c r="S9" i="27"/>
  <c r="R9" i="27"/>
  <c r="P9" i="27"/>
  <c r="C12" i="27"/>
  <c r="M11" i="27"/>
  <c r="I7" i="27"/>
  <c r="J8" i="27"/>
  <c r="J9" i="27"/>
  <c r="P10" i="27"/>
  <c r="M12" i="27"/>
  <c r="W4" i="27"/>
  <c r="C4" i="27"/>
  <c r="T4" i="27"/>
  <c r="I32" i="27"/>
  <c r="H43" i="27"/>
  <c r="P44" i="27"/>
  <c r="J64" i="27"/>
  <c r="AB45" i="27"/>
  <c r="I45" i="27"/>
  <c r="U45" i="27"/>
  <c r="T45" i="27"/>
  <c r="R45" i="27"/>
  <c r="C7" i="27"/>
  <c r="M29" i="27"/>
  <c r="I11" i="27"/>
  <c r="I8" i="27"/>
  <c r="I9" i="27"/>
  <c r="M10" i="27"/>
  <c r="J12" i="27"/>
  <c r="I4" i="27"/>
  <c r="P11" i="27"/>
  <c r="M7" i="27"/>
  <c r="M8" i="27"/>
  <c r="M9" i="27"/>
  <c r="Q10" i="27"/>
  <c r="P12" i="27"/>
  <c r="C25" i="27"/>
  <c r="T27" i="27"/>
  <c r="S29" i="27"/>
  <c r="V30" i="27"/>
  <c r="J4" i="27"/>
  <c r="Q11" i="27"/>
  <c r="R7" i="27"/>
  <c r="Q8" i="27"/>
  <c r="Q9" i="27"/>
  <c r="S10" i="27"/>
  <c r="Q12" i="27"/>
  <c r="Q21" i="27"/>
  <c r="AB21" i="27"/>
  <c r="I21" i="27"/>
  <c r="AA21" i="27"/>
  <c r="H21" i="27"/>
  <c r="V21" i="27"/>
  <c r="AA19" i="27"/>
  <c r="H19" i="27"/>
  <c r="T19" i="27"/>
  <c r="S19" i="27"/>
  <c r="Q19" i="27"/>
  <c r="C24" i="27"/>
  <c r="I25" i="27"/>
  <c r="W28" i="27"/>
  <c r="V27" i="27"/>
  <c r="T29" i="27"/>
  <c r="W30" i="27"/>
  <c r="M32" i="27"/>
  <c r="Q44" i="27"/>
  <c r="P45" i="27"/>
  <c r="Q47" i="27"/>
  <c r="P64" i="27"/>
  <c r="P66" i="27"/>
  <c r="H11" i="27"/>
  <c r="P30" i="27"/>
  <c r="V43" i="27"/>
  <c r="R43" i="27"/>
  <c r="Q43" i="27"/>
  <c r="M43" i="27"/>
  <c r="C45" i="27"/>
  <c r="H7" i="27"/>
  <c r="J24" i="27"/>
  <c r="J25" i="27"/>
  <c r="AA28" i="27"/>
  <c r="W27" i="27"/>
  <c r="V29" i="27"/>
  <c r="AB30" i="27"/>
  <c r="P32" i="27"/>
  <c r="P43" i="27"/>
  <c r="Q45" i="27"/>
  <c r="R47" i="27"/>
  <c r="AA48" i="27"/>
  <c r="H48" i="27"/>
  <c r="T48" i="27"/>
  <c r="S48" i="27"/>
  <c r="R48" i="27"/>
  <c r="Q48" i="27"/>
  <c r="P48" i="27"/>
  <c r="Q64" i="27"/>
  <c r="R66" i="27"/>
  <c r="R44" i="27"/>
  <c r="J44" i="27"/>
  <c r="AB44" i="27"/>
  <c r="I44" i="27"/>
  <c r="W44" i="27"/>
  <c r="C44" i="27"/>
  <c r="R63" i="27"/>
  <c r="I63" i="27"/>
  <c r="AB63" i="27"/>
  <c r="H63" i="27"/>
  <c r="AA63" i="27"/>
  <c r="C63" i="27"/>
  <c r="W63" i="27"/>
  <c r="V63" i="27"/>
  <c r="R11" i="27"/>
  <c r="S7" i="27"/>
  <c r="R8" i="27"/>
  <c r="T9" i="27"/>
  <c r="T10" i="27"/>
  <c r="S12" i="27"/>
  <c r="P4" i="27"/>
  <c r="T11" i="27"/>
  <c r="T7" i="27"/>
  <c r="S8" i="27"/>
  <c r="U9" i="27"/>
  <c r="U10" i="27"/>
  <c r="V12" i="27"/>
  <c r="M24" i="27"/>
  <c r="M25" i="27"/>
  <c r="AB28" i="27"/>
  <c r="AA27" i="27"/>
  <c r="AB29" i="27"/>
  <c r="Q32" i="27"/>
  <c r="S43" i="27"/>
  <c r="T44" i="27"/>
  <c r="S45" i="27"/>
  <c r="S47" i="27"/>
  <c r="P63" i="27"/>
  <c r="W64" i="27"/>
  <c r="S66" i="27"/>
  <c r="AB70" i="27"/>
  <c r="P67" i="27"/>
  <c r="I15" i="27"/>
  <c r="AB15" i="27"/>
  <c r="S22" i="27"/>
  <c r="I46" i="27"/>
  <c r="AB46" i="27"/>
  <c r="I49" i="27"/>
  <c r="AB49" i="27"/>
  <c r="T50" i="27"/>
  <c r="C59" i="27"/>
  <c r="AA59" i="27"/>
  <c r="T60" i="27"/>
  <c r="Q67" i="27"/>
  <c r="R67" i="27"/>
  <c r="P70" i="27"/>
  <c r="Q70" i="27"/>
  <c r="S67" i="27"/>
  <c r="P15" i="27"/>
  <c r="C13" i="27"/>
  <c r="R16" i="27"/>
  <c r="P46" i="27"/>
  <c r="P49" i="27"/>
  <c r="C50" i="27"/>
  <c r="M59" i="27"/>
  <c r="C60" i="27"/>
  <c r="T67" i="27"/>
  <c r="R70" i="27"/>
  <c r="S70" i="27"/>
  <c r="T70" i="27"/>
  <c r="U70" i="27"/>
  <c r="H67" i="27"/>
  <c r="V70" i="27"/>
  <c r="W70" i="27"/>
  <c r="J54" i="26"/>
  <c r="P54" i="26"/>
  <c r="R54" i="26"/>
  <c r="S54" i="26"/>
  <c r="T54" i="26"/>
  <c r="U54" i="26"/>
  <c r="M54" i="26"/>
  <c r="Q54" i="26"/>
  <c r="V54" i="26"/>
  <c r="W54" i="26"/>
  <c r="C54" i="26"/>
  <c r="AA54" i="26"/>
  <c r="H54" i="26"/>
  <c r="J47" i="26"/>
  <c r="M47" i="26"/>
  <c r="J64" i="26"/>
  <c r="P64" i="26"/>
  <c r="Q64" i="26"/>
  <c r="R64" i="26"/>
  <c r="S64" i="26"/>
  <c r="T64" i="26"/>
  <c r="U64" i="26"/>
  <c r="V64" i="26"/>
  <c r="W64" i="26"/>
  <c r="C64" i="26"/>
  <c r="AA64" i="26"/>
  <c r="H64" i="26"/>
  <c r="AB64" i="26"/>
  <c r="P47" i="26"/>
  <c r="Q47" i="26"/>
  <c r="R47" i="26"/>
  <c r="S47" i="26"/>
  <c r="T47" i="26"/>
  <c r="U47" i="26"/>
  <c r="V47" i="26"/>
  <c r="C47" i="26"/>
  <c r="W47" i="26"/>
  <c r="H47" i="26"/>
  <c r="AA47" i="26"/>
  <c r="I47" i="26"/>
  <c r="M31" i="26"/>
  <c r="Q31" i="26"/>
  <c r="T31" i="26"/>
  <c r="P31" i="26"/>
  <c r="S31" i="26"/>
  <c r="C31" i="26"/>
  <c r="W31" i="26"/>
  <c r="H31" i="26"/>
  <c r="AA31" i="26"/>
  <c r="AB31" i="26"/>
  <c r="R31" i="26"/>
  <c r="U31" i="26"/>
  <c r="V31" i="26"/>
  <c r="I31" i="26"/>
  <c r="AD28" i="26" l="1"/>
  <c r="AB28" i="26" s="1"/>
  <c r="AD29" i="26"/>
  <c r="C29" i="26" s="1"/>
  <c r="AB71" i="26"/>
  <c r="AA71" i="26"/>
  <c r="W71" i="26"/>
  <c r="V71" i="26"/>
  <c r="U71" i="26"/>
  <c r="T71" i="26"/>
  <c r="S71" i="26"/>
  <c r="R71" i="26"/>
  <c r="Q71" i="26"/>
  <c r="P71" i="26"/>
  <c r="M71" i="26"/>
  <c r="J71" i="26"/>
  <c r="I71" i="26"/>
  <c r="H71" i="26"/>
  <c r="C71" i="26"/>
  <c r="AB70" i="26"/>
  <c r="AA70" i="26"/>
  <c r="W70" i="26"/>
  <c r="V70" i="26"/>
  <c r="U70" i="26"/>
  <c r="T70" i="26"/>
  <c r="S70" i="26"/>
  <c r="R70" i="26"/>
  <c r="Q70" i="26"/>
  <c r="P70" i="26"/>
  <c r="M70" i="26"/>
  <c r="J70" i="26"/>
  <c r="I70" i="26"/>
  <c r="H70" i="26"/>
  <c r="C70" i="26"/>
  <c r="AB69" i="26"/>
  <c r="AA69" i="26"/>
  <c r="W69" i="26"/>
  <c r="V69" i="26"/>
  <c r="U69" i="26"/>
  <c r="T69" i="26"/>
  <c r="S69" i="26"/>
  <c r="R69" i="26"/>
  <c r="Q69" i="26"/>
  <c r="P69" i="26"/>
  <c r="M69" i="26"/>
  <c r="J69" i="26"/>
  <c r="I69" i="26"/>
  <c r="H69" i="26"/>
  <c r="C69" i="26"/>
  <c r="AB68" i="26"/>
  <c r="AA68" i="26"/>
  <c r="W68" i="26"/>
  <c r="V68" i="26"/>
  <c r="U68" i="26"/>
  <c r="T68" i="26"/>
  <c r="S68" i="26"/>
  <c r="R68" i="26"/>
  <c r="Q68" i="26"/>
  <c r="P68" i="26"/>
  <c r="M68" i="26"/>
  <c r="J68" i="26"/>
  <c r="I68" i="26"/>
  <c r="H68" i="26"/>
  <c r="C68" i="26"/>
  <c r="AB67" i="26"/>
  <c r="AA67" i="26"/>
  <c r="W67" i="26"/>
  <c r="V67" i="26"/>
  <c r="U67" i="26"/>
  <c r="T67" i="26"/>
  <c r="S67" i="26"/>
  <c r="R67" i="26"/>
  <c r="Q67" i="26"/>
  <c r="P67" i="26"/>
  <c r="M67" i="26"/>
  <c r="J67" i="26"/>
  <c r="I67" i="26"/>
  <c r="H67" i="26"/>
  <c r="C67" i="26"/>
  <c r="AB66" i="26"/>
  <c r="AA66" i="26"/>
  <c r="W66" i="26"/>
  <c r="V66" i="26"/>
  <c r="U66" i="26"/>
  <c r="T66" i="26"/>
  <c r="S66" i="26"/>
  <c r="R66" i="26"/>
  <c r="Q66" i="26"/>
  <c r="P66" i="26"/>
  <c r="M66" i="26"/>
  <c r="J66" i="26"/>
  <c r="I66" i="26"/>
  <c r="H66" i="26"/>
  <c r="C66" i="26"/>
  <c r="AD63" i="26"/>
  <c r="AA63" i="26" s="1"/>
  <c r="AC63" i="26"/>
  <c r="AD62" i="26"/>
  <c r="AA62" i="26" s="1"/>
  <c r="AD61" i="26"/>
  <c r="U61" i="26" s="1"/>
  <c r="AC61" i="26"/>
  <c r="AD60" i="26"/>
  <c r="J60" i="26" s="1"/>
  <c r="AD59" i="26"/>
  <c r="AA59" i="26" s="1"/>
  <c r="AD58" i="26"/>
  <c r="AA58" i="26" s="1"/>
  <c r="AC58" i="26"/>
  <c r="AD57" i="26"/>
  <c r="I57" i="26" s="1"/>
  <c r="AC57" i="26"/>
  <c r="AD56" i="26"/>
  <c r="AB56" i="26" s="1"/>
  <c r="AD55" i="26"/>
  <c r="AB55" i="26" s="1"/>
  <c r="AD51" i="26"/>
  <c r="AB51" i="26"/>
  <c r="AA51" i="26"/>
  <c r="W51" i="26"/>
  <c r="V51" i="26"/>
  <c r="U51" i="26"/>
  <c r="T51" i="26"/>
  <c r="S51" i="26"/>
  <c r="R51" i="26"/>
  <c r="Q51" i="26"/>
  <c r="P51" i="26"/>
  <c r="J51" i="26"/>
  <c r="H51" i="26"/>
  <c r="C51" i="26"/>
  <c r="AB50" i="26"/>
  <c r="AA50" i="26"/>
  <c r="W50" i="26"/>
  <c r="V50" i="26"/>
  <c r="U50" i="26"/>
  <c r="T50" i="26"/>
  <c r="S50" i="26"/>
  <c r="R50" i="26"/>
  <c r="Q50" i="26"/>
  <c r="P50" i="26"/>
  <c r="M50" i="26"/>
  <c r="J50" i="26"/>
  <c r="I50" i="26"/>
  <c r="H50" i="26"/>
  <c r="C50" i="26"/>
  <c r="AB49" i="26"/>
  <c r="AA49" i="26"/>
  <c r="W49" i="26"/>
  <c r="V49" i="26"/>
  <c r="U49" i="26"/>
  <c r="T49" i="26"/>
  <c r="S49" i="26"/>
  <c r="R49" i="26"/>
  <c r="Q49" i="26"/>
  <c r="P49" i="26"/>
  <c r="M49" i="26"/>
  <c r="J49" i="26"/>
  <c r="I49" i="26"/>
  <c r="H49" i="26"/>
  <c r="C49" i="26"/>
  <c r="AB48" i="26"/>
  <c r="AA48" i="26"/>
  <c r="W48" i="26"/>
  <c r="V48" i="26"/>
  <c r="U48" i="26"/>
  <c r="T48" i="26"/>
  <c r="S48" i="26"/>
  <c r="R48" i="26"/>
  <c r="Q48" i="26"/>
  <c r="P48" i="26"/>
  <c r="M48" i="26"/>
  <c r="J48" i="26"/>
  <c r="I48" i="26"/>
  <c r="H48" i="26"/>
  <c r="C48" i="26"/>
  <c r="AD46" i="26"/>
  <c r="R46" i="26" s="1"/>
  <c r="AD45" i="26"/>
  <c r="W45" i="26" s="1"/>
  <c r="AD44" i="26"/>
  <c r="AB44" i="26" s="1"/>
  <c r="AD43" i="26"/>
  <c r="AA43" i="26" s="1"/>
  <c r="AD42" i="26"/>
  <c r="J42" i="26" s="1"/>
  <c r="AD41" i="26"/>
  <c r="U41" i="26" s="1"/>
  <c r="AD40" i="26"/>
  <c r="J40" i="26" s="1"/>
  <c r="AD39" i="26"/>
  <c r="R39" i="26" s="1"/>
  <c r="AB35" i="26"/>
  <c r="AA35" i="26"/>
  <c r="W35" i="26"/>
  <c r="V35" i="26"/>
  <c r="U35" i="26"/>
  <c r="T35" i="26"/>
  <c r="S35" i="26"/>
  <c r="R35" i="26"/>
  <c r="Q35" i="26"/>
  <c r="P35" i="26"/>
  <c r="M35" i="26"/>
  <c r="J35" i="26"/>
  <c r="I35" i="26"/>
  <c r="H35" i="26"/>
  <c r="C35" i="26"/>
  <c r="AB34" i="26"/>
  <c r="AA34" i="26"/>
  <c r="W34" i="26"/>
  <c r="V34" i="26"/>
  <c r="U34" i="26"/>
  <c r="T34" i="26"/>
  <c r="S34" i="26"/>
  <c r="R34" i="26"/>
  <c r="Q34" i="26"/>
  <c r="P34" i="26"/>
  <c r="M34" i="26"/>
  <c r="J34" i="26"/>
  <c r="I34" i="26"/>
  <c r="H34" i="26"/>
  <c r="C34" i="26"/>
  <c r="AB33" i="26"/>
  <c r="AA33" i="26"/>
  <c r="W33" i="26"/>
  <c r="V33" i="26"/>
  <c r="U33" i="26"/>
  <c r="T33" i="26"/>
  <c r="S33" i="26"/>
  <c r="R33" i="26"/>
  <c r="Q33" i="26"/>
  <c r="P33" i="26"/>
  <c r="M33" i="26"/>
  <c r="J33" i="26"/>
  <c r="I33" i="26"/>
  <c r="H33" i="26"/>
  <c r="C33" i="26"/>
  <c r="AB32" i="26"/>
  <c r="AA32" i="26"/>
  <c r="W32" i="26"/>
  <c r="V32" i="26"/>
  <c r="U32" i="26"/>
  <c r="T32" i="26"/>
  <c r="S32" i="26"/>
  <c r="R32" i="26"/>
  <c r="Q32" i="26"/>
  <c r="P32" i="26"/>
  <c r="M32" i="26"/>
  <c r="J32" i="26"/>
  <c r="I32" i="26"/>
  <c r="C32" i="26"/>
  <c r="AD30" i="26"/>
  <c r="Q30" i="26" s="1"/>
  <c r="AD27" i="26"/>
  <c r="R27" i="26" s="1"/>
  <c r="AC27" i="26"/>
  <c r="AD26" i="26"/>
  <c r="AB26" i="26" s="1"/>
  <c r="AC26" i="26"/>
  <c r="AD25" i="26"/>
  <c r="R25" i="26" s="1"/>
  <c r="AC25" i="26"/>
  <c r="AD24" i="26"/>
  <c r="W24" i="26" s="1"/>
  <c r="AC24" i="26"/>
  <c r="AD23" i="26"/>
  <c r="J23" i="26" s="1"/>
  <c r="AC23" i="26"/>
  <c r="AD22" i="26"/>
  <c r="U22" i="26" s="1"/>
  <c r="AC22" i="26"/>
  <c r="AD21" i="26"/>
  <c r="AB21" i="26" s="1"/>
  <c r="AD20" i="26"/>
  <c r="R20" i="26" s="1"/>
  <c r="AC20" i="26"/>
  <c r="AD19" i="26"/>
  <c r="W19" i="26" s="1"/>
  <c r="AC19" i="26"/>
  <c r="AD18" i="26"/>
  <c r="J18" i="26" s="1"/>
  <c r="AC18" i="26"/>
  <c r="AD17" i="26"/>
  <c r="U17" i="26" s="1"/>
  <c r="AD16" i="26"/>
  <c r="J16" i="26" s="1"/>
  <c r="AD15" i="26"/>
  <c r="T15" i="26" s="1"/>
  <c r="AD14" i="26"/>
  <c r="J14" i="26" s="1"/>
  <c r="AD13" i="26"/>
  <c r="T13" i="26" s="1"/>
  <c r="AD12" i="26"/>
  <c r="AB12" i="26" s="1"/>
  <c r="AD11" i="26"/>
  <c r="R11" i="26" s="1"/>
  <c r="AD10" i="26"/>
  <c r="W10" i="26" s="1"/>
  <c r="AD9" i="26"/>
  <c r="J9" i="26" s="1"/>
  <c r="AD8" i="26"/>
  <c r="T8" i="26" s="1"/>
  <c r="AD7" i="26"/>
  <c r="AA7" i="26" s="1"/>
  <c r="AD6" i="26"/>
  <c r="AA6" i="26" s="1"/>
  <c r="AD5" i="26"/>
  <c r="T5" i="26" s="1"/>
  <c r="AD4" i="26"/>
  <c r="J4" i="26" s="1"/>
  <c r="AB78" i="25"/>
  <c r="AA78" i="25"/>
  <c r="W78" i="25"/>
  <c r="V78" i="25"/>
  <c r="U78" i="25"/>
  <c r="T78" i="25"/>
  <c r="S78" i="25"/>
  <c r="R78" i="25"/>
  <c r="Q78" i="25"/>
  <c r="P78" i="25"/>
  <c r="M78" i="25"/>
  <c r="J78" i="25"/>
  <c r="I78" i="25"/>
  <c r="H78" i="25"/>
  <c r="C78" i="25"/>
  <c r="AB77" i="25"/>
  <c r="AA77" i="25"/>
  <c r="W77" i="25"/>
  <c r="V77" i="25"/>
  <c r="U77" i="25"/>
  <c r="T77" i="25"/>
  <c r="S77" i="25"/>
  <c r="R77" i="25"/>
  <c r="Q77" i="25"/>
  <c r="P77" i="25"/>
  <c r="M77" i="25"/>
  <c r="J77" i="25"/>
  <c r="I77" i="25"/>
  <c r="H77" i="25"/>
  <c r="C77" i="25"/>
  <c r="AB76" i="25"/>
  <c r="AA76" i="25"/>
  <c r="W76" i="25"/>
  <c r="V76" i="25"/>
  <c r="U76" i="25"/>
  <c r="T76" i="25"/>
  <c r="S76" i="25"/>
  <c r="R76" i="25"/>
  <c r="Q76" i="25"/>
  <c r="P76" i="25"/>
  <c r="M76" i="25"/>
  <c r="J76" i="25"/>
  <c r="I76" i="25"/>
  <c r="H76" i="25"/>
  <c r="C76" i="25"/>
  <c r="AB75" i="25"/>
  <c r="AA75" i="25"/>
  <c r="W75" i="25"/>
  <c r="V75" i="25"/>
  <c r="U75" i="25"/>
  <c r="T75" i="25"/>
  <c r="S75" i="25"/>
  <c r="R75" i="25"/>
  <c r="Q75" i="25"/>
  <c r="P75" i="25"/>
  <c r="M75" i="25"/>
  <c r="J75" i="25"/>
  <c r="I75" i="25"/>
  <c r="H75" i="25"/>
  <c r="C75" i="25"/>
  <c r="AB74" i="25"/>
  <c r="AA74" i="25"/>
  <c r="W74" i="25"/>
  <c r="V74" i="25"/>
  <c r="U74" i="25"/>
  <c r="T74" i="25"/>
  <c r="S74" i="25"/>
  <c r="R74" i="25"/>
  <c r="Q74" i="25"/>
  <c r="P74" i="25"/>
  <c r="M74" i="25"/>
  <c r="J74" i="25"/>
  <c r="I74" i="25"/>
  <c r="H74" i="25"/>
  <c r="C74" i="25"/>
  <c r="AB73" i="25"/>
  <c r="AA73" i="25"/>
  <c r="W73" i="25"/>
  <c r="V73" i="25"/>
  <c r="U73" i="25"/>
  <c r="T73" i="25"/>
  <c r="S73" i="25"/>
  <c r="R73" i="25"/>
  <c r="Q73" i="25"/>
  <c r="P73" i="25"/>
  <c r="M73" i="25"/>
  <c r="J73" i="25"/>
  <c r="I73" i="25"/>
  <c r="H73" i="25"/>
  <c r="C73" i="25"/>
  <c r="AB72" i="25"/>
  <c r="AA72" i="25"/>
  <c r="W72" i="25"/>
  <c r="V72" i="25"/>
  <c r="U72" i="25"/>
  <c r="T72" i="25"/>
  <c r="S72" i="25"/>
  <c r="R72" i="25"/>
  <c r="Q72" i="25"/>
  <c r="P72" i="25"/>
  <c r="M72" i="25"/>
  <c r="J72" i="25"/>
  <c r="I72" i="25"/>
  <c r="H72" i="25"/>
  <c r="C72" i="25"/>
  <c r="AD71" i="25"/>
  <c r="AA71" i="25" s="1"/>
  <c r="AC71" i="25"/>
  <c r="AD70" i="25"/>
  <c r="Q70" i="25" s="1"/>
  <c r="AD69" i="25"/>
  <c r="V69" i="25" s="1"/>
  <c r="AC69" i="25"/>
  <c r="AD68" i="25"/>
  <c r="P68" i="25" s="1"/>
  <c r="AD67" i="25"/>
  <c r="S67" i="25" s="1"/>
  <c r="AD66" i="25"/>
  <c r="AA66" i="25" s="1"/>
  <c r="AC66" i="25"/>
  <c r="AD65" i="25"/>
  <c r="Q65" i="25" s="1"/>
  <c r="AC65" i="25"/>
  <c r="AD64" i="25"/>
  <c r="U64" i="25" s="1"/>
  <c r="W64" i="25"/>
  <c r="V64" i="25"/>
  <c r="AD63" i="25"/>
  <c r="AB63" i="25" s="1"/>
  <c r="AD61" i="25"/>
  <c r="Q61" i="25" s="1"/>
  <c r="AD60" i="25"/>
  <c r="W60" i="25" s="1"/>
  <c r="AD59" i="25"/>
  <c r="V59" i="25" s="1"/>
  <c r="AD56" i="25"/>
  <c r="AB56" i="25"/>
  <c r="AA56" i="25"/>
  <c r="W56" i="25"/>
  <c r="V56" i="25"/>
  <c r="U56" i="25"/>
  <c r="T56" i="25"/>
  <c r="S56" i="25"/>
  <c r="R56" i="25"/>
  <c r="Q56" i="25"/>
  <c r="P56" i="25"/>
  <c r="J56" i="25"/>
  <c r="H56" i="25"/>
  <c r="C56" i="25"/>
  <c r="AB55" i="25"/>
  <c r="AA55" i="25"/>
  <c r="W55" i="25"/>
  <c r="V55" i="25"/>
  <c r="U55" i="25"/>
  <c r="T55" i="25"/>
  <c r="S55" i="25"/>
  <c r="R55" i="25"/>
  <c r="Q55" i="25"/>
  <c r="P55" i="25"/>
  <c r="M55" i="25"/>
  <c r="J55" i="25"/>
  <c r="I55" i="25"/>
  <c r="H55" i="25"/>
  <c r="C55" i="25"/>
  <c r="AB54" i="25"/>
  <c r="AA54" i="25"/>
  <c r="W54" i="25"/>
  <c r="V54" i="25"/>
  <c r="U54" i="25"/>
  <c r="T54" i="25"/>
  <c r="S54" i="25"/>
  <c r="R54" i="25"/>
  <c r="Q54" i="25"/>
  <c r="P54" i="25"/>
  <c r="M54" i="25"/>
  <c r="J54" i="25"/>
  <c r="I54" i="25"/>
  <c r="H54" i="25"/>
  <c r="C54" i="25"/>
  <c r="AB53" i="25"/>
  <c r="AA53" i="25"/>
  <c r="W53" i="25"/>
  <c r="V53" i="25"/>
  <c r="U53" i="25"/>
  <c r="T53" i="25"/>
  <c r="S53" i="25"/>
  <c r="R53" i="25"/>
  <c r="Q53" i="25"/>
  <c r="P53" i="25"/>
  <c r="M53" i="25"/>
  <c r="J53" i="25"/>
  <c r="I53" i="25"/>
  <c r="H53" i="25"/>
  <c r="C53" i="25"/>
  <c r="AD52" i="25"/>
  <c r="Q52" i="25" s="1"/>
  <c r="AD51" i="25"/>
  <c r="W51" i="25" s="1"/>
  <c r="AD50" i="25"/>
  <c r="V50" i="25" s="1"/>
  <c r="AD49" i="25"/>
  <c r="P49" i="25" s="1"/>
  <c r="AC49" i="25"/>
  <c r="AD48" i="25"/>
  <c r="AA48" i="25" s="1"/>
  <c r="AD47" i="25"/>
  <c r="W47" i="25" s="1"/>
  <c r="AD46" i="25"/>
  <c r="U46" i="25" s="1"/>
  <c r="AD45" i="25"/>
  <c r="J45" i="25" s="1"/>
  <c r="AD44" i="25"/>
  <c r="R44" i="25" s="1"/>
  <c r="AA44" i="25"/>
  <c r="AB40" i="25"/>
  <c r="AA40" i="25"/>
  <c r="W40" i="25"/>
  <c r="V40" i="25"/>
  <c r="U40" i="25"/>
  <c r="T40" i="25"/>
  <c r="S40" i="25"/>
  <c r="R40" i="25"/>
  <c r="Q40" i="25"/>
  <c r="P40" i="25"/>
  <c r="M40" i="25"/>
  <c r="J40" i="25"/>
  <c r="I40" i="25"/>
  <c r="H40" i="25"/>
  <c r="C40" i="25"/>
  <c r="AB39" i="25"/>
  <c r="AA39" i="25"/>
  <c r="W39" i="25"/>
  <c r="V39" i="25"/>
  <c r="U39" i="25"/>
  <c r="T39" i="25"/>
  <c r="S39" i="25"/>
  <c r="R39" i="25"/>
  <c r="Q39" i="25"/>
  <c r="P39" i="25"/>
  <c r="M39" i="25"/>
  <c r="J39" i="25"/>
  <c r="I39" i="25"/>
  <c r="H39" i="25"/>
  <c r="C39" i="25"/>
  <c r="AB38" i="25"/>
  <c r="AA38" i="25"/>
  <c r="W38" i="25"/>
  <c r="V38" i="25"/>
  <c r="U38" i="25"/>
  <c r="T38" i="25"/>
  <c r="S38" i="25"/>
  <c r="R38" i="25"/>
  <c r="Q38" i="25"/>
  <c r="P38" i="25"/>
  <c r="M38" i="25"/>
  <c r="J38" i="25"/>
  <c r="I38" i="25"/>
  <c r="H38" i="25"/>
  <c r="C38" i="25"/>
  <c r="AB37" i="25"/>
  <c r="AA37" i="25"/>
  <c r="W37" i="25"/>
  <c r="V37" i="25"/>
  <c r="U37" i="25"/>
  <c r="T37" i="25"/>
  <c r="S37" i="25"/>
  <c r="R37" i="25"/>
  <c r="Q37" i="25"/>
  <c r="P37" i="25"/>
  <c r="M37" i="25"/>
  <c r="J37" i="25"/>
  <c r="I37" i="25"/>
  <c r="H37" i="25"/>
  <c r="C37" i="25"/>
  <c r="AD36" i="25"/>
  <c r="V36" i="25" s="1"/>
  <c r="AD35" i="25"/>
  <c r="AB35" i="25" s="1"/>
  <c r="AD34" i="25"/>
  <c r="Q34" i="25" s="1"/>
  <c r="AC34" i="25"/>
  <c r="AD33" i="25"/>
  <c r="W33" i="25" s="1"/>
  <c r="AC33" i="25"/>
  <c r="AD32" i="25"/>
  <c r="W32" i="25" s="1"/>
  <c r="AC32" i="25"/>
  <c r="T32" i="25"/>
  <c r="AD31" i="25"/>
  <c r="U31" i="25" s="1"/>
  <c r="AC31" i="25"/>
  <c r="AD30" i="25"/>
  <c r="J30" i="25" s="1"/>
  <c r="AC30" i="25"/>
  <c r="AD29" i="25"/>
  <c r="S29" i="25" s="1"/>
  <c r="AC29" i="25"/>
  <c r="AD28" i="25"/>
  <c r="W28" i="25" s="1"/>
  <c r="AD27" i="25"/>
  <c r="W27" i="25" s="1"/>
  <c r="AC27" i="25"/>
  <c r="AD26" i="25"/>
  <c r="U26" i="25" s="1"/>
  <c r="AC26" i="25"/>
  <c r="AD25" i="25"/>
  <c r="J25" i="25" s="1"/>
  <c r="AC25" i="25"/>
  <c r="AD24" i="25"/>
  <c r="S24" i="25" s="1"/>
  <c r="AD23" i="25"/>
  <c r="AA23" i="25" s="1"/>
  <c r="AD22" i="25"/>
  <c r="P22" i="25" s="1"/>
  <c r="AC22" i="25"/>
  <c r="AD21" i="25"/>
  <c r="V21" i="25" s="1"/>
  <c r="AC21" i="25"/>
  <c r="AD20" i="25"/>
  <c r="J20" i="25" s="1"/>
  <c r="AC20" i="25"/>
  <c r="AD19" i="25"/>
  <c r="R19" i="25" s="1"/>
  <c r="AD18" i="25"/>
  <c r="AB18" i="25" s="1"/>
  <c r="AD17" i="25"/>
  <c r="Q17" i="25" s="1"/>
  <c r="W17" i="25"/>
  <c r="V17" i="25"/>
  <c r="AD16" i="25"/>
  <c r="W16" i="25" s="1"/>
  <c r="AD15" i="25"/>
  <c r="W15" i="25" s="1"/>
  <c r="AD14" i="25"/>
  <c r="U14" i="25" s="1"/>
  <c r="AD13" i="25"/>
  <c r="J13" i="25" s="1"/>
  <c r="AD12" i="25"/>
  <c r="Q12" i="25" s="1"/>
  <c r="AD11" i="25"/>
  <c r="V11" i="25" s="1"/>
  <c r="AD10" i="25"/>
  <c r="J10" i="25" s="1"/>
  <c r="AD9" i="25"/>
  <c r="U9" i="25" s="1"/>
  <c r="AD8" i="25"/>
  <c r="AB8" i="25" s="1"/>
  <c r="AD7" i="25"/>
  <c r="P7" i="25" s="1"/>
  <c r="AD6" i="25"/>
  <c r="U6" i="25" s="1"/>
  <c r="AD5" i="25"/>
  <c r="J5" i="25" s="1"/>
  <c r="AD4" i="25"/>
  <c r="R4" i="25" s="1"/>
  <c r="AB82" i="24"/>
  <c r="AA82" i="24"/>
  <c r="W82" i="24"/>
  <c r="V82" i="24"/>
  <c r="U82" i="24"/>
  <c r="T82" i="24"/>
  <c r="S82" i="24"/>
  <c r="R82" i="24"/>
  <c r="Q82" i="24"/>
  <c r="P82" i="24"/>
  <c r="M82" i="24"/>
  <c r="J82" i="24"/>
  <c r="I82" i="24"/>
  <c r="H82" i="24"/>
  <c r="C82" i="24"/>
  <c r="AB81" i="24"/>
  <c r="AA81" i="24"/>
  <c r="W81" i="24"/>
  <c r="V81" i="24"/>
  <c r="U81" i="24"/>
  <c r="T81" i="24"/>
  <c r="S81" i="24"/>
  <c r="R81" i="24"/>
  <c r="Q81" i="24"/>
  <c r="P81" i="24"/>
  <c r="M81" i="24"/>
  <c r="J81" i="24"/>
  <c r="I81" i="24"/>
  <c r="H81" i="24"/>
  <c r="C81" i="24"/>
  <c r="AB80" i="24"/>
  <c r="AA80" i="24"/>
  <c r="W80" i="24"/>
  <c r="V80" i="24"/>
  <c r="U80" i="24"/>
  <c r="T80" i="24"/>
  <c r="S80" i="24"/>
  <c r="R80" i="24"/>
  <c r="Q80" i="24"/>
  <c r="P80" i="24"/>
  <c r="M80" i="24"/>
  <c r="J80" i="24"/>
  <c r="I80" i="24"/>
  <c r="H80" i="24"/>
  <c r="C80" i="24"/>
  <c r="AB79" i="24"/>
  <c r="AA79" i="24"/>
  <c r="W79" i="24"/>
  <c r="V79" i="24"/>
  <c r="U79" i="24"/>
  <c r="T79" i="24"/>
  <c r="S79" i="24"/>
  <c r="R79" i="24"/>
  <c r="Q79" i="24"/>
  <c r="P79" i="24"/>
  <c r="M79" i="24"/>
  <c r="J79" i="24"/>
  <c r="I79" i="24"/>
  <c r="H79" i="24"/>
  <c r="C79" i="24"/>
  <c r="AB78" i="24"/>
  <c r="AA78" i="24"/>
  <c r="W78" i="24"/>
  <c r="V78" i="24"/>
  <c r="U78" i="24"/>
  <c r="T78" i="24"/>
  <c r="S78" i="24"/>
  <c r="R78" i="24"/>
  <c r="Q78" i="24"/>
  <c r="P78" i="24"/>
  <c r="M78" i="24"/>
  <c r="J78" i="24"/>
  <c r="I78" i="24"/>
  <c r="H78" i="24"/>
  <c r="C78" i="24"/>
  <c r="AB77" i="24"/>
  <c r="AA77" i="24"/>
  <c r="W77" i="24"/>
  <c r="V77" i="24"/>
  <c r="U77" i="24"/>
  <c r="T77" i="24"/>
  <c r="S77" i="24"/>
  <c r="R77" i="24"/>
  <c r="Q77" i="24"/>
  <c r="P77" i="24"/>
  <c r="M77" i="24"/>
  <c r="J77" i="24"/>
  <c r="I77" i="24"/>
  <c r="H77" i="24"/>
  <c r="C77" i="24"/>
  <c r="AB76" i="24"/>
  <c r="AA76" i="24"/>
  <c r="W76" i="24"/>
  <c r="V76" i="24"/>
  <c r="U76" i="24"/>
  <c r="T76" i="24"/>
  <c r="S76" i="24"/>
  <c r="R76" i="24"/>
  <c r="Q76" i="24"/>
  <c r="P76" i="24"/>
  <c r="M76" i="24"/>
  <c r="J76" i="24"/>
  <c r="I76" i="24"/>
  <c r="H76" i="24"/>
  <c r="C76" i="24"/>
  <c r="AD75" i="24"/>
  <c r="R75" i="24" s="1"/>
  <c r="AC75" i="24"/>
  <c r="AD74" i="24"/>
  <c r="J74" i="24" s="1"/>
  <c r="S74" i="24"/>
  <c r="Q74" i="24"/>
  <c r="P74" i="24"/>
  <c r="M74" i="24"/>
  <c r="H74" i="24"/>
  <c r="C74" i="24"/>
  <c r="AD73" i="24"/>
  <c r="P73" i="24" s="1"/>
  <c r="AC73" i="24"/>
  <c r="AD72" i="24"/>
  <c r="AB72" i="24" s="1"/>
  <c r="AD71" i="24"/>
  <c r="Q71" i="24" s="1"/>
  <c r="AB71" i="24"/>
  <c r="W71" i="24"/>
  <c r="AD70" i="24"/>
  <c r="Q70" i="24" s="1"/>
  <c r="AC70" i="24"/>
  <c r="R70" i="24"/>
  <c r="AD69" i="24"/>
  <c r="I69" i="24" s="1"/>
  <c r="AC69" i="24"/>
  <c r="AD68" i="24"/>
  <c r="J68" i="24" s="1"/>
  <c r="AA68" i="24"/>
  <c r="W68" i="24"/>
  <c r="M68" i="24"/>
  <c r="AD67" i="24"/>
  <c r="W67" i="24" s="1"/>
  <c r="AB67" i="24"/>
  <c r="U67" i="24"/>
  <c r="AD65" i="24"/>
  <c r="V65" i="24" s="1"/>
  <c r="AB65" i="24"/>
  <c r="AA65" i="24"/>
  <c r="W65" i="24"/>
  <c r="AD64" i="24"/>
  <c r="R64" i="24" s="1"/>
  <c r="AD63" i="24"/>
  <c r="AB63" i="24" s="1"/>
  <c r="AD60" i="24"/>
  <c r="AB60" i="24"/>
  <c r="AA60" i="24"/>
  <c r="W60" i="24"/>
  <c r="V60" i="24"/>
  <c r="U60" i="24"/>
  <c r="T60" i="24"/>
  <c r="S60" i="24"/>
  <c r="R60" i="24"/>
  <c r="Q60" i="24"/>
  <c r="P60" i="24"/>
  <c r="J60" i="24"/>
  <c r="H60" i="24"/>
  <c r="C60" i="24"/>
  <c r="AB59" i="24"/>
  <c r="AA59" i="24"/>
  <c r="W59" i="24"/>
  <c r="V59" i="24"/>
  <c r="U59" i="24"/>
  <c r="T59" i="24"/>
  <c r="S59" i="24"/>
  <c r="R59" i="24"/>
  <c r="Q59" i="24"/>
  <c r="P59" i="24"/>
  <c r="M59" i="24"/>
  <c r="J59" i="24"/>
  <c r="I59" i="24"/>
  <c r="H59" i="24"/>
  <c r="C59" i="24"/>
  <c r="AB58" i="24"/>
  <c r="AA58" i="24"/>
  <c r="W58" i="24"/>
  <c r="V58" i="24"/>
  <c r="U58" i="24"/>
  <c r="T58" i="24"/>
  <c r="S58" i="24"/>
  <c r="R58" i="24"/>
  <c r="Q58" i="24"/>
  <c r="P58" i="24"/>
  <c r="M58" i="24"/>
  <c r="J58" i="24"/>
  <c r="I58" i="24"/>
  <c r="H58" i="24"/>
  <c r="C58" i="24"/>
  <c r="AB57" i="24"/>
  <c r="AA57" i="24"/>
  <c r="W57" i="24"/>
  <c r="V57" i="24"/>
  <c r="U57" i="24"/>
  <c r="T57" i="24"/>
  <c r="S57" i="24"/>
  <c r="R57" i="24"/>
  <c r="Q57" i="24"/>
  <c r="P57" i="24"/>
  <c r="M57" i="24"/>
  <c r="J57" i="24"/>
  <c r="I57" i="24"/>
  <c r="H57" i="24"/>
  <c r="C57" i="24"/>
  <c r="AD56" i="24"/>
  <c r="J56" i="24" s="1"/>
  <c r="AD55" i="24"/>
  <c r="R55" i="24" s="1"/>
  <c r="W55" i="24"/>
  <c r="P55" i="24"/>
  <c r="AD54" i="24"/>
  <c r="AB54" i="24" s="1"/>
  <c r="AD53" i="24"/>
  <c r="AB53" i="24" s="1"/>
  <c r="AC53" i="24"/>
  <c r="T53" i="24"/>
  <c r="AD52" i="24"/>
  <c r="V52" i="24" s="1"/>
  <c r="AD51" i="24"/>
  <c r="J51" i="24" s="1"/>
  <c r="U51" i="24"/>
  <c r="AD50" i="24"/>
  <c r="AB50" i="24" s="1"/>
  <c r="P50" i="24"/>
  <c r="J50" i="24"/>
  <c r="AD49" i="24"/>
  <c r="AB49" i="24" s="1"/>
  <c r="AD48" i="24"/>
  <c r="Q48" i="24" s="1"/>
  <c r="AA48" i="24"/>
  <c r="U48" i="24"/>
  <c r="S48" i="24"/>
  <c r="AD47" i="24"/>
  <c r="AB47" i="24" s="1"/>
  <c r="V47" i="24"/>
  <c r="AD46" i="24"/>
  <c r="U46" i="24" s="1"/>
  <c r="AB42" i="24"/>
  <c r="AA42" i="24"/>
  <c r="W42" i="24"/>
  <c r="V42" i="24"/>
  <c r="U42" i="24"/>
  <c r="T42" i="24"/>
  <c r="S42" i="24"/>
  <c r="R42" i="24"/>
  <c r="Q42" i="24"/>
  <c r="P42" i="24"/>
  <c r="M42" i="24"/>
  <c r="J42" i="24"/>
  <c r="I42" i="24"/>
  <c r="H42" i="24"/>
  <c r="C42" i="24"/>
  <c r="AB41" i="24"/>
  <c r="AA41" i="24"/>
  <c r="W41" i="24"/>
  <c r="V41" i="24"/>
  <c r="U41" i="24"/>
  <c r="T41" i="24"/>
  <c r="S41" i="24"/>
  <c r="R41" i="24"/>
  <c r="Q41" i="24"/>
  <c r="P41" i="24"/>
  <c r="M41" i="24"/>
  <c r="J41" i="24"/>
  <c r="I41" i="24"/>
  <c r="H41" i="24"/>
  <c r="C41" i="24"/>
  <c r="AB40" i="24"/>
  <c r="AA40" i="24"/>
  <c r="W40" i="24"/>
  <c r="V40" i="24"/>
  <c r="U40" i="24"/>
  <c r="T40" i="24"/>
  <c r="S40" i="24"/>
  <c r="R40" i="24"/>
  <c r="Q40" i="24"/>
  <c r="P40" i="24"/>
  <c r="M40" i="24"/>
  <c r="J40" i="24"/>
  <c r="I40" i="24"/>
  <c r="H40" i="24"/>
  <c r="C40" i="24"/>
  <c r="AB39" i="24"/>
  <c r="AA39" i="24"/>
  <c r="W39" i="24"/>
  <c r="V39" i="24"/>
  <c r="U39" i="24"/>
  <c r="T39" i="24"/>
  <c r="S39" i="24"/>
  <c r="R39" i="24"/>
  <c r="Q39" i="24"/>
  <c r="P39" i="24"/>
  <c r="M39" i="24"/>
  <c r="J39" i="24"/>
  <c r="I39" i="24"/>
  <c r="H39" i="24"/>
  <c r="C39" i="24"/>
  <c r="AD38" i="24"/>
  <c r="W38" i="24" s="1"/>
  <c r="AD37" i="24"/>
  <c r="T37" i="24" s="1"/>
  <c r="U37" i="24"/>
  <c r="I37" i="24"/>
  <c r="AD36" i="24"/>
  <c r="C36" i="24" s="1"/>
  <c r="AC36" i="24"/>
  <c r="AD35" i="24"/>
  <c r="J35" i="24" s="1"/>
  <c r="AC35" i="24"/>
  <c r="AD34" i="24"/>
  <c r="AA34" i="24" s="1"/>
  <c r="AC34" i="24"/>
  <c r="AD33" i="24"/>
  <c r="AB33" i="24" s="1"/>
  <c r="AC33" i="24"/>
  <c r="AD32" i="24"/>
  <c r="C32" i="24" s="1"/>
  <c r="AC32" i="24"/>
  <c r="AD31" i="24"/>
  <c r="T31" i="24" s="1"/>
  <c r="AC31" i="24"/>
  <c r="AD30" i="24"/>
  <c r="AB30" i="24" s="1"/>
  <c r="AD29" i="24"/>
  <c r="H29" i="24" s="1"/>
  <c r="AC29" i="24"/>
  <c r="AD28" i="24"/>
  <c r="U28" i="24" s="1"/>
  <c r="AC28" i="24"/>
  <c r="AD27" i="24"/>
  <c r="S27" i="24" s="1"/>
  <c r="AC27" i="24"/>
  <c r="AD26" i="24"/>
  <c r="AB26" i="24" s="1"/>
  <c r="AD25" i="24"/>
  <c r="S25" i="24" s="1"/>
  <c r="AA25" i="24"/>
  <c r="AD24" i="24"/>
  <c r="C24" i="24" s="1"/>
  <c r="AC24" i="24"/>
  <c r="AD23" i="24"/>
  <c r="W23" i="24" s="1"/>
  <c r="AC23" i="24"/>
  <c r="AD22" i="24"/>
  <c r="AA22" i="24" s="1"/>
  <c r="AC22" i="24"/>
  <c r="AB22" i="24"/>
  <c r="W22" i="24"/>
  <c r="AD21" i="24"/>
  <c r="W21" i="24" s="1"/>
  <c r="AD20" i="24"/>
  <c r="P20" i="24" s="1"/>
  <c r="AD19" i="24"/>
  <c r="W19" i="24" s="1"/>
  <c r="AD18" i="24"/>
  <c r="J18" i="24" s="1"/>
  <c r="AA18" i="24"/>
  <c r="C18" i="24"/>
  <c r="AD17" i="24"/>
  <c r="AB17" i="24" s="1"/>
  <c r="AD16" i="24"/>
  <c r="V16" i="24" s="1"/>
  <c r="AD15" i="24"/>
  <c r="AD14" i="24"/>
  <c r="AA14" i="24" s="1"/>
  <c r="R14" i="24"/>
  <c r="AD13" i="24"/>
  <c r="C13" i="24" s="1"/>
  <c r="AD12" i="24"/>
  <c r="H12" i="24" s="1"/>
  <c r="AD11" i="24"/>
  <c r="W11" i="24" s="1"/>
  <c r="I11" i="24"/>
  <c r="AD10" i="24"/>
  <c r="P10" i="24" s="1"/>
  <c r="AD9" i="24"/>
  <c r="V9" i="24" s="1"/>
  <c r="AB9" i="24"/>
  <c r="AD8" i="24"/>
  <c r="I8" i="24" s="1"/>
  <c r="AD7" i="24"/>
  <c r="I7" i="24" s="1"/>
  <c r="AA7" i="24"/>
  <c r="T7" i="24"/>
  <c r="S7" i="24"/>
  <c r="AD6" i="24"/>
  <c r="P6" i="24" s="1"/>
  <c r="AD5" i="24"/>
  <c r="T5" i="24" s="1"/>
  <c r="AB5" i="24"/>
  <c r="AA5" i="24"/>
  <c r="H5" i="24"/>
  <c r="C5" i="24"/>
  <c r="AD4" i="24"/>
  <c r="AB4" i="24" s="1"/>
  <c r="I5" i="24" l="1"/>
  <c r="M5" i="24"/>
  <c r="U5" i="24"/>
  <c r="AB7" i="24"/>
  <c r="J21" i="24"/>
  <c r="Q35" i="24"/>
  <c r="T38" i="24"/>
  <c r="V48" i="24"/>
  <c r="V51" i="24"/>
  <c r="C69" i="24"/>
  <c r="T74" i="24"/>
  <c r="AA32" i="25"/>
  <c r="C44" i="25"/>
  <c r="I21" i="24"/>
  <c r="S38" i="24"/>
  <c r="V5" i="24"/>
  <c r="M21" i="24"/>
  <c r="S35" i="24"/>
  <c r="AA38" i="24"/>
  <c r="R63" i="24"/>
  <c r="S67" i="24"/>
  <c r="W69" i="24"/>
  <c r="S72" i="24"/>
  <c r="AB21" i="25"/>
  <c r="J44" i="25"/>
  <c r="W5" i="24"/>
  <c r="Q21" i="24"/>
  <c r="V35" i="24"/>
  <c r="S63" i="24"/>
  <c r="T67" i="24"/>
  <c r="AA69" i="24"/>
  <c r="T44" i="25"/>
  <c r="R64" i="25"/>
  <c r="M69" i="25"/>
  <c r="R21" i="24"/>
  <c r="U49" i="24"/>
  <c r="T63" i="24"/>
  <c r="I33" i="25"/>
  <c r="W69" i="25"/>
  <c r="R9" i="24"/>
  <c r="AA21" i="24"/>
  <c r="J64" i="24"/>
  <c r="S21" i="24"/>
  <c r="J70" i="24"/>
  <c r="U9" i="24"/>
  <c r="Q14" i="24"/>
  <c r="I47" i="24"/>
  <c r="I50" i="24"/>
  <c r="AB59" i="25"/>
  <c r="V16" i="26"/>
  <c r="T16" i="26"/>
  <c r="AA5" i="26"/>
  <c r="H28" i="26"/>
  <c r="J28" i="26"/>
  <c r="M28" i="26"/>
  <c r="P28" i="26"/>
  <c r="M16" i="26"/>
  <c r="V9" i="26"/>
  <c r="Q28" i="26"/>
  <c r="AA9" i="26"/>
  <c r="R28" i="26"/>
  <c r="C5" i="26"/>
  <c r="S28" i="26"/>
  <c r="AB18" i="26"/>
  <c r="T28" i="26"/>
  <c r="U28" i="26"/>
  <c r="J56" i="26"/>
  <c r="J62" i="26"/>
  <c r="W44" i="26"/>
  <c r="V28" i="26"/>
  <c r="W28" i="26"/>
  <c r="M18" i="26"/>
  <c r="AB58" i="26"/>
  <c r="C28" i="26"/>
  <c r="AA28" i="26"/>
  <c r="W13" i="26"/>
  <c r="AA18" i="26"/>
  <c r="M27" i="26"/>
  <c r="R62" i="26"/>
  <c r="V8" i="26"/>
  <c r="V13" i="26"/>
  <c r="S62" i="26"/>
  <c r="C61" i="26"/>
  <c r="H61" i="26"/>
  <c r="P61" i="26"/>
  <c r="C15" i="26"/>
  <c r="AA46" i="26"/>
  <c r="AA61" i="26"/>
  <c r="I28" i="26"/>
  <c r="I61" i="26"/>
  <c r="AB6" i="26"/>
  <c r="C16" i="26"/>
  <c r="P58" i="26"/>
  <c r="AB61" i="26"/>
  <c r="T62" i="26"/>
  <c r="AB5" i="26"/>
  <c r="AA13" i="26"/>
  <c r="W16" i="26"/>
  <c r="M63" i="26"/>
  <c r="R14" i="26"/>
  <c r="V11" i="26"/>
  <c r="S14" i="26"/>
  <c r="AA11" i="26"/>
  <c r="H18" i="26"/>
  <c r="U44" i="26"/>
  <c r="I59" i="26"/>
  <c r="I62" i="26"/>
  <c r="V29" i="26"/>
  <c r="U29" i="26"/>
  <c r="M29" i="26"/>
  <c r="T29" i="26"/>
  <c r="S29" i="26"/>
  <c r="R29" i="26"/>
  <c r="Q29" i="26"/>
  <c r="P29" i="26"/>
  <c r="J29" i="26"/>
  <c r="AB29" i="26"/>
  <c r="I29" i="26"/>
  <c r="AA29" i="26"/>
  <c r="H29" i="26"/>
  <c r="W29" i="26"/>
  <c r="S27" i="26"/>
  <c r="T27" i="26"/>
  <c r="U14" i="26"/>
  <c r="Q24" i="26"/>
  <c r="C40" i="26"/>
  <c r="H5" i="26"/>
  <c r="C22" i="26"/>
  <c r="U27" i="26"/>
  <c r="W14" i="26"/>
  <c r="S24" i="26"/>
  <c r="V40" i="26"/>
  <c r="I5" i="26"/>
  <c r="T9" i="26"/>
  <c r="Q19" i="26"/>
  <c r="AB24" i="26"/>
  <c r="V27" i="26"/>
  <c r="W40" i="26"/>
  <c r="S19" i="26"/>
  <c r="H58" i="26"/>
  <c r="M23" i="26"/>
  <c r="J58" i="26"/>
  <c r="H23" i="26"/>
  <c r="P16" i="26"/>
  <c r="P18" i="26"/>
  <c r="J20" i="26"/>
  <c r="Q23" i="26"/>
  <c r="H42" i="26"/>
  <c r="Q55" i="26"/>
  <c r="R58" i="26"/>
  <c r="Q16" i="26"/>
  <c r="Q18" i="26"/>
  <c r="T20" i="26"/>
  <c r="AA23" i="26"/>
  <c r="AA42" i="26"/>
  <c r="S55" i="26"/>
  <c r="T58" i="26"/>
  <c r="J61" i="26"/>
  <c r="H20" i="26"/>
  <c r="P23" i="26"/>
  <c r="P55" i="26"/>
  <c r="AA4" i="26"/>
  <c r="U11" i="26"/>
  <c r="C14" i="26"/>
  <c r="R16" i="26"/>
  <c r="V18" i="26"/>
  <c r="V20" i="26"/>
  <c r="AB23" i="26"/>
  <c r="J27" i="26"/>
  <c r="AB42" i="26"/>
  <c r="U58" i="26"/>
  <c r="M61" i="26"/>
  <c r="T7" i="26"/>
  <c r="AB9" i="26"/>
  <c r="M15" i="26"/>
  <c r="U55" i="26"/>
  <c r="P15" i="26"/>
  <c r="Q41" i="26"/>
  <c r="V55" i="26"/>
  <c r="H15" i="26"/>
  <c r="I6" i="26"/>
  <c r="R15" i="26"/>
  <c r="I15" i="26"/>
  <c r="J5" i="26"/>
  <c r="R6" i="26"/>
  <c r="M5" i="26"/>
  <c r="H9" i="26"/>
  <c r="H11" i="26"/>
  <c r="V15" i="26"/>
  <c r="M40" i="26"/>
  <c r="Q61" i="26"/>
  <c r="S15" i="26"/>
  <c r="C13" i="26"/>
  <c r="P5" i="26"/>
  <c r="R61" i="26"/>
  <c r="C6" i="26"/>
  <c r="J6" i="26"/>
  <c r="S6" i="26"/>
  <c r="H13" i="26"/>
  <c r="R23" i="26"/>
  <c r="T6" i="26"/>
  <c r="I9" i="26"/>
  <c r="J11" i="26"/>
  <c r="M13" i="26"/>
  <c r="S23" i="26"/>
  <c r="Q40" i="26"/>
  <c r="V5" i="26"/>
  <c r="U6" i="26"/>
  <c r="M9" i="26"/>
  <c r="M11" i="26"/>
  <c r="P13" i="26"/>
  <c r="AA15" i="26"/>
  <c r="M17" i="26"/>
  <c r="U21" i="26"/>
  <c r="T23" i="26"/>
  <c r="R40" i="26"/>
  <c r="J55" i="26"/>
  <c r="C57" i="26"/>
  <c r="V61" i="26"/>
  <c r="U15" i="26"/>
  <c r="W15" i="26"/>
  <c r="W5" i="26"/>
  <c r="V6" i="26"/>
  <c r="P9" i="26"/>
  <c r="T11" i="26"/>
  <c r="U13" i="26"/>
  <c r="AB15" i="26"/>
  <c r="W17" i="26"/>
  <c r="M19" i="26"/>
  <c r="V21" i="26"/>
  <c r="V23" i="26"/>
  <c r="M26" i="26"/>
  <c r="T40" i="26"/>
  <c r="M55" i="26"/>
  <c r="W61" i="26"/>
  <c r="C63" i="26"/>
  <c r="P30" i="26"/>
  <c r="AA44" i="26"/>
  <c r="P56" i="26"/>
  <c r="H57" i="26"/>
  <c r="M59" i="26"/>
  <c r="H60" i="26"/>
  <c r="C4" i="26"/>
  <c r="R30" i="26"/>
  <c r="Q56" i="26"/>
  <c r="J57" i="26"/>
  <c r="P59" i="26"/>
  <c r="M60" i="26"/>
  <c r="U62" i="26"/>
  <c r="I13" i="26"/>
  <c r="AB13" i="26"/>
  <c r="AA14" i="26"/>
  <c r="AA20" i="26"/>
  <c r="M22" i="26"/>
  <c r="C27" i="26"/>
  <c r="W27" i="26"/>
  <c r="S30" i="26"/>
  <c r="I42" i="26"/>
  <c r="H43" i="26"/>
  <c r="C44" i="26"/>
  <c r="M45" i="26"/>
  <c r="R56" i="26"/>
  <c r="P57" i="26"/>
  <c r="Q59" i="26"/>
  <c r="P60" i="26"/>
  <c r="W62" i="26"/>
  <c r="J30" i="26"/>
  <c r="J59" i="26"/>
  <c r="H4" i="26"/>
  <c r="M4" i="26"/>
  <c r="W6" i="26"/>
  <c r="J13" i="26"/>
  <c r="I18" i="26"/>
  <c r="I19" i="26"/>
  <c r="Q22" i="26"/>
  <c r="H25" i="26"/>
  <c r="H27" i="26"/>
  <c r="AA27" i="26"/>
  <c r="T30" i="26"/>
  <c r="M42" i="26"/>
  <c r="J43" i="26"/>
  <c r="H44" i="26"/>
  <c r="Q45" i="26"/>
  <c r="S56" i="26"/>
  <c r="Q57" i="26"/>
  <c r="R59" i="26"/>
  <c r="Q60" i="26"/>
  <c r="AB62" i="26"/>
  <c r="I10" i="26"/>
  <c r="W22" i="26"/>
  <c r="J25" i="26"/>
  <c r="I27" i="26"/>
  <c r="AB27" i="26"/>
  <c r="U30" i="26"/>
  <c r="P42" i="26"/>
  <c r="M43" i="26"/>
  <c r="J44" i="26"/>
  <c r="S45" i="26"/>
  <c r="T56" i="26"/>
  <c r="R57" i="26"/>
  <c r="S59" i="26"/>
  <c r="R60" i="26"/>
  <c r="C62" i="26"/>
  <c r="P4" i="26"/>
  <c r="J21" i="26"/>
  <c r="M44" i="26"/>
  <c r="J10" i="26"/>
  <c r="V30" i="26"/>
  <c r="Q42" i="26"/>
  <c r="P43" i="26"/>
  <c r="S57" i="26"/>
  <c r="R4" i="26"/>
  <c r="M10" i="26"/>
  <c r="W30" i="26"/>
  <c r="V56" i="26"/>
  <c r="T57" i="26"/>
  <c r="U60" i="26"/>
  <c r="M56" i="26"/>
  <c r="C60" i="26"/>
  <c r="R42" i="26"/>
  <c r="R43" i="26"/>
  <c r="P44" i="26"/>
  <c r="S4" i="26"/>
  <c r="R5" i="26"/>
  <c r="M6" i="26"/>
  <c r="J7" i="26"/>
  <c r="Q9" i="26"/>
  <c r="Q10" i="26"/>
  <c r="R18" i="26"/>
  <c r="AB19" i="26"/>
  <c r="P21" i="26"/>
  <c r="V25" i="26"/>
  <c r="P27" i="26"/>
  <c r="C30" i="26"/>
  <c r="AA30" i="26"/>
  <c r="S42" i="26"/>
  <c r="T43" i="26"/>
  <c r="Q44" i="26"/>
  <c r="H46" i="26"/>
  <c r="W56" i="26"/>
  <c r="V57" i="26"/>
  <c r="V59" i="26"/>
  <c r="W60" i="26"/>
  <c r="S61" i="26"/>
  <c r="M62" i="26"/>
  <c r="H63" i="26"/>
  <c r="M30" i="26"/>
  <c r="Q4" i="26"/>
  <c r="M25" i="26"/>
  <c r="S60" i="26"/>
  <c r="M21" i="26"/>
  <c r="R13" i="26"/>
  <c r="M14" i="26"/>
  <c r="U4" i="26"/>
  <c r="S5" i="26"/>
  <c r="P6" i="26"/>
  <c r="M7" i="26"/>
  <c r="R9" i="26"/>
  <c r="S10" i="26"/>
  <c r="S13" i="26"/>
  <c r="P14" i="26"/>
  <c r="J15" i="26"/>
  <c r="S18" i="26"/>
  <c r="Q21" i="26"/>
  <c r="I23" i="26"/>
  <c r="I24" i="26"/>
  <c r="AA25" i="26"/>
  <c r="Q27" i="26"/>
  <c r="H30" i="26"/>
  <c r="AB30" i="26"/>
  <c r="T42" i="26"/>
  <c r="U43" i="26"/>
  <c r="R44" i="26"/>
  <c r="J46" i="26"/>
  <c r="C56" i="26"/>
  <c r="AA56" i="26"/>
  <c r="AA57" i="26"/>
  <c r="W59" i="26"/>
  <c r="AA60" i="26"/>
  <c r="T61" i="26"/>
  <c r="P62" i="26"/>
  <c r="I63" i="26"/>
  <c r="U56" i="26"/>
  <c r="T59" i="26"/>
  <c r="Q13" i="26"/>
  <c r="H14" i="26"/>
  <c r="T25" i="26"/>
  <c r="U59" i="26"/>
  <c r="W4" i="26"/>
  <c r="U5" i="26"/>
  <c r="Q6" i="26"/>
  <c r="R7" i="26"/>
  <c r="S9" i="26"/>
  <c r="AB10" i="26"/>
  <c r="M12" i="26"/>
  <c r="Q14" i="26"/>
  <c r="C17" i="26"/>
  <c r="T18" i="26"/>
  <c r="S21" i="26"/>
  <c r="M24" i="26"/>
  <c r="I30" i="26"/>
  <c r="M41" i="26"/>
  <c r="V42" i="26"/>
  <c r="AB43" i="26"/>
  <c r="S44" i="26"/>
  <c r="V46" i="26"/>
  <c r="H56" i="26"/>
  <c r="AB57" i="26"/>
  <c r="C59" i="26"/>
  <c r="AB59" i="26"/>
  <c r="Q62" i="26"/>
  <c r="J63" i="26"/>
  <c r="U12" i="26"/>
  <c r="J39" i="26"/>
  <c r="I7" i="26"/>
  <c r="AB7" i="26"/>
  <c r="U8" i="26"/>
  <c r="H10" i="26"/>
  <c r="AA10" i="26"/>
  <c r="S11" i="26"/>
  <c r="J12" i="26"/>
  <c r="V17" i="26"/>
  <c r="H19" i="26"/>
  <c r="AA19" i="26"/>
  <c r="S20" i="26"/>
  <c r="V22" i="26"/>
  <c r="H24" i="26"/>
  <c r="AA24" i="26"/>
  <c r="S25" i="26"/>
  <c r="J26" i="26"/>
  <c r="S39" i="26"/>
  <c r="V41" i="26"/>
  <c r="H45" i="26"/>
  <c r="AA45" i="26"/>
  <c r="S46" i="26"/>
  <c r="AB63" i="26"/>
  <c r="T39" i="26"/>
  <c r="P40" i="26"/>
  <c r="C41" i="26"/>
  <c r="W41" i="26"/>
  <c r="I45" i="26"/>
  <c r="AB45" i="26"/>
  <c r="T46" i="26"/>
  <c r="I58" i="26"/>
  <c r="W8" i="26"/>
  <c r="P12" i="26"/>
  <c r="H17" i="26"/>
  <c r="AA17" i="26"/>
  <c r="J19" i="26"/>
  <c r="U20" i="26"/>
  <c r="H22" i="26"/>
  <c r="AA22" i="26"/>
  <c r="J24" i="26"/>
  <c r="U25" i="26"/>
  <c r="P26" i="26"/>
  <c r="U39" i="26"/>
  <c r="H41" i="26"/>
  <c r="AA41" i="26"/>
  <c r="J45" i="26"/>
  <c r="U46" i="26"/>
  <c r="I17" i="26"/>
  <c r="AB17" i="26"/>
  <c r="Q26" i="26"/>
  <c r="I41" i="26"/>
  <c r="AB41" i="26"/>
  <c r="P63" i="26"/>
  <c r="P7" i="26"/>
  <c r="C8" i="26"/>
  <c r="AA8" i="26"/>
  <c r="Q12" i="26"/>
  <c r="I22" i="26"/>
  <c r="AB22" i="26"/>
  <c r="V39" i="26"/>
  <c r="T4" i="26"/>
  <c r="Q7" i="26"/>
  <c r="H8" i="26"/>
  <c r="AB8" i="26"/>
  <c r="U9" i="26"/>
  <c r="P10" i="26"/>
  <c r="C11" i="26"/>
  <c r="W11" i="26"/>
  <c r="R12" i="26"/>
  <c r="T14" i="26"/>
  <c r="S16" i="26"/>
  <c r="J17" i="26"/>
  <c r="U18" i="26"/>
  <c r="P19" i="26"/>
  <c r="C20" i="26"/>
  <c r="W20" i="26"/>
  <c r="R21" i="26"/>
  <c r="J22" i="26"/>
  <c r="U23" i="26"/>
  <c r="P24" i="26"/>
  <c r="C25" i="26"/>
  <c r="W25" i="26"/>
  <c r="R26" i="26"/>
  <c r="W39" i="26"/>
  <c r="S40" i="26"/>
  <c r="J41" i="26"/>
  <c r="U42" i="26"/>
  <c r="Q43" i="26"/>
  <c r="T44" i="26"/>
  <c r="P45" i="26"/>
  <c r="C46" i="26"/>
  <c r="W46" i="26"/>
  <c r="R55" i="26"/>
  <c r="I56" i="26"/>
  <c r="U57" i="26"/>
  <c r="Q58" i="26"/>
  <c r="H59" i="26"/>
  <c r="T60" i="26"/>
  <c r="V62" i="26"/>
  <c r="Q63" i="26"/>
  <c r="S12" i="26"/>
  <c r="R63" i="26"/>
  <c r="J8" i="26"/>
  <c r="S26" i="26"/>
  <c r="C39" i="26"/>
  <c r="AA39" i="26"/>
  <c r="V4" i="26"/>
  <c r="Q5" i="26"/>
  <c r="H6" i="26"/>
  <c r="S7" i="26"/>
  <c r="M8" i="26"/>
  <c r="C9" i="26"/>
  <c r="W9" i="26"/>
  <c r="R10" i="26"/>
  <c r="I11" i="26"/>
  <c r="AB11" i="26"/>
  <c r="T12" i="26"/>
  <c r="V14" i="26"/>
  <c r="Q15" i="26"/>
  <c r="U16" i="26"/>
  <c r="P17" i="26"/>
  <c r="C18" i="26"/>
  <c r="W18" i="26"/>
  <c r="R19" i="26"/>
  <c r="I20" i="26"/>
  <c r="AB20" i="26"/>
  <c r="T21" i="26"/>
  <c r="P22" i="26"/>
  <c r="C23" i="26"/>
  <c r="W23" i="26"/>
  <c r="R24" i="26"/>
  <c r="I25" i="26"/>
  <c r="AB25" i="26"/>
  <c r="T26" i="26"/>
  <c r="H39" i="26"/>
  <c r="AB39" i="26"/>
  <c r="U40" i="26"/>
  <c r="P41" i="26"/>
  <c r="C42" i="26"/>
  <c r="W42" i="26"/>
  <c r="S43" i="26"/>
  <c r="V44" i="26"/>
  <c r="R45" i="26"/>
  <c r="I46" i="26"/>
  <c r="AB46" i="26"/>
  <c r="T55" i="26"/>
  <c r="W57" i="26"/>
  <c r="S58" i="26"/>
  <c r="V60" i="26"/>
  <c r="H62" i="26"/>
  <c r="S63" i="26"/>
  <c r="T63" i="26"/>
  <c r="T10" i="26"/>
  <c r="T24" i="26"/>
  <c r="M39" i="26"/>
  <c r="R41" i="26"/>
  <c r="U63" i="26"/>
  <c r="U7" i="26"/>
  <c r="Q8" i="26"/>
  <c r="T19" i="26"/>
  <c r="M20" i="26"/>
  <c r="R22" i="26"/>
  <c r="V26" i="26"/>
  <c r="T45" i="26"/>
  <c r="M46" i="26"/>
  <c r="I4" i="26"/>
  <c r="AB4" i="26"/>
  <c r="V7" i="26"/>
  <c r="R8" i="26"/>
  <c r="U10" i="26"/>
  <c r="P11" i="26"/>
  <c r="C12" i="26"/>
  <c r="W12" i="26"/>
  <c r="I14" i="26"/>
  <c r="AB14" i="26"/>
  <c r="H16" i="26"/>
  <c r="AA16" i="26"/>
  <c r="S17" i="26"/>
  <c r="U19" i="26"/>
  <c r="P20" i="26"/>
  <c r="C21" i="26"/>
  <c r="W21" i="26"/>
  <c r="S22" i="26"/>
  <c r="U24" i="26"/>
  <c r="P25" i="26"/>
  <c r="C26" i="26"/>
  <c r="W26" i="26"/>
  <c r="P39" i="26"/>
  <c r="H40" i="26"/>
  <c r="AA40" i="26"/>
  <c r="S41" i="26"/>
  <c r="V43" i="26"/>
  <c r="I44" i="26"/>
  <c r="U45" i="26"/>
  <c r="P46" i="26"/>
  <c r="C55" i="26"/>
  <c r="W55" i="26"/>
  <c r="V58" i="26"/>
  <c r="I60" i="26"/>
  <c r="AB60" i="26"/>
  <c r="V63" i="26"/>
  <c r="P8" i="26"/>
  <c r="R17" i="26"/>
  <c r="C7" i="26"/>
  <c r="W7" i="26"/>
  <c r="S8" i="26"/>
  <c r="V10" i="26"/>
  <c r="Q11" i="26"/>
  <c r="H12" i="26"/>
  <c r="AA12" i="26"/>
  <c r="I16" i="26"/>
  <c r="AB16" i="26"/>
  <c r="T17" i="26"/>
  <c r="V19" i="26"/>
  <c r="Q20" i="26"/>
  <c r="H21" i="26"/>
  <c r="AA21" i="26"/>
  <c r="T22" i="26"/>
  <c r="V24" i="26"/>
  <c r="Q25" i="26"/>
  <c r="H26" i="26"/>
  <c r="AA26" i="26"/>
  <c r="Q39" i="26"/>
  <c r="I40" i="26"/>
  <c r="AB40" i="26"/>
  <c r="T41" i="26"/>
  <c r="W43" i="26"/>
  <c r="V45" i="26"/>
  <c r="Q46" i="26"/>
  <c r="H55" i="26"/>
  <c r="AA55" i="26"/>
  <c r="W58" i="26"/>
  <c r="W63" i="26"/>
  <c r="Q17" i="26"/>
  <c r="U26" i="26"/>
  <c r="V12" i="26"/>
  <c r="H7" i="26"/>
  <c r="C10" i="26"/>
  <c r="I12" i="26"/>
  <c r="C19" i="26"/>
  <c r="I21" i="26"/>
  <c r="C24" i="26"/>
  <c r="I26" i="26"/>
  <c r="C43" i="26"/>
  <c r="C45" i="26"/>
  <c r="I55" i="26"/>
  <c r="C58" i="26"/>
  <c r="J68" i="25"/>
  <c r="J14" i="25"/>
  <c r="T29" i="25"/>
  <c r="AA14" i="25"/>
  <c r="J18" i="25"/>
  <c r="AB14" i="25"/>
  <c r="J7" i="25"/>
  <c r="C59" i="25"/>
  <c r="I32" i="25"/>
  <c r="AB50" i="25"/>
  <c r="J47" i="25"/>
  <c r="P47" i="25"/>
  <c r="Q47" i="25"/>
  <c r="S47" i="25"/>
  <c r="S17" i="25"/>
  <c r="U32" i="25"/>
  <c r="AA33" i="25"/>
  <c r="U20" i="25"/>
  <c r="R17" i="25"/>
  <c r="W20" i="25"/>
  <c r="C4" i="25"/>
  <c r="AB71" i="25"/>
  <c r="J35" i="25"/>
  <c r="U67" i="25"/>
  <c r="H16" i="25"/>
  <c r="M31" i="25"/>
  <c r="I16" i="25"/>
  <c r="V31" i="25"/>
  <c r="AB33" i="25"/>
  <c r="AA60" i="25"/>
  <c r="C65" i="25"/>
  <c r="C14" i="25"/>
  <c r="AA16" i="25"/>
  <c r="S22" i="25"/>
  <c r="S27" i="25"/>
  <c r="H14" i="25"/>
  <c r="AA19" i="25"/>
  <c r="T22" i="25"/>
  <c r="W46" i="25"/>
  <c r="H50" i="25"/>
  <c r="AB16" i="25"/>
  <c r="AB27" i="25"/>
  <c r="C9" i="25"/>
  <c r="I14" i="25"/>
  <c r="AB19" i="25"/>
  <c r="H32" i="25"/>
  <c r="I50" i="25"/>
  <c r="AB60" i="25"/>
  <c r="AA67" i="25"/>
  <c r="P50" i="25"/>
  <c r="P59" i="25"/>
  <c r="H61" i="25"/>
  <c r="C12" i="25"/>
  <c r="M32" i="25"/>
  <c r="H51" i="25"/>
  <c r="H60" i="25"/>
  <c r="J12" i="25"/>
  <c r="H17" i="25"/>
  <c r="M21" i="25"/>
  <c r="J27" i="25"/>
  <c r="M30" i="25"/>
  <c r="P32" i="25"/>
  <c r="I51" i="25"/>
  <c r="I60" i="25"/>
  <c r="J66" i="25"/>
  <c r="R12" i="25"/>
  <c r="J17" i="25"/>
  <c r="H19" i="25"/>
  <c r="P21" i="25"/>
  <c r="H24" i="25"/>
  <c r="M27" i="25"/>
  <c r="Q32" i="25"/>
  <c r="AB48" i="25"/>
  <c r="Q51" i="25"/>
  <c r="J60" i="25"/>
  <c r="C64" i="25"/>
  <c r="H27" i="25"/>
  <c r="U12" i="25"/>
  <c r="M17" i="25"/>
  <c r="M19" i="25"/>
  <c r="W21" i="25"/>
  <c r="U24" i="25"/>
  <c r="P27" i="25"/>
  <c r="R32" i="25"/>
  <c r="H46" i="25"/>
  <c r="AA51" i="25"/>
  <c r="M60" i="25"/>
  <c r="H64" i="25"/>
  <c r="J32" i="25"/>
  <c r="I27" i="25"/>
  <c r="V12" i="25"/>
  <c r="I15" i="25"/>
  <c r="P17" i="25"/>
  <c r="V19" i="25"/>
  <c r="AA21" i="25"/>
  <c r="V24" i="25"/>
  <c r="Q27" i="25"/>
  <c r="H31" i="25"/>
  <c r="S32" i="25"/>
  <c r="I46" i="25"/>
  <c r="I49" i="25"/>
  <c r="AB51" i="25"/>
  <c r="Q60" i="25"/>
  <c r="I64" i="25"/>
  <c r="U49" i="25"/>
  <c r="W26" i="25"/>
  <c r="T34" i="25"/>
  <c r="W36" i="25"/>
  <c r="V49" i="25"/>
  <c r="V68" i="25"/>
  <c r="T70" i="25"/>
  <c r="S34" i="25"/>
  <c r="H36" i="25"/>
  <c r="T65" i="25"/>
  <c r="U68" i="25"/>
  <c r="AA4" i="25"/>
  <c r="V7" i="25"/>
  <c r="U65" i="25"/>
  <c r="AB4" i="25"/>
  <c r="AB6" i="25"/>
  <c r="W7" i="25"/>
  <c r="U10" i="25"/>
  <c r="W12" i="25"/>
  <c r="T19" i="25"/>
  <c r="W22" i="25"/>
  <c r="W24" i="25"/>
  <c r="AA26" i="25"/>
  <c r="U34" i="25"/>
  <c r="AA36" i="25"/>
  <c r="M45" i="25"/>
  <c r="H47" i="25"/>
  <c r="W49" i="25"/>
  <c r="J51" i="25"/>
  <c r="AA64" i="25"/>
  <c r="V65" i="25"/>
  <c r="W68" i="25"/>
  <c r="U70" i="25"/>
  <c r="W4" i="25"/>
  <c r="W6" i="25"/>
  <c r="U7" i="25"/>
  <c r="V26" i="25"/>
  <c r="H70" i="25"/>
  <c r="AA6" i="25"/>
  <c r="P10" i="25"/>
  <c r="S19" i="25"/>
  <c r="AB7" i="25"/>
  <c r="U19" i="25"/>
  <c r="AB22" i="25"/>
  <c r="AA24" i="25"/>
  <c r="H33" i="25"/>
  <c r="V34" i="25"/>
  <c r="I47" i="25"/>
  <c r="AA49" i="25"/>
  <c r="M51" i="25"/>
  <c r="AB64" i="25"/>
  <c r="AA65" i="25"/>
  <c r="C68" i="25"/>
  <c r="AA68" i="25"/>
  <c r="AA70" i="25"/>
  <c r="I28" i="25"/>
  <c r="W34" i="25"/>
  <c r="C49" i="25"/>
  <c r="AB49" i="25"/>
  <c r="AB65" i="25"/>
  <c r="H68" i="25"/>
  <c r="AB68" i="25"/>
  <c r="AB70" i="25"/>
  <c r="H7" i="25"/>
  <c r="J15" i="25"/>
  <c r="M18" i="25"/>
  <c r="W19" i="25"/>
  <c r="AA28" i="25"/>
  <c r="I31" i="25"/>
  <c r="AA34" i="25"/>
  <c r="C46" i="25"/>
  <c r="M47" i="25"/>
  <c r="H49" i="25"/>
  <c r="I68" i="25"/>
  <c r="C19" i="25"/>
  <c r="C24" i="25"/>
  <c r="C26" i="25"/>
  <c r="U29" i="25"/>
  <c r="W31" i="25"/>
  <c r="S44" i="25"/>
  <c r="V46" i="25"/>
  <c r="R47" i="25"/>
  <c r="Q49" i="25"/>
  <c r="J64" i="25"/>
  <c r="J65" i="25"/>
  <c r="Q68" i="25"/>
  <c r="M49" i="25"/>
  <c r="H65" i="25"/>
  <c r="S4" i="25"/>
  <c r="H6" i="25"/>
  <c r="Q7" i="25"/>
  <c r="J9" i="25"/>
  <c r="T4" i="25"/>
  <c r="I6" i="25"/>
  <c r="R7" i="25"/>
  <c r="V9" i="25"/>
  <c r="H26" i="25"/>
  <c r="C34" i="25"/>
  <c r="P65" i="25"/>
  <c r="R68" i="25"/>
  <c r="J6" i="25"/>
  <c r="S7" i="25"/>
  <c r="S12" i="25"/>
  <c r="V14" i="25"/>
  <c r="J16" i="25"/>
  <c r="T17" i="25"/>
  <c r="I19" i="25"/>
  <c r="Q20" i="25"/>
  <c r="AB29" i="25"/>
  <c r="AB31" i="25"/>
  <c r="S64" i="25"/>
  <c r="R65" i="25"/>
  <c r="S68" i="25"/>
  <c r="M4" i="25"/>
  <c r="C6" i="25"/>
  <c r="M7" i="25"/>
  <c r="M68" i="25"/>
  <c r="AA29" i="25"/>
  <c r="AA31" i="25"/>
  <c r="R49" i="25"/>
  <c r="U4" i="25"/>
  <c r="W9" i="25"/>
  <c r="I24" i="25"/>
  <c r="I26" i="25"/>
  <c r="H34" i="25"/>
  <c r="U44" i="25"/>
  <c r="AA46" i="25"/>
  <c r="T47" i="25"/>
  <c r="S49" i="25"/>
  <c r="V4" i="25"/>
  <c r="V6" i="25"/>
  <c r="T7" i="25"/>
  <c r="T12" i="25"/>
  <c r="W14" i="25"/>
  <c r="M16" i="25"/>
  <c r="U17" i="25"/>
  <c r="J19" i="25"/>
  <c r="R20" i="25"/>
  <c r="C22" i="25"/>
  <c r="T24" i="25"/>
  <c r="M26" i="25"/>
  <c r="R27" i="25"/>
  <c r="V32" i="25"/>
  <c r="R34" i="25"/>
  <c r="C36" i="25"/>
  <c r="V44" i="25"/>
  <c r="AB46" i="25"/>
  <c r="AB47" i="25"/>
  <c r="T49" i="25"/>
  <c r="H59" i="25"/>
  <c r="T64" i="25"/>
  <c r="S65" i="25"/>
  <c r="T67" i="25"/>
  <c r="T68" i="25"/>
  <c r="C70" i="25"/>
  <c r="H9" i="25"/>
  <c r="AA9" i="25"/>
  <c r="M15" i="25"/>
  <c r="S20" i="25"/>
  <c r="U22" i="25"/>
  <c r="V29" i="25"/>
  <c r="J33" i="25"/>
  <c r="I36" i="25"/>
  <c r="AB36" i="25"/>
  <c r="J50" i="25"/>
  <c r="M52" i="25"/>
  <c r="J59" i="25"/>
  <c r="M61" i="25"/>
  <c r="M63" i="25"/>
  <c r="Q66" i="25"/>
  <c r="V67" i="25"/>
  <c r="V70" i="25"/>
  <c r="J52" i="25"/>
  <c r="J61" i="25"/>
  <c r="J63" i="25"/>
  <c r="I9" i="25"/>
  <c r="AB9" i="25"/>
  <c r="C11" i="25"/>
  <c r="P15" i="25"/>
  <c r="T20" i="25"/>
  <c r="V22" i="25"/>
  <c r="H28" i="25"/>
  <c r="W29" i="25"/>
  <c r="J36" i="25"/>
  <c r="H48" i="25"/>
  <c r="M50" i="25"/>
  <c r="P52" i="25"/>
  <c r="M59" i="25"/>
  <c r="P61" i="25"/>
  <c r="AB66" i="25"/>
  <c r="W67" i="25"/>
  <c r="W70" i="25"/>
  <c r="Q15" i="25"/>
  <c r="R52" i="25"/>
  <c r="R61" i="25"/>
  <c r="M9" i="25"/>
  <c r="R15" i="25"/>
  <c r="S52" i="25"/>
  <c r="Q59" i="25"/>
  <c r="S61" i="25"/>
  <c r="P9" i="25"/>
  <c r="M10" i="25"/>
  <c r="J11" i="25"/>
  <c r="S15" i="25"/>
  <c r="AB28" i="25"/>
  <c r="Q36" i="25"/>
  <c r="R50" i="25"/>
  <c r="T52" i="25"/>
  <c r="R59" i="25"/>
  <c r="T61" i="25"/>
  <c r="C67" i="25"/>
  <c r="I70" i="25"/>
  <c r="H52" i="25"/>
  <c r="M36" i="25"/>
  <c r="S50" i="25"/>
  <c r="R9" i="25"/>
  <c r="W11" i="25"/>
  <c r="U15" i="25"/>
  <c r="T27" i="25"/>
  <c r="C29" i="25"/>
  <c r="S36" i="25"/>
  <c r="T50" i="25"/>
  <c r="V52" i="25"/>
  <c r="T59" i="25"/>
  <c r="V61" i="25"/>
  <c r="J67" i="25"/>
  <c r="M70" i="25"/>
  <c r="I71" i="25"/>
  <c r="H11" i="25"/>
  <c r="T15" i="25"/>
  <c r="R36" i="25"/>
  <c r="U52" i="25"/>
  <c r="S59" i="25"/>
  <c r="H67" i="25"/>
  <c r="C21" i="25"/>
  <c r="I22" i="25"/>
  <c r="I23" i="25"/>
  <c r="H4" i="25"/>
  <c r="M5" i="25"/>
  <c r="S9" i="25"/>
  <c r="R10" i="25"/>
  <c r="AA11" i="25"/>
  <c r="AA12" i="25"/>
  <c r="V15" i="25"/>
  <c r="AA17" i="25"/>
  <c r="P19" i="25"/>
  <c r="C20" i="25"/>
  <c r="H21" i="25"/>
  <c r="M22" i="25"/>
  <c r="J23" i="25"/>
  <c r="AB24" i="25"/>
  <c r="AB26" i="25"/>
  <c r="U27" i="25"/>
  <c r="H29" i="25"/>
  <c r="AB32" i="25"/>
  <c r="J34" i="25"/>
  <c r="T36" i="25"/>
  <c r="U47" i="25"/>
  <c r="J49" i="25"/>
  <c r="U50" i="25"/>
  <c r="W52" i="25"/>
  <c r="U59" i="25"/>
  <c r="W61" i="25"/>
  <c r="M64" i="25"/>
  <c r="M67" i="25"/>
  <c r="P70" i="25"/>
  <c r="J71" i="25"/>
  <c r="I11" i="25"/>
  <c r="P36" i="25"/>
  <c r="Q50" i="25"/>
  <c r="Q9" i="25"/>
  <c r="M11" i="25"/>
  <c r="U61" i="25"/>
  <c r="J70" i="25"/>
  <c r="Q10" i="25"/>
  <c r="I4" i="25"/>
  <c r="J8" i="25"/>
  <c r="T9" i="25"/>
  <c r="S10" i="25"/>
  <c r="AB11" i="25"/>
  <c r="AA15" i="25"/>
  <c r="C17" i="25"/>
  <c r="Q19" i="25"/>
  <c r="M20" i="25"/>
  <c r="I21" i="25"/>
  <c r="Q22" i="25"/>
  <c r="AB23" i="25"/>
  <c r="V27" i="25"/>
  <c r="I29" i="25"/>
  <c r="M34" i="25"/>
  <c r="U36" i="25"/>
  <c r="V47" i="25"/>
  <c r="W50" i="25"/>
  <c r="AA52" i="25"/>
  <c r="W59" i="25"/>
  <c r="AA61" i="25"/>
  <c r="P64" i="25"/>
  <c r="P67" i="25"/>
  <c r="R70" i="25"/>
  <c r="M71" i="25"/>
  <c r="T10" i="25"/>
  <c r="H15" i="25"/>
  <c r="AB15" i="25"/>
  <c r="P20" i="25"/>
  <c r="J21" i="25"/>
  <c r="R22" i="25"/>
  <c r="AA27" i="25"/>
  <c r="M29" i="25"/>
  <c r="C31" i="25"/>
  <c r="P34" i="25"/>
  <c r="AA47" i="25"/>
  <c r="C50" i="25"/>
  <c r="AA50" i="25"/>
  <c r="C52" i="25"/>
  <c r="AA59" i="25"/>
  <c r="C61" i="25"/>
  <c r="Q64" i="25"/>
  <c r="I65" i="25"/>
  <c r="I66" i="25"/>
  <c r="R67" i="25"/>
  <c r="C69" i="25"/>
  <c r="S70" i="25"/>
  <c r="Q71" i="25"/>
  <c r="P63" i="25"/>
  <c r="H69" i="25"/>
  <c r="AA69" i="25"/>
  <c r="P5" i="25"/>
  <c r="P13" i="25"/>
  <c r="P45" i="25"/>
  <c r="J28" i="25"/>
  <c r="Q45" i="25"/>
  <c r="R45" i="25"/>
  <c r="P48" i="25"/>
  <c r="Q63" i="25"/>
  <c r="I69" i="25"/>
  <c r="AB69" i="25"/>
  <c r="M25" i="25"/>
  <c r="M8" i="25"/>
  <c r="P8" i="25"/>
  <c r="R13" i="25"/>
  <c r="Q18" i="25"/>
  <c r="R30" i="25"/>
  <c r="S13" i="25"/>
  <c r="Q23" i="25"/>
  <c r="S25" i="25"/>
  <c r="J26" i="25"/>
  <c r="P28" i="25"/>
  <c r="S30" i="25"/>
  <c r="J31" i="25"/>
  <c r="P33" i="25"/>
  <c r="R35" i="25"/>
  <c r="W44" i="25"/>
  <c r="S45" i="25"/>
  <c r="J46" i="25"/>
  <c r="Q48" i="25"/>
  <c r="P51" i="25"/>
  <c r="P60" i="25"/>
  <c r="R63" i="25"/>
  <c r="P66" i="25"/>
  <c r="J69" i="25"/>
  <c r="P71" i="25"/>
  <c r="M13" i="25"/>
  <c r="P35" i="25"/>
  <c r="S8" i="25"/>
  <c r="T13" i="25"/>
  <c r="M14" i="25"/>
  <c r="T30" i="25"/>
  <c r="M46" i="25"/>
  <c r="S63" i="25"/>
  <c r="J4" i="25"/>
  <c r="U5" i="25"/>
  <c r="P6" i="25"/>
  <c r="C7" i="25"/>
  <c r="AA7" i="25"/>
  <c r="T8" i="25"/>
  <c r="V10" i="25"/>
  <c r="Q11" i="25"/>
  <c r="H12" i="25"/>
  <c r="AB12" i="25"/>
  <c r="U13" i="25"/>
  <c r="P14" i="25"/>
  <c r="C15" i="25"/>
  <c r="R16" i="25"/>
  <c r="I17" i="25"/>
  <c r="AB17" i="25"/>
  <c r="T18" i="25"/>
  <c r="V20" i="25"/>
  <c r="Q21" i="25"/>
  <c r="H22" i="25"/>
  <c r="AA22" i="25"/>
  <c r="S23" i="25"/>
  <c r="J24" i="25"/>
  <c r="U25" i="25"/>
  <c r="P26" i="25"/>
  <c r="C27" i="25"/>
  <c r="R28" i="25"/>
  <c r="J29" i="25"/>
  <c r="U30" i="25"/>
  <c r="P31" i="25"/>
  <c r="C32" i="25"/>
  <c r="R33" i="25"/>
  <c r="I34" i="25"/>
  <c r="AB34" i="25"/>
  <c r="T35" i="25"/>
  <c r="H44" i="25"/>
  <c r="AB44" i="25"/>
  <c r="U45" i="25"/>
  <c r="P46" i="25"/>
  <c r="C47" i="25"/>
  <c r="S48" i="25"/>
  <c r="R51" i="25"/>
  <c r="I52" i="25"/>
  <c r="AB52" i="25"/>
  <c r="R60" i="25"/>
  <c r="I61" i="25"/>
  <c r="AB61" i="25"/>
  <c r="T63" i="25"/>
  <c r="W65" i="25"/>
  <c r="R66" i="25"/>
  <c r="I67" i="25"/>
  <c r="AB67" i="25"/>
  <c r="P69" i="25"/>
  <c r="R71" i="25"/>
  <c r="T48" i="25"/>
  <c r="S51" i="25"/>
  <c r="S60" i="25"/>
  <c r="U63" i="25"/>
  <c r="S66" i="25"/>
  <c r="Q69" i="25"/>
  <c r="S71" i="25"/>
  <c r="P30" i="25"/>
  <c r="Q5" i="25"/>
  <c r="Q13" i="25"/>
  <c r="Q30" i="25"/>
  <c r="Q8" i="25"/>
  <c r="P23" i="25"/>
  <c r="M33" i="25"/>
  <c r="Q35" i="25"/>
  <c r="R18" i="25"/>
  <c r="T5" i="25"/>
  <c r="M6" i="25"/>
  <c r="S18" i="25"/>
  <c r="R23" i="25"/>
  <c r="Q28" i="25"/>
  <c r="Q33" i="25"/>
  <c r="T45" i="25"/>
  <c r="V5" i="25"/>
  <c r="Q6" i="25"/>
  <c r="R11" i="25"/>
  <c r="S16" i="25"/>
  <c r="R21" i="25"/>
  <c r="T23" i="25"/>
  <c r="M24" i="25"/>
  <c r="V25" i="25"/>
  <c r="Q26" i="25"/>
  <c r="S28" i="25"/>
  <c r="V45" i="25"/>
  <c r="Q46" i="25"/>
  <c r="P4" i="25"/>
  <c r="C5" i="25"/>
  <c r="W5" i="25"/>
  <c r="R6" i="25"/>
  <c r="V8" i="25"/>
  <c r="H10" i="25"/>
  <c r="AA10" i="25"/>
  <c r="S11" i="25"/>
  <c r="M12" i="25"/>
  <c r="C13" i="25"/>
  <c r="W13" i="25"/>
  <c r="R14" i="25"/>
  <c r="T16" i="25"/>
  <c r="V18" i="25"/>
  <c r="H20" i="25"/>
  <c r="AA20" i="25"/>
  <c r="S21" i="25"/>
  <c r="J22" i="25"/>
  <c r="U23" i="25"/>
  <c r="P24" i="25"/>
  <c r="C25" i="25"/>
  <c r="W25" i="25"/>
  <c r="R26" i="25"/>
  <c r="T28" i="25"/>
  <c r="P29" i="25"/>
  <c r="C30" i="25"/>
  <c r="W30" i="25"/>
  <c r="R31" i="25"/>
  <c r="T33" i="25"/>
  <c r="V35" i="25"/>
  <c r="M44" i="25"/>
  <c r="C45" i="25"/>
  <c r="W45" i="25"/>
  <c r="R46" i="25"/>
  <c r="U48" i="25"/>
  <c r="T51" i="25"/>
  <c r="T60" i="25"/>
  <c r="V63" i="25"/>
  <c r="T66" i="25"/>
  <c r="R69" i="25"/>
  <c r="T71" i="25"/>
  <c r="M35" i="25"/>
  <c r="P18" i="25"/>
  <c r="M48" i="25"/>
  <c r="R5" i="25"/>
  <c r="R25" i="25"/>
  <c r="P11" i="25"/>
  <c r="S35" i="25"/>
  <c r="V30" i="25"/>
  <c r="Q31" i="25"/>
  <c r="W8" i="25"/>
  <c r="I10" i="25"/>
  <c r="AB10" i="25"/>
  <c r="T11" i="25"/>
  <c r="P12" i="25"/>
  <c r="H13" i="25"/>
  <c r="AA13" i="25"/>
  <c r="S14" i="25"/>
  <c r="U16" i="25"/>
  <c r="I20" i="25"/>
  <c r="AB20" i="25"/>
  <c r="T21" i="25"/>
  <c r="V23" i="25"/>
  <c r="Q24" i="25"/>
  <c r="H25" i="25"/>
  <c r="AA25" i="25"/>
  <c r="S26" i="25"/>
  <c r="U28" i="25"/>
  <c r="Q29" i="25"/>
  <c r="H30" i="25"/>
  <c r="AA30" i="25"/>
  <c r="S31" i="25"/>
  <c r="U33" i="25"/>
  <c r="C35" i="25"/>
  <c r="W35" i="25"/>
  <c r="P44" i="25"/>
  <c r="H45" i="25"/>
  <c r="AA45" i="25"/>
  <c r="S46" i="25"/>
  <c r="V48" i="25"/>
  <c r="U51" i="25"/>
  <c r="U60" i="25"/>
  <c r="C63" i="25"/>
  <c r="W63" i="25"/>
  <c r="U66" i="25"/>
  <c r="S69" i="25"/>
  <c r="U71" i="25"/>
  <c r="P25" i="25"/>
  <c r="J48" i="25"/>
  <c r="S5" i="25"/>
  <c r="P16" i="25"/>
  <c r="T25" i="25"/>
  <c r="R48" i="25"/>
  <c r="U8" i="25"/>
  <c r="C10" i="25"/>
  <c r="W10" i="25"/>
  <c r="V13" i="25"/>
  <c r="Q14" i="25"/>
  <c r="U18" i="25"/>
  <c r="S33" i="25"/>
  <c r="U35" i="25"/>
  <c r="Q4" i="25"/>
  <c r="H5" i="25"/>
  <c r="AA5" i="25"/>
  <c r="S6" i="25"/>
  <c r="C8" i="25"/>
  <c r="C18" i="25"/>
  <c r="W18" i="25"/>
  <c r="I5" i="25"/>
  <c r="AB5" i="25"/>
  <c r="T6" i="25"/>
  <c r="H8" i="25"/>
  <c r="AA8" i="25"/>
  <c r="U11" i="25"/>
  <c r="I13" i="25"/>
  <c r="AB13" i="25"/>
  <c r="T14" i="25"/>
  <c r="V16" i="25"/>
  <c r="H18" i="25"/>
  <c r="AA18" i="25"/>
  <c r="U21" i="25"/>
  <c r="C23" i="25"/>
  <c r="W23" i="25"/>
  <c r="R24" i="25"/>
  <c r="I25" i="25"/>
  <c r="AB25" i="25"/>
  <c r="T26" i="25"/>
  <c r="V28" i="25"/>
  <c r="R29" i="25"/>
  <c r="I30" i="25"/>
  <c r="AB30" i="25"/>
  <c r="T31" i="25"/>
  <c r="V33" i="25"/>
  <c r="H35" i="25"/>
  <c r="AA35" i="25"/>
  <c r="Q44" i="25"/>
  <c r="I45" i="25"/>
  <c r="AB45" i="25"/>
  <c r="T46" i="25"/>
  <c r="W48" i="25"/>
  <c r="V51" i="25"/>
  <c r="V60" i="25"/>
  <c r="H63" i="25"/>
  <c r="AA63" i="25"/>
  <c r="V66" i="25"/>
  <c r="Q67" i="25"/>
  <c r="T69" i="25"/>
  <c r="V71" i="25"/>
  <c r="M23" i="25"/>
  <c r="Q25" i="25"/>
  <c r="M28" i="25"/>
  <c r="R8" i="25"/>
  <c r="Q16" i="25"/>
  <c r="I8" i="25"/>
  <c r="C16" i="25"/>
  <c r="I18" i="25"/>
  <c r="H23" i="25"/>
  <c r="C28" i="25"/>
  <c r="C33" i="25"/>
  <c r="I35" i="25"/>
  <c r="C48" i="25"/>
  <c r="C51" i="25"/>
  <c r="C60" i="25"/>
  <c r="I63" i="25"/>
  <c r="C66" i="25"/>
  <c r="W66" i="25"/>
  <c r="U69" i="25"/>
  <c r="C71" i="25"/>
  <c r="W71" i="25"/>
  <c r="H66" i="25"/>
  <c r="H71" i="25"/>
  <c r="Q55" i="24"/>
  <c r="J53" i="24"/>
  <c r="H50" i="24"/>
  <c r="M53" i="24"/>
  <c r="T72" i="24"/>
  <c r="U72" i="24"/>
  <c r="U74" i="24"/>
  <c r="S26" i="24"/>
  <c r="AB38" i="24"/>
  <c r="J25" i="24"/>
  <c r="V37" i="24"/>
  <c r="M25" i="24"/>
  <c r="T22" i="24"/>
  <c r="T25" i="24"/>
  <c r="U29" i="24"/>
  <c r="C35" i="24"/>
  <c r="U22" i="24"/>
  <c r="U25" i="24"/>
  <c r="P35" i="24"/>
  <c r="I38" i="24"/>
  <c r="T20" i="24"/>
  <c r="AB21" i="24"/>
  <c r="W35" i="24"/>
  <c r="J38" i="24"/>
  <c r="H38" i="24"/>
  <c r="M38" i="24"/>
  <c r="C20" i="24"/>
  <c r="U20" i="24"/>
  <c r="V20" i="24"/>
  <c r="C25" i="24"/>
  <c r="V33" i="24"/>
  <c r="Q38" i="24"/>
  <c r="J22" i="24"/>
  <c r="H25" i="24"/>
  <c r="R38" i="24"/>
  <c r="S51" i="24"/>
  <c r="T54" i="24"/>
  <c r="P51" i="24"/>
  <c r="Q51" i="24"/>
  <c r="T51" i="24"/>
  <c r="U54" i="24"/>
  <c r="T26" i="24"/>
  <c r="V29" i="24"/>
  <c r="C10" i="24"/>
  <c r="H11" i="24"/>
  <c r="AA17" i="24"/>
  <c r="I20" i="24"/>
  <c r="P21" i="24"/>
  <c r="M35" i="24"/>
  <c r="C37" i="24"/>
  <c r="P38" i="24"/>
  <c r="J10" i="24"/>
  <c r="H31" i="24"/>
  <c r="T10" i="24"/>
  <c r="C12" i="24"/>
  <c r="V18" i="24"/>
  <c r="W20" i="24"/>
  <c r="T21" i="24"/>
  <c r="V25" i="24"/>
  <c r="V28" i="24"/>
  <c r="M31" i="24"/>
  <c r="I34" i="24"/>
  <c r="T35" i="24"/>
  <c r="W37" i="24"/>
  <c r="U10" i="24"/>
  <c r="J12" i="24"/>
  <c r="W18" i="24"/>
  <c r="AA20" i="24"/>
  <c r="U21" i="24"/>
  <c r="T23" i="24"/>
  <c r="W25" i="24"/>
  <c r="P31" i="24"/>
  <c r="P34" i="24"/>
  <c r="U35" i="24"/>
  <c r="AB37" i="24"/>
  <c r="U38" i="24"/>
  <c r="M12" i="24"/>
  <c r="R31" i="24"/>
  <c r="Q34" i="24"/>
  <c r="I10" i="24"/>
  <c r="V10" i="24"/>
  <c r="R16" i="24"/>
  <c r="J29" i="24"/>
  <c r="S31" i="24"/>
  <c r="U34" i="24"/>
  <c r="AA10" i="24"/>
  <c r="AB12" i="24"/>
  <c r="T16" i="24"/>
  <c r="H21" i="24"/>
  <c r="M29" i="24"/>
  <c r="AA31" i="24"/>
  <c r="AB34" i="24"/>
  <c r="H10" i="24"/>
  <c r="W10" i="24"/>
  <c r="S12" i="24"/>
  <c r="S16" i="24"/>
  <c r="AB10" i="24"/>
  <c r="U16" i="24"/>
  <c r="R26" i="24"/>
  <c r="P29" i="24"/>
  <c r="AA26" i="24"/>
  <c r="W53" i="24"/>
  <c r="R56" i="24"/>
  <c r="V63" i="24"/>
  <c r="AB68" i="24"/>
  <c r="Q56" i="24"/>
  <c r="C54" i="24"/>
  <c r="J54" i="24"/>
  <c r="V56" i="24"/>
  <c r="J69" i="24"/>
  <c r="M56" i="24"/>
  <c r="C27" i="24"/>
  <c r="V27" i="24"/>
  <c r="M54" i="24"/>
  <c r="C56" i="24"/>
  <c r="W56" i="24"/>
  <c r="C65" i="24"/>
  <c r="P69" i="24"/>
  <c r="H73" i="24"/>
  <c r="T56" i="24"/>
  <c r="M10" i="24"/>
  <c r="J14" i="24"/>
  <c r="S19" i="24"/>
  <c r="W27" i="24"/>
  <c r="V32" i="24"/>
  <c r="C51" i="24"/>
  <c r="C53" i="24"/>
  <c r="P54" i="24"/>
  <c r="H56" i="24"/>
  <c r="AA56" i="24"/>
  <c r="H65" i="24"/>
  <c r="Q69" i="24"/>
  <c r="R71" i="24"/>
  <c r="I73" i="24"/>
  <c r="V74" i="24"/>
  <c r="J9" i="24"/>
  <c r="R10" i="24"/>
  <c r="AA19" i="24"/>
  <c r="V24" i="24"/>
  <c r="AB27" i="24"/>
  <c r="W32" i="24"/>
  <c r="J49" i="24"/>
  <c r="H51" i="24"/>
  <c r="H53" i="24"/>
  <c r="R54" i="24"/>
  <c r="I56" i="24"/>
  <c r="AB56" i="24"/>
  <c r="I65" i="24"/>
  <c r="U69" i="24"/>
  <c r="S71" i="24"/>
  <c r="AA73" i="24"/>
  <c r="P56" i="24"/>
  <c r="S56" i="24"/>
  <c r="U56" i="24"/>
  <c r="T27" i="24"/>
  <c r="Q10" i="24"/>
  <c r="M14" i="24"/>
  <c r="Q9" i="24"/>
  <c r="S10" i="24"/>
  <c r="P14" i="24"/>
  <c r="V17" i="24"/>
  <c r="H30" i="24"/>
  <c r="AB32" i="24"/>
  <c r="T49" i="24"/>
  <c r="M51" i="24"/>
  <c r="I53" i="24"/>
  <c r="S54" i="24"/>
  <c r="M65" i="24"/>
  <c r="H68" i="24"/>
  <c r="V69" i="24"/>
  <c r="U71" i="24"/>
  <c r="AA27" i="24"/>
  <c r="P30" i="24"/>
  <c r="H37" i="24"/>
  <c r="AA37" i="24"/>
  <c r="M47" i="24"/>
  <c r="W48" i="24"/>
  <c r="M52" i="24"/>
  <c r="U63" i="24"/>
  <c r="J65" i="24"/>
  <c r="AA67" i="24"/>
  <c r="V71" i="24"/>
  <c r="H52" i="24"/>
  <c r="J11" i="24"/>
  <c r="P11" i="24"/>
  <c r="M4" i="24"/>
  <c r="J5" i="24"/>
  <c r="W9" i="24"/>
  <c r="Q11" i="24"/>
  <c r="W14" i="24"/>
  <c r="H18" i="24"/>
  <c r="C19" i="24"/>
  <c r="H20" i="24"/>
  <c r="AB20" i="24"/>
  <c r="I25" i="24"/>
  <c r="AB25" i="24"/>
  <c r="R30" i="24"/>
  <c r="J33" i="24"/>
  <c r="J37" i="24"/>
  <c r="AB48" i="24"/>
  <c r="Q52" i="24"/>
  <c r="W63" i="24"/>
  <c r="P65" i="24"/>
  <c r="H67" i="24"/>
  <c r="AA71" i="24"/>
  <c r="M30" i="24"/>
  <c r="J4" i="24"/>
  <c r="Q30" i="24"/>
  <c r="P52" i="24"/>
  <c r="Q65" i="24"/>
  <c r="I67" i="24"/>
  <c r="J17" i="24"/>
  <c r="P18" i="24"/>
  <c r="J19" i="24"/>
  <c r="J20" i="24"/>
  <c r="J28" i="24"/>
  <c r="Q33" i="24"/>
  <c r="J30" i="24"/>
  <c r="J52" i="24"/>
  <c r="P4" i="24"/>
  <c r="M33" i="24"/>
  <c r="S11" i="24"/>
  <c r="H27" i="24"/>
  <c r="J67" i="24"/>
  <c r="R4" i="24"/>
  <c r="Q5" i="24"/>
  <c r="H6" i="24"/>
  <c r="S8" i="24"/>
  <c r="T11" i="24"/>
  <c r="M17" i="24"/>
  <c r="Q18" i="24"/>
  <c r="M19" i="24"/>
  <c r="M20" i="24"/>
  <c r="U23" i="24"/>
  <c r="P25" i="24"/>
  <c r="I26" i="24"/>
  <c r="I27" i="24"/>
  <c r="M28" i="24"/>
  <c r="AB29" i="24"/>
  <c r="U30" i="24"/>
  <c r="R33" i="24"/>
  <c r="AA35" i="24"/>
  <c r="Q37" i="24"/>
  <c r="R46" i="24"/>
  <c r="C48" i="24"/>
  <c r="M49" i="24"/>
  <c r="U50" i="24"/>
  <c r="W51" i="24"/>
  <c r="T52" i="24"/>
  <c r="AA53" i="24"/>
  <c r="V54" i="24"/>
  <c r="Q64" i="24"/>
  <c r="S65" i="24"/>
  <c r="M67" i="24"/>
  <c r="I68" i="24"/>
  <c r="S69" i="24"/>
  <c r="J72" i="24"/>
  <c r="AB73" i="24"/>
  <c r="W74" i="24"/>
  <c r="C4" i="24"/>
  <c r="I4" i="24"/>
  <c r="M11" i="24"/>
  <c r="I17" i="24"/>
  <c r="M18" i="24"/>
  <c r="H19" i="24"/>
  <c r="S30" i="24"/>
  <c r="R52" i="24"/>
  <c r="P5" i="24"/>
  <c r="P37" i="24"/>
  <c r="S52" i="24"/>
  <c r="R65" i="24"/>
  <c r="U4" i="24"/>
  <c r="R5" i="24"/>
  <c r="T6" i="24"/>
  <c r="V8" i="24"/>
  <c r="U11" i="24"/>
  <c r="J16" i="24"/>
  <c r="P17" i="24"/>
  <c r="S18" i="24"/>
  <c r="P19" i="24"/>
  <c r="Q20" i="24"/>
  <c r="Q25" i="24"/>
  <c r="M26" i="24"/>
  <c r="J27" i="24"/>
  <c r="Q28" i="24"/>
  <c r="V30" i="24"/>
  <c r="I32" i="24"/>
  <c r="S33" i="24"/>
  <c r="R37" i="24"/>
  <c r="S46" i="24"/>
  <c r="H48" i="24"/>
  <c r="Q49" i="24"/>
  <c r="AA51" i="24"/>
  <c r="W52" i="24"/>
  <c r="W54" i="24"/>
  <c r="J63" i="24"/>
  <c r="T65" i="24"/>
  <c r="P67" i="24"/>
  <c r="T69" i="24"/>
  <c r="C71" i="24"/>
  <c r="M72" i="24"/>
  <c r="AA74" i="24"/>
  <c r="C52" i="24"/>
  <c r="C22" i="24"/>
  <c r="W30" i="24"/>
  <c r="J32" i="24"/>
  <c r="T33" i="24"/>
  <c r="S37" i="24"/>
  <c r="T46" i="24"/>
  <c r="J48" i="24"/>
  <c r="R49" i="24"/>
  <c r="AA52" i="24"/>
  <c r="M63" i="24"/>
  <c r="U65" i="24"/>
  <c r="Q67" i="24"/>
  <c r="H71" i="24"/>
  <c r="Q72" i="24"/>
  <c r="R11" i="24"/>
  <c r="M37" i="24"/>
  <c r="Q4" i="24"/>
  <c r="C6" i="24"/>
  <c r="R8" i="24"/>
  <c r="T30" i="24"/>
  <c r="V4" i="24"/>
  <c r="S5" i="24"/>
  <c r="W6" i="24"/>
  <c r="AB8" i="24"/>
  <c r="AA11" i="24"/>
  <c r="M16" i="24"/>
  <c r="Q17" i="24"/>
  <c r="T18" i="24"/>
  <c r="Q19" i="24"/>
  <c r="R20" i="24"/>
  <c r="R25" i="24"/>
  <c r="P26" i="24"/>
  <c r="M27" i="24"/>
  <c r="S28" i="24"/>
  <c r="W4" i="24"/>
  <c r="AB11" i="24"/>
  <c r="C14" i="24"/>
  <c r="Q16" i="24"/>
  <c r="U17" i="24"/>
  <c r="U18" i="24"/>
  <c r="R19" i="24"/>
  <c r="S20" i="24"/>
  <c r="H22" i="24"/>
  <c r="R24" i="24"/>
  <c r="Q26" i="24"/>
  <c r="T28" i="24"/>
  <c r="C30" i="24"/>
  <c r="AA30" i="24"/>
  <c r="M32" i="24"/>
  <c r="U33" i="24"/>
  <c r="H35" i="24"/>
  <c r="Q36" i="24"/>
  <c r="V46" i="24"/>
  <c r="R48" i="24"/>
  <c r="S49" i="24"/>
  <c r="AB52" i="24"/>
  <c r="M55" i="24"/>
  <c r="P63" i="24"/>
  <c r="R67" i="24"/>
  <c r="I71" i="24"/>
  <c r="R72" i="24"/>
  <c r="R15" i="24"/>
  <c r="Q15" i="24"/>
  <c r="P15" i="24"/>
  <c r="U15" i="24"/>
  <c r="R36" i="24"/>
  <c r="AA6" i="24"/>
  <c r="T8" i="24"/>
  <c r="V23" i="24"/>
  <c r="W24" i="24"/>
  <c r="M73" i="24"/>
  <c r="W75" i="24"/>
  <c r="C75" i="24"/>
  <c r="V75" i="24"/>
  <c r="U75" i="24"/>
  <c r="T75" i="24"/>
  <c r="S75" i="24"/>
  <c r="P75" i="24"/>
  <c r="AB75" i="24"/>
  <c r="I75" i="24"/>
  <c r="AA75" i="24"/>
  <c r="H75" i="24"/>
  <c r="V7" i="24"/>
  <c r="R12" i="24"/>
  <c r="Q12" i="24"/>
  <c r="V12" i="24"/>
  <c r="I15" i="24"/>
  <c r="W36" i="24"/>
  <c r="AB6" i="24"/>
  <c r="W7" i="24"/>
  <c r="U8" i="24"/>
  <c r="I12" i="24"/>
  <c r="J15" i="24"/>
  <c r="AB24" i="24"/>
  <c r="R28" i="24"/>
  <c r="Q29" i="24"/>
  <c r="Q31" i="24"/>
  <c r="S32" i="24"/>
  <c r="U47" i="24"/>
  <c r="T47" i="24"/>
  <c r="S47" i="24"/>
  <c r="R47" i="24"/>
  <c r="AA47" i="24"/>
  <c r="H47" i="24"/>
  <c r="W47" i="24"/>
  <c r="C47" i="24"/>
  <c r="M50" i="24"/>
  <c r="W64" i="24"/>
  <c r="C64" i="24"/>
  <c r="V64" i="24"/>
  <c r="U64" i="24"/>
  <c r="T64" i="24"/>
  <c r="S64" i="24"/>
  <c r="AB64" i="24"/>
  <c r="I64" i="24"/>
  <c r="AA64" i="24"/>
  <c r="H64" i="24"/>
  <c r="W70" i="24"/>
  <c r="C70" i="24"/>
  <c r="V70" i="24"/>
  <c r="U70" i="24"/>
  <c r="S70" i="24"/>
  <c r="T70" i="24"/>
  <c r="AB70" i="24"/>
  <c r="I70" i="24"/>
  <c r="AA70" i="24"/>
  <c r="H70" i="24"/>
  <c r="C15" i="24"/>
  <c r="J13" i="24"/>
  <c r="AB13" i="24"/>
  <c r="I13" i="24"/>
  <c r="AA13" i="24"/>
  <c r="H13" i="24"/>
  <c r="Q13" i="24"/>
  <c r="P13" i="24"/>
  <c r="S15" i="24"/>
  <c r="I6" i="24"/>
  <c r="C7" i="24"/>
  <c r="T9" i="24"/>
  <c r="S9" i="24"/>
  <c r="AA9" i="24"/>
  <c r="C9" i="24"/>
  <c r="P12" i="24"/>
  <c r="R13" i="24"/>
  <c r="T15" i="24"/>
  <c r="S22" i="24"/>
  <c r="R22" i="24"/>
  <c r="Q22" i="24"/>
  <c r="V22" i="24"/>
  <c r="AA29" i="24"/>
  <c r="AA32" i="24"/>
  <c r="T34" i="24"/>
  <c r="S34" i="24"/>
  <c r="R34" i="24"/>
  <c r="W34" i="24"/>
  <c r="C34" i="24"/>
  <c r="V34" i="24"/>
  <c r="J46" i="24"/>
  <c r="AB46" i="24"/>
  <c r="I46" i="24"/>
  <c r="AA46" i="24"/>
  <c r="H46" i="24"/>
  <c r="W46" i="24"/>
  <c r="C46" i="24"/>
  <c r="Q46" i="24"/>
  <c r="P46" i="24"/>
  <c r="AA50" i="24"/>
  <c r="V55" i="24"/>
  <c r="U55" i="24"/>
  <c r="S55" i="24"/>
  <c r="T55" i="24"/>
  <c r="AB55" i="24"/>
  <c r="I55" i="24"/>
  <c r="AA55" i="24"/>
  <c r="H55" i="24"/>
  <c r="H15" i="24"/>
  <c r="J23" i="24"/>
  <c r="AB23" i="24"/>
  <c r="I23" i="24"/>
  <c r="AA23" i="24"/>
  <c r="H23" i="24"/>
  <c r="Q23" i="24"/>
  <c r="U24" i="24"/>
  <c r="T24" i="24"/>
  <c r="S24" i="24"/>
  <c r="AA24" i="24"/>
  <c r="H24" i="24"/>
  <c r="V15" i="24"/>
  <c r="C23" i="24"/>
  <c r="U73" i="24"/>
  <c r="T73" i="24"/>
  <c r="S73" i="24"/>
  <c r="R73" i="24"/>
  <c r="Q73" i="24"/>
  <c r="J73" i="24"/>
  <c r="W73" i="24"/>
  <c r="C73" i="24"/>
  <c r="V73" i="24"/>
  <c r="H9" i="24"/>
  <c r="T12" i="24"/>
  <c r="T13" i="24"/>
  <c r="S14" i="24"/>
  <c r="W15" i="24"/>
  <c r="I22" i="24"/>
  <c r="M23" i="24"/>
  <c r="J24" i="24"/>
  <c r="H34" i="24"/>
  <c r="J47" i="24"/>
  <c r="T68" i="24"/>
  <c r="S68" i="24"/>
  <c r="R68" i="24"/>
  <c r="P68" i="24"/>
  <c r="Q68" i="24"/>
  <c r="V68" i="24"/>
  <c r="U68" i="24"/>
  <c r="M13" i="24"/>
  <c r="M15" i="24"/>
  <c r="V36" i="24"/>
  <c r="U36" i="24"/>
  <c r="T36" i="24"/>
  <c r="S36" i="24"/>
  <c r="AB36" i="24"/>
  <c r="I36" i="24"/>
  <c r="AA36" i="24"/>
  <c r="H36" i="24"/>
  <c r="Q7" i="24"/>
  <c r="P7" i="24"/>
  <c r="U7" i="24"/>
  <c r="I24" i="24"/>
  <c r="U12" i="24"/>
  <c r="U13" i="24"/>
  <c r="AA15" i="24"/>
  <c r="P23" i="24"/>
  <c r="M24" i="24"/>
  <c r="J75" i="24"/>
  <c r="V6" i="24"/>
  <c r="U6" i="24"/>
  <c r="J6" i="24"/>
  <c r="M6" i="24"/>
  <c r="H7" i="24"/>
  <c r="AA8" i="24"/>
  <c r="H8" i="24"/>
  <c r="W8" i="24"/>
  <c r="C8" i="24"/>
  <c r="P8" i="24"/>
  <c r="S13" i="24"/>
  <c r="Q6" i="24"/>
  <c r="J8" i="24"/>
  <c r="J36" i="24"/>
  <c r="T4" i="24"/>
  <c r="S4" i="24"/>
  <c r="AA4" i="24"/>
  <c r="H4" i="24"/>
  <c r="R6" i="24"/>
  <c r="M7" i="24"/>
  <c r="M8" i="24"/>
  <c r="M9" i="24"/>
  <c r="W12" i="24"/>
  <c r="V13" i="24"/>
  <c r="AB15" i="24"/>
  <c r="AB16" i="24"/>
  <c r="I16" i="24"/>
  <c r="AA16" i="24"/>
  <c r="H16" i="24"/>
  <c r="W16" i="24"/>
  <c r="C16" i="24"/>
  <c r="P16" i="24"/>
  <c r="T17" i="24"/>
  <c r="S17" i="24"/>
  <c r="R17" i="24"/>
  <c r="W17" i="24"/>
  <c r="C17" i="24"/>
  <c r="M22" i="24"/>
  <c r="R23" i="24"/>
  <c r="P24" i="24"/>
  <c r="W26" i="24"/>
  <c r="C26" i="24"/>
  <c r="V26" i="24"/>
  <c r="U26" i="24"/>
  <c r="J26" i="24"/>
  <c r="J34" i="24"/>
  <c r="M36" i="24"/>
  <c r="P47" i="24"/>
  <c r="S53" i="24"/>
  <c r="R53" i="24"/>
  <c r="P53" i="24"/>
  <c r="Q53" i="24"/>
  <c r="V53" i="24"/>
  <c r="U53" i="24"/>
  <c r="C55" i="24"/>
  <c r="M64" i="24"/>
  <c r="M70" i="24"/>
  <c r="M75" i="24"/>
  <c r="J7" i="24"/>
  <c r="AB28" i="24"/>
  <c r="I28" i="24"/>
  <c r="AA28" i="24"/>
  <c r="H28" i="24"/>
  <c r="W28" i="24"/>
  <c r="C28" i="24"/>
  <c r="P28" i="24"/>
  <c r="T29" i="24"/>
  <c r="S29" i="24"/>
  <c r="R29" i="24"/>
  <c r="W29" i="24"/>
  <c r="C29" i="24"/>
  <c r="W31" i="24"/>
  <c r="C31" i="24"/>
  <c r="V31" i="24"/>
  <c r="U31" i="24"/>
  <c r="J31" i="24"/>
  <c r="AB31" i="24"/>
  <c r="I31" i="24"/>
  <c r="R32" i="24"/>
  <c r="Q32" i="24"/>
  <c r="P32" i="24"/>
  <c r="U32" i="24"/>
  <c r="T32" i="24"/>
  <c r="T50" i="24"/>
  <c r="S50" i="24"/>
  <c r="R50" i="24"/>
  <c r="Q50" i="24"/>
  <c r="W50" i="24"/>
  <c r="C50" i="24"/>
  <c r="V50" i="24"/>
  <c r="S6" i="24"/>
  <c r="R7" i="24"/>
  <c r="Q8" i="24"/>
  <c r="P9" i="24"/>
  <c r="AA12" i="24"/>
  <c r="W13" i="24"/>
  <c r="V14" i="24"/>
  <c r="U14" i="24"/>
  <c r="T14" i="24"/>
  <c r="AB14" i="24"/>
  <c r="H14" i="24"/>
  <c r="H17" i="24"/>
  <c r="V19" i="24"/>
  <c r="U19" i="24"/>
  <c r="T19" i="24"/>
  <c r="AB19" i="24"/>
  <c r="I19" i="24"/>
  <c r="P22" i="24"/>
  <c r="S23" i="24"/>
  <c r="Q24" i="24"/>
  <c r="H26" i="24"/>
  <c r="R27" i="24"/>
  <c r="Q27" i="24"/>
  <c r="P27" i="24"/>
  <c r="U27" i="24"/>
  <c r="I29" i="24"/>
  <c r="H32" i="24"/>
  <c r="M34" i="24"/>
  <c r="P36" i="24"/>
  <c r="M46" i="24"/>
  <c r="Q47" i="24"/>
  <c r="J55" i="24"/>
  <c r="P64" i="24"/>
  <c r="C68" i="24"/>
  <c r="P70" i="24"/>
  <c r="Q75" i="24"/>
  <c r="R18" i="24"/>
  <c r="P33" i="24"/>
  <c r="R35" i="24"/>
  <c r="T48" i="24"/>
  <c r="P49" i="24"/>
  <c r="R51" i="24"/>
  <c r="Q54" i="24"/>
  <c r="Q63" i="24"/>
  <c r="R69" i="24"/>
  <c r="T71" i="24"/>
  <c r="P72" i="24"/>
  <c r="R74" i="24"/>
  <c r="V49" i="24"/>
  <c r="V72" i="24"/>
  <c r="V11" i="24"/>
  <c r="V21" i="24"/>
  <c r="I30" i="24"/>
  <c r="C33" i="24"/>
  <c r="W33" i="24"/>
  <c r="I35" i="24"/>
  <c r="AB35" i="24"/>
  <c r="V38" i="24"/>
  <c r="M48" i="24"/>
  <c r="C49" i="24"/>
  <c r="W49" i="24"/>
  <c r="I51" i="24"/>
  <c r="AB51" i="24"/>
  <c r="U52" i="24"/>
  <c r="H54" i="24"/>
  <c r="AA54" i="24"/>
  <c r="C63" i="24"/>
  <c r="AA63" i="24"/>
  <c r="V67" i="24"/>
  <c r="H69" i="24"/>
  <c r="AB69" i="24"/>
  <c r="M71" i="24"/>
  <c r="C72" i="24"/>
  <c r="W72" i="24"/>
  <c r="I74" i="24"/>
  <c r="AB74" i="24"/>
  <c r="J71" i="24"/>
  <c r="I18" i="24"/>
  <c r="AB18" i="24"/>
  <c r="C11" i="24"/>
  <c r="C21" i="24"/>
  <c r="H33" i="24"/>
  <c r="AA33" i="24"/>
  <c r="C38" i="24"/>
  <c r="P48" i="24"/>
  <c r="H49" i="24"/>
  <c r="AA49" i="24"/>
  <c r="I54" i="24"/>
  <c r="H63" i="24"/>
  <c r="C67" i="24"/>
  <c r="P71" i="24"/>
  <c r="H72" i="24"/>
  <c r="AA72" i="24"/>
  <c r="I33" i="24"/>
  <c r="I49" i="24"/>
  <c r="I72" i="24"/>
  <c r="AD18" i="23"/>
  <c r="Q18" i="23" s="1"/>
  <c r="AB18" i="23"/>
  <c r="AA18" i="23"/>
  <c r="W18" i="23"/>
  <c r="V18" i="23"/>
  <c r="U18" i="23"/>
  <c r="T18" i="23"/>
  <c r="S18" i="23"/>
  <c r="R18" i="23"/>
  <c r="J18" i="23"/>
  <c r="I18" i="23"/>
  <c r="H18" i="23"/>
  <c r="C18" i="23"/>
  <c r="M18" i="23" l="1"/>
  <c r="P18" i="23"/>
  <c r="AD77" i="23"/>
  <c r="AB77" i="23" s="1"/>
  <c r="AC77" i="23"/>
  <c r="J77" i="23" l="1"/>
  <c r="M77" i="23"/>
  <c r="P77" i="23"/>
  <c r="Q77" i="23"/>
  <c r="R77" i="23"/>
  <c r="S77" i="23"/>
  <c r="T77" i="23"/>
  <c r="U77" i="23"/>
  <c r="V77" i="23"/>
  <c r="C77" i="23"/>
  <c r="W77" i="23"/>
  <c r="H77" i="23"/>
  <c r="AA77" i="23"/>
  <c r="I77" i="23"/>
  <c r="AD27" i="23" l="1"/>
  <c r="AB27" i="23" s="1"/>
  <c r="AD26" i="23"/>
  <c r="AB26" i="23" s="1"/>
  <c r="AB84" i="23"/>
  <c r="AA84" i="23"/>
  <c r="W84" i="23"/>
  <c r="V84" i="23"/>
  <c r="U84" i="23"/>
  <c r="T84" i="23"/>
  <c r="S84" i="23"/>
  <c r="R84" i="23"/>
  <c r="Q84" i="23"/>
  <c r="P84" i="23"/>
  <c r="M84" i="23"/>
  <c r="J84" i="23"/>
  <c r="I84" i="23"/>
  <c r="H84" i="23"/>
  <c r="C84" i="23"/>
  <c r="AB83" i="23"/>
  <c r="AA83" i="23"/>
  <c r="W83" i="23"/>
  <c r="V83" i="23"/>
  <c r="U83" i="23"/>
  <c r="T83" i="23"/>
  <c r="S83" i="23"/>
  <c r="R83" i="23"/>
  <c r="Q83" i="23"/>
  <c r="P83" i="23"/>
  <c r="M83" i="23"/>
  <c r="J83" i="23"/>
  <c r="I83" i="23"/>
  <c r="H83" i="23"/>
  <c r="C83" i="23"/>
  <c r="AB82" i="23"/>
  <c r="AA82" i="23"/>
  <c r="W82" i="23"/>
  <c r="V82" i="23"/>
  <c r="U82" i="23"/>
  <c r="T82" i="23"/>
  <c r="S82" i="23"/>
  <c r="R82" i="23"/>
  <c r="Q82" i="23"/>
  <c r="P82" i="23"/>
  <c r="M82" i="23"/>
  <c r="J82" i="23"/>
  <c r="I82" i="23"/>
  <c r="H82" i="23"/>
  <c r="C82" i="23"/>
  <c r="AB81" i="23"/>
  <c r="AA81" i="23"/>
  <c r="W81" i="23"/>
  <c r="V81" i="23"/>
  <c r="U81" i="23"/>
  <c r="T81" i="23"/>
  <c r="S81" i="23"/>
  <c r="R81" i="23"/>
  <c r="Q81" i="23"/>
  <c r="P81" i="23"/>
  <c r="M81" i="23"/>
  <c r="J81" i="23"/>
  <c r="I81" i="23"/>
  <c r="H81" i="23"/>
  <c r="C81" i="23"/>
  <c r="AB80" i="23"/>
  <c r="AA80" i="23"/>
  <c r="W80" i="23"/>
  <c r="V80" i="23"/>
  <c r="U80" i="23"/>
  <c r="T80" i="23"/>
  <c r="S80" i="23"/>
  <c r="R80" i="23"/>
  <c r="Q80" i="23"/>
  <c r="P80" i="23"/>
  <c r="M80" i="23"/>
  <c r="J80" i="23"/>
  <c r="I80" i="23"/>
  <c r="H80" i="23"/>
  <c r="C80" i="23"/>
  <c r="AB79" i="23"/>
  <c r="AA79" i="23"/>
  <c r="W79" i="23"/>
  <c r="V79" i="23"/>
  <c r="U79" i="23"/>
  <c r="T79" i="23"/>
  <c r="S79" i="23"/>
  <c r="R79" i="23"/>
  <c r="Q79" i="23"/>
  <c r="P79" i="23"/>
  <c r="M79" i="23"/>
  <c r="J79" i="23"/>
  <c r="I79" i="23"/>
  <c r="H79" i="23"/>
  <c r="C79" i="23"/>
  <c r="AB78" i="23"/>
  <c r="AA78" i="23"/>
  <c r="W78" i="23"/>
  <c r="V78" i="23"/>
  <c r="U78" i="23"/>
  <c r="T78" i="23"/>
  <c r="S78" i="23"/>
  <c r="R78" i="23"/>
  <c r="Q78" i="23"/>
  <c r="P78" i="23"/>
  <c r="M78" i="23"/>
  <c r="J78" i="23"/>
  <c r="I78" i="23"/>
  <c r="H78" i="23"/>
  <c r="C78" i="23"/>
  <c r="AD76" i="23"/>
  <c r="AA76" i="23" s="1"/>
  <c r="AD75" i="23"/>
  <c r="S75" i="23" s="1"/>
  <c r="AC75" i="23"/>
  <c r="AD74" i="23"/>
  <c r="V74" i="23" s="1"/>
  <c r="AD73" i="23"/>
  <c r="W73" i="23" s="1"/>
  <c r="AD72" i="23"/>
  <c r="S72" i="23" s="1"/>
  <c r="AC72" i="23"/>
  <c r="AD71" i="23"/>
  <c r="AA71" i="23" s="1"/>
  <c r="AC71" i="23"/>
  <c r="AD70" i="23"/>
  <c r="P70" i="23" s="1"/>
  <c r="AD69" i="23"/>
  <c r="S69" i="23" s="1"/>
  <c r="AD67" i="23"/>
  <c r="U67" i="23" s="1"/>
  <c r="AD66" i="23"/>
  <c r="S66" i="23" s="1"/>
  <c r="AD65" i="23"/>
  <c r="W65" i="23" s="1"/>
  <c r="AD62" i="23"/>
  <c r="AB62" i="23"/>
  <c r="AA62" i="23"/>
  <c r="W62" i="23"/>
  <c r="V62" i="23"/>
  <c r="U62" i="23"/>
  <c r="T62" i="23"/>
  <c r="S62" i="23"/>
  <c r="R62" i="23"/>
  <c r="Q62" i="23"/>
  <c r="P62" i="23"/>
  <c r="J62" i="23"/>
  <c r="H62" i="23"/>
  <c r="C62" i="23"/>
  <c r="AB61" i="23"/>
  <c r="AA61" i="23"/>
  <c r="W61" i="23"/>
  <c r="V61" i="23"/>
  <c r="U61" i="23"/>
  <c r="T61" i="23"/>
  <c r="S61" i="23"/>
  <c r="R61" i="23"/>
  <c r="Q61" i="23"/>
  <c r="P61" i="23"/>
  <c r="M61" i="23"/>
  <c r="J61" i="23"/>
  <c r="I61" i="23"/>
  <c r="H61" i="23"/>
  <c r="C61" i="23"/>
  <c r="AB60" i="23"/>
  <c r="AA60" i="23"/>
  <c r="W60" i="23"/>
  <c r="V60" i="23"/>
  <c r="U60" i="23"/>
  <c r="T60" i="23"/>
  <c r="S60" i="23"/>
  <c r="R60" i="23"/>
  <c r="Q60" i="23"/>
  <c r="P60" i="23"/>
  <c r="M60" i="23"/>
  <c r="J60" i="23"/>
  <c r="I60" i="23"/>
  <c r="H60" i="23"/>
  <c r="C60" i="23"/>
  <c r="AB59" i="23"/>
  <c r="AA59" i="23"/>
  <c r="W59" i="23"/>
  <c r="V59" i="23"/>
  <c r="U59" i="23"/>
  <c r="T59" i="23"/>
  <c r="S59" i="23"/>
  <c r="R59" i="23"/>
  <c r="Q59" i="23"/>
  <c r="P59" i="23"/>
  <c r="M59" i="23"/>
  <c r="J59" i="23"/>
  <c r="I59" i="23"/>
  <c r="H59" i="23"/>
  <c r="C59" i="23"/>
  <c r="AD58" i="23"/>
  <c r="U58" i="23" s="1"/>
  <c r="AD57" i="23"/>
  <c r="S57" i="23" s="1"/>
  <c r="AD56" i="23"/>
  <c r="W56" i="23" s="1"/>
  <c r="AD55" i="23"/>
  <c r="AB55" i="23" s="1"/>
  <c r="AC55" i="23"/>
  <c r="AD54" i="23"/>
  <c r="AB54" i="23" s="1"/>
  <c r="AD53" i="23"/>
  <c r="V53" i="23" s="1"/>
  <c r="AD52" i="23"/>
  <c r="T52" i="23" s="1"/>
  <c r="AD51" i="23"/>
  <c r="AA51" i="23" s="1"/>
  <c r="AD50" i="23"/>
  <c r="H50" i="23" s="1"/>
  <c r="AD49" i="23"/>
  <c r="R49" i="23" s="1"/>
  <c r="AD48" i="23"/>
  <c r="P48" i="23" s="1"/>
  <c r="AD47" i="23"/>
  <c r="AB47" i="23" s="1"/>
  <c r="AB43" i="23"/>
  <c r="AA43" i="23"/>
  <c r="W43" i="23"/>
  <c r="V43" i="23"/>
  <c r="U43" i="23"/>
  <c r="T43" i="23"/>
  <c r="S43" i="23"/>
  <c r="R43" i="23"/>
  <c r="Q43" i="23"/>
  <c r="P43" i="23"/>
  <c r="M43" i="23"/>
  <c r="J43" i="23"/>
  <c r="I43" i="23"/>
  <c r="H43" i="23"/>
  <c r="C43" i="23"/>
  <c r="AB42" i="23"/>
  <c r="AA42" i="23"/>
  <c r="W42" i="23"/>
  <c r="V42" i="23"/>
  <c r="U42" i="23"/>
  <c r="T42" i="23"/>
  <c r="S42" i="23"/>
  <c r="R42" i="23"/>
  <c r="Q42" i="23"/>
  <c r="P42" i="23"/>
  <c r="M42" i="23"/>
  <c r="J42" i="23"/>
  <c r="I42" i="23"/>
  <c r="H42" i="23"/>
  <c r="C42" i="23"/>
  <c r="AB41" i="23"/>
  <c r="AA41" i="23"/>
  <c r="W41" i="23"/>
  <c r="V41" i="23"/>
  <c r="U41" i="23"/>
  <c r="T41" i="23"/>
  <c r="S41" i="23"/>
  <c r="R41" i="23"/>
  <c r="Q41" i="23"/>
  <c r="P41" i="23"/>
  <c r="M41" i="23"/>
  <c r="J41" i="23"/>
  <c r="I41" i="23"/>
  <c r="H41" i="23"/>
  <c r="C41" i="23"/>
  <c r="AB40" i="23"/>
  <c r="AA40" i="23"/>
  <c r="W40" i="23"/>
  <c r="V40" i="23"/>
  <c r="U40" i="23"/>
  <c r="T40" i="23"/>
  <c r="S40" i="23"/>
  <c r="R40" i="23"/>
  <c r="Q40" i="23"/>
  <c r="P40" i="23"/>
  <c r="M40" i="23"/>
  <c r="J40" i="23"/>
  <c r="I40" i="23"/>
  <c r="H40" i="23"/>
  <c r="C40" i="23"/>
  <c r="AD39" i="23"/>
  <c r="U39" i="23" s="1"/>
  <c r="AD38" i="23"/>
  <c r="S38" i="23" s="1"/>
  <c r="AD37" i="23"/>
  <c r="AB37" i="23" s="1"/>
  <c r="AC37" i="23"/>
  <c r="AD36" i="23"/>
  <c r="W36" i="23" s="1"/>
  <c r="AC36" i="23"/>
  <c r="AD35" i="23"/>
  <c r="AA35" i="23" s="1"/>
  <c r="AC35" i="23"/>
  <c r="AD34" i="23"/>
  <c r="AA34" i="23" s="1"/>
  <c r="AC34" i="23"/>
  <c r="AD33" i="23"/>
  <c r="AB33" i="23" s="1"/>
  <c r="AC33" i="23"/>
  <c r="AD32" i="23"/>
  <c r="C32" i="23" s="1"/>
  <c r="AC32" i="23"/>
  <c r="AD31" i="23"/>
  <c r="M31" i="23" s="1"/>
  <c r="AD30" i="23"/>
  <c r="AA30" i="23" s="1"/>
  <c r="AC30" i="23"/>
  <c r="AD29" i="23"/>
  <c r="AA29" i="23" s="1"/>
  <c r="AC29" i="23"/>
  <c r="C29" i="23"/>
  <c r="AD28" i="23"/>
  <c r="C28" i="23" s="1"/>
  <c r="AC28" i="23"/>
  <c r="AD25" i="23"/>
  <c r="W25" i="23" s="1"/>
  <c r="AC25" i="23"/>
  <c r="AD24" i="23"/>
  <c r="U24" i="23" s="1"/>
  <c r="AC24" i="23"/>
  <c r="AD23" i="23"/>
  <c r="M23" i="23" s="1"/>
  <c r="AC23" i="23"/>
  <c r="AD22" i="23"/>
  <c r="P22" i="23" s="1"/>
  <c r="AD21" i="23"/>
  <c r="I21" i="23" s="1"/>
  <c r="AD20" i="23"/>
  <c r="C20" i="23" s="1"/>
  <c r="AD19" i="23"/>
  <c r="AB19" i="23" s="1"/>
  <c r="AD17" i="23"/>
  <c r="AB17" i="23" s="1"/>
  <c r="AD16" i="23"/>
  <c r="I16" i="23" s="1"/>
  <c r="AD15" i="23"/>
  <c r="AB15" i="23" s="1"/>
  <c r="AD14" i="23"/>
  <c r="C14" i="23" s="1"/>
  <c r="AD13" i="23"/>
  <c r="H13" i="23" s="1"/>
  <c r="AD12" i="23"/>
  <c r="Q12" i="23" s="1"/>
  <c r="AD11" i="23"/>
  <c r="W11" i="23" s="1"/>
  <c r="AD10" i="23"/>
  <c r="P10" i="23" s="1"/>
  <c r="AD9" i="23"/>
  <c r="AA9" i="23" s="1"/>
  <c r="AD8" i="23"/>
  <c r="H8" i="23" s="1"/>
  <c r="AD7" i="23"/>
  <c r="J7" i="23" s="1"/>
  <c r="AD6" i="23"/>
  <c r="J6" i="23" s="1"/>
  <c r="AD5" i="23"/>
  <c r="H5" i="23" s="1"/>
  <c r="AD4" i="23"/>
  <c r="J4" i="23" s="1"/>
  <c r="R29" i="23" l="1"/>
  <c r="AB10" i="23"/>
  <c r="AA13" i="23"/>
  <c r="V16" i="23"/>
  <c r="R48" i="23"/>
  <c r="R32" i="23"/>
  <c r="U70" i="23"/>
  <c r="W29" i="23"/>
  <c r="S48" i="23"/>
  <c r="T57" i="23"/>
  <c r="V29" i="23"/>
  <c r="AB29" i="23"/>
  <c r="M58" i="23"/>
  <c r="AB16" i="23"/>
  <c r="I9" i="23"/>
  <c r="AB28" i="23"/>
  <c r="C31" i="23"/>
  <c r="T66" i="23"/>
  <c r="AA31" i="23"/>
  <c r="U66" i="23"/>
  <c r="H54" i="23"/>
  <c r="T48" i="23"/>
  <c r="U31" i="23"/>
  <c r="U48" i="23"/>
  <c r="V31" i="23"/>
  <c r="W48" i="23"/>
  <c r="R54" i="23"/>
  <c r="AB72" i="23"/>
  <c r="U29" i="23"/>
  <c r="W31" i="23"/>
  <c r="AA48" i="23"/>
  <c r="W54" i="23"/>
  <c r="H55" i="23"/>
  <c r="J51" i="23"/>
  <c r="T55" i="23"/>
  <c r="W75" i="23"/>
  <c r="S55" i="23"/>
  <c r="V28" i="23"/>
  <c r="U51" i="23"/>
  <c r="V55" i="23"/>
  <c r="J5" i="23"/>
  <c r="M5" i="23"/>
  <c r="W28" i="23"/>
  <c r="AB30" i="23"/>
  <c r="T70" i="23"/>
  <c r="AB31" i="23"/>
  <c r="V48" i="23"/>
  <c r="U12" i="23"/>
  <c r="AB53" i="23"/>
  <c r="M75" i="23"/>
  <c r="I29" i="23"/>
  <c r="AA75" i="23"/>
  <c r="Q29" i="23"/>
  <c r="M25" i="23"/>
  <c r="U25" i="23"/>
  <c r="S29" i="23"/>
  <c r="H31" i="23"/>
  <c r="W33" i="23"/>
  <c r="C51" i="23"/>
  <c r="AA54" i="23"/>
  <c r="AA58" i="23"/>
  <c r="U72" i="23"/>
  <c r="P76" i="23"/>
  <c r="V33" i="23"/>
  <c r="R16" i="23"/>
  <c r="T29" i="23"/>
  <c r="I31" i="23"/>
  <c r="I51" i="23"/>
  <c r="AA72" i="23"/>
  <c r="Q76" i="23"/>
  <c r="P5" i="23"/>
  <c r="J9" i="23"/>
  <c r="AA36" i="23"/>
  <c r="U55" i="23"/>
  <c r="U57" i="23"/>
  <c r="V66" i="23"/>
  <c r="W70" i="23"/>
  <c r="AA70" i="23"/>
  <c r="M56" i="23"/>
  <c r="R76" i="23"/>
  <c r="S7" i="23"/>
  <c r="I34" i="23"/>
  <c r="W38" i="23"/>
  <c r="P56" i="23"/>
  <c r="AB69" i="23"/>
  <c r="C75" i="23"/>
  <c r="V76" i="23"/>
  <c r="Q56" i="23"/>
  <c r="AB65" i="23"/>
  <c r="C72" i="23"/>
  <c r="H75" i="23"/>
  <c r="AB76" i="23"/>
  <c r="U56" i="23"/>
  <c r="I8" i="23"/>
  <c r="T35" i="23"/>
  <c r="AA39" i="23"/>
  <c r="P55" i="23"/>
  <c r="AA56" i="23"/>
  <c r="H66" i="23"/>
  <c r="C70" i="23"/>
  <c r="V72" i="23"/>
  <c r="R75" i="23"/>
  <c r="I5" i="23"/>
  <c r="W35" i="23"/>
  <c r="Q55" i="23"/>
  <c r="AB56" i="23"/>
  <c r="Q66" i="23"/>
  <c r="S70" i="23"/>
  <c r="W72" i="23"/>
  <c r="W4" i="23"/>
  <c r="T7" i="23"/>
  <c r="AA11" i="23"/>
  <c r="S15" i="23"/>
  <c r="AB35" i="23"/>
  <c r="AA38" i="23"/>
  <c r="V57" i="23"/>
  <c r="J69" i="23"/>
  <c r="AB11" i="23"/>
  <c r="T15" i="23"/>
  <c r="V19" i="23"/>
  <c r="P25" i="23"/>
  <c r="U33" i="23"/>
  <c r="AB38" i="23"/>
  <c r="T51" i="23"/>
  <c r="R55" i="23"/>
  <c r="R56" i="23"/>
  <c r="W57" i="23"/>
  <c r="V70" i="23"/>
  <c r="S76" i="23"/>
  <c r="P58" i="23"/>
  <c r="P37" i="23"/>
  <c r="H57" i="23"/>
  <c r="R58" i="23"/>
  <c r="H70" i="23"/>
  <c r="R71" i="23"/>
  <c r="S37" i="23"/>
  <c r="J57" i="23"/>
  <c r="S58" i="23"/>
  <c r="J70" i="23"/>
  <c r="S71" i="23"/>
  <c r="V37" i="23"/>
  <c r="I56" i="23"/>
  <c r="M57" i="23"/>
  <c r="T58" i="23"/>
  <c r="Q70" i="23"/>
  <c r="V71" i="23"/>
  <c r="J76" i="23"/>
  <c r="AB24" i="23"/>
  <c r="M35" i="23"/>
  <c r="H48" i="23"/>
  <c r="J56" i="23"/>
  <c r="Q57" i="23"/>
  <c r="AA67" i="23"/>
  <c r="R70" i="23"/>
  <c r="AB71" i="23"/>
  <c r="M76" i="23"/>
  <c r="J27" i="23"/>
  <c r="M27" i="23"/>
  <c r="Q27" i="23"/>
  <c r="R27" i="23"/>
  <c r="S27" i="23"/>
  <c r="T27" i="23"/>
  <c r="P27" i="23"/>
  <c r="U27" i="23"/>
  <c r="V27" i="23"/>
  <c r="I24" i="23"/>
  <c r="J31" i="23"/>
  <c r="C36" i="23"/>
  <c r="C24" i="23"/>
  <c r="J24" i="23"/>
  <c r="H36" i="23"/>
  <c r="V51" i="23"/>
  <c r="U52" i="23"/>
  <c r="W55" i="23"/>
  <c r="AA57" i="23"/>
  <c r="P65" i="23"/>
  <c r="W66" i="23"/>
  <c r="H72" i="23"/>
  <c r="H73" i="23"/>
  <c r="C27" i="23"/>
  <c r="W27" i="23"/>
  <c r="P31" i="23"/>
  <c r="R8" i="23"/>
  <c r="M24" i="23"/>
  <c r="I28" i="23"/>
  <c r="M29" i="23"/>
  <c r="C30" i="23"/>
  <c r="Q31" i="23"/>
  <c r="C35" i="23"/>
  <c r="M36" i="23"/>
  <c r="C38" i="23"/>
  <c r="C47" i="23"/>
  <c r="W51" i="23"/>
  <c r="V52" i="23"/>
  <c r="AA55" i="23"/>
  <c r="AB57" i="23"/>
  <c r="Q65" i="23"/>
  <c r="AA66" i="23"/>
  <c r="J72" i="23"/>
  <c r="J73" i="23"/>
  <c r="H27" i="23"/>
  <c r="AA27" i="23"/>
  <c r="H24" i="23"/>
  <c r="U5" i="23"/>
  <c r="P8" i="23"/>
  <c r="J29" i="23"/>
  <c r="AB5" i="23"/>
  <c r="H15" i="23"/>
  <c r="R17" i="23"/>
  <c r="AA8" i="23"/>
  <c r="J15" i="23"/>
  <c r="T17" i="23"/>
  <c r="V24" i="23"/>
  <c r="J28" i="23"/>
  <c r="P29" i="23"/>
  <c r="J30" i="23"/>
  <c r="R31" i="23"/>
  <c r="C33" i="23"/>
  <c r="H35" i="23"/>
  <c r="R36" i="23"/>
  <c r="H38" i="23"/>
  <c r="H47" i="23"/>
  <c r="AB51" i="23"/>
  <c r="W52" i="23"/>
  <c r="C55" i="23"/>
  <c r="C57" i="23"/>
  <c r="R65" i="23"/>
  <c r="AB66" i="23"/>
  <c r="J71" i="23"/>
  <c r="M72" i="23"/>
  <c r="AA73" i="23"/>
  <c r="I27" i="23"/>
  <c r="Q4" i="23"/>
  <c r="I12" i="23"/>
  <c r="M15" i="23"/>
  <c r="W17" i="23"/>
  <c r="C22" i="23"/>
  <c r="W24" i="23"/>
  <c r="M28" i="23"/>
  <c r="Q30" i="23"/>
  <c r="S31" i="23"/>
  <c r="I33" i="23"/>
  <c r="I35" i="23"/>
  <c r="U36" i="23"/>
  <c r="U38" i="23"/>
  <c r="AB49" i="23"/>
  <c r="AA52" i="23"/>
  <c r="U65" i="23"/>
  <c r="P71" i="23"/>
  <c r="Q72" i="23"/>
  <c r="R4" i="23"/>
  <c r="M6" i="23"/>
  <c r="T12" i="23"/>
  <c r="P15" i="23"/>
  <c r="AA22" i="23"/>
  <c r="AA24" i="23"/>
  <c r="P28" i="23"/>
  <c r="T31" i="23"/>
  <c r="R33" i="23"/>
  <c r="J35" i="23"/>
  <c r="V36" i="23"/>
  <c r="V38" i="23"/>
  <c r="J55" i="23"/>
  <c r="I57" i="23"/>
  <c r="AA65" i="23"/>
  <c r="Q71" i="23"/>
  <c r="T72" i="23"/>
  <c r="J26" i="23"/>
  <c r="M26" i="23"/>
  <c r="P26" i="23"/>
  <c r="Q26" i="23"/>
  <c r="R26" i="23"/>
  <c r="S26" i="23"/>
  <c r="T26" i="23"/>
  <c r="U26" i="23"/>
  <c r="V26" i="23"/>
  <c r="W26" i="23"/>
  <c r="C26" i="23"/>
  <c r="AA26" i="23"/>
  <c r="H26" i="23"/>
  <c r="I26" i="23"/>
  <c r="P6" i="23"/>
  <c r="I73" i="23"/>
  <c r="AB73" i="23"/>
  <c r="J34" i="23"/>
  <c r="M73" i="23"/>
  <c r="C74" i="23"/>
  <c r="H20" i="23"/>
  <c r="J22" i="23"/>
  <c r="H23" i="23"/>
  <c r="I20" i="23"/>
  <c r="Q34" i="23"/>
  <c r="Q14" i="23"/>
  <c r="R73" i="23"/>
  <c r="M74" i="23"/>
  <c r="H22" i="23"/>
  <c r="T6" i="23"/>
  <c r="R9" i="23"/>
  <c r="R22" i="23"/>
  <c r="Q23" i="23"/>
  <c r="P24" i="23"/>
  <c r="S34" i="23"/>
  <c r="I53" i="23"/>
  <c r="V6" i="23"/>
  <c r="T9" i="23"/>
  <c r="M11" i="23"/>
  <c r="R14" i="23"/>
  <c r="W15" i="23"/>
  <c r="Q20" i="23"/>
  <c r="S22" i="23"/>
  <c r="S23" i="23"/>
  <c r="Q24" i="23"/>
  <c r="T34" i="23"/>
  <c r="I38" i="23"/>
  <c r="H39" i="23"/>
  <c r="C48" i="23"/>
  <c r="M51" i="23"/>
  <c r="C52" i="23"/>
  <c r="J53" i="23"/>
  <c r="C66" i="23"/>
  <c r="S73" i="23"/>
  <c r="P74" i="23"/>
  <c r="R6" i="23"/>
  <c r="P9" i="23"/>
  <c r="H14" i="23"/>
  <c r="M22" i="23"/>
  <c r="J23" i="23"/>
  <c r="P73" i="23"/>
  <c r="H74" i="23"/>
  <c r="I11" i="23"/>
  <c r="C6" i="23"/>
  <c r="U14" i="23"/>
  <c r="T22" i="23"/>
  <c r="U23" i="23"/>
  <c r="R24" i="23"/>
  <c r="J38" i="23"/>
  <c r="C65" i="23"/>
  <c r="T73" i="23"/>
  <c r="W20" i="23"/>
  <c r="U22" i="23"/>
  <c r="AA23" i="23"/>
  <c r="S24" i="23"/>
  <c r="V34" i="23"/>
  <c r="I37" i="23"/>
  <c r="M38" i="23"/>
  <c r="P39" i="23"/>
  <c r="J48" i="23"/>
  <c r="H49" i="23"/>
  <c r="Q51" i="23"/>
  <c r="R52" i="23"/>
  <c r="R53" i="23"/>
  <c r="H65" i="23"/>
  <c r="I66" i="23"/>
  <c r="H67" i="23"/>
  <c r="U73" i="23"/>
  <c r="T74" i="23"/>
  <c r="Q6" i="23"/>
  <c r="M34" i="23"/>
  <c r="S6" i="23"/>
  <c r="Q9" i="23"/>
  <c r="C11" i="23"/>
  <c r="J20" i="23"/>
  <c r="Q22" i="23"/>
  <c r="R34" i="23"/>
  <c r="U6" i="23"/>
  <c r="S9" i="23"/>
  <c r="U9" i="23"/>
  <c r="Q11" i="23"/>
  <c r="C17" i="23"/>
  <c r="V20" i="23"/>
  <c r="U34" i="23"/>
  <c r="M39" i="23"/>
  <c r="P51" i="23"/>
  <c r="H52" i="23"/>
  <c r="P53" i="23"/>
  <c r="Q74" i="23"/>
  <c r="V9" i="23"/>
  <c r="T11" i="23"/>
  <c r="I13" i="23"/>
  <c r="V14" i="23"/>
  <c r="C16" i="23"/>
  <c r="H17" i="23"/>
  <c r="I6" i="23"/>
  <c r="AB6" i="23"/>
  <c r="W9" i="23"/>
  <c r="V11" i="23"/>
  <c r="P13" i="23"/>
  <c r="AA14" i="23"/>
  <c r="J17" i="23"/>
  <c r="M19" i="23"/>
  <c r="AB20" i="23"/>
  <c r="C21" i="23"/>
  <c r="V22" i="23"/>
  <c r="AB23" i="23"/>
  <c r="T24" i="23"/>
  <c r="W34" i="23"/>
  <c r="J37" i="23"/>
  <c r="Q38" i="23"/>
  <c r="S39" i="23"/>
  <c r="M48" i="23"/>
  <c r="M49" i="23"/>
  <c r="R51" i="23"/>
  <c r="S52" i="23"/>
  <c r="S53" i="23"/>
  <c r="J65" i="23"/>
  <c r="J66" i="23"/>
  <c r="R67" i="23"/>
  <c r="H71" i="23"/>
  <c r="V73" i="23"/>
  <c r="W74" i="23"/>
  <c r="M9" i="23"/>
  <c r="P34" i="23"/>
  <c r="J14" i="23"/>
  <c r="H11" i="23"/>
  <c r="M14" i="23"/>
  <c r="Q73" i="23"/>
  <c r="J74" i="23"/>
  <c r="M20" i="23"/>
  <c r="W6" i="23"/>
  <c r="H6" i="23"/>
  <c r="AA6" i="23"/>
  <c r="H16" i="23"/>
  <c r="C9" i="23"/>
  <c r="AB9" i="23"/>
  <c r="Q13" i="23"/>
  <c r="Q17" i="23"/>
  <c r="P19" i="23"/>
  <c r="W22" i="23"/>
  <c r="H28" i="23"/>
  <c r="Q32" i="23"/>
  <c r="C34" i="23"/>
  <c r="AB34" i="23"/>
  <c r="M37" i="23"/>
  <c r="T38" i="23"/>
  <c r="T39" i="23"/>
  <c r="Q48" i="23"/>
  <c r="S51" i="23"/>
  <c r="M55" i="23"/>
  <c r="H56" i="23"/>
  <c r="M65" i="23"/>
  <c r="M66" i="23"/>
  <c r="M70" i="23"/>
  <c r="I71" i="23"/>
  <c r="I72" i="23"/>
  <c r="C73" i="23"/>
  <c r="AA74" i="23"/>
  <c r="I76" i="23"/>
  <c r="H21" i="23"/>
  <c r="T16" i="23"/>
  <c r="Q16" i="23"/>
  <c r="S32" i="23"/>
  <c r="I47" i="23"/>
  <c r="W49" i="23"/>
  <c r="C49" i="23"/>
  <c r="V49" i="23"/>
  <c r="T49" i="23"/>
  <c r="S49" i="23"/>
  <c r="U69" i="23"/>
  <c r="T69" i="23"/>
  <c r="R69" i="23"/>
  <c r="Q69" i="23"/>
  <c r="AA69" i="23"/>
  <c r="H69" i="23"/>
  <c r="H10" i="23"/>
  <c r="W7" i="23"/>
  <c r="V30" i="23"/>
  <c r="U30" i="23"/>
  <c r="S30" i="23"/>
  <c r="R30" i="23"/>
  <c r="J47" i="23"/>
  <c r="C50" i="23"/>
  <c r="T54" i="23"/>
  <c r="S54" i="23"/>
  <c r="Q54" i="23"/>
  <c r="P54" i="23"/>
  <c r="J67" i="23"/>
  <c r="AB67" i="23"/>
  <c r="I67" i="23"/>
  <c r="W67" i="23"/>
  <c r="C67" i="23"/>
  <c r="V67" i="23"/>
  <c r="Q67" i="23"/>
  <c r="U21" i="23"/>
  <c r="T21" i="23"/>
  <c r="R21" i="23"/>
  <c r="S4" i="23"/>
  <c r="U7" i="23"/>
  <c r="S8" i="23"/>
  <c r="V12" i="23"/>
  <c r="S13" i="23"/>
  <c r="Q25" i="23"/>
  <c r="U8" i="23"/>
  <c r="AA12" i="23"/>
  <c r="T13" i="23"/>
  <c r="R19" i="23"/>
  <c r="U4" i="23"/>
  <c r="R5" i="23"/>
  <c r="AA7" i="23"/>
  <c r="V8" i="23"/>
  <c r="S11" i="23"/>
  <c r="P11" i="23"/>
  <c r="AB12" i="23"/>
  <c r="V13" i="23"/>
  <c r="S14" i="23"/>
  <c r="Q15" i="23"/>
  <c r="M16" i="23"/>
  <c r="AA17" i="23"/>
  <c r="S19" i="23"/>
  <c r="T20" i="23"/>
  <c r="M21" i="23"/>
  <c r="W23" i="23"/>
  <c r="C23" i="23"/>
  <c r="V23" i="23"/>
  <c r="T23" i="23"/>
  <c r="S25" i="23"/>
  <c r="R28" i="23"/>
  <c r="H30" i="23"/>
  <c r="W32" i="23"/>
  <c r="AA33" i="23"/>
  <c r="P35" i="23"/>
  <c r="S36" i="23"/>
  <c r="Q37" i="23"/>
  <c r="Q39" i="23"/>
  <c r="M47" i="23"/>
  <c r="I49" i="23"/>
  <c r="AA53" i="23"/>
  <c r="H53" i="23"/>
  <c r="W53" i="23"/>
  <c r="C53" i="23"/>
  <c r="U53" i="23"/>
  <c r="T53" i="23"/>
  <c r="C69" i="23"/>
  <c r="S50" i="23"/>
  <c r="R50" i="23"/>
  <c r="P50" i="23"/>
  <c r="M50" i="23"/>
  <c r="Q19" i="23"/>
  <c r="T4" i="23"/>
  <c r="Q5" i="23"/>
  <c r="J10" i="23"/>
  <c r="J16" i="23"/>
  <c r="J21" i="23"/>
  <c r="R25" i="23"/>
  <c r="T32" i="23"/>
  <c r="M10" i="23"/>
  <c r="V4" i="23"/>
  <c r="S5" i="23"/>
  <c r="C7" i="23"/>
  <c r="W8" i="23"/>
  <c r="J11" i="23"/>
  <c r="H12" i="23"/>
  <c r="W13" i="23"/>
  <c r="T14" i="23"/>
  <c r="R15" i="23"/>
  <c r="P16" i="23"/>
  <c r="T19" i="23"/>
  <c r="U20" i="23"/>
  <c r="P21" i="23"/>
  <c r="I23" i="23"/>
  <c r="T25" i="23"/>
  <c r="U28" i="23"/>
  <c r="I30" i="23"/>
  <c r="Q35" i="23"/>
  <c r="T36" i="23"/>
  <c r="R37" i="23"/>
  <c r="R39" i="23"/>
  <c r="P47" i="23"/>
  <c r="J49" i="23"/>
  <c r="J50" i="23"/>
  <c r="Q52" i="23"/>
  <c r="P52" i="23"/>
  <c r="J52" i="23"/>
  <c r="AB52" i="23"/>
  <c r="I52" i="23"/>
  <c r="C54" i="23"/>
  <c r="J58" i="23"/>
  <c r="AB58" i="23"/>
  <c r="I58" i="23"/>
  <c r="W58" i="23"/>
  <c r="C58" i="23"/>
  <c r="V58" i="23"/>
  <c r="Q58" i="23"/>
  <c r="I69" i="23"/>
  <c r="Q75" i="23"/>
  <c r="P75" i="23"/>
  <c r="J75" i="23"/>
  <c r="AB75" i="23"/>
  <c r="I75" i="23"/>
  <c r="V75" i="23"/>
  <c r="U75" i="23"/>
  <c r="T75" i="23"/>
  <c r="AA4" i="23"/>
  <c r="V5" i="23"/>
  <c r="C8" i="23"/>
  <c r="AB8" i="23"/>
  <c r="C13" i="23"/>
  <c r="AB13" i="23"/>
  <c r="S21" i="23"/>
  <c r="T33" i="23"/>
  <c r="S33" i="23"/>
  <c r="Q33" i="23"/>
  <c r="P33" i="23"/>
  <c r="V47" i="23"/>
  <c r="P49" i="23"/>
  <c r="T50" i="23"/>
  <c r="J54" i="23"/>
  <c r="M67" i="23"/>
  <c r="M69" i="23"/>
  <c r="W10" i="23"/>
  <c r="T10" i="23"/>
  <c r="AB7" i="23"/>
  <c r="I7" i="23"/>
  <c r="V7" i="23"/>
  <c r="Q21" i="23"/>
  <c r="Q50" i="23"/>
  <c r="R10" i="23"/>
  <c r="M12" i="23"/>
  <c r="S16" i="23"/>
  <c r="V17" i="23"/>
  <c r="U17" i="23"/>
  <c r="S17" i="23"/>
  <c r="M30" i="23"/>
  <c r="C4" i="23"/>
  <c r="AA5" i="23"/>
  <c r="M7" i="23"/>
  <c r="S10" i="23"/>
  <c r="R11" i="23"/>
  <c r="P12" i="23"/>
  <c r="W14" i="23"/>
  <c r="V15" i="23"/>
  <c r="U16" i="23"/>
  <c r="I17" i="23"/>
  <c r="AA20" i="23"/>
  <c r="V21" i="23"/>
  <c r="P23" i="23"/>
  <c r="AA28" i="23"/>
  <c r="P30" i="23"/>
  <c r="H33" i="23"/>
  <c r="W47" i="23"/>
  <c r="Q49" i="23"/>
  <c r="U50" i="23"/>
  <c r="M52" i="23"/>
  <c r="M53" i="23"/>
  <c r="M54" i="23"/>
  <c r="H58" i="23"/>
  <c r="P67" i="23"/>
  <c r="P69" i="23"/>
  <c r="Q10" i="23"/>
  <c r="AB32" i="23"/>
  <c r="I32" i="23"/>
  <c r="AA32" i="23"/>
  <c r="H32" i="23"/>
  <c r="V32" i="23"/>
  <c r="U32" i="23"/>
  <c r="S47" i="23"/>
  <c r="H4" i="23"/>
  <c r="T8" i="23"/>
  <c r="Q8" i="23"/>
  <c r="AA19" i="23"/>
  <c r="H19" i="23"/>
  <c r="W19" i="23"/>
  <c r="C19" i="23"/>
  <c r="U19" i="23"/>
  <c r="W21" i="23"/>
  <c r="AB25" i="23"/>
  <c r="I25" i="23"/>
  <c r="AA25" i="23"/>
  <c r="H25" i="23"/>
  <c r="V25" i="23"/>
  <c r="V50" i="23"/>
  <c r="C10" i="23"/>
  <c r="J12" i="23"/>
  <c r="W12" i="23"/>
  <c r="C12" i="23"/>
  <c r="U10" i="23"/>
  <c r="U13" i="23"/>
  <c r="R13" i="23"/>
  <c r="J32" i="23"/>
  <c r="AA47" i="23"/>
  <c r="Q7" i="23"/>
  <c r="J8" i="23"/>
  <c r="V10" i="23"/>
  <c r="U11" i="23"/>
  <c r="R12" i="23"/>
  <c r="J13" i="23"/>
  <c r="W16" i="23"/>
  <c r="M17" i="23"/>
  <c r="I19" i="23"/>
  <c r="AA21" i="23"/>
  <c r="R23" i="23"/>
  <c r="C25" i="23"/>
  <c r="T30" i="23"/>
  <c r="M32" i="23"/>
  <c r="J33" i="23"/>
  <c r="AA37" i="23"/>
  <c r="H37" i="23"/>
  <c r="W37" i="23"/>
  <c r="C37" i="23"/>
  <c r="U37" i="23"/>
  <c r="T37" i="23"/>
  <c r="U49" i="23"/>
  <c r="W50" i="23"/>
  <c r="Q53" i="23"/>
  <c r="U54" i="23"/>
  <c r="S67" i="23"/>
  <c r="V69" i="23"/>
  <c r="H7" i="23"/>
  <c r="P4" i="23"/>
  <c r="AB4" i="23"/>
  <c r="I4" i="23"/>
  <c r="P7" i="23"/>
  <c r="M4" i="23"/>
  <c r="W5" i="23"/>
  <c r="C5" i="23"/>
  <c r="T5" i="23"/>
  <c r="R7" i="23"/>
  <c r="M8" i="23"/>
  <c r="AA10" i="23"/>
  <c r="S12" i="23"/>
  <c r="M13" i="23"/>
  <c r="P14" i="23"/>
  <c r="AB14" i="23"/>
  <c r="I14" i="23"/>
  <c r="AA15" i="23"/>
  <c r="C15" i="23"/>
  <c r="U15" i="23"/>
  <c r="AA16" i="23"/>
  <c r="P17" i="23"/>
  <c r="J19" i="23"/>
  <c r="S20" i="23"/>
  <c r="R20" i="23"/>
  <c r="P20" i="23"/>
  <c r="AB21" i="23"/>
  <c r="J25" i="23"/>
  <c r="T28" i="23"/>
  <c r="S28" i="23"/>
  <c r="Q28" i="23"/>
  <c r="W30" i="23"/>
  <c r="P32" i="23"/>
  <c r="M33" i="23"/>
  <c r="V35" i="23"/>
  <c r="U35" i="23"/>
  <c r="S35" i="23"/>
  <c r="R35" i="23"/>
  <c r="Q36" i="23"/>
  <c r="P36" i="23"/>
  <c r="J36" i="23"/>
  <c r="AB36" i="23"/>
  <c r="I36" i="23"/>
  <c r="J39" i="23"/>
  <c r="AB39" i="23"/>
  <c r="I39" i="23"/>
  <c r="W39" i="23"/>
  <c r="C39" i="23"/>
  <c r="V39" i="23"/>
  <c r="AA49" i="23"/>
  <c r="AA50" i="23"/>
  <c r="V54" i="23"/>
  <c r="T67" i="23"/>
  <c r="W69" i="23"/>
  <c r="U47" i="23"/>
  <c r="T47" i="23"/>
  <c r="R47" i="23"/>
  <c r="Q47" i="23"/>
  <c r="AB50" i="23"/>
  <c r="I74" i="23"/>
  <c r="AB74" i="23"/>
  <c r="S65" i="23"/>
  <c r="T71" i="23"/>
  <c r="R74" i="23"/>
  <c r="T76" i="23"/>
  <c r="S56" i="23"/>
  <c r="H9" i="23"/>
  <c r="I22" i="23"/>
  <c r="AB22" i="23"/>
  <c r="H29" i="23"/>
  <c r="H34" i="23"/>
  <c r="P38" i="23"/>
  <c r="I48" i="23"/>
  <c r="AB48" i="23"/>
  <c r="H51" i="23"/>
  <c r="I55" i="23"/>
  <c r="T56" i="23"/>
  <c r="P57" i="23"/>
  <c r="T65" i="23"/>
  <c r="P66" i="23"/>
  <c r="I70" i="23"/>
  <c r="AB70" i="23"/>
  <c r="U71" i="23"/>
  <c r="P72" i="23"/>
  <c r="S74" i="23"/>
  <c r="U76" i="23"/>
  <c r="R38" i="23"/>
  <c r="V56" i="23"/>
  <c r="R57" i="23"/>
  <c r="V65" i="23"/>
  <c r="R66" i="23"/>
  <c r="W71" i="23"/>
  <c r="R72" i="23"/>
  <c r="U74" i="23"/>
  <c r="C76" i="23"/>
  <c r="W76" i="23"/>
  <c r="C56" i="23"/>
  <c r="C71" i="23"/>
  <c r="H76" i="23"/>
  <c r="AD10" i="22" l="1"/>
  <c r="AB10" i="22" s="1"/>
  <c r="J10" i="22" l="1"/>
  <c r="M10" i="22"/>
  <c r="P10" i="22"/>
  <c r="Q10" i="22"/>
  <c r="R10" i="22"/>
  <c r="S10" i="22"/>
  <c r="T10" i="22"/>
  <c r="U10" i="22"/>
  <c r="V10" i="22"/>
  <c r="W10" i="22"/>
  <c r="C10" i="22"/>
  <c r="AA10" i="22"/>
  <c r="H10" i="22"/>
  <c r="AB84" i="22"/>
  <c r="AA84" i="22"/>
  <c r="W84" i="22"/>
  <c r="V84" i="22"/>
  <c r="U84" i="22"/>
  <c r="T84" i="22"/>
  <c r="S84" i="22"/>
  <c r="R84" i="22"/>
  <c r="Q84" i="22"/>
  <c r="P84" i="22"/>
  <c r="M84" i="22"/>
  <c r="J84" i="22"/>
  <c r="I84" i="22"/>
  <c r="H84" i="22"/>
  <c r="C84" i="22"/>
  <c r="AB83" i="22"/>
  <c r="AA83" i="22"/>
  <c r="W83" i="22"/>
  <c r="V83" i="22"/>
  <c r="U83" i="22"/>
  <c r="T83" i="22"/>
  <c r="S83" i="22"/>
  <c r="R83" i="22"/>
  <c r="Q83" i="22"/>
  <c r="P83" i="22"/>
  <c r="M83" i="22"/>
  <c r="J83" i="22"/>
  <c r="I83" i="22"/>
  <c r="H83" i="22"/>
  <c r="C83" i="22"/>
  <c r="AB82" i="22"/>
  <c r="AA82" i="22"/>
  <c r="W82" i="22"/>
  <c r="V82" i="22"/>
  <c r="U82" i="22"/>
  <c r="T82" i="22"/>
  <c r="S82" i="22"/>
  <c r="R82" i="22"/>
  <c r="Q82" i="22"/>
  <c r="P82" i="22"/>
  <c r="M82" i="22"/>
  <c r="J82" i="22"/>
  <c r="I82" i="22"/>
  <c r="H82" i="22"/>
  <c r="C82" i="22"/>
  <c r="AB81" i="22"/>
  <c r="AA81" i="22"/>
  <c r="W81" i="22"/>
  <c r="V81" i="22"/>
  <c r="U81" i="22"/>
  <c r="T81" i="22"/>
  <c r="S81" i="22"/>
  <c r="R81" i="22"/>
  <c r="Q81" i="22"/>
  <c r="P81" i="22"/>
  <c r="M81" i="22"/>
  <c r="J81" i="22"/>
  <c r="I81" i="22"/>
  <c r="H81" i="22"/>
  <c r="C81" i="22"/>
  <c r="AB80" i="22"/>
  <c r="AA80" i="22"/>
  <c r="W80" i="22"/>
  <c r="V80" i="22"/>
  <c r="U80" i="22"/>
  <c r="T80" i="22"/>
  <c r="S80" i="22"/>
  <c r="R80" i="22"/>
  <c r="Q80" i="22"/>
  <c r="P80" i="22"/>
  <c r="M80" i="22"/>
  <c r="J80" i="22"/>
  <c r="I80" i="22"/>
  <c r="H80" i="22"/>
  <c r="C80" i="22"/>
  <c r="AB79" i="22"/>
  <c r="AA79" i="22"/>
  <c r="W79" i="22"/>
  <c r="V79" i="22"/>
  <c r="U79" i="22"/>
  <c r="T79" i="22"/>
  <c r="S79" i="22"/>
  <c r="R79" i="22"/>
  <c r="Q79" i="22"/>
  <c r="P79" i="22"/>
  <c r="M79" i="22"/>
  <c r="J79" i="22"/>
  <c r="I79" i="22"/>
  <c r="H79" i="22"/>
  <c r="C79" i="22"/>
  <c r="AB78" i="22"/>
  <c r="AA78" i="22"/>
  <c r="W78" i="22"/>
  <c r="V78" i="22"/>
  <c r="U78" i="22"/>
  <c r="T78" i="22"/>
  <c r="S78" i="22"/>
  <c r="R78" i="22"/>
  <c r="Q78" i="22"/>
  <c r="P78" i="22"/>
  <c r="M78" i="22"/>
  <c r="J78" i="22"/>
  <c r="I78" i="22"/>
  <c r="H78" i="22"/>
  <c r="C78" i="22"/>
  <c r="AD77" i="22"/>
  <c r="AA77" i="22" s="1"/>
  <c r="AD76" i="22"/>
  <c r="Q76" i="22" s="1"/>
  <c r="AC76" i="22"/>
  <c r="AD75" i="22"/>
  <c r="V75" i="22" s="1"/>
  <c r="AD74" i="22"/>
  <c r="AB74" i="22" s="1"/>
  <c r="AD73" i="22"/>
  <c r="R73" i="22" s="1"/>
  <c r="AC73" i="22"/>
  <c r="AD72" i="22"/>
  <c r="P72" i="22" s="1"/>
  <c r="AC72" i="22"/>
  <c r="AD71" i="22"/>
  <c r="AB71" i="22" s="1"/>
  <c r="AD70" i="22"/>
  <c r="R70" i="22" s="1"/>
  <c r="AD68" i="22"/>
  <c r="W68" i="22" s="1"/>
  <c r="AD67" i="22"/>
  <c r="W67" i="22" s="1"/>
  <c r="AD66" i="22"/>
  <c r="AD63" i="22"/>
  <c r="AB63" i="22"/>
  <c r="AA63" i="22"/>
  <c r="W63" i="22"/>
  <c r="V63" i="22"/>
  <c r="U63" i="22"/>
  <c r="T63" i="22"/>
  <c r="S63" i="22"/>
  <c r="R63" i="22"/>
  <c r="Q63" i="22"/>
  <c r="P63" i="22"/>
  <c r="J63" i="22"/>
  <c r="H63" i="22"/>
  <c r="C63" i="22"/>
  <c r="AB62" i="22"/>
  <c r="AA62" i="22"/>
  <c r="W62" i="22"/>
  <c r="V62" i="22"/>
  <c r="U62" i="22"/>
  <c r="T62" i="22"/>
  <c r="S62" i="22"/>
  <c r="R62" i="22"/>
  <c r="Q62" i="22"/>
  <c r="P62" i="22"/>
  <c r="M62" i="22"/>
  <c r="J62" i="22"/>
  <c r="I62" i="22"/>
  <c r="H62" i="22"/>
  <c r="C62" i="22"/>
  <c r="AB61" i="22"/>
  <c r="AA61" i="22"/>
  <c r="W61" i="22"/>
  <c r="V61" i="22"/>
  <c r="U61" i="22"/>
  <c r="T61" i="22"/>
  <c r="S61" i="22"/>
  <c r="R61" i="22"/>
  <c r="Q61" i="22"/>
  <c r="P61" i="22"/>
  <c r="M61" i="22"/>
  <c r="J61" i="22"/>
  <c r="I61" i="22"/>
  <c r="H61" i="22"/>
  <c r="C61" i="22"/>
  <c r="AB60" i="22"/>
  <c r="AA60" i="22"/>
  <c r="W60" i="22"/>
  <c r="V60" i="22"/>
  <c r="U60" i="22"/>
  <c r="T60" i="22"/>
  <c r="S60" i="22"/>
  <c r="R60" i="22"/>
  <c r="Q60" i="22"/>
  <c r="P60" i="22"/>
  <c r="M60" i="22"/>
  <c r="J60" i="22"/>
  <c r="I60" i="22"/>
  <c r="H60" i="22"/>
  <c r="C60" i="22"/>
  <c r="AD59" i="22"/>
  <c r="AB59" i="22" s="1"/>
  <c r="AD58" i="22"/>
  <c r="Q58" i="22" s="1"/>
  <c r="AD57" i="22"/>
  <c r="AA57" i="22" s="1"/>
  <c r="AD56" i="22"/>
  <c r="C56" i="22" s="1"/>
  <c r="AC56" i="22"/>
  <c r="AD55" i="22"/>
  <c r="R55" i="22" s="1"/>
  <c r="AD54" i="22"/>
  <c r="C54" i="22" s="1"/>
  <c r="AD53" i="22"/>
  <c r="T53" i="22" s="1"/>
  <c r="AD52" i="22"/>
  <c r="AB52" i="22" s="1"/>
  <c r="AD51" i="22"/>
  <c r="AA51" i="22" s="1"/>
  <c r="AD50" i="22"/>
  <c r="AA50" i="22" s="1"/>
  <c r="AD49" i="22"/>
  <c r="J49" i="22" s="1"/>
  <c r="AD48" i="22"/>
  <c r="M48" i="22" s="1"/>
  <c r="AD47" i="22"/>
  <c r="S47" i="22" s="1"/>
  <c r="AB43" i="22"/>
  <c r="AA43" i="22"/>
  <c r="W43" i="22"/>
  <c r="V43" i="22"/>
  <c r="U43" i="22"/>
  <c r="T43" i="22"/>
  <c r="S43" i="22"/>
  <c r="R43" i="22"/>
  <c r="Q43" i="22"/>
  <c r="P43" i="22"/>
  <c r="M43" i="22"/>
  <c r="J43" i="22"/>
  <c r="I43" i="22"/>
  <c r="H43" i="22"/>
  <c r="C43" i="22"/>
  <c r="AB42" i="22"/>
  <c r="AA42" i="22"/>
  <c r="W42" i="22"/>
  <c r="V42" i="22"/>
  <c r="U42" i="22"/>
  <c r="T42" i="22"/>
  <c r="S42" i="22"/>
  <c r="R42" i="22"/>
  <c r="Q42" i="22"/>
  <c r="P42" i="22"/>
  <c r="M42" i="22"/>
  <c r="J42" i="22"/>
  <c r="I42" i="22"/>
  <c r="H42" i="22"/>
  <c r="C42" i="22"/>
  <c r="AB41" i="22"/>
  <c r="AA41" i="22"/>
  <c r="W41" i="22"/>
  <c r="V41" i="22"/>
  <c r="U41" i="22"/>
  <c r="T41" i="22"/>
  <c r="S41" i="22"/>
  <c r="R41" i="22"/>
  <c r="Q41" i="22"/>
  <c r="P41" i="22"/>
  <c r="M41" i="22"/>
  <c r="J41" i="22"/>
  <c r="I41" i="22"/>
  <c r="H41" i="22"/>
  <c r="C41" i="22"/>
  <c r="AB40" i="22"/>
  <c r="AA40" i="22"/>
  <c r="W40" i="22"/>
  <c r="V40" i="22"/>
  <c r="U40" i="22"/>
  <c r="T40" i="22"/>
  <c r="S40" i="22"/>
  <c r="R40" i="22"/>
  <c r="Q40" i="22"/>
  <c r="P40" i="22"/>
  <c r="M40" i="22"/>
  <c r="J40" i="22"/>
  <c r="I40" i="22"/>
  <c r="H40" i="22"/>
  <c r="C40" i="22"/>
  <c r="AD39" i="22"/>
  <c r="C39" i="22" s="1"/>
  <c r="AD38" i="22"/>
  <c r="T38" i="22" s="1"/>
  <c r="AD37" i="22"/>
  <c r="AB37" i="22" s="1"/>
  <c r="AC37" i="22"/>
  <c r="AD36" i="22"/>
  <c r="C36" i="22" s="1"/>
  <c r="AC36" i="22"/>
  <c r="AD35" i="22"/>
  <c r="W35" i="22" s="1"/>
  <c r="AC35" i="22"/>
  <c r="AD34" i="22"/>
  <c r="H34" i="22" s="1"/>
  <c r="AC34" i="22"/>
  <c r="AD33" i="22"/>
  <c r="S33" i="22" s="1"/>
  <c r="AC33" i="22"/>
  <c r="AD32" i="22"/>
  <c r="M32" i="22" s="1"/>
  <c r="AC32" i="22"/>
  <c r="AD31" i="22"/>
  <c r="J31" i="22" s="1"/>
  <c r="AD30" i="22"/>
  <c r="H30" i="22" s="1"/>
  <c r="AC30" i="22"/>
  <c r="AD29" i="22"/>
  <c r="H29" i="22" s="1"/>
  <c r="AC29" i="22"/>
  <c r="AD28" i="22"/>
  <c r="S28" i="22" s="1"/>
  <c r="AC28" i="22"/>
  <c r="AD27" i="22"/>
  <c r="AB27" i="22" s="1"/>
  <c r="AC27" i="22"/>
  <c r="AD26" i="22"/>
  <c r="V26" i="22" s="1"/>
  <c r="AC26" i="22"/>
  <c r="AD25" i="22"/>
  <c r="H25" i="22" s="1"/>
  <c r="AC25" i="22"/>
  <c r="AD24" i="22"/>
  <c r="AB24" i="22" s="1"/>
  <c r="AD23" i="22"/>
  <c r="T23" i="22" s="1"/>
  <c r="AD22" i="22"/>
  <c r="H22" i="22" s="1"/>
  <c r="AD21" i="22"/>
  <c r="R21" i="22" s="1"/>
  <c r="AD20" i="22"/>
  <c r="M20" i="22" s="1"/>
  <c r="AD19" i="22"/>
  <c r="P19" i="22" s="1"/>
  <c r="AD18" i="22"/>
  <c r="U18" i="22" s="1"/>
  <c r="AD17" i="22"/>
  <c r="J17" i="22" s="1"/>
  <c r="AD16" i="22"/>
  <c r="S16" i="22" s="1"/>
  <c r="AD15" i="22"/>
  <c r="W15" i="22" s="1"/>
  <c r="AD14" i="22"/>
  <c r="V14" i="22" s="1"/>
  <c r="AD13" i="22"/>
  <c r="T13" i="22" s="1"/>
  <c r="AD12" i="22"/>
  <c r="H12" i="22" s="1"/>
  <c r="AD11" i="22"/>
  <c r="R11" i="22" s="1"/>
  <c r="AD9" i="22"/>
  <c r="AB9" i="22" s="1"/>
  <c r="AD8" i="22"/>
  <c r="P8" i="22" s="1"/>
  <c r="AD7" i="22"/>
  <c r="U7" i="22" s="1"/>
  <c r="AD6" i="22"/>
  <c r="J6" i="22" s="1"/>
  <c r="AD4" i="22"/>
  <c r="S4" i="22" s="1"/>
  <c r="AD5" i="22"/>
  <c r="T5" i="22" s="1"/>
  <c r="AD58" i="21"/>
  <c r="AB58" i="21" s="1"/>
  <c r="U58" i="21"/>
  <c r="S58" i="21"/>
  <c r="R58" i="21"/>
  <c r="AD10" i="21"/>
  <c r="AA10" i="21" s="1"/>
  <c r="AB10" i="21"/>
  <c r="AD11" i="21"/>
  <c r="J11" i="21" s="1"/>
  <c r="AD56" i="21"/>
  <c r="AB56" i="21" s="1"/>
  <c r="AD71" i="21"/>
  <c r="AD70" i="21"/>
  <c r="AD46" i="21"/>
  <c r="AD45" i="21"/>
  <c r="P10" i="21" l="1"/>
  <c r="Q10" i="21"/>
  <c r="J10" i="21"/>
  <c r="S10" i="21"/>
  <c r="R10" i="21"/>
  <c r="T10" i="21"/>
  <c r="U10" i="21"/>
  <c r="M10" i="21"/>
  <c r="T58" i="21"/>
  <c r="H58" i="21"/>
  <c r="H10" i="21"/>
  <c r="J58" i="21"/>
  <c r="S12" i="22"/>
  <c r="AA71" i="22"/>
  <c r="M58" i="21"/>
  <c r="P58" i="21"/>
  <c r="Q58" i="21"/>
  <c r="S7" i="22"/>
  <c r="AB7" i="22"/>
  <c r="J32" i="22"/>
  <c r="P6" i="22"/>
  <c r="W27" i="22"/>
  <c r="H54" i="22"/>
  <c r="T25" i="22"/>
  <c r="I30" i="22"/>
  <c r="AB35" i="22"/>
  <c r="C35" i="22"/>
  <c r="V6" i="22"/>
  <c r="J23" i="22"/>
  <c r="AB15" i="22"/>
  <c r="J12" i="22"/>
  <c r="U22" i="22"/>
  <c r="R7" i="22"/>
  <c r="R12" i="22"/>
  <c r="M38" i="22"/>
  <c r="C49" i="22"/>
  <c r="R24" i="22"/>
  <c r="P38" i="22"/>
  <c r="T49" i="22"/>
  <c r="I20" i="22"/>
  <c r="S24" i="22"/>
  <c r="W38" i="22"/>
  <c r="H56" i="22"/>
  <c r="I56" i="22"/>
  <c r="I37" i="22"/>
  <c r="M24" i="22"/>
  <c r="T37" i="22"/>
  <c r="AA18" i="22"/>
  <c r="AB18" i="22"/>
  <c r="J36" i="22"/>
  <c r="T39" i="22"/>
  <c r="H71" i="22"/>
  <c r="Q18" i="22"/>
  <c r="R18" i="22"/>
  <c r="J71" i="22"/>
  <c r="H14" i="22"/>
  <c r="S18" i="22"/>
  <c r="T29" i="22"/>
  <c r="S34" i="22"/>
  <c r="U53" i="22"/>
  <c r="M71" i="22"/>
  <c r="M76" i="22"/>
  <c r="J18" i="22"/>
  <c r="W18" i="22"/>
  <c r="T22" i="22"/>
  <c r="S25" i="22"/>
  <c r="P71" i="22"/>
  <c r="C6" i="22"/>
  <c r="H9" i="22"/>
  <c r="W17" i="22"/>
  <c r="I23" i="22"/>
  <c r="M25" i="22"/>
  <c r="H37" i="22"/>
  <c r="H39" i="22"/>
  <c r="V47" i="22"/>
  <c r="C51" i="22"/>
  <c r="M77" i="22"/>
  <c r="C11" i="22"/>
  <c r="W56" i="22"/>
  <c r="I14" i="22"/>
  <c r="U25" i="22"/>
  <c r="V37" i="22"/>
  <c r="W48" i="22"/>
  <c r="U14" i="22"/>
  <c r="J24" i="22"/>
  <c r="AA37" i="22"/>
  <c r="AA48" i="22"/>
  <c r="AA74" i="22"/>
  <c r="H47" i="22"/>
  <c r="J47" i="22"/>
  <c r="M47" i="22"/>
  <c r="S76" i="22"/>
  <c r="I47" i="22"/>
  <c r="I25" i="22"/>
  <c r="T47" i="22"/>
  <c r="AB13" i="22"/>
  <c r="V17" i="22"/>
  <c r="H23" i="22"/>
  <c r="J25" i="22"/>
  <c r="U47" i="22"/>
  <c r="T55" i="22"/>
  <c r="P68" i="22"/>
  <c r="V72" i="22"/>
  <c r="W14" i="22"/>
  <c r="V20" i="22"/>
  <c r="U29" i="22"/>
  <c r="V53" i="22"/>
  <c r="W7" i="22"/>
  <c r="U11" i="22"/>
  <c r="AA14" i="22"/>
  <c r="I16" i="22"/>
  <c r="AA20" i="22"/>
  <c r="P24" i="22"/>
  <c r="W29" i="22"/>
  <c r="W32" i="22"/>
  <c r="Q34" i="22"/>
  <c r="U38" i="22"/>
  <c r="W51" i="22"/>
  <c r="W53" i="22"/>
  <c r="W55" i="22"/>
  <c r="S59" i="22"/>
  <c r="H68" i="22"/>
  <c r="M75" i="22"/>
  <c r="T11" i="22"/>
  <c r="V32" i="22"/>
  <c r="V51" i="22"/>
  <c r="U55" i="22"/>
  <c r="AA7" i="22"/>
  <c r="C14" i="22"/>
  <c r="AB14" i="22"/>
  <c r="AB20" i="22"/>
  <c r="Q24" i="22"/>
  <c r="J28" i="22"/>
  <c r="AB32" i="22"/>
  <c r="R34" i="22"/>
  <c r="V38" i="22"/>
  <c r="AA55" i="22"/>
  <c r="I68" i="22"/>
  <c r="J72" i="22"/>
  <c r="T75" i="22"/>
  <c r="AB55" i="22"/>
  <c r="M68" i="22"/>
  <c r="AA75" i="22"/>
  <c r="M14" i="22"/>
  <c r="C33" i="22"/>
  <c r="C15" i="22"/>
  <c r="S68" i="22"/>
  <c r="Q14" i="22"/>
  <c r="V24" i="22"/>
  <c r="P29" i="22"/>
  <c r="J33" i="22"/>
  <c r="J39" i="22"/>
  <c r="T50" i="22"/>
  <c r="J53" i="22"/>
  <c r="C55" i="22"/>
  <c r="T68" i="22"/>
  <c r="R71" i="22"/>
  <c r="P14" i="22"/>
  <c r="H15" i="22"/>
  <c r="P5" i="22"/>
  <c r="C7" i="22"/>
  <c r="M22" i="22"/>
  <c r="C24" i="22"/>
  <c r="W24" i="22"/>
  <c r="Q29" i="22"/>
  <c r="R33" i="22"/>
  <c r="M39" i="22"/>
  <c r="V50" i="22"/>
  <c r="M53" i="22"/>
  <c r="J55" i="22"/>
  <c r="C67" i="22"/>
  <c r="V68" i="22"/>
  <c r="S71" i="22"/>
  <c r="T76" i="22"/>
  <c r="C53" i="22"/>
  <c r="R14" i="22"/>
  <c r="M15" i="22"/>
  <c r="C18" i="22"/>
  <c r="V5" i="22"/>
  <c r="I7" i="22"/>
  <c r="H13" i="22"/>
  <c r="S14" i="22"/>
  <c r="S15" i="22"/>
  <c r="H18" i="22"/>
  <c r="R22" i="22"/>
  <c r="H24" i="22"/>
  <c r="AA24" i="22"/>
  <c r="R29" i="22"/>
  <c r="C32" i="22"/>
  <c r="T33" i="22"/>
  <c r="H38" i="22"/>
  <c r="R39" i="22"/>
  <c r="W50" i="22"/>
  <c r="P53" i="22"/>
  <c r="M55" i="22"/>
  <c r="M67" i="22"/>
  <c r="AA68" i="22"/>
  <c r="T71" i="22"/>
  <c r="H74" i="22"/>
  <c r="T24" i="22"/>
  <c r="I29" i="22"/>
  <c r="Q68" i="22"/>
  <c r="C5" i="22"/>
  <c r="U24" i="22"/>
  <c r="M29" i="22"/>
  <c r="I33" i="22"/>
  <c r="J15" i="22"/>
  <c r="J22" i="22"/>
  <c r="U5" i="22"/>
  <c r="H7" i="22"/>
  <c r="Q7" i="22"/>
  <c r="I13" i="22"/>
  <c r="T14" i="22"/>
  <c r="T15" i="22"/>
  <c r="I18" i="22"/>
  <c r="H20" i="22"/>
  <c r="S22" i="22"/>
  <c r="I24" i="22"/>
  <c r="S29" i="22"/>
  <c r="I32" i="22"/>
  <c r="AA33" i="22"/>
  <c r="I36" i="22"/>
  <c r="I38" i="22"/>
  <c r="S39" i="22"/>
  <c r="H48" i="22"/>
  <c r="Q53" i="22"/>
  <c r="P55" i="22"/>
  <c r="V67" i="22"/>
  <c r="AB68" i="22"/>
  <c r="U71" i="22"/>
  <c r="Q74" i="22"/>
  <c r="I21" i="22"/>
  <c r="I70" i="22"/>
  <c r="I9" i="22"/>
  <c r="V11" i="22"/>
  <c r="T12" i="22"/>
  <c r="U15" i="22"/>
  <c r="AA17" i="22"/>
  <c r="P21" i="22"/>
  <c r="C27" i="22"/>
  <c r="P28" i="22"/>
  <c r="U33" i="22"/>
  <c r="V49" i="22"/>
  <c r="J70" i="22"/>
  <c r="C58" i="22"/>
  <c r="W5" i="22"/>
  <c r="W6" i="22"/>
  <c r="M36" i="22"/>
  <c r="AB5" i="22"/>
  <c r="AA6" i="22"/>
  <c r="T7" i="22"/>
  <c r="AA9" i="22"/>
  <c r="W11" i="22"/>
  <c r="U12" i="22"/>
  <c r="J14" i="22"/>
  <c r="V15" i="22"/>
  <c r="AB17" i="22"/>
  <c r="T18" i="22"/>
  <c r="J20" i="22"/>
  <c r="Q21" i="22"/>
  <c r="P22" i="22"/>
  <c r="AA23" i="22"/>
  <c r="P25" i="22"/>
  <c r="I27" i="22"/>
  <c r="Q28" i="22"/>
  <c r="V33" i="22"/>
  <c r="T34" i="22"/>
  <c r="V36" i="22"/>
  <c r="AA38" i="22"/>
  <c r="AA47" i="22"/>
  <c r="W49" i="22"/>
  <c r="H53" i="22"/>
  <c r="AA53" i="22"/>
  <c r="Q55" i="22"/>
  <c r="AA56" i="22"/>
  <c r="J58" i="22"/>
  <c r="U59" i="22"/>
  <c r="Q67" i="22"/>
  <c r="R68" i="22"/>
  <c r="M70" i="22"/>
  <c r="J74" i="22"/>
  <c r="AB75" i="22"/>
  <c r="H58" i="22"/>
  <c r="AB6" i="22"/>
  <c r="V7" i="22"/>
  <c r="AA11" i="22"/>
  <c r="V12" i="22"/>
  <c r="AA15" i="22"/>
  <c r="V18" i="22"/>
  <c r="S21" i="22"/>
  <c r="Q22" i="22"/>
  <c r="AB23" i="22"/>
  <c r="Q25" i="22"/>
  <c r="M27" i="22"/>
  <c r="R28" i="22"/>
  <c r="C31" i="22"/>
  <c r="W33" i="22"/>
  <c r="U34" i="22"/>
  <c r="W36" i="22"/>
  <c r="C38" i="22"/>
  <c r="AB38" i="22"/>
  <c r="AB47" i="22"/>
  <c r="C52" i="22"/>
  <c r="I53" i="22"/>
  <c r="AB53" i="22"/>
  <c r="S55" i="22"/>
  <c r="AB56" i="22"/>
  <c r="M58" i="22"/>
  <c r="W59" i="22"/>
  <c r="U67" i="22"/>
  <c r="Q70" i="22"/>
  <c r="P74" i="22"/>
  <c r="AB11" i="22"/>
  <c r="T21" i="22"/>
  <c r="T28" i="22"/>
  <c r="W31" i="22"/>
  <c r="AB36" i="22"/>
  <c r="M52" i="22"/>
  <c r="P58" i="22"/>
  <c r="S70" i="22"/>
  <c r="C73" i="22"/>
  <c r="M28" i="22"/>
  <c r="I5" i="22"/>
  <c r="U21" i="22"/>
  <c r="U28" i="22"/>
  <c r="AB31" i="22"/>
  <c r="H33" i="22"/>
  <c r="AB33" i="22"/>
  <c r="Q52" i="22"/>
  <c r="R58" i="22"/>
  <c r="T70" i="22"/>
  <c r="M73" i="22"/>
  <c r="R74" i="22"/>
  <c r="V28" i="22"/>
  <c r="S52" i="22"/>
  <c r="C57" i="22"/>
  <c r="S58" i="22"/>
  <c r="U70" i="22"/>
  <c r="Q73" i="22"/>
  <c r="H11" i="22"/>
  <c r="W28" i="22"/>
  <c r="U52" i="22"/>
  <c r="T57" i="22"/>
  <c r="T58" i="22"/>
  <c r="W70" i="22"/>
  <c r="S73" i="22"/>
  <c r="C28" i="22"/>
  <c r="AA28" i="22"/>
  <c r="M33" i="22"/>
  <c r="I34" i="22"/>
  <c r="Q38" i="22"/>
  <c r="P47" i="22"/>
  <c r="V52" i="22"/>
  <c r="R53" i="22"/>
  <c r="V57" i="22"/>
  <c r="V58" i="22"/>
  <c r="AA70" i="22"/>
  <c r="U73" i="22"/>
  <c r="H75" i="22"/>
  <c r="H70" i="22"/>
  <c r="J21" i="22"/>
  <c r="V21" i="22"/>
  <c r="Q5" i="22"/>
  <c r="W21" i="22"/>
  <c r="R5" i="22"/>
  <c r="H6" i="22"/>
  <c r="I11" i="22"/>
  <c r="M12" i="22"/>
  <c r="P15" i="22"/>
  <c r="AA21" i="22"/>
  <c r="C17" i="22"/>
  <c r="C26" i="22"/>
  <c r="H28" i="22"/>
  <c r="AB28" i="22"/>
  <c r="P33" i="22"/>
  <c r="M34" i="22"/>
  <c r="S38" i="22"/>
  <c r="P39" i="22"/>
  <c r="Q47" i="22"/>
  <c r="W52" i="22"/>
  <c r="S53" i="22"/>
  <c r="W57" i="22"/>
  <c r="W58" i="22"/>
  <c r="AB70" i="22"/>
  <c r="V73" i="22"/>
  <c r="I75" i="22"/>
  <c r="S5" i="22"/>
  <c r="I6" i="22"/>
  <c r="J7" i="22"/>
  <c r="J8" i="22"/>
  <c r="Q11" i="22"/>
  <c r="P12" i="22"/>
  <c r="Q15" i="22"/>
  <c r="M18" i="22"/>
  <c r="I19" i="22"/>
  <c r="C21" i="22"/>
  <c r="AB21" i="22"/>
  <c r="M6" i="22"/>
  <c r="P7" i="22"/>
  <c r="S11" i="22"/>
  <c r="Q12" i="22"/>
  <c r="R15" i="22"/>
  <c r="H17" i="22"/>
  <c r="P18" i="22"/>
  <c r="H21" i="22"/>
  <c r="C23" i="22"/>
  <c r="H26" i="22"/>
  <c r="I28" i="22"/>
  <c r="Q33" i="22"/>
  <c r="P34" i="22"/>
  <c r="U37" i="22"/>
  <c r="Q39" i="22"/>
  <c r="R47" i="22"/>
  <c r="T51" i="22"/>
  <c r="H55" i="22"/>
  <c r="AA58" i="22"/>
  <c r="J68" i="22"/>
  <c r="C70" i="22"/>
  <c r="W73" i="22"/>
  <c r="J75" i="22"/>
  <c r="J77" i="22"/>
  <c r="M8" i="22"/>
  <c r="J19" i="22"/>
  <c r="Q30" i="22"/>
  <c r="U30" i="22"/>
  <c r="H35" i="22"/>
  <c r="W66" i="22"/>
  <c r="V66" i="22"/>
  <c r="T66" i="22"/>
  <c r="R66" i="22"/>
  <c r="Q66" i="22"/>
  <c r="P66" i="22"/>
  <c r="AA66" i="22"/>
  <c r="C66" i="22"/>
  <c r="J4" i="22"/>
  <c r="P4" i="22"/>
  <c r="M19" i="22"/>
  <c r="V54" i="22"/>
  <c r="R54" i="22"/>
  <c r="J54" i="22"/>
  <c r="M26" i="22"/>
  <c r="T27" i="22"/>
  <c r="AA27" i="22"/>
  <c r="H27" i="22"/>
  <c r="M30" i="22"/>
  <c r="I31" i="22"/>
  <c r="J35" i="22"/>
  <c r="AB48" i="22"/>
  <c r="I54" i="22"/>
  <c r="J16" i="22"/>
  <c r="J13" i="22"/>
  <c r="W9" i="22"/>
  <c r="C9" i="22"/>
  <c r="P16" i="22"/>
  <c r="Q19" i="22"/>
  <c r="R4" i="22"/>
  <c r="S8" i="22"/>
  <c r="M9" i="22"/>
  <c r="P13" i="22"/>
  <c r="Q16" i="22"/>
  <c r="I17" i="22"/>
  <c r="R19" i="22"/>
  <c r="W20" i="22"/>
  <c r="C20" i="22"/>
  <c r="M23" i="22"/>
  <c r="P26" i="22"/>
  <c r="J27" i="22"/>
  <c r="P30" i="22"/>
  <c r="T32" i="22"/>
  <c r="AA32" i="22"/>
  <c r="H32" i="22"/>
  <c r="M35" i="22"/>
  <c r="AA36" i="22"/>
  <c r="H36" i="22"/>
  <c r="P36" i="22"/>
  <c r="C48" i="22"/>
  <c r="AA49" i="22"/>
  <c r="M54" i="22"/>
  <c r="Q50" i="22"/>
  <c r="AB50" i="22"/>
  <c r="H50" i="22"/>
  <c r="U50" i="22"/>
  <c r="P54" i="22"/>
  <c r="J56" i="22"/>
  <c r="V56" i="22"/>
  <c r="R56" i="22"/>
  <c r="U57" i="22"/>
  <c r="Q57" i="22"/>
  <c r="AB57" i="22"/>
  <c r="I57" i="22"/>
  <c r="AA72" i="22"/>
  <c r="C72" i="22"/>
  <c r="W72" i="22"/>
  <c r="U72" i="22"/>
  <c r="T72" i="22"/>
  <c r="S72" i="22"/>
  <c r="R72" i="22"/>
  <c r="Q72" i="22"/>
  <c r="I72" i="22"/>
  <c r="AB72" i="22"/>
  <c r="H72" i="22"/>
  <c r="S37" i="22"/>
  <c r="W37" i="22"/>
  <c r="C37" i="22"/>
  <c r="AA59" i="22"/>
  <c r="H59" i="22"/>
  <c r="V59" i="22"/>
  <c r="T59" i="22"/>
  <c r="P59" i="22"/>
  <c r="M4" i="22"/>
  <c r="J26" i="22"/>
  <c r="AA31" i="22"/>
  <c r="H31" i="22"/>
  <c r="P31" i="22"/>
  <c r="T8" i="22"/>
  <c r="P23" i="22"/>
  <c r="M31" i="22"/>
  <c r="P35" i="22"/>
  <c r="U8" i="22"/>
  <c r="Q9" i="22"/>
  <c r="Q23" i="22"/>
  <c r="S26" i="22"/>
  <c r="P27" i="22"/>
  <c r="S30" i="22"/>
  <c r="I48" i="22"/>
  <c r="AB51" i="22"/>
  <c r="I51" i="22"/>
  <c r="U51" i="22"/>
  <c r="Q51" i="22"/>
  <c r="Q54" i="22"/>
  <c r="R9" i="22"/>
  <c r="J11" i="22"/>
  <c r="W12" i="22"/>
  <c r="U19" i="22"/>
  <c r="Q20" i="22"/>
  <c r="V22" i="22"/>
  <c r="R23" i="22"/>
  <c r="W25" i="22"/>
  <c r="T26" i="22"/>
  <c r="Q27" i="22"/>
  <c r="AA29" i="22"/>
  <c r="T30" i="22"/>
  <c r="R31" i="22"/>
  <c r="P32" i="22"/>
  <c r="W34" i="22"/>
  <c r="S35" i="22"/>
  <c r="Q36" i="22"/>
  <c r="J37" i="22"/>
  <c r="V39" i="22"/>
  <c r="H49" i="22"/>
  <c r="C50" i="22"/>
  <c r="H51" i="22"/>
  <c r="T52" i="22"/>
  <c r="P52" i="22"/>
  <c r="AA52" i="22"/>
  <c r="H52" i="22"/>
  <c r="S54" i="22"/>
  <c r="M56" i="22"/>
  <c r="H57" i="22"/>
  <c r="C59" i="22"/>
  <c r="H66" i="22"/>
  <c r="J30" i="22"/>
  <c r="T4" i="22"/>
  <c r="R16" i="22"/>
  <c r="M17" i="22"/>
  <c r="S19" i="22"/>
  <c r="J48" i="22"/>
  <c r="V48" i="22"/>
  <c r="R48" i="22"/>
  <c r="T19" i="22"/>
  <c r="Q31" i="22"/>
  <c r="R35" i="22"/>
  <c r="V4" i="22"/>
  <c r="R6" i="22"/>
  <c r="S13" i="22"/>
  <c r="AA5" i="22"/>
  <c r="H5" i="22"/>
  <c r="W4" i="22"/>
  <c r="S6" i="22"/>
  <c r="W8" i="22"/>
  <c r="S9" i="22"/>
  <c r="M11" i="22"/>
  <c r="C12" i="22"/>
  <c r="AA12" i="22"/>
  <c r="U13" i="22"/>
  <c r="V16" i="22"/>
  <c r="R17" i="22"/>
  <c r="V19" i="22"/>
  <c r="R20" i="22"/>
  <c r="W22" i="22"/>
  <c r="S23" i="22"/>
  <c r="AA25" i="22"/>
  <c r="U26" i="22"/>
  <c r="R27" i="22"/>
  <c r="C29" i="22"/>
  <c r="AB29" i="22"/>
  <c r="V30" i="22"/>
  <c r="S31" i="22"/>
  <c r="Q32" i="22"/>
  <c r="AA34" i="22"/>
  <c r="T35" i="22"/>
  <c r="R36" i="22"/>
  <c r="M37" i="22"/>
  <c r="W39" i="22"/>
  <c r="P48" i="22"/>
  <c r="J50" i="22"/>
  <c r="J51" i="22"/>
  <c r="I52" i="22"/>
  <c r="T54" i="22"/>
  <c r="P56" i="22"/>
  <c r="J57" i="22"/>
  <c r="I59" i="22"/>
  <c r="J66" i="22"/>
  <c r="M16" i="22"/>
  <c r="Q4" i="22"/>
  <c r="R8" i="22"/>
  <c r="Q13" i="22"/>
  <c r="R30" i="22"/>
  <c r="T16" i="22"/>
  <c r="P17" i="22"/>
  <c r="U49" i="22"/>
  <c r="Q49" i="22"/>
  <c r="AB49" i="22"/>
  <c r="I49" i="22"/>
  <c r="V8" i="22"/>
  <c r="U16" i="22"/>
  <c r="Q17" i="22"/>
  <c r="J5" i="22"/>
  <c r="M5" i="22"/>
  <c r="C4" i="22"/>
  <c r="AA4" i="22"/>
  <c r="T6" i="22"/>
  <c r="M7" i="22"/>
  <c r="C8" i="22"/>
  <c r="AA8" i="22"/>
  <c r="T9" i="22"/>
  <c r="P11" i="22"/>
  <c r="V13" i="22"/>
  <c r="W16" i="22"/>
  <c r="S17" i="22"/>
  <c r="W19" i="22"/>
  <c r="S20" i="22"/>
  <c r="M21" i="22"/>
  <c r="C22" i="22"/>
  <c r="AA22" i="22"/>
  <c r="U23" i="22"/>
  <c r="C25" i="22"/>
  <c r="AB25" i="22"/>
  <c r="S27" i="22"/>
  <c r="W30" i="22"/>
  <c r="T31" i="22"/>
  <c r="R32" i="22"/>
  <c r="C34" i="22"/>
  <c r="AB34" i="22"/>
  <c r="V35" i="22"/>
  <c r="S36" i="22"/>
  <c r="P37" i="22"/>
  <c r="J38" i="22"/>
  <c r="R38" i="22"/>
  <c r="AA39" i="22"/>
  <c r="Q48" i="22"/>
  <c r="M49" i="22"/>
  <c r="M50" i="22"/>
  <c r="M51" i="22"/>
  <c r="J52" i="22"/>
  <c r="U54" i="22"/>
  <c r="Q56" i="22"/>
  <c r="M57" i="22"/>
  <c r="J59" i="22"/>
  <c r="M66" i="22"/>
  <c r="S67" i="22"/>
  <c r="R67" i="22"/>
  <c r="P67" i="22"/>
  <c r="J67" i="22"/>
  <c r="AB67" i="22"/>
  <c r="I67" i="22"/>
  <c r="AA67" i="22"/>
  <c r="H67" i="22"/>
  <c r="T67" i="22"/>
  <c r="AB26" i="22"/>
  <c r="I26" i="22"/>
  <c r="Q26" i="22"/>
  <c r="I35" i="22"/>
  <c r="J9" i="22"/>
  <c r="M13" i="22"/>
  <c r="P9" i="22"/>
  <c r="R26" i="22"/>
  <c r="U4" i="22"/>
  <c r="Q6" i="22"/>
  <c r="R13" i="22"/>
  <c r="P20" i="22"/>
  <c r="H4" i="22"/>
  <c r="AB4" i="22"/>
  <c r="U6" i="22"/>
  <c r="H8" i="22"/>
  <c r="AB8" i="22"/>
  <c r="U9" i="22"/>
  <c r="AB12" i="22"/>
  <c r="I12" i="22"/>
  <c r="W13" i="22"/>
  <c r="C16" i="22"/>
  <c r="AA16" i="22"/>
  <c r="T17" i="22"/>
  <c r="C19" i="22"/>
  <c r="AA19" i="22"/>
  <c r="T20" i="22"/>
  <c r="V23" i="22"/>
  <c r="W26" i="22"/>
  <c r="U27" i="22"/>
  <c r="V29" i="22"/>
  <c r="J29" i="22"/>
  <c r="AA30" i="22"/>
  <c r="U31" i="22"/>
  <c r="S32" i="22"/>
  <c r="T36" i="22"/>
  <c r="Q37" i="22"/>
  <c r="S48" i="22"/>
  <c r="P49" i="22"/>
  <c r="P50" i="22"/>
  <c r="P51" i="22"/>
  <c r="W54" i="22"/>
  <c r="S56" i="22"/>
  <c r="P57" i="22"/>
  <c r="M59" i="22"/>
  <c r="S66" i="22"/>
  <c r="Q8" i="22"/>
  <c r="Q35" i="22"/>
  <c r="U35" i="22"/>
  <c r="I4" i="22"/>
  <c r="I8" i="22"/>
  <c r="V9" i="22"/>
  <c r="C13" i="22"/>
  <c r="AA13" i="22"/>
  <c r="H16" i="22"/>
  <c r="AB16" i="22"/>
  <c r="U17" i="22"/>
  <c r="H19" i="22"/>
  <c r="AB19" i="22"/>
  <c r="U20" i="22"/>
  <c r="AB22" i="22"/>
  <c r="I22" i="22"/>
  <c r="W23" i="22"/>
  <c r="R25" i="22"/>
  <c r="V25" i="22"/>
  <c r="AA26" i="22"/>
  <c r="V27" i="22"/>
  <c r="C30" i="22"/>
  <c r="AB30" i="22"/>
  <c r="V31" i="22"/>
  <c r="U32" i="22"/>
  <c r="V34" i="22"/>
  <c r="J34" i="22"/>
  <c r="AA35" i="22"/>
  <c r="U36" i="22"/>
  <c r="R37" i="22"/>
  <c r="U39" i="22"/>
  <c r="AB39" i="22"/>
  <c r="I39" i="22"/>
  <c r="T48" i="22"/>
  <c r="R49" i="22"/>
  <c r="R50" i="22"/>
  <c r="R51" i="22"/>
  <c r="AA54" i="22"/>
  <c r="T56" i="22"/>
  <c r="R57" i="22"/>
  <c r="Q59" i="22"/>
  <c r="U66" i="22"/>
  <c r="U48" i="22"/>
  <c r="S49" i="22"/>
  <c r="S50" i="22"/>
  <c r="S51" i="22"/>
  <c r="R52" i="22"/>
  <c r="AB54" i="22"/>
  <c r="U56" i="22"/>
  <c r="S57" i="22"/>
  <c r="R59" i="22"/>
  <c r="AB66" i="22"/>
  <c r="C47" i="22"/>
  <c r="W47" i="22"/>
  <c r="V55" i="22"/>
  <c r="U58" i="22"/>
  <c r="V70" i="22"/>
  <c r="Q71" i="22"/>
  <c r="T73" i="22"/>
  <c r="M74" i="22"/>
  <c r="C75" i="22"/>
  <c r="W75" i="22"/>
  <c r="R76" i="22"/>
  <c r="I77" i="22"/>
  <c r="AB77" i="22"/>
  <c r="U76" i="22"/>
  <c r="P77" i="22"/>
  <c r="I58" i="22"/>
  <c r="AB58" i="22"/>
  <c r="H73" i="22"/>
  <c r="AA73" i="22"/>
  <c r="S74" i="22"/>
  <c r="V76" i="22"/>
  <c r="Q77" i="22"/>
  <c r="V71" i="22"/>
  <c r="I73" i="22"/>
  <c r="AB73" i="22"/>
  <c r="T74" i="22"/>
  <c r="P75" i="22"/>
  <c r="C76" i="22"/>
  <c r="W76" i="22"/>
  <c r="R77" i="22"/>
  <c r="U68" i="22"/>
  <c r="P70" i="22"/>
  <c r="C71" i="22"/>
  <c r="W71" i="22"/>
  <c r="J73" i="22"/>
  <c r="U74" i="22"/>
  <c r="Q75" i="22"/>
  <c r="H76" i="22"/>
  <c r="AA76" i="22"/>
  <c r="S77" i="22"/>
  <c r="V74" i="22"/>
  <c r="R75" i="22"/>
  <c r="I76" i="22"/>
  <c r="AB76" i="22"/>
  <c r="T77" i="22"/>
  <c r="C68" i="22"/>
  <c r="I71" i="22"/>
  <c r="P73" i="22"/>
  <c r="C74" i="22"/>
  <c r="W74" i="22"/>
  <c r="S75" i="22"/>
  <c r="J76" i="22"/>
  <c r="U77" i="22"/>
  <c r="V77" i="22"/>
  <c r="I74" i="22"/>
  <c r="U75" i="22"/>
  <c r="P76" i="22"/>
  <c r="C77" i="22"/>
  <c r="W77" i="22"/>
  <c r="H77" i="22"/>
  <c r="V58" i="21"/>
  <c r="W58" i="21"/>
  <c r="C58" i="21"/>
  <c r="AA58" i="21"/>
  <c r="V10" i="21"/>
  <c r="W10" i="21"/>
  <c r="C10" i="21"/>
  <c r="AA11" i="21"/>
  <c r="W11" i="21"/>
  <c r="V11" i="21"/>
  <c r="U11" i="21"/>
  <c r="T11" i="21"/>
  <c r="S11" i="21"/>
  <c r="R11" i="21"/>
  <c r="Q11" i="21"/>
  <c r="M11" i="21"/>
  <c r="H11" i="21"/>
  <c r="P11" i="21"/>
  <c r="AB11" i="21"/>
  <c r="C11" i="21"/>
  <c r="C56" i="21"/>
  <c r="U56" i="21"/>
  <c r="H56" i="21"/>
  <c r="J56" i="21"/>
  <c r="M56" i="21"/>
  <c r="P56" i="21"/>
  <c r="Q56" i="21"/>
  <c r="R56" i="21"/>
  <c r="S56" i="21"/>
  <c r="V56" i="21"/>
  <c r="W56" i="21"/>
  <c r="AA56" i="21"/>
  <c r="T56" i="21"/>
  <c r="I56" i="21"/>
  <c r="AD93" i="21"/>
  <c r="T93" i="21" s="1"/>
  <c r="Q93" i="21" l="1"/>
  <c r="U93" i="21"/>
  <c r="R93" i="21"/>
  <c r="S93" i="21"/>
  <c r="J71" i="21"/>
  <c r="I70" i="21"/>
  <c r="M45" i="21"/>
  <c r="H71" i="21"/>
  <c r="H70" i="21"/>
  <c r="J45" i="21"/>
  <c r="M70" i="21"/>
  <c r="AA71" i="21"/>
  <c r="C71" i="21"/>
  <c r="C70" i="21"/>
  <c r="AA70" i="21"/>
  <c r="V45" i="21"/>
  <c r="W71" i="21"/>
  <c r="V71" i="21"/>
  <c r="M71" i="21"/>
  <c r="U71" i="21"/>
  <c r="AB70" i="21"/>
  <c r="R71" i="21"/>
  <c r="J70" i="21"/>
  <c r="T71" i="21"/>
  <c r="AA45" i="21"/>
  <c r="S71" i="21"/>
  <c r="W70" i="21"/>
  <c r="AB45" i="21"/>
  <c r="V70" i="21"/>
  <c r="Q71" i="21"/>
  <c r="U70" i="21"/>
  <c r="W45" i="21"/>
  <c r="P71" i="21"/>
  <c r="U45" i="21"/>
  <c r="T45" i="21"/>
  <c r="AB46" i="21"/>
  <c r="Q70" i="21"/>
  <c r="I46" i="21"/>
  <c r="C45" i="21"/>
  <c r="T70" i="21"/>
  <c r="AB71" i="21"/>
  <c r="C46" i="21"/>
  <c r="Q45" i="21"/>
  <c r="S46" i="21"/>
  <c r="Q46" i="21"/>
  <c r="W46" i="21"/>
  <c r="R45" i="21"/>
  <c r="I71" i="21"/>
  <c r="J46" i="21"/>
  <c r="R70" i="21"/>
  <c r="S45" i="21"/>
  <c r="V46" i="21"/>
  <c r="U46" i="21"/>
  <c r="M46" i="21"/>
  <c r="T46" i="21"/>
  <c r="P45" i="21"/>
  <c r="P70" i="21"/>
  <c r="H45" i="21"/>
  <c r="AA46" i="21"/>
  <c r="I45" i="21"/>
  <c r="P46" i="21"/>
  <c r="H46" i="21"/>
  <c r="R46" i="21"/>
  <c r="S70" i="21"/>
  <c r="V93" i="21"/>
  <c r="AB93" i="21"/>
  <c r="J93" i="21"/>
  <c r="W93" i="21"/>
  <c r="C93" i="21"/>
  <c r="M93" i="21"/>
  <c r="P93" i="21"/>
  <c r="H93" i="21"/>
  <c r="AA93" i="21"/>
  <c r="I93" i="21"/>
  <c r="AB100" i="21" l="1"/>
  <c r="AA100" i="21"/>
  <c r="W100" i="21"/>
  <c r="V100" i="21"/>
  <c r="U100" i="21"/>
  <c r="T100" i="21"/>
  <c r="S100" i="21"/>
  <c r="R100" i="21"/>
  <c r="Q100" i="21"/>
  <c r="P100" i="21"/>
  <c r="M100" i="21"/>
  <c r="J100" i="21"/>
  <c r="I100" i="21"/>
  <c r="H100" i="21"/>
  <c r="C100" i="21"/>
  <c r="AB99" i="21"/>
  <c r="AA99" i="21"/>
  <c r="W99" i="21"/>
  <c r="V99" i="21"/>
  <c r="U99" i="21"/>
  <c r="T99" i="21"/>
  <c r="S99" i="21"/>
  <c r="R99" i="21"/>
  <c r="Q99" i="21"/>
  <c r="P99" i="21"/>
  <c r="M99" i="21"/>
  <c r="J99" i="21"/>
  <c r="I99" i="21"/>
  <c r="H99" i="21"/>
  <c r="C99" i="21"/>
  <c r="AB98" i="21"/>
  <c r="AA98" i="21"/>
  <c r="W98" i="21"/>
  <c r="V98" i="21"/>
  <c r="U98" i="21"/>
  <c r="T98" i="21"/>
  <c r="S98" i="21"/>
  <c r="R98" i="21"/>
  <c r="Q98" i="21"/>
  <c r="P98" i="21"/>
  <c r="M98" i="21"/>
  <c r="J98" i="21"/>
  <c r="I98" i="21"/>
  <c r="H98" i="21"/>
  <c r="C98" i="21"/>
  <c r="AB97" i="21"/>
  <c r="AA97" i="21"/>
  <c r="W97" i="21"/>
  <c r="V97" i="21"/>
  <c r="U97" i="21"/>
  <c r="T97" i="21"/>
  <c r="S97" i="21"/>
  <c r="R97" i="21"/>
  <c r="Q97" i="21"/>
  <c r="P97" i="21"/>
  <c r="M97" i="21"/>
  <c r="J97" i="21"/>
  <c r="I97" i="21"/>
  <c r="H97" i="21"/>
  <c r="C97" i="21"/>
  <c r="AB96" i="21"/>
  <c r="AA96" i="21"/>
  <c r="W96" i="21"/>
  <c r="V96" i="21"/>
  <c r="U96" i="21"/>
  <c r="T96" i="21"/>
  <c r="S96" i="21"/>
  <c r="R96" i="21"/>
  <c r="Q96" i="21"/>
  <c r="P96" i="21"/>
  <c r="M96" i="21"/>
  <c r="J96" i="21"/>
  <c r="I96" i="21"/>
  <c r="H96" i="21"/>
  <c r="C96" i="21"/>
  <c r="AB95" i="21"/>
  <c r="AA95" i="21"/>
  <c r="W95" i="21"/>
  <c r="V95" i="21"/>
  <c r="U95" i="21"/>
  <c r="T95" i="21"/>
  <c r="S95" i="21"/>
  <c r="R95" i="21"/>
  <c r="Q95" i="21"/>
  <c r="P95" i="21"/>
  <c r="M95" i="21"/>
  <c r="J95" i="21"/>
  <c r="I95" i="21"/>
  <c r="H95" i="21"/>
  <c r="C95" i="21"/>
  <c r="AB94" i="21"/>
  <c r="AA94" i="21"/>
  <c r="W94" i="21"/>
  <c r="V94" i="21"/>
  <c r="U94" i="21"/>
  <c r="T94" i="21"/>
  <c r="S94" i="21"/>
  <c r="R94" i="21"/>
  <c r="Q94" i="21"/>
  <c r="P94" i="21"/>
  <c r="M94" i="21"/>
  <c r="J94" i="21"/>
  <c r="I94" i="21"/>
  <c r="H94" i="21"/>
  <c r="C94" i="21"/>
  <c r="AD92" i="21"/>
  <c r="AA92" i="21" s="1"/>
  <c r="AC92" i="21"/>
  <c r="AD91" i="21"/>
  <c r="Q91" i="21" s="1"/>
  <c r="AD90" i="21"/>
  <c r="U90" i="21" s="1"/>
  <c r="AD89" i="21"/>
  <c r="H89" i="21" s="1"/>
  <c r="AC89" i="21"/>
  <c r="AD88" i="21"/>
  <c r="S88" i="21" s="1"/>
  <c r="AC88" i="21"/>
  <c r="AD87" i="21"/>
  <c r="W87" i="21" s="1"/>
  <c r="AD86" i="21"/>
  <c r="P86" i="21" s="1"/>
  <c r="AD84" i="21"/>
  <c r="U84" i="21" s="1"/>
  <c r="AD83" i="21"/>
  <c r="AA83" i="21" s="1"/>
  <c r="AD82" i="21"/>
  <c r="Q82" i="21" s="1"/>
  <c r="AD81" i="21"/>
  <c r="AD80" i="21"/>
  <c r="AB80" i="21" s="1"/>
  <c r="AD78" i="21"/>
  <c r="S78" i="21" s="1"/>
  <c r="AD75" i="21"/>
  <c r="AB75" i="21"/>
  <c r="AA75" i="21"/>
  <c r="W75" i="21"/>
  <c r="V75" i="21"/>
  <c r="U75" i="21"/>
  <c r="T75" i="21"/>
  <c r="S75" i="21"/>
  <c r="R75" i="21"/>
  <c r="Q75" i="21"/>
  <c r="P75" i="21"/>
  <c r="J75" i="21"/>
  <c r="H75" i="21"/>
  <c r="C75" i="21"/>
  <c r="AB74" i="21"/>
  <c r="AA74" i="21"/>
  <c r="W74" i="21"/>
  <c r="V74" i="21"/>
  <c r="U74" i="21"/>
  <c r="T74" i="21"/>
  <c r="S74" i="21"/>
  <c r="R74" i="21"/>
  <c r="Q74" i="21"/>
  <c r="P74" i="21"/>
  <c r="M74" i="21"/>
  <c r="J74" i="21"/>
  <c r="I74" i="21"/>
  <c r="H74" i="21"/>
  <c r="C74" i="21"/>
  <c r="AB73" i="21"/>
  <c r="AA73" i="21"/>
  <c r="W73" i="21"/>
  <c r="V73" i="21"/>
  <c r="U73" i="21"/>
  <c r="T73" i="21"/>
  <c r="S73" i="21"/>
  <c r="R73" i="21"/>
  <c r="Q73" i="21"/>
  <c r="P73" i="21"/>
  <c r="M73" i="21"/>
  <c r="J73" i="21"/>
  <c r="I73" i="21"/>
  <c r="H73" i="21"/>
  <c r="C73" i="21"/>
  <c r="AB72" i="21"/>
  <c r="AA72" i="21"/>
  <c r="W72" i="21"/>
  <c r="V72" i="21"/>
  <c r="U72" i="21"/>
  <c r="T72" i="21"/>
  <c r="S72" i="21"/>
  <c r="R72" i="21"/>
  <c r="Q72" i="21"/>
  <c r="P72" i="21"/>
  <c r="M72" i="21"/>
  <c r="J72" i="21"/>
  <c r="I72" i="21"/>
  <c r="H72" i="21"/>
  <c r="C72" i="21"/>
  <c r="AD69" i="21"/>
  <c r="V69" i="21" s="1"/>
  <c r="AD68" i="21"/>
  <c r="R68" i="21" s="1"/>
  <c r="AC68" i="21"/>
  <c r="AD67" i="21"/>
  <c r="AA67" i="21" s="1"/>
  <c r="AD66" i="21"/>
  <c r="T66" i="21" s="1"/>
  <c r="AD65" i="21"/>
  <c r="AA65" i="21" s="1"/>
  <c r="AD64" i="21"/>
  <c r="AB64" i="21" s="1"/>
  <c r="AD63" i="21"/>
  <c r="AB63" i="21" s="1"/>
  <c r="AD62" i="21"/>
  <c r="H62" i="21" s="1"/>
  <c r="AD61" i="21"/>
  <c r="R61" i="21" s="1"/>
  <c r="AD60" i="21"/>
  <c r="AA60" i="21" s="1"/>
  <c r="AD59" i="21"/>
  <c r="W59" i="21" s="1"/>
  <c r="AD57" i="21"/>
  <c r="AB57" i="21" s="1"/>
  <c r="AD55" i="21"/>
  <c r="U55" i="21" s="1"/>
  <c r="AD54" i="21"/>
  <c r="AB54" i="21" s="1"/>
  <c r="AB50" i="21"/>
  <c r="AA50" i="21"/>
  <c r="W50" i="21"/>
  <c r="V50" i="21"/>
  <c r="U50" i="21"/>
  <c r="T50" i="21"/>
  <c r="S50" i="21"/>
  <c r="R50" i="21"/>
  <c r="Q50" i="21"/>
  <c r="P50" i="21"/>
  <c r="M50" i="21"/>
  <c r="J50" i="21"/>
  <c r="I50" i="21"/>
  <c r="H50" i="21"/>
  <c r="C50" i="21"/>
  <c r="AB49" i="21"/>
  <c r="AA49" i="21"/>
  <c r="W49" i="21"/>
  <c r="V49" i="21"/>
  <c r="U49" i="21"/>
  <c r="T49" i="21"/>
  <c r="S49" i="21"/>
  <c r="R49" i="21"/>
  <c r="Q49" i="21"/>
  <c r="P49" i="21"/>
  <c r="M49" i="21"/>
  <c r="J49" i="21"/>
  <c r="I49" i="21"/>
  <c r="H49" i="21"/>
  <c r="C49" i="21"/>
  <c r="AB48" i="21"/>
  <c r="AA48" i="21"/>
  <c r="W48" i="21"/>
  <c r="V48" i="21"/>
  <c r="U48" i="21"/>
  <c r="T48" i="21"/>
  <c r="S48" i="21"/>
  <c r="R48" i="21"/>
  <c r="Q48" i="21"/>
  <c r="P48" i="21"/>
  <c r="M48" i="21"/>
  <c r="J48" i="21"/>
  <c r="I48" i="21"/>
  <c r="H48" i="21"/>
  <c r="C48" i="21"/>
  <c r="AB47" i="21"/>
  <c r="AA47" i="21"/>
  <c r="W47" i="21"/>
  <c r="V47" i="21"/>
  <c r="U47" i="21"/>
  <c r="T47" i="21"/>
  <c r="S47" i="21"/>
  <c r="R47" i="21"/>
  <c r="Q47" i="21"/>
  <c r="P47" i="21"/>
  <c r="M47" i="21"/>
  <c r="J47" i="21"/>
  <c r="I47" i="21"/>
  <c r="H47" i="21"/>
  <c r="C47" i="21"/>
  <c r="AD44" i="21"/>
  <c r="M44" i="21" s="1"/>
  <c r="AC44" i="21"/>
  <c r="AD43" i="21"/>
  <c r="AB43" i="21" s="1"/>
  <c r="AC43" i="21"/>
  <c r="AD42" i="21"/>
  <c r="AC42" i="21"/>
  <c r="AD41" i="21"/>
  <c r="M41" i="21" s="1"/>
  <c r="AC41" i="21"/>
  <c r="AD40" i="21"/>
  <c r="P40" i="21" s="1"/>
  <c r="AC40" i="21"/>
  <c r="AD39" i="21"/>
  <c r="R39" i="21" s="1"/>
  <c r="AC39" i="21"/>
  <c r="AD38" i="21"/>
  <c r="Q38" i="21" s="1"/>
  <c r="AD37" i="21"/>
  <c r="U37" i="21" s="1"/>
  <c r="AC37" i="21"/>
  <c r="AD36" i="21"/>
  <c r="T36" i="21" s="1"/>
  <c r="AC36" i="21"/>
  <c r="AD35" i="21"/>
  <c r="H35" i="21" s="1"/>
  <c r="AC35" i="21"/>
  <c r="AD34" i="21"/>
  <c r="R34" i="21" s="1"/>
  <c r="AC34" i="21"/>
  <c r="AD33" i="21"/>
  <c r="AA33" i="21" s="1"/>
  <c r="AC33" i="21"/>
  <c r="AD32" i="21"/>
  <c r="AB32" i="21" s="1"/>
  <c r="AC32" i="21"/>
  <c r="AD31" i="21"/>
  <c r="R31" i="21" s="1"/>
  <c r="AD30" i="21"/>
  <c r="AD29" i="21"/>
  <c r="P29" i="21" s="1"/>
  <c r="AD28" i="21"/>
  <c r="V28" i="21" s="1"/>
  <c r="AD27" i="21"/>
  <c r="AB27" i="21" s="1"/>
  <c r="AD26" i="21"/>
  <c r="U26" i="21" s="1"/>
  <c r="AD25" i="21"/>
  <c r="Q25" i="21" s="1"/>
  <c r="AD24" i="21"/>
  <c r="T24" i="21" s="1"/>
  <c r="AD23" i="21"/>
  <c r="J23" i="21" s="1"/>
  <c r="AD22" i="21"/>
  <c r="AA22" i="21" s="1"/>
  <c r="AD21" i="21"/>
  <c r="AA21" i="21" s="1"/>
  <c r="AD20" i="21"/>
  <c r="W20" i="21" s="1"/>
  <c r="AD19" i="21"/>
  <c r="V19" i="21" s="1"/>
  <c r="AD18" i="21"/>
  <c r="W18" i="21" s="1"/>
  <c r="AD17" i="21"/>
  <c r="Q17" i="21" s="1"/>
  <c r="AD16" i="21"/>
  <c r="V16" i="21" s="1"/>
  <c r="AD15" i="21"/>
  <c r="T15" i="21" s="1"/>
  <c r="AD14" i="21"/>
  <c r="T14" i="21" s="1"/>
  <c r="AD13" i="21"/>
  <c r="AA13" i="21" s="1"/>
  <c r="AD12" i="21"/>
  <c r="Q12" i="21" s="1"/>
  <c r="AD6" i="21"/>
  <c r="J6" i="21" s="1"/>
  <c r="AD5" i="21"/>
  <c r="R5" i="21" s="1"/>
  <c r="AD9" i="21"/>
  <c r="AD8" i="21"/>
  <c r="S8" i="21" s="1"/>
  <c r="AD7" i="21"/>
  <c r="V7" i="21" s="1"/>
  <c r="AD4" i="21"/>
  <c r="M4" i="21" s="1"/>
  <c r="AD10" i="20"/>
  <c r="AA10" i="20" s="1"/>
  <c r="M10" i="20" l="1"/>
  <c r="U18" i="21"/>
  <c r="V14" i="21"/>
  <c r="AA14" i="21"/>
  <c r="Q14" i="21"/>
  <c r="AA61" i="21"/>
  <c r="H22" i="21"/>
  <c r="W8" i="21"/>
  <c r="AB22" i="21"/>
  <c r="J18" i="21"/>
  <c r="Q18" i="21"/>
  <c r="AB61" i="21"/>
  <c r="AB25" i="21"/>
  <c r="I12" i="21"/>
  <c r="S12" i="21"/>
  <c r="Q37" i="21"/>
  <c r="V82" i="21"/>
  <c r="P41" i="21"/>
  <c r="S41" i="21"/>
  <c r="J64" i="21"/>
  <c r="J78" i="21"/>
  <c r="H29" i="21"/>
  <c r="V60" i="21"/>
  <c r="R60" i="21"/>
  <c r="Q7" i="21"/>
  <c r="W19" i="21"/>
  <c r="J29" i="21"/>
  <c r="C34" i="21"/>
  <c r="W60" i="21"/>
  <c r="T84" i="21"/>
  <c r="H12" i="21"/>
  <c r="H78" i="21"/>
  <c r="H83" i="21"/>
  <c r="P27" i="21"/>
  <c r="I34" i="21"/>
  <c r="C20" i="21"/>
  <c r="R27" i="21"/>
  <c r="J34" i="21"/>
  <c r="M57" i="21"/>
  <c r="H90" i="21"/>
  <c r="H27" i="21"/>
  <c r="J27" i="21"/>
  <c r="T20" i="21"/>
  <c r="W27" i="21"/>
  <c r="W31" i="21"/>
  <c r="V34" i="21"/>
  <c r="AA44" i="21"/>
  <c r="AA86" i="21"/>
  <c r="AA90" i="21"/>
  <c r="J14" i="21"/>
  <c r="AA20" i="21"/>
  <c r="U25" i="21"/>
  <c r="AA27" i="21"/>
  <c r="AB31" i="21"/>
  <c r="U40" i="21"/>
  <c r="AB44" i="21"/>
  <c r="C69" i="21"/>
  <c r="AB86" i="21"/>
  <c r="M6" i="21"/>
  <c r="M14" i="21"/>
  <c r="I18" i="21"/>
  <c r="AA25" i="21"/>
  <c r="W69" i="21"/>
  <c r="R66" i="21"/>
  <c r="I7" i="21"/>
  <c r="M22" i="21"/>
  <c r="V25" i="21"/>
  <c r="R37" i="21"/>
  <c r="Q41" i="21"/>
  <c r="C44" i="21"/>
  <c r="T60" i="21"/>
  <c r="C64" i="21"/>
  <c r="AA84" i="21"/>
  <c r="S7" i="21"/>
  <c r="W41" i="21"/>
  <c r="W64" i="21"/>
  <c r="W7" i="21"/>
  <c r="R14" i="21"/>
  <c r="S20" i="21"/>
  <c r="AA23" i="21"/>
  <c r="W38" i="21"/>
  <c r="AB41" i="21"/>
  <c r="AA64" i="21"/>
  <c r="I68" i="21"/>
  <c r="S82" i="21"/>
  <c r="Q86" i="21"/>
  <c r="H57" i="21"/>
  <c r="U82" i="21"/>
  <c r="T4" i="21"/>
  <c r="Q15" i="21"/>
  <c r="H25" i="21"/>
  <c r="I27" i="21"/>
  <c r="J37" i="21"/>
  <c r="U43" i="21"/>
  <c r="J66" i="21"/>
  <c r="AA69" i="21"/>
  <c r="M80" i="21"/>
  <c r="J83" i="21"/>
  <c r="M87" i="21"/>
  <c r="J91" i="21"/>
  <c r="U4" i="21"/>
  <c r="U15" i="21"/>
  <c r="J25" i="21"/>
  <c r="M37" i="21"/>
  <c r="W43" i="21"/>
  <c r="H54" i="21"/>
  <c r="C60" i="21"/>
  <c r="M66" i="21"/>
  <c r="AA80" i="21"/>
  <c r="P87" i="21"/>
  <c r="M91" i="21"/>
  <c r="C22" i="21"/>
  <c r="T25" i="21"/>
  <c r="P37" i="21"/>
  <c r="C41" i="21"/>
  <c r="J54" i="21"/>
  <c r="Q60" i="21"/>
  <c r="P66" i="21"/>
  <c r="J68" i="21"/>
  <c r="V8" i="21"/>
  <c r="P15" i="21"/>
  <c r="AB16" i="21"/>
  <c r="U23" i="21"/>
  <c r="AB28" i="21"/>
  <c r="T31" i="21"/>
  <c r="S38" i="21"/>
  <c r="W44" i="21"/>
  <c r="W61" i="21"/>
  <c r="V64" i="21"/>
  <c r="H68" i="21"/>
  <c r="U69" i="21"/>
  <c r="S84" i="21"/>
  <c r="M92" i="21"/>
  <c r="H64" i="21"/>
  <c r="M68" i="21"/>
  <c r="H69" i="21"/>
  <c r="AB69" i="21"/>
  <c r="M78" i="21"/>
  <c r="AB84" i="21"/>
  <c r="P68" i="21"/>
  <c r="I69" i="21"/>
  <c r="H16" i="21"/>
  <c r="U5" i="21"/>
  <c r="I16" i="21"/>
  <c r="AA34" i="21"/>
  <c r="I44" i="21"/>
  <c r="S54" i="21"/>
  <c r="V57" i="21"/>
  <c r="H63" i="21"/>
  <c r="P64" i="21"/>
  <c r="M65" i="21"/>
  <c r="T68" i="21"/>
  <c r="M69" i="21"/>
  <c r="J86" i="21"/>
  <c r="S87" i="21"/>
  <c r="S68" i="21"/>
  <c r="J69" i="21"/>
  <c r="H13" i="21"/>
  <c r="J16" i="21"/>
  <c r="C23" i="21"/>
  <c r="I25" i="21"/>
  <c r="I26" i="21"/>
  <c r="J44" i="21"/>
  <c r="T54" i="21"/>
  <c r="W57" i="21"/>
  <c r="M63" i="21"/>
  <c r="Q64" i="21"/>
  <c r="R65" i="21"/>
  <c r="U68" i="21"/>
  <c r="P69" i="21"/>
  <c r="M86" i="21"/>
  <c r="H65" i="21"/>
  <c r="J26" i="21"/>
  <c r="U54" i="21"/>
  <c r="Q63" i="21"/>
  <c r="V68" i="21"/>
  <c r="Q69" i="21"/>
  <c r="H84" i="21"/>
  <c r="Q13" i="21"/>
  <c r="R16" i="21"/>
  <c r="P23" i="21"/>
  <c r="M25" i="21"/>
  <c r="M26" i="21"/>
  <c r="M33" i="21"/>
  <c r="J35" i="21"/>
  <c r="H41" i="21"/>
  <c r="I43" i="21"/>
  <c r="R44" i="21"/>
  <c r="V54" i="21"/>
  <c r="M59" i="21"/>
  <c r="U63" i="21"/>
  <c r="S64" i="21"/>
  <c r="U65" i="21"/>
  <c r="C67" i="21"/>
  <c r="W68" i="21"/>
  <c r="R69" i="21"/>
  <c r="M84" i="21"/>
  <c r="S86" i="21"/>
  <c r="T88" i="21"/>
  <c r="H44" i="21"/>
  <c r="M64" i="21"/>
  <c r="J13" i="21"/>
  <c r="H23" i="21"/>
  <c r="J33" i="21"/>
  <c r="U13" i="21"/>
  <c r="J15" i="21"/>
  <c r="T16" i="21"/>
  <c r="C21" i="21"/>
  <c r="R23" i="21"/>
  <c r="R25" i="21"/>
  <c r="P26" i="21"/>
  <c r="Q31" i="21"/>
  <c r="U33" i="21"/>
  <c r="R35" i="21"/>
  <c r="I41" i="21"/>
  <c r="S43" i="21"/>
  <c r="T44" i="21"/>
  <c r="W54" i="21"/>
  <c r="R59" i="21"/>
  <c r="H61" i="21"/>
  <c r="AA63" i="21"/>
  <c r="T64" i="21"/>
  <c r="W65" i="21"/>
  <c r="AA68" i="21"/>
  <c r="S69" i="21"/>
  <c r="Q84" i="21"/>
  <c r="T86" i="21"/>
  <c r="V88" i="21"/>
  <c r="P16" i="21"/>
  <c r="P44" i="21"/>
  <c r="R64" i="21"/>
  <c r="S65" i="21"/>
  <c r="V13" i="21"/>
  <c r="M15" i="21"/>
  <c r="U16" i="21"/>
  <c r="T23" i="21"/>
  <c r="S25" i="21"/>
  <c r="Q26" i="21"/>
  <c r="V33" i="21"/>
  <c r="W35" i="21"/>
  <c r="T43" i="21"/>
  <c r="U44" i="21"/>
  <c r="AB59" i="21"/>
  <c r="U61" i="21"/>
  <c r="U64" i="21"/>
  <c r="C68" i="21"/>
  <c r="AB68" i="21"/>
  <c r="T69" i="21"/>
  <c r="R84" i="21"/>
  <c r="U86" i="21"/>
  <c r="AA88" i="21"/>
  <c r="V42" i="21"/>
  <c r="U42" i="21"/>
  <c r="T42" i="21"/>
  <c r="S42" i="21"/>
  <c r="P42" i="21"/>
  <c r="S19" i="21"/>
  <c r="I19" i="21"/>
  <c r="U21" i="21"/>
  <c r="V21" i="21"/>
  <c r="I21" i="21"/>
  <c r="Q21" i="21"/>
  <c r="J21" i="21"/>
  <c r="T28" i="21"/>
  <c r="R28" i="21"/>
  <c r="Q28" i="21"/>
  <c r="P28" i="21"/>
  <c r="C28" i="21"/>
  <c r="V38" i="21"/>
  <c r="U38" i="21"/>
  <c r="H42" i="21"/>
  <c r="P32" i="21"/>
  <c r="S32" i="21"/>
  <c r="Q32" i="21"/>
  <c r="J32" i="21"/>
  <c r="I32" i="21"/>
  <c r="I42" i="21"/>
  <c r="AB62" i="21"/>
  <c r="U62" i="21"/>
  <c r="W62" i="21"/>
  <c r="P62" i="21"/>
  <c r="S62" i="21"/>
  <c r="U78" i="21"/>
  <c r="AB78" i="21"/>
  <c r="C78" i="21"/>
  <c r="W78" i="21"/>
  <c r="AA78" i="21"/>
  <c r="T78" i="21"/>
  <c r="V78" i="21"/>
  <c r="R78" i="21"/>
  <c r="Q78" i="21"/>
  <c r="P78" i="21"/>
  <c r="J89" i="21"/>
  <c r="AA89" i="21"/>
  <c r="W89" i="21"/>
  <c r="M89" i="21"/>
  <c r="S89" i="21"/>
  <c r="Q89" i="21"/>
  <c r="C89" i="21"/>
  <c r="C42" i="21"/>
  <c r="P9" i="21"/>
  <c r="AB9" i="21"/>
  <c r="V9" i="21"/>
  <c r="C9" i="21"/>
  <c r="J9" i="21"/>
  <c r="M42" i="21"/>
  <c r="J30" i="21"/>
  <c r="AB30" i="21"/>
  <c r="J4" i="21"/>
  <c r="J5" i="21"/>
  <c r="J12" i="21"/>
  <c r="R15" i="21"/>
  <c r="V20" i="21"/>
  <c r="P22" i="21"/>
  <c r="T26" i="21"/>
  <c r="T35" i="21"/>
  <c r="T37" i="21"/>
  <c r="M40" i="21"/>
  <c r="Q42" i="21"/>
  <c r="U59" i="21"/>
  <c r="AB66" i="21"/>
  <c r="I66" i="21"/>
  <c r="U66" i="21"/>
  <c r="AA66" i="21"/>
  <c r="H66" i="21"/>
  <c r="W66" i="21"/>
  <c r="C66" i="21"/>
  <c r="V66" i="21"/>
  <c r="S66" i="21"/>
  <c r="Q66" i="21"/>
  <c r="J42" i="21"/>
  <c r="H24" i="21"/>
  <c r="S29" i="21"/>
  <c r="AB29" i="21"/>
  <c r="V29" i="21"/>
  <c r="U29" i="21"/>
  <c r="R29" i="21"/>
  <c r="I29" i="21"/>
  <c r="U31" i="21"/>
  <c r="P31" i="21"/>
  <c r="J31" i="21"/>
  <c r="I31" i="21"/>
  <c r="H31" i="21"/>
  <c r="V35" i="21"/>
  <c r="R42" i="21"/>
  <c r="AB40" i="21"/>
  <c r="H40" i="21"/>
  <c r="AA40" i="21"/>
  <c r="C40" i="21"/>
  <c r="W40" i="21"/>
  <c r="V40" i="21"/>
  <c r="S40" i="21"/>
  <c r="J24" i="21"/>
  <c r="Q27" i="21"/>
  <c r="V27" i="21"/>
  <c r="U27" i="21"/>
  <c r="T27" i="21"/>
  <c r="S27" i="21"/>
  <c r="M27" i="21"/>
  <c r="H30" i="21"/>
  <c r="H32" i="21"/>
  <c r="AB33" i="21"/>
  <c r="T33" i="21"/>
  <c r="S33" i="21"/>
  <c r="R33" i="21"/>
  <c r="Q33" i="21"/>
  <c r="I33" i="21"/>
  <c r="Q40" i="21"/>
  <c r="W42" i="21"/>
  <c r="AA43" i="21"/>
  <c r="R43" i="21"/>
  <c r="Q43" i="21"/>
  <c r="P43" i="21"/>
  <c r="J43" i="21"/>
  <c r="M43" i="21"/>
  <c r="C43" i="21"/>
  <c r="AB4" i="21"/>
  <c r="I4" i="21"/>
  <c r="AA4" i="21"/>
  <c r="H4" i="21"/>
  <c r="V4" i="21"/>
  <c r="W4" i="21"/>
  <c r="C4" i="21"/>
  <c r="S4" i="21"/>
  <c r="Q8" i="21"/>
  <c r="J8" i="21"/>
  <c r="I8" i="21"/>
  <c r="C8" i="21"/>
  <c r="AA8" i="21"/>
  <c r="J40" i="21"/>
  <c r="P4" i="21"/>
  <c r="J19" i="21"/>
  <c r="Q4" i="21"/>
  <c r="M8" i="21"/>
  <c r="H17" i="21"/>
  <c r="Q19" i="21"/>
  <c r="Q22" i="21"/>
  <c r="W22" i="21"/>
  <c r="S22" i="21"/>
  <c r="U22" i="21"/>
  <c r="T22" i="21"/>
  <c r="J22" i="21"/>
  <c r="AB24" i="21"/>
  <c r="V26" i="21"/>
  <c r="H26" i="21"/>
  <c r="AB26" i="21"/>
  <c r="C26" i="21"/>
  <c r="AA26" i="21"/>
  <c r="W26" i="21"/>
  <c r="S26" i="21"/>
  <c r="I28" i="21"/>
  <c r="M30" i="21"/>
  <c r="U32" i="21"/>
  <c r="AB37" i="21"/>
  <c r="I37" i="21"/>
  <c r="AA37" i="21"/>
  <c r="H37" i="21"/>
  <c r="W37" i="21"/>
  <c r="C37" i="21"/>
  <c r="V37" i="21"/>
  <c r="S37" i="21"/>
  <c r="R40" i="21"/>
  <c r="AA42" i="21"/>
  <c r="R4" i="21"/>
  <c r="R8" i="21"/>
  <c r="S5" i="21"/>
  <c r="W5" i="21"/>
  <c r="R12" i="21"/>
  <c r="AB12" i="21"/>
  <c r="V12" i="21"/>
  <c r="U12" i="21"/>
  <c r="W12" i="21"/>
  <c r="P12" i="21"/>
  <c r="AB15" i="21"/>
  <c r="I15" i="21"/>
  <c r="V15" i="21"/>
  <c r="AA15" i="21"/>
  <c r="H15" i="21"/>
  <c r="W15" i="21"/>
  <c r="C15" i="21"/>
  <c r="S15" i="21"/>
  <c r="AB17" i="21"/>
  <c r="T19" i="21"/>
  <c r="J20" i="21"/>
  <c r="R20" i="21"/>
  <c r="I20" i="21"/>
  <c r="P20" i="21"/>
  <c r="M20" i="21"/>
  <c r="C27" i="21"/>
  <c r="J28" i="21"/>
  <c r="Q30" i="21"/>
  <c r="V32" i="21"/>
  <c r="I38" i="21"/>
  <c r="T40" i="21"/>
  <c r="AB42" i="21"/>
  <c r="AA55" i="21"/>
  <c r="S55" i="21"/>
  <c r="Q55" i="21"/>
  <c r="J55" i="21"/>
  <c r="C55" i="21"/>
  <c r="I59" i="21"/>
  <c r="C59" i="21"/>
  <c r="W82" i="21"/>
  <c r="T87" i="21"/>
  <c r="J90" i="21"/>
  <c r="U87" i="21"/>
  <c r="R90" i="21"/>
  <c r="U7" i="21"/>
  <c r="S13" i="21"/>
  <c r="W14" i="21"/>
  <c r="C25" i="21"/>
  <c r="W25" i="21"/>
  <c r="C54" i="21"/>
  <c r="AA54" i="21"/>
  <c r="S57" i="21"/>
  <c r="AB60" i="21"/>
  <c r="V84" i="21"/>
  <c r="AA87" i="21"/>
  <c r="S90" i="21"/>
  <c r="M54" i="21"/>
  <c r="I60" i="21"/>
  <c r="C61" i="21"/>
  <c r="J82" i="21"/>
  <c r="C88" i="21"/>
  <c r="J88" i="21"/>
  <c r="P54" i="21"/>
  <c r="J60" i="21"/>
  <c r="M82" i="21"/>
  <c r="C14" i="21"/>
  <c r="Q54" i="21"/>
  <c r="M60" i="21"/>
  <c r="M61" i="21"/>
  <c r="Q68" i="21"/>
  <c r="P82" i="21"/>
  <c r="I84" i="21"/>
  <c r="H86" i="21"/>
  <c r="H87" i="21"/>
  <c r="P88" i="21"/>
  <c r="P25" i="21"/>
  <c r="I14" i="21"/>
  <c r="R54" i="21"/>
  <c r="P60" i="21"/>
  <c r="R82" i="21"/>
  <c r="J84" i="21"/>
  <c r="I86" i="21"/>
  <c r="J87" i="21"/>
  <c r="Q88" i="21"/>
  <c r="P17" i="21"/>
  <c r="P24" i="21"/>
  <c r="J67" i="21"/>
  <c r="S6" i="21"/>
  <c r="R36" i="21"/>
  <c r="M9" i="21"/>
  <c r="C5" i="21"/>
  <c r="AA5" i="21"/>
  <c r="AA18" i="21"/>
  <c r="H18" i="21"/>
  <c r="R30" i="21"/>
  <c r="C7" i="21"/>
  <c r="AA7" i="21"/>
  <c r="T8" i="21"/>
  <c r="H5" i="21"/>
  <c r="AB5" i="21"/>
  <c r="U6" i="21"/>
  <c r="W13" i="21"/>
  <c r="S14" i="21"/>
  <c r="W16" i="21"/>
  <c r="S17" i="21"/>
  <c r="M18" i="21"/>
  <c r="C19" i="21"/>
  <c r="AA19" i="21"/>
  <c r="V23" i="21"/>
  <c r="R24" i="21"/>
  <c r="AA28" i="21"/>
  <c r="H28" i="21"/>
  <c r="W29" i="21"/>
  <c r="S30" i="21"/>
  <c r="W32" i="21"/>
  <c r="M34" i="21"/>
  <c r="C35" i="21"/>
  <c r="AA35" i="21"/>
  <c r="U36" i="21"/>
  <c r="C38" i="21"/>
  <c r="AA38" i="21"/>
  <c r="U39" i="21"/>
  <c r="V41" i="21"/>
  <c r="T41" i="21"/>
  <c r="W55" i="21"/>
  <c r="M67" i="21"/>
  <c r="M83" i="21"/>
  <c r="AA9" i="21"/>
  <c r="H9" i="21"/>
  <c r="T6" i="21"/>
  <c r="R17" i="21"/>
  <c r="Q24" i="21"/>
  <c r="S36" i="21"/>
  <c r="T39" i="21"/>
  <c r="U81" i="21"/>
  <c r="R81" i="21"/>
  <c r="Q81" i="21"/>
  <c r="P81" i="21"/>
  <c r="J81" i="21"/>
  <c r="AA81" i="21"/>
  <c r="H81" i="21"/>
  <c r="M21" i="21"/>
  <c r="H7" i="21"/>
  <c r="AB7" i="21"/>
  <c r="U8" i="21"/>
  <c r="Q9" i="21"/>
  <c r="I5" i="21"/>
  <c r="V6" i="21"/>
  <c r="M12" i="21"/>
  <c r="C13" i="21"/>
  <c r="U14" i="21"/>
  <c r="C16" i="21"/>
  <c r="AA16" i="21"/>
  <c r="T17" i="21"/>
  <c r="P18" i="21"/>
  <c r="H19" i="21"/>
  <c r="AB19" i="21"/>
  <c r="U20" i="21"/>
  <c r="P21" i="21"/>
  <c r="W23" i="21"/>
  <c r="S24" i="21"/>
  <c r="M28" i="21"/>
  <c r="C29" i="21"/>
  <c r="AA29" i="21"/>
  <c r="T30" i="21"/>
  <c r="M31" i="21"/>
  <c r="C32" i="21"/>
  <c r="AA32" i="21"/>
  <c r="P34" i="21"/>
  <c r="V36" i="21"/>
  <c r="H38" i="21"/>
  <c r="AB38" i="21"/>
  <c r="V39" i="21"/>
  <c r="J41" i="21"/>
  <c r="U57" i="21"/>
  <c r="R57" i="21"/>
  <c r="P57" i="21"/>
  <c r="AA57" i="21"/>
  <c r="C57" i="21"/>
  <c r="Q59" i="21"/>
  <c r="J59" i="21"/>
  <c r="AA59" i="21"/>
  <c r="H59" i="21"/>
  <c r="T59" i="21"/>
  <c r="M62" i="21"/>
  <c r="AA62" i="21"/>
  <c r="C62" i="21"/>
  <c r="V62" i="21"/>
  <c r="R62" i="21"/>
  <c r="W63" i="21"/>
  <c r="C63" i="21"/>
  <c r="T63" i="21"/>
  <c r="R63" i="21"/>
  <c r="J63" i="21"/>
  <c r="Q67" i="21"/>
  <c r="J80" i="21"/>
  <c r="W80" i="21"/>
  <c r="C80" i="21"/>
  <c r="V80" i="21"/>
  <c r="U80" i="21"/>
  <c r="S80" i="21"/>
  <c r="Q80" i="21"/>
  <c r="Q83" i="21"/>
  <c r="R9" i="21"/>
  <c r="W6" i="21"/>
  <c r="U24" i="21"/>
  <c r="U30" i="21"/>
  <c r="Q34" i="21"/>
  <c r="AB35" i="21"/>
  <c r="I35" i="21"/>
  <c r="W36" i="21"/>
  <c r="W39" i="21"/>
  <c r="R67" i="21"/>
  <c r="C81" i="21"/>
  <c r="S83" i="21"/>
  <c r="Q6" i="21"/>
  <c r="J17" i="21"/>
  <c r="S39" i="21"/>
  <c r="U17" i="21"/>
  <c r="J7" i="21"/>
  <c r="AB13" i="21"/>
  <c r="I13" i="21"/>
  <c r="V17" i="21"/>
  <c r="R18" i="21"/>
  <c r="R21" i="21"/>
  <c r="V30" i="21"/>
  <c r="S34" i="21"/>
  <c r="M35" i="21"/>
  <c r="C36" i="21"/>
  <c r="AA36" i="21"/>
  <c r="J38" i="21"/>
  <c r="C39" i="21"/>
  <c r="AA39" i="21"/>
  <c r="AB55" i="21"/>
  <c r="I55" i="21"/>
  <c r="V55" i="21"/>
  <c r="T55" i="21"/>
  <c r="P55" i="21"/>
  <c r="S61" i="21"/>
  <c r="P61" i="21"/>
  <c r="J61" i="21"/>
  <c r="V61" i="21"/>
  <c r="I63" i="21"/>
  <c r="T67" i="21"/>
  <c r="I81" i="21"/>
  <c r="W83" i="21"/>
  <c r="J36" i="21"/>
  <c r="J39" i="21"/>
  <c r="M13" i="21"/>
  <c r="W24" i="21"/>
  <c r="W30" i="21"/>
  <c r="T34" i="21"/>
  <c r="P35" i="21"/>
  <c r="H36" i="21"/>
  <c r="AB36" i="21"/>
  <c r="AB65" i="21"/>
  <c r="I65" i="21"/>
  <c r="V65" i="21"/>
  <c r="T65" i="21"/>
  <c r="P65" i="21"/>
  <c r="V67" i="21"/>
  <c r="H80" i="21"/>
  <c r="M81" i="21"/>
  <c r="S9" i="21"/>
  <c r="M5" i="21"/>
  <c r="C6" i="21"/>
  <c r="AA6" i="21"/>
  <c r="V24" i="21"/>
  <c r="M7" i="21"/>
  <c r="T9" i="21"/>
  <c r="P5" i="21"/>
  <c r="H6" i="21"/>
  <c r="AB6" i="21"/>
  <c r="W17" i="21"/>
  <c r="S18" i="21"/>
  <c r="M19" i="21"/>
  <c r="S21" i="21"/>
  <c r="AB23" i="21"/>
  <c r="I23" i="21"/>
  <c r="M38" i="21"/>
  <c r="H39" i="21"/>
  <c r="AB39" i="21"/>
  <c r="P7" i="21"/>
  <c r="H8" i="21"/>
  <c r="AB8" i="21"/>
  <c r="U9" i="21"/>
  <c r="Q5" i="21"/>
  <c r="I6" i="21"/>
  <c r="T12" i="21"/>
  <c r="P13" i="21"/>
  <c r="H14" i="21"/>
  <c r="AB14" i="21"/>
  <c r="M16" i="21"/>
  <c r="C17" i="21"/>
  <c r="AA17" i="21"/>
  <c r="T18" i="21"/>
  <c r="P19" i="21"/>
  <c r="H20" i="21"/>
  <c r="AB20" i="21"/>
  <c r="T21" i="21"/>
  <c r="R22" i="21"/>
  <c r="M23" i="21"/>
  <c r="C24" i="21"/>
  <c r="AA24" i="21"/>
  <c r="S28" i="21"/>
  <c r="M29" i="21"/>
  <c r="C30" i="21"/>
  <c r="AA30" i="21"/>
  <c r="S31" i="21"/>
  <c r="M32" i="21"/>
  <c r="H33" i="21"/>
  <c r="U34" i="21"/>
  <c r="Q35" i="21"/>
  <c r="I36" i="21"/>
  <c r="P38" i="21"/>
  <c r="I39" i="21"/>
  <c r="R41" i="21"/>
  <c r="H55" i="21"/>
  <c r="J57" i="21"/>
  <c r="P59" i="21"/>
  <c r="I61" i="21"/>
  <c r="J62" i="21"/>
  <c r="P63" i="21"/>
  <c r="C65" i="21"/>
  <c r="I80" i="21"/>
  <c r="S81" i="21"/>
  <c r="T81" i="21"/>
  <c r="AB83" i="21"/>
  <c r="I83" i="21"/>
  <c r="V83" i="21"/>
  <c r="U83" i="21"/>
  <c r="T83" i="21"/>
  <c r="R83" i="21"/>
  <c r="P83" i="21"/>
  <c r="P67" i="21"/>
  <c r="AB67" i="21"/>
  <c r="H67" i="21"/>
  <c r="W67" i="21"/>
  <c r="U67" i="21"/>
  <c r="S67" i="21"/>
  <c r="R7" i="21"/>
  <c r="W9" i="21"/>
  <c r="T5" i="21"/>
  <c r="P6" i="21"/>
  <c r="R13" i="21"/>
  <c r="Q16" i="21"/>
  <c r="I17" i="21"/>
  <c r="V18" i="21"/>
  <c r="R19" i="21"/>
  <c r="W21" i="21"/>
  <c r="Q23" i="21"/>
  <c r="I24" i="21"/>
  <c r="U28" i="21"/>
  <c r="Q29" i="21"/>
  <c r="I30" i="21"/>
  <c r="V31" i="21"/>
  <c r="R32" i="21"/>
  <c r="W33" i="21"/>
  <c r="C33" i="21"/>
  <c r="W34" i="21"/>
  <c r="S35" i="21"/>
  <c r="M36" i="21"/>
  <c r="R38" i="21"/>
  <c r="M39" i="21"/>
  <c r="U41" i="21"/>
  <c r="M55" i="21"/>
  <c r="Q57" i="21"/>
  <c r="S59" i="21"/>
  <c r="Q61" i="21"/>
  <c r="Q62" i="21"/>
  <c r="S63" i="21"/>
  <c r="J65" i="21"/>
  <c r="P80" i="21"/>
  <c r="V81" i="21"/>
  <c r="R80" i="21"/>
  <c r="W81" i="21"/>
  <c r="P36" i="21"/>
  <c r="P39" i="21"/>
  <c r="T7" i="21"/>
  <c r="P8" i="21"/>
  <c r="I9" i="21"/>
  <c r="V5" i="21"/>
  <c r="R6" i="21"/>
  <c r="C12" i="21"/>
  <c r="AA12" i="21"/>
  <c r="T13" i="21"/>
  <c r="P14" i="21"/>
  <c r="S16" i="21"/>
  <c r="M17" i="21"/>
  <c r="C18" i="21"/>
  <c r="AB18" i="21"/>
  <c r="U19" i="21"/>
  <c r="Q20" i="21"/>
  <c r="H21" i="21"/>
  <c r="AB21" i="21"/>
  <c r="V22" i="21"/>
  <c r="S23" i="21"/>
  <c r="M24" i="21"/>
  <c r="R26" i="21"/>
  <c r="W28" i="21"/>
  <c r="T29" i="21"/>
  <c r="P30" i="21"/>
  <c r="C31" i="21"/>
  <c r="AA31" i="21"/>
  <c r="T32" i="21"/>
  <c r="P33" i="21"/>
  <c r="H34" i="21"/>
  <c r="AB34" i="21"/>
  <c r="U35" i="21"/>
  <c r="Q36" i="21"/>
  <c r="T38" i="21"/>
  <c r="Q39" i="21"/>
  <c r="AA41" i="21"/>
  <c r="V44" i="21"/>
  <c r="S44" i="21"/>
  <c r="Q44" i="21"/>
  <c r="R55" i="21"/>
  <c r="T57" i="21"/>
  <c r="V59" i="21"/>
  <c r="T61" i="21"/>
  <c r="T62" i="21"/>
  <c r="V63" i="21"/>
  <c r="Q65" i="21"/>
  <c r="T80" i="21"/>
  <c r="AB81" i="21"/>
  <c r="C83" i="21"/>
  <c r="V90" i="21"/>
  <c r="R91" i="21"/>
  <c r="I92" i="21"/>
  <c r="AB92" i="21"/>
  <c r="T82" i="21"/>
  <c r="C84" i="21"/>
  <c r="W84" i="21"/>
  <c r="R86" i="21"/>
  <c r="I87" i="21"/>
  <c r="AB87" i="21"/>
  <c r="U88" i="21"/>
  <c r="P89" i="21"/>
  <c r="C90" i="21"/>
  <c r="W90" i="21"/>
  <c r="S91" i="21"/>
  <c r="J92" i="21"/>
  <c r="T91" i="21"/>
  <c r="W88" i="21"/>
  <c r="R89" i="21"/>
  <c r="I90" i="21"/>
  <c r="AB90" i="21"/>
  <c r="U91" i="21"/>
  <c r="P92" i="21"/>
  <c r="V91" i="21"/>
  <c r="Q92" i="21"/>
  <c r="I40" i="21"/>
  <c r="V43" i="21"/>
  <c r="I54" i="21"/>
  <c r="S60" i="21"/>
  <c r="I64" i="21"/>
  <c r="C82" i="21"/>
  <c r="AA82" i="21"/>
  <c r="V86" i="21"/>
  <c r="Q87" i="21"/>
  <c r="H88" i="21"/>
  <c r="AB88" i="21"/>
  <c r="T89" i="21"/>
  <c r="M90" i="21"/>
  <c r="C91" i="21"/>
  <c r="W91" i="21"/>
  <c r="R92" i="21"/>
  <c r="H82" i="21"/>
  <c r="AB82" i="21"/>
  <c r="P84" i="21"/>
  <c r="C86" i="21"/>
  <c r="W86" i="21"/>
  <c r="R87" i="21"/>
  <c r="I88" i="21"/>
  <c r="U89" i="21"/>
  <c r="P90" i="21"/>
  <c r="H91" i="21"/>
  <c r="AA91" i="21"/>
  <c r="S92" i="21"/>
  <c r="H43" i="21"/>
  <c r="U60" i="21"/>
  <c r="V89" i="21"/>
  <c r="Q90" i="21"/>
  <c r="I91" i="21"/>
  <c r="AB91" i="21"/>
  <c r="T92" i="21"/>
  <c r="U92" i="21"/>
  <c r="V92" i="21"/>
  <c r="H60" i="21"/>
  <c r="V87" i="21"/>
  <c r="R88" i="21"/>
  <c r="I89" i="21"/>
  <c r="AB89" i="21"/>
  <c r="T90" i="21"/>
  <c r="P91" i="21"/>
  <c r="C92" i="21"/>
  <c r="W92" i="21"/>
  <c r="C87" i="21"/>
  <c r="H92" i="21"/>
  <c r="T10" i="20"/>
  <c r="H10" i="20"/>
  <c r="S10" i="20"/>
  <c r="U10" i="20"/>
  <c r="V10" i="20"/>
  <c r="C10" i="20"/>
  <c r="W10" i="20"/>
  <c r="I10" i="20"/>
  <c r="Q10" i="20"/>
  <c r="AB10" i="20"/>
  <c r="J10" i="20"/>
  <c r="P10" i="20"/>
  <c r="R10" i="20"/>
  <c r="AD5" i="20" l="1"/>
  <c r="AB5" i="20" s="1"/>
  <c r="W5" i="20"/>
  <c r="V5" i="20"/>
  <c r="U5" i="20"/>
  <c r="R5" i="20"/>
  <c r="P5" i="20"/>
  <c r="M5" i="20"/>
  <c r="AB105" i="20"/>
  <c r="AA105" i="20"/>
  <c r="W105" i="20"/>
  <c r="V105" i="20"/>
  <c r="U105" i="20"/>
  <c r="T105" i="20"/>
  <c r="S105" i="20"/>
  <c r="R105" i="20"/>
  <c r="Q105" i="20"/>
  <c r="P105" i="20"/>
  <c r="M105" i="20"/>
  <c r="J105" i="20"/>
  <c r="I105" i="20"/>
  <c r="H105" i="20"/>
  <c r="C105" i="20"/>
  <c r="AB104" i="20"/>
  <c r="AA104" i="20"/>
  <c r="W104" i="20"/>
  <c r="V104" i="20"/>
  <c r="U104" i="20"/>
  <c r="T104" i="20"/>
  <c r="S104" i="20"/>
  <c r="R104" i="20"/>
  <c r="Q104" i="20"/>
  <c r="P104" i="20"/>
  <c r="M104" i="20"/>
  <c r="J104" i="20"/>
  <c r="I104" i="20"/>
  <c r="H104" i="20"/>
  <c r="C104" i="20"/>
  <c r="AB103" i="20"/>
  <c r="AA103" i="20"/>
  <c r="W103" i="20"/>
  <c r="V103" i="20"/>
  <c r="U103" i="20"/>
  <c r="T103" i="20"/>
  <c r="S103" i="20"/>
  <c r="R103" i="20"/>
  <c r="Q103" i="20"/>
  <c r="P103" i="20"/>
  <c r="M103" i="20"/>
  <c r="J103" i="20"/>
  <c r="I103" i="20"/>
  <c r="H103" i="20"/>
  <c r="C103" i="20"/>
  <c r="AB102" i="20"/>
  <c r="AA102" i="20"/>
  <c r="W102" i="20"/>
  <c r="V102" i="20"/>
  <c r="U102" i="20"/>
  <c r="T102" i="20"/>
  <c r="S102" i="20"/>
  <c r="R102" i="20"/>
  <c r="Q102" i="20"/>
  <c r="P102" i="20"/>
  <c r="M102" i="20"/>
  <c r="J102" i="20"/>
  <c r="I102" i="20"/>
  <c r="H102" i="20"/>
  <c r="C102" i="20"/>
  <c r="AB101" i="20"/>
  <c r="AA101" i="20"/>
  <c r="W101" i="20"/>
  <c r="V101" i="20"/>
  <c r="U101" i="20"/>
  <c r="T101" i="20"/>
  <c r="S101" i="20"/>
  <c r="R101" i="20"/>
  <c r="Q101" i="20"/>
  <c r="P101" i="20"/>
  <c r="M101" i="20"/>
  <c r="J101" i="20"/>
  <c r="I101" i="20"/>
  <c r="H101" i="20"/>
  <c r="C101" i="20"/>
  <c r="AB100" i="20"/>
  <c r="AA100" i="20"/>
  <c r="W100" i="20"/>
  <c r="V100" i="20"/>
  <c r="U100" i="20"/>
  <c r="T100" i="20"/>
  <c r="S100" i="20"/>
  <c r="R100" i="20"/>
  <c r="Q100" i="20"/>
  <c r="P100" i="20"/>
  <c r="M100" i="20"/>
  <c r="J100" i="20"/>
  <c r="I100" i="20"/>
  <c r="H100" i="20"/>
  <c r="C100" i="20"/>
  <c r="AB99" i="20"/>
  <c r="AA99" i="20"/>
  <c r="W99" i="20"/>
  <c r="V99" i="20"/>
  <c r="U99" i="20"/>
  <c r="T99" i="20"/>
  <c r="S99" i="20"/>
  <c r="R99" i="20"/>
  <c r="Q99" i="20"/>
  <c r="P99" i="20"/>
  <c r="M99" i="20"/>
  <c r="J99" i="20"/>
  <c r="I99" i="20"/>
  <c r="H99" i="20"/>
  <c r="C99" i="20"/>
  <c r="AD98" i="20"/>
  <c r="AC98" i="20"/>
  <c r="AD97" i="20"/>
  <c r="AD96" i="20"/>
  <c r="AD95" i="20"/>
  <c r="AC95" i="20"/>
  <c r="AD94" i="20"/>
  <c r="AC94" i="20"/>
  <c r="AD93" i="20"/>
  <c r="AD92" i="20"/>
  <c r="AD90" i="20"/>
  <c r="AD89" i="20"/>
  <c r="AD88" i="20"/>
  <c r="AD87" i="20"/>
  <c r="AD86" i="20"/>
  <c r="AD84" i="20"/>
  <c r="AD83" i="20"/>
  <c r="AD82" i="20"/>
  <c r="AD81" i="20"/>
  <c r="AD78" i="20"/>
  <c r="AB78" i="20"/>
  <c r="AA78" i="20"/>
  <c r="W78" i="20"/>
  <c r="V78" i="20"/>
  <c r="U78" i="20"/>
  <c r="T78" i="20"/>
  <c r="S78" i="20"/>
  <c r="R78" i="20"/>
  <c r="Q78" i="20"/>
  <c r="P78" i="20"/>
  <c r="J78" i="20"/>
  <c r="H78" i="20"/>
  <c r="C78" i="20"/>
  <c r="AB77" i="20"/>
  <c r="AA77" i="20"/>
  <c r="W77" i="20"/>
  <c r="V77" i="20"/>
  <c r="U77" i="20"/>
  <c r="T77" i="20"/>
  <c r="S77" i="20"/>
  <c r="R77" i="20"/>
  <c r="Q77" i="20"/>
  <c r="P77" i="20"/>
  <c r="M77" i="20"/>
  <c r="J77" i="20"/>
  <c r="I77" i="20"/>
  <c r="H77" i="20"/>
  <c r="C77" i="20"/>
  <c r="AB76" i="20"/>
  <c r="AA76" i="20"/>
  <c r="W76" i="20"/>
  <c r="V76" i="20"/>
  <c r="U76" i="20"/>
  <c r="T76" i="20"/>
  <c r="S76" i="20"/>
  <c r="R76" i="20"/>
  <c r="Q76" i="20"/>
  <c r="P76" i="20"/>
  <c r="M76" i="20"/>
  <c r="J76" i="20"/>
  <c r="I76" i="20"/>
  <c r="H76" i="20"/>
  <c r="C76" i="20"/>
  <c r="AB75" i="20"/>
  <c r="AA75" i="20"/>
  <c r="W75" i="20"/>
  <c r="V75" i="20"/>
  <c r="U75" i="20"/>
  <c r="T75" i="20"/>
  <c r="S75" i="20"/>
  <c r="R75" i="20"/>
  <c r="Q75" i="20"/>
  <c r="P75" i="20"/>
  <c r="M75" i="20"/>
  <c r="J75" i="20"/>
  <c r="I75" i="20"/>
  <c r="H75" i="20"/>
  <c r="C75" i="20"/>
  <c r="AD74" i="20"/>
  <c r="AD73" i="20"/>
  <c r="AC73" i="20"/>
  <c r="AD72" i="20"/>
  <c r="AD71" i="20"/>
  <c r="AD70" i="20"/>
  <c r="AD69" i="20"/>
  <c r="AD68" i="20"/>
  <c r="AD67" i="20"/>
  <c r="AD66" i="20"/>
  <c r="AD65" i="20"/>
  <c r="AD64" i="20"/>
  <c r="AD63" i="20"/>
  <c r="AD62" i="20"/>
  <c r="AD61" i="20"/>
  <c r="AD60" i="20"/>
  <c r="AD59" i="20"/>
  <c r="AD58" i="20"/>
  <c r="AD56" i="20"/>
  <c r="AD57" i="20"/>
  <c r="AB52" i="20"/>
  <c r="AA52" i="20"/>
  <c r="W52" i="20"/>
  <c r="V52" i="20"/>
  <c r="U52" i="20"/>
  <c r="T52" i="20"/>
  <c r="S52" i="20"/>
  <c r="R52" i="20"/>
  <c r="Q52" i="20"/>
  <c r="P52" i="20"/>
  <c r="M52" i="20"/>
  <c r="J52" i="20"/>
  <c r="I52" i="20"/>
  <c r="H52" i="20"/>
  <c r="C52" i="20"/>
  <c r="AB51" i="20"/>
  <c r="AA51" i="20"/>
  <c r="W51" i="20"/>
  <c r="V51" i="20"/>
  <c r="U51" i="20"/>
  <c r="T51" i="20"/>
  <c r="S51" i="20"/>
  <c r="R51" i="20"/>
  <c r="Q51" i="20"/>
  <c r="P51" i="20"/>
  <c r="M51" i="20"/>
  <c r="J51" i="20"/>
  <c r="I51" i="20"/>
  <c r="H51" i="20"/>
  <c r="C51" i="20"/>
  <c r="AB50" i="20"/>
  <c r="AA50" i="20"/>
  <c r="W50" i="20"/>
  <c r="V50" i="20"/>
  <c r="U50" i="20"/>
  <c r="T50" i="20"/>
  <c r="S50" i="20"/>
  <c r="R50" i="20"/>
  <c r="Q50" i="20"/>
  <c r="P50" i="20"/>
  <c r="M50" i="20"/>
  <c r="J50" i="20"/>
  <c r="I50" i="20"/>
  <c r="H50" i="20"/>
  <c r="C50" i="20"/>
  <c r="AB49" i="20"/>
  <c r="AA49" i="20"/>
  <c r="W49" i="20"/>
  <c r="V49" i="20"/>
  <c r="U49" i="20"/>
  <c r="T49" i="20"/>
  <c r="S49" i="20"/>
  <c r="R49" i="20"/>
  <c r="Q49" i="20"/>
  <c r="P49" i="20"/>
  <c r="M49" i="20"/>
  <c r="J49" i="20"/>
  <c r="I49" i="20"/>
  <c r="H49" i="20"/>
  <c r="C49" i="20"/>
  <c r="AD48" i="20"/>
  <c r="AC48" i="20"/>
  <c r="AD47" i="20"/>
  <c r="AC47" i="20"/>
  <c r="AD46" i="20"/>
  <c r="AC46" i="20"/>
  <c r="AD45" i="20"/>
  <c r="AC45" i="20"/>
  <c r="AD44" i="20"/>
  <c r="AC44" i="20"/>
  <c r="AD43" i="20"/>
  <c r="AC43" i="20"/>
  <c r="AD42" i="20"/>
  <c r="I42" i="20" s="1"/>
  <c r="AD41" i="20"/>
  <c r="AC41" i="20"/>
  <c r="AD40" i="20"/>
  <c r="AC40" i="20"/>
  <c r="AD39" i="20"/>
  <c r="AC39" i="20"/>
  <c r="AD38" i="20"/>
  <c r="AC38" i="20"/>
  <c r="AD37" i="20"/>
  <c r="AC37" i="20"/>
  <c r="AD36" i="20"/>
  <c r="AC36" i="20"/>
  <c r="AD35" i="20"/>
  <c r="AD34" i="20"/>
  <c r="AD33" i="20"/>
  <c r="AD32" i="20"/>
  <c r="AD31" i="20"/>
  <c r="AD30" i="20"/>
  <c r="AD29" i="20"/>
  <c r="AD28" i="20"/>
  <c r="AD27" i="20"/>
  <c r="AD26" i="20"/>
  <c r="AD25" i="20"/>
  <c r="AD24" i="20"/>
  <c r="AD23" i="20"/>
  <c r="AD22" i="20"/>
  <c r="AD21" i="20"/>
  <c r="AD20" i="20"/>
  <c r="AD19" i="20"/>
  <c r="AD18" i="20"/>
  <c r="AD17" i="20"/>
  <c r="AD16" i="20"/>
  <c r="AD15" i="20"/>
  <c r="AD14" i="20"/>
  <c r="AD13" i="20"/>
  <c r="AD12" i="20"/>
  <c r="AD11" i="20"/>
  <c r="AD9" i="20"/>
  <c r="AD8" i="20"/>
  <c r="AD7" i="20"/>
  <c r="AD6" i="20"/>
  <c r="AD4" i="20"/>
  <c r="S5" i="20" l="1"/>
  <c r="T5" i="20"/>
  <c r="AB97" i="20"/>
  <c r="C97" i="20"/>
  <c r="AA97" i="20"/>
  <c r="P97" i="20"/>
  <c r="Q97" i="20"/>
  <c r="R97" i="20"/>
  <c r="S97" i="20"/>
  <c r="T97" i="20"/>
  <c r="J97" i="20"/>
  <c r="U97" i="20"/>
  <c r="V97" i="20"/>
  <c r="W97" i="20"/>
  <c r="H97" i="20"/>
  <c r="I97" i="20"/>
  <c r="R98" i="20"/>
  <c r="H98" i="20"/>
  <c r="U98" i="20"/>
  <c r="V98" i="20"/>
  <c r="W98" i="20"/>
  <c r="S98" i="20"/>
  <c r="I98" i="20"/>
  <c r="AA98" i="20"/>
  <c r="AB98" i="20"/>
  <c r="C98" i="20"/>
  <c r="T98" i="20"/>
  <c r="J98" i="20"/>
  <c r="Q98" i="20"/>
  <c r="P98" i="20"/>
  <c r="AA96" i="20"/>
  <c r="V96" i="20"/>
  <c r="C96" i="20"/>
  <c r="H96" i="20"/>
  <c r="AB96" i="20"/>
  <c r="W96" i="20"/>
  <c r="P96" i="20"/>
  <c r="Q96" i="20"/>
  <c r="I96" i="20"/>
  <c r="R96" i="20"/>
  <c r="J96" i="20"/>
  <c r="S96" i="20"/>
  <c r="T96" i="20"/>
  <c r="U96" i="20"/>
  <c r="T74" i="20"/>
  <c r="J74" i="20"/>
  <c r="C74" i="20"/>
  <c r="S74" i="20"/>
  <c r="U74" i="20"/>
  <c r="H74" i="20"/>
  <c r="V74" i="20"/>
  <c r="W74" i="20"/>
  <c r="I74" i="20"/>
  <c r="AA74" i="20"/>
  <c r="AB74" i="20"/>
  <c r="P74" i="20"/>
  <c r="Q74" i="20"/>
  <c r="R74" i="20"/>
  <c r="AA43" i="20"/>
  <c r="J43" i="20"/>
  <c r="AB43" i="20"/>
  <c r="P43" i="20"/>
  <c r="Q43" i="20"/>
  <c r="R43" i="20"/>
  <c r="S43" i="20"/>
  <c r="T43" i="20"/>
  <c r="U43" i="20"/>
  <c r="V43" i="20"/>
  <c r="W43" i="20"/>
  <c r="H43" i="20"/>
  <c r="C43" i="20"/>
  <c r="I43" i="20"/>
  <c r="H46" i="20"/>
  <c r="P46" i="20"/>
  <c r="I46" i="20"/>
  <c r="Q46" i="20"/>
  <c r="J46" i="20"/>
  <c r="R46" i="20"/>
  <c r="S46" i="20"/>
  <c r="T46" i="20"/>
  <c r="U46" i="20"/>
  <c r="V46" i="20"/>
  <c r="AB46" i="20"/>
  <c r="AA46" i="20"/>
  <c r="C46" i="20"/>
  <c r="W46" i="20"/>
  <c r="AA48" i="20"/>
  <c r="V48" i="20"/>
  <c r="AB48" i="20"/>
  <c r="W48" i="20"/>
  <c r="H48" i="20"/>
  <c r="P48" i="20"/>
  <c r="I48" i="20"/>
  <c r="Q48" i="20"/>
  <c r="J48" i="20"/>
  <c r="R48" i="20"/>
  <c r="S48" i="20"/>
  <c r="T48" i="20"/>
  <c r="C48" i="20"/>
  <c r="U48" i="20"/>
  <c r="R47" i="20"/>
  <c r="S47" i="20"/>
  <c r="T47" i="20"/>
  <c r="H47" i="20"/>
  <c r="U47" i="20"/>
  <c r="V47" i="20"/>
  <c r="I47" i="20"/>
  <c r="W47" i="20"/>
  <c r="J47" i="20"/>
  <c r="AA47" i="20"/>
  <c r="C47" i="20"/>
  <c r="P47" i="20"/>
  <c r="AB47" i="20"/>
  <c r="Q47" i="20"/>
  <c r="J5" i="20"/>
  <c r="Q5" i="20"/>
  <c r="C5" i="20"/>
  <c r="AA5" i="20"/>
  <c r="H5" i="20"/>
  <c r="M97" i="20"/>
  <c r="M96" i="20"/>
  <c r="M98" i="20"/>
  <c r="AD62" i="19"/>
  <c r="AD71" i="19"/>
  <c r="W71" i="19" s="1"/>
  <c r="AD94" i="19"/>
  <c r="AC94" i="19"/>
  <c r="AD44" i="19"/>
  <c r="AC44" i="19"/>
  <c r="AD43" i="19"/>
  <c r="AC43" i="19"/>
  <c r="AD41" i="19"/>
  <c r="AD47" i="19"/>
  <c r="J47" i="19" s="1"/>
  <c r="AC47" i="19"/>
  <c r="AD46" i="19"/>
  <c r="J46" i="19" s="1"/>
  <c r="AC46" i="19"/>
  <c r="AD45" i="19"/>
  <c r="J45" i="19" s="1"/>
  <c r="AC45" i="19"/>
  <c r="H48" i="19"/>
  <c r="M48" i="19"/>
  <c r="M49" i="19"/>
  <c r="M50" i="19"/>
  <c r="M51" i="19"/>
  <c r="AC42" i="19"/>
  <c r="M74" i="19"/>
  <c r="M75" i="19"/>
  <c r="M76" i="19"/>
  <c r="M98" i="19"/>
  <c r="M99" i="19"/>
  <c r="M100" i="19"/>
  <c r="M101" i="19"/>
  <c r="M102" i="19"/>
  <c r="M103" i="19"/>
  <c r="M104" i="19"/>
  <c r="AC97" i="19"/>
  <c r="AD97" i="19"/>
  <c r="C97" i="19" s="1"/>
  <c r="C48" i="19"/>
  <c r="I48" i="19"/>
  <c r="J48" i="19"/>
  <c r="P48" i="19"/>
  <c r="Q48" i="19"/>
  <c r="R48" i="19"/>
  <c r="S48" i="19"/>
  <c r="T48" i="19"/>
  <c r="U48" i="19"/>
  <c r="V48" i="19"/>
  <c r="W48" i="19"/>
  <c r="AA48" i="19"/>
  <c r="AB48" i="19"/>
  <c r="C49" i="19"/>
  <c r="H49" i="19"/>
  <c r="I49" i="19"/>
  <c r="J49" i="19"/>
  <c r="P49" i="19"/>
  <c r="Q49" i="19"/>
  <c r="R49" i="19"/>
  <c r="S49" i="19"/>
  <c r="T49" i="19"/>
  <c r="U49" i="19"/>
  <c r="V49" i="19"/>
  <c r="W49" i="19"/>
  <c r="AA49" i="19"/>
  <c r="AB49" i="19"/>
  <c r="C50" i="19"/>
  <c r="H50" i="19"/>
  <c r="I50" i="19"/>
  <c r="J50" i="19"/>
  <c r="P50" i="19"/>
  <c r="Q50" i="19"/>
  <c r="R50" i="19"/>
  <c r="S50" i="19"/>
  <c r="T50" i="19"/>
  <c r="U50" i="19"/>
  <c r="V50" i="19"/>
  <c r="W50" i="19"/>
  <c r="AA50" i="19"/>
  <c r="AB50" i="19"/>
  <c r="C51" i="19"/>
  <c r="H51" i="19"/>
  <c r="I51" i="19"/>
  <c r="J51" i="19"/>
  <c r="P51" i="19"/>
  <c r="Q51" i="19"/>
  <c r="R51" i="19"/>
  <c r="S51" i="19"/>
  <c r="T51" i="19"/>
  <c r="U51" i="19"/>
  <c r="V51" i="19"/>
  <c r="W51" i="19"/>
  <c r="AA51" i="19"/>
  <c r="AB51" i="19"/>
  <c r="AD42" i="19"/>
  <c r="AB42" i="19" s="1"/>
  <c r="C74" i="19"/>
  <c r="H74" i="19"/>
  <c r="I74" i="19"/>
  <c r="J74" i="19"/>
  <c r="P74" i="19"/>
  <c r="Q74" i="19"/>
  <c r="R74" i="19"/>
  <c r="S74" i="19"/>
  <c r="T74" i="19"/>
  <c r="U74" i="19"/>
  <c r="V74" i="19"/>
  <c r="W74" i="19"/>
  <c r="AA74" i="19"/>
  <c r="AB74" i="19"/>
  <c r="C75" i="19"/>
  <c r="H75" i="19"/>
  <c r="I75" i="19"/>
  <c r="J75" i="19"/>
  <c r="P75" i="19"/>
  <c r="Q75" i="19"/>
  <c r="R75" i="19"/>
  <c r="S75" i="19"/>
  <c r="T75" i="19"/>
  <c r="U75" i="19"/>
  <c r="V75" i="19"/>
  <c r="W75" i="19"/>
  <c r="AA75" i="19"/>
  <c r="AB75" i="19"/>
  <c r="C76" i="19"/>
  <c r="H76" i="19"/>
  <c r="I76" i="19"/>
  <c r="J76" i="19"/>
  <c r="P76" i="19"/>
  <c r="Q76" i="19"/>
  <c r="R76" i="19"/>
  <c r="S76" i="19"/>
  <c r="T76" i="19"/>
  <c r="U76" i="19"/>
  <c r="V76" i="19"/>
  <c r="W76" i="19"/>
  <c r="AA76" i="19"/>
  <c r="AB76" i="19"/>
  <c r="AD73" i="19"/>
  <c r="V73" i="19" s="1"/>
  <c r="C98" i="19"/>
  <c r="H98" i="19"/>
  <c r="I98" i="19"/>
  <c r="J98" i="19"/>
  <c r="P98" i="19"/>
  <c r="Q98" i="19"/>
  <c r="R98" i="19"/>
  <c r="S98" i="19"/>
  <c r="T98" i="19"/>
  <c r="U98" i="19"/>
  <c r="V98" i="19"/>
  <c r="W98" i="19"/>
  <c r="AA98" i="19"/>
  <c r="AB98" i="19"/>
  <c r="C99" i="19"/>
  <c r="H99" i="19"/>
  <c r="I99" i="19"/>
  <c r="J99" i="19"/>
  <c r="P99" i="19"/>
  <c r="Q99" i="19"/>
  <c r="R99" i="19"/>
  <c r="S99" i="19"/>
  <c r="T99" i="19"/>
  <c r="U99" i="19"/>
  <c r="V99" i="19"/>
  <c r="W99" i="19"/>
  <c r="AA99" i="19"/>
  <c r="AB99" i="19"/>
  <c r="C100" i="19"/>
  <c r="H100" i="19"/>
  <c r="I100" i="19"/>
  <c r="J100" i="19"/>
  <c r="P100" i="19"/>
  <c r="Q100" i="19"/>
  <c r="R100" i="19"/>
  <c r="S100" i="19"/>
  <c r="T100" i="19"/>
  <c r="U100" i="19"/>
  <c r="V100" i="19"/>
  <c r="W100" i="19"/>
  <c r="AA100" i="19"/>
  <c r="AB100" i="19"/>
  <c r="C101" i="19"/>
  <c r="H101" i="19"/>
  <c r="I101" i="19"/>
  <c r="J101" i="19"/>
  <c r="P101" i="19"/>
  <c r="Q101" i="19"/>
  <c r="R101" i="19"/>
  <c r="S101" i="19"/>
  <c r="T101" i="19"/>
  <c r="U101" i="19"/>
  <c r="V101" i="19"/>
  <c r="W101" i="19"/>
  <c r="AA101" i="19"/>
  <c r="AB101" i="19"/>
  <c r="C102" i="19"/>
  <c r="H102" i="19"/>
  <c r="I102" i="19"/>
  <c r="J102" i="19"/>
  <c r="P102" i="19"/>
  <c r="Q102" i="19"/>
  <c r="R102" i="19"/>
  <c r="S102" i="19"/>
  <c r="T102" i="19"/>
  <c r="U102" i="19"/>
  <c r="V102" i="19"/>
  <c r="W102" i="19"/>
  <c r="AA102" i="19"/>
  <c r="AB102" i="19"/>
  <c r="C103" i="19"/>
  <c r="H103" i="19"/>
  <c r="I103" i="19"/>
  <c r="J103" i="19"/>
  <c r="P103" i="19"/>
  <c r="Q103" i="19"/>
  <c r="R103" i="19"/>
  <c r="S103" i="19"/>
  <c r="T103" i="19"/>
  <c r="U103" i="19"/>
  <c r="V103" i="19"/>
  <c r="W103" i="19"/>
  <c r="AA103" i="19"/>
  <c r="AB103" i="19"/>
  <c r="C104" i="19"/>
  <c r="H104" i="19"/>
  <c r="I104" i="19"/>
  <c r="J104" i="19"/>
  <c r="P104" i="19"/>
  <c r="Q104" i="19"/>
  <c r="R104" i="19"/>
  <c r="S104" i="19"/>
  <c r="T104" i="19"/>
  <c r="U104" i="19"/>
  <c r="V104" i="19"/>
  <c r="W104" i="19"/>
  <c r="AA104" i="19"/>
  <c r="AB104" i="19"/>
  <c r="AD95" i="19"/>
  <c r="U95" i="19" s="1"/>
  <c r="T93" i="20"/>
  <c r="AA44" i="20"/>
  <c r="AB84" i="20" l="1"/>
  <c r="J44" i="19"/>
  <c r="H62" i="19"/>
  <c r="AA62" i="19"/>
  <c r="S41" i="20"/>
  <c r="T83" i="20"/>
  <c r="R93" i="20"/>
  <c r="C89" i="20"/>
  <c r="M33" i="20"/>
  <c r="P18" i="20"/>
  <c r="AA32" i="20"/>
  <c r="AB67" i="20"/>
  <c r="I12" i="20"/>
  <c r="T71" i="20"/>
  <c r="H31" i="20"/>
  <c r="U31" i="20"/>
  <c r="U45" i="20"/>
  <c r="C35" i="20"/>
  <c r="V13" i="20"/>
  <c r="I17" i="20"/>
  <c r="AB7" i="20"/>
  <c r="P21" i="20"/>
  <c r="J62" i="20"/>
  <c r="I59" i="20"/>
  <c r="U87" i="20"/>
  <c r="AB83" i="20"/>
  <c r="Q56" i="20"/>
  <c r="AB64" i="20"/>
  <c r="W29" i="20"/>
  <c r="U88" i="20"/>
  <c r="U38" i="20"/>
  <c r="I34" i="20"/>
  <c r="J58" i="20"/>
  <c r="V68" i="20"/>
  <c r="W82" i="20"/>
  <c r="J62" i="19"/>
  <c r="C93" i="20"/>
  <c r="P41" i="20"/>
  <c r="W89" i="20"/>
  <c r="J32" i="20"/>
  <c r="P17" i="20"/>
  <c r="R28" i="20"/>
  <c r="I32" i="20"/>
  <c r="M67" i="20"/>
  <c r="AB12" i="20"/>
  <c r="U71" i="20"/>
  <c r="R25" i="20"/>
  <c r="V31" i="20"/>
  <c r="V45" i="20"/>
  <c r="AB35" i="20"/>
  <c r="M62" i="20"/>
  <c r="M74" i="20"/>
  <c r="AB17" i="20"/>
  <c r="P4" i="20"/>
  <c r="T18" i="20"/>
  <c r="J4" i="20"/>
  <c r="AB59" i="20"/>
  <c r="V87" i="20"/>
  <c r="I13" i="20"/>
  <c r="C72" i="20"/>
  <c r="AA45" i="20"/>
  <c r="Q23" i="20"/>
  <c r="Q30" i="20"/>
  <c r="H95" i="20"/>
  <c r="V69" i="20"/>
  <c r="AB62" i="19"/>
  <c r="H32" i="20"/>
  <c r="T44" i="20"/>
  <c r="C82" i="20"/>
  <c r="J94" i="19"/>
  <c r="M62" i="19"/>
  <c r="C83" i="20"/>
  <c r="M81" i="20"/>
  <c r="V95" i="20"/>
  <c r="AA37" i="20"/>
  <c r="S95" i="20"/>
  <c r="I89" i="20"/>
  <c r="H45" i="20"/>
  <c r="I31" i="20"/>
  <c r="Q15" i="20"/>
  <c r="T27" i="20"/>
  <c r="AB32" i="20"/>
  <c r="P67" i="20"/>
  <c r="Q12" i="20"/>
  <c r="AA70" i="20"/>
  <c r="W22" i="20"/>
  <c r="H17" i="20"/>
  <c r="C45" i="20"/>
  <c r="J35" i="20"/>
  <c r="R16" i="20"/>
  <c r="AA28" i="20"/>
  <c r="AB18" i="20"/>
  <c r="V70" i="20"/>
  <c r="J59" i="20"/>
  <c r="H20" i="20"/>
  <c r="J69" i="20"/>
  <c r="C21" i="20"/>
  <c r="U23" i="20"/>
  <c r="C37" i="20"/>
  <c r="U17" i="20"/>
  <c r="P20" i="20"/>
  <c r="AA35" i="20"/>
  <c r="C62" i="19"/>
  <c r="W12" i="20"/>
  <c r="P28" i="20"/>
  <c r="C57" i="20"/>
  <c r="P71" i="19"/>
  <c r="P62" i="19"/>
  <c r="W95" i="20"/>
  <c r="P69" i="20"/>
  <c r="S93" i="20"/>
  <c r="C30" i="20"/>
  <c r="AB89" i="20"/>
  <c r="M43" i="20"/>
  <c r="V28" i="20"/>
  <c r="C11" i="20"/>
  <c r="P26" i="20"/>
  <c r="P32" i="20"/>
  <c r="C22" i="20"/>
  <c r="P87" i="20"/>
  <c r="M65" i="20"/>
  <c r="W13" i="20"/>
  <c r="J16" i="20"/>
  <c r="J45" i="20"/>
  <c r="Q28" i="20"/>
  <c r="S16" i="20"/>
  <c r="I28" i="20"/>
  <c r="V15" i="20"/>
  <c r="C70" i="20"/>
  <c r="C60" i="20"/>
  <c r="M86" i="20"/>
  <c r="J19" i="20"/>
  <c r="J24" i="20"/>
  <c r="H25" i="20"/>
  <c r="W34" i="20"/>
  <c r="AB14" i="20"/>
  <c r="M30" i="20"/>
  <c r="Q88" i="20"/>
  <c r="I64" i="20"/>
  <c r="Q71" i="19"/>
  <c r="Q62" i="19"/>
  <c r="C95" i="20"/>
  <c r="Q66" i="20"/>
  <c r="C86" i="20"/>
  <c r="P29" i="20"/>
  <c r="R95" i="20"/>
  <c r="J89" i="20"/>
  <c r="T40" i="20"/>
  <c r="T26" i="20"/>
  <c r="S7" i="20"/>
  <c r="Q25" i="20"/>
  <c r="Q32" i="20"/>
  <c r="R21" i="20"/>
  <c r="T73" i="20"/>
  <c r="R59" i="20"/>
  <c r="R7" i="20"/>
  <c r="J15" i="20"/>
  <c r="R38" i="20"/>
  <c r="P7" i="20"/>
  <c r="C16" i="20"/>
  <c r="AB28" i="20"/>
  <c r="S12" i="20"/>
  <c r="W70" i="20"/>
  <c r="W60" i="20"/>
  <c r="C84" i="20"/>
  <c r="V20" i="20"/>
  <c r="J40" i="20"/>
  <c r="C81" i="20"/>
  <c r="J9" i="20"/>
  <c r="AB19" i="20"/>
  <c r="AB68" i="20"/>
  <c r="AB21" i="20"/>
  <c r="R31" i="20"/>
  <c r="J25" i="20"/>
  <c r="V62" i="20"/>
  <c r="P56" i="20"/>
  <c r="AA22" i="20"/>
  <c r="AB31" i="20"/>
  <c r="S62" i="19"/>
  <c r="I95" i="20"/>
  <c r="H56" i="20"/>
  <c r="H40" i="20"/>
  <c r="T23" i="20"/>
  <c r="AB4" i="20"/>
  <c r="Q67" i="20"/>
  <c r="U22" i="20"/>
  <c r="V21" i="20"/>
  <c r="V73" i="20"/>
  <c r="T70" i="20"/>
  <c r="C38" i="20"/>
  <c r="S63" i="20"/>
  <c r="J67" i="20"/>
  <c r="T4" i="20"/>
  <c r="AB90" i="20"/>
  <c r="P6" i="20"/>
  <c r="I22" i="20"/>
  <c r="T42" i="20"/>
  <c r="S37" i="20"/>
  <c r="H72" i="20"/>
  <c r="V57" i="20"/>
  <c r="C61" i="20"/>
  <c r="I24" i="20"/>
  <c r="AB88" i="20"/>
  <c r="R73" i="20"/>
  <c r="AB37" i="20"/>
  <c r="V89" i="20"/>
  <c r="Q71" i="20"/>
  <c r="S22" i="20"/>
  <c r="V29" i="20"/>
  <c r="AB95" i="20"/>
  <c r="M84" i="20"/>
  <c r="U40" i="20"/>
  <c r="P25" i="20"/>
  <c r="U73" i="20"/>
  <c r="S38" i="20"/>
  <c r="T11" i="20"/>
  <c r="U57" i="20"/>
  <c r="H69" i="20"/>
  <c r="S83" i="20"/>
  <c r="U71" i="19"/>
  <c r="T62" i="19"/>
  <c r="V93" i="20"/>
  <c r="I92" i="20"/>
  <c r="P57" i="20"/>
  <c r="P66" i="20"/>
  <c r="C9" i="20"/>
  <c r="T67" i="20"/>
  <c r="I40" i="20"/>
  <c r="C23" i="20"/>
  <c r="M18" i="20"/>
  <c r="W42" i="20"/>
  <c r="C7" i="20"/>
  <c r="S68" i="20"/>
  <c r="H73" i="20"/>
  <c r="P63" i="20"/>
  <c r="W38" i="20"/>
  <c r="U63" i="20"/>
  <c r="U13" i="20"/>
  <c r="J63" i="20"/>
  <c r="H7" i="20"/>
  <c r="J90" i="20"/>
  <c r="U42" i="20"/>
  <c r="M21" i="20"/>
  <c r="V32" i="20"/>
  <c r="T32" i="20"/>
  <c r="V8" i="20"/>
  <c r="M69" i="20"/>
  <c r="AB30" i="20"/>
  <c r="S27" i="20"/>
  <c r="U94" i="20"/>
  <c r="P14" i="20"/>
  <c r="M87" i="20"/>
  <c r="S19" i="20"/>
  <c r="Q72" i="20"/>
  <c r="M71" i="20"/>
  <c r="R57" i="20"/>
  <c r="H68" i="20"/>
  <c r="I93" i="20"/>
  <c r="R62" i="19"/>
  <c r="AA56" i="20"/>
  <c r="T87" i="20"/>
  <c r="R68" i="20"/>
  <c r="AA4" i="20"/>
  <c r="C13" i="20"/>
  <c r="M28" i="20"/>
  <c r="P95" i="20"/>
  <c r="AB41" i="19"/>
  <c r="V71" i="19"/>
  <c r="U62" i="19"/>
  <c r="R84" i="20"/>
  <c r="M88" i="20"/>
  <c r="W56" i="20"/>
  <c r="P8" i="20"/>
  <c r="W63" i="20"/>
  <c r="AB40" i="20"/>
  <c r="W23" i="20"/>
  <c r="M17" i="20"/>
  <c r="C42" i="20"/>
  <c r="W67" i="20"/>
  <c r="U68" i="20"/>
  <c r="I71" i="20"/>
  <c r="P62" i="20"/>
  <c r="P36" i="20"/>
  <c r="Q11" i="20"/>
  <c r="U12" i="20"/>
  <c r="S58" i="20"/>
  <c r="V25" i="20"/>
  <c r="T90" i="20"/>
  <c r="S33" i="20"/>
  <c r="P13" i="20"/>
  <c r="M68" i="20"/>
  <c r="J21" i="20"/>
  <c r="AB27" i="20"/>
  <c r="C87" i="20"/>
  <c r="W66" i="20"/>
  <c r="I30" i="20"/>
  <c r="C15" i="20"/>
  <c r="J93" i="20"/>
  <c r="W24" i="20"/>
  <c r="C65" i="20"/>
  <c r="T66" i="20"/>
  <c r="H67" i="20"/>
  <c r="V35" i="20"/>
  <c r="M11" i="20"/>
  <c r="V6" i="20"/>
  <c r="I58" i="20"/>
  <c r="R63" i="20"/>
  <c r="T45" i="20"/>
  <c r="AA61" i="20"/>
  <c r="C88" i="20"/>
  <c r="P19" i="20"/>
  <c r="V62" i="19"/>
  <c r="V83" i="20"/>
  <c r="AA86" i="20"/>
  <c r="Q41" i="20"/>
  <c r="C56" i="20"/>
  <c r="P89" i="20"/>
  <c r="R60" i="20"/>
  <c r="I38" i="20"/>
  <c r="H23" i="20"/>
  <c r="M16" i="20"/>
  <c r="AA42" i="20"/>
  <c r="C67" i="20"/>
  <c r="C68" i="20"/>
  <c r="AB71" i="20"/>
  <c r="H38" i="20"/>
  <c r="Q36" i="20"/>
  <c r="R11" i="20"/>
  <c r="T13" i="20"/>
  <c r="U58" i="20"/>
  <c r="I25" i="20"/>
  <c r="U90" i="20"/>
  <c r="H33" i="20"/>
  <c r="J68" i="20"/>
  <c r="T65" i="20"/>
  <c r="I11" i="20"/>
  <c r="Q26" i="20"/>
  <c r="Q18" i="20"/>
  <c r="P60" i="20"/>
  <c r="R41" i="20"/>
  <c r="S67" i="20"/>
  <c r="AA34" i="20"/>
  <c r="V24" i="20"/>
  <c r="P84" i="20"/>
  <c r="H35" i="20"/>
  <c r="J33" i="20"/>
  <c r="P68" i="20"/>
  <c r="AB65" i="20"/>
  <c r="J87" i="20"/>
  <c r="V94" i="20"/>
  <c r="S71" i="19"/>
  <c r="P94" i="20"/>
  <c r="C20" i="20"/>
  <c r="S23" i="20"/>
  <c r="U21" i="20"/>
  <c r="Q7" i="20"/>
  <c r="W16" i="20"/>
  <c r="I61" i="20"/>
  <c r="V71" i="20"/>
  <c r="T71" i="19"/>
  <c r="C14" i="20"/>
  <c r="V72" i="20"/>
  <c r="H9" i="20"/>
  <c r="U9" i="20"/>
  <c r="U14" i="20"/>
  <c r="M61" i="20"/>
  <c r="H14" i="20"/>
  <c r="M19" i="20"/>
  <c r="C44" i="20"/>
  <c r="W17" i="20"/>
  <c r="T17" i="20"/>
  <c r="M6" i="20"/>
  <c r="H83" i="20"/>
  <c r="S72" i="20"/>
  <c r="U15" i="20"/>
  <c r="R15" i="20"/>
  <c r="AA8" i="20"/>
  <c r="W87" i="20"/>
  <c r="S44" i="20"/>
  <c r="W71" i="20"/>
  <c r="R44" i="20"/>
  <c r="W14" i="20"/>
  <c r="AB9" i="20"/>
  <c r="U32" i="20"/>
  <c r="R72" i="20"/>
  <c r="W8" i="20"/>
  <c r="V44" i="20"/>
  <c r="R8" i="20"/>
  <c r="Q95" i="20"/>
  <c r="T62" i="20"/>
  <c r="AA14" i="20"/>
  <c r="R66" i="20"/>
  <c r="V90" i="20"/>
  <c r="M58" i="20"/>
  <c r="T95" i="20"/>
  <c r="AB87" i="20"/>
  <c r="AA62" i="20"/>
  <c r="M95" i="20"/>
  <c r="AA58" i="20"/>
  <c r="R81" i="20"/>
  <c r="S62" i="20"/>
  <c r="V9" i="20"/>
  <c r="S90" i="20"/>
  <c r="C58" i="20"/>
  <c r="M14" i="20"/>
  <c r="T37" i="20"/>
  <c r="M90" i="20"/>
  <c r="H84" i="20"/>
  <c r="W73" i="20"/>
  <c r="Q65" i="20"/>
  <c r="S17" i="20"/>
  <c r="J30" i="20"/>
  <c r="S84" i="20"/>
  <c r="S92" i="20"/>
  <c r="AA82" i="20"/>
  <c r="J95" i="20"/>
  <c r="R94" i="20"/>
  <c r="W93" i="20"/>
  <c r="H90" i="20"/>
  <c r="S73" i="20"/>
  <c r="W31" i="20"/>
  <c r="U44" i="20"/>
  <c r="AA24" i="20"/>
  <c r="C18" i="20"/>
  <c r="P38" i="20"/>
  <c r="J81" i="20"/>
  <c r="U29" i="20"/>
  <c r="AB94" i="20"/>
  <c r="H27" i="20"/>
  <c r="H82" i="20"/>
  <c r="H71" i="20"/>
  <c r="AB44" i="20"/>
  <c r="I4" i="20"/>
  <c r="I44" i="20"/>
  <c r="Q9" i="20"/>
  <c r="P83" i="20"/>
  <c r="J23" i="20"/>
  <c r="C41" i="20"/>
  <c r="V61" i="20"/>
  <c r="H64" i="20"/>
  <c r="U67" i="20"/>
  <c r="C27" i="20"/>
  <c r="J57" i="20"/>
  <c r="T25" i="20"/>
  <c r="Q45" i="20"/>
  <c r="W59" i="20"/>
  <c r="I41" i="20"/>
  <c r="V30" i="20"/>
  <c r="Q83" i="20"/>
  <c r="P35" i="20"/>
  <c r="V66" i="20"/>
  <c r="H4" i="20"/>
  <c r="P24" i="20"/>
  <c r="C92" i="20"/>
  <c r="R19" i="20"/>
  <c r="M92" i="20"/>
  <c r="I21" i="20"/>
  <c r="V36" i="20"/>
  <c r="T60" i="20"/>
  <c r="W4" i="20"/>
  <c r="H65" i="20"/>
  <c r="J70" i="20"/>
  <c r="I62" i="20"/>
  <c r="C25" i="20"/>
  <c r="AA18" i="20"/>
  <c r="C33" i="20"/>
  <c r="I60" i="20"/>
  <c r="W90" i="20"/>
  <c r="U7" i="20"/>
  <c r="U11" i="20"/>
  <c r="T22" i="20"/>
  <c r="Q70" i="20"/>
  <c r="U4" i="20"/>
  <c r="V22" i="20"/>
  <c r="P11" i="20"/>
  <c r="T36" i="20"/>
  <c r="I45" i="20"/>
  <c r="V4" i="20"/>
  <c r="U27" i="20"/>
  <c r="Q62" i="20"/>
  <c r="I73" i="20"/>
  <c r="H12" i="20"/>
  <c r="J12" i="20"/>
  <c r="M22" i="20"/>
  <c r="AB42" i="20"/>
  <c r="T92" i="20"/>
  <c r="W20" i="20"/>
  <c r="C32" i="20"/>
  <c r="I87" i="20"/>
  <c r="I56" i="20"/>
  <c r="J86" i="20"/>
  <c r="I6" i="20"/>
  <c r="C94" i="20"/>
  <c r="H92" i="20"/>
  <c r="J34" i="20"/>
  <c r="W28" i="20"/>
  <c r="T34" i="20"/>
  <c r="AB39" i="20"/>
  <c r="R82" i="20"/>
  <c r="P31" i="20"/>
  <c r="AA31" i="20"/>
  <c r="J14" i="20"/>
  <c r="P86" i="20"/>
  <c r="C8" i="20"/>
  <c r="H8" i="20"/>
  <c r="M47" i="20"/>
  <c r="T24" i="20"/>
  <c r="W88" i="20"/>
  <c r="I23" i="20"/>
  <c r="T61" i="20"/>
  <c r="W64" i="20"/>
  <c r="AA89" i="20"/>
  <c r="AB33" i="20"/>
  <c r="H57" i="20"/>
  <c r="V16" i="20"/>
  <c r="P45" i="20"/>
  <c r="U59" i="20"/>
  <c r="H41" i="20"/>
  <c r="U30" i="20"/>
  <c r="V84" i="20"/>
  <c r="J37" i="20"/>
  <c r="V81" i="20"/>
  <c r="U84" i="20"/>
  <c r="Q8" i="20"/>
  <c r="W81" i="20"/>
  <c r="S34" i="20"/>
  <c r="AA92" i="20"/>
  <c r="M20" i="20"/>
  <c r="H93" i="20"/>
  <c r="V26" i="20"/>
  <c r="Q38" i="20"/>
  <c r="S60" i="20"/>
  <c r="C4" i="20"/>
  <c r="Q59" i="20"/>
  <c r="V65" i="20"/>
  <c r="AB70" i="20"/>
  <c r="W62" i="20"/>
  <c r="J28" i="20"/>
  <c r="H18" i="20"/>
  <c r="U33" i="20"/>
  <c r="H63" i="20"/>
  <c r="C90" i="20"/>
  <c r="T7" i="20"/>
  <c r="T12" i="20"/>
  <c r="M25" i="20"/>
  <c r="W11" i="20"/>
  <c r="R67" i="20"/>
  <c r="M13" i="20"/>
  <c r="R36" i="20"/>
  <c r="W45" i="20"/>
  <c r="T6" i="20"/>
  <c r="H58" i="20"/>
  <c r="S28" i="20"/>
  <c r="T63" i="20"/>
  <c r="AA73" i="20"/>
  <c r="AA68" i="20"/>
  <c r="H21" i="20"/>
  <c r="T21" i="20"/>
  <c r="H42" i="20"/>
  <c r="AB11" i="20"/>
  <c r="P16" i="20"/>
  <c r="V27" i="20"/>
  <c r="V40" i="20"/>
  <c r="P65" i="20"/>
  <c r="R89" i="20"/>
  <c r="U95" i="20"/>
  <c r="J61" i="20"/>
  <c r="Q6" i="20"/>
  <c r="V33" i="20"/>
  <c r="AA27" i="20"/>
  <c r="AA90" i="20"/>
  <c r="R13" i="20"/>
  <c r="S9" i="20"/>
  <c r="R65" i="20"/>
  <c r="AA94" i="20"/>
  <c r="AA26" i="20"/>
  <c r="H34" i="20"/>
  <c r="M31" i="20"/>
  <c r="W37" i="20"/>
  <c r="J44" i="20"/>
  <c r="AA88" i="20"/>
  <c r="U37" i="20"/>
  <c r="S81" i="20"/>
  <c r="M36" i="20"/>
  <c r="C24" i="20"/>
  <c r="R88" i="20"/>
  <c r="M9" i="20"/>
  <c r="C66" i="20"/>
  <c r="P9" i="20"/>
  <c r="J66" i="20"/>
  <c r="J26" i="20"/>
  <c r="M93" i="20"/>
  <c r="M23" i="20"/>
  <c r="S61" i="20"/>
  <c r="C64" i="20"/>
  <c r="T89" i="20"/>
  <c r="R33" i="20"/>
  <c r="T57" i="20"/>
  <c r="AB16" i="20"/>
  <c r="M45" i="20"/>
  <c r="T59" i="20"/>
  <c r="J41" i="20"/>
  <c r="S30" i="20"/>
  <c r="U86" i="20"/>
  <c r="J38" i="20"/>
  <c r="T82" i="20"/>
  <c r="T86" i="20"/>
  <c r="AA20" i="20"/>
  <c r="AA83" i="20"/>
  <c r="S35" i="20"/>
  <c r="V34" i="20"/>
  <c r="U26" i="20"/>
  <c r="R42" i="20"/>
  <c r="I68" i="20"/>
  <c r="S4" i="20"/>
  <c r="P59" i="20"/>
  <c r="U65" i="20"/>
  <c r="I70" i="20"/>
  <c r="C62" i="20"/>
  <c r="R4" i="20"/>
  <c r="U18" i="20"/>
  <c r="T33" i="20"/>
  <c r="J94" i="20"/>
  <c r="M73" i="20"/>
  <c r="I29" i="20"/>
  <c r="W65" i="20"/>
  <c r="P34" i="20"/>
  <c r="W25" i="20"/>
  <c r="AA16" i="20"/>
  <c r="AB69" i="20"/>
  <c r="AB34" i="20"/>
  <c r="V37" i="20"/>
  <c r="C39" i="20"/>
  <c r="M39" i="20"/>
  <c r="T39" i="20"/>
  <c r="P93" i="20"/>
  <c r="V82" i="20"/>
  <c r="Q42" i="20"/>
  <c r="T58" i="20"/>
  <c r="Q94" i="20"/>
  <c r="R14" i="20"/>
  <c r="I69" i="20"/>
  <c r="S14" i="20"/>
  <c r="S69" i="20"/>
  <c r="J31" i="20"/>
  <c r="W94" i="20"/>
  <c r="T29" i="20"/>
  <c r="Q61" i="20"/>
  <c r="V64" i="20"/>
  <c r="Q89" i="20"/>
  <c r="Q33" i="20"/>
  <c r="S40" i="20"/>
  <c r="U16" i="20"/>
  <c r="J56" i="20"/>
  <c r="M59" i="20"/>
  <c r="C6" i="20"/>
  <c r="R30" i="20"/>
  <c r="U92" i="20"/>
  <c r="Q39" i="20"/>
  <c r="U83" i="20"/>
  <c r="Q93" i="20"/>
  <c r="R34" i="20"/>
  <c r="AA84" i="20"/>
  <c r="P37" i="20"/>
  <c r="U8" i="20"/>
  <c r="J36" i="20"/>
  <c r="H11" i="20"/>
  <c r="R26" i="20"/>
  <c r="R45" i="20"/>
  <c r="U72" i="20"/>
  <c r="M70" i="20"/>
  <c r="AA11" i="20"/>
  <c r="V17" i="20"/>
  <c r="V12" i="20"/>
  <c r="AB41" i="20"/>
  <c r="AB26" i="20"/>
  <c r="W72" i="20"/>
  <c r="P92" i="20"/>
  <c r="M38" i="20"/>
  <c r="J42" i="20"/>
  <c r="W44" i="20"/>
  <c r="C19" i="20"/>
  <c r="U66" i="20"/>
  <c r="J84" i="20"/>
  <c r="AB81" i="20"/>
  <c r="Q14" i="20"/>
  <c r="AA15" i="20"/>
  <c r="J71" i="20"/>
  <c r="V18" i="20"/>
  <c r="S71" i="20"/>
  <c r="R37" i="20"/>
  <c r="M29" i="20"/>
  <c r="M48" i="20"/>
  <c r="U61" i="20"/>
  <c r="U64" i="20"/>
  <c r="M89" i="20"/>
  <c r="P33" i="20"/>
  <c r="R40" i="20"/>
  <c r="T16" i="20"/>
  <c r="AB56" i="20"/>
  <c r="C59" i="20"/>
  <c r="W6" i="20"/>
  <c r="T30" i="20"/>
  <c r="U93" i="20"/>
  <c r="S42" i="20"/>
  <c r="W84" i="20"/>
  <c r="J8" i="20"/>
  <c r="Q35" i="20"/>
  <c r="AB86" i="20"/>
  <c r="S39" i="20"/>
  <c r="U82" i="20"/>
  <c r="W9" i="20"/>
  <c r="T14" i="20"/>
  <c r="AA30" i="20"/>
  <c r="S24" i="20"/>
  <c r="AB60" i="20"/>
  <c r="M32" i="20"/>
  <c r="P73" i="20"/>
  <c r="W18" i="20"/>
  <c r="W36" i="20"/>
  <c r="S31" i="20"/>
  <c r="W39" i="20"/>
  <c r="I19" i="20"/>
  <c r="H6" i="20"/>
  <c r="W69" i="20"/>
  <c r="AB82" i="20"/>
  <c r="J82" i="20"/>
  <c r="S18" i="20"/>
  <c r="T72" i="20"/>
  <c r="AA19" i="20"/>
  <c r="P82" i="20"/>
  <c r="J7" i="20"/>
  <c r="J29" i="20"/>
  <c r="S64" i="20"/>
  <c r="H89" i="20"/>
  <c r="S57" i="20"/>
  <c r="Q40" i="20"/>
  <c r="I16" i="20"/>
  <c r="V56" i="20"/>
  <c r="Q29" i="20"/>
  <c r="S6" i="20"/>
  <c r="J64" i="20"/>
  <c r="M8" i="20"/>
  <c r="V60" i="20"/>
  <c r="V86" i="20"/>
  <c r="U20" i="20"/>
  <c r="M37" i="20"/>
  <c r="J88" i="20"/>
  <c r="Q69" i="20"/>
  <c r="U34" i="20"/>
  <c r="R27" i="20"/>
  <c r="J60" i="20"/>
  <c r="J22" i="20"/>
  <c r="R18" i="20"/>
  <c r="W40" i="20"/>
  <c r="T8" i="20"/>
  <c r="M4" i="20"/>
  <c r="AB36" i="20"/>
  <c r="C73" i="20"/>
  <c r="Q92" i="20"/>
  <c r="Q44" i="20"/>
  <c r="M46" i="20"/>
  <c r="H39" i="20"/>
  <c r="AA39" i="20"/>
  <c r="Q20" i="20"/>
  <c r="S8" i="20"/>
  <c r="AA71" i="20"/>
  <c r="AB8" i="20"/>
  <c r="P58" i="20"/>
  <c r="T84" i="20"/>
  <c r="Q86" i="20"/>
  <c r="W19" i="20"/>
  <c r="M82" i="20"/>
  <c r="R24" i="20"/>
  <c r="M83" i="20"/>
  <c r="M56" i="20"/>
  <c r="AA7" i="20"/>
  <c r="H29" i="20"/>
  <c r="R61" i="20"/>
  <c r="R64" i="20"/>
  <c r="T15" i="20"/>
  <c r="AB57" i="20"/>
  <c r="P40" i="20"/>
  <c r="H16" i="20"/>
  <c r="U56" i="20"/>
  <c r="T41" i="20"/>
  <c r="AA6" i="20"/>
  <c r="V7" i="20"/>
  <c r="I9" i="20"/>
  <c r="AA63" i="20"/>
  <c r="H88" i="20"/>
  <c r="M34" i="20"/>
  <c r="R39" i="20"/>
  <c r="W92" i="20"/>
  <c r="C71" i="20"/>
  <c r="U39" i="20"/>
  <c r="I66" i="20"/>
  <c r="R6" i="20"/>
  <c r="Q27" i="20"/>
  <c r="W58" i="20"/>
  <c r="S87" i="20"/>
  <c r="T35" i="20"/>
  <c r="AA59" i="20"/>
  <c r="Q22" i="20"/>
  <c r="U70" i="20"/>
  <c r="Q4" i="20"/>
  <c r="Q13" i="20"/>
  <c r="H26" i="20"/>
  <c r="R90" i="20"/>
  <c r="H28" i="20"/>
  <c r="U25" i="20"/>
  <c r="R17" i="20"/>
  <c r="R58" i="20"/>
  <c r="J11" i="20"/>
  <c r="I35" i="20"/>
  <c r="V38" i="20"/>
  <c r="J18" i="20"/>
  <c r="U6" i="20"/>
  <c r="R71" i="20"/>
  <c r="Q73" i="20"/>
  <c r="T68" i="20"/>
  <c r="I83" i="20"/>
  <c r="AB38" i="20"/>
  <c r="V39" i="20"/>
  <c r="P44" i="20"/>
  <c r="AB15" i="20"/>
  <c r="R20" i="20"/>
  <c r="V42" i="20"/>
  <c r="J73" i="20"/>
  <c r="U19" i="20"/>
  <c r="Q19" i="20"/>
  <c r="I39" i="20"/>
  <c r="I20" i="20"/>
  <c r="H24" i="20"/>
  <c r="T9" i="20"/>
  <c r="P81" i="20"/>
  <c r="AA9" i="20"/>
  <c r="J65" i="20"/>
  <c r="I94" i="20"/>
  <c r="S88" i="20"/>
  <c r="Q24" i="20"/>
  <c r="J83" i="20"/>
  <c r="C26" i="20"/>
  <c r="S86" i="20"/>
  <c r="M66" i="20"/>
  <c r="W7" i="20"/>
  <c r="AB29" i="20"/>
  <c r="H61" i="20"/>
  <c r="Q64" i="20"/>
  <c r="S15" i="20"/>
  <c r="AA57" i="20"/>
  <c r="M40" i="20"/>
  <c r="Q16" i="20"/>
  <c r="T56" i="20"/>
  <c r="W41" i="20"/>
  <c r="R23" i="20"/>
  <c r="AB23" i="20"/>
  <c r="AA17" i="20"/>
  <c r="S65" i="20"/>
  <c r="V92" i="20"/>
  <c r="M35" i="20"/>
  <c r="AB63" i="20"/>
  <c r="AB93" i="20"/>
  <c r="H66" i="20"/>
  <c r="U69" i="20"/>
  <c r="J6" i="20"/>
  <c r="J27" i="20"/>
  <c r="AA60" i="20"/>
  <c r="R87" i="20"/>
  <c r="AA36" i="20"/>
  <c r="H59" i="20"/>
  <c r="P22" i="20"/>
  <c r="R70" i="20"/>
  <c r="S11" i="20"/>
  <c r="M15" i="20"/>
  <c r="M27" i="20"/>
  <c r="Q90" i="20"/>
  <c r="U28" i="20"/>
  <c r="C28" i="20"/>
  <c r="Q17" i="20"/>
  <c r="Q58" i="20"/>
  <c r="V63" i="20"/>
  <c r="W35" i="20"/>
  <c r="T38" i="20"/>
  <c r="AA95" i="20"/>
  <c r="AB58" i="20"/>
  <c r="P72" i="20"/>
  <c r="M63" i="20"/>
  <c r="T19" i="20"/>
  <c r="T31" i="20"/>
  <c r="J72" i="20"/>
  <c r="R92" i="20"/>
  <c r="S36" i="20"/>
  <c r="S20" i="20"/>
  <c r="S29" i="20"/>
  <c r="J20" i="20"/>
  <c r="W27" i="20"/>
  <c r="V14" i="20"/>
  <c r="S82" i="20"/>
  <c r="I14" i="20"/>
  <c r="T81" i="20"/>
  <c r="S94" i="20"/>
  <c r="R32" i="20"/>
  <c r="R86" i="20"/>
  <c r="C31" i="20"/>
  <c r="V88" i="20"/>
  <c r="T69" i="20"/>
  <c r="V23" i="20"/>
  <c r="C29" i="20"/>
  <c r="AB61" i="20"/>
  <c r="T64" i="20"/>
  <c r="H15" i="20"/>
  <c r="W57" i="20"/>
  <c r="C40" i="20"/>
  <c r="AA21" i="20"/>
  <c r="R56" i="20"/>
  <c r="V41" i="20"/>
  <c r="W30" i="20"/>
  <c r="R29" i="20"/>
  <c r="H19" i="20"/>
  <c r="AA66" i="20"/>
  <c r="AA93" i="20"/>
  <c r="P39" i="20"/>
  <c r="AB66" i="20"/>
  <c r="AA81" i="20"/>
  <c r="I86" i="20"/>
  <c r="H81" i="20"/>
  <c r="AB6" i="20"/>
  <c r="I27" i="20"/>
  <c r="H60" i="20"/>
  <c r="Q87" i="20"/>
  <c r="AA38" i="20"/>
  <c r="C63" i="20"/>
  <c r="AB22" i="20"/>
  <c r="C12" i="20"/>
  <c r="R12" i="20"/>
  <c r="W15" i="20"/>
  <c r="W32" i="20"/>
  <c r="P90" i="20"/>
  <c r="T28" i="20"/>
  <c r="H70" i="20"/>
  <c r="J17" i="20"/>
  <c r="H62" i="20"/>
  <c r="AA13" i="20"/>
  <c r="R69" i="20"/>
  <c r="Q81" i="20"/>
  <c r="V59" i="20"/>
  <c r="AB92" i="20"/>
  <c r="AA69" i="20"/>
  <c r="W83" i="20"/>
  <c r="M72" i="20"/>
  <c r="M26" i="20"/>
  <c r="U24" i="20"/>
  <c r="T20" i="20"/>
  <c r="J39" i="20"/>
  <c r="P30" i="20"/>
  <c r="M44" i="20"/>
  <c r="W26" i="20"/>
  <c r="J92" i="20"/>
  <c r="AB24" i="20"/>
  <c r="H94" i="20"/>
  <c r="C69" i="20"/>
  <c r="M24" i="20"/>
  <c r="H44" i="20"/>
  <c r="T94" i="20"/>
  <c r="Q37" i="20"/>
  <c r="I8" i="20"/>
  <c r="Q82" i="20"/>
  <c r="P23" i="20"/>
  <c r="AA29" i="20"/>
  <c r="W61" i="20"/>
  <c r="AA64" i="20"/>
  <c r="V67" i="20"/>
  <c r="P27" i="20"/>
  <c r="Q57" i="20"/>
  <c r="AA25" i="20"/>
  <c r="S45" i="20"/>
  <c r="S56" i="20"/>
  <c r="M41" i="20"/>
  <c r="H30" i="20"/>
  <c r="M64" i="20"/>
  <c r="Q34" i="20"/>
  <c r="AA72" i="20"/>
  <c r="M60" i="20"/>
  <c r="U81" i="20"/>
  <c r="AB72" i="20"/>
  <c r="AB20" i="20"/>
  <c r="P88" i="20"/>
  <c r="R9" i="20"/>
  <c r="T88" i="20"/>
  <c r="J13" i="20"/>
  <c r="R35" i="20"/>
  <c r="U60" i="20"/>
  <c r="H87" i="20"/>
  <c r="AA65" i="20"/>
  <c r="H22" i="20"/>
  <c r="AB62" i="20"/>
  <c r="R22" i="20"/>
  <c r="I18" i="20"/>
  <c r="W33" i="20"/>
  <c r="I90" i="20"/>
  <c r="I7" i="20"/>
  <c r="M7" i="20"/>
  <c r="S21" i="20"/>
  <c r="Q68" i="20"/>
  <c r="S13" i="20"/>
  <c r="W21" i="20"/>
  <c r="Q63" i="20"/>
  <c r="U36" i="20"/>
  <c r="AB45" i="20"/>
  <c r="S70" i="20"/>
  <c r="I33" i="20"/>
  <c r="S26" i="20"/>
  <c r="Q60" i="20"/>
  <c r="AB73" i="20"/>
  <c r="AA12" i="20"/>
  <c r="Q21" i="20"/>
  <c r="P12" i="20"/>
  <c r="M42" i="20"/>
  <c r="C36" i="20"/>
  <c r="AB13" i="20"/>
  <c r="S25" i="20"/>
  <c r="AA40" i="20"/>
  <c r="R62" i="20"/>
  <c r="U89" i="20"/>
  <c r="R83" i="20"/>
  <c r="H37" i="20"/>
  <c r="W86" i="20"/>
  <c r="P61" i="20"/>
  <c r="J43" i="19"/>
  <c r="AB71" i="19"/>
  <c r="W62" i="19"/>
  <c r="S66" i="20"/>
  <c r="H86" i="20"/>
  <c r="I37" i="20"/>
  <c r="M57" i="20"/>
  <c r="S89" i="20"/>
  <c r="S59" i="20"/>
  <c r="I36" i="20"/>
  <c r="AA23" i="20"/>
  <c r="P15" i="20"/>
  <c r="P42" i="20"/>
  <c r="AA67" i="20"/>
  <c r="W68" i="20"/>
  <c r="P71" i="20"/>
  <c r="H36" i="20"/>
  <c r="Q31" i="20"/>
  <c r="U35" i="20"/>
  <c r="V11" i="20"/>
  <c r="H13" i="20"/>
  <c r="V58" i="20"/>
  <c r="AB25" i="20"/>
  <c r="P70" i="20"/>
  <c r="AA33" i="20"/>
  <c r="U62" i="20"/>
  <c r="I65" i="20"/>
  <c r="AA87" i="20"/>
  <c r="M12" i="20"/>
  <c r="U41" i="20"/>
  <c r="AA41" i="20"/>
  <c r="S32" i="20"/>
  <c r="Q84" i="20"/>
  <c r="C17" i="20"/>
  <c r="V19" i="20"/>
  <c r="P64" i="20"/>
  <c r="C34" i="20"/>
  <c r="M41" i="19"/>
  <c r="R41" i="19"/>
  <c r="P94" i="19"/>
  <c r="Q94" i="19"/>
  <c r="R94" i="19"/>
  <c r="AA71" i="19"/>
  <c r="Q41" i="19"/>
  <c r="C71" i="19"/>
  <c r="J71" i="19"/>
  <c r="M71" i="19"/>
  <c r="S44" i="19"/>
  <c r="J41" i="19"/>
  <c r="M94" i="19"/>
  <c r="R71" i="19"/>
  <c r="M44" i="19"/>
  <c r="H71" i="19"/>
  <c r="P44" i="19"/>
  <c r="S94" i="19"/>
  <c r="U94" i="19"/>
  <c r="V94" i="19"/>
  <c r="T94" i="19"/>
  <c r="Q43" i="19"/>
  <c r="S43" i="19"/>
  <c r="H94" i="19"/>
  <c r="AA94" i="19"/>
  <c r="R43" i="19"/>
  <c r="C94" i="19"/>
  <c r="W94" i="19"/>
  <c r="T43" i="19"/>
  <c r="I94" i="19"/>
  <c r="AB94" i="19"/>
  <c r="V43" i="19"/>
  <c r="W43" i="19"/>
  <c r="Q44" i="19"/>
  <c r="R44" i="19"/>
  <c r="U44" i="19"/>
  <c r="V44" i="19"/>
  <c r="T44" i="19"/>
  <c r="C43" i="19"/>
  <c r="C44" i="19"/>
  <c r="W44" i="19"/>
  <c r="H43" i="19"/>
  <c r="H44" i="19"/>
  <c r="AA44" i="19"/>
  <c r="M43" i="19"/>
  <c r="I44" i="19"/>
  <c r="AB44" i="19"/>
  <c r="W73" i="19"/>
  <c r="P43" i="19"/>
  <c r="AA43" i="19"/>
  <c r="S41" i="19"/>
  <c r="U41" i="19"/>
  <c r="U43" i="19"/>
  <c r="I43" i="19"/>
  <c r="AB43" i="19"/>
  <c r="V95" i="19"/>
  <c r="P41" i="19"/>
  <c r="S46" i="19"/>
  <c r="T46" i="19"/>
  <c r="V41" i="19"/>
  <c r="U46" i="19"/>
  <c r="T41" i="19"/>
  <c r="W41" i="19"/>
  <c r="C41" i="19"/>
  <c r="AA41" i="19"/>
  <c r="H41" i="19"/>
  <c r="M45" i="19"/>
  <c r="P47" i="19"/>
  <c r="R47" i="19"/>
  <c r="U47" i="19"/>
  <c r="S47" i="19"/>
  <c r="V46" i="19"/>
  <c r="V47" i="19"/>
  <c r="Q47" i="19"/>
  <c r="AA47" i="19"/>
  <c r="I47" i="19"/>
  <c r="M47" i="19"/>
  <c r="T47" i="19"/>
  <c r="W47" i="19"/>
  <c r="C47" i="19"/>
  <c r="H47" i="19"/>
  <c r="AB47" i="19"/>
  <c r="R46" i="19"/>
  <c r="M46" i="19"/>
  <c r="P46" i="19"/>
  <c r="H46" i="19"/>
  <c r="Q46" i="19"/>
  <c r="W46" i="19"/>
  <c r="AA46" i="19"/>
  <c r="C46" i="19"/>
  <c r="I46" i="19"/>
  <c r="AB46" i="19"/>
  <c r="P45" i="19"/>
  <c r="R45" i="19"/>
  <c r="S45" i="19"/>
  <c r="T45" i="19"/>
  <c r="U45" i="19"/>
  <c r="V45" i="19"/>
  <c r="Q45" i="19"/>
  <c r="C45" i="19"/>
  <c r="W45" i="19"/>
  <c r="H45" i="19"/>
  <c r="AA45" i="19"/>
  <c r="I45" i="19"/>
  <c r="AB45" i="19"/>
  <c r="M95" i="19"/>
  <c r="M42" i="19"/>
  <c r="J42" i="19"/>
  <c r="P42" i="19"/>
  <c r="Q42" i="19"/>
  <c r="R42" i="19"/>
  <c r="S42" i="19"/>
  <c r="T42" i="19"/>
  <c r="U42" i="19"/>
  <c r="V42" i="19"/>
  <c r="C42" i="19"/>
  <c r="W42" i="19"/>
  <c r="H42" i="19"/>
  <c r="AA42" i="19"/>
  <c r="I42" i="19"/>
  <c r="AA73" i="19"/>
  <c r="M73" i="19"/>
  <c r="AB73" i="19"/>
  <c r="C73" i="19"/>
  <c r="H73" i="19"/>
  <c r="I73" i="19"/>
  <c r="J73" i="19"/>
  <c r="P73" i="19"/>
  <c r="Q73" i="19"/>
  <c r="R73" i="19"/>
  <c r="S73" i="19"/>
  <c r="T73" i="19"/>
  <c r="U73" i="19"/>
  <c r="Q95" i="19"/>
  <c r="R95" i="19"/>
  <c r="W95" i="19"/>
  <c r="AA95" i="19"/>
  <c r="AB95" i="19"/>
  <c r="P95" i="19"/>
  <c r="S95" i="19"/>
  <c r="T95" i="19"/>
  <c r="C95" i="19"/>
  <c r="H95" i="19"/>
  <c r="I95" i="19"/>
  <c r="J95" i="19"/>
  <c r="V97" i="19"/>
  <c r="U97" i="19"/>
  <c r="T97" i="19"/>
  <c r="S97" i="19"/>
  <c r="R97" i="19"/>
  <c r="Q97" i="19"/>
  <c r="P97" i="19"/>
  <c r="M97" i="19"/>
  <c r="J97" i="19"/>
  <c r="AB97" i="19"/>
  <c r="I97" i="19"/>
  <c r="AA97" i="19"/>
  <c r="H97" i="19"/>
  <c r="W97" i="19"/>
  <c r="AD55" i="19" l="1"/>
  <c r="AB55" i="19" s="1"/>
  <c r="AD96" i="19"/>
  <c r="AD93" i="19"/>
  <c r="C93" i="19" s="1"/>
  <c r="AC93" i="19"/>
  <c r="AD92" i="19"/>
  <c r="U92" i="19" s="1"/>
  <c r="AD91" i="19"/>
  <c r="AB91" i="19" s="1"/>
  <c r="AD89" i="19"/>
  <c r="R89" i="19" s="1"/>
  <c r="AD88" i="19"/>
  <c r="W88" i="19" s="1"/>
  <c r="AD87" i="19"/>
  <c r="M87" i="19" s="1"/>
  <c r="AD86" i="19"/>
  <c r="S86" i="19" s="1"/>
  <c r="AD85" i="19"/>
  <c r="AA85" i="19" s="1"/>
  <c r="AD83" i="19"/>
  <c r="P83" i="19" s="1"/>
  <c r="AD82" i="19"/>
  <c r="U82" i="19" s="1"/>
  <c r="AD81" i="19"/>
  <c r="AB81" i="19" s="1"/>
  <c r="AD80" i="19"/>
  <c r="P80" i="19" s="1"/>
  <c r="AD77" i="19"/>
  <c r="AB77" i="19"/>
  <c r="AA77" i="19"/>
  <c r="W77" i="19"/>
  <c r="V77" i="19"/>
  <c r="U77" i="19"/>
  <c r="T77" i="19"/>
  <c r="S77" i="19"/>
  <c r="R77" i="19"/>
  <c r="Q77" i="19"/>
  <c r="P77" i="19"/>
  <c r="J77" i="19"/>
  <c r="H77" i="19"/>
  <c r="C77" i="19"/>
  <c r="AD72" i="19"/>
  <c r="AC72" i="19"/>
  <c r="AD70" i="19"/>
  <c r="V70" i="19" s="1"/>
  <c r="AD69" i="19"/>
  <c r="J69" i="19" s="1"/>
  <c r="AD68" i="19"/>
  <c r="T68" i="19" s="1"/>
  <c r="AD67" i="19"/>
  <c r="AB67" i="19" s="1"/>
  <c r="AD66" i="19"/>
  <c r="U66" i="19" s="1"/>
  <c r="AD65" i="19"/>
  <c r="U65" i="19" s="1"/>
  <c r="AD64" i="19"/>
  <c r="J64" i="19" s="1"/>
  <c r="AD63" i="19"/>
  <c r="S63" i="19" s="1"/>
  <c r="AD61" i="19"/>
  <c r="AA61" i="19" s="1"/>
  <c r="AD60" i="19"/>
  <c r="Q60" i="19" s="1"/>
  <c r="AD59" i="19"/>
  <c r="V59" i="19" s="1"/>
  <c r="AD58" i="19"/>
  <c r="J58" i="19" s="1"/>
  <c r="AD57" i="19"/>
  <c r="T57" i="19" s="1"/>
  <c r="AD56" i="19"/>
  <c r="AB56" i="19" s="1"/>
  <c r="AD40" i="19"/>
  <c r="AC40" i="19"/>
  <c r="AD39" i="19"/>
  <c r="AC39" i="19"/>
  <c r="AD38" i="19"/>
  <c r="AC38" i="19"/>
  <c r="AD37" i="19"/>
  <c r="AC37" i="19"/>
  <c r="AD36" i="19"/>
  <c r="AC36" i="19"/>
  <c r="AD35" i="19"/>
  <c r="AC35" i="19"/>
  <c r="AD34" i="19"/>
  <c r="Q34" i="19" s="1"/>
  <c r="AD33" i="19"/>
  <c r="V33" i="19" s="1"/>
  <c r="AD32" i="19"/>
  <c r="AA32" i="19" s="1"/>
  <c r="AD31" i="19"/>
  <c r="T31" i="19" s="1"/>
  <c r="AD30" i="19"/>
  <c r="AB30" i="19" s="1"/>
  <c r="AD29" i="19"/>
  <c r="V29" i="19" s="1"/>
  <c r="AD28" i="19"/>
  <c r="AB28" i="19" s="1"/>
  <c r="AD27" i="19"/>
  <c r="P27" i="19" s="1"/>
  <c r="AD26" i="19"/>
  <c r="U26" i="19" s="1"/>
  <c r="AD25" i="19"/>
  <c r="AB25" i="19" s="1"/>
  <c r="AD24" i="19"/>
  <c r="Q24" i="19" s="1"/>
  <c r="AD23" i="19"/>
  <c r="V23" i="19" s="1"/>
  <c r="AD22" i="19"/>
  <c r="AA22" i="19" s="1"/>
  <c r="AD21" i="19"/>
  <c r="T21" i="19" s="1"/>
  <c r="AD20" i="19"/>
  <c r="AB20" i="19" s="1"/>
  <c r="AD19" i="19"/>
  <c r="R19" i="19" s="1"/>
  <c r="AD18" i="19"/>
  <c r="W18" i="19" s="1"/>
  <c r="AD17" i="19"/>
  <c r="P17" i="19" s="1"/>
  <c r="AD16" i="19"/>
  <c r="U16" i="19" s="1"/>
  <c r="AD15" i="19"/>
  <c r="J15" i="19" s="1"/>
  <c r="AD14" i="19"/>
  <c r="R14" i="19" s="1"/>
  <c r="AD13" i="19"/>
  <c r="V13" i="19" s="1"/>
  <c r="AD12" i="19"/>
  <c r="AA12" i="19" s="1"/>
  <c r="AD11" i="19"/>
  <c r="T11" i="19" s="1"/>
  <c r="AD10" i="19"/>
  <c r="AB10" i="19" s="1"/>
  <c r="AD9" i="19"/>
  <c r="T9" i="19" s="1"/>
  <c r="AD8" i="19"/>
  <c r="W8" i="19" s="1"/>
  <c r="AD7" i="19"/>
  <c r="P7" i="19" s="1"/>
  <c r="AD6" i="19"/>
  <c r="U6" i="19" s="1"/>
  <c r="AD5" i="19"/>
  <c r="J5" i="19" s="1"/>
  <c r="AD4" i="19"/>
  <c r="S4" i="19" s="1"/>
  <c r="T86" i="19" l="1"/>
  <c r="M85" i="19"/>
  <c r="M36" i="19"/>
  <c r="C36" i="19"/>
  <c r="M37" i="19"/>
  <c r="C37" i="19"/>
  <c r="M38" i="19"/>
  <c r="C38" i="19"/>
  <c r="C39" i="19"/>
  <c r="M39" i="19"/>
  <c r="C72" i="19"/>
  <c r="M72" i="19"/>
  <c r="M40" i="19"/>
  <c r="C40" i="19"/>
  <c r="T13" i="19"/>
  <c r="M35" i="19"/>
  <c r="C35" i="19"/>
  <c r="P70" i="19"/>
  <c r="M86" i="19"/>
  <c r="H96" i="19"/>
  <c r="AB96" i="19"/>
  <c r="M96" i="19"/>
  <c r="I96" i="19"/>
  <c r="V96" i="19"/>
  <c r="AA96" i="19"/>
  <c r="J96" i="19"/>
  <c r="P96" i="19"/>
  <c r="W96" i="19"/>
  <c r="C96" i="19"/>
  <c r="Q96" i="19"/>
  <c r="R96" i="19"/>
  <c r="S96" i="19"/>
  <c r="T96" i="19"/>
  <c r="U96" i="19"/>
  <c r="C13" i="19"/>
  <c r="Q13" i="19"/>
  <c r="R13" i="19"/>
  <c r="I13" i="19"/>
  <c r="U85" i="19"/>
  <c r="J91" i="19"/>
  <c r="M11" i="19"/>
  <c r="M6" i="19"/>
  <c r="C59" i="19"/>
  <c r="AA59" i="19"/>
  <c r="AB59" i="19"/>
  <c r="H13" i="19"/>
  <c r="M9" i="19"/>
  <c r="C83" i="19"/>
  <c r="J83" i="19"/>
  <c r="M91" i="19"/>
  <c r="T63" i="19"/>
  <c r="R83" i="19"/>
  <c r="M7" i="19"/>
  <c r="S83" i="19"/>
  <c r="W7" i="19"/>
  <c r="T83" i="19"/>
  <c r="J61" i="19"/>
  <c r="T66" i="19"/>
  <c r="P22" i="19"/>
  <c r="R61" i="19"/>
  <c r="J55" i="19"/>
  <c r="AB61" i="19"/>
  <c r="P85" i="19"/>
  <c r="M55" i="19"/>
  <c r="V83" i="19"/>
  <c r="AA83" i="19"/>
  <c r="J85" i="19"/>
  <c r="S36" i="19"/>
  <c r="T36" i="19"/>
  <c r="U36" i="19"/>
  <c r="J36" i="19"/>
  <c r="H36" i="19"/>
  <c r="W36" i="19"/>
  <c r="I36" i="19"/>
  <c r="AA36" i="19"/>
  <c r="V36" i="19"/>
  <c r="AB36" i="19"/>
  <c r="P36" i="19"/>
  <c r="R36" i="19"/>
  <c r="Q36" i="19"/>
  <c r="V66" i="19"/>
  <c r="R7" i="19"/>
  <c r="W37" i="19"/>
  <c r="P37" i="19"/>
  <c r="U37" i="19"/>
  <c r="J37" i="19"/>
  <c r="T37" i="19"/>
  <c r="V37" i="19"/>
  <c r="H37" i="19"/>
  <c r="R37" i="19"/>
  <c r="S37" i="19"/>
  <c r="AA37" i="19"/>
  <c r="AB37" i="19"/>
  <c r="Q37" i="19"/>
  <c r="I37" i="19"/>
  <c r="AA66" i="19"/>
  <c r="S7" i="19"/>
  <c r="U72" i="19"/>
  <c r="W72" i="19"/>
  <c r="AA72" i="19"/>
  <c r="H72" i="19"/>
  <c r="J72" i="19"/>
  <c r="I72" i="19"/>
  <c r="AB72" i="19"/>
  <c r="Q72" i="19"/>
  <c r="P72" i="19"/>
  <c r="R72" i="19"/>
  <c r="S72" i="19"/>
  <c r="T72" i="19"/>
  <c r="V72" i="19"/>
  <c r="Q7" i="19"/>
  <c r="U7" i="19"/>
  <c r="P13" i="19"/>
  <c r="W28" i="19"/>
  <c r="S38" i="19"/>
  <c r="U38" i="19"/>
  <c r="P38" i="19"/>
  <c r="R38" i="19"/>
  <c r="V38" i="19"/>
  <c r="I38" i="19"/>
  <c r="Q38" i="19"/>
  <c r="H38" i="19"/>
  <c r="J38" i="19"/>
  <c r="T38" i="19"/>
  <c r="W38" i="19"/>
  <c r="AA38" i="19"/>
  <c r="AB38" i="19"/>
  <c r="M82" i="19"/>
  <c r="AB83" i="19"/>
  <c r="U86" i="19"/>
  <c r="T91" i="19"/>
  <c r="P55" i="19"/>
  <c r="V7" i="19"/>
  <c r="J11" i="19"/>
  <c r="H56" i="19"/>
  <c r="T64" i="19"/>
  <c r="W86" i="19"/>
  <c r="Q55" i="19"/>
  <c r="S39" i="19"/>
  <c r="T39" i="19"/>
  <c r="W39" i="19"/>
  <c r="J39" i="19"/>
  <c r="P39" i="19"/>
  <c r="U39" i="19"/>
  <c r="V39" i="19"/>
  <c r="H39" i="19"/>
  <c r="R39" i="19"/>
  <c r="AA39" i="19"/>
  <c r="AB39" i="19"/>
  <c r="Q39" i="19"/>
  <c r="I39" i="19"/>
  <c r="AB86" i="19"/>
  <c r="R55" i="19"/>
  <c r="S55" i="19"/>
  <c r="T55" i="19"/>
  <c r="S30" i="19"/>
  <c r="S61" i="19"/>
  <c r="M83" i="19"/>
  <c r="R85" i="19"/>
  <c r="V55" i="19"/>
  <c r="AB40" i="19"/>
  <c r="W40" i="19"/>
  <c r="I40" i="19"/>
  <c r="J40" i="19"/>
  <c r="V40" i="19"/>
  <c r="P40" i="19"/>
  <c r="H40" i="19"/>
  <c r="R40" i="19"/>
  <c r="U40" i="19"/>
  <c r="Q40" i="19"/>
  <c r="T40" i="19"/>
  <c r="S40" i="19"/>
  <c r="AA40" i="19"/>
  <c r="P12" i="19"/>
  <c r="S12" i="19"/>
  <c r="H14" i="19"/>
  <c r="T30" i="19"/>
  <c r="S35" i="19"/>
  <c r="W35" i="19"/>
  <c r="AA35" i="19"/>
  <c r="P35" i="19"/>
  <c r="J35" i="19"/>
  <c r="H35" i="19"/>
  <c r="T35" i="19"/>
  <c r="AB35" i="19"/>
  <c r="Q35" i="19"/>
  <c r="R35" i="19"/>
  <c r="V35" i="19"/>
  <c r="U35" i="19"/>
  <c r="I35" i="19"/>
  <c r="V61" i="19"/>
  <c r="C66" i="19"/>
  <c r="C70" i="19"/>
  <c r="Q83" i="19"/>
  <c r="T85" i="19"/>
  <c r="V93" i="19"/>
  <c r="W93" i="19"/>
  <c r="H93" i="19"/>
  <c r="I93" i="19"/>
  <c r="AB93" i="19"/>
  <c r="AA93" i="19"/>
  <c r="J93" i="19"/>
  <c r="P93" i="19"/>
  <c r="R93" i="19"/>
  <c r="Q93" i="19"/>
  <c r="S93" i="19"/>
  <c r="T93" i="19"/>
  <c r="U93" i="19"/>
  <c r="W55" i="19"/>
  <c r="J7" i="19"/>
  <c r="H9" i="19"/>
  <c r="AB14" i="19"/>
  <c r="P26" i="19"/>
  <c r="S66" i="19"/>
  <c r="H88" i="19"/>
  <c r="I88" i="19"/>
  <c r="J88" i="19"/>
  <c r="V88" i="19"/>
  <c r="M88" i="19"/>
  <c r="R88" i="19"/>
  <c r="S88" i="19"/>
  <c r="AA88" i="19"/>
  <c r="AB88" i="19"/>
  <c r="AB66" i="19"/>
  <c r="M64" i="19"/>
  <c r="J19" i="19"/>
  <c r="T19" i="19"/>
  <c r="U19" i="19"/>
  <c r="W19" i="19"/>
  <c r="M30" i="19"/>
  <c r="M33" i="19"/>
  <c r="C28" i="19"/>
  <c r="U30" i="19"/>
  <c r="J28" i="19"/>
  <c r="W30" i="19"/>
  <c r="M28" i="19"/>
  <c r="U28" i="19"/>
  <c r="J30" i="19"/>
  <c r="H33" i="19"/>
  <c r="H89" i="19"/>
  <c r="I89" i="19"/>
  <c r="P89" i="19"/>
  <c r="T89" i="19"/>
  <c r="AA89" i="19"/>
  <c r="M89" i="19"/>
  <c r="AB89" i="19"/>
  <c r="H66" i="19"/>
  <c r="C69" i="19"/>
  <c r="M66" i="19"/>
  <c r="W69" i="19"/>
  <c r="R70" i="19"/>
  <c r="T70" i="19"/>
  <c r="Q70" i="19"/>
  <c r="W70" i="19"/>
  <c r="U33" i="19"/>
  <c r="H18" i="19"/>
  <c r="I29" i="19"/>
  <c r="J29" i="19"/>
  <c r="I18" i="19"/>
  <c r="AA18" i="19"/>
  <c r="AB18" i="19"/>
  <c r="J27" i="19"/>
  <c r="W32" i="19"/>
  <c r="P33" i="19"/>
  <c r="M57" i="19"/>
  <c r="W66" i="19"/>
  <c r="I69" i="19"/>
  <c r="P82" i="19"/>
  <c r="W83" i="19"/>
  <c r="AB85" i="19"/>
  <c r="Q88" i="19"/>
  <c r="J89" i="19"/>
  <c r="S91" i="19"/>
  <c r="M65" i="19"/>
  <c r="S22" i="19"/>
  <c r="I24" i="19"/>
  <c r="W12" i="19"/>
  <c r="W13" i="19"/>
  <c r="U15" i="19"/>
  <c r="W33" i="19"/>
  <c r="J63" i="19"/>
  <c r="P65" i="19"/>
  <c r="T69" i="19"/>
  <c r="P87" i="19"/>
  <c r="T12" i="19"/>
  <c r="Q22" i="19"/>
  <c r="C24" i="19"/>
  <c r="U12" i="19"/>
  <c r="R22" i="19"/>
  <c r="H24" i="19"/>
  <c r="V12" i="19"/>
  <c r="T15" i="19"/>
  <c r="T20" i="19"/>
  <c r="Q28" i="19"/>
  <c r="W20" i="19"/>
  <c r="W24" i="19"/>
  <c r="W27" i="19"/>
  <c r="S28" i="19"/>
  <c r="C32" i="19"/>
  <c r="AA33" i="19"/>
  <c r="C58" i="19"/>
  <c r="M63" i="19"/>
  <c r="V65" i="19"/>
  <c r="U69" i="19"/>
  <c r="I86" i="19"/>
  <c r="Q87" i="19"/>
  <c r="T88" i="19"/>
  <c r="Q89" i="19"/>
  <c r="P9" i="19"/>
  <c r="Q9" i="19"/>
  <c r="M15" i="19"/>
  <c r="P28" i="19"/>
  <c r="U9" i="19"/>
  <c r="R69" i="19"/>
  <c r="V9" i="19"/>
  <c r="U20" i="19"/>
  <c r="T22" i="19"/>
  <c r="R24" i="19"/>
  <c r="V27" i="19"/>
  <c r="R28" i="19"/>
  <c r="C7" i="19"/>
  <c r="H8" i="19"/>
  <c r="W9" i="19"/>
  <c r="C12" i="19"/>
  <c r="AB12" i="19"/>
  <c r="AA13" i="19"/>
  <c r="AA15" i="19"/>
  <c r="U22" i="19"/>
  <c r="H7" i="19"/>
  <c r="AA9" i="19"/>
  <c r="I12" i="19"/>
  <c r="AB13" i="19"/>
  <c r="C19" i="19"/>
  <c r="V22" i="19"/>
  <c r="AA24" i="19"/>
  <c r="AA27" i="19"/>
  <c r="T28" i="19"/>
  <c r="C30" i="19"/>
  <c r="I32" i="19"/>
  <c r="AB33" i="19"/>
  <c r="W58" i="19"/>
  <c r="I61" i="19"/>
  <c r="Q63" i="19"/>
  <c r="U67" i="19"/>
  <c r="V69" i="19"/>
  <c r="H83" i="19"/>
  <c r="I85" i="19"/>
  <c r="J86" i="19"/>
  <c r="R87" i="19"/>
  <c r="U88" i="19"/>
  <c r="S89" i="19"/>
  <c r="W22" i="19"/>
  <c r="AB58" i="19"/>
  <c r="AB9" i="19"/>
  <c r="J12" i="19"/>
  <c r="AB24" i="19"/>
  <c r="W67" i="19"/>
  <c r="S87" i="19"/>
  <c r="AB4" i="19"/>
  <c r="C9" i="19"/>
  <c r="M12" i="19"/>
  <c r="S19" i="19"/>
  <c r="V28" i="19"/>
  <c r="AB32" i="19"/>
  <c r="C56" i="19"/>
  <c r="M61" i="19"/>
  <c r="AB63" i="19"/>
  <c r="AB69" i="19"/>
  <c r="J81" i="19"/>
  <c r="P86" i="19"/>
  <c r="U87" i="19"/>
  <c r="W34" i="19"/>
  <c r="S81" i="19"/>
  <c r="I9" i="19"/>
  <c r="W10" i="19"/>
  <c r="Q12" i="19"/>
  <c r="S14" i="19"/>
  <c r="J22" i="19"/>
  <c r="C23" i="19"/>
  <c r="H28" i="19"/>
  <c r="AA28" i="19"/>
  <c r="AA34" i="19"/>
  <c r="W56" i="19"/>
  <c r="M68" i="19"/>
  <c r="T81" i="19"/>
  <c r="M5" i="19"/>
  <c r="J9" i="19"/>
  <c r="R12" i="19"/>
  <c r="M13" i="19"/>
  <c r="AA14" i="19"/>
  <c r="V19" i="19"/>
  <c r="M22" i="19"/>
  <c r="M26" i="19"/>
  <c r="I28" i="19"/>
  <c r="C33" i="19"/>
  <c r="AA56" i="19"/>
  <c r="W59" i="19"/>
  <c r="T61" i="19"/>
  <c r="W81" i="19"/>
  <c r="S85" i="19"/>
  <c r="V86" i="19"/>
  <c r="H91" i="19"/>
  <c r="S92" i="19"/>
  <c r="H23" i="19"/>
  <c r="I23" i="19"/>
  <c r="J17" i="19"/>
  <c r="C17" i="19"/>
  <c r="H17" i="19"/>
  <c r="M29" i="19"/>
  <c r="T5" i="19"/>
  <c r="M17" i="19"/>
  <c r="J18" i="19"/>
  <c r="I8" i="19"/>
  <c r="P8" i="19"/>
  <c r="P23" i="19"/>
  <c r="J32" i="19"/>
  <c r="U5" i="19"/>
  <c r="Q23" i="19"/>
  <c r="M56" i="19"/>
  <c r="M58" i="19"/>
  <c r="H59" i="19"/>
  <c r="C60" i="19"/>
  <c r="AA70" i="19"/>
  <c r="V87" i="19"/>
  <c r="W91" i="19"/>
  <c r="J8" i="19"/>
  <c r="P29" i="19"/>
  <c r="Q29" i="19"/>
  <c r="J56" i="19"/>
  <c r="I58" i="19"/>
  <c r="Q8" i="19"/>
  <c r="Q17" i="19"/>
  <c r="M18" i="19"/>
  <c r="H19" i="19"/>
  <c r="AA19" i="19"/>
  <c r="J21" i="19"/>
  <c r="C27" i="19"/>
  <c r="R29" i="19"/>
  <c r="M32" i="19"/>
  <c r="R8" i="19"/>
  <c r="R17" i="19"/>
  <c r="P18" i="19"/>
  <c r="I19" i="19"/>
  <c r="AB19" i="19"/>
  <c r="M21" i="19"/>
  <c r="R23" i="19"/>
  <c r="H27" i="19"/>
  <c r="S29" i="19"/>
  <c r="P32" i="19"/>
  <c r="I33" i="19"/>
  <c r="C34" i="19"/>
  <c r="P56" i="19"/>
  <c r="P58" i="19"/>
  <c r="I59" i="19"/>
  <c r="H60" i="19"/>
  <c r="AB70" i="19"/>
  <c r="W87" i="19"/>
  <c r="AA91" i="19"/>
  <c r="U55" i="19"/>
  <c r="Q56" i="19"/>
  <c r="Q58" i="19"/>
  <c r="M59" i="19"/>
  <c r="M60" i="19"/>
  <c r="J66" i="19"/>
  <c r="C67" i="19"/>
  <c r="AA87" i="19"/>
  <c r="S8" i="19"/>
  <c r="H34" i="19"/>
  <c r="J10" i="19"/>
  <c r="W23" i="19"/>
  <c r="R32" i="19"/>
  <c r="AA7" i="19"/>
  <c r="V8" i="19"/>
  <c r="R9" i="19"/>
  <c r="S10" i="19"/>
  <c r="V17" i="19"/>
  <c r="S18" i="19"/>
  <c r="P19" i="19"/>
  <c r="C20" i="19"/>
  <c r="C22" i="19"/>
  <c r="AB22" i="19"/>
  <c r="AA23" i="19"/>
  <c r="Q27" i="19"/>
  <c r="W29" i="19"/>
  <c r="T32" i="19"/>
  <c r="Q33" i="19"/>
  <c r="M34" i="19"/>
  <c r="S56" i="19"/>
  <c r="T58" i="19"/>
  <c r="Q59" i="19"/>
  <c r="W60" i="19"/>
  <c r="U64" i="19"/>
  <c r="P66" i="19"/>
  <c r="M67" i="19"/>
  <c r="M69" i="19"/>
  <c r="H70" i="19"/>
  <c r="J80" i="19"/>
  <c r="J92" i="19"/>
  <c r="C55" i="19"/>
  <c r="AA55" i="19"/>
  <c r="M8" i="19"/>
  <c r="M23" i="19"/>
  <c r="C10" i="19"/>
  <c r="S17" i="19"/>
  <c r="Q18" i="19"/>
  <c r="T23" i="19"/>
  <c r="T29" i="19"/>
  <c r="Q32" i="19"/>
  <c r="I4" i="19"/>
  <c r="U8" i="19"/>
  <c r="U17" i="19"/>
  <c r="R18" i="19"/>
  <c r="M19" i="19"/>
  <c r="M27" i="19"/>
  <c r="U29" i="19"/>
  <c r="I34" i="19"/>
  <c r="R56" i="19"/>
  <c r="R58" i="19"/>
  <c r="P59" i="19"/>
  <c r="R60" i="19"/>
  <c r="J67" i="19"/>
  <c r="J4" i="19"/>
  <c r="M4" i="19"/>
  <c r="AA8" i="19"/>
  <c r="S9" i="19"/>
  <c r="T10" i="19"/>
  <c r="W17" i="19"/>
  <c r="U18" i="19"/>
  <c r="Q19" i="19"/>
  <c r="J20" i="19"/>
  <c r="I22" i="19"/>
  <c r="AB23" i="19"/>
  <c r="S25" i="19"/>
  <c r="R27" i="19"/>
  <c r="C29" i="19"/>
  <c r="AA29" i="19"/>
  <c r="U32" i="19"/>
  <c r="R33" i="19"/>
  <c r="R34" i="19"/>
  <c r="U56" i="19"/>
  <c r="U58" i="19"/>
  <c r="R59" i="19"/>
  <c r="AA60" i="19"/>
  <c r="Q66" i="19"/>
  <c r="S67" i="19"/>
  <c r="P69" i="19"/>
  <c r="I70" i="19"/>
  <c r="V80" i="19"/>
  <c r="C86" i="19"/>
  <c r="C87" i="19"/>
  <c r="M92" i="19"/>
  <c r="H55" i="19"/>
  <c r="T4" i="19"/>
  <c r="AB8" i="19"/>
  <c r="U10" i="19"/>
  <c r="C14" i="19"/>
  <c r="AA17" i="19"/>
  <c r="V18" i="19"/>
  <c r="S20" i="19"/>
  <c r="T25" i="19"/>
  <c r="S27" i="19"/>
  <c r="H29" i="19"/>
  <c r="AB29" i="19"/>
  <c r="M31" i="19"/>
  <c r="V32" i="19"/>
  <c r="T33" i="19"/>
  <c r="T34" i="19"/>
  <c r="V56" i="19"/>
  <c r="V58" i="19"/>
  <c r="T59" i="19"/>
  <c r="I63" i="19"/>
  <c r="R66" i="19"/>
  <c r="T67" i="19"/>
  <c r="Q69" i="19"/>
  <c r="M70" i="19"/>
  <c r="W80" i="19"/>
  <c r="J87" i="19"/>
  <c r="C91" i="19"/>
  <c r="R92" i="19"/>
  <c r="U68" i="19"/>
  <c r="Q80" i="19"/>
  <c r="V82" i="19"/>
  <c r="V92" i="19"/>
  <c r="P16" i="19"/>
  <c r="M20" i="19"/>
  <c r="V31" i="19"/>
  <c r="S34" i="19"/>
  <c r="V57" i="19"/>
  <c r="S60" i="19"/>
  <c r="U63" i="19"/>
  <c r="P64" i="19"/>
  <c r="C65" i="19"/>
  <c r="W65" i="19"/>
  <c r="V68" i="19"/>
  <c r="R80" i="19"/>
  <c r="M81" i="19"/>
  <c r="C82" i="19"/>
  <c r="W82" i="19"/>
  <c r="U89" i="19"/>
  <c r="P91" i="19"/>
  <c r="C92" i="19"/>
  <c r="W92" i="19"/>
  <c r="U11" i="19"/>
  <c r="U21" i="19"/>
  <c r="V26" i="19"/>
  <c r="U31" i="19"/>
  <c r="U4" i="19"/>
  <c r="P5" i="19"/>
  <c r="C6" i="19"/>
  <c r="W6" i="19"/>
  <c r="T14" i="19"/>
  <c r="C16" i="19"/>
  <c r="S24" i="19"/>
  <c r="C26" i="19"/>
  <c r="W26" i="19"/>
  <c r="U14" i="19"/>
  <c r="Q15" i="19"/>
  <c r="H16" i="19"/>
  <c r="AA16" i="19"/>
  <c r="P20" i="19"/>
  <c r="C21" i="19"/>
  <c r="W21" i="19"/>
  <c r="T24" i="19"/>
  <c r="P25" i="19"/>
  <c r="H26" i="19"/>
  <c r="AA26" i="19"/>
  <c r="P30" i="19"/>
  <c r="C31" i="19"/>
  <c r="W31" i="19"/>
  <c r="C57" i="19"/>
  <c r="T60" i="19"/>
  <c r="V63" i="19"/>
  <c r="Q64" i="19"/>
  <c r="H65" i="19"/>
  <c r="AA65" i="19"/>
  <c r="P67" i="19"/>
  <c r="C68" i="19"/>
  <c r="W68" i="19"/>
  <c r="S80" i="19"/>
  <c r="P81" i="19"/>
  <c r="H82" i="19"/>
  <c r="AA82" i="19"/>
  <c r="V89" i="19"/>
  <c r="Q91" i="19"/>
  <c r="H92" i="19"/>
  <c r="AA92" i="19"/>
  <c r="W57" i="19"/>
  <c r="C4" i="19"/>
  <c r="W4" i="19"/>
  <c r="R5" i="19"/>
  <c r="I6" i="19"/>
  <c r="AB6" i="19"/>
  <c r="T7" i="19"/>
  <c r="Q10" i="19"/>
  <c r="H11" i="19"/>
  <c r="AA11" i="19"/>
  <c r="J13" i="19"/>
  <c r="V14" i="19"/>
  <c r="R15" i="19"/>
  <c r="I16" i="19"/>
  <c r="AB16" i="19"/>
  <c r="T17" i="19"/>
  <c r="Q20" i="19"/>
  <c r="H21" i="19"/>
  <c r="AA21" i="19"/>
  <c r="J23" i="19"/>
  <c r="U24" i="19"/>
  <c r="Q25" i="19"/>
  <c r="I26" i="19"/>
  <c r="AB26" i="19"/>
  <c r="T27" i="19"/>
  <c r="Q30" i="19"/>
  <c r="H31" i="19"/>
  <c r="AA31" i="19"/>
  <c r="S32" i="19"/>
  <c r="J33" i="19"/>
  <c r="U34" i="19"/>
  <c r="T56" i="19"/>
  <c r="H57" i="19"/>
  <c r="AA57" i="19"/>
  <c r="S58" i="19"/>
  <c r="J59" i="19"/>
  <c r="U60" i="19"/>
  <c r="P61" i="19"/>
  <c r="C63" i="19"/>
  <c r="W63" i="19"/>
  <c r="R64" i="19"/>
  <c r="I65" i="19"/>
  <c r="AB65" i="19"/>
  <c r="Q67" i="19"/>
  <c r="H68" i="19"/>
  <c r="AA68" i="19"/>
  <c r="S69" i="19"/>
  <c r="J70" i="19"/>
  <c r="T80" i="19"/>
  <c r="Q81" i="19"/>
  <c r="I82" i="19"/>
  <c r="AB82" i="19"/>
  <c r="U83" i="19"/>
  <c r="Q85" i="19"/>
  <c r="H86" i="19"/>
  <c r="AA86" i="19"/>
  <c r="T87" i="19"/>
  <c r="P88" i="19"/>
  <c r="C89" i="19"/>
  <c r="W89" i="19"/>
  <c r="R91" i="19"/>
  <c r="I92" i="19"/>
  <c r="AB92" i="19"/>
  <c r="V6" i="19"/>
  <c r="V16" i="19"/>
  <c r="J25" i="19"/>
  <c r="U57" i="19"/>
  <c r="M10" i="19"/>
  <c r="V11" i="19"/>
  <c r="P15" i="19"/>
  <c r="W16" i="19"/>
  <c r="V21" i="19"/>
  <c r="M25" i="19"/>
  <c r="V4" i="19"/>
  <c r="Q5" i="19"/>
  <c r="H6" i="19"/>
  <c r="AA6" i="19"/>
  <c r="P10" i="19"/>
  <c r="C11" i="19"/>
  <c r="W11" i="19"/>
  <c r="H4" i="19"/>
  <c r="AA4" i="19"/>
  <c r="S5" i="19"/>
  <c r="J6" i="19"/>
  <c r="R10" i="19"/>
  <c r="I11" i="19"/>
  <c r="AB11" i="19"/>
  <c r="W14" i="19"/>
  <c r="S15" i="19"/>
  <c r="J16" i="19"/>
  <c r="R20" i="19"/>
  <c r="I21" i="19"/>
  <c r="AB21" i="19"/>
  <c r="V24" i="19"/>
  <c r="R25" i="19"/>
  <c r="J26" i="19"/>
  <c r="U27" i="19"/>
  <c r="R30" i="19"/>
  <c r="I31" i="19"/>
  <c r="AB31" i="19"/>
  <c r="V34" i="19"/>
  <c r="I57" i="19"/>
  <c r="AB57" i="19"/>
  <c r="V60" i="19"/>
  <c r="Q61" i="19"/>
  <c r="H63" i="19"/>
  <c r="AA63" i="19"/>
  <c r="S64" i="19"/>
  <c r="J65" i="19"/>
  <c r="R67" i="19"/>
  <c r="I68" i="19"/>
  <c r="AB68" i="19"/>
  <c r="U80" i="19"/>
  <c r="R81" i="19"/>
  <c r="J82" i="19"/>
  <c r="M16" i="19"/>
  <c r="J31" i="19"/>
  <c r="J57" i="19"/>
  <c r="J68" i="19"/>
  <c r="U91" i="19"/>
  <c r="P92" i="19"/>
  <c r="V15" i="19"/>
  <c r="Q16" i="19"/>
  <c r="Q26" i="19"/>
  <c r="V91" i="19"/>
  <c r="Q92" i="19"/>
  <c r="AB34" i="19"/>
  <c r="P57" i="19"/>
  <c r="I60" i="19"/>
  <c r="AB60" i="19"/>
  <c r="V64" i="19"/>
  <c r="Q65" i="19"/>
  <c r="P68" i="19"/>
  <c r="C80" i="19"/>
  <c r="AA80" i="19"/>
  <c r="U81" i="19"/>
  <c r="Q82" i="19"/>
  <c r="P4" i="19"/>
  <c r="C5" i="19"/>
  <c r="W5" i="19"/>
  <c r="R6" i="19"/>
  <c r="I7" i="19"/>
  <c r="AB7" i="19"/>
  <c r="T8" i="19"/>
  <c r="V10" i="19"/>
  <c r="Q11" i="19"/>
  <c r="H12" i="19"/>
  <c r="S13" i="19"/>
  <c r="M14" i="19"/>
  <c r="C15" i="19"/>
  <c r="W15" i="19"/>
  <c r="R16" i="19"/>
  <c r="I17" i="19"/>
  <c r="AB17" i="19"/>
  <c r="T18" i="19"/>
  <c r="V20" i="19"/>
  <c r="Q21" i="19"/>
  <c r="H22" i="19"/>
  <c r="S23" i="19"/>
  <c r="J24" i="19"/>
  <c r="V25" i="19"/>
  <c r="R26" i="19"/>
  <c r="I27" i="19"/>
  <c r="AB27" i="19"/>
  <c r="V30" i="19"/>
  <c r="Q31" i="19"/>
  <c r="H32" i="19"/>
  <c r="S33" i="19"/>
  <c r="J34" i="19"/>
  <c r="I56" i="19"/>
  <c r="Q57" i="19"/>
  <c r="H58" i="19"/>
  <c r="AA58" i="19"/>
  <c r="S59" i="19"/>
  <c r="J60" i="19"/>
  <c r="U61" i="19"/>
  <c r="P63" i="19"/>
  <c r="C64" i="19"/>
  <c r="W64" i="19"/>
  <c r="R65" i="19"/>
  <c r="V67" i="19"/>
  <c r="Q68" i="19"/>
  <c r="H69" i="19"/>
  <c r="AA69" i="19"/>
  <c r="S70" i="19"/>
  <c r="H80" i="19"/>
  <c r="AB80" i="19"/>
  <c r="V81" i="19"/>
  <c r="R82" i="19"/>
  <c r="V85" i="19"/>
  <c r="Q86" i="19"/>
  <c r="H87" i="19"/>
  <c r="AB87" i="19"/>
  <c r="V5" i="19"/>
  <c r="Q6" i="19"/>
  <c r="P11" i="19"/>
  <c r="J14" i="19"/>
  <c r="P21" i="19"/>
  <c r="P14" i="19"/>
  <c r="H15" i="19"/>
  <c r="R21" i="19"/>
  <c r="C85" i="19"/>
  <c r="W85" i="19"/>
  <c r="R86" i="19"/>
  <c r="P6" i="19"/>
  <c r="U25" i="19"/>
  <c r="P31" i="19"/>
  <c r="Q4" i="19"/>
  <c r="H5" i="19"/>
  <c r="AA5" i="19"/>
  <c r="S6" i="19"/>
  <c r="R11" i="19"/>
  <c r="S26" i="19"/>
  <c r="R31" i="19"/>
  <c r="R68" i="19"/>
  <c r="R4" i="19"/>
  <c r="I5" i="19"/>
  <c r="AB5" i="19"/>
  <c r="T6" i="19"/>
  <c r="H30" i="19"/>
  <c r="AA30" i="19"/>
  <c r="S31" i="19"/>
  <c r="P34" i="19"/>
  <c r="S57" i="19"/>
  <c r="U59" i="19"/>
  <c r="P60" i="19"/>
  <c r="C61" i="19"/>
  <c r="W61" i="19"/>
  <c r="R63" i="19"/>
  <c r="I64" i="19"/>
  <c r="AB64" i="19"/>
  <c r="T65" i="19"/>
  <c r="H67" i="19"/>
  <c r="AA67" i="19"/>
  <c r="S68" i="19"/>
  <c r="U70" i="19"/>
  <c r="M80" i="19"/>
  <c r="C81" i="19"/>
  <c r="AA81" i="19"/>
  <c r="T82" i="19"/>
  <c r="H85" i="19"/>
  <c r="C88" i="19"/>
  <c r="I91" i="19"/>
  <c r="T92" i="19"/>
  <c r="S16" i="19"/>
  <c r="M24" i="19"/>
  <c r="W25" i="19"/>
  <c r="R57" i="19"/>
  <c r="H64" i="19"/>
  <c r="AA64" i="19"/>
  <c r="S65" i="19"/>
  <c r="S82" i="19"/>
  <c r="H10" i="19"/>
  <c r="AA10" i="19"/>
  <c r="S11" i="19"/>
  <c r="U13" i="19"/>
  <c r="Q14" i="19"/>
  <c r="I15" i="19"/>
  <c r="AB15" i="19"/>
  <c r="T16" i="19"/>
  <c r="H20" i="19"/>
  <c r="AA20" i="19"/>
  <c r="S21" i="19"/>
  <c r="U23" i="19"/>
  <c r="P24" i="19"/>
  <c r="C25" i="19"/>
  <c r="AA25" i="19"/>
  <c r="T26" i="19"/>
  <c r="C8" i="19"/>
  <c r="I10" i="19"/>
  <c r="C18" i="19"/>
  <c r="I20" i="19"/>
  <c r="H25" i="19"/>
  <c r="I30" i="19"/>
  <c r="H61" i="19"/>
  <c r="I67" i="19"/>
  <c r="H81" i="19"/>
  <c r="AD70" i="18"/>
  <c r="J70" i="18" s="1"/>
  <c r="AD71" i="18"/>
  <c r="S71" i="18" s="1"/>
  <c r="R70" i="18" l="1"/>
  <c r="M70" i="18"/>
  <c r="Q70" i="18"/>
  <c r="S70" i="18"/>
  <c r="Q71" i="18"/>
  <c r="U70" i="18"/>
  <c r="R71" i="18"/>
  <c r="T70" i="18"/>
  <c r="W70" i="18"/>
  <c r="P71" i="18"/>
  <c r="P70" i="18"/>
  <c r="H70" i="18"/>
  <c r="AA70" i="18"/>
  <c r="I70" i="18"/>
  <c r="AB70" i="18"/>
  <c r="V70" i="18"/>
  <c r="C70" i="18"/>
  <c r="J71" i="18"/>
  <c r="W71" i="18"/>
  <c r="M71" i="18"/>
  <c r="AB71" i="18"/>
  <c r="H71" i="18"/>
  <c r="AA71" i="18"/>
  <c r="C71" i="18"/>
  <c r="V71" i="18"/>
  <c r="U71" i="18"/>
  <c r="T71" i="18"/>
  <c r="AD83" i="18"/>
  <c r="AC83" i="18"/>
  <c r="AB83" i="18"/>
  <c r="AA83" i="18"/>
  <c r="W83" i="18"/>
  <c r="V83" i="18"/>
  <c r="U83" i="18"/>
  <c r="T83" i="18"/>
  <c r="S83" i="18"/>
  <c r="R83" i="18"/>
  <c r="Q83" i="18"/>
  <c r="P83" i="18"/>
  <c r="J83" i="18"/>
  <c r="I83" i="18"/>
  <c r="H83" i="18"/>
  <c r="C83" i="18"/>
  <c r="AD82" i="18"/>
  <c r="AC82" i="18"/>
  <c r="AB82" i="18"/>
  <c r="AA82" i="18"/>
  <c r="W82" i="18"/>
  <c r="V82" i="18"/>
  <c r="U82" i="18"/>
  <c r="T82" i="18"/>
  <c r="S82" i="18"/>
  <c r="R82" i="18"/>
  <c r="Q82" i="18"/>
  <c r="P82" i="18"/>
  <c r="J82" i="18"/>
  <c r="I82" i="18"/>
  <c r="H82" i="18"/>
  <c r="C82" i="18"/>
  <c r="AD64" i="18"/>
  <c r="AC64" i="18"/>
  <c r="AB64" i="18"/>
  <c r="AA64" i="18"/>
  <c r="W64" i="18"/>
  <c r="V64" i="18"/>
  <c r="U64" i="18"/>
  <c r="T64" i="18"/>
  <c r="S64" i="18"/>
  <c r="R64" i="18"/>
  <c r="Q64" i="18"/>
  <c r="P64" i="18"/>
  <c r="J64" i="18"/>
  <c r="I64" i="18"/>
  <c r="H64" i="18"/>
  <c r="C64" i="18"/>
  <c r="AD63" i="18"/>
  <c r="AC63" i="18"/>
  <c r="AB63" i="18"/>
  <c r="AA63" i="18"/>
  <c r="W63" i="18"/>
  <c r="V63" i="18"/>
  <c r="U63" i="18"/>
  <c r="T63" i="18"/>
  <c r="S63" i="18"/>
  <c r="R63" i="18"/>
  <c r="Q63" i="18"/>
  <c r="P63" i="18"/>
  <c r="J63" i="18"/>
  <c r="I63" i="18"/>
  <c r="H63" i="18"/>
  <c r="C63" i="18"/>
  <c r="AD41" i="18" l="1"/>
  <c r="W41" i="18" s="1"/>
  <c r="AC41" i="18"/>
  <c r="AD40" i="18"/>
  <c r="AC40" i="18"/>
  <c r="AD39" i="18"/>
  <c r="W39" i="18" s="1"/>
  <c r="AC39" i="18"/>
  <c r="AD43" i="18"/>
  <c r="AC43" i="18"/>
  <c r="AB43" i="18"/>
  <c r="AA43" i="18"/>
  <c r="W43" i="18"/>
  <c r="V43" i="18"/>
  <c r="U43" i="18"/>
  <c r="T43" i="18"/>
  <c r="S43" i="18"/>
  <c r="R43" i="18"/>
  <c r="Q43" i="18"/>
  <c r="P43" i="18"/>
  <c r="J43" i="18"/>
  <c r="I43" i="18"/>
  <c r="H43" i="18"/>
  <c r="C43" i="18"/>
  <c r="AD42" i="18"/>
  <c r="AC42" i="18"/>
  <c r="AB42" i="18"/>
  <c r="AA42" i="18"/>
  <c r="W42" i="18"/>
  <c r="V42" i="18"/>
  <c r="U42" i="18"/>
  <c r="T42" i="18"/>
  <c r="S42" i="18"/>
  <c r="R42" i="18"/>
  <c r="Q42" i="18"/>
  <c r="P42" i="18"/>
  <c r="J42" i="18"/>
  <c r="I42" i="18"/>
  <c r="H42" i="18"/>
  <c r="C42" i="18"/>
  <c r="AD81" i="18"/>
  <c r="AB81" i="18" s="1"/>
  <c r="AC81" i="18"/>
  <c r="AD62" i="18"/>
  <c r="Q62" i="18" s="1"/>
  <c r="AC62" i="18"/>
  <c r="AD37" i="18"/>
  <c r="S37" i="18" s="1"/>
  <c r="AC37" i="18"/>
  <c r="AD38" i="18"/>
  <c r="W38" i="18" s="1"/>
  <c r="AC38" i="18"/>
  <c r="AD36" i="18"/>
  <c r="AB36" i="18" s="1"/>
  <c r="AC36" i="18"/>
  <c r="I81" i="18" l="1"/>
  <c r="S81" i="18"/>
  <c r="P81" i="18"/>
  <c r="T81" i="18"/>
  <c r="J81" i="18"/>
  <c r="U81" i="18"/>
  <c r="V81" i="18"/>
  <c r="R81" i="18"/>
  <c r="W81" i="18"/>
  <c r="C81" i="18"/>
  <c r="AA81" i="18"/>
  <c r="Q81" i="18"/>
  <c r="H81" i="18"/>
  <c r="U62" i="18"/>
  <c r="T62" i="18"/>
  <c r="V62" i="18"/>
  <c r="W62" i="18"/>
  <c r="AA62" i="18"/>
  <c r="R62" i="18"/>
  <c r="C62" i="18"/>
  <c r="H62" i="18"/>
  <c r="AB62" i="18"/>
  <c r="S62" i="18"/>
  <c r="I62" i="18"/>
  <c r="P62" i="18"/>
  <c r="J62" i="18"/>
  <c r="AA41" i="18"/>
  <c r="P41" i="18"/>
  <c r="Q41" i="18"/>
  <c r="AB41" i="18"/>
  <c r="R41" i="18"/>
  <c r="J41" i="18"/>
  <c r="S41" i="18"/>
  <c r="C41" i="18"/>
  <c r="T41" i="18"/>
  <c r="U41" i="18"/>
  <c r="H41" i="18"/>
  <c r="V41" i="18"/>
  <c r="I41" i="18"/>
  <c r="P39" i="18"/>
  <c r="H39" i="18"/>
  <c r="S39" i="18"/>
  <c r="C39" i="18"/>
  <c r="I39" i="18"/>
  <c r="Q39" i="18"/>
  <c r="R39" i="18"/>
  <c r="T39" i="18"/>
  <c r="AA39" i="18"/>
  <c r="AB39" i="18"/>
  <c r="J39" i="18"/>
  <c r="U39" i="18"/>
  <c r="V39" i="18"/>
  <c r="T37" i="18"/>
  <c r="W37" i="18"/>
  <c r="I37" i="18"/>
  <c r="P37" i="18"/>
  <c r="Q37" i="18"/>
  <c r="R37" i="18"/>
  <c r="U37" i="18"/>
  <c r="V37" i="18"/>
  <c r="C37" i="18"/>
  <c r="AA37" i="18"/>
  <c r="H37" i="18"/>
  <c r="AB37" i="18"/>
  <c r="J37" i="18"/>
  <c r="H38" i="18"/>
  <c r="P38" i="18"/>
  <c r="AA38" i="18"/>
  <c r="Q38" i="18"/>
  <c r="AB38" i="18"/>
  <c r="J38" i="18"/>
  <c r="S38" i="18"/>
  <c r="C38" i="18"/>
  <c r="I38" i="18"/>
  <c r="R38" i="18"/>
  <c r="T38" i="18"/>
  <c r="U38" i="18"/>
  <c r="V38" i="18"/>
  <c r="P36" i="18"/>
  <c r="S36" i="18"/>
  <c r="U36" i="18"/>
  <c r="V36" i="18"/>
  <c r="R36" i="18"/>
  <c r="W36" i="18"/>
  <c r="C36" i="18"/>
  <c r="AA36" i="18"/>
  <c r="I36" i="18"/>
  <c r="J36" i="18"/>
  <c r="Q36" i="18"/>
  <c r="T36" i="18"/>
  <c r="H36" i="18"/>
  <c r="S40" i="18" l="1"/>
  <c r="I40" i="18"/>
  <c r="T40" i="18"/>
  <c r="R40" i="18"/>
  <c r="AB40" i="18"/>
  <c r="V40" i="18"/>
  <c r="AA40" i="18"/>
  <c r="J40" i="18"/>
  <c r="P40" i="18"/>
  <c r="U40" i="18"/>
  <c r="W40" i="18"/>
  <c r="H40" i="18"/>
  <c r="Q40" i="18"/>
  <c r="C40" i="18"/>
  <c r="AD85" i="18" l="1"/>
  <c r="AC85" i="18"/>
  <c r="AB85" i="18"/>
  <c r="AA85" i="18"/>
  <c r="W85" i="18"/>
  <c r="V85" i="18"/>
  <c r="U85" i="18"/>
  <c r="T85" i="18"/>
  <c r="S85" i="18"/>
  <c r="R85" i="18"/>
  <c r="Q85" i="18"/>
  <c r="P85" i="18"/>
  <c r="J85" i="18"/>
  <c r="H85" i="18"/>
  <c r="C85" i="18"/>
  <c r="AD84" i="18"/>
  <c r="AC84" i="18"/>
  <c r="AB84" i="18"/>
  <c r="AA84" i="18"/>
  <c r="W84" i="18"/>
  <c r="V84" i="18"/>
  <c r="U84" i="18"/>
  <c r="T84" i="18"/>
  <c r="S84" i="18"/>
  <c r="R84" i="18"/>
  <c r="Q84" i="18"/>
  <c r="P84" i="18"/>
  <c r="J84" i="18"/>
  <c r="H84" i="18"/>
  <c r="C84" i="18"/>
  <c r="AD80" i="18"/>
  <c r="U80" i="18" s="1"/>
  <c r="AD79" i="18"/>
  <c r="AB79" i="18" s="1"/>
  <c r="AD77" i="18"/>
  <c r="R77" i="18" s="1"/>
  <c r="AD76" i="18"/>
  <c r="W76" i="18" s="1"/>
  <c r="AD75" i="18"/>
  <c r="M75" i="18" s="1"/>
  <c r="AD74" i="18"/>
  <c r="M74" i="18" s="1"/>
  <c r="AD73" i="18"/>
  <c r="T73" i="18" s="1"/>
  <c r="AD68" i="18"/>
  <c r="P68" i="18" s="1"/>
  <c r="AD69" i="18"/>
  <c r="W69" i="18" s="1"/>
  <c r="AD65" i="18"/>
  <c r="AB65" i="18"/>
  <c r="AA65" i="18"/>
  <c r="W65" i="18"/>
  <c r="V65" i="18"/>
  <c r="U65" i="18"/>
  <c r="T65" i="18"/>
  <c r="S65" i="18"/>
  <c r="R65" i="18"/>
  <c r="Q65" i="18"/>
  <c r="P65" i="18"/>
  <c r="J65" i="18"/>
  <c r="H65" i="18"/>
  <c r="C65" i="18"/>
  <c r="AD61" i="18"/>
  <c r="V61" i="18" s="1"/>
  <c r="AD60" i="18"/>
  <c r="P60" i="18" s="1"/>
  <c r="AD59" i="18"/>
  <c r="Q59" i="18" s="1"/>
  <c r="AD58" i="18"/>
  <c r="V58" i="18" s="1"/>
  <c r="AD57" i="18"/>
  <c r="Q57" i="18" s="1"/>
  <c r="AD56" i="18"/>
  <c r="AB56" i="18" s="1"/>
  <c r="AD55" i="18"/>
  <c r="AA55" i="18" s="1"/>
  <c r="AD54" i="18"/>
  <c r="P54" i="18" s="1"/>
  <c r="AD53" i="18"/>
  <c r="U53" i="18" s="1"/>
  <c r="AD52" i="18"/>
  <c r="V52" i="18" s="1"/>
  <c r="AD51" i="18"/>
  <c r="P51" i="18" s="1"/>
  <c r="AD50" i="18"/>
  <c r="AB50" i="18" s="1"/>
  <c r="AD49" i="18"/>
  <c r="Q49" i="18" s="1"/>
  <c r="AD47" i="18"/>
  <c r="V47" i="18" s="1"/>
  <c r="AD48" i="18"/>
  <c r="V48" i="18" s="1"/>
  <c r="AD35" i="18"/>
  <c r="C35" i="18" s="1"/>
  <c r="AD34" i="18"/>
  <c r="C34" i="18" s="1"/>
  <c r="AD33" i="18"/>
  <c r="T33" i="18" s="1"/>
  <c r="AD32" i="18"/>
  <c r="U32" i="18" s="1"/>
  <c r="AD31" i="18"/>
  <c r="U31" i="18" s="1"/>
  <c r="AD30" i="18"/>
  <c r="Q30" i="18" s="1"/>
  <c r="AD29" i="18"/>
  <c r="V29" i="18" s="1"/>
  <c r="AD28" i="18"/>
  <c r="S28" i="18" s="1"/>
  <c r="AD27" i="18"/>
  <c r="W27" i="18" s="1"/>
  <c r="AD26" i="18"/>
  <c r="W26" i="18" s="1"/>
  <c r="AD25" i="18"/>
  <c r="Q25" i="18" s="1"/>
  <c r="AD24" i="18"/>
  <c r="M24" i="18" s="1"/>
  <c r="AD23" i="18"/>
  <c r="M23" i="18" s="1"/>
  <c r="AD22" i="18"/>
  <c r="M22" i="18" s="1"/>
  <c r="AD21" i="18"/>
  <c r="T21" i="18" s="1"/>
  <c r="AD20" i="18"/>
  <c r="Q20" i="18" s="1"/>
  <c r="AD19" i="18"/>
  <c r="V19" i="18" s="1"/>
  <c r="AD18" i="18"/>
  <c r="W18" i="18" s="1"/>
  <c r="AD17" i="18"/>
  <c r="C17" i="18" s="1"/>
  <c r="AD16" i="18"/>
  <c r="T16" i="18" s="1"/>
  <c r="AD15" i="18"/>
  <c r="U15" i="18" s="1"/>
  <c r="AD14" i="18"/>
  <c r="M14" i="18" s="1"/>
  <c r="AD13" i="18"/>
  <c r="M13" i="18" s="1"/>
  <c r="AD12" i="18"/>
  <c r="R12" i="18" s="1"/>
  <c r="AD11" i="18"/>
  <c r="S11" i="18" s="1"/>
  <c r="AD10" i="18"/>
  <c r="U10" i="18" s="1"/>
  <c r="AD9" i="18"/>
  <c r="V9" i="18" s="1"/>
  <c r="AD8" i="18"/>
  <c r="AA8" i="18" s="1"/>
  <c r="AD7" i="18"/>
  <c r="U7" i="18" s="1"/>
  <c r="AD6" i="18"/>
  <c r="W6" i="18" s="1"/>
  <c r="AD5" i="18"/>
  <c r="P5" i="18" s="1"/>
  <c r="AD4" i="18"/>
  <c r="I4" i="18" s="1"/>
  <c r="AC4" i="18"/>
  <c r="M61" i="17"/>
  <c r="P61" i="17"/>
  <c r="Q61" i="17"/>
  <c r="R61" i="17"/>
  <c r="S61" i="17"/>
  <c r="U61" i="17"/>
  <c r="V61" i="17"/>
  <c r="AD61" i="17"/>
  <c r="C61" i="17" s="1"/>
  <c r="AD67" i="17"/>
  <c r="AB67" i="17" s="1"/>
  <c r="AD60" i="17"/>
  <c r="AB60" i="17" s="1"/>
  <c r="AD37" i="17"/>
  <c r="AB37" i="17" s="1"/>
  <c r="AD36" i="17"/>
  <c r="AB36" i="17" s="1"/>
  <c r="AD72" i="17"/>
  <c r="AB72" i="17" s="1"/>
  <c r="AD56" i="17"/>
  <c r="AB56" i="17" s="1"/>
  <c r="AD55" i="17"/>
  <c r="AB55" i="17" s="1"/>
  <c r="W61" i="17" l="1"/>
  <c r="T61" i="17"/>
  <c r="AB33" i="18"/>
  <c r="AA28" i="18"/>
  <c r="W28" i="18"/>
  <c r="AA7" i="18"/>
  <c r="AB19" i="18"/>
  <c r="R7" i="18"/>
  <c r="S7" i="18"/>
  <c r="AB28" i="18"/>
  <c r="M61" i="18"/>
  <c r="AA34" i="18"/>
  <c r="M50" i="18"/>
  <c r="AB4" i="18"/>
  <c r="J8" i="18"/>
  <c r="W25" i="18"/>
  <c r="AB8" i="18"/>
  <c r="V69" i="18"/>
  <c r="V17" i="18"/>
  <c r="C49" i="18"/>
  <c r="W34" i="18"/>
  <c r="H49" i="18"/>
  <c r="C54" i="18"/>
  <c r="AB23" i="18"/>
  <c r="H28" i="18"/>
  <c r="AA27" i="18"/>
  <c r="J75" i="18"/>
  <c r="AB18" i="18"/>
  <c r="T76" i="18"/>
  <c r="AA19" i="18"/>
  <c r="T34" i="18"/>
  <c r="V11" i="18"/>
  <c r="Q33" i="18"/>
  <c r="U17" i="18"/>
  <c r="AB25" i="18"/>
  <c r="R33" i="18"/>
  <c r="H35" i="18"/>
  <c r="Q29" i="18"/>
  <c r="U33" i="18"/>
  <c r="I12" i="18"/>
  <c r="AA29" i="18"/>
  <c r="V33" i="18"/>
  <c r="W33" i="18"/>
  <c r="I73" i="18"/>
  <c r="U73" i="18"/>
  <c r="J76" i="18"/>
  <c r="M76" i="18"/>
  <c r="S76" i="18"/>
  <c r="S75" i="18"/>
  <c r="M28" i="18"/>
  <c r="AB29" i="18"/>
  <c r="W61" i="18"/>
  <c r="AB73" i="18"/>
  <c r="P18" i="18"/>
  <c r="P28" i="18"/>
  <c r="J28" i="18"/>
  <c r="U6" i="18"/>
  <c r="T28" i="18"/>
  <c r="I28" i="18"/>
  <c r="Q18" i="18"/>
  <c r="AA6" i="18"/>
  <c r="T14" i="18"/>
  <c r="R18" i="18"/>
  <c r="U28" i="18"/>
  <c r="AA48" i="18"/>
  <c r="V6" i="18"/>
  <c r="AA18" i="18"/>
  <c r="R22" i="18"/>
  <c r="V28" i="18"/>
  <c r="J58" i="18"/>
  <c r="R29" i="18"/>
  <c r="V34" i="18"/>
  <c r="W52" i="18"/>
  <c r="AB60" i="18"/>
  <c r="P75" i="18"/>
  <c r="C20" i="18"/>
  <c r="C59" i="18"/>
  <c r="P59" i="18"/>
  <c r="R59" i="18"/>
  <c r="H20" i="18"/>
  <c r="C10" i="18"/>
  <c r="H10" i="18"/>
  <c r="C13" i="18"/>
  <c r="J17" i="18"/>
  <c r="W13" i="18"/>
  <c r="W20" i="18"/>
  <c r="T59" i="18"/>
  <c r="AA76" i="18"/>
  <c r="T20" i="18"/>
  <c r="U20" i="18"/>
  <c r="I5" i="18"/>
  <c r="M17" i="18"/>
  <c r="C31" i="18"/>
  <c r="V5" i="18"/>
  <c r="AA10" i="18"/>
  <c r="AA13" i="18"/>
  <c r="P17" i="18"/>
  <c r="AA20" i="18"/>
  <c r="C28" i="18"/>
  <c r="W31" i="18"/>
  <c r="AA59" i="18"/>
  <c r="AB76" i="18"/>
  <c r="I10" i="18"/>
  <c r="AB5" i="18"/>
  <c r="AB10" i="18"/>
  <c r="AB13" i="18"/>
  <c r="R17" i="18"/>
  <c r="AB20" i="18"/>
  <c r="W24" i="18"/>
  <c r="AB31" i="18"/>
  <c r="AB59" i="18"/>
  <c r="I8" i="18"/>
  <c r="S17" i="18"/>
  <c r="W19" i="18"/>
  <c r="P29" i="18"/>
  <c r="R34" i="18"/>
  <c r="R48" i="18"/>
  <c r="AA49" i="18"/>
  <c r="AA53" i="18"/>
  <c r="V57" i="18"/>
  <c r="V68" i="18"/>
  <c r="P74" i="18"/>
  <c r="W48" i="18"/>
  <c r="AB49" i="18"/>
  <c r="AB53" i="18"/>
  <c r="W57" i="18"/>
  <c r="W68" i="18"/>
  <c r="T74" i="18"/>
  <c r="AA57" i="18"/>
  <c r="AA68" i="18"/>
  <c r="V74" i="18"/>
  <c r="AB57" i="18"/>
  <c r="AB68" i="18"/>
  <c r="C9" i="18"/>
  <c r="H9" i="18"/>
  <c r="R8" i="18"/>
  <c r="H47" i="18"/>
  <c r="C53" i="18"/>
  <c r="P13" i="18"/>
  <c r="I47" i="18"/>
  <c r="P49" i="18"/>
  <c r="H53" i="18"/>
  <c r="Q54" i="18"/>
  <c r="H57" i="18"/>
  <c r="C47" i="18"/>
  <c r="M49" i="18"/>
  <c r="T8" i="18"/>
  <c r="M9" i="18"/>
  <c r="Q13" i="18"/>
  <c r="C19" i="18"/>
  <c r="I20" i="18"/>
  <c r="C30" i="18"/>
  <c r="C48" i="18"/>
  <c r="J47" i="18"/>
  <c r="R49" i="18"/>
  <c r="C51" i="18"/>
  <c r="I53" i="18"/>
  <c r="T54" i="18"/>
  <c r="J57" i="18"/>
  <c r="I60" i="18"/>
  <c r="C68" i="18"/>
  <c r="H13" i="18"/>
  <c r="M60" i="18"/>
  <c r="H68" i="18"/>
  <c r="U75" i="18"/>
  <c r="J77" i="18"/>
  <c r="M54" i="18"/>
  <c r="C57" i="18"/>
  <c r="R13" i="18"/>
  <c r="C29" i="18"/>
  <c r="H30" i="18"/>
  <c r="H34" i="18"/>
  <c r="J48" i="18"/>
  <c r="S49" i="18"/>
  <c r="V8" i="18"/>
  <c r="Q9" i="18"/>
  <c r="T13" i="18"/>
  <c r="H18" i="18"/>
  <c r="I19" i="18"/>
  <c r="P20" i="18"/>
  <c r="Q28" i="18"/>
  <c r="H29" i="18"/>
  <c r="I30" i="18"/>
  <c r="C33" i="18"/>
  <c r="I34" i="18"/>
  <c r="M48" i="18"/>
  <c r="T47" i="18"/>
  <c r="T49" i="18"/>
  <c r="M51" i="18"/>
  <c r="R53" i="18"/>
  <c r="AA54" i="18"/>
  <c r="R57" i="18"/>
  <c r="I59" i="18"/>
  <c r="S60" i="18"/>
  <c r="Q68" i="18"/>
  <c r="V75" i="18"/>
  <c r="M77" i="18"/>
  <c r="Q8" i="18"/>
  <c r="I49" i="18"/>
  <c r="I9" i="18"/>
  <c r="I13" i="18"/>
  <c r="J9" i="18"/>
  <c r="H19" i="18"/>
  <c r="H6" i="18"/>
  <c r="C8" i="18"/>
  <c r="W8" i="18"/>
  <c r="AA9" i="18"/>
  <c r="U13" i="18"/>
  <c r="I18" i="18"/>
  <c r="S19" i="18"/>
  <c r="R20" i="18"/>
  <c r="R28" i="18"/>
  <c r="J29" i="18"/>
  <c r="T30" i="18"/>
  <c r="M33" i="18"/>
  <c r="M34" i="18"/>
  <c r="P48" i="18"/>
  <c r="AA47" i="18"/>
  <c r="U49" i="18"/>
  <c r="T51" i="18"/>
  <c r="V53" i="18"/>
  <c r="AB54" i="18"/>
  <c r="S57" i="18"/>
  <c r="J59" i="18"/>
  <c r="T60" i="18"/>
  <c r="R68" i="18"/>
  <c r="J74" i="18"/>
  <c r="W75" i="18"/>
  <c r="AA77" i="18"/>
  <c r="M8" i="18"/>
  <c r="P8" i="18"/>
  <c r="S8" i="18"/>
  <c r="U8" i="18"/>
  <c r="P9" i="18"/>
  <c r="M20" i="18"/>
  <c r="S47" i="18"/>
  <c r="J51" i="18"/>
  <c r="Q53" i="18"/>
  <c r="W54" i="18"/>
  <c r="M57" i="18"/>
  <c r="C6" i="18"/>
  <c r="T6" i="18"/>
  <c r="H8" i="18"/>
  <c r="AB9" i="18"/>
  <c r="V13" i="18"/>
  <c r="H17" i="18"/>
  <c r="M18" i="18"/>
  <c r="T19" i="18"/>
  <c r="S20" i="18"/>
  <c r="M29" i="18"/>
  <c r="AB30" i="18"/>
  <c r="P33" i="18"/>
  <c r="P34" i="18"/>
  <c r="Q48" i="18"/>
  <c r="AB47" i="18"/>
  <c r="W49" i="18"/>
  <c r="W51" i="18"/>
  <c r="W53" i="18"/>
  <c r="U57" i="18"/>
  <c r="M59" i="18"/>
  <c r="U60" i="18"/>
  <c r="T68" i="18"/>
  <c r="AB77" i="18"/>
  <c r="W11" i="18"/>
  <c r="C22" i="18"/>
  <c r="C27" i="18"/>
  <c r="U30" i="18"/>
  <c r="I35" i="18"/>
  <c r="P50" i="18"/>
  <c r="M58" i="18"/>
  <c r="AB11" i="18"/>
  <c r="AB14" i="18"/>
  <c r="H16" i="18"/>
  <c r="J18" i="18"/>
  <c r="U19" i="18"/>
  <c r="I22" i="18"/>
  <c r="S27" i="18"/>
  <c r="I29" i="18"/>
  <c r="W30" i="18"/>
  <c r="Q35" i="18"/>
  <c r="H48" i="18"/>
  <c r="AB48" i="18"/>
  <c r="U47" i="18"/>
  <c r="S50" i="18"/>
  <c r="T53" i="18"/>
  <c r="S54" i="18"/>
  <c r="I56" i="18"/>
  <c r="T57" i="18"/>
  <c r="P58" i="18"/>
  <c r="H59" i="18"/>
  <c r="S68" i="18"/>
  <c r="Q75" i="18"/>
  <c r="Q76" i="18"/>
  <c r="S77" i="18"/>
  <c r="J80" i="18"/>
  <c r="W14" i="18"/>
  <c r="C16" i="18"/>
  <c r="V7" i="18"/>
  <c r="W7" i="18"/>
  <c r="M16" i="18"/>
  <c r="T25" i="18"/>
  <c r="V27" i="18"/>
  <c r="AA30" i="18"/>
  <c r="S35" i="18"/>
  <c r="W47" i="18"/>
  <c r="U50" i="18"/>
  <c r="Q52" i="18"/>
  <c r="Q58" i="18"/>
  <c r="R75" i="18"/>
  <c r="R76" i="18"/>
  <c r="T77" i="18"/>
  <c r="M80" i="18"/>
  <c r="P16" i="18"/>
  <c r="C32" i="18"/>
  <c r="R58" i="18"/>
  <c r="Q16" i="18"/>
  <c r="J11" i="18"/>
  <c r="T58" i="18"/>
  <c r="U58" i="18"/>
  <c r="C11" i="18"/>
  <c r="C15" i="18"/>
  <c r="P32" i="18"/>
  <c r="R32" i="18"/>
  <c r="P10" i="18"/>
  <c r="S9" i="18"/>
  <c r="R10" i="18"/>
  <c r="P11" i="18"/>
  <c r="S26" i="18"/>
  <c r="S29" i="18"/>
  <c r="M30" i="18"/>
  <c r="I31" i="18"/>
  <c r="V32" i="18"/>
  <c r="S48" i="18"/>
  <c r="M47" i="18"/>
  <c r="W58" i="18"/>
  <c r="S59" i="18"/>
  <c r="AA75" i="18"/>
  <c r="J79" i="18"/>
  <c r="S15" i="18"/>
  <c r="U16" i="18"/>
  <c r="J30" i="18"/>
  <c r="C7" i="18"/>
  <c r="T15" i="18"/>
  <c r="H7" i="18"/>
  <c r="T9" i="18"/>
  <c r="U18" i="18"/>
  <c r="P19" i="18"/>
  <c r="T26" i="18"/>
  <c r="T29" i="18"/>
  <c r="P30" i="18"/>
  <c r="R31" i="18"/>
  <c r="W32" i="18"/>
  <c r="T48" i="18"/>
  <c r="P47" i="18"/>
  <c r="M79" i="18"/>
  <c r="S58" i="18"/>
  <c r="S18" i="18"/>
  <c r="J19" i="18"/>
  <c r="T32" i="18"/>
  <c r="V16" i="18"/>
  <c r="M19" i="18"/>
  <c r="S10" i="18"/>
  <c r="R11" i="18"/>
  <c r="W15" i="18"/>
  <c r="P7" i="18"/>
  <c r="U9" i="18"/>
  <c r="T10" i="18"/>
  <c r="T11" i="18"/>
  <c r="AA15" i="18"/>
  <c r="AA16" i="18"/>
  <c r="U26" i="18"/>
  <c r="U29" i="18"/>
  <c r="R30" i="18"/>
  <c r="S31" i="18"/>
  <c r="AB32" i="18"/>
  <c r="U48" i="18"/>
  <c r="Q47" i="18"/>
  <c r="U51" i="18"/>
  <c r="M53" i="18"/>
  <c r="H54" i="18"/>
  <c r="S55" i="18"/>
  <c r="P57" i="18"/>
  <c r="H58" i="18"/>
  <c r="AB58" i="18"/>
  <c r="U59" i="18"/>
  <c r="J68" i="18"/>
  <c r="M73" i="18"/>
  <c r="H76" i="18"/>
  <c r="H77" i="18"/>
  <c r="S79" i="18"/>
  <c r="I11" i="18"/>
  <c r="R15" i="18"/>
  <c r="S16" i="18"/>
  <c r="R9" i="18"/>
  <c r="M11" i="18"/>
  <c r="T18" i="18"/>
  <c r="W16" i="18"/>
  <c r="R55" i="18"/>
  <c r="C58" i="18"/>
  <c r="AA58" i="18"/>
  <c r="V18" i="18"/>
  <c r="Q19" i="18"/>
  <c r="Q7" i="18"/>
  <c r="W9" i="18"/>
  <c r="W10" i="18"/>
  <c r="U11" i="18"/>
  <c r="C14" i="18"/>
  <c r="AB15" i="18"/>
  <c r="C18" i="18"/>
  <c r="R19" i="18"/>
  <c r="J20" i="18"/>
  <c r="H24" i="18"/>
  <c r="AB26" i="18"/>
  <c r="W29" i="18"/>
  <c r="S30" i="18"/>
  <c r="T31" i="18"/>
  <c r="R47" i="18"/>
  <c r="J49" i="18"/>
  <c r="I50" i="18"/>
  <c r="V51" i="18"/>
  <c r="P53" i="18"/>
  <c r="I54" i="18"/>
  <c r="T55" i="18"/>
  <c r="I58" i="18"/>
  <c r="W59" i="18"/>
  <c r="M68" i="18"/>
  <c r="C75" i="18"/>
  <c r="I76" i="18"/>
  <c r="I77" i="18"/>
  <c r="T79" i="18"/>
  <c r="J69" i="18"/>
  <c r="H4" i="18"/>
  <c r="AA5" i="18"/>
  <c r="J12" i="18"/>
  <c r="V14" i="18"/>
  <c r="I21" i="18"/>
  <c r="S22" i="18"/>
  <c r="Q22" i="18"/>
  <c r="AA22" i="18"/>
  <c r="H22" i="18"/>
  <c r="AA24" i="18"/>
  <c r="V25" i="18"/>
  <c r="U27" i="18"/>
  <c r="P35" i="18"/>
  <c r="J35" i="18"/>
  <c r="U35" i="18"/>
  <c r="R52" i="18"/>
  <c r="P61" i="18"/>
  <c r="M69" i="18"/>
  <c r="J21" i="18"/>
  <c r="J23" i="18"/>
  <c r="AA23" i="18"/>
  <c r="H23" i="18"/>
  <c r="S23" i="18"/>
  <c r="AB24" i="18"/>
  <c r="M12" i="18"/>
  <c r="C23" i="18"/>
  <c r="U52" i="18"/>
  <c r="R56" i="18"/>
  <c r="Q56" i="18"/>
  <c r="P56" i="18"/>
  <c r="AA56" i="18"/>
  <c r="H56" i="18"/>
  <c r="W56" i="18"/>
  <c r="C56" i="18"/>
  <c r="T56" i="18"/>
  <c r="T61" i="18"/>
  <c r="P69" i="18"/>
  <c r="J4" i="18"/>
  <c r="H5" i="18"/>
  <c r="P12" i="18"/>
  <c r="J13" i="18"/>
  <c r="S13" i="18"/>
  <c r="AA14" i="18"/>
  <c r="Q17" i="18"/>
  <c r="M21" i="18"/>
  <c r="J22" i="18"/>
  <c r="I23" i="18"/>
  <c r="C24" i="18"/>
  <c r="AA25" i="18"/>
  <c r="Q34" i="18"/>
  <c r="M35" i="18"/>
  <c r="J50" i="18"/>
  <c r="T69" i="18"/>
  <c r="AA73" i="18"/>
  <c r="H73" i="18"/>
  <c r="W73" i="18"/>
  <c r="C73" i="18"/>
  <c r="V73" i="18"/>
  <c r="R73" i="18"/>
  <c r="Q73" i="18"/>
  <c r="P73" i="18"/>
  <c r="J73" i="18"/>
  <c r="C21" i="18"/>
  <c r="H14" i="18"/>
  <c r="R21" i="18"/>
  <c r="P22" i="18"/>
  <c r="P23" i="18"/>
  <c r="I24" i="18"/>
  <c r="C25" i="18"/>
  <c r="AA26" i="18"/>
  <c r="C26" i="18"/>
  <c r="V26" i="18"/>
  <c r="Q26" i="18"/>
  <c r="R35" i="18"/>
  <c r="W55" i="18"/>
  <c r="C55" i="18"/>
  <c r="V55" i="18"/>
  <c r="U55" i="18"/>
  <c r="Q55" i="18"/>
  <c r="P55" i="18"/>
  <c r="AB55" i="18"/>
  <c r="I55" i="18"/>
  <c r="P21" i="18"/>
  <c r="J5" i="18"/>
  <c r="W4" i="18"/>
  <c r="C4" i="18"/>
  <c r="P4" i="18"/>
  <c r="U24" i="18"/>
  <c r="S24" i="18"/>
  <c r="J24" i="18"/>
  <c r="M5" i="18"/>
  <c r="AB6" i="18"/>
  <c r="I6" i="18"/>
  <c r="R6" i="18"/>
  <c r="T27" i="18"/>
  <c r="R27" i="18"/>
  <c r="AB27" i="18"/>
  <c r="I27" i="18"/>
  <c r="T22" i="18"/>
  <c r="R23" i="18"/>
  <c r="P24" i="18"/>
  <c r="I25" i="18"/>
  <c r="H26" i="18"/>
  <c r="H27" i="18"/>
  <c r="AA31" i="18"/>
  <c r="H31" i="18"/>
  <c r="V31" i="18"/>
  <c r="Q31" i="18"/>
  <c r="T35" i="18"/>
  <c r="T50" i="18"/>
  <c r="J56" i="18"/>
  <c r="S12" i="18"/>
  <c r="AA12" i="18"/>
  <c r="H12" i="18"/>
  <c r="AA21" i="18"/>
  <c r="H21" i="18"/>
  <c r="V21" i="18"/>
  <c r="Q21" i="18"/>
  <c r="R4" i="18"/>
  <c r="U14" i="18"/>
  <c r="J14" i="18"/>
  <c r="M6" i="18"/>
  <c r="W17" i="18"/>
  <c r="U22" i="18"/>
  <c r="T23" i="18"/>
  <c r="M25" i="18"/>
  <c r="J26" i="18"/>
  <c r="J27" i="18"/>
  <c r="S32" i="18"/>
  <c r="Q32" i="18"/>
  <c r="AA32" i="18"/>
  <c r="H32" i="18"/>
  <c r="V35" i="18"/>
  <c r="M56" i="18"/>
  <c r="T12" i="18"/>
  <c r="I14" i="18"/>
  <c r="J52" i="18"/>
  <c r="AB52" i="18"/>
  <c r="I52" i="18"/>
  <c r="AA52" i="18"/>
  <c r="H52" i="18"/>
  <c r="T52" i="18"/>
  <c r="S52" i="18"/>
  <c r="P52" i="18"/>
  <c r="S4" i="18"/>
  <c r="U12" i="18"/>
  <c r="Q15" i="18"/>
  <c r="V15" i="18"/>
  <c r="T4" i="18"/>
  <c r="T7" i="18"/>
  <c r="AB7" i="18"/>
  <c r="I7" i="18"/>
  <c r="Q10" i="18"/>
  <c r="V10" i="18"/>
  <c r="V12" i="18"/>
  <c r="P14" i="18"/>
  <c r="H15" i="18"/>
  <c r="Q24" i="18"/>
  <c r="U4" i="18"/>
  <c r="P6" i="18"/>
  <c r="J10" i="18"/>
  <c r="W12" i="18"/>
  <c r="Q14" i="18"/>
  <c r="J15" i="18"/>
  <c r="AB16" i="18"/>
  <c r="I16" i="18"/>
  <c r="R16" i="18"/>
  <c r="AA17" i="18"/>
  <c r="W21" i="18"/>
  <c r="V22" i="18"/>
  <c r="U23" i="18"/>
  <c r="R24" i="18"/>
  <c r="M26" i="18"/>
  <c r="M27" i="18"/>
  <c r="J31" i="18"/>
  <c r="I32" i="18"/>
  <c r="J33" i="18"/>
  <c r="AA33" i="18"/>
  <c r="H33" i="18"/>
  <c r="S33" i="18"/>
  <c r="AB34" i="18"/>
  <c r="W35" i="18"/>
  <c r="S51" i="18"/>
  <c r="R51" i="18"/>
  <c r="Q51" i="18"/>
  <c r="AB51" i="18"/>
  <c r="I51" i="18"/>
  <c r="AA51" i="18"/>
  <c r="H51" i="18"/>
  <c r="H55" i="18"/>
  <c r="S56" i="18"/>
  <c r="AA60" i="18"/>
  <c r="H60" i="18"/>
  <c r="W60" i="18"/>
  <c r="C60" i="18"/>
  <c r="V60" i="18"/>
  <c r="R60" i="18"/>
  <c r="Q60" i="18"/>
  <c r="J60" i="18"/>
  <c r="M4" i="18"/>
  <c r="R5" i="18"/>
  <c r="W5" i="18"/>
  <c r="C5" i="18"/>
  <c r="Q12" i="18"/>
  <c r="Q4" i="18"/>
  <c r="S21" i="18"/>
  <c r="P25" i="18"/>
  <c r="J25" i="18"/>
  <c r="U25" i="18"/>
  <c r="S61" i="18"/>
  <c r="R61" i="18"/>
  <c r="Q61" i="18"/>
  <c r="AB61" i="18"/>
  <c r="I61" i="18"/>
  <c r="AA61" i="18"/>
  <c r="H61" i="18"/>
  <c r="U61" i="18"/>
  <c r="S69" i="18"/>
  <c r="R69" i="18"/>
  <c r="Q69" i="18"/>
  <c r="AB69" i="18"/>
  <c r="H69" i="18"/>
  <c r="AA69" i="18"/>
  <c r="C69" i="18"/>
  <c r="U69" i="18"/>
  <c r="J6" i="18"/>
  <c r="Q5" i="18"/>
  <c r="U21" i="18"/>
  <c r="S5" i="18"/>
  <c r="J7" i="18"/>
  <c r="V4" i="18"/>
  <c r="T5" i="18"/>
  <c r="Q6" i="18"/>
  <c r="M7" i="18"/>
  <c r="M10" i="18"/>
  <c r="AA11" i="18"/>
  <c r="H11" i="18"/>
  <c r="Q11" i="18"/>
  <c r="AB12" i="18"/>
  <c r="R14" i="18"/>
  <c r="M15" i="18"/>
  <c r="J16" i="18"/>
  <c r="AB21" i="18"/>
  <c r="W22" i="18"/>
  <c r="V23" i="18"/>
  <c r="T24" i="18"/>
  <c r="R25" i="18"/>
  <c r="P26" i="18"/>
  <c r="P27" i="18"/>
  <c r="M31" i="18"/>
  <c r="J32" i="18"/>
  <c r="I33" i="18"/>
  <c r="AA35" i="18"/>
  <c r="C52" i="18"/>
  <c r="J55" i="18"/>
  <c r="U56" i="18"/>
  <c r="C61" i="18"/>
  <c r="S73" i="18"/>
  <c r="S74" i="18"/>
  <c r="R74" i="18"/>
  <c r="Q74" i="18"/>
  <c r="AB74" i="18"/>
  <c r="I74" i="18"/>
  <c r="AA74" i="18"/>
  <c r="H74" i="18"/>
  <c r="W74" i="18"/>
  <c r="C74" i="18"/>
  <c r="U74" i="18"/>
  <c r="Q23" i="18"/>
  <c r="H25" i="18"/>
  <c r="AA4" i="18"/>
  <c r="U5" i="18"/>
  <c r="S6" i="18"/>
  <c r="C12" i="18"/>
  <c r="S14" i="18"/>
  <c r="P15" i="18"/>
  <c r="T17" i="18"/>
  <c r="AB17" i="18"/>
  <c r="I17" i="18"/>
  <c r="AB22" i="18"/>
  <c r="W23" i="18"/>
  <c r="V24" i="18"/>
  <c r="S25" i="18"/>
  <c r="R26" i="18"/>
  <c r="Q27" i="18"/>
  <c r="P31" i="18"/>
  <c r="M32" i="18"/>
  <c r="U34" i="18"/>
  <c r="S34" i="18"/>
  <c r="J34" i="18"/>
  <c r="AB35" i="18"/>
  <c r="AA50" i="18"/>
  <c r="H50" i="18"/>
  <c r="W50" i="18"/>
  <c r="C50" i="18"/>
  <c r="V50" i="18"/>
  <c r="R50" i="18"/>
  <c r="Q50" i="18"/>
  <c r="M52" i="18"/>
  <c r="M55" i="18"/>
  <c r="V56" i="18"/>
  <c r="J61" i="18"/>
  <c r="R54" i="18"/>
  <c r="V80" i="18"/>
  <c r="U77" i="18"/>
  <c r="P79" i="18"/>
  <c r="C80" i="18"/>
  <c r="W80" i="18"/>
  <c r="V77" i="18"/>
  <c r="Q79" i="18"/>
  <c r="H80" i="18"/>
  <c r="AA80" i="18"/>
  <c r="V20" i="18"/>
  <c r="V30" i="18"/>
  <c r="V49" i="18"/>
  <c r="J53" i="18"/>
  <c r="U54" i="18"/>
  <c r="V59" i="18"/>
  <c r="U68" i="18"/>
  <c r="T75" i="18"/>
  <c r="P76" i="18"/>
  <c r="C77" i="18"/>
  <c r="W77" i="18"/>
  <c r="R79" i="18"/>
  <c r="I80" i="18"/>
  <c r="AB80" i="18"/>
  <c r="V54" i="18"/>
  <c r="U79" i="18"/>
  <c r="P80" i="18"/>
  <c r="V79" i="18"/>
  <c r="Q80" i="18"/>
  <c r="S53" i="18"/>
  <c r="J54" i="18"/>
  <c r="H75" i="18"/>
  <c r="AB75" i="18"/>
  <c r="U76" i="18"/>
  <c r="P77" i="18"/>
  <c r="C79" i="18"/>
  <c r="W79" i="18"/>
  <c r="R80" i="18"/>
  <c r="V76" i="18"/>
  <c r="Q77" i="18"/>
  <c r="H79" i="18"/>
  <c r="AA79" i="18"/>
  <c r="S80" i="18"/>
  <c r="C76" i="18"/>
  <c r="I79" i="18"/>
  <c r="T80" i="18"/>
  <c r="P67" i="17"/>
  <c r="J67" i="17"/>
  <c r="H67" i="17"/>
  <c r="M67" i="17"/>
  <c r="J61" i="17"/>
  <c r="AB61" i="17"/>
  <c r="H61" i="17"/>
  <c r="AA61" i="17"/>
  <c r="T60" i="17"/>
  <c r="Q67" i="17"/>
  <c r="S67" i="17"/>
  <c r="R67" i="17"/>
  <c r="J60" i="17"/>
  <c r="M60" i="17"/>
  <c r="T67" i="17"/>
  <c r="P60" i="17"/>
  <c r="U67" i="17"/>
  <c r="S60" i="17"/>
  <c r="V67" i="17"/>
  <c r="W67" i="17"/>
  <c r="C67" i="17"/>
  <c r="AA67" i="17"/>
  <c r="Q60" i="17"/>
  <c r="R60" i="17"/>
  <c r="V60" i="17"/>
  <c r="W60" i="17"/>
  <c r="U60" i="17"/>
  <c r="AA60" i="17"/>
  <c r="C60" i="17"/>
  <c r="H60" i="17"/>
  <c r="J37" i="17"/>
  <c r="M37" i="17"/>
  <c r="P37" i="17"/>
  <c r="Q37" i="17"/>
  <c r="R37" i="17"/>
  <c r="S37" i="17"/>
  <c r="T37" i="17"/>
  <c r="U37" i="17"/>
  <c r="V37" i="17"/>
  <c r="C37" i="17"/>
  <c r="W37" i="17"/>
  <c r="H37" i="17"/>
  <c r="AA37" i="17"/>
  <c r="I37" i="17"/>
  <c r="J36" i="17"/>
  <c r="M36" i="17"/>
  <c r="P36" i="17"/>
  <c r="Q36" i="17"/>
  <c r="R36" i="17"/>
  <c r="S36" i="17"/>
  <c r="T36" i="17"/>
  <c r="C36" i="17"/>
  <c r="W36" i="17"/>
  <c r="U36" i="17"/>
  <c r="V36" i="17"/>
  <c r="H36" i="17"/>
  <c r="AA36" i="17"/>
  <c r="I36" i="17"/>
  <c r="J72" i="17"/>
  <c r="M72" i="17"/>
  <c r="P72" i="17"/>
  <c r="Q72" i="17"/>
  <c r="R72" i="17"/>
  <c r="S72" i="17"/>
  <c r="T72" i="17"/>
  <c r="U72" i="17"/>
  <c r="V72" i="17"/>
  <c r="C72" i="17"/>
  <c r="W72" i="17"/>
  <c r="H72" i="17"/>
  <c r="AA72" i="17"/>
  <c r="I72" i="17"/>
  <c r="J56" i="17"/>
  <c r="M56" i="17"/>
  <c r="P56" i="17"/>
  <c r="Q56" i="17"/>
  <c r="R56" i="17"/>
  <c r="S56" i="17"/>
  <c r="T56" i="17"/>
  <c r="U56" i="17"/>
  <c r="V56" i="17"/>
  <c r="C56" i="17"/>
  <c r="H56" i="17"/>
  <c r="AA56" i="17"/>
  <c r="W56" i="17"/>
  <c r="I56" i="17"/>
  <c r="I55" i="17"/>
  <c r="J55" i="17"/>
  <c r="M55" i="17"/>
  <c r="P55" i="17"/>
  <c r="Q55" i="17"/>
  <c r="R55" i="17"/>
  <c r="S55" i="17"/>
  <c r="T55" i="17"/>
  <c r="U55" i="17"/>
  <c r="V55" i="17"/>
  <c r="C55" i="17"/>
  <c r="W55" i="17"/>
  <c r="H55" i="17"/>
  <c r="AA55" i="17"/>
  <c r="AD74" i="17"/>
  <c r="AC74" i="17"/>
  <c r="AB74" i="17"/>
  <c r="AA74" i="17"/>
  <c r="W74" i="17"/>
  <c r="V74" i="17"/>
  <c r="U74" i="17"/>
  <c r="T74" i="17"/>
  <c r="S74" i="17"/>
  <c r="R74" i="17"/>
  <c r="Q74" i="17"/>
  <c r="P74" i="17"/>
  <c r="J74" i="17"/>
  <c r="H74" i="17"/>
  <c r="C74" i="17"/>
  <c r="AD73" i="17"/>
  <c r="AC73" i="17"/>
  <c r="AB73" i="17"/>
  <c r="AA73" i="17"/>
  <c r="W73" i="17"/>
  <c r="V73" i="17"/>
  <c r="U73" i="17"/>
  <c r="T73" i="17"/>
  <c r="S73" i="17"/>
  <c r="R73" i="17"/>
  <c r="Q73" i="17"/>
  <c r="P73" i="17"/>
  <c r="J73" i="17"/>
  <c r="H73" i="17"/>
  <c r="C73" i="17"/>
  <c r="AD71" i="17"/>
  <c r="J71" i="17" s="1"/>
  <c r="AD69" i="17"/>
  <c r="R69" i="17" s="1"/>
  <c r="AD68" i="17"/>
  <c r="AB68" i="17" s="1"/>
  <c r="AD66" i="17"/>
  <c r="P66" i="17" s="1"/>
  <c r="AD65" i="17"/>
  <c r="P65" i="17" s="1"/>
  <c r="AD63" i="17"/>
  <c r="AB63" i="17" s="1"/>
  <c r="AD62" i="17"/>
  <c r="P62" i="17" s="1"/>
  <c r="AD4" i="17"/>
  <c r="AA4" i="17" s="1"/>
  <c r="AD57" i="17"/>
  <c r="AB57" i="17"/>
  <c r="AA57" i="17"/>
  <c r="W57" i="17"/>
  <c r="V57" i="17"/>
  <c r="U57" i="17"/>
  <c r="T57" i="17"/>
  <c r="S57" i="17"/>
  <c r="R57" i="17"/>
  <c r="Q57" i="17"/>
  <c r="P57" i="17"/>
  <c r="J57" i="17"/>
  <c r="H57" i="17"/>
  <c r="C57" i="17"/>
  <c r="AD54" i="17"/>
  <c r="W54" i="17" s="1"/>
  <c r="AD53" i="17"/>
  <c r="AD52" i="17"/>
  <c r="P52" i="17" s="1"/>
  <c r="AD51" i="17"/>
  <c r="J51" i="17" s="1"/>
  <c r="AD50" i="17"/>
  <c r="J50" i="17" s="1"/>
  <c r="AD49" i="17"/>
  <c r="S49" i="17" s="1"/>
  <c r="AD48" i="17"/>
  <c r="S48" i="17" s="1"/>
  <c r="AD47" i="17"/>
  <c r="P47" i="17" s="1"/>
  <c r="AD46" i="17"/>
  <c r="W46" i="17" s="1"/>
  <c r="AD45" i="17"/>
  <c r="J45" i="17" s="1"/>
  <c r="AD44" i="17"/>
  <c r="W44" i="17" s="1"/>
  <c r="AD43" i="17"/>
  <c r="M43" i="17" s="1"/>
  <c r="AD42" i="17"/>
  <c r="Q42" i="17" s="1"/>
  <c r="AD41" i="17"/>
  <c r="T41" i="17" s="1"/>
  <c r="AD40" i="17"/>
  <c r="U40" i="17" s="1"/>
  <c r="AC40" i="17"/>
  <c r="AD35" i="17"/>
  <c r="AA35" i="17" s="1"/>
  <c r="AD34" i="17"/>
  <c r="J34" i="17" s="1"/>
  <c r="AD33" i="17"/>
  <c r="W33" i="17" s="1"/>
  <c r="AD32" i="17"/>
  <c r="T32" i="17" s="1"/>
  <c r="AD31" i="17"/>
  <c r="R31" i="17" s="1"/>
  <c r="AD30" i="17"/>
  <c r="W30" i="17" s="1"/>
  <c r="AD29" i="17"/>
  <c r="U29" i="17" s="1"/>
  <c r="AD28" i="17"/>
  <c r="T28" i="17" s="1"/>
  <c r="AD27" i="17"/>
  <c r="I27" i="17" s="1"/>
  <c r="AD26" i="17"/>
  <c r="Q26" i="17" s="1"/>
  <c r="AD25" i="17"/>
  <c r="P25" i="17" s="1"/>
  <c r="AD24" i="17"/>
  <c r="J24" i="17" s="1"/>
  <c r="AD23" i="17"/>
  <c r="V23" i="17" s="1"/>
  <c r="AD22" i="17"/>
  <c r="J22" i="17" s="1"/>
  <c r="AD21" i="17"/>
  <c r="R21" i="17" s="1"/>
  <c r="AD20" i="17"/>
  <c r="W20" i="17" s="1"/>
  <c r="AD19" i="17"/>
  <c r="U19" i="17" s="1"/>
  <c r="AD18" i="17"/>
  <c r="U18" i="17" s="1"/>
  <c r="AD17" i="17"/>
  <c r="P17" i="17" s="1"/>
  <c r="AD16" i="17"/>
  <c r="Q16" i="17" s="1"/>
  <c r="AD15" i="17"/>
  <c r="P15" i="17" s="1"/>
  <c r="AD14" i="17"/>
  <c r="T14" i="17" s="1"/>
  <c r="AD13" i="17"/>
  <c r="V13" i="17" s="1"/>
  <c r="AD12" i="17"/>
  <c r="T12" i="17" s="1"/>
  <c r="AD11" i="17"/>
  <c r="R11" i="17" s="1"/>
  <c r="AD10" i="17"/>
  <c r="W10" i="17" s="1"/>
  <c r="AD9" i="17"/>
  <c r="P9" i="17" s="1"/>
  <c r="AD8" i="17"/>
  <c r="U8" i="17" s="1"/>
  <c r="AD7" i="17"/>
  <c r="U7" i="17" s="1"/>
  <c r="AD6" i="17"/>
  <c r="S6" i="17" s="1"/>
  <c r="AC6" i="17"/>
  <c r="T69" i="17" l="1"/>
  <c r="I29" i="17"/>
  <c r="AB9" i="17"/>
  <c r="J62" i="17"/>
  <c r="J31" i="17"/>
  <c r="Q62" i="17"/>
  <c r="W49" i="17"/>
  <c r="M21" i="17"/>
  <c r="AB35" i="17"/>
  <c r="AB19" i="17"/>
  <c r="H25" i="17"/>
  <c r="J25" i="17"/>
  <c r="M25" i="17"/>
  <c r="R25" i="17"/>
  <c r="S25" i="17"/>
  <c r="T17" i="17"/>
  <c r="U25" i="17"/>
  <c r="Q25" i="17"/>
  <c r="I31" i="17"/>
  <c r="C24" i="17"/>
  <c r="V25" i="17"/>
  <c r="H29" i="17"/>
  <c r="W25" i="17"/>
  <c r="AA25" i="17"/>
  <c r="C25" i="17"/>
  <c r="AB25" i="17"/>
  <c r="W34" i="17"/>
  <c r="I30" i="17"/>
  <c r="AA34" i="17"/>
  <c r="S21" i="17"/>
  <c r="I19" i="17"/>
  <c r="T25" i="17"/>
  <c r="M28" i="17"/>
  <c r="Q28" i="17"/>
  <c r="M31" i="17"/>
  <c r="AB4" i="17"/>
  <c r="H24" i="17"/>
  <c r="S45" i="17"/>
  <c r="AA28" i="17"/>
  <c r="Q8" i="17"/>
  <c r="M12" i="17"/>
  <c r="W8" i="17"/>
  <c r="P12" i="17"/>
  <c r="I25" i="17"/>
  <c r="H47" i="17"/>
  <c r="S62" i="17"/>
  <c r="AA8" i="17"/>
  <c r="M22" i="17"/>
  <c r="C45" i="17"/>
  <c r="C9" i="17"/>
  <c r="J12" i="17"/>
  <c r="J15" i="17"/>
  <c r="H19" i="17"/>
  <c r="P22" i="17"/>
  <c r="H45" i="17"/>
  <c r="R62" i="17"/>
  <c r="U69" i="17"/>
  <c r="C15" i="17"/>
  <c r="Q15" i="17"/>
  <c r="Q9" i="17"/>
  <c r="P45" i="17"/>
  <c r="I15" i="17"/>
  <c r="M26" i="17"/>
  <c r="R26" i="17"/>
  <c r="T9" i="17"/>
  <c r="AA15" i="17"/>
  <c r="S26" i="17"/>
  <c r="Q45" i="17"/>
  <c r="U49" i="17"/>
  <c r="V63" i="17"/>
  <c r="H15" i="17"/>
  <c r="H9" i="17"/>
  <c r="M45" i="17"/>
  <c r="W15" i="17"/>
  <c r="V9" i="17"/>
  <c r="U26" i="17"/>
  <c r="R45" i="17"/>
  <c r="V49" i="17"/>
  <c r="AB24" i="17"/>
  <c r="T26" i="17"/>
  <c r="R42" i="17"/>
  <c r="AB52" i="17"/>
  <c r="I9" i="17"/>
  <c r="M10" i="17"/>
  <c r="AB26" i="17"/>
  <c r="T43" i="17"/>
  <c r="J10" i="17"/>
  <c r="AA26" i="17"/>
  <c r="P43" i="17"/>
  <c r="P7" i="17"/>
  <c r="M9" i="17"/>
  <c r="R10" i="17"/>
  <c r="AB15" i="17"/>
  <c r="J19" i="17"/>
  <c r="T22" i="17"/>
  <c r="C33" i="17"/>
  <c r="V45" i="17"/>
  <c r="V69" i="17"/>
  <c r="I10" i="17"/>
  <c r="S10" i="17"/>
  <c r="R9" i="17"/>
  <c r="AA10" i="17"/>
  <c r="AB30" i="17"/>
  <c r="U33" i="17"/>
  <c r="C44" i="17"/>
  <c r="M33" i="17"/>
  <c r="C8" i="17"/>
  <c r="S9" i="17"/>
  <c r="AB10" i="17"/>
  <c r="AB16" i="17"/>
  <c r="W23" i="17"/>
  <c r="I26" i="17"/>
  <c r="V33" i="17"/>
  <c r="M46" i="17"/>
  <c r="AB65" i="17"/>
  <c r="J26" i="17"/>
  <c r="J28" i="17"/>
  <c r="I4" i="17"/>
  <c r="J4" i="17"/>
  <c r="I35" i="17"/>
  <c r="AB47" i="17"/>
  <c r="Q4" i="17"/>
  <c r="I65" i="17"/>
  <c r="M66" i="17"/>
  <c r="J66" i="17"/>
  <c r="M15" i="17"/>
  <c r="I16" i="17"/>
  <c r="C18" i="17"/>
  <c r="J35" i="17"/>
  <c r="R4" i="17"/>
  <c r="J65" i="17"/>
  <c r="Q66" i="17"/>
  <c r="H65" i="17"/>
  <c r="H18" i="17"/>
  <c r="AB8" i="17"/>
  <c r="W9" i="17"/>
  <c r="R15" i="17"/>
  <c r="R16" i="17"/>
  <c r="M18" i="17"/>
  <c r="J29" i="17"/>
  <c r="T31" i="17"/>
  <c r="P34" i="17"/>
  <c r="P35" i="17"/>
  <c r="V44" i="17"/>
  <c r="W45" i="17"/>
  <c r="J48" i="17"/>
  <c r="H51" i="17"/>
  <c r="T4" i="17"/>
  <c r="T62" i="17"/>
  <c r="T65" i="17"/>
  <c r="S66" i="17"/>
  <c r="J16" i="17"/>
  <c r="M35" i="17"/>
  <c r="S65" i="17"/>
  <c r="R66" i="17"/>
  <c r="AA9" i="17"/>
  <c r="H14" i="17"/>
  <c r="S15" i="17"/>
  <c r="S16" i="17"/>
  <c r="P18" i="17"/>
  <c r="J27" i="17"/>
  <c r="AB29" i="17"/>
  <c r="Q34" i="17"/>
  <c r="Q35" i="17"/>
  <c r="AA45" i="17"/>
  <c r="M48" i="17"/>
  <c r="I51" i="17"/>
  <c r="U4" i="17"/>
  <c r="U62" i="17"/>
  <c r="U65" i="17"/>
  <c r="T66" i="17"/>
  <c r="M71" i="17"/>
  <c r="V11" i="17"/>
  <c r="I14" i="17"/>
  <c r="T15" i="17"/>
  <c r="T16" i="17"/>
  <c r="Q18" i="17"/>
  <c r="R34" i="17"/>
  <c r="R35" i="17"/>
  <c r="AB51" i="17"/>
  <c r="V4" i="17"/>
  <c r="AA62" i="17"/>
  <c r="V65" i="17"/>
  <c r="AA66" i="17"/>
  <c r="Q71" i="17"/>
  <c r="AB11" i="17"/>
  <c r="AB14" i="17"/>
  <c r="U15" i="17"/>
  <c r="U16" i="17"/>
  <c r="R18" i="17"/>
  <c r="I21" i="17"/>
  <c r="S34" i="17"/>
  <c r="S35" i="17"/>
  <c r="C42" i="17"/>
  <c r="C4" i="17"/>
  <c r="W4" i="17"/>
  <c r="AB62" i="17"/>
  <c r="W65" i="17"/>
  <c r="AB66" i="17"/>
  <c r="M4" i="17"/>
  <c r="C65" i="17"/>
  <c r="P4" i="17"/>
  <c r="M34" i="17"/>
  <c r="S4" i="17"/>
  <c r="V15" i="17"/>
  <c r="AA16" i="17"/>
  <c r="S18" i="17"/>
  <c r="J21" i="17"/>
  <c r="C28" i="17"/>
  <c r="H30" i="17"/>
  <c r="V34" i="17"/>
  <c r="T35" i="17"/>
  <c r="H42" i="17"/>
  <c r="J46" i="17"/>
  <c r="H4" i="17"/>
  <c r="AA65" i="17"/>
  <c r="I41" i="17"/>
  <c r="J14" i="17"/>
  <c r="I24" i="17"/>
  <c r="U6" i="17"/>
  <c r="S11" i="17"/>
  <c r="V14" i="17"/>
  <c r="T11" i="17"/>
  <c r="AB20" i="17"/>
  <c r="AA46" i="17"/>
  <c r="U47" i="17"/>
  <c r="M49" i="17"/>
  <c r="R63" i="17"/>
  <c r="M69" i="17"/>
  <c r="V19" i="17"/>
  <c r="AA20" i="17"/>
  <c r="V24" i="17"/>
  <c r="V6" i="17"/>
  <c r="R8" i="17"/>
  <c r="W14" i="17"/>
  <c r="W19" i="17"/>
  <c r="W24" i="17"/>
  <c r="W29" i="17"/>
  <c r="M32" i="17"/>
  <c r="C41" i="17"/>
  <c r="AB41" i="17"/>
  <c r="H46" i="17"/>
  <c r="W51" i="17"/>
  <c r="U52" i="17"/>
  <c r="V8" i="17"/>
  <c r="U11" i="17"/>
  <c r="C14" i="17"/>
  <c r="AA14" i="17"/>
  <c r="I18" i="17"/>
  <c r="C19" i="17"/>
  <c r="AA19" i="17"/>
  <c r="AA24" i="17"/>
  <c r="C29" i="17"/>
  <c r="AA29" i="17"/>
  <c r="H41" i="17"/>
  <c r="I46" i="17"/>
  <c r="AB46" i="17"/>
  <c r="AA47" i="17"/>
  <c r="T49" i="17"/>
  <c r="C51" i="17"/>
  <c r="AA51" i="17"/>
  <c r="AA52" i="17"/>
  <c r="U63" i="17"/>
  <c r="S69" i="17"/>
  <c r="P28" i="17"/>
  <c r="M29" i="17"/>
  <c r="S31" i="17"/>
  <c r="Q41" i="17"/>
  <c r="J42" i="17"/>
  <c r="Q46" i="17"/>
  <c r="I47" i="17"/>
  <c r="P51" i="17"/>
  <c r="C52" i="17"/>
  <c r="P46" i="17"/>
  <c r="P19" i="17"/>
  <c r="I20" i="17"/>
  <c r="P29" i="17"/>
  <c r="H52" i="17"/>
  <c r="V18" i="17"/>
  <c r="T21" i="17"/>
  <c r="Q29" i="17"/>
  <c r="U35" i="17"/>
  <c r="M40" i="17"/>
  <c r="S41" i="17"/>
  <c r="S42" i="17"/>
  <c r="S46" i="17"/>
  <c r="M47" i="17"/>
  <c r="M50" i="17"/>
  <c r="R51" i="17"/>
  <c r="J52" i="17"/>
  <c r="P41" i="17"/>
  <c r="M14" i="17"/>
  <c r="Q51" i="17"/>
  <c r="J30" i="17"/>
  <c r="J6" i="17"/>
  <c r="I8" i="17"/>
  <c r="I11" i="17"/>
  <c r="Q40" i="17"/>
  <c r="T46" i="17"/>
  <c r="Q47" i="17"/>
  <c r="P50" i="17"/>
  <c r="S51" i="17"/>
  <c r="Q52" i="17"/>
  <c r="J63" i="17"/>
  <c r="M65" i="17"/>
  <c r="H66" i="17"/>
  <c r="J68" i="17"/>
  <c r="P71" i="17"/>
  <c r="Q19" i="17"/>
  <c r="C23" i="17"/>
  <c r="Q24" i="17"/>
  <c r="W18" i="17"/>
  <c r="M20" i="17"/>
  <c r="U21" i="17"/>
  <c r="M23" i="17"/>
  <c r="R24" i="17"/>
  <c r="V35" i="17"/>
  <c r="T42" i="17"/>
  <c r="M6" i="17"/>
  <c r="M8" i="17"/>
  <c r="J11" i="17"/>
  <c r="AA18" i="17"/>
  <c r="S19" i="17"/>
  <c r="R20" i="17"/>
  <c r="V21" i="17"/>
  <c r="U23" i="17"/>
  <c r="S24" i="17"/>
  <c r="V28" i="17"/>
  <c r="S29" i="17"/>
  <c r="S30" i="17"/>
  <c r="AB31" i="17"/>
  <c r="C34" i="17"/>
  <c r="C35" i="17"/>
  <c r="W35" i="17"/>
  <c r="V41" i="17"/>
  <c r="U42" i="17"/>
  <c r="U46" i="17"/>
  <c r="R47" i="17"/>
  <c r="Q50" i="17"/>
  <c r="T51" i="17"/>
  <c r="R52" i="17"/>
  <c r="C62" i="17"/>
  <c r="M63" i="17"/>
  <c r="Q65" i="17"/>
  <c r="I66" i="17"/>
  <c r="M19" i="17"/>
  <c r="H20" i="17"/>
  <c r="M24" i="17"/>
  <c r="P14" i="17"/>
  <c r="P24" i="17"/>
  <c r="R41" i="17"/>
  <c r="R46" i="17"/>
  <c r="J47" i="17"/>
  <c r="H8" i="17"/>
  <c r="Q14" i="17"/>
  <c r="J20" i="17"/>
  <c r="R28" i="17"/>
  <c r="U31" i="17"/>
  <c r="R14" i="17"/>
  <c r="R19" i="17"/>
  <c r="U28" i="17"/>
  <c r="R29" i="17"/>
  <c r="R30" i="17"/>
  <c r="V31" i="17"/>
  <c r="U41" i="17"/>
  <c r="S14" i="17"/>
  <c r="T6" i="17"/>
  <c r="P8" i="17"/>
  <c r="J9" i="17"/>
  <c r="H10" i="17"/>
  <c r="M11" i="17"/>
  <c r="U14" i="17"/>
  <c r="H16" i="17"/>
  <c r="AB18" i="17"/>
  <c r="T19" i="17"/>
  <c r="S20" i="17"/>
  <c r="AB21" i="17"/>
  <c r="U24" i="17"/>
  <c r="H26" i="17"/>
  <c r="W28" i="17"/>
  <c r="T29" i="17"/>
  <c r="AA30" i="17"/>
  <c r="H34" i="17"/>
  <c r="H35" i="17"/>
  <c r="W41" i="17"/>
  <c r="AA42" i="17"/>
  <c r="V46" i="17"/>
  <c r="S47" i="17"/>
  <c r="C49" i="17"/>
  <c r="U50" i="17"/>
  <c r="U51" i="17"/>
  <c r="S52" i="17"/>
  <c r="H62" i="17"/>
  <c r="P63" i="17"/>
  <c r="R65" i="17"/>
  <c r="M41" i="17"/>
  <c r="M51" i="17"/>
  <c r="V29" i="17"/>
  <c r="AA41" i="17"/>
  <c r="AB42" i="17"/>
  <c r="C46" i="17"/>
  <c r="T47" i="17"/>
  <c r="J49" i="17"/>
  <c r="V51" i="17"/>
  <c r="T52" i="17"/>
  <c r="Q63" i="17"/>
  <c r="J69" i="17"/>
  <c r="AA27" i="17"/>
  <c r="H27" i="17"/>
  <c r="T27" i="17"/>
  <c r="W27" i="17"/>
  <c r="C27" i="17"/>
  <c r="V27" i="17"/>
  <c r="U27" i="17"/>
  <c r="R27" i="17"/>
  <c r="Q27" i="17"/>
  <c r="P27" i="17"/>
  <c r="M13" i="17"/>
  <c r="Q7" i="17"/>
  <c r="U13" i="17"/>
  <c r="P32" i="17"/>
  <c r="J53" i="17"/>
  <c r="AB53" i="17"/>
  <c r="I53" i="17"/>
  <c r="AA53" i="17"/>
  <c r="H53" i="17"/>
  <c r="W53" i="17"/>
  <c r="C53" i="17"/>
  <c r="V53" i="17"/>
  <c r="U53" i="17"/>
  <c r="S53" i="17"/>
  <c r="R53" i="17"/>
  <c r="Q53" i="17"/>
  <c r="J17" i="17"/>
  <c r="AB22" i="17"/>
  <c r="I22" i="17"/>
  <c r="V22" i="17"/>
  <c r="AA22" i="17"/>
  <c r="H22" i="17"/>
  <c r="U22" i="17"/>
  <c r="W22" i="17"/>
  <c r="C22" i="17"/>
  <c r="S22" i="17"/>
  <c r="R22" i="17"/>
  <c r="Q22" i="17"/>
  <c r="AB48" i="17"/>
  <c r="I48" i="17"/>
  <c r="AA48" i="17"/>
  <c r="H48" i="17"/>
  <c r="W48" i="17"/>
  <c r="C48" i="17"/>
  <c r="V48" i="17"/>
  <c r="U48" i="17"/>
  <c r="T48" i="17"/>
  <c r="R48" i="17"/>
  <c r="Q48" i="17"/>
  <c r="P48" i="17"/>
  <c r="C54" i="17"/>
  <c r="T13" i="17"/>
  <c r="Q13" i="17"/>
  <c r="S13" i="17"/>
  <c r="R13" i="17"/>
  <c r="P13" i="17"/>
  <c r="J13" i="17"/>
  <c r="AB13" i="17"/>
  <c r="I13" i="17"/>
  <c r="AA13" i="17"/>
  <c r="H13" i="17"/>
  <c r="W13" i="17"/>
  <c r="M17" i="17"/>
  <c r="J40" i="17"/>
  <c r="AB40" i="17"/>
  <c r="I40" i="17"/>
  <c r="AA40" i="17"/>
  <c r="H40" i="17"/>
  <c r="W40" i="17"/>
  <c r="C40" i="17"/>
  <c r="V40" i="17"/>
  <c r="T40" i="17"/>
  <c r="S40" i="17"/>
  <c r="R40" i="17"/>
  <c r="U44" i="17"/>
  <c r="T44" i="17"/>
  <c r="S44" i="17"/>
  <c r="R44" i="17"/>
  <c r="Q44" i="17"/>
  <c r="P44" i="17"/>
  <c r="J44" i="17"/>
  <c r="AB44" i="17"/>
  <c r="I44" i="17"/>
  <c r="AA44" i="17"/>
  <c r="H44" i="17"/>
  <c r="M54" i="17"/>
  <c r="J7" i="17"/>
  <c r="AA7" i="17"/>
  <c r="H7" i="17"/>
  <c r="W7" i="17"/>
  <c r="C7" i="17"/>
  <c r="AB7" i="17"/>
  <c r="I7" i="17"/>
  <c r="V7" i="17"/>
  <c r="T7" i="17"/>
  <c r="S7" i="17"/>
  <c r="R7" i="17"/>
  <c r="AB32" i="17"/>
  <c r="I32" i="17"/>
  <c r="AA32" i="17"/>
  <c r="H32" i="17"/>
  <c r="W32" i="17"/>
  <c r="C32" i="17"/>
  <c r="V32" i="17"/>
  <c r="U32" i="17"/>
  <c r="S32" i="17"/>
  <c r="R32" i="17"/>
  <c r="Q32" i="17"/>
  <c r="V54" i="17"/>
  <c r="M27" i="17"/>
  <c r="U54" i="17"/>
  <c r="T54" i="17"/>
  <c r="S54" i="17"/>
  <c r="R54" i="17"/>
  <c r="Q54" i="17"/>
  <c r="P54" i="17"/>
  <c r="J54" i="17"/>
  <c r="AB54" i="17"/>
  <c r="I54" i="17"/>
  <c r="AA54" i="17"/>
  <c r="H54" i="17"/>
  <c r="T23" i="17"/>
  <c r="Q23" i="17"/>
  <c r="P23" i="17"/>
  <c r="S23" i="17"/>
  <c r="R23" i="17"/>
  <c r="J23" i="17"/>
  <c r="AB23" i="17"/>
  <c r="I23" i="17"/>
  <c r="AA23" i="17"/>
  <c r="H23" i="17"/>
  <c r="S27" i="17"/>
  <c r="J43" i="17"/>
  <c r="AB43" i="17"/>
  <c r="I43" i="17"/>
  <c r="AA43" i="17"/>
  <c r="H43" i="17"/>
  <c r="W43" i="17"/>
  <c r="C43" i="17"/>
  <c r="V43" i="17"/>
  <c r="U43" i="17"/>
  <c r="S43" i="17"/>
  <c r="R43" i="17"/>
  <c r="Q43" i="17"/>
  <c r="M53" i="17"/>
  <c r="AB12" i="17"/>
  <c r="I12" i="17"/>
  <c r="V12" i="17"/>
  <c r="U12" i="17"/>
  <c r="AA12" i="17"/>
  <c r="H12" i="17"/>
  <c r="W12" i="17"/>
  <c r="C12" i="17"/>
  <c r="S12" i="17"/>
  <c r="R12" i="17"/>
  <c r="Q12" i="17"/>
  <c r="AB27" i="17"/>
  <c r="P53" i="17"/>
  <c r="AB17" i="17"/>
  <c r="H17" i="17"/>
  <c r="V17" i="17"/>
  <c r="AA17" i="17"/>
  <c r="C17" i="17"/>
  <c r="W17" i="17"/>
  <c r="U17" i="17"/>
  <c r="S17" i="17"/>
  <c r="Q17" i="17"/>
  <c r="R17" i="17"/>
  <c r="M7" i="17"/>
  <c r="C13" i="17"/>
  <c r="J32" i="17"/>
  <c r="T33" i="17"/>
  <c r="S33" i="17"/>
  <c r="R33" i="17"/>
  <c r="Q33" i="17"/>
  <c r="P33" i="17"/>
  <c r="J33" i="17"/>
  <c r="AB33" i="17"/>
  <c r="I33" i="17"/>
  <c r="AA33" i="17"/>
  <c r="H33" i="17"/>
  <c r="P40" i="17"/>
  <c r="M44" i="17"/>
  <c r="T53" i="17"/>
  <c r="R50" i="17"/>
  <c r="U66" i="17"/>
  <c r="P68" i="17"/>
  <c r="C69" i="17"/>
  <c r="W69" i="17"/>
  <c r="R71" i="17"/>
  <c r="M68" i="17"/>
  <c r="C6" i="17"/>
  <c r="W6" i="17"/>
  <c r="M30" i="17"/>
  <c r="H6" i="17"/>
  <c r="AA6" i="17"/>
  <c r="J8" i="17"/>
  <c r="U9" i="17"/>
  <c r="P10" i="17"/>
  <c r="C11" i="17"/>
  <c r="W11" i="17"/>
  <c r="V16" i="17"/>
  <c r="J18" i="17"/>
  <c r="P20" i="17"/>
  <c r="C21" i="17"/>
  <c r="W21" i="17"/>
  <c r="T24" i="17"/>
  <c r="V26" i="17"/>
  <c r="H28" i="17"/>
  <c r="AB28" i="17"/>
  <c r="P30" i="17"/>
  <c r="C31" i="17"/>
  <c r="W31" i="17"/>
  <c r="T34" i="17"/>
  <c r="J41" i="17"/>
  <c r="V42" i="17"/>
  <c r="T45" i="17"/>
  <c r="V47" i="17"/>
  <c r="H49" i="17"/>
  <c r="AA49" i="17"/>
  <c r="S50" i="17"/>
  <c r="V52" i="17"/>
  <c r="V62" i="17"/>
  <c r="S63" i="17"/>
  <c r="V66" i="17"/>
  <c r="Q68" i="17"/>
  <c r="H69" i="17"/>
  <c r="AA69" i="17"/>
  <c r="S71" i="17"/>
  <c r="I6" i="17"/>
  <c r="AB6" i="17"/>
  <c r="Q10" i="17"/>
  <c r="H11" i="17"/>
  <c r="AA11" i="17"/>
  <c r="C16" i="17"/>
  <c r="W16" i="17"/>
  <c r="Q20" i="17"/>
  <c r="H21" i="17"/>
  <c r="AA21" i="17"/>
  <c r="C26" i="17"/>
  <c r="W26" i="17"/>
  <c r="Q30" i="17"/>
  <c r="H31" i="17"/>
  <c r="AA31" i="17"/>
  <c r="U34" i="17"/>
  <c r="W42" i="17"/>
  <c r="U45" i="17"/>
  <c r="C47" i="17"/>
  <c r="W47" i="17"/>
  <c r="I49" i="17"/>
  <c r="AB49" i="17"/>
  <c r="T50" i="17"/>
  <c r="W52" i="17"/>
  <c r="W62" i="17"/>
  <c r="T63" i="17"/>
  <c r="C66" i="17"/>
  <c r="W66" i="17"/>
  <c r="R68" i="17"/>
  <c r="I69" i="17"/>
  <c r="AB69" i="17"/>
  <c r="T71" i="17"/>
  <c r="U71" i="17"/>
  <c r="V50" i="17"/>
  <c r="T68" i="17"/>
  <c r="V71" i="17"/>
  <c r="S68" i="17"/>
  <c r="T30" i="17"/>
  <c r="P49" i="17"/>
  <c r="C50" i="17"/>
  <c r="W50" i="17"/>
  <c r="W63" i="17"/>
  <c r="U68" i="17"/>
  <c r="P69" i="17"/>
  <c r="C71" i="17"/>
  <c r="W71" i="17"/>
  <c r="T20" i="17"/>
  <c r="U20" i="17"/>
  <c r="P21" i="17"/>
  <c r="U30" i="17"/>
  <c r="P31" i="17"/>
  <c r="I34" i="17"/>
  <c r="AB34" i="17"/>
  <c r="M42" i="17"/>
  <c r="I45" i="17"/>
  <c r="AB45" i="17"/>
  <c r="Q49" i="17"/>
  <c r="H50" i="17"/>
  <c r="AA50" i="17"/>
  <c r="M52" i="17"/>
  <c r="M62" i="17"/>
  <c r="C63" i="17"/>
  <c r="AA63" i="17"/>
  <c r="V68" i="17"/>
  <c r="Q69" i="17"/>
  <c r="H71" i="17"/>
  <c r="AA71" i="17"/>
  <c r="T10" i="17"/>
  <c r="P11" i="17"/>
  <c r="M16" i="17"/>
  <c r="R6" i="17"/>
  <c r="T8" i="17"/>
  <c r="V10" i="17"/>
  <c r="Q11" i="17"/>
  <c r="P16" i="17"/>
  <c r="T18" i="17"/>
  <c r="V20" i="17"/>
  <c r="Q21" i="17"/>
  <c r="P26" i="17"/>
  <c r="S28" i="17"/>
  <c r="V30" i="17"/>
  <c r="Q31" i="17"/>
  <c r="P42" i="17"/>
  <c r="R49" i="17"/>
  <c r="I50" i="17"/>
  <c r="AB50" i="17"/>
  <c r="H63" i="17"/>
  <c r="C68" i="17"/>
  <c r="W68" i="17"/>
  <c r="I71" i="17"/>
  <c r="AB71" i="17"/>
  <c r="P6" i="17"/>
  <c r="Q6" i="17"/>
  <c r="S8" i="17"/>
  <c r="U10" i="17"/>
  <c r="C10" i="17"/>
  <c r="C20" i="17"/>
  <c r="C30" i="17"/>
  <c r="H68" i="17"/>
  <c r="AA68" i="17"/>
  <c r="I68" i="17"/>
  <c r="AD84" i="16"/>
  <c r="AC84" i="16"/>
  <c r="AB84" i="16"/>
  <c r="AA84" i="16"/>
  <c r="W84" i="16"/>
  <c r="V84" i="16"/>
  <c r="U84" i="16"/>
  <c r="T84" i="16"/>
  <c r="S84" i="16"/>
  <c r="R84" i="16"/>
  <c r="Q84" i="16"/>
  <c r="P84" i="16"/>
  <c r="J84" i="16"/>
  <c r="H84" i="16"/>
  <c r="C84" i="16"/>
  <c r="AD83" i="16"/>
  <c r="AC83" i="16"/>
  <c r="AB83" i="16"/>
  <c r="AA83" i="16"/>
  <c r="W83" i="16"/>
  <c r="V83" i="16"/>
  <c r="U83" i="16"/>
  <c r="T83" i="16"/>
  <c r="S83" i="16"/>
  <c r="R83" i="16"/>
  <c r="Q83" i="16"/>
  <c r="P83" i="16"/>
  <c r="J83" i="16"/>
  <c r="H83" i="16"/>
  <c r="C83" i="16"/>
  <c r="AD82" i="16"/>
  <c r="AB82" i="16"/>
  <c r="AA82" i="16"/>
  <c r="W82" i="16"/>
  <c r="V82" i="16"/>
  <c r="U82" i="16"/>
  <c r="T82" i="16"/>
  <c r="S82" i="16"/>
  <c r="R82" i="16"/>
  <c r="Q82" i="16"/>
  <c r="P82" i="16"/>
  <c r="M82" i="16"/>
  <c r="J82" i="16"/>
  <c r="H82" i="16"/>
  <c r="C82" i="16"/>
  <c r="AD81" i="16"/>
  <c r="AB81" i="16"/>
  <c r="AA81" i="16"/>
  <c r="W81" i="16"/>
  <c r="V81" i="16"/>
  <c r="U81" i="16"/>
  <c r="T81" i="16"/>
  <c r="S81" i="16"/>
  <c r="R81" i="16"/>
  <c r="Q81" i="16"/>
  <c r="P81" i="16"/>
  <c r="M81" i="16"/>
  <c r="J81" i="16"/>
  <c r="H81" i="16"/>
  <c r="C81" i="16"/>
  <c r="AD80" i="16"/>
  <c r="AB80" i="16"/>
  <c r="AA80" i="16"/>
  <c r="W80" i="16"/>
  <c r="V80" i="16"/>
  <c r="U80" i="16"/>
  <c r="T80" i="16"/>
  <c r="S80" i="16"/>
  <c r="R80" i="16"/>
  <c r="Q80" i="16"/>
  <c r="P80" i="16"/>
  <c r="M80" i="16"/>
  <c r="J80" i="16"/>
  <c r="H80" i="16"/>
  <c r="C80" i="16"/>
  <c r="AD79" i="16"/>
  <c r="AB79" i="16"/>
  <c r="AA79" i="16"/>
  <c r="W79" i="16"/>
  <c r="V79" i="16"/>
  <c r="U79" i="16"/>
  <c r="T79" i="16"/>
  <c r="S79" i="16"/>
  <c r="R79" i="16"/>
  <c r="Q79" i="16"/>
  <c r="P79" i="16"/>
  <c r="M79" i="16"/>
  <c r="J79" i="16"/>
  <c r="H79" i="16"/>
  <c r="C79" i="16"/>
  <c r="AD78" i="16"/>
  <c r="AB78" i="16"/>
  <c r="AA78" i="16"/>
  <c r="W78" i="16"/>
  <c r="V78" i="16"/>
  <c r="U78" i="16"/>
  <c r="T78" i="16"/>
  <c r="S78" i="16"/>
  <c r="R78" i="16"/>
  <c r="Q78" i="16"/>
  <c r="P78" i="16"/>
  <c r="M78" i="16"/>
  <c r="J78" i="16"/>
  <c r="H78" i="16"/>
  <c r="C78" i="16"/>
  <c r="AD77" i="16"/>
  <c r="AB77" i="16"/>
  <c r="AA77" i="16"/>
  <c r="W77" i="16"/>
  <c r="V77" i="16"/>
  <c r="U77" i="16"/>
  <c r="T77" i="16"/>
  <c r="S77" i="16"/>
  <c r="R77" i="16"/>
  <c r="Q77" i="16"/>
  <c r="P77" i="16"/>
  <c r="M77" i="16"/>
  <c r="J77" i="16"/>
  <c r="H77" i="16"/>
  <c r="C77" i="16"/>
  <c r="AD76" i="16"/>
  <c r="AB76" i="16" s="1"/>
  <c r="AD74" i="16"/>
  <c r="T74" i="16" s="1"/>
  <c r="AD73" i="16"/>
  <c r="AB73" i="16" s="1"/>
  <c r="AD71" i="16"/>
  <c r="M71" i="16" s="1"/>
  <c r="AD70" i="16"/>
  <c r="Q70" i="16" s="1"/>
  <c r="AD68" i="16"/>
  <c r="U68" i="16" s="1"/>
  <c r="AD67" i="16"/>
  <c r="AB67" i="16" s="1"/>
  <c r="AD66" i="16"/>
  <c r="P66" i="16" s="1"/>
  <c r="AD65" i="16"/>
  <c r="J65" i="16" s="1"/>
  <c r="AD62" i="16"/>
  <c r="AB62" i="16"/>
  <c r="AA62" i="16"/>
  <c r="W62" i="16"/>
  <c r="V62" i="16"/>
  <c r="U62" i="16"/>
  <c r="T62" i="16"/>
  <c r="S62" i="16"/>
  <c r="R62" i="16"/>
  <c r="Q62" i="16"/>
  <c r="P62" i="16"/>
  <c r="J62" i="16"/>
  <c r="H62" i="16"/>
  <c r="C62" i="16"/>
  <c r="AD61" i="16"/>
  <c r="AB61" i="16"/>
  <c r="AA61" i="16"/>
  <c r="W61" i="16"/>
  <c r="V61" i="16"/>
  <c r="U61" i="16"/>
  <c r="T61" i="16"/>
  <c r="S61" i="16"/>
  <c r="R61" i="16"/>
  <c r="Q61" i="16"/>
  <c r="P61" i="16"/>
  <c r="M61" i="16"/>
  <c r="J61" i="16"/>
  <c r="H61" i="16"/>
  <c r="C61" i="16"/>
  <c r="AD60" i="16"/>
  <c r="AB60" i="16"/>
  <c r="AA60" i="16"/>
  <c r="W60" i="16"/>
  <c r="V60" i="16"/>
  <c r="U60" i="16"/>
  <c r="T60" i="16"/>
  <c r="S60" i="16"/>
  <c r="R60" i="16"/>
  <c r="Q60" i="16"/>
  <c r="P60" i="16"/>
  <c r="M60" i="16"/>
  <c r="J60" i="16"/>
  <c r="H60" i="16"/>
  <c r="C60" i="16"/>
  <c r="AD59" i="16"/>
  <c r="AB59" i="16"/>
  <c r="AA59" i="16"/>
  <c r="W59" i="16"/>
  <c r="V59" i="16"/>
  <c r="U59" i="16"/>
  <c r="T59" i="16"/>
  <c r="S59" i="16"/>
  <c r="R59" i="16"/>
  <c r="Q59" i="16"/>
  <c r="P59" i="16"/>
  <c r="M59" i="16"/>
  <c r="J59" i="16"/>
  <c r="H59" i="16"/>
  <c r="C59" i="16"/>
  <c r="AD58" i="16"/>
  <c r="AB58" i="16"/>
  <c r="AA58" i="16"/>
  <c r="W58" i="16"/>
  <c r="V58" i="16"/>
  <c r="U58" i="16"/>
  <c r="T58" i="16"/>
  <c r="S58" i="16"/>
  <c r="R58" i="16"/>
  <c r="Q58" i="16"/>
  <c r="P58" i="16"/>
  <c r="M58" i="16"/>
  <c r="J58" i="16"/>
  <c r="H58" i="16"/>
  <c r="C58" i="16"/>
  <c r="AD57" i="16"/>
  <c r="T57" i="16" s="1"/>
  <c r="AD56" i="16"/>
  <c r="I56" i="16" s="1"/>
  <c r="AD55" i="16"/>
  <c r="P55" i="16" s="1"/>
  <c r="AD54" i="16"/>
  <c r="AB54" i="16" s="1"/>
  <c r="AD53" i="16"/>
  <c r="M53" i="16" s="1"/>
  <c r="AD52" i="16"/>
  <c r="AA52" i="16" s="1"/>
  <c r="AD51" i="16"/>
  <c r="AB51" i="16" s="1"/>
  <c r="AD50" i="16"/>
  <c r="P50" i="16" s="1"/>
  <c r="AD49" i="16"/>
  <c r="AA49" i="16" s="1"/>
  <c r="AD48" i="16"/>
  <c r="V48" i="16" s="1"/>
  <c r="AD47" i="16"/>
  <c r="AB47" i="16" s="1"/>
  <c r="AD46" i="16"/>
  <c r="AB46" i="16" s="1"/>
  <c r="AD45" i="16"/>
  <c r="P45" i="16" s="1"/>
  <c r="AD44" i="16"/>
  <c r="AA44" i="16" s="1"/>
  <c r="AD43" i="16"/>
  <c r="V43" i="16" s="1"/>
  <c r="AC43" i="16"/>
  <c r="AD42" i="16"/>
  <c r="U42" i="16" s="1"/>
  <c r="AC42" i="16"/>
  <c r="AD39" i="16"/>
  <c r="AC39" i="16"/>
  <c r="AB39" i="16"/>
  <c r="AA39" i="16"/>
  <c r="W39" i="16"/>
  <c r="V39" i="16"/>
  <c r="U39" i="16"/>
  <c r="T39" i="16"/>
  <c r="S39" i="16"/>
  <c r="R39" i="16"/>
  <c r="Q39" i="16"/>
  <c r="P39" i="16"/>
  <c r="M39" i="16"/>
  <c r="J39" i="16"/>
  <c r="I39" i="16"/>
  <c r="H39" i="16"/>
  <c r="C39" i="16"/>
  <c r="AD38" i="16"/>
  <c r="AC38" i="16"/>
  <c r="AB38" i="16"/>
  <c r="AA38" i="16"/>
  <c r="W38" i="16"/>
  <c r="V38" i="16"/>
  <c r="U38" i="16"/>
  <c r="T38" i="16"/>
  <c r="S38" i="16"/>
  <c r="R38" i="16"/>
  <c r="Q38" i="16"/>
  <c r="P38" i="16"/>
  <c r="M38" i="16"/>
  <c r="J38" i="16"/>
  <c r="I38" i="16"/>
  <c r="H38" i="16"/>
  <c r="C38" i="16"/>
  <c r="AD37" i="16"/>
  <c r="U37" i="16" s="1"/>
  <c r="AD36" i="16"/>
  <c r="AB36" i="16" s="1"/>
  <c r="AD35" i="16"/>
  <c r="AB35" i="16" s="1"/>
  <c r="AD34" i="16"/>
  <c r="Q34" i="16" s="1"/>
  <c r="AD33" i="16"/>
  <c r="V33" i="16" s="1"/>
  <c r="AD32" i="16"/>
  <c r="AB32" i="16" s="1"/>
  <c r="AD31" i="16"/>
  <c r="V31" i="16" s="1"/>
  <c r="AD30" i="16"/>
  <c r="M30" i="16" s="1"/>
  <c r="AD29" i="16"/>
  <c r="P29" i="16" s="1"/>
  <c r="AD28" i="16"/>
  <c r="V28" i="16" s="1"/>
  <c r="AD27" i="16"/>
  <c r="V27" i="16" s="1"/>
  <c r="AD26" i="16"/>
  <c r="P26" i="16" s="1"/>
  <c r="AD25" i="16"/>
  <c r="I25" i="16" s="1"/>
  <c r="AD24" i="16"/>
  <c r="Q24" i="16" s="1"/>
  <c r="AD23" i="16"/>
  <c r="R23" i="16" s="1"/>
  <c r="AD22" i="16"/>
  <c r="W22" i="16" s="1"/>
  <c r="AD21" i="16"/>
  <c r="P21" i="16" s="1"/>
  <c r="AD20" i="16"/>
  <c r="P20" i="16" s="1"/>
  <c r="AD19" i="16"/>
  <c r="AA19" i="16" s="1"/>
  <c r="AD18" i="16"/>
  <c r="AB18" i="16" s="1"/>
  <c r="AD17" i="16"/>
  <c r="Q17" i="16" s="1"/>
  <c r="AD16" i="16"/>
  <c r="J16" i="16" s="1"/>
  <c r="AD15" i="16"/>
  <c r="P15" i="16" s="1"/>
  <c r="AD14" i="16"/>
  <c r="Q14" i="16" s="1"/>
  <c r="AD13" i="16"/>
  <c r="AA13" i="16" s="1"/>
  <c r="AD12" i="16"/>
  <c r="W12" i="16" s="1"/>
  <c r="AD11" i="16"/>
  <c r="C11" i="16" s="1"/>
  <c r="AD10" i="16"/>
  <c r="R10" i="16" s="1"/>
  <c r="AD9" i="16"/>
  <c r="W9" i="16" s="1"/>
  <c r="AD8" i="16"/>
  <c r="AB8" i="16" s="1"/>
  <c r="AC8" i="16"/>
  <c r="AD6" i="16"/>
  <c r="M6" i="16" s="1"/>
  <c r="AD5" i="16"/>
  <c r="P5" i="16" s="1"/>
  <c r="AD4" i="16"/>
  <c r="U4" i="16" s="1"/>
  <c r="AD30" i="15"/>
  <c r="AD19" i="15"/>
  <c r="AD6" i="15"/>
  <c r="V6" i="16" l="1"/>
  <c r="W6" i="16"/>
  <c r="W45" i="16"/>
  <c r="M73" i="16"/>
  <c r="H5" i="16"/>
  <c r="T5" i="16"/>
  <c r="I76" i="16"/>
  <c r="W5" i="16"/>
  <c r="S10" i="16"/>
  <c r="C6" i="16"/>
  <c r="P6" i="16"/>
  <c r="R6" i="16"/>
  <c r="U6" i="16"/>
  <c r="T14" i="16"/>
  <c r="AB70" i="16"/>
  <c r="C76" i="16"/>
  <c r="J76" i="16"/>
  <c r="U5" i="16"/>
  <c r="V5" i="16"/>
  <c r="C19" i="16"/>
  <c r="C45" i="16"/>
  <c r="C32" i="16"/>
  <c r="H45" i="16"/>
  <c r="V54" i="16"/>
  <c r="AA32" i="16"/>
  <c r="U45" i="16"/>
  <c r="S6" i="16"/>
  <c r="T6" i="16"/>
  <c r="M44" i="16"/>
  <c r="V45" i="16"/>
  <c r="J9" i="16"/>
  <c r="R17" i="16"/>
  <c r="AA42" i="16"/>
  <c r="S9" i="16"/>
  <c r="U17" i="16"/>
  <c r="M8" i="16"/>
  <c r="U14" i="16"/>
  <c r="J66" i="16"/>
  <c r="I51" i="16"/>
  <c r="AB55" i="16"/>
  <c r="Q66" i="16"/>
  <c r="P8" i="16"/>
  <c r="W14" i="16"/>
  <c r="M46" i="16"/>
  <c r="AA66" i="16"/>
  <c r="Q8" i="16"/>
  <c r="AA14" i="16"/>
  <c r="W29" i="16"/>
  <c r="C33" i="16"/>
  <c r="C5" i="16"/>
  <c r="Q6" i="16"/>
  <c r="R8" i="16"/>
  <c r="R33" i="16"/>
  <c r="U56" i="16"/>
  <c r="J8" i="16"/>
  <c r="S8" i="16"/>
  <c r="M5" i="16"/>
  <c r="T8" i="16"/>
  <c r="U30" i="16"/>
  <c r="H44" i="16"/>
  <c r="Q54" i="16"/>
  <c r="W27" i="16"/>
  <c r="AA5" i="16"/>
  <c r="U9" i="16"/>
  <c r="C14" i="16"/>
  <c r="S17" i="16"/>
  <c r="AA22" i="16"/>
  <c r="J32" i="16"/>
  <c r="W54" i="16"/>
  <c r="W55" i="16"/>
  <c r="W49" i="16"/>
  <c r="U53" i="16"/>
  <c r="I50" i="16"/>
  <c r="AB50" i="16"/>
  <c r="U54" i="16"/>
  <c r="W57" i="16"/>
  <c r="U55" i="16"/>
  <c r="V14" i="16"/>
  <c r="AB30" i="16"/>
  <c r="H33" i="16"/>
  <c r="W36" i="16"/>
  <c r="I33" i="16"/>
  <c r="S33" i="16"/>
  <c r="V37" i="16"/>
  <c r="V32" i="16"/>
  <c r="C34" i="16"/>
  <c r="Q15" i="16"/>
  <c r="S15" i="16"/>
  <c r="T15" i="16"/>
  <c r="J29" i="16"/>
  <c r="W32" i="16"/>
  <c r="I34" i="16"/>
  <c r="U15" i="16"/>
  <c r="AB15" i="16"/>
  <c r="T17" i="16"/>
  <c r="AB29" i="16"/>
  <c r="H32" i="16"/>
  <c r="H23" i="16"/>
  <c r="S23" i="16"/>
  <c r="R32" i="16"/>
  <c r="J33" i="16"/>
  <c r="R35" i="16"/>
  <c r="P32" i="16"/>
  <c r="W23" i="16"/>
  <c r="I31" i="16"/>
  <c r="S32" i="16"/>
  <c r="M33" i="16"/>
  <c r="S35" i="16"/>
  <c r="V16" i="16"/>
  <c r="R19" i="16"/>
  <c r="AA23" i="16"/>
  <c r="W31" i="16"/>
  <c r="T32" i="16"/>
  <c r="P33" i="16"/>
  <c r="T35" i="16"/>
  <c r="M32" i="16"/>
  <c r="Q32" i="16"/>
  <c r="AB23" i="16"/>
  <c r="AB31" i="16"/>
  <c r="U32" i="16"/>
  <c r="Q33" i="16"/>
  <c r="H49" i="16"/>
  <c r="Q49" i="16"/>
  <c r="C49" i="16"/>
  <c r="I49" i="16"/>
  <c r="M49" i="16"/>
  <c r="R49" i="16"/>
  <c r="H52" i="16"/>
  <c r="V49" i="16"/>
  <c r="M52" i="16"/>
  <c r="S55" i="16"/>
  <c r="M76" i="16"/>
  <c r="P76" i="16"/>
  <c r="Q53" i="16"/>
  <c r="U57" i="16"/>
  <c r="W68" i="16"/>
  <c r="W70" i="16"/>
  <c r="M9" i="16"/>
  <c r="T10" i="16"/>
  <c r="R15" i="16"/>
  <c r="W16" i="16"/>
  <c r="H19" i="16"/>
  <c r="AB22" i="16"/>
  <c r="I24" i="16"/>
  <c r="V29" i="16"/>
  <c r="J31" i="16"/>
  <c r="H34" i="16"/>
  <c r="S53" i="16"/>
  <c r="T55" i="16"/>
  <c r="V57" i="16"/>
  <c r="M66" i="16"/>
  <c r="AA68" i="16"/>
  <c r="AA70" i="16"/>
  <c r="T9" i="16"/>
  <c r="R24" i="16"/>
  <c r="AA29" i="16"/>
  <c r="AA31" i="16"/>
  <c r="AB34" i="16"/>
  <c r="T37" i="16"/>
  <c r="M47" i="16"/>
  <c r="V55" i="16"/>
  <c r="W66" i="16"/>
  <c r="C70" i="16"/>
  <c r="H76" i="16"/>
  <c r="H24" i="16"/>
  <c r="T24" i="16"/>
  <c r="W37" i="16"/>
  <c r="AA55" i="16"/>
  <c r="AB66" i="16"/>
  <c r="I70" i="16"/>
  <c r="I12" i="16"/>
  <c r="S24" i="16"/>
  <c r="H70" i="16"/>
  <c r="J10" i="16"/>
  <c r="V24" i="16"/>
  <c r="R70" i="16"/>
  <c r="M16" i="16"/>
  <c r="P48" i="16"/>
  <c r="S70" i="16"/>
  <c r="T73" i="16"/>
  <c r="Q76" i="16"/>
  <c r="H12" i="16"/>
  <c r="M10" i="16"/>
  <c r="J12" i="16"/>
  <c r="H22" i="16"/>
  <c r="W24" i="16"/>
  <c r="AB5" i="16"/>
  <c r="C9" i="16"/>
  <c r="P10" i="16"/>
  <c r="AA12" i="16"/>
  <c r="AB14" i="16"/>
  <c r="P16" i="16"/>
  <c r="I22" i="16"/>
  <c r="AA24" i="16"/>
  <c r="I32" i="16"/>
  <c r="W33" i="16"/>
  <c r="U35" i="16"/>
  <c r="AA45" i="16"/>
  <c r="Q48" i="16"/>
  <c r="AB56" i="16"/>
  <c r="C66" i="16"/>
  <c r="C68" i="16"/>
  <c r="T70" i="16"/>
  <c r="U73" i="16"/>
  <c r="S76" i="16"/>
  <c r="U24" i="16"/>
  <c r="C48" i="16"/>
  <c r="M48" i="16"/>
  <c r="H8" i="16"/>
  <c r="H9" i="16"/>
  <c r="Q10" i="16"/>
  <c r="AB12" i="16"/>
  <c r="T16" i="16"/>
  <c r="J22" i="16"/>
  <c r="AB24" i="16"/>
  <c r="C29" i="16"/>
  <c r="C31" i="16"/>
  <c r="R48" i="16"/>
  <c r="H66" i="16"/>
  <c r="R68" i="16"/>
  <c r="U70" i="16"/>
  <c r="M24" i="16"/>
  <c r="M70" i="16"/>
  <c r="I8" i="16"/>
  <c r="I9" i="16"/>
  <c r="U16" i="16"/>
  <c r="M22" i="16"/>
  <c r="C24" i="16"/>
  <c r="H29" i="16"/>
  <c r="H31" i="16"/>
  <c r="C44" i="16"/>
  <c r="I46" i="16"/>
  <c r="H50" i="16"/>
  <c r="P53" i="16"/>
  <c r="C55" i="16"/>
  <c r="I66" i="16"/>
  <c r="V68" i="16"/>
  <c r="V70" i="16"/>
  <c r="C65" i="16"/>
  <c r="J50" i="16"/>
  <c r="P12" i="16"/>
  <c r="AB19" i="16"/>
  <c r="P22" i="16"/>
  <c r="C23" i="16"/>
  <c r="I29" i="16"/>
  <c r="M34" i="16"/>
  <c r="AB45" i="16"/>
  <c r="Q50" i="16"/>
  <c r="V53" i="16"/>
  <c r="AA54" i="16"/>
  <c r="M65" i="16"/>
  <c r="AB68" i="16"/>
  <c r="V73" i="16"/>
  <c r="M50" i="16"/>
  <c r="R34" i="16"/>
  <c r="R50" i="16"/>
  <c r="Q65" i="16"/>
  <c r="M12" i="16"/>
  <c r="J34" i="16"/>
  <c r="Q22" i="16"/>
  <c r="R22" i="16"/>
  <c r="S12" i="16"/>
  <c r="S22" i="16"/>
  <c r="J23" i="16"/>
  <c r="J45" i="16"/>
  <c r="T50" i="16"/>
  <c r="C54" i="16"/>
  <c r="V65" i="16"/>
  <c r="R66" i="16"/>
  <c r="H68" i="16"/>
  <c r="M74" i="16"/>
  <c r="Q12" i="16"/>
  <c r="R12" i="16"/>
  <c r="I23" i="16"/>
  <c r="S34" i="16"/>
  <c r="R65" i="16"/>
  <c r="H18" i="16"/>
  <c r="I28" i="16"/>
  <c r="Q29" i="16"/>
  <c r="P30" i="16"/>
  <c r="M31" i="16"/>
  <c r="AA6" i="16"/>
  <c r="AA8" i="16"/>
  <c r="V9" i="16"/>
  <c r="I14" i="16"/>
  <c r="C17" i="16"/>
  <c r="J28" i="16"/>
  <c r="R29" i="16"/>
  <c r="Q30" i="16"/>
  <c r="P31" i="16"/>
  <c r="AA33" i="16"/>
  <c r="U34" i="16"/>
  <c r="Q45" i="16"/>
  <c r="T48" i="16"/>
  <c r="U50" i="16"/>
  <c r="H54" i="16"/>
  <c r="H55" i="16"/>
  <c r="J56" i="16"/>
  <c r="S66" i="16"/>
  <c r="J68" i="16"/>
  <c r="P74" i="16"/>
  <c r="T76" i="16"/>
  <c r="H65" i="16"/>
  <c r="I65" i="16"/>
  <c r="C28" i="16"/>
  <c r="H14" i="16"/>
  <c r="T34" i="16"/>
  <c r="T12" i="16"/>
  <c r="I15" i="16"/>
  <c r="C16" i="16"/>
  <c r="I18" i="16"/>
  <c r="AB21" i="16"/>
  <c r="T22" i="16"/>
  <c r="M23" i="16"/>
  <c r="AB6" i="16"/>
  <c r="U12" i="16"/>
  <c r="J14" i="16"/>
  <c r="J15" i="16"/>
  <c r="H16" i="16"/>
  <c r="M17" i="16"/>
  <c r="J18" i="16"/>
  <c r="U22" i="16"/>
  <c r="P23" i="16"/>
  <c r="J24" i="16"/>
  <c r="W28" i="16"/>
  <c r="S29" i="16"/>
  <c r="R30" i="16"/>
  <c r="Q31" i="16"/>
  <c r="AB33" i="16"/>
  <c r="V34" i="16"/>
  <c r="T36" i="16"/>
  <c r="M43" i="16"/>
  <c r="R45" i="16"/>
  <c r="V50" i="16"/>
  <c r="J54" i="16"/>
  <c r="J55" i="16"/>
  <c r="M56" i="16"/>
  <c r="AA65" i="16"/>
  <c r="T66" i="16"/>
  <c r="M68" i="16"/>
  <c r="J70" i="16"/>
  <c r="I71" i="16"/>
  <c r="Q74" i="16"/>
  <c r="U76" i="16"/>
  <c r="V12" i="16"/>
  <c r="R14" i="16"/>
  <c r="M15" i="16"/>
  <c r="I16" i="16"/>
  <c r="P17" i="16"/>
  <c r="P18" i="16"/>
  <c r="V22" i="16"/>
  <c r="Q23" i="16"/>
  <c r="AA28" i="16"/>
  <c r="T29" i="16"/>
  <c r="S30" i="16"/>
  <c r="U31" i="16"/>
  <c r="W34" i="16"/>
  <c r="U36" i="16"/>
  <c r="S45" i="16"/>
  <c r="C47" i="16"/>
  <c r="W50" i="16"/>
  <c r="J53" i="16"/>
  <c r="M54" i="16"/>
  <c r="Q55" i="16"/>
  <c r="P56" i="16"/>
  <c r="AB65" i="16"/>
  <c r="U66" i="16"/>
  <c r="P68" i="16"/>
  <c r="C18" i="16"/>
  <c r="H28" i="16"/>
  <c r="M29" i="16"/>
  <c r="J30" i="16"/>
  <c r="S50" i="16"/>
  <c r="H6" i="16"/>
  <c r="C12" i="16"/>
  <c r="S14" i="16"/>
  <c r="C22" i="16"/>
  <c r="AB26" i="16"/>
  <c r="AB28" i="16"/>
  <c r="U29" i="16"/>
  <c r="T30" i="16"/>
  <c r="AA34" i="16"/>
  <c r="V36" i="16"/>
  <c r="T45" i="16"/>
  <c r="I47" i="16"/>
  <c r="C50" i="16"/>
  <c r="AA50" i="16"/>
  <c r="P54" i="16"/>
  <c r="R55" i="16"/>
  <c r="T56" i="16"/>
  <c r="V66" i="16"/>
  <c r="Q68" i="16"/>
  <c r="J20" i="16"/>
  <c r="H21" i="16"/>
  <c r="AB4" i="16"/>
  <c r="AB13" i="16"/>
  <c r="M21" i="16"/>
  <c r="U11" i="16"/>
  <c r="AB10" i="16"/>
  <c r="I10" i="16"/>
  <c r="AA10" i="16"/>
  <c r="H10" i="16"/>
  <c r="W10" i="16"/>
  <c r="C10" i="16"/>
  <c r="AB11" i="16"/>
  <c r="AB25" i="16"/>
  <c r="W26" i="16"/>
  <c r="U27" i="16"/>
  <c r="R28" i="16"/>
  <c r="M35" i="16"/>
  <c r="M36" i="16"/>
  <c r="Q37" i="16"/>
  <c r="U43" i="16"/>
  <c r="W44" i="16"/>
  <c r="U46" i="16"/>
  <c r="W47" i="16"/>
  <c r="T51" i="16"/>
  <c r="P57" i="16"/>
  <c r="T67" i="16"/>
  <c r="R71" i="16"/>
  <c r="Q71" i="16"/>
  <c r="P71" i="16"/>
  <c r="AA71" i="16"/>
  <c r="H71" i="16"/>
  <c r="W71" i="16"/>
  <c r="C71" i="16"/>
  <c r="V71" i="16"/>
  <c r="U71" i="16"/>
  <c r="S71" i="16"/>
  <c r="J11" i="16"/>
  <c r="S13" i="16"/>
  <c r="M25" i="16"/>
  <c r="I26" i="16"/>
  <c r="C27" i="16"/>
  <c r="W42" i="16"/>
  <c r="C42" i="16"/>
  <c r="R42" i="16"/>
  <c r="Q42" i="16"/>
  <c r="P42" i="16"/>
  <c r="I4" i="16"/>
  <c r="R4" i="16"/>
  <c r="M13" i="16"/>
  <c r="AA18" i="16"/>
  <c r="W19" i="16"/>
  <c r="V20" i="16"/>
  <c r="W21" i="16"/>
  <c r="S4" i="16"/>
  <c r="R9" i="16"/>
  <c r="Q9" i="16"/>
  <c r="P9" i="16"/>
  <c r="P13" i="16"/>
  <c r="S16" i="16"/>
  <c r="Q16" i="16"/>
  <c r="R16" i="16"/>
  <c r="J17" i="16"/>
  <c r="AA17" i="16"/>
  <c r="AB17" i="16"/>
  <c r="I17" i="16"/>
  <c r="H17" i="16"/>
  <c r="AA21" i="16"/>
  <c r="AA26" i="16"/>
  <c r="P35" i="16"/>
  <c r="P36" i="16"/>
  <c r="R37" i="16"/>
  <c r="V42" i="16"/>
  <c r="S48" i="16"/>
  <c r="J48" i="16"/>
  <c r="AB48" i="16"/>
  <c r="I48" i="16"/>
  <c r="AA48" i="16"/>
  <c r="H48" i="16"/>
  <c r="U48" i="16"/>
  <c r="J49" i="16"/>
  <c r="U49" i="16"/>
  <c r="T49" i="16"/>
  <c r="S49" i="16"/>
  <c r="P49" i="16"/>
  <c r="AA51" i="16"/>
  <c r="W52" i="16"/>
  <c r="C52" i="16"/>
  <c r="R52" i="16"/>
  <c r="Q52" i="16"/>
  <c r="P52" i="16"/>
  <c r="AB52" i="16"/>
  <c r="I52" i="16"/>
  <c r="R67" i="16"/>
  <c r="Q67" i="16"/>
  <c r="AA67" i="16"/>
  <c r="C67" i="16"/>
  <c r="W67" i="16"/>
  <c r="V67" i="16"/>
  <c r="U67" i="16"/>
  <c r="S67" i="16"/>
  <c r="T4" i="16"/>
  <c r="T11" i="16"/>
  <c r="S11" i="16"/>
  <c r="R11" i="16"/>
  <c r="Q13" i="16"/>
  <c r="I11" i="16"/>
  <c r="R13" i="16"/>
  <c r="U18" i="16"/>
  <c r="T18" i="16"/>
  <c r="S18" i="16"/>
  <c r="Q19" i="16"/>
  <c r="P19" i="16"/>
  <c r="M19" i="16"/>
  <c r="C21" i="16"/>
  <c r="C26" i="16"/>
  <c r="AB42" i="16"/>
  <c r="R43" i="16"/>
  <c r="AB43" i="16"/>
  <c r="I43" i="16"/>
  <c r="AA43" i="16"/>
  <c r="H43" i="16"/>
  <c r="W43" i="16"/>
  <c r="C43" i="16"/>
  <c r="AB44" i="16"/>
  <c r="I44" i="16"/>
  <c r="T44" i="16"/>
  <c r="S44" i="16"/>
  <c r="R44" i="16"/>
  <c r="Q46" i="16"/>
  <c r="AA46" i="16"/>
  <c r="H46" i="16"/>
  <c r="W46" i="16"/>
  <c r="C46" i="16"/>
  <c r="V46" i="16"/>
  <c r="AA47" i="16"/>
  <c r="H47" i="16"/>
  <c r="S47" i="16"/>
  <c r="R47" i="16"/>
  <c r="Q47" i="16"/>
  <c r="H11" i="16"/>
  <c r="P51" i="16"/>
  <c r="W51" i="16"/>
  <c r="C51" i="16"/>
  <c r="V51" i="16"/>
  <c r="U51" i="16"/>
  <c r="R51" i="16"/>
  <c r="AA25" i="16"/>
  <c r="H25" i="16"/>
  <c r="W25" i="16"/>
  <c r="C25" i="16"/>
  <c r="V25" i="16"/>
  <c r="J25" i="16"/>
  <c r="H26" i="16"/>
  <c r="J27" i="16"/>
  <c r="AB27" i="16"/>
  <c r="I27" i="16"/>
  <c r="AA27" i="16"/>
  <c r="H27" i="16"/>
  <c r="M11" i="16"/>
  <c r="W13" i="16"/>
  <c r="I21" i="16"/>
  <c r="P11" i="16"/>
  <c r="M18" i="16"/>
  <c r="J19" i="16"/>
  <c r="J21" i="16"/>
  <c r="P25" i="16"/>
  <c r="J26" i="16"/>
  <c r="M27" i="16"/>
  <c r="U28" i="16"/>
  <c r="T28" i="16"/>
  <c r="S28" i="16"/>
  <c r="H42" i="16"/>
  <c r="J43" i="16"/>
  <c r="J44" i="16"/>
  <c r="J46" i="16"/>
  <c r="J47" i="16"/>
  <c r="H51" i="16"/>
  <c r="J52" i="16"/>
  <c r="AB57" i="16"/>
  <c r="I57" i="16"/>
  <c r="AA57" i="16"/>
  <c r="H57" i="16"/>
  <c r="S57" i="16"/>
  <c r="R57" i="16"/>
  <c r="Q57" i="16"/>
  <c r="J57" i="16"/>
  <c r="AA4" i="16"/>
  <c r="H4" i="16"/>
  <c r="W4" i="16"/>
  <c r="C4" i="16"/>
  <c r="M26" i="16"/>
  <c r="S37" i="16"/>
  <c r="J37" i="16"/>
  <c r="AB37" i="16"/>
  <c r="I37" i="16"/>
  <c r="AA37" i="16"/>
  <c r="H37" i="16"/>
  <c r="J71" i="16"/>
  <c r="AB20" i="16"/>
  <c r="I20" i="16"/>
  <c r="W20" i="16"/>
  <c r="C20" i="16"/>
  <c r="AA20" i="16"/>
  <c r="H20" i="16"/>
  <c r="V4" i="16"/>
  <c r="I42" i="16"/>
  <c r="J4" i="16"/>
  <c r="R25" i="16"/>
  <c r="Q27" i="16"/>
  <c r="Q35" i="16"/>
  <c r="AA35" i="16"/>
  <c r="H35" i="16"/>
  <c r="W35" i="16"/>
  <c r="C35" i="16"/>
  <c r="V35" i="16"/>
  <c r="AA36" i="16"/>
  <c r="H36" i="16"/>
  <c r="S36" i="16"/>
  <c r="R36" i="16"/>
  <c r="Q36" i="16"/>
  <c r="J42" i="16"/>
  <c r="P43" i="16"/>
  <c r="P44" i="16"/>
  <c r="P46" i="16"/>
  <c r="P47" i="16"/>
  <c r="J51" i="16"/>
  <c r="S52" i="16"/>
  <c r="H67" i="16"/>
  <c r="V13" i="16"/>
  <c r="U13" i="16"/>
  <c r="T13" i="16"/>
  <c r="S20" i="16"/>
  <c r="C36" i="16"/>
  <c r="C37" i="16"/>
  <c r="M42" i="16"/>
  <c r="Q43" i="16"/>
  <c r="Q44" i="16"/>
  <c r="R46" i="16"/>
  <c r="T47" i="16"/>
  <c r="M51" i="16"/>
  <c r="T52" i="16"/>
  <c r="R56" i="16"/>
  <c r="Q56" i="16"/>
  <c r="AA56" i="16"/>
  <c r="H56" i="16"/>
  <c r="W56" i="16"/>
  <c r="C56" i="16"/>
  <c r="V56" i="16"/>
  <c r="S56" i="16"/>
  <c r="J67" i="16"/>
  <c r="T71" i="16"/>
  <c r="M20" i="16"/>
  <c r="Q11" i="16"/>
  <c r="Q20" i="16"/>
  <c r="C13" i="16"/>
  <c r="Q18" i="16"/>
  <c r="S19" i="16"/>
  <c r="R20" i="16"/>
  <c r="M4" i="16"/>
  <c r="S5" i="16"/>
  <c r="R5" i="16"/>
  <c r="Q5" i="16"/>
  <c r="U10" i="16"/>
  <c r="V11" i="16"/>
  <c r="H13" i="16"/>
  <c r="P4" i="16"/>
  <c r="I5" i="16"/>
  <c r="AA9" i="16"/>
  <c r="V10" i="16"/>
  <c r="W11" i="16"/>
  <c r="I35" i="16"/>
  <c r="I36" i="16"/>
  <c r="M37" i="16"/>
  <c r="S42" i="16"/>
  <c r="S43" i="16"/>
  <c r="U44" i="16"/>
  <c r="S46" i="16"/>
  <c r="U47" i="16"/>
  <c r="Q51" i="16"/>
  <c r="U52" i="16"/>
  <c r="C57" i="16"/>
  <c r="M67" i="16"/>
  <c r="AB71" i="16"/>
  <c r="T21" i="16"/>
  <c r="S21" i="16"/>
  <c r="R21" i="16"/>
  <c r="S26" i="16"/>
  <c r="R26" i="16"/>
  <c r="Q26" i="16"/>
  <c r="Q25" i="16"/>
  <c r="P27" i="16"/>
  <c r="R18" i="16"/>
  <c r="T19" i="16"/>
  <c r="Q21" i="16"/>
  <c r="S25" i="16"/>
  <c r="T26" i="16"/>
  <c r="R27" i="16"/>
  <c r="M28" i="16"/>
  <c r="AA30" i="16"/>
  <c r="C30" i="16"/>
  <c r="W30" i="16"/>
  <c r="V30" i="16"/>
  <c r="I13" i="16"/>
  <c r="AA16" i="16"/>
  <c r="V17" i="16"/>
  <c r="V18" i="16"/>
  <c r="U19" i="16"/>
  <c r="T20" i="16"/>
  <c r="U21" i="16"/>
  <c r="T25" i="16"/>
  <c r="U26" i="16"/>
  <c r="S27" i="16"/>
  <c r="P28" i="16"/>
  <c r="Q4" i="16"/>
  <c r="J5" i="16"/>
  <c r="W8" i="16"/>
  <c r="C8" i="16"/>
  <c r="V8" i="16"/>
  <c r="U8" i="16"/>
  <c r="AB9" i="16"/>
  <c r="AA11" i="16"/>
  <c r="J13" i="16"/>
  <c r="AA15" i="16"/>
  <c r="H15" i="16"/>
  <c r="W15" i="16"/>
  <c r="C15" i="16"/>
  <c r="V15" i="16"/>
  <c r="AB16" i="16"/>
  <c r="W17" i="16"/>
  <c r="W18" i="16"/>
  <c r="V19" i="16"/>
  <c r="U20" i="16"/>
  <c r="V21" i="16"/>
  <c r="V23" i="16"/>
  <c r="U23" i="16"/>
  <c r="T23" i="16"/>
  <c r="U25" i="16"/>
  <c r="V26" i="16"/>
  <c r="T27" i="16"/>
  <c r="Q28" i="16"/>
  <c r="H30" i="16"/>
  <c r="T31" i="16"/>
  <c r="S31" i="16"/>
  <c r="R31" i="16"/>
  <c r="J35" i="16"/>
  <c r="J36" i="16"/>
  <c r="P37" i="16"/>
  <c r="T42" i="16"/>
  <c r="T43" i="16"/>
  <c r="V44" i="16"/>
  <c r="T46" i="16"/>
  <c r="V47" i="16"/>
  <c r="W48" i="16"/>
  <c r="AB49" i="16"/>
  <c r="S51" i="16"/>
  <c r="V52" i="16"/>
  <c r="R53" i="16"/>
  <c r="AB53" i="16"/>
  <c r="I53" i="16"/>
  <c r="AA53" i="16"/>
  <c r="H53" i="16"/>
  <c r="W53" i="16"/>
  <c r="C53" i="16"/>
  <c r="T53" i="16"/>
  <c r="M57" i="16"/>
  <c r="P67" i="16"/>
  <c r="P65" i="16"/>
  <c r="J73" i="16"/>
  <c r="U74" i="16"/>
  <c r="V74" i="16"/>
  <c r="P73" i="16"/>
  <c r="C74" i="16"/>
  <c r="W74" i="16"/>
  <c r="R76" i="16"/>
  <c r="R54" i="16"/>
  <c r="S65" i="16"/>
  <c r="S68" i="16"/>
  <c r="Q73" i="16"/>
  <c r="H74" i="16"/>
  <c r="AA74" i="16"/>
  <c r="P14" i="16"/>
  <c r="P24" i="16"/>
  <c r="U33" i="16"/>
  <c r="P34" i="16"/>
  <c r="M45" i="16"/>
  <c r="S54" i="16"/>
  <c r="M55" i="16"/>
  <c r="T65" i="16"/>
  <c r="T68" i="16"/>
  <c r="P70" i="16"/>
  <c r="R73" i="16"/>
  <c r="I74" i="16"/>
  <c r="AB74" i="16"/>
  <c r="M14" i="16"/>
  <c r="T33" i="16"/>
  <c r="J6" i="16"/>
  <c r="T54" i="16"/>
  <c r="U65" i="16"/>
  <c r="S73" i="16"/>
  <c r="J74" i="16"/>
  <c r="V76" i="16"/>
  <c r="W76" i="16"/>
  <c r="AA76" i="16"/>
  <c r="C73" i="16"/>
  <c r="W73" i="16"/>
  <c r="R74" i="16"/>
  <c r="I54" i="16"/>
  <c r="H73" i="16"/>
  <c r="AA73" i="16"/>
  <c r="S74" i="16"/>
  <c r="I73" i="16"/>
  <c r="AD66" i="15"/>
  <c r="AD46" i="15"/>
  <c r="AD86" i="15" l="1"/>
  <c r="AC86" i="15"/>
  <c r="AB86" i="15"/>
  <c r="AA86" i="15"/>
  <c r="W86" i="15"/>
  <c r="V86" i="15"/>
  <c r="U86" i="15"/>
  <c r="T86" i="15"/>
  <c r="S86" i="15"/>
  <c r="R86" i="15"/>
  <c r="Q86" i="15"/>
  <c r="P86" i="15"/>
  <c r="J86" i="15"/>
  <c r="H86" i="15"/>
  <c r="C86" i="15"/>
  <c r="AD85" i="15"/>
  <c r="AC85" i="15"/>
  <c r="AB85" i="15"/>
  <c r="AA85" i="15"/>
  <c r="W85" i="15"/>
  <c r="V85" i="15"/>
  <c r="U85" i="15"/>
  <c r="T85" i="15"/>
  <c r="S85" i="15"/>
  <c r="R85" i="15"/>
  <c r="Q85" i="15"/>
  <c r="P85" i="15"/>
  <c r="J85" i="15"/>
  <c r="H85" i="15"/>
  <c r="C85" i="15"/>
  <c r="AD84" i="15"/>
  <c r="AB84" i="15"/>
  <c r="AA84" i="15"/>
  <c r="W84" i="15"/>
  <c r="V84" i="15"/>
  <c r="U84" i="15"/>
  <c r="T84" i="15"/>
  <c r="S84" i="15"/>
  <c r="R84" i="15"/>
  <c r="Q84" i="15"/>
  <c r="P84" i="15"/>
  <c r="M84" i="15"/>
  <c r="J84" i="15"/>
  <c r="H84" i="15"/>
  <c r="C84" i="15"/>
  <c r="AD83" i="15"/>
  <c r="AB83" i="15"/>
  <c r="AA83" i="15"/>
  <c r="W83" i="15"/>
  <c r="V83" i="15"/>
  <c r="U83" i="15"/>
  <c r="T83" i="15"/>
  <c r="S83" i="15"/>
  <c r="R83" i="15"/>
  <c r="Q83" i="15"/>
  <c r="P83" i="15"/>
  <c r="M83" i="15"/>
  <c r="J83" i="15"/>
  <c r="H83" i="15"/>
  <c r="C83" i="15"/>
  <c r="AD82" i="15"/>
  <c r="AB82" i="15"/>
  <c r="AA82" i="15"/>
  <c r="W82" i="15"/>
  <c r="V82" i="15"/>
  <c r="U82" i="15"/>
  <c r="T82" i="15"/>
  <c r="S82" i="15"/>
  <c r="R82" i="15"/>
  <c r="Q82" i="15"/>
  <c r="P82" i="15"/>
  <c r="M82" i="15"/>
  <c r="J82" i="15"/>
  <c r="H82" i="15"/>
  <c r="C82" i="15"/>
  <c r="AD81" i="15"/>
  <c r="AB81" i="15"/>
  <c r="AA81" i="15"/>
  <c r="W81" i="15"/>
  <c r="V81" i="15"/>
  <c r="U81" i="15"/>
  <c r="T81" i="15"/>
  <c r="S81" i="15"/>
  <c r="R81" i="15"/>
  <c r="Q81" i="15"/>
  <c r="P81" i="15"/>
  <c r="M81" i="15"/>
  <c r="J81" i="15"/>
  <c r="H81" i="15"/>
  <c r="C81" i="15"/>
  <c r="AD80" i="15"/>
  <c r="AB80" i="15"/>
  <c r="AA80" i="15"/>
  <c r="W80" i="15"/>
  <c r="V80" i="15"/>
  <c r="U80" i="15"/>
  <c r="T80" i="15"/>
  <c r="S80" i="15"/>
  <c r="R80" i="15"/>
  <c r="Q80" i="15"/>
  <c r="P80" i="15"/>
  <c r="M80" i="15"/>
  <c r="J80" i="15"/>
  <c r="H80" i="15"/>
  <c r="C80" i="15"/>
  <c r="AD79" i="15"/>
  <c r="AB79" i="15"/>
  <c r="AA79" i="15"/>
  <c r="W79" i="15"/>
  <c r="V79" i="15"/>
  <c r="U79" i="15"/>
  <c r="T79" i="15"/>
  <c r="S79" i="15"/>
  <c r="R79" i="15"/>
  <c r="Q79" i="15"/>
  <c r="P79" i="15"/>
  <c r="M79" i="15"/>
  <c r="J79" i="15"/>
  <c r="H79" i="15"/>
  <c r="C79" i="15"/>
  <c r="AD69" i="15"/>
  <c r="AD70" i="15"/>
  <c r="AD78" i="15"/>
  <c r="AD76" i="15"/>
  <c r="AD75" i="15"/>
  <c r="AD73" i="15"/>
  <c r="AD72" i="15"/>
  <c r="AD67" i="15"/>
  <c r="AD68" i="15"/>
  <c r="AD63" i="15"/>
  <c r="AB63" i="15"/>
  <c r="AA63" i="15"/>
  <c r="W63" i="15"/>
  <c r="V63" i="15"/>
  <c r="U63" i="15"/>
  <c r="T63" i="15"/>
  <c r="S63" i="15"/>
  <c r="R63" i="15"/>
  <c r="Q63" i="15"/>
  <c r="P63" i="15"/>
  <c r="J63" i="15"/>
  <c r="H63" i="15"/>
  <c r="C63" i="15"/>
  <c r="AD62" i="15"/>
  <c r="AB62" i="15"/>
  <c r="AA62" i="15"/>
  <c r="W62" i="15"/>
  <c r="V62" i="15"/>
  <c r="U62" i="15"/>
  <c r="T62" i="15"/>
  <c r="S62" i="15"/>
  <c r="R62" i="15"/>
  <c r="Q62" i="15"/>
  <c r="P62" i="15"/>
  <c r="M62" i="15"/>
  <c r="J62" i="15"/>
  <c r="H62" i="15"/>
  <c r="C62" i="15"/>
  <c r="AD61" i="15"/>
  <c r="AB61" i="15"/>
  <c r="AA61" i="15"/>
  <c r="W61" i="15"/>
  <c r="V61" i="15"/>
  <c r="U61" i="15"/>
  <c r="T61" i="15"/>
  <c r="S61" i="15"/>
  <c r="R61" i="15"/>
  <c r="Q61" i="15"/>
  <c r="P61" i="15"/>
  <c r="M61" i="15"/>
  <c r="J61" i="15"/>
  <c r="H61" i="15"/>
  <c r="C61" i="15"/>
  <c r="AD60" i="15"/>
  <c r="AB60" i="15"/>
  <c r="AA60" i="15"/>
  <c r="W60" i="15"/>
  <c r="V60" i="15"/>
  <c r="U60" i="15"/>
  <c r="T60" i="15"/>
  <c r="S60" i="15"/>
  <c r="R60" i="15"/>
  <c r="Q60" i="15"/>
  <c r="P60" i="15"/>
  <c r="M60" i="15"/>
  <c r="J60" i="15"/>
  <c r="H60" i="15"/>
  <c r="C60" i="15"/>
  <c r="AD59" i="15"/>
  <c r="AB59" i="15"/>
  <c r="AA59" i="15"/>
  <c r="W59" i="15"/>
  <c r="V59" i="15"/>
  <c r="U59" i="15"/>
  <c r="T59" i="15"/>
  <c r="S59" i="15"/>
  <c r="R59" i="15"/>
  <c r="Q59" i="15"/>
  <c r="P59" i="15"/>
  <c r="M59" i="15"/>
  <c r="J59" i="15"/>
  <c r="H59" i="15"/>
  <c r="C59" i="15"/>
  <c r="AD58" i="15"/>
  <c r="AD57" i="15"/>
  <c r="AD56" i="15"/>
  <c r="AD55" i="15"/>
  <c r="AD54" i="15"/>
  <c r="AD53" i="15"/>
  <c r="AD52" i="15"/>
  <c r="AD51" i="15"/>
  <c r="AD50" i="15"/>
  <c r="AD49" i="15"/>
  <c r="AD48" i="15"/>
  <c r="AD47" i="15"/>
  <c r="AD44" i="15"/>
  <c r="M44" i="15" s="1"/>
  <c r="AC44" i="15"/>
  <c r="AD43" i="15"/>
  <c r="J43" i="15" s="1"/>
  <c r="AC43" i="15"/>
  <c r="AD42" i="15"/>
  <c r="AC42" i="15"/>
  <c r="AD39" i="15"/>
  <c r="AC39" i="15"/>
  <c r="AB39" i="15"/>
  <c r="AA39" i="15"/>
  <c r="W39" i="15"/>
  <c r="V39" i="15"/>
  <c r="U39" i="15"/>
  <c r="T39" i="15"/>
  <c r="S39" i="15"/>
  <c r="R39" i="15"/>
  <c r="Q39" i="15"/>
  <c r="P39" i="15"/>
  <c r="M39" i="15"/>
  <c r="J39" i="15"/>
  <c r="I39" i="15"/>
  <c r="H39" i="15"/>
  <c r="C39" i="15"/>
  <c r="AD38" i="15"/>
  <c r="AC38" i="15"/>
  <c r="AB38" i="15"/>
  <c r="AA38" i="15"/>
  <c r="W38" i="15"/>
  <c r="V38" i="15"/>
  <c r="U38" i="15"/>
  <c r="T38" i="15"/>
  <c r="S38" i="15"/>
  <c r="R38" i="15"/>
  <c r="Q38" i="15"/>
  <c r="P38" i="15"/>
  <c r="M38" i="15"/>
  <c r="J38" i="15"/>
  <c r="I38" i="15"/>
  <c r="H38" i="15"/>
  <c r="C38" i="15"/>
  <c r="AD45" i="15"/>
  <c r="AD37" i="15"/>
  <c r="AD36" i="15"/>
  <c r="AD35" i="15"/>
  <c r="AD34" i="15"/>
  <c r="AD33" i="15"/>
  <c r="AD32" i="15"/>
  <c r="AD31" i="15"/>
  <c r="AD29" i="15"/>
  <c r="AD28" i="15"/>
  <c r="AD27" i="15"/>
  <c r="AD26" i="15"/>
  <c r="AD25" i="15"/>
  <c r="AD24" i="15"/>
  <c r="AD23" i="15"/>
  <c r="AD22" i="15"/>
  <c r="AD21" i="15"/>
  <c r="AD20" i="15"/>
  <c r="AD18" i="15"/>
  <c r="AD17" i="15"/>
  <c r="AD16" i="15"/>
  <c r="AD15" i="15"/>
  <c r="AD14" i="15"/>
  <c r="AD13" i="15"/>
  <c r="AD12" i="15"/>
  <c r="AD11" i="15"/>
  <c r="AD10" i="15"/>
  <c r="AD9" i="15"/>
  <c r="AD5" i="15"/>
  <c r="AD8" i="15"/>
  <c r="AB8" i="15" s="1"/>
  <c r="AC8" i="15"/>
  <c r="AD4" i="15"/>
  <c r="V46" i="15"/>
  <c r="T66" i="15"/>
  <c r="R66" i="15"/>
  <c r="P66" i="15" l="1"/>
  <c r="V58" i="15"/>
  <c r="W75" i="15"/>
  <c r="U46" i="15"/>
  <c r="AA66" i="15"/>
  <c r="AB20" i="15"/>
  <c r="J51" i="15"/>
  <c r="P5" i="15"/>
  <c r="AB14" i="15"/>
  <c r="Q21" i="15"/>
  <c r="AB27" i="15"/>
  <c r="Q34" i="15"/>
  <c r="Q52" i="15"/>
  <c r="T46" i="15"/>
  <c r="C66" i="15"/>
  <c r="S46" i="15"/>
  <c r="V13" i="15"/>
  <c r="AB9" i="15"/>
  <c r="J15" i="15"/>
  <c r="AB22" i="15"/>
  <c r="C28" i="15"/>
  <c r="AB35" i="15"/>
  <c r="J47" i="15"/>
  <c r="AB53" i="15"/>
  <c r="J46" i="15"/>
  <c r="Q33" i="15"/>
  <c r="AB6" i="15"/>
  <c r="AA30" i="15"/>
  <c r="V19" i="15"/>
  <c r="W6" i="15"/>
  <c r="AA19" i="15"/>
  <c r="H30" i="15"/>
  <c r="Q6" i="15"/>
  <c r="J19" i="15"/>
  <c r="H6" i="15"/>
  <c r="U6" i="15"/>
  <c r="S19" i="15"/>
  <c r="P30" i="15"/>
  <c r="V30" i="15"/>
  <c r="V6" i="15"/>
  <c r="U19" i="15"/>
  <c r="C30" i="15"/>
  <c r="M19" i="15"/>
  <c r="AB30" i="15"/>
  <c r="M30" i="15"/>
  <c r="W19" i="15"/>
  <c r="P6" i="15"/>
  <c r="AB19" i="15"/>
  <c r="Q30" i="15"/>
  <c r="C19" i="15"/>
  <c r="C6" i="15"/>
  <c r="Q19" i="15"/>
  <c r="R30" i="15"/>
  <c r="AA6" i="15"/>
  <c r="J30" i="15"/>
  <c r="H19" i="15"/>
  <c r="S30" i="15"/>
  <c r="T6" i="15"/>
  <c r="R19" i="15"/>
  <c r="U30" i="15"/>
  <c r="M6" i="15"/>
  <c r="T19" i="15"/>
  <c r="S6" i="15"/>
  <c r="P19" i="15"/>
  <c r="W30" i="15"/>
  <c r="J6" i="15"/>
  <c r="R6" i="15"/>
  <c r="T30" i="15"/>
  <c r="J68" i="15"/>
  <c r="T78" i="15"/>
  <c r="R46" i="15"/>
  <c r="M66" i="15"/>
  <c r="U66" i="15"/>
  <c r="P76" i="15"/>
  <c r="AA23" i="15"/>
  <c r="V48" i="15"/>
  <c r="Q70" i="15"/>
  <c r="V67" i="15"/>
  <c r="J56" i="15"/>
  <c r="Q72" i="15"/>
  <c r="AA46" i="15"/>
  <c r="H66" i="15"/>
  <c r="J66" i="15"/>
  <c r="V26" i="15"/>
  <c r="P16" i="15"/>
  <c r="W36" i="15"/>
  <c r="W66" i="15"/>
  <c r="M69" i="15"/>
  <c r="V66" i="15"/>
  <c r="M11" i="15"/>
  <c r="U31" i="15"/>
  <c r="AB55" i="15"/>
  <c r="M46" i="15"/>
  <c r="P4" i="15"/>
  <c r="AB12" i="15"/>
  <c r="J18" i="15"/>
  <c r="R25" i="15"/>
  <c r="J32" i="15"/>
  <c r="AB45" i="15"/>
  <c r="S42" i="15"/>
  <c r="I50" i="15"/>
  <c r="C46" i="15"/>
  <c r="S66" i="15"/>
  <c r="AB66" i="15"/>
  <c r="AA10" i="15"/>
  <c r="P29" i="15"/>
  <c r="V54" i="15"/>
  <c r="Q46" i="15"/>
  <c r="P46" i="15"/>
  <c r="AB17" i="15"/>
  <c r="P37" i="15"/>
  <c r="Q49" i="15"/>
  <c r="H46" i="15"/>
  <c r="J57" i="15"/>
  <c r="P73" i="15"/>
  <c r="W46" i="15"/>
  <c r="Q66" i="15"/>
  <c r="AB46" i="15"/>
  <c r="S25" i="15"/>
  <c r="P31" i="15"/>
  <c r="T18" i="15"/>
  <c r="C58" i="15"/>
  <c r="J58" i="15"/>
  <c r="W13" i="15"/>
  <c r="AB18" i="15"/>
  <c r="H18" i="15"/>
  <c r="Q47" i="15"/>
  <c r="C48" i="15"/>
  <c r="H48" i="15"/>
  <c r="I48" i="15"/>
  <c r="J48" i="15"/>
  <c r="V21" i="15"/>
  <c r="I13" i="15"/>
  <c r="C17" i="15"/>
  <c r="R13" i="15"/>
  <c r="S13" i="15"/>
  <c r="U21" i="15"/>
  <c r="H57" i="15"/>
  <c r="C33" i="15"/>
  <c r="R70" i="15"/>
  <c r="S70" i="15"/>
  <c r="S58" i="15"/>
  <c r="T70" i="15"/>
  <c r="C44" i="15"/>
  <c r="U70" i="15"/>
  <c r="W58" i="15"/>
  <c r="I35" i="15"/>
  <c r="Q44" i="15"/>
  <c r="H55" i="15"/>
  <c r="AA58" i="15"/>
  <c r="V70" i="15"/>
  <c r="I55" i="15"/>
  <c r="AB58" i="15"/>
  <c r="W70" i="15"/>
  <c r="AA70" i="15"/>
  <c r="S21" i="15"/>
  <c r="U44" i="15"/>
  <c r="V34" i="15"/>
  <c r="AB54" i="15"/>
  <c r="Q68" i="15"/>
  <c r="H21" i="15"/>
  <c r="C31" i="15"/>
  <c r="AA34" i="15"/>
  <c r="AA21" i="15"/>
  <c r="J35" i="15"/>
  <c r="AA13" i="15"/>
  <c r="P44" i="15"/>
  <c r="V44" i="15"/>
  <c r="I54" i="15"/>
  <c r="R57" i="15"/>
  <c r="H8" i="15"/>
  <c r="H34" i="15"/>
  <c r="W44" i="15"/>
  <c r="W54" i="15"/>
  <c r="W57" i="15"/>
  <c r="J12" i="15"/>
  <c r="J8" i="15"/>
  <c r="M12" i="15"/>
  <c r="U34" i="15"/>
  <c r="AA44" i="15"/>
  <c r="AA54" i="15"/>
  <c r="AA57" i="15"/>
  <c r="P69" i="15"/>
  <c r="R69" i="15"/>
  <c r="T69" i="15"/>
  <c r="R27" i="15"/>
  <c r="I47" i="15"/>
  <c r="M68" i="15"/>
  <c r="AB78" i="15"/>
  <c r="C8" i="15"/>
  <c r="I18" i="15"/>
  <c r="T21" i="15"/>
  <c r="M25" i="15"/>
  <c r="T27" i="15"/>
  <c r="P47" i="15"/>
  <c r="M50" i="15"/>
  <c r="U54" i="15"/>
  <c r="C57" i="15"/>
  <c r="M58" i="15"/>
  <c r="P68" i="15"/>
  <c r="Q69" i="15"/>
  <c r="S69" i="15"/>
  <c r="U69" i="15"/>
  <c r="R20" i="15"/>
  <c r="AB57" i="15"/>
  <c r="C78" i="15"/>
  <c r="V69" i="15"/>
  <c r="H27" i="15"/>
  <c r="H72" i="15"/>
  <c r="H78" i="15"/>
  <c r="W69" i="15"/>
  <c r="I27" i="15"/>
  <c r="I78" i="15"/>
  <c r="AA69" i="15"/>
  <c r="J27" i="15"/>
  <c r="V78" i="15"/>
  <c r="M27" i="15"/>
  <c r="C54" i="15"/>
  <c r="H58" i="15"/>
  <c r="H68" i="15"/>
  <c r="I73" i="15"/>
  <c r="W78" i="15"/>
  <c r="H70" i="15"/>
  <c r="I21" i="15"/>
  <c r="AB13" i="15"/>
  <c r="C18" i="15"/>
  <c r="J21" i="15"/>
  <c r="P27" i="15"/>
  <c r="Q31" i="15"/>
  <c r="AB34" i="15"/>
  <c r="H54" i="15"/>
  <c r="I58" i="15"/>
  <c r="I68" i="15"/>
  <c r="J73" i="15"/>
  <c r="AA78" i="15"/>
  <c r="J69" i="15"/>
  <c r="W34" i="15"/>
  <c r="J45" i="15"/>
  <c r="M45" i="15"/>
  <c r="Q45" i="15"/>
  <c r="R45" i="15"/>
  <c r="S45" i="15"/>
  <c r="P45" i="15"/>
  <c r="T45" i="15"/>
  <c r="V45" i="15"/>
  <c r="C45" i="15"/>
  <c r="W45" i="15"/>
  <c r="U45" i="15"/>
  <c r="AA45" i="15"/>
  <c r="H45" i="15"/>
  <c r="I45" i="15"/>
  <c r="C69" i="15"/>
  <c r="H69" i="15"/>
  <c r="AB69" i="15"/>
  <c r="AB70" i="15"/>
  <c r="C70" i="15"/>
  <c r="J70" i="15"/>
  <c r="M70" i="15"/>
  <c r="P70" i="15"/>
  <c r="J53" i="15"/>
  <c r="AB67" i="15"/>
  <c r="R32" i="15"/>
  <c r="T10" i="15"/>
  <c r="M47" i="15"/>
  <c r="M53" i="15"/>
  <c r="C67" i="15"/>
  <c r="H17" i="15"/>
  <c r="S47" i="15"/>
  <c r="M48" i="15"/>
  <c r="R68" i="15"/>
  <c r="J67" i="15"/>
  <c r="S68" i="15"/>
  <c r="Q17" i="15"/>
  <c r="I34" i="15"/>
  <c r="V47" i="15"/>
  <c r="R48" i="15"/>
  <c r="J54" i="15"/>
  <c r="T68" i="15"/>
  <c r="Q67" i="15"/>
  <c r="J78" i="15"/>
  <c r="M17" i="15"/>
  <c r="I5" i="15"/>
  <c r="U17" i="15"/>
  <c r="C20" i="15"/>
  <c r="AB21" i="15"/>
  <c r="J34" i="15"/>
  <c r="T35" i="15"/>
  <c r="W47" i="15"/>
  <c r="S48" i="15"/>
  <c r="M54" i="15"/>
  <c r="T55" i="15"/>
  <c r="V68" i="15"/>
  <c r="R67" i="15"/>
  <c r="S73" i="15"/>
  <c r="M78" i="15"/>
  <c r="H67" i="15"/>
  <c r="P17" i="15"/>
  <c r="M67" i="15"/>
  <c r="W17" i="15"/>
  <c r="R34" i="15"/>
  <c r="U35" i="15"/>
  <c r="AA47" i="15"/>
  <c r="W48" i="15"/>
  <c r="M52" i="15"/>
  <c r="P54" i="15"/>
  <c r="AA55" i="15"/>
  <c r="W68" i="15"/>
  <c r="S67" i="15"/>
  <c r="T73" i="15"/>
  <c r="P78" i="15"/>
  <c r="I17" i="15"/>
  <c r="T47" i="15"/>
  <c r="Q48" i="15"/>
  <c r="C13" i="15"/>
  <c r="J26" i="15"/>
  <c r="S34" i="15"/>
  <c r="M43" i="15"/>
  <c r="C47" i="15"/>
  <c r="AB47" i="15"/>
  <c r="AA48" i="15"/>
  <c r="Q54" i="15"/>
  <c r="AA68" i="15"/>
  <c r="W67" i="15"/>
  <c r="Q78" i="15"/>
  <c r="R47" i="15"/>
  <c r="I67" i="15"/>
  <c r="H13" i="15"/>
  <c r="Q22" i="15"/>
  <c r="I28" i="15"/>
  <c r="I32" i="15"/>
  <c r="T34" i="15"/>
  <c r="H47" i="15"/>
  <c r="AB48" i="15"/>
  <c r="R54" i="15"/>
  <c r="C68" i="15"/>
  <c r="AB68" i="15"/>
  <c r="AA67" i="15"/>
  <c r="R78" i="15"/>
  <c r="P12" i="15"/>
  <c r="I15" i="15"/>
  <c r="U25" i="15"/>
  <c r="P26" i="15"/>
  <c r="M28" i="15"/>
  <c r="P43" i="15"/>
  <c r="R12" i="15"/>
  <c r="M18" i="15"/>
  <c r="S28" i="15"/>
  <c r="S12" i="15"/>
  <c r="J13" i="15"/>
  <c r="M15" i="15"/>
  <c r="P18" i="15"/>
  <c r="T43" i="15"/>
  <c r="Q8" i="15"/>
  <c r="V28" i="15"/>
  <c r="AA32" i="15"/>
  <c r="U43" i="15"/>
  <c r="S49" i="15"/>
  <c r="M51" i="15"/>
  <c r="V52" i="15"/>
  <c r="S53" i="15"/>
  <c r="M57" i="15"/>
  <c r="S72" i="15"/>
  <c r="AB73" i="15"/>
  <c r="J28" i="15"/>
  <c r="I49" i="15"/>
  <c r="I72" i="15"/>
  <c r="Q5" i="15"/>
  <c r="Q12" i="15"/>
  <c r="T32" i="15"/>
  <c r="P53" i="15"/>
  <c r="V32" i="15"/>
  <c r="Q43" i="15"/>
  <c r="R52" i="15"/>
  <c r="Q53" i="15"/>
  <c r="W32" i="15"/>
  <c r="R49" i="15"/>
  <c r="C51" i="15"/>
  <c r="U52" i="15"/>
  <c r="R53" i="15"/>
  <c r="R72" i="15"/>
  <c r="T5" i="15"/>
  <c r="R11" i="15"/>
  <c r="T12" i="15"/>
  <c r="M13" i="15"/>
  <c r="H14" i="15"/>
  <c r="W15" i="15"/>
  <c r="Q18" i="15"/>
  <c r="H25" i="15"/>
  <c r="AA25" i="15"/>
  <c r="S26" i="15"/>
  <c r="R8" i="15"/>
  <c r="U5" i="15"/>
  <c r="U12" i="15"/>
  <c r="P13" i="15"/>
  <c r="I14" i="15"/>
  <c r="AB15" i="15"/>
  <c r="R18" i="15"/>
  <c r="I25" i="15"/>
  <c r="AB25" i="15"/>
  <c r="T26" i="15"/>
  <c r="AB28" i="15"/>
  <c r="C32" i="15"/>
  <c r="AB32" i="15"/>
  <c r="C36" i="15"/>
  <c r="V43" i="15"/>
  <c r="T49" i="15"/>
  <c r="P51" i="15"/>
  <c r="W52" i="15"/>
  <c r="T53" i="15"/>
  <c r="P57" i="15"/>
  <c r="T72" i="15"/>
  <c r="J5" i="15"/>
  <c r="H49" i="15"/>
  <c r="M5" i="15"/>
  <c r="C15" i="15"/>
  <c r="T25" i="15"/>
  <c r="M26" i="15"/>
  <c r="S32" i="15"/>
  <c r="J49" i="15"/>
  <c r="P52" i="15"/>
  <c r="J72" i="15"/>
  <c r="R5" i="15"/>
  <c r="V25" i="15"/>
  <c r="Q26" i="15"/>
  <c r="M49" i="15"/>
  <c r="M72" i="15"/>
  <c r="M8" i="15"/>
  <c r="S5" i="15"/>
  <c r="C25" i="15"/>
  <c r="W25" i="15"/>
  <c r="R26" i="15"/>
  <c r="T28" i="15"/>
  <c r="I57" i="15"/>
  <c r="V5" i="15"/>
  <c r="V12" i="15"/>
  <c r="Q13" i="15"/>
  <c r="J14" i="15"/>
  <c r="S18" i="15"/>
  <c r="J25" i="15"/>
  <c r="U26" i="15"/>
  <c r="H32" i="15"/>
  <c r="J36" i="15"/>
  <c r="U49" i="15"/>
  <c r="T51" i="15"/>
  <c r="U53" i="15"/>
  <c r="Q57" i="15"/>
  <c r="U72" i="15"/>
  <c r="AA5" i="15"/>
  <c r="C12" i="15"/>
  <c r="W12" i="15"/>
  <c r="M14" i="15"/>
  <c r="W26" i="15"/>
  <c r="M36" i="15"/>
  <c r="J42" i="15"/>
  <c r="V49" i="15"/>
  <c r="U51" i="15"/>
  <c r="V53" i="15"/>
  <c r="V72" i="15"/>
  <c r="C4" i="15"/>
  <c r="AB5" i="15"/>
  <c r="H12" i="15"/>
  <c r="AA12" i="15"/>
  <c r="AA14" i="15"/>
  <c r="M16" i="15"/>
  <c r="V18" i="15"/>
  <c r="P25" i="15"/>
  <c r="C26" i="15"/>
  <c r="AA26" i="15"/>
  <c r="M32" i="15"/>
  <c r="P36" i="15"/>
  <c r="M42" i="15"/>
  <c r="AA49" i="15"/>
  <c r="V51" i="15"/>
  <c r="C53" i="15"/>
  <c r="W53" i="15"/>
  <c r="S57" i="15"/>
  <c r="AA72" i="15"/>
  <c r="R4" i="15"/>
  <c r="H5" i="15"/>
  <c r="I12" i="15"/>
  <c r="T13" i="15"/>
  <c r="W18" i="15"/>
  <c r="M21" i="15"/>
  <c r="Q25" i="15"/>
  <c r="H26" i="15"/>
  <c r="AB26" i="15"/>
  <c r="P32" i="15"/>
  <c r="U36" i="15"/>
  <c r="H44" i="15"/>
  <c r="AB49" i="15"/>
  <c r="W51" i="15"/>
  <c r="H53" i="15"/>
  <c r="AA53" i="15"/>
  <c r="S54" i="15"/>
  <c r="T57" i="15"/>
  <c r="Q58" i="15"/>
  <c r="AB72" i="15"/>
  <c r="M76" i="15"/>
  <c r="S78" i="15"/>
  <c r="U13" i="15"/>
  <c r="AA18" i="15"/>
  <c r="R21" i="15"/>
  <c r="T23" i="15"/>
  <c r="I26" i="15"/>
  <c r="Q32" i="15"/>
  <c r="I53" i="15"/>
  <c r="T54" i="15"/>
  <c r="V57" i="15"/>
  <c r="R58" i="15"/>
  <c r="U78" i="15"/>
  <c r="J24" i="15"/>
  <c r="AB24" i="15"/>
  <c r="I24" i="15"/>
  <c r="AA24" i="15"/>
  <c r="H24" i="15"/>
  <c r="T24" i="15"/>
  <c r="T9" i="15"/>
  <c r="T75" i="15"/>
  <c r="H4" i="15"/>
  <c r="U9" i="15"/>
  <c r="U10" i="15"/>
  <c r="S11" i="15"/>
  <c r="AB16" i="15"/>
  <c r="I16" i="15"/>
  <c r="AA16" i="15"/>
  <c r="H16" i="15"/>
  <c r="W16" i="15"/>
  <c r="C16" i="15"/>
  <c r="S16" i="15"/>
  <c r="S20" i="15"/>
  <c r="S22" i="15"/>
  <c r="U23" i="15"/>
  <c r="T31" i="15"/>
  <c r="S31" i="15"/>
  <c r="R31" i="15"/>
  <c r="J31" i="15"/>
  <c r="W33" i="15"/>
  <c r="R42" i="15"/>
  <c r="Q42" i="15"/>
  <c r="P42" i="15"/>
  <c r="AA42" i="15"/>
  <c r="H42" i="15"/>
  <c r="W42" i="15"/>
  <c r="C42" i="15"/>
  <c r="U75" i="15"/>
  <c r="J76" i="15"/>
  <c r="AB76" i="15"/>
  <c r="I76" i="15"/>
  <c r="AA76" i="15"/>
  <c r="H76" i="15"/>
  <c r="W76" i="15"/>
  <c r="C76" i="15"/>
  <c r="T76" i="15"/>
  <c r="S76" i="15"/>
  <c r="T17" i="15"/>
  <c r="S17" i="15"/>
  <c r="R17" i="15"/>
  <c r="J17" i="15"/>
  <c r="W20" i="15"/>
  <c r="T22" i="15"/>
  <c r="V23" i="15"/>
  <c r="V24" i="15"/>
  <c r="W27" i="15"/>
  <c r="C27" i="15"/>
  <c r="V27" i="15"/>
  <c r="U27" i="15"/>
  <c r="Q27" i="15"/>
  <c r="R28" i="15"/>
  <c r="Q28" i="15"/>
  <c r="P28" i="15"/>
  <c r="AA28" i="15"/>
  <c r="H28" i="15"/>
  <c r="H31" i="15"/>
  <c r="AA33" i="15"/>
  <c r="S36" i="15"/>
  <c r="R36" i="15"/>
  <c r="Q36" i="15"/>
  <c r="AB36" i="15"/>
  <c r="I36" i="15"/>
  <c r="AA36" i="15"/>
  <c r="H36" i="15"/>
  <c r="M73" i="15"/>
  <c r="V75" i="15"/>
  <c r="H9" i="15"/>
  <c r="AB29" i="15"/>
  <c r="I29" i="15"/>
  <c r="AA29" i="15"/>
  <c r="H29" i="15"/>
  <c r="W29" i="15"/>
  <c r="C29" i="15"/>
  <c r="S29" i="15"/>
  <c r="J37" i="15"/>
  <c r="AB37" i="15"/>
  <c r="I37" i="15"/>
  <c r="H37" i="15"/>
  <c r="AA37" i="15"/>
  <c r="T37" i="15"/>
  <c r="S37" i="15"/>
  <c r="S56" i="15"/>
  <c r="R56" i="15"/>
  <c r="Q56" i="15"/>
  <c r="AB56" i="15"/>
  <c r="H56" i="15"/>
  <c r="AA56" i="15"/>
  <c r="C56" i="15"/>
  <c r="U24" i="15"/>
  <c r="M4" i="15"/>
  <c r="U8" i="15"/>
  <c r="T8" i="15"/>
  <c r="P8" i="15"/>
  <c r="AA9" i="15"/>
  <c r="V10" i="15"/>
  <c r="U11" i="15"/>
  <c r="I8" i="15"/>
  <c r="W10" i="15"/>
  <c r="V11" i="15"/>
  <c r="W14" i="15"/>
  <c r="C14" i="15"/>
  <c r="V14" i="15"/>
  <c r="U14" i="15"/>
  <c r="Q14" i="15"/>
  <c r="R15" i="15"/>
  <c r="Q15" i="15"/>
  <c r="P15" i="15"/>
  <c r="AA15" i="15"/>
  <c r="H15" i="15"/>
  <c r="AA20" i="15"/>
  <c r="U22" i="15"/>
  <c r="W23" i="15"/>
  <c r="W24" i="15"/>
  <c r="J29" i="15"/>
  <c r="I31" i="15"/>
  <c r="AB33" i="15"/>
  <c r="C37" i="15"/>
  <c r="W9" i="15"/>
  <c r="C9" i="15"/>
  <c r="V9" i="15"/>
  <c r="R9" i="15"/>
  <c r="J4" i="15"/>
  <c r="AB4" i="15"/>
  <c r="I4" i="15"/>
  <c r="U4" i="15"/>
  <c r="S24" i="15"/>
  <c r="S33" i="15"/>
  <c r="AA50" i="15"/>
  <c r="H50" i="15"/>
  <c r="W50" i="15"/>
  <c r="C50" i="15"/>
  <c r="V50" i="15"/>
  <c r="R50" i="15"/>
  <c r="Q50" i="15"/>
  <c r="Q4" i="15"/>
  <c r="W11" i="15"/>
  <c r="J16" i="15"/>
  <c r="M29" i="15"/>
  <c r="M31" i="15"/>
  <c r="AA35" i="15"/>
  <c r="H35" i="15"/>
  <c r="W35" i="15"/>
  <c r="C35" i="15"/>
  <c r="V35" i="15"/>
  <c r="R35" i="15"/>
  <c r="M37" i="15"/>
  <c r="I42" i="15"/>
  <c r="J50" i="15"/>
  <c r="W55" i="15"/>
  <c r="C55" i="15"/>
  <c r="V55" i="15"/>
  <c r="U55" i="15"/>
  <c r="Q55" i="15"/>
  <c r="P55" i="15"/>
  <c r="S75" i="15"/>
  <c r="R75" i="15"/>
  <c r="Q75" i="15"/>
  <c r="P75" i="15"/>
  <c r="AB75" i="15"/>
  <c r="I75" i="15"/>
  <c r="AA75" i="15"/>
  <c r="H75" i="15"/>
  <c r="S4" i="15"/>
  <c r="I9" i="15"/>
  <c r="R10" i="15"/>
  <c r="Q10" i="15"/>
  <c r="AB10" i="15"/>
  <c r="I10" i="15"/>
  <c r="V20" i="15"/>
  <c r="U20" i="15"/>
  <c r="T20" i="15"/>
  <c r="P20" i="15"/>
  <c r="AA22" i="15"/>
  <c r="H22" i="15"/>
  <c r="W22" i="15"/>
  <c r="C22" i="15"/>
  <c r="V22" i="15"/>
  <c r="R22" i="15"/>
  <c r="S23" i="15"/>
  <c r="R23" i="15"/>
  <c r="Q23" i="15"/>
  <c r="AB23" i="15"/>
  <c r="I23" i="15"/>
  <c r="Q29" i="15"/>
  <c r="M56" i="15"/>
  <c r="C23" i="15"/>
  <c r="C24" i="15"/>
  <c r="R29" i="15"/>
  <c r="S50" i="15"/>
  <c r="V4" i="15"/>
  <c r="T29" i="15"/>
  <c r="V31" i="15"/>
  <c r="J33" i="15"/>
  <c r="M35" i="15"/>
  <c r="U37" i="15"/>
  <c r="T42" i="15"/>
  <c r="T50" i="15"/>
  <c r="J52" i="15"/>
  <c r="AB52" i="15"/>
  <c r="I52" i="15"/>
  <c r="AA52" i="15"/>
  <c r="H52" i="15"/>
  <c r="T52" i="15"/>
  <c r="S52" i="15"/>
  <c r="J55" i="15"/>
  <c r="T56" i="15"/>
  <c r="AA73" i="15"/>
  <c r="H73" i="15"/>
  <c r="W73" i="15"/>
  <c r="C73" i="15"/>
  <c r="V73" i="15"/>
  <c r="U73" i="15"/>
  <c r="R73" i="15"/>
  <c r="Q73" i="15"/>
  <c r="Q76" i="15"/>
  <c r="P50" i="15"/>
  <c r="J9" i="15"/>
  <c r="H10" i="15"/>
  <c r="C11" i="15"/>
  <c r="H20" i="15"/>
  <c r="I33" i="15"/>
  <c r="W4" i="15"/>
  <c r="V8" i="15"/>
  <c r="P9" i="15"/>
  <c r="M10" i="15"/>
  <c r="R14" i="15"/>
  <c r="T15" i="15"/>
  <c r="T16" i="15"/>
  <c r="V17" i="15"/>
  <c r="J20" i="15"/>
  <c r="J22" i="15"/>
  <c r="J23" i="15"/>
  <c r="P24" i="15"/>
  <c r="S27" i="15"/>
  <c r="U28" i="15"/>
  <c r="U29" i="15"/>
  <c r="W31" i="15"/>
  <c r="M33" i="15"/>
  <c r="P35" i="15"/>
  <c r="T36" i="15"/>
  <c r="V37" i="15"/>
  <c r="U42" i="15"/>
  <c r="T44" i="15"/>
  <c r="S44" i="15"/>
  <c r="R44" i="15"/>
  <c r="J44" i="15"/>
  <c r="AB44" i="15"/>
  <c r="I44" i="15"/>
  <c r="U50" i="15"/>
  <c r="M55" i="15"/>
  <c r="U56" i="15"/>
  <c r="C75" i="15"/>
  <c r="R76" i="15"/>
  <c r="C10" i="15"/>
  <c r="AB11" i="15"/>
  <c r="I11" i="15"/>
  <c r="AA11" i="15"/>
  <c r="H11" i="15"/>
  <c r="T11" i="15"/>
  <c r="Q37" i="15"/>
  <c r="S8" i="15"/>
  <c r="I20" i="15"/>
  <c r="H23" i="15"/>
  <c r="AA4" i="15"/>
  <c r="W8" i="15"/>
  <c r="Q9" i="15"/>
  <c r="M22" i="15"/>
  <c r="Q24" i="15"/>
  <c r="V29" i="15"/>
  <c r="AA31" i="15"/>
  <c r="Q35" i="15"/>
  <c r="W37" i="15"/>
  <c r="V42" i="15"/>
  <c r="AB43" i="15"/>
  <c r="I43" i="15"/>
  <c r="AA43" i="15"/>
  <c r="H43" i="15"/>
  <c r="W43" i="15"/>
  <c r="C43" i="15"/>
  <c r="S43" i="15"/>
  <c r="R43" i="15"/>
  <c r="AB50" i="15"/>
  <c r="S51" i="15"/>
  <c r="R51" i="15"/>
  <c r="Q51" i="15"/>
  <c r="AB51" i="15"/>
  <c r="I51" i="15"/>
  <c r="AA51" i="15"/>
  <c r="H51" i="15"/>
  <c r="R55" i="15"/>
  <c r="V56" i="15"/>
  <c r="J75" i="15"/>
  <c r="U76" i="15"/>
  <c r="V33" i="15"/>
  <c r="U33" i="15"/>
  <c r="T33" i="15"/>
  <c r="P33" i="15"/>
  <c r="H33" i="15"/>
  <c r="T4" i="15"/>
  <c r="Q16" i="15"/>
  <c r="R37" i="15"/>
  <c r="P56" i="15"/>
  <c r="M9" i="15"/>
  <c r="J10" i="15"/>
  <c r="J11" i="15"/>
  <c r="P14" i="15"/>
  <c r="S15" i="15"/>
  <c r="R16" i="15"/>
  <c r="I22" i="15"/>
  <c r="M24" i="15"/>
  <c r="P10" i="15"/>
  <c r="P11" i="15"/>
  <c r="S14" i="15"/>
  <c r="U15" i="15"/>
  <c r="U16" i="15"/>
  <c r="M20" i="15"/>
  <c r="M23" i="15"/>
  <c r="AA8" i="15"/>
  <c r="S9" i="15"/>
  <c r="S10" i="15"/>
  <c r="Q11" i="15"/>
  <c r="T14" i="15"/>
  <c r="V15" i="15"/>
  <c r="V16" i="15"/>
  <c r="AA17" i="15"/>
  <c r="Q20" i="15"/>
  <c r="P22" i="15"/>
  <c r="P23" i="15"/>
  <c r="R24" i="15"/>
  <c r="AA27" i="15"/>
  <c r="W28" i="15"/>
  <c r="AB31" i="15"/>
  <c r="R33" i="15"/>
  <c r="S35" i="15"/>
  <c r="V36" i="15"/>
  <c r="AB42" i="15"/>
  <c r="C52" i="15"/>
  <c r="S55" i="15"/>
  <c r="W56" i="15"/>
  <c r="M75" i="15"/>
  <c r="V76" i="15"/>
  <c r="C5" i="15"/>
  <c r="W5" i="15"/>
  <c r="U18" i="15"/>
  <c r="C21" i="15"/>
  <c r="W21" i="15"/>
  <c r="U32" i="15"/>
  <c r="C34" i="15"/>
  <c r="U47" i="15"/>
  <c r="P48" i="15"/>
  <c r="C49" i="15"/>
  <c r="W49" i="15"/>
  <c r="U57" i="15"/>
  <c r="P58" i="15"/>
  <c r="U68" i="15"/>
  <c r="P67" i="15"/>
  <c r="C72" i="15"/>
  <c r="W72" i="15"/>
  <c r="T58" i="15"/>
  <c r="T67" i="15"/>
  <c r="M34" i="15"/>
  <c r="T48" i="15"/>
  <c r="P21" i="15"/>
  <c r="P34" i="15"/>
  <c r="U48" i="15"/>
  <c r="P49" i="15"/>
  <c r="U58" i="15"/>
  <c r="U67" i="15"/>
  <c r="P72" i="15"/>
  <c r="AD82" i="14"/>
  <c r="AC82" i="14"/>
  <c r="AB82" i="14"/>
  <c r="AA82" i="14"/>
  <c r="W82" i="14"/>
  <c r="V82" i="14"/>
  <c r="U82" i="14"/>
  <c r="T82" i="14"/>
  <c r="S82" i="14"/>
  <c r="R82" i="14"/>
  <c r="Q82" i="14"/>
  <c r="P82" i="14"/>
  <c r="J82" i="14"/>
  <c r="H82" i="14"/>
  <c r="C82" i="14"/>
  <c r="AD81" i="14"/>
  <c r="AC81" i="14"/>
  <c r="AB81" i="14"/>
  <c r="AA81" i="14"/>
  <c r="W81" i="14"/>
  <c r="V81" i="14"/>
  <c r="U81" i="14"/>
  <c r="T81" i="14"/>
  <c r="S81" i="14"/>
  <c r="R81" i="14"/>
  <c r="Q81" i="14"/>
  <c r="P81" i="14"/>
  <c r="J81" i="14"/>
  <c r="H81" i="14"/>
  <c r="C81" i="14"/>
  <c r="AD80" i="14"/>
  <c r="AB80" i="14"/>
  <c r="AA80" i="14"/>
  <c r="W80" i="14"/>
  <c r="V80" i="14"/>
  <c r="U80" i="14"/>
  <c r="T80" i="14"/>
  <c r="S80" i="14"/>
  <c r="R80" i="14"/>
  <c r="Q80" i="14"/>
  <c r="P80" i="14"/>
  <c r="M80" i="14"/>
  <c r="J80" i="14"/>
  <c r="H80" i="14"/>
  <c r="C80" i="14"/>
  <c r="AD79" i="14"/>
  <c r="AB79" i="14"/>
  <c r="AA79" i="14"/>
  <c r="W79" i="14"/>
  <c r="V79" i="14"/>
  <c r="U79" i="14"/>
  <c r="T79" i="14"/>
  <c r="S79" i="14"/>
  <c r="R79" i="14"/>
  <c r="Q79" i="14"/>
  <c r="P79" i="14"/>
  <c r="M79" i="14"/>
  <c r="J79" i="14"/>
  <c r="H79" i="14"/>
  <c r="C79" i="14"/>
  <c r="AD78" i="14"/>
  <c r="AB78" i="14"/>
  <c r="AA78" i="14"/>
  <c r="W78" i="14"/>
  <c r="V78" i="14"/>
  <c r="U78" i="14"/>
  <c r="T78" i="14"/>
  <c r="S78" i="14"/>
  <c r="R78" i="14"/>
  <c r="Q78" i="14"/>
  <c r="P78" i="14"/>
  <c r="M78" i="14"/>
  <c r="J78" i="14"/>
  <c r="H78" i="14"/>
  <c r="C78" i="14"/>
  <c r="AD77" i="14"/>
  <c r="AB77" i="14"/>
  <c r="AA77" i="14"/>
  <c r="W77" i="14"/>
  <c r="V77" i="14"/>
  <c r="U77" i="14"/>
  <c r="T77" i="14"/>
  <c r="S77" i="14"/>
  <c r="R77" i="14"/>
  <c r="Q77" i="14"/>
  <c r="P77" i="14"/>
  <c r="M77" i="14"/>
  <c r="J77" i="14"/>
  <c r="H77" i="14"/>
  <c r="C77" i="14"/>
  <c r="AD76" i="14"/>
  <c r="AB76" i="14"/>
  <c r="AA76" i="14"/>
  <c r="W76" i="14"/>
  <c r="V76" i="14"/>
  <c r="U76" i="14"/>
  <c r="T76" i="14"/>
  <c r="S76" i="14"/>
  <c r="R76" i="14"/>
  <c r="Q76" i="14"/>
  <c r="P76" i="14"/>
  <c r="M76" i="14"/>
  <c r="J76" i="14"/>
  <c r="H76" i="14"/>
  <c r="C76" i="14"/>
  <c r="AD75" i="14"/>
  <c r="AB75" i="14"/>
  <c r="AA75" i="14"/>
  <c r="W75" i="14"/>
  <c r="V75" i="14"/>
  <c r="U75" i="14"/>
  <c r="T75" i="14"/>
  <c r="S75" i="14"/>
  <c r="R75" i="14"/>
  <c r="Q75" i="14"/>
  <c r="P75" i="14"/>
  <c r="M75" i="14"/>
  <c r="J75" i="14"/>
  <c r="H75" i="14"/>
  <c r="C75" i="14"/>
  <c r="AD74" i="14"/>
  <c r="AB74" i="14"/>
  <c r="AA74" i="14"/>
  <c r="W74" i="14"/>
  <c r="V74" i="14"/>
  <c r="U74" i="14"/>
  <c r="T74" i="14"/>
  <c r="S74" i="14"/>
  <c r="R74" i="14"/>
  <c r="Q74" i="14"/>
  <c r="P74" i="14"/>
  <c r="M74" i="14"/>
  <c r="J74" i="14"/>
  <c r="H74" i="14"/>
  <c r="C74" i="14"/>
  <c r="AD73" i="14"/>
  <c r="AB73" i="14"/>
  <c r="AA73" i="14"/>
  <c r="W73" i="14"/>
  <c r="V73" i="14"/>
  <c r="U73" i="14"/>
  <c r="T73" i="14"/>
  <c r="S73" i="14"/>
  <c r="R73" i="14"/>
  <c r="Q73" i="14"/>
  <c r="P73" i="14"/>
  <c r="M73" i="14"/>
  <c r="J73" i="14"/>
  <c r="H73" i="14"/>
  <c r="C73" i="14"/>
  <c r="AD72" i="14"/>
  <c r="AB72" i="14" s="1"/>
  <c r="AD71" i="14"/>
  <c r="U71" i="14" s="1"/>
  <c r="AD70" i="14"/>
  <c r="S70" i="14" s="1"/>
  <c r="AD69" i="14"/>
  <c r="P69" i="14" s="1"/>
  <c r="AD68" i="14"/>
  <c r="P68" i="14" s="1"/>
  <c r="AD66" i="14"/>
  <c r="W66" i="14" s="1"/>
  <c r="AD65" i="14"/>
  <c r="J65" i="14" s="1"/>
  <c r="AD62" i="14"/>
  <c r="AB62" i="14"/>
  <c r="AA62" i="14"/>
  <c r="W62" i="14"/>
  <c r="V62" i="14"/>
  <c r="U62" i="14"/>
  <c r="T62" i="14"/>
  <c r="S62" i="14"/>
  <c r="R62" i="14"/>
  <c r="Q62" i="14"/>
  <c r="P62" i="14"/>
  <c r="J62" i="14"/>
  <c r="H62" i="14"/>
  <c r="C62" i="14"/>
  <c r="AD61" i="14"/>
  <c r="AB61" i="14"/>
  <c r="AA61" i="14"/>
  <c r="W61" i="14"/>
  <c r="V61" i="14"/>
  <c r="U61" i="14"/>
  <c r="T61" i="14"/>
  <c r="S61" i="14"/>
  <c r="R61" i="14"/>
  <c r="Q61" i="14"/>
  <c r="P61" i="14"/>
  <c r="M61" i="14"/>
  <c r="J61" i="14"/>
  <c r="H61" i="14"/>
  <c r="C61" i="14"/>
  <c r="AD60" i="14"/>
  <c r="AB60" i="14"/>
  <c r="AA60" i="14"/>
  <c r="W60" i="14"/>
  <c r="V60" i="14"/>
  <c r="U60" i="14"/>
  <c r="T60" i="14"/>
  <c r="S60" i="14"/>
  <c r="R60" i="14"/>
  <c r="Q60" i="14"/>
  <c r="P60" i="14"/>
  <c r="M60" i="14"/>
  <c r="J60" i="14"/>
  <c r="H60" i="14"/>
  <c r="C60" i="14"/>
  <c r="AD59" i="14"/>
  <c r="AB59" i="14"/>
  <c r="AA59" i="14"/>
  <c r="W59" i="14"/>
  <c r="V59" i="14"/>
  <c r="U59" i="14"/>
  <c r="T59" i="14"/>
  <c r="S59" i="14"/>
  <c r="R59" i="14"/>
  <c r="Q59" i="14"/>
  <c r="P59" i="14"/>
  <c r="M59" i="14"/>
  <c r="J59" i="14"/>
  <c r="H59" i="14"/>
  <c r="C59" i="14"/>
  <c r="AD58" i="14"/>
  <c r="AB58" i="14"/>
  <c r="AA58" i="14"/>
  <c r="W58" i="14"/>
  <c r="V58" i="14"/>
  <c r="U58" i="14"/>
  <c r="T58" i="14"/>
  <c r="S58" i="14"/>
  <c r="R58" i="14"/>
  <c r="Q58" i="14"/>
  <c r="P58" i="14"/>
  <c r="M58" i="14"/>
  <c r="J58" i="14"/>
  <c r="H58" i="14"/>
  <c r="C58" i="14"/>
  <c r="AD57" i="14"/>
  <c r="J57" i="14" s="1"/>
  <c r="AD56" i="14"/>
  <c r="U56" i="14" s="1"/>
  <c r="AD55" i="14"/>
  <c r="Q55" i="14" s="1"/>
  <c r="AD54" i="14"/>
  <c r="J54" i="14" s="1"/>
  <c r="AD53" i="14"/>
  <c r="AA53" i="14" s="1"/>
  <c r="AD52" i="14"/>
  <c r="V52" i="14" s="1"/>
  <c r="AD51" i="14"/>
  <c r="AD50" i="14"/>
  <c r="T50" i="14" s="1"/>
  <c r="AD49" i="14"/>
  <c r="V49" i="14" s="1"/>
  <c r="AD48" i="14"/>
  <c r="C48" i="14" s="1"/>
  <c r="AD47" i="14"/>
  <c r="J47" i="14" s="1"/>
  <c r="AD46" i="14"/>
  <c r="AB46" i="14" s="1"/>
  <c r="AD40" i="14"/>
  <c r="AC40" i="14"/>
  <c r="AB40" i="14"/>
  <c r="AA40" i="14"/>
  <c r="W40" i="14"/>
  <c r="V40" i="14"/>
  <c r="U40" i="14"/>
  <c r="T40" i="14"/>
  <c r="S40" i="14"/>
  <c r="R40" i="14"/>
  <c r="Q40" i="14"/>
  <c r="P40" i="14"/>
  <c r="M40" i="14"/>
  <c r="J40" i="14"/>
  <c r="I40" i="14"/>
  <c r="H40" i="14"/>
  <c r="C40" i="14"/>
  <c r="AD39" i="14"/>
  <c r="AC39" i="14"/>
  <c r="AB39" i="14"/>
  <c r="AA39" i="14"/>
  <c r="W39" i="14"/>
  <c r="V39" i="14"/>
  <c r="U39" i="14"/>
  <c r="T39" i="14"/>
  <c r="S39" i="14"/>
  <c r="R39" i="14"/>
  <c r="Q39" i="14"/>
  <c r="P39" i="14"/>
  <c r="M39" i="14"/>
  <c r="J39" i="14"/>
  <c r="I39" i="14"/>
  <c r="H39" i="14"/>
  <c r="C39" i="14"/>
  <c r="AD38" i="14"/>
  <c r="AC38" i="14"/>
  <c r="AB38" i="14"/>
  <c r="AA38" i="14"/>
  <c r="W38" i="14"/>
  <c r="V38" i="14"/>
  <c r="U38" i="14"/>
  <c r="T38" i="14"/>
  <c r="S38" i="14"/>
  <c r="R38" i="14"/>
  <c r="Q38" i="14"/>
  <c r="P38" i="14"/>
  <c r="M38" i="14"/>
  <c r="J38" i="14"/>
  <c r="I38" i="14"/>
  <c r="H38" i="14"/>
  <c r="C38" i="14"/>
  <c r="AD37" i="14"/>
  <c r="H37" i="14" s="1"/>
  <c r="AD36" i="14"/>
  <c r="I36" i="14" s="1"/>
  <c r="AD35" i="14"/>
  <c r="T35" i="14" s="1"/>
  <c r="AD34" i="14"/>
  <c r="AB34" i="14" s="1"/>
  <c r="AD33" i="14"/>
  <c r="J33" i="14" s="1"/>
  <c r="AD32" i="14"/>
  <c r="I32" i="14" s="1"/>
  <c r="AD31" i="14"/>
  <c r="J31" i="14" s="1"/>
  <c r="AD30" i="14"/>
  <c r="R30" i="14" s="1"/>
  <c r="AD29" i="14"/>
  <c r="AB29" i="14" s="1"/>
  <c r="AD28" i="14"/>
  <c r="J28" i="14" s="1"/>
  <c r="AD27" i="14"/>
  <c r="AB27" i="14" s="1"/>
  <c r="AD26" i="14"/>
  <c r="S26" i="14" s="1"/>
  <c r="AD25" i="14"/>
  <c r="AB25" i="14" s="1"/>
  <c r="AD24" i="14"/>
  <c r="Q24" i="14" s="1"/>
  <c r="AD23" i="14"/>
  <c r="T23" i="14" s="1"/>
  <c r="AD22" i="14"/>
  <c r="AB22" i="14" s="1"/>
  <c r="AD21" i="14"/>
  <c r="J21" i="14" s="1"/>
  <c r="AD20" i="14"/>
  <c r="H20" i="14" s="1"/>
  <c r="AD19" i="14"/>
  <c r="M19" i="14" s="1"/>
  <c r="AD18" i="14"/>
  <c r="Q18" i="14" s="1"/>
  <c r="AD17" i="14"/>
  <c r="P17" i="14" s="1"/>
  <c r="AD16" i="14"/>
  <c r="J16" i="14" s="1"/>
  <c r="AD15" i="14"/>
  <c r="Q15" i="14" s="1"/>
  <c r="AD14" i="14"/>
  <c r="J14" i="14" s="1"/>
  <c r="AD13" i="14"/>
  <c r="C13" i="14" s="1"/>
  <c r="AD12" i="14"/>
  <c r="T12" i="14" s="1"/>
  <c r="AD11" i="14"/>
  <c r="V11" i="14" s="1"/>
  <c r="AD10" i="14"/>
  <c r="P10" i="14" s="1"/>
  <c r="AD9" i="14"/>
  <c r="P9" i="14" s="1"/>
  <c r="AC9" i="14"/>
  <c r="AD45" i="14"/>
  <c r="T45" i="14" s="1"/>
  <c r="AC45" i="14"/>
  <c r="AD44" i="14"/>
  <c r="Q44" i="14" s="1"/>
  <c r="AC44" i="14"/>
  <c r="AD43" i="14"/>
  <c r="AC43" i="14"/>
  <c r="AD7" i="14"/>
  <c r="H7" i="14" s="1"/>
  <c r="AD6" i="14"/>
  <c r="P6" i="14" s="1"/>
  <c r="AD5" i="14"/>
  <c r="I5" i="14" s="1"/>
  <c r="AD4" i="14"/>
  <c r="M4" i="14" s="1"/>
  <c r="C47" i="14" l="1"/>
  <c r="AA47" i="14"/>
  <c r="AB13" i="14"/>
  <c r="H47" i="14"/>
  <c r="R16" i="14"/>
  <c r="W16" i="14"/>
  <c r="W48" i="14"/>
  <c r="H65" i="14"/>
  <c r="Q16" i="14"/>
  <c r="AB48" i="14"/>
  <c r="V65" i="14"/>
  <c r="I22" i="14"/>
  <c r="AB49" i="14"/>
  <c r="W9" i="14"/>
  <c r="P22" i="14"/>
  <c r="H54" i="14"/>
  <c r="U65" i="14"/>
  <c r="I68" i="14"/>
  <c r="C65" i="14"/>
  <c r="C10" i="14"/>
  <c r="AA48" i="14"/>
  <c r="C68" i="14"/>
  <c r="R10" i="14"/>
  <c r="V10" i="14"/>
  <c r="W35" i="14"/>
  <c r="W10" i="14"/>
  <c r="AA35" i="14"/>
  <c r="AB45" i="14"/>
  <c r="AB10" i="14"/>
  <c r="C15" i="14"/>
  <c r="AB35" i="14"/>
  <c r="W49" i="14"/>
  <c r="AA49" i="14"/>
  <c r="C54" i="14"/>
  <c r="AA16" i="14"/>
  <c r="T21" i="14"/>
  <c r="V72" i="14"/>
  <c r="C70" i="14"/>
  <c r="J70" i="14"/>
  <c r="P48" i="14"/>
  <c r="V70" i="14"/>
  <c r="W7" i="14"/>
  <c r="P19" i="14"/>
  <c r="R35" i="14"/>
  <c r="Q48" i="14"/>
  <c r="W70" i="14"/>
  <c r="AA7" i="14"/>
  <c r="C9" i="14"/>
  <c r="V35" i="14"/>
  <c r="R48" i="14"/>
  <c r="I54" i="14"/>
  <c r="J68" i="14"/>
  <c r="W72" i="14"/>
  <c r="M54" i="14"/>
  <c r="M68" i="14"/>
  <c r="Q54" i="14"/>
  <c r="C57" i="14"/>
  <c r="Q68" i="14"/>
  <c r="Q17" i="14"/>
  <c r="U20" i="14"/>
  <c r="R54" i="14"/>
  <c r="AB9" i="14"/>
  <c r="J11" i="14"/>
  <c r="AB15" i="14"/>
  <c r="R17" i="14"/>
  <c r="V20" i="14"/>
  <c r="C28" i="14"/>
  <c r="T54" i="14"/>
  <c r="Q57" i="14"/>
  <c r="T68" i="14"/>
  <c r="S17" i="14"/>
  <c r="W20" i="14"/>
  <c r="C49" i="14"/>
  <c r="V54" i="14"/>
  <c r="R57" i="14"/>
  <c r="U68" i="14"/>
  <c r="P57" i="14"/>
  <c r="R68" i="14"/>
  <c r="W54" i="14"/>
  <c r="S57" i="14"/>
  <c r="AA66" i="14"/>
  <c r="V68" i="14"/>
  <c r="AA5" i="14"/>
  <c r="H49" i="14"/>
  <c r="AB5" i="14"/>
  <c r="H12" i="14"/>
  <c r="C16" i="14"/>
  <c r="AB17" i="14"/>
  <c r="AB20" i="14"/>
  <c r="AB24" i="14"/>
  <c r="H35" i="14"/>
  <c r="J49" i="14"/>
  <c r="AA54" i="14"/>
  <c r="T57" i="14"/>
  <c r="AB66" i="14"/>
  <c r="W68" i="14"/>
  <c r="R71" i="14"/>
  <c r="AA17" i="14"/>
  <c r="AA20" i="14"/>
  <c r="M16" i="14"/>
  <c r="M35" i="14"/>
  <c r="M49" i="14"/>
  <c r="AB54" i="14"/>
  <c r="AA68" i="14"/>
  <c r="S71" i="14"/>
  <c r="R18" i="14"/>
  <c r="U30" i="14"/>
  <c r="U23" i="14"/>
  <c r="V23" i="14"/>
  <c r="V30" i="14"/>
  <c r="Q69" i="14"/>
  <c r="AB7" i="14"/>
  <c r="T18" i="14"/>
  <c r="J20" i="14"/>
  <c r="V21" i="14"/>
  <c r="C23" i="14"/>
  <c r="W23" i="14"/>
  <c r="Q29" i="14"/>
  <c r="W30" i="14"/>
  <c r="U35" i="14"/>
  <c r="I49" i="14"/>
  <c r="S54" i="14"/>
  <c r="H57" i="14"/>
  <c r="W65" i="14"/>
  <c r="R69" i="14"/>
  <c r="AA70" i="14"/>
  <c r="AA72" i="14"/>
  <c r="M69" i="14"/>
  <c r="S18" i="14"/>
  <c r="U21" i="14"/>
  <c r="C44" i="14"/>
  <c r="C11" i="14"/>
  <c r="U18" i="14"/>
  <c r="W21" i="14"/>
  <c r="H23" i="14"/>
  <c r="AA23" i="14"/>
  <c r="S29" i="14"/>
  <c r="AA30" i="14"/>
  <c r="C33" i="14"/>
  <c r="S69" i="14"/>
  <c r="AB70" i="14"/>
  <c r="W5" i="14"/>
  <c r="H11" i="14"/>
  <c r="I16" i="14"/>
  <c r="V18" i="14"/>
  <c r="I23" i="14"/>
  <c r="AB23" i="14"/>
  <c r="AB30" i="14"/>
  <c r="AA33" i="14"/>
  <c r="AB69" i="14"/>
  <c r="I11" i="14"/>
  <c r="J23" i="14"/>
  <c r="P23" i="14"/>
  <c r="W11" i="14"/>
  <c r="H28" i="14"/>
  <c r="I30" i="14"/>
  <c r="S31" i="14"/>
  <c r="V57" i="14"/>
  <c r="P65" i="14"/>
  <c r="H70" i="14"/>
  <c r="T71" i="14"/>
  <c r="M23" i="14"/>
  <c r="C30" i="14"/>
  <c r="S16" i="14"/>
  <c r="Q19" i="14"/>
  <c r="Q22" i="14"/>
  <c r="AA11" i="14"/>
  <c r="T16" i="14"/>
  <c r="R19" i="14"/>
  <c r="R22" i="14"/>
  <c r="R23" i="14"/>
  <c r="I28" i="14"/>
  <c r="J30" i="14"/>
  <c r="T31" i="14"/>
  <c r="C35" i="14"/>
  <c r="Q65" i="14"/>
  <c r="I70" i="14"/>
  <c r="U16" i="14"/>
  <c r="S65" i="14"/>
  <c r="I69" i="14"/>
  <c r="M11" i="14"/>
  <c r="H30" i="14"/>
  <c r="R31" i="14"/>
  <c r="Q23" i="14"/>
  <c r="AB11" i="14"/>
  <c r="S19" i="14"/>
  <c r="P21" i="14"/>
  <c r="W22" i="14"/>
  <c r="S23" i="14"/>
  <c r="AA25" i="14"/>
  <c r="AA28" i="14"/>
  <c r="S30" i="14"/>
  <c r="U31" i="14"/>
  <c r="AB50" i="14"/>
  <c r="V7" i="14"/>
  <c r="AA9" i="14"/>
  <c r="AA10" i="14"/>
  <c r="AA15" i="14"/>
  <c r="V16" i="14"/>
  <c r="I18" i="14"/>
  <c r="T19" i="14"/>
  <c r="S21" i="14"/>
  <c r="AA22" i="14"/>
  <c r="AB28" i="14"/>
  <c r="T30" i="14"/>
  <c r="I35" i="14"/>
  <c r="AB37" i="14"/>
  <c r="P54" i="14"/>
  <c r="T65" i="14"/>
  <c r="J69" i="14"/>
  <c r="T70" i="14"/>
  <c r="H44" i="14"/>
  <c r="J44" i="14"/>
  <c r="M28" i="14"/>
  <c r="H53" i="14"/>
  <c r="R44" i="14"/>
  <c r="P33" i="14"/>
  <c r="J34" i="14"/>
  <c r="P47" i="14"/>
  <c r="I53" i="14"/>
  <c r="H4" i="14"/>
  <c r="T6" i="14"/>
  <c r="S44" i="14"/>
  <c r="P11" i="14"/>
  <c r="W18" i="14"/>
  <c r="U19" i="14"/>
  <c r="Q28" i="14"/>
  <c r="R29" i="14"/>
  <c r="Q33" i="14"/>
  <c r="M34" i="14"/>
  <c r="J35" i="14"/>
  <c r="Q47" i="14"/>
  <c r="P49" i="14"/>
  <c r="I50" i="14"/>
  <c r="M52" i="14"/>
  <c r="J53" i="14"/>
  <c r="U57" i="14"/>
  <c r="AA65" i="14"/>
  <c r="H68" i="14"/>
  <c r="AB68" i="14"/>
  <c r="R28" i="14"/>
  <c r="U32" i="14"/>
  <c r="R33" i="14"/>
  <c r="P34" i="14"/>
  <c r="R47" i="14"/>
  <c r="Q49" i="14"/>
  <c r="J50" i="14"/>
  <c r="P52" i="14"/>
  <c r="M53" i="14"/>
  <c r="P28" i="14"/>
  <c r="AA4" i="14"/>
  <c r="T44" i="14"/>
  <c r="R11" i="14"/>
  <c r="C18" i="14"/>
  <c r="AB18" i="14"/>
  <c r="C21" i="14"/>
  <c r="C22" i="14"/>
  <c r="S28" i="14"/>
  <c r="AA29" i="14"/>
  <c r="V32" i="14"/>
  <c r="S33" i="14"/>
  <c r="Q34" i="14"/>
  <c r="P35" i="14"/>
  <c r="C46" i="14"/>
  <c r="S47" i="14"/>
  <c r="R49" i="14"/>
  <c r="M50" i="14"/>
  <c r="Q52" i="14"/>
  <c r="P53" i="14"/>
  <c r="W57" i="14"/>
  <c r="U6" i="14"/>
  <c r="Q11" i="14"/>
  <c r="AA18" i="14"/>
  <c r="AB4" i="14"/>
  <c r="V6" i="14"/>
  <c r="U44" i="14"/>
  <c r="V44" i="14"/>
  <c r="S11" i="14"/>
  <c r="H16" i="14"/>
  <c r="AB16" i="14"/>
  <c r="H18" i="14"/>
  <c r="C20" i="14"/>
  <c r="M21" i="14"/>
  <c r="H22" i="14"/>
  <c r="T28" i="14"/>
  <c r="W32" i="14"/>
  <c r="T33" i="14"/>
  <c r="R34" i="14"/>
  <c r="Q35" i="14"/>
  <c r="W46" i="14"/>
  <c r="T47" i="14"/>
  <c r="S49" i="14"/>
  <c r="P50" i="14"/>
  <c r="R52" i="14"/>
  <c r="Q53" i="14"/>
  <c r="AA57" i="14"/>
  <c r="M65" i="14"/>
  <c r="C66" i="14"/>
  <c r="I44" i="14"/>
  <c r="U28" i="14"/>
  <c r="AA46" i="14"/>
  <c r="U47" i="14"/>
  <c r="T49" i="14"/>
  <c r="V53" i="14"/>
  <c r="U11" i="14"/>
  <c r="J19" i="14"/>
  <c r="M20" i="14"/>
  <c r="Q21" i="14"/>
  <c r="J22" i="14"/>
  <c r="V47" i="14"/>
  <c r="U49" i="14"/>
  <c r="R50" i="14"/>
  <c r="T52" i="14"/>
  <c r="W53" i="14"/>
  <c r="Q66" i="14"/>
  <c r="H33" i="14"/>
  <c r="C53" i="14"/>
  <c r="M33" i="14"/>
  <c r="C34" i="14"/>
  <c r="M47" i="14"/>
  <c r="W44" i="14"/>
  <c r="T11" i="14"/>
  <c r="AA32" i="14"/>
  <c r="U33" i="14"/>
  <c r="W34" i="14"/>
  <c r="Q50" i="14"/>
  <c r="S52" i="14"/>
  <c r="P66" i="14"/>
  <c r="C5" i="14"/>
  <c r="C7" i="14"/>
  <c r="AA44" i="14"/>
  <c r="J18" i="14"/>
  <c r="V28" i="14"/>
  <c r="AB32" i="14"/>
  <c r="V33" i="14"/>
  <c r="AA34" i="14"/>
  <c r="S35" i="14"/>
  <c r="V5" i="14"/>
  <c r="U7" i="14"/>
  <c r="AB44" i="14"/>
  <c r="P16" i="14"/>
  <c r="M18" i="14"/>
  <c r="P20" i="14"/>
  <c r="R21" i="14"/>
  <c r="M22" i="14"/>
  <c r="W28" i="14"/>
  <c r="W33" i="14"/>
  <c r="W47" i="14"/>
  <c r="S50" i="14"/>
  <c r="U52" i="14"/>
  <c r="AB53" i="14"/>
  <c r="U54" i="14"/>
  <c r="M57" i="14"/>
  <c r="R65" i="14"/>
  <c r="S68" i="14"/>
  <c r="U70" i="14"/>
  <c r="R13" i="14"/>
  <c r="Q13" i="14"/>
  <c r="P13" i="14"/>
  <c r="U27" i="14"/>
  <c r="T27" i="14"/>
  <c r="S27" i="14"/>
  <c r="R27" i="14"/>
  <c r="S51" i="14"/>
  <c r="R51" i="14"/>
  <c r="Q51" i="14"/>
  <c r="P51" i="14"/>
  <c r="I12" i="14"/>
  <c r="I56" i="14"/>
  <c r="S37" i="14"/>
  <c r="R37" i="14"/>
  <c r="Q37" i="14"/>
  <c r="P37" i="14"/>
  <c r="I51" i="14"/>
  <c r="J36" i="14"/>
  <c r="I37" i="14"/>
  <c r="T46" i="14"/>
  <c r="S46" i="14"/>
  <c r="R46" i="14"/>
  <c r="Q46" i="14"/>
  <c r="M51" i="14"/>
  <c r="H55" i="14"/>
  <c r="J56" i="14"/>
  <c r="V43" i="14"/>
  <c r="T43" i="14"/>
  <c r="U43" i="14"/>
  <c r="C37" i="14"/>
  <c r="I45" i="14"/>
  <c r="J51" i="14"/>
  <c r="I15" i="14"/>
  <c r="M36" i="14"/>
  <c r="J37" i="14"/>
  <c r="H46" i="14"/>
  <c r="T51" i="14"/>
  <c r="J55" i="14"/>
  <c r="M56" i="14"/>
  <c r="J71" i="14"/>
  <c r="AB71" i="14"/>
  <c r="I71" i="14"/>
  <c r="V71" i="14"/>
  <c r="AA71" i="14"/>
  <c r="H71" i="14"/>
  <c r="W71" i="14"/>
  <c r="C71" i="14"/>
  <c r="U72" i="14"/>
  <c r="T72" i="14"/>
  <c r="Q72" i="14"/>
  <c r="S72" i="14"/>
  <c r="R72" i="14"/>
  <c r="J12" i="14"/>
  <c r="C27" i="14"/>
  <c r="S25" i="14"/>
  <c r="R25" i="14"/>
  <c r="Q25" i="14"/>
  <c r="P25" i="14"/>
  <c r="I4" i="14"/>
  <c r="J13" i="14"/>
  <c r="I24" i="14"/>
  <c r="H25" i="14"/>
  <c r="I27" i="14"/>
  <c r="M13" i="14"/>
  <c r="J15" i="14"/>
  <c r="J24" i="14"/>
  <c r="P45" i="14"/>
  <c r="J25" i="14"/>
  <c r="W29" i="14"/>
  <c r="C29" i="14"/>
  <c r="V29" i="14"/>
  <c r="U29" i="14"/>
  <c r="T29" i="14"/>
  <c r="P36" i="14"/>
  <c r="M37" i="14"/>
  <c r="I46" i="14"/>
  <c r="U51" i="14"/>
  <c r="M55" i="14"/>
  <c r="V66" i="14"/>
  <c r="U66" i="14"/>
  <c r="R66" i="14"/>
  <c r="T66" i="14"/>
  <c r="S66" i="14"/>
  <c r="C72" i="14"/>
  <c r="T56" i="14"/>
  <c r="S56" i="14"/>
  <c r="P56" i="14"/>
  <c r="R56" i="14"/>
  <c r="Q56" i="14"/>
  <c r="C56" i="14"/>
  <c r="I13" i="14"/>
  <c r="R5" i="14"/>
  <c r="Q5" i="14"/>
  <c r="P5" i="14"/>
  <c r="P26" i="14"/>
  <c r="T7" i="14"/>
  <c r="S7" i="14"/>
  <c r="R7" i="14"/>
  <c r="C32" i="14"/>
  <c r="P4" i="14"/>
  <c r="J5" i="14"/>
  <c r="I7" i="14"/>
  <c r="S43" i="14"/>
  <c r="C51" i="14"/>
  <c r="AB14" i="14"/>
  <c r="I14" i="14"/>
  <c r="AA14" i="14"/>
  <c r="H14" i="14"/>
  <c r="W14" i="14"/>
  <c r="C14" i="14"/>
  <c r="M12" i="14"/>
  <c r="H15" i="14"/>
  <c r="H27" i="14"/>
  <c r="M14" i="14"/>
  <c r="J4" i="14"/>
  <c r="H5" i="14"/>
  <c r="I25" i="14"/>
  <c r="Q14" i="14"/>
  <c r="M15" i="14"/>
  <c r="M24" i="14"/>
  <c r="Q26" i="14"/>
  <c r="M27" i="14"/>
  <c r="Q45" i="14"/>
  <c r="M9" i="14"/>
  <c r="I10" i="14"/>
  <c r="S12" i="14"/>
  <c r="R14" i="14"/>
  <c r="W17" i="14"/>
  <c r="C17" i="14"/>
  <c r="V17" i="14"/>
  <c r="U17" i="14"/>
  <c r="T17" i="14"/>
  <c r="P24" i="14"/>
  <c r="P27" i="14"/>
  <c r="V48" i="14"/>
  <c r="U48" i="14"/>
  <c r="T48" i="14"/>
  <c r="S48" i="14"/>
  <c r="V51" i="14"/>
  <c r="P55" i="14"/>
  <c r="V56" i="14"/>
  <c r="H72" i="14"/>
  <c r="Q4" i="14"/>
  <c r="M5" i="14"/>
  <c r="J7" i="14"/>
  <c r="W43" i="14"/>
  <c r="R45" i="14"/>
  <c r="J10" i="14"/>
  <c r="U13" i="14"/>
  <c r="S14" i="14"/>
  <c r="H17" i="14"/>
  <c r="AB19" i="14"/>
  <c r="I19" i="14"/>
  <c r="AA19" i="14"/>
  <c r="H19" i="14"/>
  <c r="W19" i="14"/>
  <c r="C19" i="14"/>
  <c r="V19" i="14"/>
  <c r="T25" i="14"/>
  <c r="Q27" i="14"/>
  <c r="I29" i="14"/>
  <c r="R36" i="14"/>
  <c r="U37" i="14"/>
  <c r="M46" i="14"/>
  <c r="H48" i="14"/>
  <c r="W51" i="14"/>
  <c r="W56" i="14"/>
  <c r="H66" i="14"/>
  <c r="AA69" i="14"/>
  <c r="H69" i="14"/>
  <c r="W69" i="14"/>
  <c r="C69" i="14"/>
  <c r="T69" i="14"/>
  <c r="V69" i="14"/>
  <c r="U69" i="14"/>
  <c r="I72" i="14"/>
  <c r="H43" i="14"/>
  <c r="W12" i="14"/>
  <c r="C12" i="14"/>
  <c r="U12" i="14"/>
  <c r="V12" i="14"/>
  <c r="AA55" i="14"/>
  <c r="C55" i="14"/>
  <c r="W55" i="14"/>
  <c r="T55" i="14"/>
  <c r="V55" i="14"/>
  <c r="U55" i="14"/>
  <c r="I43" i="14"/>
  <c r="AA24" i="14"/>
  <c r="H24" i="14"/>
  <c r="W24" i="14"/>
  <c r="C24" i="14"/>
  <c r="V24" i="14"/>
  <c r="U24" i="14"/>
  <c r="H56" i="14"/>
  <c r="M43" i="14"/>
  <c r="T15" i="14"/>
  <c r="S15" i="14"/>
  <c r="R15" i="14"/>
  <c r="AB6" i="14"/>
  <c r="I6" i="14"/>
  <c r="W6" i="14"/>
  <c r="C6" i="14"/>
  <c r="AA6" i="14"/>
  <c r="H6" i="14"/>
  <c r="Q43" i="14"/>
  <c r="AB31" i="14"/>
  <c r="I31" i="14"/>
  <c r="AA31" i="14"/>
  <c r="H31" i="14"/>
  <c r="W31" i="14"/>
  <c r="C31" i="14"/>
  <c r="V31" i="14"/>
  <c r="J6" i="14"/>
  <c r="R43" i="14"/>
  <c r="S13" i="14"/>
  <c r="R55" i="14"/>
  <c r="AA56" i="14"/>
  <c r="I66" i="14"/>
  <c r="M71" i="14"/>
  <c r="J72" i="14"/>
  <c r="J26" i="14"/>
  <c r="AB26" i="14"/>
  <c r="I26" i="14"/>
  <c r="AA26" i="14"/>
  <c r="H26" i="14"/>
  <c r="W26" i="14"/>
  <c r="C26" i="14"/>
  <c r="AA36" i="14"/>
  <c r="H36" i="14"/>
  <c r="W36" i="14"/>
  <c r="C36" i="14"/>
  <c r="V36" i="14"/>
  <c r="U36" i="14"/>
  <c r="W4" i="14"/>
  <c r="C4" i="14"/>
  <c r="U4" i="14"/>
  <c r="V4" i="14"/>
  <c r="S9" i="14"/>
  <c r="R9" i="14"/>
  <c r="Q9" i="14"/>
  <c r="M45" i="14"/>
  <c r="J9" i="14"/>
  <c r="H10" i="14"/>
  <c r="R12" i="14"/>
  <c r="T32" i="14"/>
  <c r="S32" i="14"/>
  <c r="Q32" i="14"/>
  <c r="R32" i="14"/>
  <c r="M6" i="14"/>
  <c r="T13" i="14"/>
  <c r="P15" i="14"/>
  <c r="M25" i="14"/>
  <c r="Q36" i="14"/>
  <c r="T37" i="14"/>
  <c r="R4" i="14"/>
  <c r="S5" i="14"/>
  <c r="Q6" i="14"/>
  <c r="M7" i="14"/>
  <c r="AA43" i="14"/>
  <c r="I17" i="14"/>
  <c r="V34" i="14"/>
  <c r="U34" i="14"/>
  <c r="T34" i="14"/>
  <c r="S34" i="14"/>
  <c r="S36" i="14"/>
  <c r="V37" i="14"/>
  <c r="P46" i="14"/>
  <c r="AA51" i="14"/>
  <c r="S4" i="14"/>
  <c r="T5" i="14"/>
  <c r="R6" i="14"/>
  <c r="P7" i="14"/>
  <c r="AB43" i="14"/>
  <c r="U9" i="14"/>
  <c r="AB12" i="14"/>
  <c r="W13" i="14"/>
  <c r="U14" i="14"/>
  <c r="V15" i="14"/>
  <c r="J17" i="14"/>
  <c r="V22" i="14"/>
  <c r="U22" i="14"/>
  <c r="T22" i="14"/>
  <c r="S22" i="14"/>
  <c r="S24" i="14"/>
  <c r="V25" i="14"/>
  <c r="U26" i="14"/>
  <c r="W27" i="14"/>
  <c r="M29" i="14"/>
  <c r="P31" i="14"/>
  <c r="M32" i="14"/>
  <c r="H34" i="14"/>
  <c r="T36" i="14"/>
  <c r="W37" i="14"/>
  <c r="U46" i="14"/>
  <c r="J48" i="14"/>
  <c r="AB51" i="14"/>
  <c r="J52" i="14"/>
  <c r="AB52" i="14"/>
  <c r="I52" i="14"/>
  <c r="AA52" i="14"/>
  <c r="H52" i="14"/>
  <c r="W52" i="14"/>
  <c r="C52" i="14"/>
  <c r="S55" i="14"/>
  <c r="AB56" i="14"/>
  <c r="J66" i="14"/>
  <c r="P71" i="14"/>
  <c r="M72" i="14"/>
  <c r="H51" i="14"/>
  <c r="J43" i="14"/>
  <c r="AA45" i="14"/>
  <c r="H45" i="14"/>
  <c r="V45" i="14"/>
  <c r="W45" i="14"/>
  <c r="C45" i="14"/>
  <c r="H13" i="14"/>
  <c r="C25" i="14"/>
  <c r="P43" i="14"/>
  <c r="J45" i="14"/>
  <c r="H9" i="14"/>
  <c r="P12" i="14"/>
  <c r="M26" i="14"/>
  <c r="I9" i="14"/>
  <c r="Q12" i="14"/>
  <c r="P14" i="14"/>
  <c r="J27" i="14"/>
  <c r="U10" i="14"/>
  <c r="S10" i="14"/>
  <c r="T10" i="14"/>
  <c r="R26" i="14"/>
  <c r="H29" i="14"/>
  <c r="H32" i="14"/>
  <c r="J46" i="14"/>
  <c r="S45" i="14"/>
  <c r="T9" i="14"/>
  <c r="M10" i="14"/>
  <c r="AA12" i="14"/>
  <c r="V13" i="14"/>
  <c r="T14" i="14"/>
  <c r="U15" i="14"/>
  <c r="T20" i="14"/>
  <c r="S20" i="14"/>
  <c r="R20" i="14"/>
  <c r="Q20" i="14"/>
  <c r="R24" i="14"/>
  <c r="U25" i="14"/>
  <c r="T26" i="14"/>
  <c r="V27" i="14"/>
  <c r="J29" i="14"/>
  <c r="M31" i="14"/>
  <c r="J32" i="14"/>
  <c r="I48" i="14"/>
  <c r="T4" i="14"/>
  <c r="U5" i="14"/>
  <c r="S6" i="14"/>
  <c r="Q7" i="14"/>
  <c r="C43" i="14"/>
  <c r="U45" i="14"/>
  <c r="V9" i="14"/>
  <c r="Q10" i="14"/>
  <c r="AA13" i="14"/>
  <c r="V14" i="14"/>
  <c r="W15" i="14"/>
  <c r="M17" i="14"/>
  <c r="I20" i="14"/>
  <c r="T24" i="14"/>
  <c r="W25" i="14"/>
  <c r="V26" i="14"/>
  <c r="AA27" i="14"/>
  <c r="P29" i="14"/>
  <c r="Q31" i="14"/>
  <c r="P32" i="14"/>
  <c r="I34" i="14"/>
  <c r="AB36" i="14"/>
  <c r="AA37" i="14"/>
  <c r="V46" i="14"/>
  <c r="M48" i="14"/>
  <c r="AA50" i="14"/>
  <c r="H50" i="14"/>
  <c r="W50" i="14"/>
  <c r="C50" i="14"/>
  <c r="V50" i="14"/>
  <c r="U50" i="14"/>
  <c r="U53" i="14"/>
  <c r="T53" i="14"/>
  <c r="S53" i="14"/>
  <c r="R53" i="14"/>
  <c r="AB55" i="14"/>
  <c r="M66" i="14"/>
  <c r="Q71" i="14"/>
  <c r="P72" i="14"/>
  <c r="AA21" i="14"/>
  <c r="P70" i="14"/>
  <c r="H21" i="14"/>
  <c r="P44" i="14"/>
  <c r="P18" i="14"/>
  <c r="I21" i="14"/>
  <c r="AB21" i="14"/>
  <c r="P30" i="14"/>
  <c r="I33" i="14"/>
  <c r="AB33" i="14"/>
  <c r="I47" i="14"/>
  <c r="AB47" i="14"/>
  <c r="I57" i="14"/>
  <c r="AB57" i="14"/>
  <c r="I65" i="14"/>
  <c r="AB65" i="14"/>
  <c r="Q70" i="14"/>
  <c r="M70" i="14"/>
  <c r="M44" i="14"/>
  <c r="M30" i="14"/>
  <c r="Q30" i="14"/>
  <c r="R70" i="14"/>
  <c r="AD86" i="13"/>
  <c r="AC86" i="13"/>
  <c r="AB86" i="13"/>
  <c r="AA86" i="13"/>
  <c r="W86" i="13"/>
  <c r="V86" i="13"/>
  <c r="U86" i="13"/>
  <c r="T86" i="13"/>
  <c r="S86" i="13"/>
  <c r="R86" i="13"/>
  <c r="Q86" i="13"/>
  <c r="P86" i="13"/>
  <c r="J86" i="13"/>
  <c r="H86" i="13"/>
  <c r="C86" i="13"/>
  <c r="AD85" i="13"/>
  <c r="AC85" i="13"/>
  <c r="AB85" i="13"/>
  <c r="AA85" i="13"/>
  <c r="W85" i="13"/>
  <c r="V85" i="13"/>
  <c r="U85" i="13"/>
  <c r="T85" i="13"/>
  <c r="S85" i="13"/>
  <c r="R85" i="13"/>
  <c r="Q85" i="13"/>
  <c r="P85" i="13"/>
  <c r="J85" i="13"/>
  <c r="H85" i="13"/>
  <c r="C85" i="13"/>
  <c r="AD84" i="13"/>
  <c r="AB84" i="13"/>
  <c r="AA84" i="13"/>
  <c r="W84" i="13"/>
  <c r="V84" i="13"/>
  <c r="U84" i="13"/>
  <c r="T84" i="13"/>
  <c r="S84" i="13"/>
  <c r="R84" i="13"/>
  <c r="Q84" i="13"/>
  <c r="P84" i="13"/>
  <c r="M84" i="13"/>
  <c r="J84" i="13"/>
  <c r="H84" i="13"/>
  <c r="C84" i="13"/>
  <c r="AD83" i="13"/>
  <c r="AB83" i="13"/>
  <c r="AA83" i="13"/>
  <c r="W83" i="13"/>
  <c r="V83" i="13"/>
  <c r="U83" i="13"/>
  <c r="T83" i="13"/>
  <c r="S83" i="13"/>
  <c r="R83" i="13"/>
  <c r="Q83" i="13"/>
  <c r="P83" i="13"/>
  <c r="M83" i="13"/>
  <c r="J83" i="13"/>
  <c r="H83" i="13"/>
  <c r="C83" i="13"/>
  <c r="AD82" i="13"/>
  <c r="AB82" i="13"/>
  <c r="AA82" i="13"/>
  <c r="W82" i="13"/>
  <c r="V82" i="13"/>
  <c r="U82" i="13"/>
  <c r="T82" i="13"/>
  <c r="S82" i="13"/>
  <c r="R82" i="13"/>
  <c r="Q82" i="13"/>
  <c r="P82" i="13"/>
  <c r="M82" i="13"/>
  <c r="J82" i="13"/>
  <c r="H82" i="13"/>
  <c r="C82" i="13"/>
  <c r="AD81" i="13"/>
  <c r="AB81" i="13"/>
  <c r="AA81" i="13"/>
  <c r="W81" i="13"/>
  <c r="V81" i="13"/>
  <c r="U81" i="13"/>
  <c r="T81" i="13"/>
  <c r="S81" i="13"/>
  <c r="R81" i="13"/>
  <c r="Q81" i="13"/>
  <c r="P81" i="13"/>
  <c r="M81" i="13"/>
  <c r="J81" i="13"/>
  <c r="H81" i="13"/>
  <c r="C81" i="13"/>
  <c r="AD80" i="13"/>
  <c r="AB80" i="13"/>
  <c r="AA80" i="13"/>
  <c r="W80" i="13"/>
  <c r="V80" i="13"/>
  <c r="U80" i="13"/>
  <c r="T80" i="13"/>
  <c r="S80" i="13"/>
  <c r="R80" i="13"/>
  <c r="Q80" i="13"/>
  <c r="P80" i="13"/>
  <c r="M80" i="13"/>
  <c r="J80" i="13"/>
  <c r="H80" i="13"/>
  <c r="C80" i="13"/>
  <c r="AD79" i="13"/>
  <c r="AB79" i="13"/>
  <c r="AA79" i="13"/>
  <c r="W79" i="13"/>
  <c r="V79" i="13"/>
  <c r="U79" i="13"/>
  <c r="T79" i="13"/>
  <c r="S79" i="13"/>
  <c r="R79" i="13"/>
  <c r="Q79" i="13"/>
  <c r="P79" i="13"/>
  <c r="M79" i="13"/>
  <c r="J79" i="13"/>
  <c r="H79" i="13"/>
  <c r="C79" i="13"/>
  <c r="AD78" i="13"/>
  <c r="AB78" i="13"/>
  <c r="AA78" i="13"/>
  <c r="W78" i="13"/>
  <c r="V78" i="13"/>
  <c r="U78" i="13"/>
  <c r="T78" i="13"/>
  <c r="S78" i="13"/>
  <c r="R78" i="13"/>
  <c r="Q78" i="13"/>
  <c r="P78" i="13"/>
  <c r="M78" i="13"/>
  <c r="J78" i="13"/>
  <c r="H78" i="13"/>
  <c r="C78" i="13"/>
  <c r="AD77" i="13"/>
  <c r="AB77" i="13"/>
  <c r="AA77" i="13"/>
  <c r="W77" i="13"/>
  <c r="V77" i="13"/>
  <c r="U77" i="13"/>
  <c r="T77" i="13"/>
  <c r="S77" i="13"/>
  <c r="R77" i="13"/>
  <c r="Q77" i="13"/>
  <c r="P77" i="13"/>
  <c r="M77" i="13"/>
  <c r="J77" i="13"/>
  <c r="H77" i="13"/>
  <c r="C77" i="13"/>
  <c r="AD76" i="13"/>
  <c r="AD75" i="13"/>
  <c r="AD74" i="13"/>
  <c r="AD73" i="13"/>
  <c r="AD72" i="13"/>
  <c r="AD69" i="13"/>
  <c r="AD70" i="13"/>
  <c r="AD64" i="13"/>
  <c r="AB64" i="13"/>
  <c r="AA64" i="13"/>
  <c r="W64" i="13"/>
  <c r="V64" i="13"/>
  <c r="U64" i="13"/>
  <c r="T64" i="13"/>
  <c r="S64" i="13"/>
  <c r="R64" i="13"/>
  <c r="Q64" i="13"/>
  <c r="P64" i="13"/>
  <c r="J64" i="13"/>
  <c r="H64" i="13"/>
  <c r="C64" i="13"/>
  <c r="AD63" i="13"/>
  <c r="AB63" i="13"/>
  <c r="AA63" i="13"/>
  <c r="W63" i="13"/>
  <c r="V63" i="13"/>
  <c r="U63" i="13"/>
  <c r="T63" i="13"/>
  <c r="S63" i="13"/>
  <c r="R63" i="13"/>
  <c r="Q63" i="13"/>
  <c r="P63" i="13"/>
  <c r="M63" i="13"/>
  <c r="J63" i="13"/>
  <c r="H63" i="13"/>
  <c r="C63" i="13"/>
  <c r="AD62" i="13"/>
  <c r="AB62" i="13"/>
  <c r="AA62" i="13"/>
  <c r="W62" i="13"/>
  <c r="V62" i="13"/>
  <c r="U62" i="13"/>
  <c r="T62" i="13"/>
  <c r="S62" i="13"/>
  <c r="R62" i="13"/>
  <c r="Q62" i="13"/>
  <c r="P62" i="13"/>
  <c r="M62" i="13"/>
  <c r="J62" i="13"/>
  <c r="H62" i="13"/>
  <c r="C62" i="13"/>
  <c r="AD61" i="13"/>
  <c r="AB61" i="13"/>
  <c r="AA61" i="13"/>
  <c r="W61" i="13"/>
  <c r="V61" i="13"/>
  <c r="U61" i="13"/>
  <c r="T61" i="13"/>
  <c r="S61" i="13"/>
  <c r="R61" i="13"/>
  <c r="Q61" i="13"/>
  <c r="P61" i="13"/>
  <c r="M61" i="13"/>
  <c r="J61" i="13"/>
  <c r="H61" i="13"/>
  <c r="C61" i="13"/>
  <c r="AD60" i="13"/>
  <c r="AB60" i="13"/>
  <c r="AA60" i="13"/>
  <c r="W60" i="13"/>
  <c r="V60" i="13"/>
  <c r="U60" i="13"/>
  <c r="T60" i="13"/>
  <c r="S60" i="13"/>
  <c r="R60" i="13"/>
  <c r="Q60" i="13"/>
  <c r="P60" i="13"/>
  <c r="M60" i="13"/>
  <c r="J60" i="13"/>
  <c r="H60" i="13"/>
  <c r="C60" i="13"/>
  <c r="AD59" i="13"/>
  <c r="AD58" i="13"/>
  <c r="AD57" i="13"/>
  <c r="AD56" i="13"/>
  <c r="AD55" i="13"/>
  <c r="AD54" i="13"/>
  <c r="AD53" i="13"/>
  <c r="AD52" i="13"/>
  <c r="AD51" i="13"/>
  <c r="AD50" i="13"/>
  <c r="AD49" i="13"/>
  <c r="AD48" i="13"/>
  <c r="AD47" i="13"/>
  <c r="AD44" i="13"/>
  <c r="AC44" i="13"/>
  <c r="AB44" i="13"/>
  <c r="AA44" i="13"/>
  <c r="W44" i="13"/>
  <c r="V44" i="13"/>
  <c r="U44" i="13"/>
  <c r="T44" i="13"/>
  <c r="S44" i="13"/>
  <c r="R44" i="13"/>
  <c r="Q44" i="13"/>
  <c r="P44" i="13"/>
  <c r="M44" i="13"/>
  <c r="J44" i="13"/>
  <c r="I44" i="13"/>
  <c r="H44" i="13"/>
  <c r="C44" i="13"/>
  <c r="AD43" i="13"/>
  <c r="AC43" i="13"/>
  <c r="AB43" i="13"/>
  <c r="AA43" i="13"/>
  <c r="W43" i="13"/>
  <c r="V43" i="13"/>
  <c r="U43" i="13"/>
  <c r="T43" i="13"/>
  <c r="S43" i="13"/>
  <c r="R43" i="13"/>
  <c r="Q43" i="13"/>
  <c r="P43" i="13"/>
  <c r="M43" i="13"/>
  <c r="J43" i="13"/>
  <c r="I43" i="13"/>
  <c r="H43" i="13"/>
  <c r="C43" i="13"/>
  <c r="AD42" i="13"/>
  <c r="AC42" i="13"/>
  <c r="AB42" i="13"/>
  <c r="AA42" i="13"/>
  <c r="W42" i="13"/>
  <c r="V42" i="13"/>
  <c r="U42" i="13"/>
  <c r="T42" i="13"/>
  <c r="S42" i="13"/>
  <c r="R42" i="13"/>
  <c r="Q42" i="13"/>
  <c r="P42" i="13"/>
  <c r="M42" i="13"/>
  <c r="J42" i="13"/>
  <c r="I42" i="13"/>
  <c r="H42" i="13"/>
  <c r="C42" i="13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C13" i="13"/>
  <c r="AD12" i="13"/>
  <c r="AC12" i="13"/>
  <c r="AD11" i="13"/>
  <c r="AC11" i="13"/>
  <c r="AD9" i="13"/>
  <c r="AC9" i="13"/>
  <c r="AD10" i="13"/>
  <c r="AC10" i="13"/>
  <c r="AD8" i="13"/>
  <c r="AD7" i="13"/>
  <c r="AD6" i="13"/>
  <c r="AD5" i="13"/>
  <c r="AD67" i="13"/>
  <c r="AD4" i="13"/>
  <c r="P53" i="13" l="1"/>
  <c r="AB13" i="13"/>
  <c r="P16" i="13"/>
  <c r="M11" i="13"/>
  <c r="M74" i="13"/>
  <c r="H57" i="13"/>
  <c r="I50" i="13"/>
  <c r="T9" i="13"/>
  <c r="U59" i="13"/>
  <c r="M9" i="13"/>
  <c r="AB50" i="13"/>
  <c r="M20" i="13"/>
  <c r="R14" i="13"/>
  <c r="W19" i="13"/>
  <c r="M12" i="13"/>
  <c r="M13" i="13"/>
  <c r="U19" i="13"/>
  <c r="M10" i="13"/>
  <c r="V28" i="13"/>
  <c r="W18" i="13"/>
  <c r="AB69" i="13"/>
  <c r="P24" i="13"/>
  <c r="AD69" i="12"/>
  <c r="AD88" i="12"/>
  <c r="AC88" i="12"/>
  <c r="AB88" i="12"/>
  <c r="AA88" i="12"/>
  <c r="W88" i="12"/>
  <c r="V88" i="12"/>
  <c r="U88" i="12"/>
  <c r="T88" i="12"/>
  <c r="S88" i="12"/>
  <c r="R88" i="12"/>
  <c r="Q88" i="12"/>
  <c r="P88" i="12"/>
  <c r="J88" i="12"/>
  <c r="H88" i="12"/>
  <c r="C88" i="12"/>
  <c r="AD87" i="12"/>
  <c r="AC87" i="12"/>
  <c r="AB87" i="12"/>
  <c r="AA87" i="12"/>
  <c r="W87" i="12"/>
  <c r="V87" i="12"/>
  <c r="U87" i="12"/>
  <c r="T87" i="12"/>
  <c r="S87" i="12"/>
  <c r="R87" i="12"/>
  <c r="Q87" i="12"/>
  <c r="P87" i="12"/>
  <c r="J87" i="12"/>
  <c r="H87" i="12"/>
  <c r="C87" i="12"/>
  <c r="AD86" i="12"/>
  <c r="AB86" i="12"/>
  <c r="AA86" i="12"/>
  <c r="W86" i="12"/>
  <c r="V86" i="12"/>
  <c r="U86" i="12"/>
  <c r="T86" i="12"/>
  <c r="S86" i="12"/>
  <c r="R86" i="12"/>
  <c r="Q86" i="12"/>
  <c r="P86" i="12"/>
  <c r="M86" i="12"/>
  <c r="J86" i="12"/>
  <c r="H86" i="12"/>
  <c r="C86" i="12"/>
  <c r="AD85" i="12"/>
  <c r="AB85" i="12"/>
  <c r="AA85" i="12"/>
  <c r="W85" i="12"/>
  <c r="V85" i="12"/>
  <c r="U85" i="12"/>
  <c r="T85" i="12"/>
  <c r="S85" i="12"/>
  <c r="R85" i="12"/>
  <c r="Q85" i="12"/>
  <c r="P85" i="12"/>
  <c r="M85" i="12"/>
  <c r="J85" i="12"/>
  <c r="H85" i="12"/>
  <c r="C85" i="12"/>
  <c r="AD84" i="12"/>
  <c r="AB84" i="12"/>
  <c r="AA84" i="12"/>
  <c r="W84" i="12"/>
  <c r="V84" i="12"/>
  <c r="U84" i="12"/>
  <c r="T84" i="12"/>
  <c r="S84" i="12"/>
  <c r="R84" i="12"/>
  <c r="Q84" i="12"/>
  <c r="P84" i="12"/>
  <c r="M84" i="12"/>
  <c r="J84" i="12"/>
  <c r="H84" i="12"/>
  <c r="C84" i="12"/>
  <c r="AD83" i="12"/>
  <c r="AB83" i="12"/>
  <c r="AA83" i="12"/>
  <c r="W83" i="12"/>
  <c r="V83" i="12"/>
  <c r="U83" i="12"/>
  <c r="T83" i="12"/>
  <c r="S83" i="12"/>
  <c r="R83" i="12"/>
  <c r="Q83" i="12"/>
  <c r="P83" i="12"/>
  <c r="M83" i="12"/>
  <c r="J83" i="12"/>
  <c r="H83" i="12"/>
  <c r="C83" i="12"/>
  <c r="AD82" i="12"/>
  <c r="AB82" i="12"/>
  <c r="AA82" i="12"/>
  <c r="W82" i="12"/>
  <c r="V82" i="12"/>
  <c r="U82" i="12"/>
  <c r="T82" i="12"/>
  <c r="S82" i="12"/>
  <c r="R82" i="12"/>
  <c r="Q82" i="12"/>
  <c r="P82" i="12"/>
  <c r="M82" i="12"/>
  <c r="J82" i="12"/>
  <c r="H82" i="12"/>
  <c r="C82" i="12"/>
  <c r="AD81" i="12"/>
  <c r="AB81" i="12"/>
  <c r="AA81" i="12"/>
  <c r="W81" i="12"/>
  <c r="V81" i="12"/>
  <c r="U81" i="12"/>
  <c r="T81" i="12"/>
  <c r="S81" i="12"/>
  <c r="R81" i="12"/>
  <c r="Q81" i="12"/>
  <c r="P81" i="12"/>
  <c r="M81" i="12"/>
  <c r="J81" i="12"/>
  <c r="H81" i="12"/>
  <c r="C81" i="12"/>
  <c r="AD80" i="12"/>
  <c r="AB80" i="12"/>
  <c r="AA80" i="12"/>
  <c r="W80" i="12"/>
  <c r="V80" i="12"/>
  <c r="U80" i="12"/>
  <c r="T80" i="12"/>
  <c r="S80" i="12"/>
  <c r="R80" i="12"/>
  <c r="Q80" i="12"/>
  <c r="P80" i="12"/>
  <c r="M80" i="12"/>
  <c r="J80" i="12"/>
  <c r="H80" i="12"/>
  <c r="C80" i="12"/>
  <c r="AD79" i="12"/>
  <c r="AB79" i="12"/>
  <c r="AA79" i="12"/>
  <c r="W79" i="12"/>
  <c r="V79" i="12"/>
  <c r="U79" i="12"/>
  <c r="T79" i="12"/>
  <c r="S79" i="12"/>
  <c r="R79" i="12"/>
  <c r="Q79" i="12"/>
  <c r="P79" i="12"/>
  <c r="M79" i="12"/>
  <c r="J79" i="12"/>
  <c r="H79" i="12"/>
  <c r="C79" i="12"/>
  <c r="AD78" i="12"/>
  <c r="AD77" i="12"/>
  <c r="AD76" i="12"/>
  <c r="AD75" i="12"/>
  <c r="AD74" i="12"/>
  <c r="AD72" i="12"/>
  <c r="AD71" i="12"/>
  <c r="AD6" i="12"/>
  <c r="AD66" i="12"/>
  <c r="AB66" i="12"/>
  <c r="AA66" i="12"/>
  <c r="W66" i="12"/>
  <c r="V66" i="12"/>
  <c r="U66" i="12"/>
  <c r="T66" i="12"/>
  <c r="S66" i="12"/>
  <c r="R66" i="12"/>
  <c r="Q66" i="12"/>
  <c r="P66" i="12"/>
  <c r="J66" i="12"/>
  <c r="H66" i="12"/>
  <c r="C66" i="12"/>
  <c r="AD65" i="12"/>
  <c r="AB65" i="12"/>
  <c r="AA65" i="12"/>
  <c r="W65" i="12"/>
  <c r="V65" i="12"/>
  <c r="U65" i="12"/>
  <c r="T65" i="12"/>
  <c r="S65" i="12"/>
  <c r="R65" i="12"/>
  <c r="Q65" i="12"/>
  <c r="P65" i="12"/>
  <c r="M65" i="12"/>
  <c r="J65" i="12"/>
  <c r="H65" i="12"/>
  <c r="C65" i="12"/>
  <c r="AD64" i="12"/>
  <c r="AB64" i="12"/>
  <c r="AA64" i="12"/>
  <c r="W64" i="12"/>
  <c r="V64" i="12"/>
  <c r="U64" i="12"/>
  <c r="T64" i="12"/>
  <c r="S64" i="12"/>
  <c r="R64" i="12"/>
  <c r="Q64" i="12"/>
  <c r="P64" i="12"/>
  <c r="M64" i="12"/>
  <c r="J64" i="12"/>
  <c r="H64" i="12"/>
  <c r="C64" i="12"/>
  <c r="AD63" i="12"/>
  <c r="AB63" i="12"/>
  <c r="AA63" i="12"/>
  <c r="W63" i="12"/>
  <c r="V63" i="12"/>
  <c r="U63" i="12"/>
  <c r="T63" i="12"/>
  <c r="S63" i="12"/>
  <c r="R63" i="12"/>
  <c r="Q63" i="12"/>
  <c r="P63" i="12"/>
  <c r="M63" i="12"/>
  <c r="J63" i="12"/>
  <c r="H63" i="12"/>
  <c r="C63" i="12"/>
  <c r="AD62" i="12"/>
  <c r="AB62" i="12"/>
  <c r="AA62" i="12"/>
  <c r="W62" i="12"/>
  <c r="V62" i="12"/>
  <c r="U62" i="12"/>
  <c r="T62" i="12"/>
  <c r="S62" i="12"/>
  <c r="R62" i="12"/>
  <c r="Q62" i="12"/>
  <c r="P62" i="12"/>
  <c r="M62" i="12"/>
  <c r="J62" i="12"/>
  <c r="H62" i="12"/>
  <c r="C62" i="12"/>
  <c r="AD61" i="12"/>
  <c r="AD60" i="12"/>
  <c r="AD59" i="12"/>
  <c r="AD58" i="12"/>
  <c r="AD57" i="12"/>
  <c r="AD56" i="12"/>
  <c r="AD55" i="12"/>
  <c r="AD54" i="12"/>
  <c r="AD53" i="12"/>
  <c r="AD52" i="12"/>
  <c r="AD51" i="12"/>
  <c r="AD50" i="12"/>
  <c r="AD49" i="12"/>
  <c r="AD46" i="12"/>
  <c r="AC46" i="12"/>
  <c r="AB46" i="12"/>
  <c r="AA46" i="12"/>
  <c r="W46" i="12"/>
  <c r="V46" i="12"/>
  <c r="U46" i="12"/>
  <c r="T46" i="12"/>
  <c r="S46" i="12"/>
  <c r="R46" i="12"/>
  <c r="Q46" i="12"/>
  <c r="P46" i="12"/>
  <c r="M46" i="12"/>
  <c r="J46" i="12"/>
  <c r="I46" i="12"/>
  <c r="H46" i="12"/>
  <c r="C46" i="12"/>
  <c r="AD45" i="12"/>
  <c r="AC45" i="12"/>
  <c r="AB45" i="12"/>
  <c r="AA45" i="12"/>
  <c r="W45" i="12"/>
  <c r="V45" i="12"/>
  <c r="U45" i="12"/>
  <c r="T45" i="12"/>
  <c r="S45" i="12"/>
  <c r="R45" i="12"/>
  <c r="Q45" i="12"/>
  <c r="P45" i="12"/>
  <c r="M45" i="12"/>
  <c r="J45" i="12"/>
  <c r="I45" i="12"/>
  <c r="H45" i="12"/>
  <c r="C45" i="12"/>
  <c r="AD44" i="12"/>
  <c r="AC44" i="12"/>
  <c r="AB44" i="12"/>
  <c r="AA44" i="12"/>
  <c r="W44" i="12"/>
  <c r="V44" i="12"/>
  <c r="U44" i="12"/>
  <c r="T44" i="12"/>
  <c r="S44" i="12"/>
  <c r="R44" i="12"/>
  <c r="Q44" i="12"/>
  <c r="P44" i="12"/>
  <c r="M44" i="12"/>
  <c r="J44" i="12"/>
  <c r="I44" i="12"/>
  <c r="H44" i="12"/>
  <c r="C44" i="12"/>
  <c r="AD43" i="12"/>
  <c r="AD42" i="12"/>
  <c r="AD41" i="12"/>
  <c r="AD40" i="12"/>
  <c r="AD39" i="12"/>
  <c r="AD38" i="12"/>
  <c r="AD37" i="12"/>
  <c r="AD36" i="12"/>
  <c r="AD35" i="12"/>
  <c r="AD34" i="12"/>
  <c r="AD33" i="12"/>
  <c r="AD32" i="12"/>
  <c r="AD31" i="12"/>
  <c r="AD30" i="12"/>
  <c r="AD29" i="12"/>
  <c r="AD28" i="12"/>
  <c r="AD27" i="12"/>
  <c r="AD26" i="12"/>
  <c r="AD25" i="12"/>
  <c r="AD24" i="12"/>
  <c r="AD23" i="12"/>
  <c r="AD22" i="12"/>
  <c r="AD21" i="12"/>
  <c r="AD20" i="12"/>
  <c r="AD19" i="12"/>
  <c r="AD18" i="12"/>
  <c r="AD17" i="12"/>
  <c r="AD16" i="12"/>
  <c r="AD15" i="12"/>
  <c r="AC15" i="12"/>
  <c r="AD14" i="12"/>
  <c r="AC14" i="12"/>
  <c r="AD13" i="12"/>
  <c r="AC13" i="12"/>
  <c r="AD12" i="12"/>
  <c r="AC12" i="12"/>
  <c r="AD11" i="12"/>
  <c r="AC11" i="12"/>
  <c r="AD10" i="12"/>
  <c r="AD9" i="12"/>
  <c r="AD8" i="12"/>
  <c r="AD7" i="12"/>
  <c r="AD5" i="12"/>
  <c r="AD4" i="12"/>
  <c r="AD4" i="11"/>
  <c r="AC4" i="11"/>
  <c r="V17" i="13"/>
  <c r="AD89" i="11"/>
  <c r="AC89" i="11"/>
  <c r="AB89" i="11"/>
  <c r="AA89" i="11"/>
  <c r="W89" i="11"/>
  <c r="V89" i="11"/>
  <c r="U89" i="11"/>
  <c r="T89" i="11"/>
  <c r="S89" i="11"/>
  <c r="R89" i="11"/>
  <c r="Q89" i="11"/>
  <c r="P89" i="11"/>
  <c r="J89" i="11"/>
  <c r="H89" i="11"/>
  <c r="C89" i="11"/>
  <c r="AD88" i="11"/>
  <c r="AC88" i="11"/>
  <c r="AB88" i="11"/>
  <c r="AA88" i="11"/>
  <c r="W88" i="11"/>
  <c r="V88" i="11"/>
  <c r="U88" i="11"/>
  <c r="T88" i="11"/>
  <c r="S88" i="11"/>
  <c r="R88" i="11"/>
  <c r="Q88" i="11"/>
  <c r="P88" i="11"/>
  <c r="J88" i="11"/>
  <c r="H88" i="11"/>
  <c r="C88" i="11"/>
  <c r="AD87" i="11"/>
  <c r="AB87" i="11"/>
  <c r="AA87" i="11"/>
  <c r="W87" i="11"/>
  <c r="V87" i="11"/>
  <c r="U87" i="11"/>
  <c r="T87" i="11"/>
  <c r="S87" i="11"/>
  <c r="R87" i="11"/>
  <c r="Q87" i="11"/>
  <c r="P87" i="11"/>
  <c r="M87" i="11"/>
  <c r="J87" i="11"/>
  <c r="H87" i="11"/>
  <c r="C87" i="11"/>
  <c r="AD86" i="11"/>
  <c r="AB86" i="11"/>
  <c r="AA86" i="11"/>
  <c r="W86" i="11"/>
  <c r="V86" i="11"/>
  <c r="U86" i="11"/>
  <c r="T86" i="11"/>
  <c r="S86" i="11"/>
  <c r="R86" i="11"/>
  <c r="Q86" i="11"/>
  <c r="P86" i="11"/>
  <c r="M86" i="11"/>
  <c r="J86" i="11"/>
  <c r="H86" i="11"/>
  <c r="C86" i="11"/>
  <c r="AD85" i="11"/>
  <c r="AB85" i="11"/>
  <c r="AA85" i="11"/>
  <c r="W85" i="11"/>
  <c r="V85" i="11"/>
  <c r="U85" i="11"/>
  <c r="T85" i="11"/>
  <c r="S85" i="11"/>
  <c r="R85" i="11"/>
  <c r="Q85" i="11"/>
  <c r="P85" i="11"/>
  <c r="M85" i="11"/>
  <c r="J85" i="11"/>
  <c r="H85" i="11"/>
  <c r="C85" i="11"/>
  <c r="AD84" i="11"/>
  <c r="AB84" i="11"/>
  <c r="AA84" i="11"/>
  <c r="W84" i="11"/>
  <c r="V84" i="11"/>
  <c r="U84" i="11"/>
  <c r="T84" i="11"/>
  <c r="S84" i="11"/>
  <c r="R84" i="11"/>
  <c r="Q84" i="11"/>
  <c r="P84" i="11"/>
  <c r="M84" i="11"/>
  <c r="J84" i="11"/>
  <c r="H84" i="11"/>
  <c r="C84" i="11"/>
  <c r="AD83" i="11"/>
  <c r="AB83" i="11"/>
  <c r="AA83" i="11"/>
  <c r="W83" i="11"/>
  <c r="V83" i="11"/>
  <c r="U83" i="11"/>
  <c r="T83" i="11"/>
  <c r="S83" i="11"/>
  <c r="R83" i="11"/>
  <c r="Q83" i="11"/>
  <c r="P83" i="11"/>
  <c r="M83" i="11"/>
  <c r="J83" i="11"/>
  <c r="H83" i="11"/>
  <c r="C83" i="11"/>
  <c r="AD82" i="11"/>
  <c r="AB82" i="11"/>
  <c r="AA82" i="11"/>
  <c r="W82" i="11"/>
  <c r="V82" i="11"/>
  <c r="U82" i="11"/>
  <c r="T82" i="11"/>
  <c r="S82" i="11"/>
  <c r="R82" i="11"/>
  <c r="Q82" i="11"/>
  <c r="P82" i="11"/>
  <c r="M82" i="11"/>
  <c r="J82" i="11"/>
  <c r="H82" i="11"/>
  <c r="C82" i="11"/>
  <c r="AD81" i="11"/>
  <c r="AB81" i="11"/>
  <c r="AA81" i="11"/>
  <c r="W81" i="11"/>
  <c r="V81" i="11"/>
  <c r="U81" i="11"/>
  <c r="T81" i="11"/>
  <c r="S81" i="11"/>
  <c r="R81" i="11"/>
  <c r="Q81" i="11"/>
  <c r="P81" i="11"/>
  <c r="M81" i="11"/>
  <c r="J81" i="11"/>
  <c r="H81" i="11"/>
  <c r="C81" i="11"/>
  <c r="AD80" i="11"/>
  <c r="AB80" i="11"/>
  <c r="AA80" i="11"/>
  <c r="W80" i="11"/>
  <c r="V80" i="11"/>
  <c r="U80" i="11"/>
  <c r="T80" i="11"/>
  <c r="S80" i="11"/>
  <c r="R80" i="11"/>
  <c r="Q80" i="11"/>
  <c r="P80" i="11"/>
  <c r="M80" i="11"/>
  <c r="J80" i="11"/>
  <c r="H80" i="11"/>
  <c r="C80" i="11"/>
  <c r="AD79" i="11"/>
  <c r="AD78" i="11"/>
  <c r="AD77" i="11"/>
  <c r="AD76" i="11"/>
  <c r="AD75" i="11"/>
  <c r="AD73" i="11"/>
  <c r="AD72" i="11"/>
  <c r="AD71" i="11"/>
  <c r="AD70" i="11"/>
  <c r="AD69" i="11"/>
  <c r="AD66" i="11"/>
  <c r="AB66" i="11"/>
  <c r="AA66" i="11"/>
  <c r="W66" i="11"/>
  <c r="V66" i="11"/>
  <c r="U66" i="11"/>
  <c r="T66" i="11"/>
  <c r="S66" i="11"/>
  <c r="R66" i="11"/>
  <c r="Q66" i="11"/>
  <c r="P66" i="11"/>
  <c r="J66" i="11"/>
  <c r="H66" i="11"/>
  <c r="C66" i="11"/>
  <c r="AD65" i="11"/>
  <c r="AB65" i="11"/>
  <c r="AA65" i="11"/>
  <c r="W65" i="11"/>
  <c r="V65" i="11"/>
  <c r="U65" i="11"/>
  <c r="T65" i="11"/>
  <c r="S65" i="11"/>
  <c r="R65" i="11"/>
  <c r="Q65" i="11"/>
  <c r="P65" i="11"/>
  <c r="M65" i="11"/>
  <c r="J65" i="11"/>
  <c r="H65" i="11"/>
  <c r="C65" i="11"/>
  <c r="AD64" i="11"/>
  <c r="AB64" i="11"/>
  <c r="AA64" i="11"/>
  <c r="W64" i="11"/>
  <c r="V64" i="11"/>
  <c r="U64" i="11"/>
  <c r="T64" i="11"/>
  <c r="S64" i="11"/>
  <c r="R64" i="11"/>
  <c r="Q64" i="11"/>
  <c r="P64" i="11"/>
  <c r="M64" i="11"/>
  <c r="J64" i="11"/>
  <c r="H64" i="11"/>
  <c r="C64" i="11"/>
  <c r="AD63" i="11"/>
  <c r="AB63" i="11"/>
  <c r="AA63" i="11"/>
  <c r="W63" i="11"/>
  <c r="V63" i="11"/>
  <c r="U63" i="11"/>
  <c r="T63" i="11"/>
  <c r="S63" i="11"/>
  <c r="R63" i="11"/>
  <c r="Q63" i="11"/>
  <c r="P63" i="11"/>
  <c r="M63" i="11"/>
  <c r="J63" i="11"/>
  <c r="H63" i="11"/>
  <c r="C63" i="11"/>
  <c r="AD62" i="11"/>
  <c r="AB62" i="11"/>
  <c r="AA62" i="11"/>
  <c r="W62" i="11"/>
  <c r="V62" i="11"/>
  <c r="U62" i="11"/>
  <c r="T62" i="11"/>
  <c r="S62" i="11"/>
  <c r="R62" i="11"/>
  <c r="Q62" i="11"/>
  <c r="P62" i="11"/>
  <c r="M62" i="11"/>
  <c r="J62" i="11"/>
  <c r="H62" i="11"/>
  <c r="C62" i="11"/>
  <c r="AD61" i="11"/>
  <c r="AD60" i="11"/>
  <c r="AD59" i="11"/>
  <c r="AD58" i="11"/>
  <c r="AD57" i="11"/>
  <c r="AD56" i="11"/>
  <c r="AD55" i="11"/>
  <c r="AD54" i="11"/>
  <c r="AD53" i="11"/>
  <c r="AD52" i="11"/>
  <c r="AD51" i="11"/>
  <c r="AD49" i="11"/>
  <c r="AD50" i="11"/>
  <c r="AD5" i="11"/>
  <c r="AD46" i="11"/>
  <c r="AC46" i="11"/>
  <c r="AB46" i="11"/>
  <c r="AA46" i="11"/>
  <c r="W46" i="11"/>
  <c r="V46" i="11"/>
  <c r="U46" i="11"/>
  <c r="T46" i="11"/>
  <c r="S46" i="11"/>
  <c r="R46" i="11"/>
  <c r="Q46" i="11"/>
  <c r="P46" i="11"/>
  <c r="M46" i="11"/>
  <c r="J46" i="11"/>
  <c r="I46" i="11"/>
  <c r="H46" i="11"/>
  <c r="C46" i="11"/>
  <c r="AD45" i="11"/>
  <c r="AC45" i="11"/>
  <c r="AB45" i="11"/>
  <c r="AA45" i="11"/>
  <c r="W45" i="11"/>
  <c r="V45" i="11"/>
  <c r="U45" i="11"/>
  <c r="T45" i="11"/>
  <c r="S45" i="11"/>
  <c r="R45" i="11"/>
  <c r="Q45" i="11"/>
  <c r="P45" i="11"/>
  <c r="M45" i="11"/>
  <c r="J45" i="11"/>
  <c r="I45" i="11"/>
  <c r="H45" i="11"/>
  <c r="C45" i="11"/>
  <c r="AD44" i="11"/>
  <c r="AC44" i="11"/>
  <c r="AB44" i="11"/>
  <c r="AA44" i="11"/>
  <c r="W44" i="11"/>
  <c r="V44" i="11"/>
  <c r="U44" i="11"/>
  <c r="T44" i="11"/>
  <c r="S44" i="11"/>
  <c r="R44" i="11"/>
  <c r="Q44" i="11"/>
  <c r="P44" i="11"/>
  <c r="M44" i="11"/>
  <c r="J44" i="11"/>
  <c r="I44" i="11"/>
  <c r="H44" i="11"/>
  <c r="C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6" i="11"/>
  <c r="AD17" i="11"/>
  <c r="AD16" i="11"/>
  <c r="AD15" i="11"/>
  <c r="AC15" i="11"/>
  <c r="AD14" i="11"/>
  <c r="M14" i="11" s="1"/>
  <c r="AC14" i="11"/>
  <c r="AD13" i="11"/>
  <c r="M13" i="11" s="1"/>
  <c r="AC13" i="11"/>
  <c r="AD12" i="11"/>
  <c r="AC12" i="11"/>
  <c r="AD11" i="11"/>
  <c r="AC11" i="11"/>
  <c r="AD10" i="11"/>
  <c r="AD9" i="11"/>
  <c r="AD8" i="11"/>
  <c r="AD7" i="11"/>
  <c r="AD75" i="10"/>
  <c r="AD76" i="10"/>
  <c r="C50" i="13" l="1"/>
  <c r="R19" i="13"/>
  <c r="M49" i="13"/>
  <c r="U34" i="13"/>
  <c r="J71" i="12"/>
  <c r="C56" i="13"/>
  <c r="R8" i="13"/>
  <c r="P47" i="13"/>
  <c r="AA29" i="13"/>
  <c r="AA70" i="13"/>
  <c r="S12" i="13"/>
  <c r="J18" i="13"/>
  <c r="R58" i="13"/>
  <c r="I36" i="13"/>
  <c r="W6" i="13"/>
  <c r="H52" i="13"/>
  <c r="AA55" i="13"/>
  <c r="T36" i="13"/>
  <c r="T56" i="13"/>
  <c r="Q50" i="13"/>
  <c r="H56" i="13"/>
  <c r="Q67" i="13"/>
  <c r="C25" i="13"/>
  <c r="T52" i="13"/>
  <c r="AA54" i="13"/>
  <c r="I37" i="13"/>
  <c r="W53" i="13"/>
  <c r="M55" i="13"/>
  <c r="AB34" i="13"/>
  <c r="H23" i="13"/>
  <c r="I35" i="13"/>
  <c r="P74" i="12"/>
  <c r="C54" i="13"/>
  <c r="P76" i="13"/>
  <c r="T58" i="13"/>
  <c r="R21" i="13"/>
  <c r="M4" i="13"/>
  <c r="Q51" i="13"/>
  <c r="H25" i="13"/>
  <c r="S67" i="13"/>
  <c r="Q32" i="13"/>
  <c r="H53" i="13"/>
  <c r="M25" i="13"/>
  <c r="M23" i="13"/>
  <c r="W16" i="13"/>
  <c r="P7" i="13"/>
  <c r="H10" i="13"/>
  <c r="H4" i="13"/>
  <c r="U56" i="13"/>
  <c r="I13" i="13"/>
  <c r="H41" i="13"/>
  <c r="AB67" i="13"/>
  <c r="U48" i="13"/>
  <c r="V40" i="13"/>
  <c r="I9" i="13"/>
  <c r="I58" i="13"/>
  <c r="S37" i="13"/>
  <c r="AB72" i="12"/>
  <c r="U36" i="13"/>
  <c r="R6" i="13"/>
  <c r="R7" i="13"/>
  <c r="H35" i="13"/>
  <c r="H37" i="13"/>
  <c r="V70" i="13"/>
  <c r="V50" i="13"/>
  <c r="T21" i="13"/>
  <c r="P75" i="13"/>
  <c r="I51" i="13"/>
  <c r="U21" i="13"/>
  <c r="H28" i="13"/>
  <c r="C32" i="13"/>
  <c r="R49" i="13"/>
  <c r="P23" i="13"/>
  <c r="AA5" i="13"/>
  <c r="H58" i="13"/>
  <c r="U14" i="13"/>
  <c r="W29" i="13"/>
  <c r="U30" i="13"/>
  <c r="T34" i="13"/>
  <c r="Q41" i="13"/>
  <c r="J4" i="11"/>
  <c r="J16" i="13"/>
  <c r="M36" i="13"/>
  <c r="I76" i="13"/>
  <c r="Q39" i="13"/>
  <c r="C20" i="13"/>
  <c r="R75" i="13"/>
  <c r="J51" i="13"/>
  <c r="J13" i="13"/>
  <c r="Q13" i="13"/>
  <c r="AA27" i="13"/>
  <c r="T29" i="13"/>
  <c r="AA12" i="13"/>
  <c r="Q4" i="13"/>
  <c r="J55" i="13"/>
  <c r="Q9" i="13"/>
  <c r="T24" i="13"/>
  <c r="R48" i="13"/>
  <c r="C12" i="13"/>
  <c r="W59" i="13"/>
  <c r="Q59" i="13"/>
  <c r="U38" i="13"/>
  <c r="T32" i="13"/>
  <c r="T75" i="13"/>
  <c r="I38" i="13"/>
  <c r="I10" i="13"/>
  <c r="W13" i="13"/>
  <c r="I27" i="13"/>
  <c r="Q23" i="13"/>
  <c r="I31" i="13"/>
  <c r="S54" i="13"/>
  <c r="J34" i="13"/>
  <c r="C57" i="13"/>
  <c r="C69" i="13"/>
  <c r="W54" i="13"/>
  <c r="W78" i="12"/>
  <c r="AA33" i="13"/>
  <c r="S55" i="13"/>
  <c r="R10" i="13"/>
  <c r="R60" i="12"/>
  <c r="P54" i="13"/>
  <c r="M67" i="13"/>
  <c r="M53" i="13"/>
  <c r="C37" i="13"/>
  <c r="V24" i="13"/>
  <c r="P18" i="13"/>
  <c r="T40" i="13"/>
  <c r="C52" i="13"/>
  <c r="R31" i="13"/>
  <c r="C38" i="13"/>
  <c r="AB58" i="13"/>
  <c r="S73" i="13"/>
  <c r="J23" i="13"/>
  <c r="J58" i="13"/>
  <c r="J72" i="13"/>
  <c r="M15" i="13"/>
  <c r="J41" i="13"/>
  <c r="S23" i="13"/>
  <c r="C47" i="13"/>
  <c r="R23" i="13"/>
  <c r="J22" i="13"/>
  <c r="U32" i="13"/>
  <c r="M29" i="13"/>
  <c r="C22" i="13"/>
  <c r="V14" i="13"/>
  <c r="V7" i="13"/>
  <c r="S30" i="13"/>
  <c r="M69" i="13"/>
  <c r="U29" i="13"/>
  <c r="S25" i="13"/>
  <c r="H22" i="13"/>
  <c r="W14" i="13"/>
  <c r="AA7" i="13"/>
  <c r="P10" i="13"/>
  <c r="C24" i="13"/>
  <c r="AA17" i="13"/>
  <c r="P14" i="13"/>
  <c r="J7" i="13"/>
  <c r="C34" i="13"/>
  <c r="Q22" i="13"/>
  <c r="S17" i="13"/>
  <c r="C29" i="13"/>
  <c r="T14" i="13"/>
  <c r="T7" i="13"/>
  <c r="R37" i="13"/>
  <c r="AA22" i="13"/>
  <c r="Q14" i="13"/>
  <c r="S7" i="13"/>
  <c r="V4" i="13"/>
  <c r="W34" i="13"/>
  <c r="T31" i="13"/>
  <c r="V22" i="13"/>
  <c r="W8" i="13"/>
  <c r="U4" i="13"/>
  <c r="R47" i="13"/>
  <c r="T23" i="13"/>
  <c r="T15" i="13"/>
  <c r="J8" i="13"/>
  <c r="M14" i="13"/>
  <c r="H7" i="13"/>
  <c r="V47" i="13"/>
  <c r="S22" i="13"/>
  <c r="J14" i="13"/>
  <c r="U8" i="13"/>
  <c r="S47" i="13"/>
  <c r="H34" i="13"/>
  <c r="W23" i="13"/>
  <c r="R22" i="13"/>
  <c r="U17" i="13"/>
  <c r="C14" i="13"/>
  <c r="M8" i="13"/>
  <c r="AB7" i="13"/>
  <c r="AB22" i="13"/>
  <c r="S19" i="13"/>
  <c r="R74" i="13"/>
  <c r="AA21" i="13"/>
  <c r="T13" i="13"/>
  <c r="V69" i="13"/>
  <c r="Q17" i="13"/>
  <c r="T26" i="13"/>
  <c r="AB36" i="13"/>
  <c r="T6" i="13"/>
  <c r="W15" i="13"/>
  <c r="P40" i="13"/>
  <c r="I49" i="13"/>
  <c r="S8" i="13"/>
  <c r="R35" i="13"/>
  <c r="S16" i="13"/>
  <c r="H54" i="13"/>
  <c r="AA23" i="13"/>
  <c r="AA47" i="13"/>
  <c r="H73" i="13"/>
  <c r="AB37" i="13"/>
  <c r="M72" i="13"/>
  <c r="Q72" i="13"/>
  <c r="R59" i="13"/>
  <c r="Q57" i="13"/>
  <c r="J25" i="13"/>
  <c r="T59" i="13"/>
  <c r="Q29" i="13"/>
  <c r="R34" i="13"/>
  <c r="S29" i="13"/>
  <c r="T50" i="13"/>
  <c r="AA74" i="13"/>
  <c r="Q30" i="13"/>
  <c r="V57" i="13"/>
  <c r="I53" i="13"/>
  <c r="AB73" i="13"/>
  <c r="S27" i="13"/>
  <c r="S52" i="13"/>
  <c r="M21" i="13"/>
  <c r="P20" i="13"/>
  <c r="S26" i="13"/>
  <c r="Q7" i="13"/>
  <c r="AA14" i="13"/>
  <c r="W31" i="13"/>
  <c r="J15" i="13"/>
  <c r="V25" i="13"/>
  <c r="C19" i="13"/>
  <c r="T20" i="13"/>
  <c r="AA51" i="13"/>
  <c r="C6" i="13"/>
  <c r="J26" i="13"/>
  <c r="I75" i="13"/>
  <c r="W67" i="13"/>
  <c r="R13" i="13"/>
  <c r="S40" i="13"/>
  <c r="P52" i="13"/>
  <c r="AB21" i="13"/>
  <c r="R56" i="13"/>
  <c r="C21" i="13"/>
  <c r="J39" i="13"/>
  <c r="W50" i="13"/>
  <c r="P30" i="13"/>
  <c r="P50" i="13"/>
  <c r="S69" i="13"/>
  <c r="W37" i="13"/>
  <c r="H59" i="13"/>
  <c r="AB14" i="13"/>
  <c r="AA34" i="13"/>
  <c r="W30" i="13"/>
  <c r="Q58" i="13"/>
  <c r="M31" i="13"/>
  <c r="J17" i="13"/>
  <c r="U13" i="13"/>
  <c r="M18" i="13"/>
  <c r="P29" i="13"/>
  <c r="W39" i="13"/>
  <c r="AA6" i="13"/>
  <c r="U25" i="13"/>
  <c r="H47" i="13"/>
  <c r="M70" i="13"/>
  <c r="M5" i="13"/>
  <c r="W10" i="13"/>
  <c r="W36" i="13"/>
  <c r="AB24" i="13"/>
  <c r="I54" i="13"/>
  <c r="W24" i="13"/>
  <c r="AA48" i="13"/>
  <c r="H74" i="13"/>
  <c r="R41" i="13"/>
  <c r="I73" i="13"/>
  <c r="J73" i="13"/>
  <c r="R72" i="13"/>
  <c r="M58" i="13"/>
  <c r="T38" i="13"/>
  <c r="I30" i="13"/>
  <c r="R4" i="13"/>
  <c r="M30" i="13"/>
  <c r="C53" i="13"/>
  <c r="W33" i="13"/>
  <c r="W58" i="13"/>
  <c r="AB54" i="13"/>
  <c r="AB57" i="13"/>
  <c r="R27" i="13"/>
  <c r="R52" i="13"/>
  <c r="C28" i="13"/>
  <c r="P21" i="13"/>
  <c r="R26" i="13"/>
  <c r="W7" i="13"/>
  <c r="H14" i="13"/>
  <c r="C31" i="13"/>
  <c r="AB15" i="13"/>
  <c r="Q25" i="13"/>
  <c r="U28" i="13"/>
  <c r="V21" i="13"/>
  <c r="H51" i="13"/>
  <c r="V6" i="13"/>
  <c r="Q27" i="13"/>
  <c r="AA75" i="13"/>
  <c r="M6" i="13"/>
  <c r="P15" i="13"/>
  <c r="J40" i="13"/>
  <c r="AB19" i="13"/>
  <c r="I21" i="13"/>
  <c r="Q56" i="13"/>
  <c r="U26" i="13"/>
  <c r="H39" i="13"/>
  <c r="Q70" i="13"/>
  <c r="V55" i="13"/>
  <c r="V36" i="13"/>
  <c r="S70" i="13"/>
  <c r="U73" i="13"/>
  <c r="T47" i="13"/>
  <c r="I70" i="13"/>
  <c r="U69" i="13"/>
  <c r="Q40" i="13"/>
  <c r="J36" i="13"/>
  <c r="M34" i="13"/>
  <c r="P41" i="13"/>
  <c r="H18" i="13"/>
  <c r="AA18" i="13"/>
  <c r="R25" i="13"/>
  <c r="V33" i="13"/>
  <c r="C48" i="13"/>
  <c r="V15" i="13"/>
  <c r="H67" i="13"/>
  <c r="W48" i="13"/>
  <c r="J5" i="13"/>
  <c r="M7" i="13"/>
  <c r="W11" i="13"/>
  <c r="M41" i="13"/>
  <c r="V34" i="13"/>
  <c r="S5" i="13"/>
  <c r="H29" i="13"/>
  <c r="AB49" i="13"/>
  <c r="J76" i="13"/>
  <c r="AB47" i="13"/>
  <c r="I74" i="13"/>
  <c r="J74" i="13"/>
  <c r="M73" i="13"/>
  <c r="S59" i="13"/>
  <c r="V41" i="13"/>
  <c r="P69" i="13"/>
  <c r="H31" i="13"/>
  <c r="H5" i="13"/>
  <c r="J31" i="13"/>
  <c r="AA53" i="13"/>
  <c r="S4" i="13"/>
  <c r="J37" i="13"/>
  <c r="V59" i="13"/>
  <c r="W57" i="13"/>
  <c r="H72" i="13"/>
  <c r="AB32" i="13"/>
  <c r="Q52" i="13"/>
  <c r="C33" i="13"/>
  <c r="I67" i="13"/>
  <c r="Q26" i="13"/>
  <c r="C7" i="13"/>
  <c r="AA16" i="13"/>
  <c r="V31" i="13"/>
  <c r="I15" i="13"/>
  <c r="P25" i="13"/>
  <c r="T28" i="13"/>
  <c r="I26" i="13"/>
  <c r="W51" i="13"/>
  <c r="P6" i="13"/>
  <c r="R28" i="13"/>
  <c r="H75" i="13"/>
  <c r="J4" i="13"/>
  <c r="I16" i="13"/>
  <c r="AB40" i="13"/>
  <c r="AB20" i="13"/>
  <c r="AA28" i="13"/>
  <c r="P56" i="13"/>
  <c r="W27" i="13"/>
  <c r="AB39" i="13"/>
  <c r="H69" i="13"/>
  <c r="U58" i="13"/>
  <c r="Q37" i="13"/>
  <c r="J69" i="13"/>
  <c r="C70" i="13"/>
  <c r="P74" i="13"/>
  <c r="P48" i="13"/>
  <c r="AB70" i="13"/>
  <c r="C73" i="13"/>
  <c r="M4" i="11"/>
  <c r="H17" i="13"/>
  <c r="V13" i="13"/>
  <c r="AA59" i="13"/>
  <c r="V39" i="13"/>
  <c r="J70" i="13"/>
  <c r="U22" i="13"/>
  <c r="V11" i="13"/>
  <c r="M35" i="13"/>
  <c r="AB35" i="13"/>
  <c r="V49" i="13"/>
  <c r="T25" i="13"/>
  <c r="J10" i="13"/>
  <c r="M51" i="13"/>
  <c r="S24" i="13"/>
  <c r="Q8" i="13"/>
  <c r="H15" i="13"/>
  <c r="W47" i="13"/>
  <c r="S35" i="13"/>
  <c r="U6" i="13"/>
  <c r="AB29" i="13"/>
  <c r="P51" i="13"/>
  <c r="P9" i="13"/>
  <c r="AB48" i="13"/>
  <c r="M76" i="13"/>
  <c r="V76" i="13"/>
  <c r="R5" i="13"/>
  <c r="S72" i="13"/>
  <c r="M47" i="13"/>
  <c r="T72" i="13"/>
  <c r="Q34" i="13"/>
  <c r="AB5" i="13"/>
  <c r="J33" i="13"/>
  <c r="U54" i="13"/>
  <c r="I5" i="13"/>
  <c r="C41" i="13"/>
  <c r="AA58" i="13"/>
  <c r="P67" i="13"/>
  <c r="I32" i="13"/>
  <c r="J52" i="13"/>
  <c r="S38" i="13"/>
  <c r="H19" i="13"/>
  <c r="AA26" i="13"/>
  <c r="AB8" i="13"/>
  <c r="Q18" i="13"/>
  <c r="M33" i="13"/>
  <c r="S15" i="13"/>
  <c r="M27" i="13"/>
  <c r="S28" i="13"/>
  <c r="P27" i="13"/>
  <c r="C51" i="13"/>
  <c r="R12" i="13"/>
  <c r="P32" i="13"/>
  <c r="W75" i="13"/>
  <c r="AB4" i="13"/>
  <c r="V19" i="13"/>
  <c r="I40" i="13"/>
  <c r="I20" i="13"/>
  <c r="V52" i="13"/>
  <c r="M75" i="13"/>
  <c r="V32" i="13"/>
  <c r="I39" i="13"/>
  <c r="AA69" i="13"/>
  <c r="P59" i="13"/>
  <c r="V48" i="13"/>
  <c r="U72" i="13"/>
  <c r="W70" i="13"/>
  <c r="R76" i="13"/>
  <c r="C49" i="13"/>
  <c r="T69" i="13"/>
  <c r="T76" i="13"/>
  <c r="R24" i="13"/>
  <c r="T37" i="13"/>
  <c r="T4" i="13"/>
  <c r="C16" i="13"/>
  <c r="U76" i="13"/>
  <c r="C35" i="13"/>
  <c r="V20" i="13"/>
  <c r="AB38" i="13"/>
  <c r="J47" i="13"/>
  <c r="Q53" i="13"/>
  <c r="T30" i="13"/>
  <c r="C11" i="13"/>
  <c r="H55" i="13"/>
  <c r="Q16" i="13"/>
  <c r="V10" i="13"/>
  <c r="R16" i="13"/>
  <c r="T49" i="13"/>
  <c r="AA36" i="13"/>
  <c r="U7" i="13"/>
  <c r="AA30" i="13"/>
  <c r="R53" i="13"/>
  <c r="T5" i="13"/>
  <c r="T51" i="13"/>
  <c r="S41" i="13"/>
  <c r="S9" i="13"/>
  <c r="H12" i="13"/>
  <c r="Q73" i="13"/>
  <c r="I48" i="13"/>
  <c r="R73" i="13"/>
  <c r="P38" i="13"/>
  <c r="C9" i="13"/>
  <c r="S34" i="13"/>
  <c r="AB55" i="13"/>
  <c r="H9" i="13"/>
  <c r="AA41" i="13"/>
  <c r="W72" i="13"/>
  <c r="AB59" i="13"/>
  <c r="I19" i="13"/>
  <c r="AA32" i="13"/>
  <c r="AB52" i="13"/>
  <c r="R38" i="13"/>
  <c r="Q12" i="13"/>
  <c r="H26" i="13"/>
  <c r="I8" i="13"/>
  <c r="P19" i="13"/>
  <c r="M39" i="13"/>
  <c r="AB16" i="13"/>
  <c r="J32" i="13"/>
  <c r="J28" i="13"/>
  <c r="Q28" i="13"/>
  <c r="V51" i="13"/>
  <c r="P13" i="13"/>
  <c r="U33" i="13"/>
  <c r="C75" i="13"/>
  <c r="I4" i="13"/>
  <c r="I25" i="13"/>
  <c r="AA40" i="13"/>
  <c r="W20" i="13"/>
  <c r="AB56" i="13"/>
  <c r="U67" i="13"/>
  <c r="T33" i="13"/>
  <c r="AA39" i="13"/>
  <c r="U74" i="13"/>
  <c r="Q49" i="13"/>
  <c r="P73" i="13"/>
  <c r="R69" i="13"/>
  <c r="M24" i="13"/>
  <c r="W49" i="13"/>
  <c r="V73" i="13"/>
  <c r="V8" i="13"/>
  <c r="AB9" i="13"/>
  <c r="W17" i="13"/>
  <c r="C17" i="13"/>
  <c r="P5" i="13"/>
  <c r="AA37" i="13"/>
  <c r="W40" i="13"/>
  <c r="U57" i="13"/>
  <c r="U51" i="13"/>
  <c r="R15" i="13"/>
  <c r="M37" i="13"/>
  <c r="AA15" i="13"/>
  <c r="Q35" i="13"/>
  <c r="T11" i="13"/>
  <c r="T17" i="13"/>
  <c r="J53" i="13"/>
  <c r="C39" i="13"/>
  <c r="T8" i="13"/>
  <c r="AB31" i="13"/>
  <c r="J54" i="13"/>
  <c r="R9" i="13"/>
  <c r="S53" i="13"/>
  <c r="T53" i="13"/>
  <c r="T12" i="13"/>
  <c r="C4" i="13"/>
  <c r="U5" i="13"/>
  <c r="J49" i="13"/>
  <c r="T74" i="13"/>
  <c r="V9" i="13"/>
  <c r="W9" i="13"/>
  <c r="J35" i="13"/>
  <c r="S57" i="13"/>
  <c r="AA9" i="13"/>
  <c r="Q47" i="13"/>
  <c r="T73" i="13"/>
  <c r="AA72" i="13"/>
  <c r="J20" i="13"/>
  <c r="H32" i="13"/>
  <c r="I52" i="13"/>
  <c r="Q38" i="13"/>
  <c r="P12" i="13"/>
  <c r="W26" i="13"/>
  <c r="AA8" i="13"/>
  <c r="Q20" i="13"/>
  <c r="R40" i="13"/>
  <c r="R18" i="13"/>
  <c r="P33" i="13"/>
  <c r="AB28" i="13"/>
  <c r="M32" i="13"/>
  <c r="S51" i="13"/>
  <c r="U16" i="13"/>
  <c r="J38" i="13"/>
  <c r="V75" i="13"/>
  <c r="AA67" i="13"/>
  <c r="M26" i="13"/>
  <c r="H40" i="13"/>
  <c r="AA20" i="13"/>
  <c r="I56" i="13"/>
  <c r="T67" i="13"/>
  <c r="S33" i="13"/>
  <c r="S39" i="13"/>
  <c r="C76" i="13"/>
  <c r="R70" i="13"/>
  <c r="H50" i="13"/>
  <c r="C74" i="13"/>
  <c r="Q76" i="13"/>
  <c r="U11" i="13"/>
  <c r="R50" i="13"/>
  <c r="Q74" i="13"/>
  <c r="V29" i="13"/>
  <c r="V23" i="13"/>
  <c r="P17" i="13"/>
  <c r="I17" i="13"/>
  <c r="W73" i="13"/>
  <c r="S48" i="13"/>
  <c r="Q10" i="13"/>
  <c r="AB26" i="13"/>
  <c r="T22" i="13"/>
  <c r="AB17" i="13"/>
  <c r="Q36" i="13"/>
  <c r="M17" i="13"/>
  <c r="S13" i="13"/>
  <c r="I7" i="13"/>
  <c r="P72" i="13"/>
  <c r="H30" i="13"/>
  <c r="C40" i="13"/>
  <c r="W22" i="13"/>
  <c r="I72" i="13"/>
  <c r="S36" i="13"/>
  <c r="AB18" i="13"/>
  <c r="M22" i="13"/>
  <c r="T70" i="13"/>
  <c r="U49" i="13"/>
  <c r="U10" i="13"/>
  <c r="I34" i="13"/>
  <c r="I55" i="13"/>
  <c r="C23" i="13"/>
  <c r="M54" i="13"/>
  <c r="Q54" i="13"/>
  <c r="T41" i="13"/>
  <c r="V5" i="13"/>
  <c r="W5" i="13"/>
  <c r="M50" i="13"/>
  <c r="Q5" i="13"/>
  <c r="Q11" i="13"/>
  <c r="R11" i="13"/>
  <c r="C36" i="13"/>
  <c r="S58" i="13"/>
  <c r="S11" i="13"/>
  <c r="M48" i="13"/>
  <c r="AB74" i="13"/>
  <c r="AA73" i="13"/>
  <c r="J21" i="13"/>
  <c r="W32" i="13"/>
  <c r="AA52" i="13"/>
  <c r="AA38" i="13"/>
  <c r="V12" i="13"/>
  <c r="C26" i="13"/>
  <c r="H8" i="13"/>
  <c r="Q21" i="13"/>
  <c r="T10" i="13"/>
  <c r="S20" i="13"/>
  <c r="P39" i="13"/>
  <c r="I28" i="13"/>
  <c r="Q33" i="13"/>
  <c r="R51" i="13"/>
  <c r="T16" i="13"/>
  <c r="U39" i="13"/>
  <c r="U75" i="13"/>
  <c r="Q6" i="13"/>
  <c r="T27" i="13"/>
  <c r="M52" i="13"/>
  <c r="H20" i="13"/>
  <c r="AA56" i="13"/>
  <c r="J67" i="13"/>
  <c r="R33" i="13"/>
  <c r="R39" i="13"/>
  <c r="W76" i="13"/>
  <c r="I69" i="13"/>
  <c r="AA50" i="13"/>
  <c r="W74" i="13"/>
  <c r="V37" i="13"/>
  <c r="U23" i="13"/>
  <c r="V54" i="13"/>
  <c r="S76" i="13"/>
  <c r="V35" i="13"/>
  <c r="P28" i="13"/>
  <c r="I22" i="13"/>
  <c r="J9" i="13"/>
  <c r="AA35" i="13"/>
  <c r="AB25" i="13"/>
  <c r="I18" i="13"/>
  <c r="M40" i="13"/>
  <c r="V27" i="13"/>
  <c r="Q48" i="13"/>
  <c r="Q24" i="13"/>
  <c r="I23" i="13"/>
  <c r="AA49" i="13"/>
  <c r="I14" i="13"/>
  <c r="H6" i="13"/>
  <c r="H48" i="13"/>
  <c r="AB6" i="13"/>
  <c r="J29" i="13"/>
  <c r="S49" i="13"/>
  <c r="V26" i="13"/>
  <c r="U24" i="13"/>
  <c r="J11" i="13"/>
  <c r="S74" i="13"/>
  <c r="H11" i="13"/>
  <c r="T35" i="13"/>
  <c r="C58" i="13"/>
  <c r="AA24" i="13"/>
  <c r="J57" i="13"/>
  <c r="M57" i="13"/>
  <c r="U53" i="13"/>
  <c r="U41" i="13"/>
  <c r="C5" i="13"/>
  <c r="T54" i="13"/>
  <c r="U9" i="13"/>
  <c r="H24" i="13"/>
  <c r="H16" i="13"/>
  <c r="W41" i="13"/>
  <c r="M16" i="13"/>
  <c r="U50" i="13"/>
  <c r="R30" i="13"/>
  <c r="AA57" i="13"/>
  <c r="AB27" i="13"/>
  <c r="R32" i="13"/>
  <c r="V16" i="13"/>
  <c r="W38" i="13"/>
  <c r="H13" i="13"/>
  <c r="W4" i="13"/>
  <c r="I12" i="13"/>
  <c r="M28" i="13"/>
  <c r="AB10" i="13"/>
  <c r="AA25" i="13"/>
  <c r="J56" i="13"/>
  <c r="T39" i="13"/>
  <c r="M56" i="13"/>
  <c r="T18" i="13"/>
  <c r="S56" i="13"/>
  <c r="S75" i="13"/>
  <c r="C67" i="13"/>
  <c r="S32" i="13"/>
  <c r="P26" i="13"/>
  <c r="R20" i="13"/>
  <c r="W56" i="13"/>
  <c r="C18" i="13"/>
  <c r="I33" i="13"/>
  <c r="W52" i="13"/>
  <c r="P37" i="13"/>
  <c r="V74" i="13"/>
  <c r="C55" i="13"/>
  <c r="AB76" i="13"/>
  <c r="P55" i="13"/>
  <c r="V30" i="13"/>
  <c r="T57" i="13"/>
  <c r="C30" i="13"/>
  <c r="S31" i="13"/>
  <c r="J6" i="13"/>
  <c r="I11" i="13"/>
  <c r="C15" i="13"/>
  <c r="U47" i="13"/>
  <c r="C8" i="13"/>
  <c r="R55" i="13"/>
  <c r="S50" i="13"/>
  <c r="C10" i="13"/>
  <c r="P22" i="13"/>
  <c r="Q15" i="13"/>
  <c r="S6" i="13"/>
  <c r="T48" i="13"/>
  <c r="H36" i="13"/>
  <c r="P35" i="13"/>
  <c r="P8" i="13"/>
  <c r="U31" i="13"/>
  <c r="AA31" i="13"/>
  <c r="AA11" i="13"/>
  <c r="T55" i="13"/>
  <c r="U15" i="13"/>
  <c r="U37" i="13"/>
  <c r="U70" i="13"/>
  <c r="AB30" i="13"/>
  <c r="J59" i="13"/>
  <c r="M59" i="13"/>
  <c r="P57" i="13"/>
  <c r="V53" i="13"/>
  <c r="H21" i="13"/>
  <c r="R57" i="13"/>
  <c r="U12" i="13"/>
  <c r="J30" i="13"/>
  <c r="I24" i="13"/>
  <c r="J48" i="13"/>
  <c r="V72" i="13"/>
  <c r="J24" i="13"/>
  <c r="AB53" i="13"/>
  <c r="AB41" i="13"/>
  <c r="C72" i="13"/>
  <c r="H27" i="13"/>
  <c r="U52" i="13"/>
  <c r="J19" i="13"/>
  <c r="V38" i="13"/>
  <c r="C13" i="13"/>
  <c r="I6" i="13"/>
  <c r="S14" i="13"/>
  <c r="Q31" i="13"/>
  <c r="J12" i="13"/>
  <c r="W25" i="13"/>
  <c r="Q19" i="13"/>
  <c r="S18" i="13"/>
  <c r="AB51" i="13"/>
  <c r="R67" i="13"/>
  <c r="U20" i="13"/>
  <c r="J75" i="13"/>
  <c r="Q75" i="13"/>
  <c r="U40" i="13"/>
  <c r="W28" i="13"/>
  <c r="S21" i="13"/>
  <c r="V56" i="13"/>
  <c r="U18" i="13"/>
  <c r="H33" i="13"/>
  <c r="U55" i="13"/>
  <c r="P49" i="13"/>
  <c r="AA76" i="13"/>
  <c r="V58" i="13"/>
  <c r="Q69" i="13"/>
  <c r="H70" i="13"/>
  <c r="P36" i="13"/>
  <c r="C59" i="13"/>
  <c r="H49" i="13"/>
  <c r="H59" i="12"/>
  <c r="P58" i="13"/>
  <c r="W55" i="13"/>
  <c r="U27" i="13"/>
  <c r="AB75" i="13"/>
  <c r="T19" i="13"/>
  <c r="S10" i="13"/>
  <c r="AA13" i="13"/>
  <c r="J27" i="13"/>
  <c r="AB12" i="13"/>
  <c r="R29" i="13"/>
  <c r="J50" i="13"/>
  <c r="I29" i="13"/>
  <c r="W35" i="13"/>
  <c r="Q55" i="13"/>
  <c r="AB33" i="13"/>
  <c r="AA19" i="13"/>
  <c r="P31" i="13"/>
  <c r="M19" i="13"/>
  <c r="AB72" i="13"/>
  <c r="W12" i="13"/>
  <c r="P4" i="13"/>
  <c r="AB23" i="13"/>
  <c r="P70" i="13"/>
  <c r="AB11" i="13"/>
  <c r="P34" i="13"/>
  <c r="U35" i="13"/>
  <c r="H76" i="13"/>
  <c r="V18" i="13"/>
  <c r="M38" i="13"/>
  <c r="W21" i="13"/>
  <c r="V67" i="13"/>
  <c r="C27" i="13"/>
  <c r="H38" i="13"/>
  <c r="I41" i="13"/>
  <c r="W69" i="13"/>
  <c r="P11" i="13"/>
  <c r="R54" i="13"/>
  <c r="I59" i="13"/>
  <c r="AA10" i="13"/>
  <c r="R36" i="13"/>
  <c r="R17" i="13"/>
  <c r="AA4" i="13"/>
  <c r="R5" i="12"/>
  <c r="S12" i="12"/>
  <c r="C18" i="12"/>
  <c r="T24" i="12"/>
  <c r="AB30" i="12"/>
  <c r="T36" i="12"/>
  <c r="J42" i="12"/>
  <c r="AA52" i="12"/>
  <c r="T58" i="12"/>
  <c r="P7" i="12"/>
  <c r="H13" i="12"/>
  <c r="P19" i="12"/>
  <c r="S25" i="12"/>
  <c r="P31" i="12"/>
  <c r="AB37" i="12"/>
  <c r="P43" i="12"/>
  <c r="J53" i="12"/>
  <c r="H8" i="12"/>
  <c r="T14" i="12"/>
  <c r="S20" i="12"/>
  <c r="S26" i="12"/>
  <c r="T32" i="12"/>
  <c r="T38" i="12"/>
  <c r="J54" i="12"/>
  <c r="P61" i="12"/>
  <c r="Q75" i="12"/>
  <c r="U9" i="12"/>
  <c r="P15" i="12"/>
  <c r="P21" i="12"/>
  <c r="W33" i="12"/>
  <c r="V39" i="12"/>
  <c r="AB49" i="12"/>
  <c r="P55" i="12"/>
  <c r="AB69" i="12"/>
  <c r="AB4" i="11"/>
  <c r="AB76" i="12"/>
  <c r="R10" i="12"/>
  <c r="I16" i="12"/>
  <c r="P22" i="12"/>
  <c r="P28" i="12"/>
  <c r="T34" i="12"/>
  <c r="R50" i="12"/>
  <c r="T56" i="12"/>
  <c r="R6" i="12"/>
  <c r="S77" i="12"/>
  <c r="S4" i="12"/>
  <c r="Q11" i="12"/>
  <c r="J17" i="12"/>
  <c r="AB23" i="12"/>
  <c r="J29" i="12"/>
  <c r="M35" i="12"/>
  <c r="J41" i="12"/>
  <c r="T51" i="12"/>
  <c r="AA57" i="12"/>
  <c r="AA31" i="12"/>
  <c r="AB20" i="12"/>
  <c r="AB59" i="12"/>
  <c r="I76" i="12"/>
  <c r="U6" i="12"/>
  <c r="AB14" i="12"/>
  <c r="AA41" i="12"/>
  <c r="W55" i="12"/>
  <c r="I12" i="12"/>
  <c r="T53" i="12"/>
  <c r="H12" i="12"/>
  <c r="C28" i="12"/>
  <c r="V53" i="12"/>
  <c r="J69" i="12"/>
  <c r="C12" i="12"/>
  <c r="U12" i="12"/>
  <c r="AB12" i="12"/>
  <c r="H28" i="12"/>
  <c r="C33" i="12"/>
  <c r="AA53" i="12"/>
  <c r="V77" i="12"/>
  <c r="M69" i="12"/>
  <c r="AB9" i="12"/>
  <c r="J24" i="12"/>
  <c r="I7" i="12"/>
  <c r="M24" i="12"/>
  <c r="W50" i="12"/>
  <c r="H17" i="12"/>
  <c r="V58" i="12"/>
  <c r="R75" i="12"/>
  <c r="H50" i="12"/>
  <c r="J7" i="12"/>
  <c r="U24" i="12"/>
  <c r="AB50" i="12"/>
  <c r="AA7" i="12"/>
  <c r="S17" i="12"/>
  <c r="W24" i="12"/>
  <c r="T37" i="12"/>
  <c r="C30" i="12"/>
  <c r="C52" i="12"/>
  <c r="AB55" i="12"/>
  <c r="J12" i="12"/>
  <c r="H30" i="12"/>
  <c r="AA71" i="12"/>
  <c r="AA4" i="12"/>
  <c r="W9" i="12"/>
  <c r="T12" i="12"/>
  <c r="V19" i="12"/>
  <c r="I30" i="12"/>
  <c r="S39" i="12"/>
  <c r="U77" i="12"/>
  <c r="W19" i="12"/>
  <c r="M30" i="12"/>
  <c r="V12" i="12"/>
  <c r="C16" i="12"/>
  <c r="AA19" i="12"/>
  <c r="C24" i="12"/>
  <c r="Q30" i="12"/>
  <c r="P69" i="12"/>
  <c r="W12" i="12"/>
  <c r="U16" i="12"/>
  <c r="I24" i="12"/>
  <c r="U53" i="12"/>
  <c r="AA9" i="12"/>
  <c r="M12" i="12"/>
  <c r="H24" i="12"/>
  <c r="J30" i="12"/>
  <c r="AB38" i="12"/>
  <c r="U58" i="12"/>
  <c r="S6" i="12"/>
  <c r="T77" i="12"/>
  <c r="M19" i="12"/>
  <c r="H71" i="12"/>
  <c r="C19" i="12"/>
  <c r="T4" i="12"/>
  <c r="AB7" i="12"/>
  <c r="AA12" i="12"/>
  <c r="H16" i="12"/>
  <c r="R19" i="12"/>
  <c r="V24" i="12"/>
  <c r="C31" i="12"/>
  <c r="T71" i="12"/>
  <c r="S75" i="12"/>
  <c r="AA78" i="12"/>
  <c r="Q69" i="12"/>
  <c r="U4" i="12"/>
  <c r="S19" i="12"/>
  <c r="C60" i="12"/>
  <c r="U71" i="12"/>
  <c r="AB75" i="12"/>
  <c r="R69" i="12"/>
  <c r="V4" i="12"/>
  <c r="T19" i="12"/>
  <c r="AB56" i="12"/>
  <c r="AB60" i="12"/>
  <c r="V71" i="12"/>
  <c r="S69" i="12"/>
  <c r="W4" i="12"/>
  <c r="AA8" i="12"/>
  <c r="U19" i="12"/>
  <c r="R37" i="12"/>
  <c r="W41" i="12"/>
  <c r="C50" i="12"/>
  <c r="W71" i="12"/>
  <c r="H14" i="12"/>
  <c r="P16" i="12"/>
  <c r="Q17" i="12"/>
  <c r="R18" i="12"/>
  <c r="C23" i="12"/>
  <c r="AA24" i="12"/>
  <c r="AA28" i="12"/>
  <c r="J18" i="12"/>
  <c r="M16" i="12"/>
  <c r="P17" i="12"/>
  <c r="P18" i="12"/>
  <c r="I14" i="12"/>
  <c r="Q16" i="12"/>
  <c r="R17" i="12"/>
  <c r="H23" i="12"/>
  <c r="AB24" i="12"/>
  <c r="AB28" i="12"/>
  <c r="H43" i="12"/>
  <c r="V16" i="12"/>
  <c r="T17" i="12"/>
  <c r="I31" i="12"/>
  <c r="V15" i="12"/>
  <c r="AA16" i="12"/>
  <c r="V17" i="12"/>
  <c r="W21" i="12"/>
  <c r="W16" i="12"/>
  <c r="U17" i="12"/>
  <c r="AB16" i="12"/>
  <c r="W17" i="12"/>
  <c r="AA21" i="12"/>
  <c r="AB21" i="12"/>
  <c r="U32" i="12"/>
  <c r="M17" i="12"/>
  <c r="M18" i="12"/>
  <c r="M29" i="12"/>
  <c r="C74" i="12"/>
  <c r="Q18" i="12"/>
  <c r="Q29" i="12"/>
  <c r="C36" i="12"/>
  <c r="S37" i="12"/>
  <c r="P49" i="12"/>
  <c r="W53" i="12"/>
  <c r="I74" i="12"/>
  <c r="T75" i="12"/>
  <c r="I13" i="12"/>
  <c r="M13" i="12"/>
  <c r="Q13" i="12"/>
  <c r="R29" i="12"/>
  <c r="R13" i="12"/>
  <c r="S29" i="12"/>
  <c r="I36" i="12"/>
  <c r="C53" i="12"/>
  <c r="T74" i="12"/>
  <c r="J74" i="12"/>
  <c r="U74" i="12"/>
  <c r="C5" i="12"/>
  <c r="AB11" i="12"/>
  <c r="T13" i="12"/>
  <c r="AB15" i="12"/>
  <c r="U29" i="12"/>
  <c r="R30" i="12"/>
  <c r="U36" i="12"/>
  <c r="C38" i="12"/>
  <c r="I43" i="12"/>
  <c r="M53" i="12"/>
  <c r="AB57" i="12"/>
  <c r="V74" i="12"/>
  <c r="H29" i="12"/>
  <c r="P13" i="12"/>
  <c r="W13" i="12"/>
  <c r="J19" i="12"/>
  <c r="V29" i="12"/>
  <c r="S30" i="12"/>
  <c r="V36" i="12"/>
  <c r="U38" i="12"/>
  <c r="C41" i="12"/>
  <c r="W43" i="12"/>
  <c r="P53" i="12"/>
  <c r="W74" i="12"/>
  <c r="T69" i="12"/>
  <c r="P29" i="12"/>
  <c r="S13" i="12"/>
  <c r="C9" i="12"/>
  <c r="AA13" i="12"/>
  <c r="W29" i="12"/>
  <c r="W30" i="12"/>
  <c r="W36" i="12"/>
  <c r="V38" i="12"/>
  <c r="T41" i="12"/>
  <c r="AB43" i="12"/>
  <c r="Q53" i="12"/>
  <c r="H55" i="12"/>
  <c r="AA74" i="12"/>
  <c r="U69" i="12"/>
  <c r="J13" i="12"/>
  <c r="H74" i="12"/>
  <c r="H36" i="12"/>
  <c r="T29" i="12"/>
  <c r="C7" i="12"/>
  <c r="H9" i="12"/>
  <c r="AB13" i="12"/>
  <c r="Q19" i="12"/>
  <c r="AA29" i="12"/>
  <c r="AA36" i="12"/>
  <c r="W38" i="12"/>
  <c r="U41" i="12"/>
  <c r="R53" i="12"/>
  <c r="I55" i="12"/>
  <c r="S58" i="12"/>
  <c r="T61" i="12"/>
  <c r="W72" i="12"/>
  <c r="AB74" i="12"/>
  <c r="Q77" i="12"/>
  <c r="V69" i="12"/>
  <c r="J36" i="12"/>
  <c r="H53" i="12"/>
  <c r="H7" i="12"/>
  <c r="V9" i="12"/>
  <c r="C13" i="12"/>
  <c r="H18" i="12"/>
  <c r="C21" i="12"/>
  <c r="C29" i="12"/>
  <c r="AB36" i="12"/>
  <c r="AA38" i="12"/>
  <c r="V41" i="12"/>
  <c r="U51" i="12"/>
  <c r="S53" i="12"/>
  <c r="J55" i="12"/>
  <c r="U61" i="12"/>
  <c r="H31" i="12"/>
  <c r="AB31" i="12"/>
  <c r="AB32" i="12"/>
  <c r="C43" i="12"/>
  <c r="AA43" i="12"/>
  <c r="Q49" i="12"/>
  <c r="AA50" i="12"/>
  <c r="V51" i="12"/>
  <c r="C55" i="12"/>
  <c r="AA55" i="12"/>
  <c r="T6" i="12"/>
  <c r="AA72" i="12"/>
  <c r="J31" i="12"/>
  <c r="J23" i="12"/>
  <c r="H57" i="12"/>
  <c r="I9" i="12"/>
  <c r="M23" i="12"/>
  <c r="Q31" i="12"/>
  <c r="J32" i="12"/>
  <c r="M43" i="12"/>
  <c r="I50" i="12"/>
  <c r="J51" i="12"/>
  <c r="M55" i="12"/>
  <c r="I56" i="12"/>
  <c r="I57" i="12"/>
  <c r="J60" i="12"/>
  <c r="C71" i="12"/>
  <c r="I8" i="12"/>
  <c r="M31" i="12"/>
  <c r="M32" i="12"/>
  <c r="Q43" i="12"/>
  <c r="Q55" i="12"/>
  <c r="J56" i="12"/>
  <c r="J57" i="12"/>
  <c r="R23" i="12"/>
  <c r="P36" i="12"/>
  <c r="H37" i="12"/>
  <c r="I38" i="12"/>
  <c r="J39" i="12"/>
  <c r="M41" i="12"/>
  <c r="C42" i="12"/>
  <c r="M50" i="12"/>
  <c r="P51" i="12"/>
  <c r="R55" i="12"/>
  <c r="M56" i="12"/>
  <c r="T57" i="12"/>
  <c r="T60" i="12"/>
  <c r="M71" i="12"/>
  <c r="C72" i="12"/>
  <c r="J76" i="12"/>
  <c r="I60" i="12"/>
  <c r="Q7" i="12"/>
  <c r="R31" i="12"/>
  <c r="S60" i="12"/>
  <c r="S31" i="12"/>
  <c r="R43" i="12"/>
  <c r="H5" i="12"/>
  <c r="R8" i="12"/>
  <c r="P12" i="12"/>
  <c r="V23" i="12"/>
  <c r="Q24" i="12"/>
  <c r="AA30" i="12"/>
  <c r="T31" i="12"/>
  <c r="Q32" i="12"/>
  <c r="Q36" i="12"/>
  <c r="I37" i="12"/>
  <c r="J38" i="12"/>
  <c r="M39" i="12"/>
  <c r="P41" i="12"/>
  <c r="W42" i="12"/>
  <c r="S43" i="12"/>
  <c r="C49" i="12"/>
  <c r="S50" i="12"/>
  <c r="Q51" i="12"/>
  <c r="S55" i="12"/>
  <c r="Q56" i="12"/>
  <c r="U57" i="12"/>
  <c r="U60" i="12"/>
  <c r="P71" i="12"/>
  <c r="M72" i="12"/>
  <c r="M74" i="12"/>
  <c r="I75" i="12"/>
  <c r="M76" i="12"/>
  <c r="W69" i="12"/>
  <c r="C4" i="12"/>
  <c r="M8" i="12"/>
  <c r="Q8" i="12"/>
  <c r="P24" i="12"/>
  <c r="P4" i="12"/>
  <c r="T7" i="12"/>
  <c r="P9" i="12"/>
  <c r="C11" i="12"/>
  <c r="Q4" i="12"/>
  <c r="AB5" i="12"/>
  <c r="U7" i="12"/>
  <c r="S8" i="12"/>
  <c r="S9" i="12"/>
  <c r="H11" i="12"/>
  <c r="Q12" i="12"/>
  <c r="AA17" i="12"/>
  <c r="H19" i="12"/>
  <c r="AB19" i="12"/>
  <c r="U22" i="12"/>
  <c r="W23" i="12"/>
  <c r="R24" i="12"/>
  <c r="C26" i="12"/>
  <c r="U31" i="12"/>
  <c r="R32" i="12"/>
  <c r="C35" i="12"/>
  <c r="R36" i="12"/>
  <c r="M37" i="12"/>
  <c r="M38" i="12"/>
  <c r="P39" i="12"/>
  <c r="Q41" i="12"/>
  <c r="AA42" i="12"/>
  <c r="T43" i="12"/>
  <c r="H49" i="12"/>
  <c r="T50" i="12"/>
  <c r="R51" i="12"/>
  <c r="AA54" i="12"/>
  <c r="T55" i="12"/>
  <c r="R56" i="12"/>
  <c r="V57" i="12"/>
  <c r="R59" i="12"/>
  <c r="V60" i="12"/>
  <c r="Q71" i="12"/>
  <c r="P72" i="12"/>
  <c r="Q74" i="12"/>
  <c r="J75" i="12"/>
  <c r="T76" i="12"/>
  <c r="Q78" i="12"/>
  <c r="C69" i="12"/>
  <c r="AA69" i="12"/>
  <c r="C57" i="12"/>
  <c r="H60" i="12"/>
  <c r="J8" i="12"/>
  <c r="R7" i="12"/>
  <c r="J9" i="12"/>
  <c r="P23" i="12"/>
  <c r="M4" i="12"/>
  <c r="S7" i="12"/>
  <c r="M9" i="12"/>
  <c r="P32" i="12"/>
  <c r="R4" i="12"/>
  <c r="V7" i="12"/>
  <c r="T8" i="12"/>
  <c r="T9" i="12"/>
  <c r="I11" i="12"/>
  <c r="R12" i="12"/>
  <c r="C17" i="12"/>
  <c r="I19" i="12"/>
  <c r="V22" i="12"/>
  <c r="AA23" i="12"/>
  <c r="S24" i="12"/>
  <c r="AB26" i="12"/>
  <c r="V31" i="12"/>
  <c r="S32" i="12"/>
  <c r="AA35" i="12"/>
  <c r="S36" i="12"/>
  <c r="P37" i="12"/>
  <c r="S38" i="12"/>
  <c r="Q39" i="12"/>
  <c r="R41" i="12"/>
  <c r="AB42" i="12"/>
  <c r="U43" i="12"/>
  <c r="J49" i="12"/>
  <c r="U50" i="12"/>
  <c r="S51" i="12"/>
  <c r="AB54" i="12"/>
  <c r="U55" i="12"/>
  <c r="S56" i="12"/>
  <c r="W57" i="12"/>
  <c r="W59" i="12"/>
  <c r="W60" i="12"/>
  <c r="R71" i="12"/>
  <c r="Q72" i="12"/>
  <c r="R74" i="12"/>
  <c r="M75" i="12"/>
  <c r="U76" i="12"/>
  <c r="V78" i="12"/>
  <c r="H69" i="12"/>
  <c r="M7" i="12"/>
  <c r="I32" i="12"/>
  <c r="J43" i="12"/>
  <c r="M36" i="12"/>
  <c r="H38" i="12"/>
  <c r="H41" i="12"/>
  <c r="J50" i="12"/>
  <c r="M51" i="12"/>
  <c r="W7" i="12"/>
  <c r="U8" i="12"/>
  <c r="AA11" i="12"/>
  <c r="C14" i="12"/>
  <c r="W22" i="12"/>
  <c r="W31" i="12"/>
  <c r="AB35" i="12"/>
  <c r="Q37" i="12"/>
  <c r="R39" i="12"/>
  <c r="S41" i="12"/>
  <c r="V43" i="12"/>
  <c r="M49" i="12"/>
  <c r="V50" i="12"/>
  <c r="V55" i="12"/>
  <c r="AA59" i="12"/>
  <c r="AA60" i="12"/>
  <c r="S71" i="12"/>
  <c r="R72" i="12"/>
  <c r="S74" i="12"/>
  <c r="V76" i="12"/>
  <c r="T40" i="12"/>
  <c r="S40" i="12"/>
  <c r="R40" i="12"/>
  <c r="H33" i="12"/>
  <c r="H25" i="12"/>
  <c r="J10" i="12"/>
  <c r="I15" i="12"/>
  <c r="I20" i="12"/>
  <c r="I25" i="12"/>
  <c r="AB27" i="12"/>
  <c r="I27" i="12"/>
  <c r="AA27" i="12"/>
  <c r="H27" i="12"/>
  <c r="W27" i="12"/>
  <c r="C27" i="12"/>
  <c r="I5" i="12"/>
  <c r="M10" i="12"/>
  <c r="M14" i="12"/>
  <c r="J15" i="12"/>
  <c r="J26" i="12"/>
  <c r="I28" i="12"/>
  <c r="H54" i="12"/>
  <c r="M11" i="12"/>
  <c r="Q25" i="12"/>
  <c r="U78" i="12"/>
  <c r="T78" i="12"/>
  <c r="R78" i="12"/>
  <c r="S78" i="12"/>
  <c r="AB78" i="12"/>
  <c r="I78" i="12"/>
  <c r="P11" i="12"/>
  <c r="S14" i="12"/>
  <c r="S16" i="12"/>
  <c r="R16" i="12"/>
  <c r="W18" i="12"/>
  <c r="P20" i="12"/>
  <c r="J21" i="12"/>
  <c r="M22" i="12"/>
  <c r="U23" i="12"/>
  <c r="T23" i="12"/>
  <c r="S23" i="12"/>
  <c r="R25" i="12"/>
  <c r="Q27" i="12"/>
  <c r="M28" i="12"/>
  <c r="T33" i="12"/>
  <c r="R34" i="12"/>
  <c r="AA37" i="12"/>
  <c r="T39" i="12"/>
  <c r="U40" i="12"/>
  <c r="R49" i="12"/>
  <c r="U52" i="12"/>
  <c r="AA56" i="12"/>
  <c r="H56" i="12"/>
  <c r="W56" i="12"/>
  <c r="C56" i="12"/>
  <c r="V56" i="12"/>
  <c r="U56" i="12"/>
  <c r="C59" i="12"/>
  <c r="J61" i="12"/>
  <c r="AA76" i="12"/>
  <c r="J77" i="12"/>
  <c r="AB77" i="12"/>
  <c r="I77" i="12"/>
  <c r="W77" i="12"/>
  <c r="AA77" i="12"/>
  <c r="H77" i="12"/>
  <c r="C77" i="12"/>
  <c r="R77" i="12"/>
  <c r="AB10" i="12"/>
  <c r="I10" i="12"/>
  <c r="AA10" i="12"/>
  <c r="H10" i="12"/>
  <c r="I40" i="12"/>
  <c r="J25" i="12"/>
  <c r="R26" i="12"/>
  <c r="Q26" i="12"/>
  <c r="P26" i="12"/>
  <c r="C34" i="12"/>
  <c r="J5" i="12"/>
  <c r="AA15" i="12"/>
  <c r="H15" i="12"/>
  <c r="W15" i="12"/>
  <c r="C15" i="12"/>
  <c r="M25" i="12"/>
  <c r="I26" i="12"/>
  <c r="J27" i="12"/>
  <c r="U35" i="12"/>
  <c r="T35" i="12"/>
  <c r="S35" i="12"/>
  <c r="V54" i="12"/>
  <c r="U54" i="12"/>
  <c r="S54" i="12"/>
  <c r="T54" i="12"/>
  <c r="Q10" i="12"/>
  <c r="M27" i="12"/>
  <c r="M33" i="12"/>
  <c r="I35" i="12"/>
  <c r="P40" i="12"/>
  <c r="V42" i="12"/>
  <c r="U42" i="12"/>
  <c r="T42" i="12"/>
  <c r="M52" i="12"/>
  <c r="R14" i="12"/>
  <c r="S18" i="12"/>
  <c r="P33" i="12"/>
  <c r="J35" i="12"/>
  <c r="I42" i="12"/>
  <c r="P52" i="12"/>
  <c r="J58" i="12"/>
  <c r="AB58" i="12"/>
  <c r="I58" i="12"/>
  <c r="C58" i="12"/>
  <c r="AA58" i="12"/>
  <c r="H58" i="12"/>
  <c r="W58" i="12"/>
  <c r="AB6" i="12"/>
  <c r="I6" i="12"/>
  <c r="AA6" i="12"/>
  <c r="H6" i="12"/>
  <c r="W6" i="12"/>
  <c r="C6" i="12"/>
  <c r="V6" i="12"/>
  <c r="Q5" i="12"/>
  <c r="AB8" i="12"/>
  <c r="S10" i="12"/>
  <c r="T10" i="12"/>
  <c r="Q15" i="12"/>
  <c r="J16" i="12"/>
  <c r="AA18" i="12"/>
  <c r="Q20" i="12"/>
  <c r="M21" i="12"/>
  <c r="I23" i="12"/>
  <c r="T26" i="12"/>
  <c r="R27" i="12"/>
  <c r="V30" i="12"/>
  <c r="U30" i="12"/>
  <c r="T30" i="12"/>
  <c r="U33" i="12"/>
  <c r="S34" i="12"/>
  <c r="P35" i="12"/>
  <c r="U39" i="12"/>
  <c r="V40" i="12"/>
  <c r="M42" i="12"/>
  <c r="W49" i="12"/>
  <c r="V52" i="12"/>
  <c r="M54" i="12"/>
  <c r="S57" i="12"/>
  <c r="R57" i="12"/>
  <c r="Q57" i="12"/>
  <c r="P57" i="12"/>
  <c r="M61" i="12"/>
  <c r="C78" i="12"/>
  <c r="W25" i="12"/>
  <c r="C25" i="12"/>
  <c r="V25" i="12"/>
  <c r="U25" i="12"/>
  <c r="H52" i="12"/>
  <c r="U5" i="12"/>
  <c r="T5" i="12"/>
  <c r="Q14" i="12"/>
  <c r="P14" i="12"/>
  <c r="P10" i="12"/>
  <c r="T11" i="12"/>
  <c r="S11" i="12"/>
  <c r="J14" i="12"/>
  <c r="T28" i="12"/>
  <c r="S28" i="12"/>
  <c r="R28" i="12"/>
  <c r="M40" i="12"/>
  <c r="J52" i="12"/>
  <c r="C54" i="12"/>
  <c r="J11" i="12"/>
  <c r="J20" i="12"/>
  <c r="H21" i="12"/>
  <c r="J22" i="12"/>
  <c r="AB22" i="12"/>
  <c r="I22" i="12"/>
  <c r="AA22" i="12"/>
  <c r="H22" i="12"/>
  <c r="P25" i="12"/>
  <c r="H42" i="12"/>
  <c r="V59" i="12"/>
  <c r="U59" i="12"/>
  <c r="T59" i="12"/>
  <c r="S59" i="12"/>
  <c r="P5" i="12"/>
  <c r="M15" i="12"/>
  <c r="M20" i="12"/>
  <c r="I21" i="12"/>
  <c r="C22" i="12"/>
  <c r="M26" i="12"/>
  <c r="P27" i="12"/>
  <c r="J28" i="12"/>
  <c r="Q34" i="12"/>
  <c r="Q40" i="12"/>
  <c r="I54" i="12"/>
  <c r="S5" i="12"/>
  <c r="W8" i="12"/>
  <c r="C8" i="12"/>
  <c r="V8" i="12"/>
  <c r="U10" i="12"/>
  <c r="R11" i="12"/>
  <c r="U14" i="12"/>
  <c r="R15" i="12"/>
  <c r="AB18" i="12"/>
  <c r="R20" i="12"/>
  <c r="Q22" i="12"/>
  <c r="T25" i="12"/>
  <c r="U26" i="12"/>
  <c r="S27" i="12"/>
  <c r="Q28" i="12"/>
  <c r="V33" i="12"/>
  <c r="Q35" i="12"/>
  <c r="W40" i="12"/>
  <c r="P42" i="12"/>
  <c r="AA49" i="12"/>
  <c r="W52" i="12"/>
  <c r="P54" i="12"/>
  <c r="M58" i="12"/>
  <c r="J59" i="12"/>
  <c r="J6" i="12"/>
  <c r="V72" i="12"/>
  <c r="U72" i="12"/>
  <c r="T72" i="12"/>
  <c r="S72" i="12"/>
  <c r="J72" i="12"/>
  <c r="H78" i="12"/>
  <c r="C10" i="12"/>
  <c r="J34" i="12"/>
  <c r="AB34" i="12"/>
  <c r="I34" i="12"/>
  <c r="AA34" i="12"/>
  <c r="H34" i="12"/>
  <c r="H26" i="12"/>
  <c r="I33" i="12"/>
  <c r="J40" i="12"/>
  <c r="I52" i="12"/>
  <c r="AB61" i="12"/>
  <c r="I61" i="12"/>
  <c r="AA61" i="12"/>
  <c r="H61" i="12"/>
  <c r="W61" i="12"/>
  <c r="C61" i="12"/>
  <c r="V61" i="12"/>
  <c r="M5" i="12"/>
  <c r="S21" i="12"/>
  <c r="R21" i="12"/>
  <c r="Q21" i="12"/>
  <c r="P34" i="12"/>
  <c r="V5" i="12"/>
  <c r="V10" i="12"/>
  <c r="U11" i="12"/>
  <c r="V14" i="12"/>
  <c r="S15" i="12"/>
  <c r="T21" i="12"/>
  <c r="R22" i="12"/>
  <c r="AA25" i="12"/>
  <c r="V26" i="12"/>
  <c r="T27" i="12"/>
  <c r="U28" i="12"/>
  <c r="U34" i="12"/>
  <c r="R35" i="12"/>
  <c r="W37" i="12"/>
  <c r="C37" i="12"/>
  <c r="V37" i="12"/>
  <c r="U37" i="12"/>
  <c r="AA40" i="12"/>
  <c r="Q42" i="12"/>
  <c r="Q54" i="12"/>
  <c r="P58" i="12"/>
  <c r="M59" i="12"/>
  <c r="Q61" i="12"/>
  <c r="M6" i="12"/>
  <c r="S76" i="12"/>
  <c r="R76" i="12"/>
  <c r="P76" i="12"/>
  <c r="Q76" i="12"/>
  <c r="W76" i="12"/>
  <c r="C76" i="12"/>
  <c r="J78" i="12"/>
  <c r="H72" i="12"/>
  <c r="AA75" i="12"/>
  <c r="H75" i="12"/>
  <c r="W75" i="12"/>
  <c r="C75" i="12"/>
  <c r="V75" i="12"/>
  <c r="U75" i="12"/>
  <c r="P75" i="12"/>
  <c r="M77" i="12"/>
  <c r="M78" i="12"/>
  <c r="H40" i="12"/>
  <c r="T52" i="12"/>
  <c r="S52" i="12"/>
  <c r="Q52" i="12"/>
  <c r="R52" i="12"/>
  <c r="S33" i="12"/>
  <c r="R33" i="12"/>
  <c r="Q33" i="12"/>
  <c r="AA20" i="12"/>
  <c r="H20" i="12"/>
  <c r="W20" i="12"/>
  <c r="C20" i="12"/>
  <c r="V20" i="12"/>
  <c r="J33" i="12"/>
  <c r="M34" i="12"/>
  <c r="H35" i="12"/>
  <c r="W5" i="12"/>
  <c r="W10" i="12"/>
  <c r="V11" i="12"/>
  <c r="W14" i="12"/>
  <c r="T15" i="12"/>
  <c r="V18" i="12"/>
  <c r="U18" i="12"/>
  <c r="T18" i="12"/>
  <c r="T20" i="12"/>
  <c r="U21" i="12"/>
  <c r="S22" i="12"/>
  <c r="AB25" i="12"/>
  <c r="W26" i="12"/>
  <c r="U27" i="12"/>
  <c r="V28" i="12"/>
  <c r="AA33" i="12"/>
  <c r="V34" i="12"/>
  <c r="V35" i="12"/>
  <c r="AB39" i="12"/>
  <c r="I39" i="12"/>
  <c r="AA39" i="12"/>
  <c r="H39" i="12"/>
  <c r="W39" i="12"/>
  <c r="C39" i="12"/>
  <c r="AB40" i="12"/>
  <c r="R42" i="12"/>
  <c r="V49" i="12"/>
  <c r="U49" i="12"/>
  <c r="T49" i="12"/>
  <c r="S49" i="12"/>
  <c r="AB52" i="12"/>
  <c r="R54" i="12"/>
  <c r="Q58" i="12"/>
  <c r="P59" i="12"/>
  <c r="R61" i="12"/>
  <c r="P6" i="12"/>
  <c r="J4" i="12"/>
  <c r="H4" i="12"/>
  <c r="AB4" i="12"/>
  <c r="AA5" i="12"/>
  <c r="P8" i="12"/>
  <c r="R9" i="12"/>
  <c r="Q9" i="12"/>
  <c r="W11" i="12"/>
  <c r="V13" i="12"/>
  <c r="U13" i="12"/>
  <c r="AA14" i="12"/>
  <c r="U15" i="12"/>
  <c r="T16" i="12"/>
  <c r="I18" i="12"/>
  <c r="U20" i="12"/>
  <c r="V21" i="12"/>
  <c r="T22" i="12"/>
  <c r="Q23" i="12"/>
  <c r="AA26" i="12"/>
  <c r="V27" i="12"/>
  <c r="W28" i="12"/>
  <c r="P30" i="12"/>
  <c r="AA32" i="12"/>
  <c r="H32" i="12"/>
  <c r="W32" i="12"/>
  <c r="C32" i="12"/>
  <c r="V32" i="12"/>
  <c r="AB33" i="12"/>
  <c r="W34" i="12"/>
  <c r="W35" i="12"/>
  <c r="J37" i="12"/>
  <c r="R38" i="12"/>
  <c r="Q38" i="12"/>
  <c r="P38" i="12"/>
  <c r="C40" i="12"/>
  <c r="S42" i="12"/>
  <c r="AB51" i="12"/>
  <c r="I51" i="12"/>
  <c r="AA51" i="12"/>
  <c r="H51" i="12"/>
  <c r="W51" i="12"/>
  <c r="C51" i="12"/>
  <c r="W54" i="12"/>
  <c r="P56" i="12"/>
  <c r="M57" i="12"/>
  <c r="R58" i="12"/>
  <c r="Q59" i="12"/>
  <c r="S61" i="12"/>
  <c r="Q6" i="12"/>
  <c r="I72" i="12"/>
  <c r="H76" i="12"/>
  <c r="P77" i="12"/>
  <c r="P78" i="12"/>
  <c r="M60" i="12"/>
  <c r="I17" i="12"/>
  <c r="AB17" i="12"/>
  <c r="I29" i="12"/>
  <c r="AB29" i="12"/>
  <c r="I41" i="12"/>
  <c r="AB41" i="12"/>
  <c r="P50" i="12"/>
  <c r="I53" i="12"/>
  <c r="AB53" i="12"/>
  <c r="P60" i="12"/>
  <c r="I71" i="12"/>
  <c r="AB71" i="12"/>
  <c r="Q50" i="12"/>
  <c r="Q60" i="12"/>
  <c r="P4" i="11"/>
  <c r="Q4" i="11"/>
  <c r="S4" i="11"/>
  <c r="V4" i="11"/>
  <c r="R4" i="11"/>
  <c r="T4" i="11"/>
  <c r="U4" i="11"/>
  <c r="W4" i="11"/>
  <c r="AA4" i="11"/>
  <c r="C4" i="11"/>
  <c r="H4" i="11"/>
  <c r="AA57" i="11"/>
  <c r="P41" i="11"/>
  <c r="W18" i="11"/>
  <c r="AA37" i="11"/>
  <c r="AB43" i="11"/>
  <c r="V52" i="11"/>
  <c r="AA70" i="11"/>
  <c r="M77" i="11"/>
  <c r="H36" i="11"/>
  <c r="AA8" i="11"/>
  <c r="M31" i="11"/>
  <c r="T32" i="11"/>
  <c r="S38" i="11"/>
  <c r="AA53" i="11"/>
  <c r="T59" i="11"/>
  <c r="S71" i="11"/>
  <c r="AA78" i="11"/>
  <c r="Q49" i="11"/>
  <c r="AA24" i="11"/>
  <c r="W42" i="11"/>
  <c r="U57" i="11"/>
  <c r="S15" i="11"/>
  <c r="P58" i="11"/>
  <c r="AB16" i="11"/>
  <c r="Q21" i="11"/>
  <c r="M33" i="11"/>
  <c r="R76" i="10"/>
  <c r="AA39" i="11"/>
  <c r="AA54" i="11"/>
  <c r="J72" i="11"/>
  <c r="U79" i="11"/>
  <c r="Q11" i="11"/>
  <c r="V17" i="11"/>
  <c r="Q22" i="11"/>
  <c r="S28" i="11"/>
  <c r="Q34" i="11"/>
  <c r="P5" i="11"/>
  <c r="V35" i="11"/>
  <c r="P75" i="11"/>
  <c r="W7" i="11"/>
  <c r="W30" i="11"/>
  <c r="Q51" i="11"/>
  <c r="S19" i="11"/>
  <c r="U9" i="11"/>
  <c r="S26" i="11"/>
  <c r="S10" i="11"/>
  <c r="U27" i="11"/>
  <c r="C75" i="10"/>
  <c r="W35" i="11"/>
  <c r="U40" i="11"/>
  <c r="S55" i="11"/>
  <c r="Q61" i="11"/>
  <c r="U73" i="11"/>
  <c r="W56" i="11"/>
  <c r="W76" i="11"/>
  <c r="AA25" i="11"/>
  <c r="W20" i="11"/>
  <c r="V12" i="11"/>
  <c r="S6" i="11"/>
  <c r="V23" i="11"/>
  <c r="AB29" i="11"/>
  <c r="W50" i="11"/>
  <c r="W11" i="11"/>
  <c r="AB34" i="11"/>
  <c r="M39" i="11"/>
  <c r="W24" i="11"/>
  <c r="AB15" i="11"/>
  <c r="AA20" i="11"/>
  <c r="AB41" i="11"/>
  <c r="J33" i="11"/>
  <c r="AB11" i="11"/>
  <c r="S43" i="11"/>
  <c r="I70" i="11"/>
  <c r="U33" i="11"/>
  <c r="W37" i="11"/>
  <c r="V50" i="11"/>
  <c r="V72" i="11"/>
  <c r="V15" i="11"/>
  <c r="W72" i="11"/>
  <c r="AB26" i="11"/>
  <c r="AB35" i="11"/>
  <c r="AA22" i="11"/>
  <c r="AA32" i="11"/>
  <c r="V40" i="11"/>
  <c r="AB22" i="11"/>
  <c r="C29" i="11"/>
  <c r="I29" i="11"/>
  <c r="AA9" i="11"/>
  <c r="V6" i="11"/>
  <c r="J29" i="11"/>
  <c r="AB9" i="11"/>
  <c r="W6" i="11"/>
  <c r="W5" i="11"/>
  <c r="S5" i="11"/>
  <c r="AB6" i="11"/>
  <c r="U22" i="11"/>
  <c r="V26" i="11"/>
  <c r="AB5" i="11"/>
  <c r="H61" i="11"/>
  <c r="V76" i="11"/>
  <c r="H20" i="11"/>
  <c r="T38" i="11"/>
  <c r="AA51" i="11"/>
  <c r="T61" i="11"/>
  <c r="AA76" i="11"/>
  <c r="J20" i="11"/>
  <c r="AB23" i="11"/>
  <c r="C35" i="11"/>
  <c r="V38" i="11"/>
  <c r="T57" i="11"/>
  <c r="Q72" i="11"/>
  <c r="J9" i="11"/>
  <c r="M20" i="11"/>
  <c r="U35" i="11"/>
  <c r="V57" i="11"/>
  <c r="U72" i="11"/>
  <c r="W9" i="11"/>
  <c r="AA11" i="11"/>
  <c r="AB19" i="11"/>
  <c r="W22" i="11"/>
  <c r="AB37" i="11"/>
  <c r="AA40" i="11"/>
  <c r="AB51" i="11"/>
  <c r="W59" i="11"/>
  <c r="T11" i="11"/>
  <c r="W12" i="11"/>
  <c r="AA16" i="11"/>
  <c r="V18" i="11"/>
  <c r="M24" i="11"/>
  <c r="M27" i="11"/>
  <c r="AA36" i="11"/>
  <c r="I43" i="11"/>
  <c r="V54" i="11"/>
  <c r="W61" i="11"/>
  <c r="U70" i="11"/>
  <c r="T12" i="11"/>
  <c r="S18" i="11"/>
  <c r="U61" i="11"/>
  <c r="M70" i="11"/>
  <c r="H11" i="11"/>
  <c r="U12" i="11"/>
  <c r="U18" i="11"/>
  <c r="U54" i="11"/>
  <c r="U11" i="11"/>
  <c r="AB12" i="11"/>
  <c r="AA18" i="11"/>
  <c r="P24" i="11"/>
  <c r="W27" i="11"/>
  <c r="H30" i="11"/>
  <c r="M43" i="11"/>
  <c r="AB54" i="11"/>
  <c r="AB58" i="11"/>
  <c r="AB61" i="11"/>
  <c r="V70" i="11"/>
  <c r="W79" i="11"/>
  <c r="R12" i="11"/>
  <c r="S12" i="11"/>
  <c r="V61" i="11"/>
  <c r="S70" i="11"/>
  <c r="V11" i="11"/>
  <c r="R24" i="11"/>
  <c r="AB27" i="11"/>
  <c r="AA30" i="11"/>
  <c r="M34" i="11"/>
  <c r="T40" i="11"/>
  <c r="P43" i="11"/>
  <c r="W51" i="11"/>
  <c r="W75" i="11"/>
  <c r="AA79" i="11"/>
  <c r="H42" i="11"/>
  <c r="H5" i="11"/>
  <c r="R50" i="11"/>
  <c r="T73" i="11"/>
  <c r="AB77" i="11"/>
  <c r="Q50" i="11"/>
  <c r="S73" i="11"/>
  <c r="S7" i="11"/>
  <c r="R23" i="11"/>
  <c r="U7" i="11"/>
  <c r="S21" i="11"/>
  <c r="V25" i="11"/>
  <c r="S37" i="11"/>
  <c r="J42" i="11"/>
  <c r="J5" i="11"/>
  <c r="S50" i="11"/>
  <c r="T52" i="11"/>
  <c r="V73" i="11"/>
  <c r="M50" i="11"/>
  <c r="T23" i="11"/>
  <c r="V7" i="11"/>
  <c r="U10" i="11"/>
  <c r="J6" i="11"/>
  <c r="U21" i="11"/>
  <c r="U23" i="11"/>
  <c r="W25" i="11"/>
  <c r="U37" i="11"/>
  <c r="V42" i="11"/>
  <c r="M5" i="11"/>
  <c r="T50" i="11"/>
  <c r="U52" i="11"/>
  <c r="H56" i="11"/>
  <c r="AB59" i="11"/>
  <c r="V71" i="11"/>
  <c r="AA73" i="11"/>
  <c r="H50" i="11"/>
  <c r="C23" i="11"/>
  <c r="AA7" i="11"/>
  <c r="W10" i="11"/>
  <c r="P12" i="11"/>
  <c r="Q6" i="11"/>
  <c r="AA19" i="11"/>
  <c r="W23" i="11"/>
  <c r="AB25" i="11"/>
  <c r="V37" i="11"/>
  <c r="S40" i="11"/>
  <c r="AA42" i="11"/>
  <c r="Q5" i="11"/>
  <c r="U50" i="11"/>
  <c r="AB78" i="11"/>
  <c r="H51" i="11"/>
  <c r="U59" i="11"/>
  <c r="R61" i="11"/>
  <c r="R71" i="11"/>
  <c r="H76" i="11"/>
  <c r="H79" i="11"/>
  <c r="T7" i="11"/>
  <c r="V9" i="11"/>
  <c r="I11" i="11"/>
  <c r="Q12" i="11"/>
  <c r="M6" i="11"/>
  <c r="T18" i="11"/>
  <c r="I20" i="11"/>
  <c r="AB20" i="11"/>
  <c r="V22" i="11"/>
  <c r="S23" i="11"/>
  <c r="T27" i="11"/>
  <c r="AB32" i="11"/>
  <c r="AA34" i="11"/>
  <c r="P50" i="11"/>
  <c r="J51" i="11"/>
  <c r="J53" i="11"/>
  <c r="V59" i="11"/>
  <c r="S61" i="11"/>
  <c r="T71" i="11"/>
  <c r="R73" i="11"/>
  <c r="J76" i="11"/>
  <c r="V79" i="11"/>
  <c r="J30" i="11"/>
  <c r="M30" i="11"/>
  <c r="P30" i="11"/>
  <c r="C32" i="11"/>
  <c r="Q30" i="11"/>
  <c r="H32" i="11"/>
  <c r="J7" i="11"/>
  <c r="H18" i="11"/>
  <c r="I61" i="11"/>
  <c r="P7" i="11"/>
  <c r="U20" i="11"/>
  <c r="H22" i="11"/>
  <c r="T30" i="11"/>
  <c r="U32" i="11"/>
  <c r="H34" i="11"/>
  <c r="W52" i="11"/>
  <c r="J61" i="11"/>
  <c r="M71" i="11"/>
  <c r="AA72" i="11"/>
  <c r="AB75" i="11"/>
  <c r="P18" i="11"/>
  <c r="M23" i="11"/>
  <c r="Q7" i="11"/>
  <c r="H9" i="11"/>
  <c r="V20" i="11"/>
  <c r="I22" i="11"/>
  <c r="P23" i="11"/>
  <c r="U30" i="11"/>
  <c r="V32" i="11"/>
  <c r="I34" i="11"/>
  <c r="AB52" i="11"/>
  <c r="H59" i="11"/>
  <c r="M61" i="11"/>
  <c r="P71" i="11"/>
  <c r="AB72" i="11"/>
  <c r="P20" i="11"/>
  <c r="Q20" i="11"/>
  <c r="R20" i="11"/>
  <c r="H7" i="11"/>
  <c r="S20" i="11"/>
  <c r="R30" i="11"/>
  <c r="I32" i="11"/>
  <c r="T20" i="11"/>
  <c r="C22" i="11"/>
  <c r="I23" i="11"/>
  <c r="S30" i="11"/>
  <c r="J32" i="11"/>
  <c r="C34" i="11"/>
  <c r="C9" i="11"/>
  <c r="C12" i="11"/>
  <c r="Q18" i="11"/>
  <c r="R7" i="11"/>
  <c r="I9" i="11"/>
  <c r="C11" i="11"/>
  <c r="I12" i="11"/>
  <c r="R18" i="11"/>
  <c r="C20" i="11"/>
  <c r="T22" i="11"/>
  <c r="Q23" i="11"/>
  <c r="I27" i="11"/>
  <c r="V30" i="11"/>
  <c r="W32" i="11"/>
  <c r="J34" i="11"/>
  <c r="C51" i="11"/>
  <c r="J59" i="11"/>
  <c r="P61" i="11"/>
  <c r="Q71" i="11"/>
  <c r="H17" i="11"/>
  <c r="I51" i="11"/>
  <c r="AA56" i="11"/>
  <c r="C59" i="11"/>
  <c r="AA59" i="11"/>
  <c r="C79" i="11"/>
  <c r="AB79" i="11"/>
  <c r="C16" i="11"/>
  <c r="M17" i="11"/>
  <c r="M51" i="11"/>
  <c r="C52" i="11"/>
  <c r="J55" i="11"/>
  <c r="P9" i="11"/>
  <c r="I16" i="11"/>
  <c r="R17" i="11"/>
  <c r="C25" i="11"/>
  <c r="J26" i="11"/>
  <c r="M32" i="11"/>
  <c r="P51" i="11"/>
  <c r="M55" i="11"/>
  <c r="S34" i="11"/>
  <c r="P35" i="11"/>
  <c r="J38" i="11"/>
  <c r="H40" i="11"/>
  <c r="I41" i="11"/>
  <c r="Q42" i="11"/>
  <c r="R51" i="11"/>
  <c r="M52" i="11"/>
  <c r="P55" i="11"/>
  <c r="M57" i="11"/>
  <c r="J58" i="11"/>
  <c r="P59" i="11"/>
  <c r="C75" i="11"/>
  <c r="Q76" i="11"/>
  <c r="C78" i="11"/>
  <c r="M79" i="11"/>
  <c r="M42" i="11"/>
  <c r="C10" i="11"/>
  <c r="P42" i="11"/>
  <c r="H57" i="11"/>
  <c r="I58" i="11"/>
  <c r="Q9" i="11"/>
  <c r="P32" i="11"/>
  <c r="R9" i="11"/>
  <c r="M10" i="11"/>
  <c r="M11" i="11"/>
  <c r="P15" i="11"/>
  <c r="Q16" i="11"/>
  <c r="T17" i="11"/>
  <c r="M22" i="11"/>
  <c r="M25" i="11"/>
  <c r="P26" i="11"/>
  <c r="AA27" i="11"/>
  <c r="Q32" i="11"/>
  <c r="T34" i="11"/>
  <c r="Q35" i="11"/>
  <c r="M38" i="11"/>
  <c r="M40" i="11"/>
  <c r="J41" i="11"/>
  <c r="R42" i="11"/>
  <c r="AA50" i="11"/>
  <c r="S51" i="11"/>
  <c r="P52" i="11"/>
  <c r="Q55" i="11"/>
  <c r="P57" i="11"/>
  <c r="M58" i="11"/>
  <c r="Q59" i="11"/>
  <c r="C61" i="11"/>
  <c r="AA61" i="11"/>
  <c r="AB70" i="11"/>
  <c r="C72" i="11"/>
  <c r="H73" i="11"/>
  <c r="I75" i="11"/>
  <c r="R76" i="11"/>
  <c r="H78" i="11"/>
  <c r="P79" i="11"/>
  <c r="I79" i="11"/>
  <c r="J15" i="11"/>
  <c r="J10" i="11"/>
  <c r="J22" i="11"/>
  <c r="M26" i="11"/>
  <c r="H13" i="11"/>
  <c r="T16" i="11"/>
  <c r="P22" i="11"/>
  <c r="C24" i="11"/>
  <c r="R25" i="11"/>
  <c r="Q26" i="11"/>
  <c r="H31" i="11"/>
  <c r="R32" i="11"/>
  <c r="U34" i="11"/>
  <c r="R35" i="11"/>
  <c r="C37" i="11"/>
  <c r="P38" i="11"/>
  <c r="P40" i="11"/>
  <c r="M41" i="11"/>
  <c r="S42" i="11"/>
  <c r="T51" i="11"/>
  <c r="Q52" i="11"/>
  <c r="I54" i="11"/>
  <c r="R55" i="11"/>
  <c r="Q57" i="11"/>
  <c r="Q58" i="11"/>
  <c r="R59" i="11"/>
  <c r="H72" i="11"/>
  <c r="M73" i="11"/>
  <c r="J75" i="11"/>
  <c r="S76" i="11"/>
  <c r="I78" i="11"/>
  <c r="Q79" i="11"/>
  <c r="M9" i="11"/>
  <c r="I15" i="11"/>
  <c r="H16" i="11"/>
  <c r="P17" i="11"/>
  <c r="I26" i="11"/>
  <c r="P34" i="11"/>
  <c r="I35" i="11"/>
  <c r="C58" i="11"/>
  <c r="C41" i="11"/>
  <c r="M76" i="11"/>
  <c r="J11" i="11"/>
  <c r="M16" i="11"/>
  <c r="Q8" i="11"/>
  <c r="S9" i="11"/>
  <c r="P11" i="11"/>
  <c r="Q15" i="11"/>
  <c r="J21" i="11"/>
  <c r="M7" i="11"/>
  <c r="AB8" i="11"/>
  <c r="T9" i="11"/>
  <c r="R10" i="11"/>
  <c r="R11" i="11"/>
  <c r="M12" i="11"/>
  <c r="J13" i="11"/>
  <c r="R15" i="11"/>
  <c r="U16" i="11"/>
  <c r="AA17" i="11"/>
  <c r="J18" i="11"/>
  <c r="M19" i="11"/>
  <c r="M21" i="11"/>
  <c r="R22" i="11"/>
  <c r="H24" i="11"/>
  <c r="S25" i="11"/>
  <c r="R26" i="11"/>
  <c r="I31" i="11"/>
  <c r="S32" i="11"/>
  <c r="V34" i="11"/>
  <c r="S35" i="11"/>
  <c r="I37" i="11"/>
  <c r="Q38" i="11"/>
  <c r="Q40" i="11"/>
  <c r="Q41" i="11"/>
  <c r="T42" i="11"/>
  <c r="U51" i="11"/>
  <c r="R52" i="11"/>
  <c r="M54" i="11"/>
  <c r="T55" i="11"/>
  <c r="R57" i="11"/>
  <c r="S58" i="11"/>
  <c r="S59" i="11"/>
  <c r="I72" i="11"/>
  <c r="P73" i="11"/>
  <c r="M75" i="11"/>
  <c r="T76" i="11"/>
  <c r="J78" i="11"/>
  <c r="R79" i="11"/>
  <c r="R34" i="11"/>
  <c r="M35" i="11"/>
  <c r="I52" i="11"/>
  <c r="M59" i="11"/>
  <c r="J79" i="11"/>
  <c r="M15" i="11"/>
  <c r="S17" i="11"/>
  <c r="I25" i="11"/>
  <c r="Q10" i="11"/>
  <c r="S11" i="11"/>
  <c r="T15" i="11"/>
  <c r="W16" i="11"/>
  <c r="M18" i="11"/>
  <c r="P19" i="11"/>
  <c r="R21" i="11"/>
  <c r="S22" i="11"/>
  <c r="J24" i="11"/>
  <c r="U25" i="11"/>
  <c r="T26" i="11"/>
  <c r="W34" i="11"/>
  <c r="T35" i="11"/>
  <c r="M37" i="11"/>
  <c r="R38" i="11"/>
  <c r="R40" i="11"/>
  <c r="W41" i="11"/>
  <c r="U42" i="11"/>
  <c r="J50" i="11"/>
  <c r="T49" i="11"/>
  <c r="V51" i="11"/>
  <c r="S52" i="11"/>
  <c r="S54" i="11"/>
  <c r="V55" i="11"/>
  <c r="S57" i="11"/>
  <c r="W58" i="11"/>
  <c r="J71" i="11"/>
  <c r="M72" i="11"/>
  <c r="Q73" i="11"/>
  <c r="S75" i="11"/>
  <c r="U76" i="11"/>
  <c r="M78" i="11"/>
  <c r="S79" i="11"/>
  <c r="T60" i="11"/>
  <c r="S60" i="11"/>
  <c r="P60" i="11"/>
  <c r="J60" i="11"/>
  <c r="AB60" i="11"/>
  <c r="I60" i="11"/>
  <c r="W60" i="11"/>
  <c r="C60" i="11"/>
  <c r="AA60" i="11"/>
  <c r="H60" i="11"/>
  <c r="V60" i="11"/>
  <c r="Q69" i="11"/>
  <c r="P69" i="11"/>
  <c r="AB69" i="11"/>
  <c r="I69" i="11"/>
  <c r="W69" i="11"/>
  <c r="C69" i="11"/>
  <c r="V69" i="11"/>
  <c r="U69" i="11"/>
  <c r="T69" i="11"/>
  <c r="S69" i="11"/>
  <c r="S8" i="11"/>
  <c r="Q13" i="11"/>
  <c r="AB13" i="11"/>
  <c r="I13" i="11"/>
  <c r="V13" i="11"/>
  <c r="U13" i="11"/>
  <c r="S13" i="11"/>
  <c r="T28" i="11"/>
  <c r="R31" i="11"/>
  <c r="J31" i="11"/>
  <c r="W31" i="11"/>
  <c r="C31" i="11"/>
  <c r="V31" i="11"/>
  <c r="U31" i="11"/>
  <c r="T31" i="11"/>
  <c r="U39" i="11"/>
  <c r="J49" i="11"/>
  <c r="M53" i="11"/>
  <c r="M56" i="11"/>
  <c r="AA14" i="11"/>
  <c r="H14" i="11"/>
  <c r="T14" i="11"/>
  <c r="Q14" i="11"/>
  <c r="P14" i="11"/>
  <c r="J14" i="11"/>
  <c r="Q19" i="11"/>
  <c r="V28" i="11"/>
  <c r="P29" i="11"/>
  <c r="AA29" i="11"/>
  <c r="H29" i="11"/>
  <c r="U29" i="11"/>
  <c r="T29" i="11"/>
  <c r="S29" i="11"/>
  <c r="R29" i="11"/>
  <c r="T33" i="11"/>
  <c r="P33" i="11"/>
  <c r="AB33" i="11"/>
  <c r="I33" i="11"/>
  <c r="W33" i="11"/>
  <c r="C33" i="11"/>
  <c r="AA33" i="11"/>
  <c r="H33" i="11"/>
  <c r="V33" i="11"/>
  <c r="Q36" i="11"/>
  <c r="P36" i="11"/>
  <c r="AB36" i="11"/>
  <c r="I36" i="11"/>
  <c r="W36" i="11"/>
  <c r="C36" i="11"/>
  <c r="V36" i="11"/>
  <c r="U36" i="11"/>
  <c r="T36" i="11"/>
  <c r="S36" i="11"/>
  <c r="W39" i="11"/>
  <c r="P49" i="11"/>
  <c r="R53" i="11"/>
  <c r="U56" i="11"/>
  <c r="I77" i="11"/>
  <c r="U8" i="11"/>
  <c r="C14" i="11"/>
  <c r="C13" i="11"/>
  <c r="I14" i="11"/>
  <c r="U28" i="11"/>
  <c r="Q28" i="11"/>
  <c r="J28" i="11"/>
  <c r="AB28" i="11"/>
  <c r="I28" i="11"/>
  <c r="AA28" i="11"/>
  <c r="H28" i="11"/>
  <c r="W28" i="11"/>
  <c r="C28" i="11"/>
  <c r="J39" i="11"/>
  <c r="AB39" i="11"/>
  <c r="I39" i="11"/>
  <c r="V39" i="11"/>
  <c r="T39" i="11"/>
  <c r="S39" i="11"/>
  <c r="Q39" i="11"/>
  <c r="R39" i="11"/>
  <c r="P39" i="11"/>
  <c r="S49" i="11"/>
  <c r="R49" i="11"/>
  <c r="M49" i="11"/>
  <c r="AB49" i="11"/>
  <c r="H49" i="11"/>
  <c r="AA49" i="11"/>
  <c r="C49" i="11"/>
  <c r="W49" i="11"/>
  <c r="V49" i="11"/>
  <c r="U49" i="11"/>
  <c r="Q53" i="11"/>
  <c r="P53" i="11"/>
  <c r="AB53" i="11"/>
  <c r="I53" i="11"/>
  <c r="W53" i="11"/>
  <c r="C53" i="11"/>
  <c r="V53" i="11"/>
  <c r="U53" i="11"/>
  <c r="T53" i="11"/>
  <c r="S53" i="11"/>
  <c r="H69" i="11"/>
  <c r="R77" i="11"/>
  <c r="Q77" i="11"/>
  <c r="P77" i="11"/>
  <c r="J77" i="11"/>
  <c r="AA77" i="11"/>
  <c r="H77" i="11"/>
  <c r="W77" i="11"/>
  <c r="C77" i="11"/>
  <c r="V77" i="11"/>
  <c r="U77" i="11"/>
  <c r="T77" i="11"/>
  <c r="S77" i="11"/>
  <c r="R19" i="11"/>
  <c r="J19" i="11"/>
  <c r="W19" i="11"/>
  <c r="C19" i="11"/>
  <c r="U19" i="11"/>
  <c r="V19" i="11"/>
  <c r="T19" i="11"/>
  <c r="P31" i="11"/>
  <c r="M60" i="11"/>
  <c r="J69" i="11"/>
  <c r="Q60" i="11"/>
  <c r="M69" i="11"/>
  <c r="R8" i="11"/>
  <c r="W8" i="11"/>
  <c r="C8" i="11"/>
  <c r="V8" i="11"/>
  <c r="T8" i="11"/>
  <c r="S14" i="11"/>
  <c r="R13" i="11"/>
  <c r="P6" i="11"/>
  <c r="AA6" i="11"/>
  <c r="H6" i="11"/>
  <c r="U6" i="11"/>
  <c r="T6" i="11"/>
  <c r="R6" i="11"/>
  <c r="T21" i="11"/>
  <c r="P21" i="11"/>
  <c r="AB21" i="11"/>
  <c r="I21" i="11"/>
  <c r="C21" i="11"/>
  <c r="AA21" i="11"/>
  <c r="H21" i="11"/>
  <c r="W21" i="11"/>
  <c r="V21" i="11"/>
  <c r="Q31" i="11"/>
  <c r="J8" i="11"/>
  <c r="T10" i="11"/>
  <c r="P10" i="11"/>
  <c r="AB10" i="11"/>
  <c r="I10" i="11"/>
  <c r="AA10" i="11"/>
  <c r="H10" i="11"/>
  <c r="V10" i="11"/>
  <c r="T13" i="11"/>
  <c r="W14" i="11"/>
  <c r="U17" i="11"/>
  <c r="Q17" i="11"/>
  <c r="J17" i="11"/>
  <c r="AB17" i="11"/>
  <c r="I17" i="11"/>
  <c r="W17" i="11"/>
  <c r="C17" i="11"/>
  <c r="M28" i="11"/>
  <c r="Q29" i="11"/>
  <c r="S31" i="11"/>
  <c r="Q33" i="11"/>
  <c r="J36" i="11"/>
  <c r="R43" i="11"/>
  <c r="Q43" i="11"/>
  <c r="J43" i="11"/>
  <c r="AA43" i="11"/>
  <c r="H43" i="11"/>
  <c r="W43" i="11"/>
  <c r="C43" i="11"/>
  <c r="U43" i="11"/>
  <c r="V43" i="11"/>
  <c r="T43" i="11"/>
  <c r="R60" i="11"/>
  <c r="R69" i="11"/>
  <c r="P13" i="11"/>
  <c r="U14" i="11"/>
  <c r="V14" i="11"/>
  <c r="J27" i="11"/>
  <c r="V27" i="11"/>
  <c r="S27" i="11"/>
  <c r="R27" i="11"/>
  <c r="Q27" i="11"/>
  <c r="P27" i="11"/>
  <c r="M29" i="11"/>
  <c r="M8" i="11"/>
  <c r="W13" i="11"/>
  <c r="AB14" i="11"/>
  <c r="C6" i="11"/>
  <c r="H19" i="11"/>
  <c r="C27" i="11"/>
  <c r="P28" i="11"/>
  <c r="V29" i="11"/>
  <c r="AA31" i="11"/>
  <c r="R33" i="11"/>
  <c r="M36" i="11"/>
  <c r="C39" i="11"/>
  <c r="U60" i="11"/>
  <c r="AA69" i="11"/>
  <c r="R14" i="11"/>
  <c r="J56" i="11"/>
  <c r="AB56" i="11"/>
  <c r="I56" i="11"/>
  <c r="V56" i="11"/>
  <c r="T56" i="11"/>
  <c r="S56" i="11"/>
  <c r="R56" i="11"/>
  <c r="Q56" i="11"/>
  <c r="P56" i="11"/>
  <c r="H8" i="11"/>
  <c r="I8" i="11"/>
  <c r="P8" i="11"/>
  <c r="AA13" i="11"/>
  <c r="J16" i="11"/>
  <c r="V16" i="11"/>
  <c r="S16" i="11"/>
  <c r="R16" i="11"/>
  <c r="P16" i="11"/>
  <c r="I6" i="11"/>
  <c r="I19" i="11"/>
  <c r="Q24" i="11"/>
  <c r="AB24" i="11"/>
  <c r="I24" i="11"/>
  <c r="V24" i="11"/>
  <c r="U24" i="11"/>
  <c r="T24" i="11"/>
  <c r="S24" i="11"/>
  <c r="H27" i="11"/>
  <c r="R28" i="11"/>
  <c r="W29" i="11"/>
  <c r="AB31" i="11"/>
  <c r="S33" i="11"/>
  <c r="R36" i="11"/>
  <c r="H39" i="11"/>
  <c r="H53" i="11"/>
  <c r="C56" i="11"/>
  <c r="Q75" i="11"/>
  <c r="I7" i="11"/>
  <c r="AB7" i="11"/>
  <c r="H12" i="11"/>
  <c r="AA12" i="11"/>
  <c r="U15" i="11"/>
  <c r="I18" i="11"/>
  <c r="AB18" i="11"/>
  <c r="H23" i="11"/>
  <c r="AA23" i="11"/>
  <c r="J25" i="11"/>
  <c r="U26" i="11"/>
  <c r="I30" i="11"/>
  <c r="AB30" i="11"/>
  <c r="H35" i="11"/>
  <c r="AA35" i="11"/>
  <c r="J37" i="11"/>
  <c r="U38" i="11"/>
  <c r="C40" i="11"/>
  <c r="W40" i="11"/>
  <c r="R41" i="11"/>
  <c r="I42" i="11"/>
  <c r="AB42" i="11"/>
  <c r="R5" i="11"/>
  <c r="I50" i="11"/>
  <c r="AB50" i="11"/>
  <c r="H52" i="11"/>
  <c r="AA52" i="11"/>
  <c r="J54" i="11"/>
  <c r="U55" i="11"/>
  <c r="C57" i="11"/>
  <c r="W57" i="11"/>
  <c r="R58" i="11"/>
  <c r="J70" i="11"/>
  <c r="U71" i="11"/>
  <c r="P72" i="11"/>
  <c r="C73" i="11"/>
  <c r="W73" i="11"/>
  <c r="R75" i="11"/>
  <c r="I76" i="11"/>
  <c r="AB76" i="11"/>
  <c r="S41" i="11"/>
  <c r="P78" i="11"/>
  <c r="J12" i="11"/>
  <c r="C15" i="11"/>
  <c r="W15" i="11"/>
  <c r="J23" i="11"/>
  <c r="P25" i="11"/>
  <c r="C26" i="11"/>
  <c r="W26" i="11"/>
  <c r="J35" i="11"/>
  <c r="P37" i="11"/>
  <c r="C38" i="11"/>
  <c r="W38" i="11"/>
  <c r="I40" i="11"/>
  <c r="AB40" i="11"/>
  <c r="T41" i="11"/>
  <c r="T5" i="11"/>
  <c r="J52" i="11"/>
  <c r="P54" i="11"/>
  <c r="C55" i="11"/>
  <c r="W55" i="11"/>
  <c r="I57" i="11"/>
  <c r="AB57" i="11"/>
  <c r="T58" i="11"/>
  <c r="P70" i="11"/>
  <c r="C71" i="11"/>
  <c r="W71" i="11"/>
  <c r="R72" i="11"/>
  <c r="I73" i="11"/>
  <c r="AB73" i="11"/>
  <c r="T75" i="11"/>
  <c r="Q78" i="11"/>
  <c r="H15" i="11"/>
  <c r="AA15" i="11"/>
  <c r="Q25" i="11"/>
  <c r="H26" i="11"/>
  <c r="AA26" i="11"/>
  <c r="Q37" i="11"/>
  <c r="H38" i="11"/>
  <c r="AA38" i="11"/>
  <c r="J40" i="11"/>
  <c r="U41" i="11"/>
  <c r="U5" i="11"/>
  <c r="Q54" i="11"/>
  <c r="H55" i="11"/>
  <c r="AA55" i="11"/>
  <c r="J57" i="11"/>
  <c r="U58" i="11"/>
  <c r="Q70" i="11"/>
  <c r="H71" i="11"/>
  <c r="AA71" i="11"/>
  <c r="S72" i="11"/>
  <c r="J73" i="11"/>
  <c r="U75" i="11"/>
  <c r="P76" i="11"/>
  <c r="R78" i="11"/>
  <c r="R37" i="11"/>
  <c r="I38" i="11"/>
  <c r="AB38" i="11"/>
  <c r="V41" i="11"/>
  <c r="V5" i="11"/>
  <c r="R54" i="11"/>
  <c r="I55" i="11"/>
  <c r="AB55" i="11"/>
  <c r="V58" i="11"/>
  <c r="R70" i="11"/>
  <c r="I71" i="11"/>
  <c r="AB71" i="11"/>
  <c r="T72" i="11"/>
  <c r="V75" i="11"/>
  <c r="S78" i="11"/>
  <c r="T78" i="11"/>
  <c r="T25" i="11"/>
  <c r="T37" i="11"/>
  <c r="H41" i="11"/>
  <c r="AA41" i="11"/>
  <c r="C5" i="11"/>
  <c r="AA5" i="11"/>
  <c r="T54" i="11"/>
  <c r="H58" i="11"/>
  <c r="AA58" i="11"/>
  <c r="T70" i="11"/>
  <c r="H75" i="11"/>
  <c r="AA75" i="11"/>
  <c r="U78" i="11"/>
  <c r="V78" i="11"/>
  <c r="W78" i="11"/>
  <c r="C54" i="11"/>
  <c r="W54" i="11"/>
  <c r="C70" i="11"/>
  <c r="W70" i="11"/>
  <c r="C7" i="11"/>
  <c r="C18" i="11"/>
  <c r="H25" i="11"/>
  <c r="C30" i="11"/>
  <c r="H37" i="11"/>
  <c r="C42" i="11"/>
  <c r="C50" i="11"/>
  <c r="H54" i="11"/>
  <c r="H70" i="11"/>
  <c r="C76" i="11"/>
  <c r="T79" i="11"/>
  <c r="T75" i="10"/>
  <c r="U75" i="10"/>
  <c r="S75" i="10"/>
  <c r="R75" i="10"/>
  <c r="V75" i="10"/>
  <c r="Q75" i="10"/>
  <c r="AB75" i="10"/>
  <c r="I75" i="10"/>
  <c r="P75" i="10"/>
  <c r="J75" i="10"/>
  <c r="AA75" i="10"/>
  <c r="H75" i="10"/>
  <c r="M75" i="10"/>
  <c r="W75" i="10"/>
  <c r="Q76" i="10"/>
  <c r="P76" i="10"/>
  <c r="J76" i="10"/>
  <c r="AB76" i="10"/>
  <c r="I76" i="10"/>
  <c r="AA76" i="10"/>
  <c r="H76" i="10"/>
  <c r="W76" i="10"/>
  <c r="U76" i="10"/>
  <c r="T76" i="10"/>
  <c r="M76" i="10"/>
  <c r="C76" i="10"/>
  <c r="V76" i="10"/>
  <c r="S76" i="10"/>
  <c r="AD94" i="10"/>
  <c r="AC94" i="10"/>
  <c r="AB94" i="10"/>
  <c r="AA94" i="10"/>
  <c r="W94" i="10"/>
  <c r="V94" i="10"/>
  <c r="U94" i="10"/>
  <c r="T94" i="10"/>
  <c r="S94" i="10"/>
  <c r="R94" i="10"/>
  <c r="Q94" i="10"/>
  <c r="P94" i="10"/>
  <c r="J94" i="10"/>
  <c r="H94" i="10"/>
  <c r="C94" i="10"/>
  <c r="AD93" i="10"/>
  <c r="AC93" i="10"/>
  <c r="AB93" i="10"/>
  <c r="AA93" i="10"/>
  <c r="W93" i="10"/>
  <c r="V93" i="10"/>
  <c r="U93" i="10"/>
  <c r="T93" i="10"/>
  <c r="S93" i="10"/>
  <c r="R93" i="10"/>
  <c r="Q93" i="10"/>
  <c r="P93" i="10"/>
  <c r="J93" i="10"/>
  <c r="H93" i="10"/>
  <c r="C93" i="10"/>
  <c r="AD92" i="10"/>
  <c r="AB92" i="10"/>
  <c r="AA92" i="10"/>
  <c r="W92" i="10"/>
  <c r="V92" i="10"/>
  <c r="U92" i="10"/>
  <c r="T92" i="10"/>
  <c r="S92" i="10"/>
  <c r="R92" i="10"/>
  <c r="Q92" i="10"/>
  <c r="P92" i="10"/>
  <c r="M92" i="10"/>
  <c r="J92" i="10"/>
  <c r="H92" i="10"/>
  <c r="C92" i="10"/>
  <c r="AD91" i="10"/>
  <c r="AB91" i="10"/>
  <c r="AA91" i="10"/>
  <c r="W91" i="10"/>
  <c r="V91" i="10"/>
  <c r="U91" i="10"/>
  <c r="T91" i="10"/>
  <c r="S91" i="10"/>
  <c r="R91" i="10"/>
  <c r="Q91" i="10"/>
  <c r="P91" i="10"/>
  <c r="M91" i="10"/>
  <c r="J91" i="10"/>
  <c r="H91" i="10"/>
  <c r="C91" i="10"/>
  <c r="AD90" i="10"/>
  <c r="AB90" i="10"/>
  <c r="AA90" i="10"/>
  <c r="W90" i="10"/>
  <c r="V90" i="10"/>
  <c r="U90" i="10"/>
  <c r="T90" i="10"/>
  <c r="S90" i="10"/>
  <c r="R90" i="10"/>
  <c r="Q90" i="10"/>
  <c r="P90" i="10"/>
  <c r="M90" i="10"/>
  <c r="J90" i="10"/>
  <c r="H90" i="10"/>
  <c r="C90" i="10"/>
  <c r="AD89" i="10"/>
  <c r="AB89" i="10"/>
  <c r="AA89" i="10"/>
  <c r="W89" i="10"/>
  <c r="V89" i="10"/>
  <c r="U89" i="10"/>
  <c r="T89" i="10"/>
  <c r="S89" i="10"/>
  <c r="R89" i="10"/>
  <c r="Q89" i="10"/>
  <c r="P89" i="10"/>
  <c r="M89" i="10"/>
  <c r="J89" i="10"/>
  <c r="H89" i="10"/>
  <c r="C89" i="10"/>
  <c r="AD88" i="10"/>
  <c r="AB88" i="10"/>
  <c r="AA88" i="10"/>
  <c r="W88" i="10"/>
  <c r="V88" i="10"/>
  <c r="U88" i="10"/>
  <c r="T88" i="10"/>
  <c r="S88" i="10"/>
  <c r="R88" i="10"/>
  <c r="Q88" i="10"/>
  <c r="P88" i="10"/>
  <c r="M88" i="10"/>
  <c r="J88" i="10"/>
  <c r="H88" i="10"/>
  <c r="C88" i="10"/>
  <c r="AD87" i="10"/>
  <c r="AB87" i="10"/>
  <c r="AA87" i="10"/>
  <c r="W87" i="10"/>
  <c r="V87" i="10"/>
  <c r="U87" i="10"/>
  <c r="T87" i="10"/>
  <c r="S87" i="10"/>
  <c r="R87" i="10"/>
  <c r="Q87" i="10"/>
  <c r="P87" i="10"/>
  <c r="M87" i="10"/>
  <c r="J87" i="10"/>
  <c r="H87" i="10"/>
  <c r="C87" i="10"/>
  <c r="AD86" i="10"/>
  <c r="AB86" i="10"/>
  <c r="AA86" i="10"/>
  <c r="W86" i="10"/>
  <c r="V86" i="10"/>
  <c r="U86" i="10"/>
  <c r="T86" i="10"/>
  <c r="S86" i="10"/>
  <c r="R86" i="10"/>
  <c r="Q86" i="10"/>
  <c r="P86" i="10"/>
  <c r="M86" i="10"/>
  <c r="J86" i="10"/>
  <c r="H86" i="10"/>
  <c r="C86" i="10"/>
  <c r="AD85" i="10"/>
  <c r="AB85" i="10"/>
  <c r="AA85" i="10"/>
  <c r="W85" i="10"/>
  <c r="V85" i="10"/>
  <c r="U85" i="10"/>
  <c r="T85" i="10"/>
  <c r="S85" i="10"/>
  <c r="R85" i="10"/>
  <c r="Q85" i="10"/>
  <c r="P85" i="10"/>
  <c r="M85" i="10"/>
  <c r="J85" i="10"/>
  <c r="H85" i="10"/>
  <c r="C85" i="10"/>
  <c r="AD84" i="10"/>
  <c r="AA84" i="10" s="1"/>
  <c r="AD83" i="10"/>
  <c r="P83" i="10" s="1"/>
  <c r="AD82" i="10"/>
  <c r="S82" i="10" s="1"/>
  <c r="AD81" i="10"/>
  <c r="R81" i="10" s="1"/>
  <c r="AD80" i="10"/>
  <c r="V80" i="10" s="1"/>
  <c r="AD78" i="10"/>
  <c r="J78" i="10" s="1"/>
  <c r="AD77" i="10"/>
  <c r="M77" i="10" s="1"/>
  <c r="AD74" i="10"/>
  <c r="R74" i="10" s="1"/>
  <c r="AD73" i="10"/>
  <c r="H73" i="10" s="1"/>
  <c r="AD70" i="10"/>
  <c r="AB70" i="10"/>
  <c r="AA70" i="10"/>
  <c r="W70" i="10"/>
  <c r="V70" i="10"/>
  <c r="U70" i="10"/>
  <c r="T70" i="10"/>
  <c r="S70" i="10"/>
  <c r="R70" i="10"/>
  <c r="Q70" i="10"/>
  <c r="P70" i="10"/>
  <c r="J70" i="10"/>
  <c r="H70" i="10"/>
  <c r="C70" i="10"/>
  <c r="AD69" i="10"/>
  <c r="AB69" i="10"/>
  <c r="AA69" i="10"/>
  <c r="W69" i="10"/>
  <c r="V69" i="10"/>
  <c r="U69" i="10"/>
  <c r="T69" i="10"/>
  <c r="S69" i="10"/>
  <c r="R69" i="10"/>
  <c r="Q69" i="10"/>
  <c r="P69" i="10"/>
  <c r="M69" i="10"/>
  <c r="J69" i="10"/>
  <c r="H69" i="10"/>
  <c r="C69" i="10"/>
  <c r="AD68" i="10"/>
  <c r="AB68" i="10"/>
  <c r="AA68" i="10"/>
  <c r="W68" i="10"/>
  <c r="V68" i="10"/>
  <c r="U68" i="10"/>
  <c r="T68" i="10"/>
  <c r="S68" i="10"/>
  <c r="R68" i="10"/>
  <c r="Q68" i="10"/>
  <c r="P68" i="10"/>
  <c r="M68" i="10"/>
  <c r="J68" i="10"/>
  <c r="H68" i="10"/>
  <c r="C68" i="10"/>
  <c r="AD67" i="10"/>
  <c r="AB67" i="10"/>
  <c r="AA67" i="10"/>
  <c r="W67" i="10"/>
  <c r="V67" i="10"/>
  <c r="U67" i="10"/>
  <c r="T67" i="10"/>
  <c r="S67" i="10"/>
  <c r="R67" i="10"/>
  <c r="Q67" i="10"/>
  <c r="P67" i="10"/>
  <c r="M67" i="10"/>
  <c r="J67" i="10"/>
  <c r="H67" i="10"/>
  <c r="C67" i="10"/>
  <c r="AD66" i="10"/>
  <c r="AB66" i="10"/>
  <c r="AA66" i="10"/>
  <c r="W66" i="10"/>
  <c r="V66" i="10"/>
  <c r="U66" i="10"/>
  <c r="T66" i="10"/>
  <c r="S66" i="10"/>
  <c r="R66" i="10"/>
  <c r="Q66" i="10"/>
  <c r="P66" i="10"/>
  <c r="M66" i="10"/>
  <c r="J66" i="10"/>
  <c r="H66" i="10"/>
  <c r="C66" i="10"/>
  <c r="AD65" i="10"/>
  <c r="J65" i="10" s="1"/>
  <c r="AD64" i="10"/>
  <c r="W64" i="10" s="1"/>
  <c r="AD63" i="10"/>
  <c r="AD62" i="10"/>
  <c r="W62" i="10" s="1"/>
  <c r="AD61" i="10"/>
  <c r="V61" i="10" s="1"/>
  <c r="AD60" i="10"/>
  <c r="J60" i="10" s="1"/>
  <c r="AD59" i="10"/>
  <c r="C59" i="10" s="1"/>
  <c r="AD58" i="10"/>
  <c r="Q58" i="10" s="1"/>
  <c r="AD57" i="10"/>
  <c r="R57" i="10" s="1"/>
  <c r="AD56" i="10"/>
  <c r="AA56" i="10" s="1"/>
  <c r="AD55" i="10"/>
  <c r="J55" i="10" s="1"/>
  <c r="AD54" i="10"/>
  <c r="AA54" i="10" s="1"/>
  <c r="AD53" i="10"/>
  <c r="AB53" i="10" s="1"/>
  <c r="AD52" i="10"/>
  <c r="AA52" i="10" s="1"/>
  <c r="AD6" i="10"/>
  <c r="AA6" i="10" s="1"/>
  <c r="AD51" i="10"/>
  <c r="S51" i="10" s="1"/>
  <c r="AC51" i="10"/>
  <c r="AD50" i="10"/>
  <c r="W50" i="10" s="1"/>
  <c r="AD47" i="10"/>
  <c r="AC47" i="10"/>
  <c r="AB47" i="10"/>
  <c r="AA47" i="10"/>
  <c r="W47" i="10"/>
  <c r="V47" i="10"/>
  <c r="U47" i="10"/>
  <c r="T47" i="10"/>
  <c r="S47" i="10"/>
  <c r="R47" i="10"/>
  <c r="Q47" i="10"/>
  <c r="P47" i="10"/>
  <c r="M47" i="10"/>
  <c r="J47" i="10"/>
  <c r="I47" i="10"/>
  <c r="H47" i="10"/>
  <c r="C47" i="10"/>
  <c r="AD46" i="10"/>
  <c r="AC46" i="10"/>
  <c r="AB46" i="10"/>
  <c r="AA46" i="10"/>
  <c r="W46" i="10"/>
  <c r="V46" i="10"/>
  <c r="U46" i="10"/>
  <c r="T46" i="10"/>
  <c r="S46" i="10"/>
  <c r="R46" i="10"/>
  <c r="Q46" i="10"/>
  <c r="P46" i="10"/>
  <c r="M46" i="10"/>
  <c r="J46" i="10"/>
  <c r="I46" i="10"/>
  <c r="H46" i="10"/>
  <c r="C46" i="10"/>
  <c r="AD45" i="10"/>
  <c r="AC45" i="10"/>
  <c r="AB45" i="10"/>
  <c r="AA45" i="10"/>
  <c r="W45" i="10"/>
  <c r="V45" i="10"/>
  <c r="U45" i="10"/>
  <c r="T45" i="10"/>
  <c r="S45" i="10"/>
  <c r="R45" i="10"/>
  <c r="Q45" i="10"/>
  <c r="P45" i="10"/>
  <c r="M45" i="10"/>
  <c r="J45" i="10"/>
  <c r="I45" i="10"/>
  <c r="H45" i="10"/>
  <c r="C45" i="10"/>
  <c r="AD44" i="10"/>
  <c r="AA44" i="10" s="1"/>
  <c r="AD43" i="10"/>
  <c r="H43" i="10" s="1"/>
  <c r="AD42" i="10"/>
  <c r="J42" i="10" s="1"/>
  <c r="AD41" i="10"/>
  <c r="C41" i="10" s="1"/>
  <c r="AD40" i="10"/>
  <c r="AD39" i="10"/>
  <c r="W39" i="10" s="1"/>
  <c r="AD38" i="10"/>
  <c r="T38" i="10" s="1"/>
  <c r="AD37" i="10"/>
  <c r="J37" i="10" s="1"/>
  <c r="AD36" i="10"/>
  <c r="M36" i="10" s="1"/>
  <c r="AD35" i="10"/>
  <c r="M35" i="10" s="1"/>
  <c r="AD34" i="10"/>
  <c r="S34" i="10" s="1"/>
  <c r="AD33" i="10"/>
  <c r="P33" i="10" s="1"/>
  <c r="AD32" i="10"/>
  <c r="S32" i="10" s="1"/>
  <c r="AD31" i="10"/>
  <c r="C31" i="10" s="1"/>
  <c r="AD30" i="10"/>
  <c r="J30" i="10" s="1"/>
  <c r="AD29" i="10"/>
  <c r="M29" i="10" s="1"/>
  <c r="AD28" i="10"/>
  <c r="U28" i="10" s="1"/>
  <c r="AD27" i="10"/>
  <c r="M27" i="10" s="1"/>
  <c r="AD26" i="10"/>
  <c r="I26" i="10" s="1"/>
  <c r="AD25" i="10"/>
  <c r="J25" i="10" s="1"/>
  <c r="AD24" i="10"/>
  <c r="H24" i="10" s="1"/>
  <c r="AD23" i="10"/>
  <c r="W23" i="10" s="1"/>
  <c r="AD22" i="10"/>
  <c r="P22" i="10" s="1"/>
  <c r="AD21" i="10"/>
  <c r="H21" i="10" s="1"/>
  <c r="AD20" i="10"/>
  <c r="P20" i="10" s="1"/>
  <c r="AD19" i="10"/>
  <c r="M19" i="10" s="1"/>
  <c r="AD18" i="10"/>
  <c r="R18" i="10" s="1"/>
  <c r="AD17" i="10"/>
  <c r="V17" i="10" s="1"/>
  <c r="AD16" i="10"/>
  <c r="P16" i="10" s="1"/>
  <c r="AD15" i="10"/>
  <c r="J15" i="10" s="1"/>
  <c r="AC15" i="10"/>
  <c r="AD14" i="10"/>
  <c r="I14" i="10" s="1"/>
  <c r="AC14" i="10"/>
  <c r="AD13" i="10"/>
  <c r="J13" i="10" s="1"/>
  <c r="AC13" i="10"/>
  <c r="AD12" i="10"/>
  <c r="M12" i="10" s="1"/>
  <c r="AC12" i="10"/>
  <c r="AD11" i="10"/>
  <c r="W11" i="10" s="1"/>
  <c r="AC11" i="10"/>
  <c r="AD10" i="10"/>
  <c r="J10" i="10" s="1"/>
  <c r="AD9" i="10"/>
  <c r="H9" i="10" s="1"/>
  <c r="AD8" i="10"/>
  <c r="W8" i="10" s="1"/>
  <c r="AD7" i="10"/>
  <c r="Q7" i="10" s="1"/>
  <c r="AD5" i="10"/>
  <c r="P5" i="10" s="1"/>
  <c r="AD4" i="10"/>
  <c r="AA4" i="10" s="1"/>
  <c r="AD79" i="9"/>
  <c r="V79" i="9" s="1"/>
  <c r="AD75" i="9"/>
  <c r="AD50" i="9"/>
  <c r="AD96" i="9"/>
  <c r="AC96" i="9"/>
  <c r="AB96" i="9"/>
  <c r="AA96" i="9"/>
  <c r="W96" i="9"/>
  <c r="V96" i="9"/>
  <c r="U96" i="9"/>
  <c r="T96" i="9"/>
  <c r="S96" i="9"/>
  <c r="R96" i="9"/>
  <c r="Q96" i="9"/>
  <c r="P96" i="9"/>
  <c r="J96" i="9"/>
  <c r="H96" i="9"/>
  <c r="C96" i="9"/>
  <c r="AD95" i="9"/>
  <c r="AC95" i="9"/>
  <c r="AB95" i="9"/>
  <c r="AA95" i="9"/>
  <c r="W95" i="9"/>
  <c r="V95" i="9"/>
  <c r="U95" i="9"/>
  <c r="T95" i="9"/>
  <c r="S95" i="9"/>
  <c r="R95" i="9"/>
  <c r="Q95" i="9"/>
  <c r="P95" i="9"/>
  <c r="J95" i="9"/>
  <c r="H95" i="9"/>
  <c r="C95" i="9"/>
  <c r="AD94" i="9"/>
  <c r="AB94" i="9"/>
  <c r="AA94" i="9"/>
  <c r="W94" i="9"/>
  <c r="V94" i="9"/>
  <c r="U94" i="9"/>
  <c r="T94" i="9"/>
  <c r="S94" i="9"/>
  <c r="R94" i="9"/>
  <c r="Q94" i="9"/>
  <c r="P94" i="9"/>
  <c r="M94" i="9"/>
  <c r="J94" i="9"/>
  <c r="H94" i="9"/>
  <c r="C94" i="9"/>
  <c r="AD93" i="9"/>
  <c r="AB93" i="9"/>
  <c r="AA93" i="9"/>
  <c r="W93" i="9"/>
  <c r="V93" i="9"/>
  <c r="U93" i="9"/>
  <c r="T93" i="9"/>
  <c r="S93" i="9"/>
  <c r="R93" i="9"/>
  <c r="Q93" i="9"/>
  <c r="P93" i="9"/>
  <c r="M93" i="9"/>
  <c r="J93" i="9"/>
  <c r="H93" i="9"/>
  <c r="C93" i="9"/>
  <c r="AD92" i="9"/>
  <c r="AB92" i="9"/>
  <c r="AA92" i="9"/>
  <c r="W92" i="9"/>
  <c r="V92" i="9"/>
  <c r="U92" i="9"/>
  <c r="T92" i="9"/>
  <c r="S92" i="9"/>
  <c r="R92" i="9"/>
  <c r="Q92" i="9"/>
  <c r="P92" i="9"/>
  <c r="M92" i="9"/>
  <c r="J92" i="9"/>
  <c r="H92" i="9"/>
  <c r="C92" i="9"/>
  <c r="AD91" i="9"/>
  <c r="AB91" i="9"/>
  <c r="AA91" i="9"/>
  <c r="W91" i="9"/>
  <c r="V91" i="9"/>
  <c r="U91" i="9"/>
  <c r="T91" i="9"/>
  <c r="S91" i="9"/>
  <c r="R91" i="9"/>
  <c r="Q91" i="9"/>
  <c r="P91" i="9"/>
  <c r="M91" i="9"/>
  <c r="J91" i="9"/>
  <c r="H91" i="9"/>
  <c r="C91" i="9"/>
  <c r="AD90" i="9"/>
  <c r="AB90" i="9"/>
  <c r="AA90" i="9"/>
  <c r="W90" i="9"/>
  <c r="V90" i="9"/>
  <c r="U90" i="9"/>
  <c r="T90" i="9"/>
  <c r="S90" i="9"/>
  <c r="R90" i="9"/>
  <c r="Q90" i="9"/>
  <c r="P90" i="9"/>
  <c r="M90" i="9"/>
  <c r="J90" i="9"/>
  <c r="H90" i="9"/>
  <c r="C90" i="9"/>
  <c r="AD89" i="9"/>
  <c r="AB89" i="9"/>
  <c r="AA89" i="9"/>
  <c r="W89" i="9"/>
  <c r="V89" i="9"/>
  <c r="U89" i="9"/>
  <c r="T89" i="9"/>
  <c r="S89" i="9"/>
  <c r="R89" i="9"/>
  <c r="Q89" i="9"/>
  <c r="P89" i="9"/>
  <c r="M89" i="9"/>
  <c r="J89" i="9"/>
  <c r="H89" i="9"/>
  <c r="C89" i="9"/>
  <c r="AD88" i="9"/>
  <c r="AB88" i="9"/>
  <c r="AA88" i="9"/>
  <c r="W88" i="9"/>
  <c r="V88" i="9"/>
  <c r="U88" i="9"/>
  <c r="T88" i="9"/>
  <c r="S88" i="9"/>
  <c r="R88" i="9"/>
  <c r="Q88" i="9"/>
  <c r="P88" i="9"/>
  <c r="M88" i="9"/>
  <c r="J88" i="9"/>
  <c r="H88" i="9"/>
  <c r="C88" i="9"/>
  <c r="AD87" i="9"/>
  <c r="AB87" i="9"/>
  <c r="AA87" i="9"/>
  <c r="W87" i="9"/>
  <c r="V87" i="9"/>
  <c r="U87" i="9"/>
  <c r="T87" i="9"/>
  <c r="S87" i="9"/>
  <c r="R87" i="9"/>
  <c r="Q87" i="9"/>
  <c r="P87" i="9"/>
  <c r="M87" i="9"/>
  <c r="J87" i="9"/>
  <c r="H87" i="9"/>
  <c r="C87" i="9"/>
  <c r="AD86" i="9"/>
  <c r="AD85" i="9"/>
  <c r="AD84" i="9"/>
  <c r="AD83" i="9"/>
  <c r="AD82" i="9"/>
  <c r="AD80" i="9"/>
  <c r="AD76" i="9"/>
  <c r="AD72" i="9"/>
  <c r="AB72" i="9"/>
  <c r="AA72" i="9"/>
  <c r="W72" i="9"/>
  <c r="V72" i="9"/>
  <c r="U72" i="9"/>
  <c r="T72" i="9"/>
  <c r="S72" i="9"/>
  <c r="R72" i="9"/>
  <c r="Q72" i="9"/>
  <c r="P72" i="9"/>
  <c r="J72" i="9"/>
  <c r="H72" i="9"/>
  <c r="C72" i="9"/>
  <c r="AD71" i="9"/>
  <c r="AB71" i="9"/>
  <c r="AA71" i="9"/>
  <c r="W71" i="9"/>
  <c r="V71" i="9"/>
  <c r="U71" i="9"/>
  <c r="T71" i="9"/>
  <c r="S71" i="9"/>
  <c r="R71" i="9"/>
  <c r="Q71" i="9"/>
  <c r="P71" i="9"/>
  <c r="M71" i="9"/>
  <c r="J71" i="9"/>
  <c r="H71" i="9"/>
  <c r="C71" i="9"/>
  <c r="AD70" i="9"/>
  <c r="AB70" i="9"/>
  <c r="AA70" i="9"/>
  <c r="W70" i="9"/>
  <c r="V70" i="9"/>
  <c r="U70" i="9"/>
  <c r="T70" i="9"/>
  <c r="S70" i="9"/>
  <c r="R70" i="9"/>
  <c r="Q70" i="9"/>
  <c r="P70" i="9"/>
  <c r="M70" i="9"/>
  <c r="J70" i="9"/>
  <c r="H70" i="9"/>
  <c r="C70" i="9"/>
  <c r="AD69" i="9"/>
  <c r="AB69" i="9"/>
  <c r="AA69" i="9"/>
  <c r="W69" i="9"/>
  <c r="V69" i="9"/>
  <c r="U69" i="9"/>
  <c r="T69" i="9"/>
  <c r="S69" i="9"/>
  <c r="R69" i="9"/>
  <c r="Q69" i="9"/>
  <c r="P69" i="9"/>
  <c r="M69" i="9"/>
  <c r="J69" i="9"/>
  <c r="H69" i="9"/>
  <c r="C69" i="9"/>
  <c r="AD68" i="9"/>
  <c r="AB68" i="9"/>
  <c r="AA68" i="9"/>
  <c r="W68" i="9"/>
  <c r="V68" i="9"/>
  <c r="U68" i="9"/>
  <c r="T68" i="9"/>
  <c r="S68" i="9"/>
  <c r="R68" i="9"/>
  <c r="Q68" i="9"/>
  <c r="P68" i="9"/>
  <c r="M68" i="9"/>
  <c r="J68" i="9"/>
  <c r="H68" i="9"/>
  <c r="C68" i="9"/>
  <c r="AD67" i="9"/>
  <c r="AD66" i="9"/>
  <c r="AD65" i="9"/>
  <c r="AD64" i="9"/>
  <c r="AD63" i="9"/>
  <c r="AD62" i="9"/>
  <c r="AD56" i="9"/>
  <c r="AD55" i="9"/>
  <c r="AD54" i="9"/>
  <c r="AD53" i="9"/>
  <c r="AD52" i="9"/>
  <c r="AD51" i="9"/>
  <c r="AD47" i="9"/>
  <c r="AC47" i="9"/>
  <c r="AB47" i="9"/>
  <c r="AA47" i="9"/>
  <c r="W47" i="9"/>
  <c r="V47" i="9"/>
  <c r="U47" i="9"/>
  <c r="T47" i="9"/>
  <c r="S47" i="9"/>
  <c r="R47" i="9"/>
  <c r="Q47" i="9"/>
  <c r="P47" i="9"/>
  <c r="M47" i="9"/>
  <c r="J47" i="9"/>
  <c r="I47" i="9"/>
  <c r="H47" i="9"/>
  <c r="C47" i="9"/>
  <c r="AD46" i="9"/>
  <c r="AC46" i="9"/>
  <c r="AB46" i="9"/>
  <c r="AA46" i="9"/>
  <c r="W46" i="9"/>
  <c r="V46" i="9"/>
  <c r="U46" i="9"/>
  <c r="T46" i="9"/>
  <c r="S46" i="9"/>
  <c r="R46" i="9"/>
  <c r="Q46" i="9"/>
  <c r="P46" i="9"/>
  <c r="M46" i="9"/>
  <c r="J46" i="9"/>
  <c r="I46" i="9"/>
  <c r="H46" i="9"/>
  <c r="C46" i="9"/>
  <c r="AD45" i="9"/>
  <c r="AC45" i="9"/>
  <c r="AB45" i="9"/>
  <c r="AA45" i="9"/>
  <c r="W45" i="9"/>
  <c r="V45" i="9"/>
  <c r="U45" i="9"/>
  <c r="T45" i="9"/>
  <c r="S45" i="9"/>
  <c r="R45" i="9"/>
  <c r="Q45" i="9"/>
  <c r="P45" i="9"/>
  <c r="M45" i="9"/>
  <c r="J45" i="9"/>
  <c r="I45" i="9"/>
  <c r="H45" i="9"/>
  <c r="C45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8" i="9"/>
  <c r="AD61" i="9"/>
  <c r="AD60" i="9"/>
  <c r="AD59" i="9"/>
  <c r="AD58" i="9"/>
  <c r="AD27" i="9"/>
  <c r="AD26" i="9"/>
  <c r="AD25" i="9"/>
  <c r="AD24" i="9"/>
  <c r="AD23" i="9"/>
  <c r="AD22" i="9"/>
  <c r="AD21" i="9"/>
  <c r="AD20" i="9"/>
  <c r="AD57" i="9"/>
  <c r="AD19" i="9"/>
  <c r="AD18" i="9"/>
  <c r="AD17" i="9"/>
  <c r="AD16" i="9"/>
  <c r="AD15" i="9"/>
  <c r="AC15" i="9"/>
  <c r="AD14" i="9"/>
  <c r="AC14" i="9"/>
  <c r="AD13" i="9"/>
  <c r="AC13" i="9"/>
  <c r="AD12" i="9"/>
  <c r="AC12" i="9"/>
  <c r="AD11" i="9"/>
  <c r="AC11" i="9"/>
  <c r="AD78" i="9"/>
  <c r="AD10" i="9"/>
  <c r="AD9" i="9"/>
  <c r="AD77" i="9"/>
  <c r="AD4" i="9"/>
  <c r="AD8" i="9"/>
  <c r="AD6" i="9"/>
  <c r="AD5" i="9"/>
  <c r="AD7" i="9"/>
  <c r="AD82" i="8"/>
  <c r="C79" i="9" l="1"/>
  <c r="S79" i="9"/>
  <c r="U79" i="9"/>
  <c r="AA79" i="9"/>
  <c r="T79" i="9"/>
  <c r="W79" i="9"/>
  <c r="J79" i="9"/>
  <c r="M79" i="9"/>
  <c r="P79" i="9"/>
  <c r="Q79" i="9"/>
  <c r="R79" i="9"/>
  <c r="H79" i="9"/>
  <c r="M17" i="10"/>
  <c r="T30" i="10"/>
  <c r="W5" i="10"/>
  <c r="V32" i="10"/>
  <c r="H59" i="10"/>
  <c r="M51" i="10"/>
  <c r="H8" i="10"/>
  <c r="Q8" i="10"/>
  <c r="H17" i="10"/>
  <c r="M44" i="10"/>
  <c r="R53" i="10"/>
  <c r="I17" i="10"/>
  <c r="AB44" i="10"/>
  <c r="Q37" i="10"/>
  <c r="T20" i="10"/>
  <c r="H39" i="10"/>
  <c r="AA8" i="10"/>
  <c r="H78" i="10"/>
  <c r="R33" i="10"/>
  <c r="I65" i="10"/>
  <c r="C13" i="10"/>
  <c r="U13" i="10"/>
  <c r="AA17" i="10"/>
  <c r="AA39" i="10"/>
  <c r="I39" i="10"/>
  <c r="AB39" i="10"/>
  <c r="J20" i="10"/>
  <c r="C37" i="10"/>
  <c r="U15" i="10"/>
  <c r="Q20" i="10"/>
  <c r="I37" i="10"/>
  <c r="M42" i="10"/>
  <c r="AB20" i="10"/>
  <c r="AB37" i="10"/>
  <c r="AA43" i="10"/>
  <c r="Q5" i="10"/>
  <c r="V11" i="10"/>
  <c r="V15" i="10"/>
  <c r="P19" i="10"/>
  <c r="R25" i="10"/>
  <c r="V30" i="10"/>
  <c r="W35" i="10"/>
  <c r="H62" i="10"/>
  <c r="C74" i="10"/>
  <c r="T25" i="10"/>
  <c r="Q62" i="10"/>
  <c r="I20" i="10"/>
  <c r="V25" i="10"/>
  <c r="AA31" i="10"/>
  <c r="U55" i="10"/>
  <c r="R62" i="10"/>
  <c r="W25" i="10"/>
  <c r="AA25" i="10"/>
  <c r="T32" i="10"/>
  <c r="I9" i="10"/>
  <c r="AB17" i="10"/>
  <c r="U33" i="10"/>
  <c r="AB6" i="10"/>
  <c r="V59" i="10"/>
  <c r="S78" i="10"/>
  <c r="C39" i="10"/>
  <c r="I44" i="10"/>
  <c r="U78" i="10"/>
  <c r="H4" i="10"/>
  <c r="W10" i="10"/>
  <c r="H18" i="10"/>
  <c r="C30" i="10"/>
  <c r="H34" i="10"/>
  <c r="AA73" i="10"/>
  <c r="R78" i="10"/>
  <c r="U62" i="10"/>
  <c r="W78" i="10"/>
  <c r="AB33" i="10"/>
  <c r="AB62" i="10"/>
  <c r="AA78" i="10"/>
  <c r="M26" i="10"/>
  <c r="W59" i="10"/>
  <c r="H74" i="10"/>
  <c r="H77" i="10"/>
  <c r="Q26" i="10"/>
  <c r="I38" i="10"/>
  <c r="P64" i="10"/>
  <c r="I74" i="10"/>
  <c r="J77" i="10"/>
  <c r="J26" i="10"/>
  <c r="S7" i="10"/>
  <c r="AA19" i="10"/>
  <c r="M24" i="10"/>
  <c r="S26" i="10"/>
  <c r="P35" i="10"/>
  <c r="AA38" i="10"/>
  <c r="R42" i="10"/>
  <c r="AA50" i="10"/>
  <c r="I55" i="10"/>
  <c r="C60" i="10"/>
  <c r="AA64" i="10"/>
  <c r="M74" i="10"/>
  <c r="V77" i="10"/>
  <c r="V7" i="10"/>
  <c r="T26" i="10"/>
  <c r="J32" i="10"/>
  <c r="R35" i="10"/>
  <c r="AB38" i="10"/>
  <c r="M55" i="10"/>
  <c r="H60" i="10"/>
  <c r="AB74" i="10"/>
  <c r="AA77" i="10"/>
  <c r="H20" i="10"/>
  <c r="H25" i="10"/>
  <c r="AA26" i="10"/>
  <c r="M32" i="10"/>
  <c r="U35" i="10"/>
  <c r="J43" i="10"/>
  <c r="J51" i="10"/>
  <c r="P55" i="10"/>
  <c r="H65" i="10"/>
  <c r="T34" i="10"/>
  <c r="V57" i="10"/>
  <c r="T60" i="10"/>
  <c r="P61" i="10"/>
  <c r="P80" i="10"/>
  <c r="U20" i="10"/>
  <c r="V34" i="10"/>
  <c r="C6" i="10"/>
  <c r="W57" i="10"/>
  <c r="U60" i="10"/>
  <c r="Q61" i="10"/>
  <c r="Q80" i="10"/>
  <c r="R37" i="10"/>
  <c r="I79" i="9"/>
  <c r="AB79" i="9"/>
  <c r="AA14" i="10"/>
  <c r="J17" i="10"/>
  <c r="V20" i="10"/>
  <c r="C23" i="10"/>
  <c r="S25" i="10"/>
  <c r="P26" i="10"/>
  <c r="Q33" i="10"/>
  <c r="W34" i="10"/>
  <c r="S37" i="10"/>
  <c r="AB43" i="10"/>
  <c r="H6" i="10"/>
  <c r="S53" i="10"/>
  <c r="AA57" i="10"/>
  <c r="AA59" i="10"/>
  <c r="V60" i="10"/>
  <c r="W61" i="10"/>
  <c r="S62" i="10"/>
  <c r="AB64" i="10"/>
  <c r="U77" i="10"/>
  <c r="T78" i="10"/>
  <c r="R80" i="10"/>
  <c r="W20" i="10"/>
  <c r="Q23" i="10"/>
  <c r="C29" i="10"/>
  <c r="H32" i="10"/>
  <c r="AA34" i="10"/>
  <c r="U37" i="10"/>
  <c r="C42" i="10"/>
  <c r="C51" i="10"/>
  <c r="W6" i="10"/>
  <c r="H56" i="10"/>
  <c r="AB57" i="10"/>
  <c r="W60" i="10"/>
  <c r="AA61" i="10"/>
  <c r="W80" i="10"/>
  <c r="I7" i="10"/>
  <c r="AB12" i="10"/>
  <c r="W17" i="10"/>
  <c r="C20" i="10"/>
  <c r="AA20" i="10"/>
  <c r="U25" i="10"/>
  <c r="R26" i="10"/>
  <c r="H29" i="10"/>
  <c r="I32" i="10"/>
  <c r="S33" i="10"/>
  <c r="AB34" i="10"/>
  <c r="C36" i="10"/>
  <c r="AA37" i="10"/>
  <c r="H42" i="10"/>
  <c r="H51" i="10"/>
  <c r="AB56" i="10"/>
  <c r="AA60" i="10"/>
  <c r="AB61" i="10"/>
  <c r="AA62" i="10"/>
  <c r="W77" i="10"/>
  <c r="V78" i="10"/>
  <c r="AB80" i="10"/>
  <c r="S42" i="10"/>
  <c r="P51" i="10"/>
  <c r="C57" i="10"/>
  <c r="M60" i="10"/>
  <c r="C61" i="10"/>
  <c r="M65" i="10"/>
  <c r="M10" i="10"/>
  <c r="I13" i="10"/>
  <c r="M20" i="10"/>
  <c r="W24" i="10"/>
  <c r="AB25" i="10"/>
  <c r="AB26" i="10"/>
  <c r="U32" i="10"/>
  <c r="Q35" i="10"/>
  <c r="H37" i="10"/>
  <c r="H38" i="10"/>
  <c r="U51" i="10"/>
  <c r="H52" i="10"/>
  <c r="H57" i="10"/>
  <c r="P60" i="10"/>
  <c r="H61" i="10"/>
  <c r="I62" i="10"/>
  <c r="T65" i="10"/>
  <c r="AA51" i="10"/>
  <c r="M52" i="10"/>
  <c r="R55" i="10"/>
  <c r="S57" i="10"/>
  <c r="J59" i="10"/>
  <c r="Q60" i="10"/>
  <c r="I61" i="10"/>
  <c r="J62" i="10"/>
  <c r="C64" i="10"/>
  <c r="V65" i="10"/>
  <c r="S74" i="10"/>
  <c r="M78" i="10"/>
  <c r="C80" i="10"/>
  <c r="T82" i="10"/>
  <c r="C43" i="10"/>
  <c r="AB51" i="10"/>
  <c r="AB52" i="10"/>
  <c r="S55" i="10"/>
  <c r="T57" i="10"/>
  <c r="M59" i="10"/>
  <c r="R60" i="10"/>
  <c r="J61" i="10"/>
  <c r="M62" i="10"/>
  <c r="H64" i="10"/>
  <c r="AB65" i="10"/>
  <c r="U74" i="10"/>
  <c r="P78" i="10"/>
  <c r="I80" i="10"/>
  <c r="V82" i="10"/>
  <c r="J8" i="10"/>
  <c r="AA10" i="10"/>
  <c r="W13" i="10"/>
  <c r="R20" i="10"/>
  <c r="H22" i="10"/>
  <c r="AA32" i="10"/>
  <c r="M34" i="10"/>
  <c r="S35" i="10"/>
  <c r="M37" i="10"/>
  <c r="J38" i="10"/>
  <c r="M8" i="10"/>
  <c r="AA13" i="10"/>
  <c r="C17" i="10"/>
  <c r="S20" i="10"/>
  <c r="I22" i="10"/>
  <c r="C25" i="10"/>
  <c r="H26" i="10"/>
  <c r="AB32" i="10"/>
  <c r="P34" i="10"/>
  <c r="T35" i="10"/>
  <c r="P37" i="10"/>
  <c r="I43" i="10"/>
  <c r="T55" i="10"/>
  <c r="U57" i="10"/>
  <c r="U59" i="10"/>
  <c r="S60" i="10"/>
  <c r="M61" i="10"/>
  <c r="P62" i="10"/>
  <c r="I64" i="10"/>
  <c r="AA74" i="10"/>
  <c r="C77" i="10"/>
  <c r="Q78" i="10"/>
  <c r="M80" i="10"/>
  <c r="AB82" i="10"/>
  <c r="R5" i="10"/>
  <c r="I8" i="10"/>
  <c r="AB8" i="10"/>
  <c r="P10" i="10"/>
  <c r="V13" i="10"/>
  <c r="AB14" i="10"/>
  <c r="Q19" i="10"/>
  <c r="J21" i="10"/>
  <c r="V24" i="10"/>
  <c r="U30" i="10"/>
  <c r="J44" i="10"/>
  <c r="AB50" i="10"/>
  <c r="J52" i="10"/>
  <c r="U65" i="10"/>
  <c r="AB73" i="10"/>
  <c r="H80" i="10"/>
  <c r="AA80" i="10"/>
  <c r="U82" i="10"/>
  <c r="M21" i="10"/>
  <c r="J28" i="10"/>
  <c r="P84" i="10"/>
  <c r="W30" i="10"/>
  <c r="C32" i="10"/>
  <c r="W32" i="10"/>
  <c r="T33" i="10"/>
  <c r="U34" i="10"/>
  <c r="P42" i="10"/>
  <c r="P44" i="10"/>
  <c r="P52" i="10"/>
  <c r="P53" i="10"/>
  <c r="Q55" i="10"/>
  <c r="I56" i="10"/>
  <c r="W65" i="10"/>
  <c r="J80" i="10"/>
  <c r="W82" i="10"/>
  <c r="V84" i="10"/>
  <c r="AA5" i="10"/>
  <c r="C12" i="10"/>
  <c r="AB19" i="10"/>
  <c r="P21" i="10"/>
  <c r="AA24" i="10"/>
  <c r="M28" i="10"/>
  <c r="P8" i="10"/>
  <c r="AB10" i="10"/>
  <c r="H12" i="10"/>
  <c r="H13" i="10"/>
  <c r="AB13" i="10"/>
  <c r="Q21" i="10"/>
  <c r="P28" i="10"/>
  <c r="AA30" i="10"/>
  <c r="Q42" i="10"/>
  <c r="Q44" i="10"/>
  <c r="Q52" i="10"/>
  <c r="C65" i="10"/>
  <c r="AA65" i="10"/>
  <c r="AA82" i="10"/>
  <c r="R21" i="10"/>
  <c r="Q28" i="10"/>
  <c r="R52" i="10"/>
  <c r="R8" i="10"/>
  <c r="H30" i="10"/>
  <c r="S44" i="10"/>
  <c r="T42" i="10"/>
  <c r="T52" i="10"/>
  <c r="T8" i="10"/>
  <c r="C10" i="10"/>
  <c r="J11" i="10"/>
  <c r="U12" i="10"/>
  <c r="Q13" i="10"/>
  <c r="H14" i="10"/>
  <c r="I16" i="10"/>
  <c r="Q17" i="10"/>
  <c r="C19" i="10"/>
  <c r="U21" i="10"/>
  <c r="I25" i="10"/>
  <c r="T28" i="10"/>
  <c r="P30" i="10"/>
  <c r="I31" i="10"/>
  <c r="P32" i="10"/>
  <c r="I33" i="10"/>
  <c r="C34" i="10"/>
  <c r="T37" i="10"/>
  <c r="U42" i="10"/>
  <c r="U44" i="10"/>
  <c r="J50" i="10"/>
  <c r="T51" i="10"/>
  <c r="U52" i="10"/>
  <c r="V55" i="10"/>
  <c r="T62" i="10"/>
  <c r="M64" i="10"/>
  <c r="P65" i="10"/>
  <c r="T74" i="10"/>
  <c r="S80" i="10"/>
  <c r="H82" i="10"/>
  <c r="M83" i="10"/>
  <c r="R44" i="10"/>
  <c r="S8" i="10"/>
  <c r="P13" i="10"/>
  <c r="T44" i="10"/>
  <c r="H50" i="10"/>
  <c r="Q30" i="10"/>
  <c r="V42" i="10"/>
  <c r="V44" i="10"/>
  <c r="P50" i="10"/>
  <c r="Q65" i="10"/>
  <c r="T80" i="10"/>
  <c r="I82" i="10"/>
  <c r="Q83" i="10"/>
  <c r="I12" i="10"/>
  <c r="S21" i="10"/>
  <c r="S52" i="10"/>
  <c r="R12" i="10"/>
  <c r="C14" i="10"/>
  <c r="T21" i="10"/>
  <c r="M30" i="10"/>
  <c r="C82" i="10"/>
  <c r="C5" i="10"/>
  <c r="U8" i="10"/>
  <c r="H10" i="10"/>
  <c r="V12" i="10"/>
  <c r="R13" i="10"/>
  <c r="M14" i="10"/>
  <c r="R16" i="10"/>
  <c r="T17" i="10"/>
  <c r="H19" i="10"/>
  <c r="J31" i="10"/>
  <c r="J33" i="10"/>
  <c r="T11" i="10"/>
  <c r="P14" i="10"/>
  <c r="AB21" i="10"/>
  <c r="I24" i="10"/>
  <c r="P25" i="10"/>
  <c r="V28" i="10"/>
  <c r="R30" i="10"/>
  <c r="S31" i="10"/>
  <c r="R32" i="10"/>
  <c r="M33" i="10"/>
  <c r="I34" i="10"/>
  <c r="C35" i="10"/>
  <c r="V37" i="10"/>
  <c r="W42" i="10"/>
  <c r="C44" i="10"/>
  <c r="W44" i="10"/>
  <c r="Q50" i="10"/>
  <c r="V51" i="10"/>
  <c r="W52" i="10"/>
  <c r="C55" i="10"/>
  <c r="AA55" i="10"/>
  <c r="I57" i="10"/>
  <c r="V62" i="10"/>
  <c r="V64" i="10"/>
  <c r="R65" i="10"/>
  <c r="C73" i="10"/>
  <c r="V74" i="10"/>
  <c r="C78" i="10"/>
  <c r="U80" i="10"/>
  <c r="J82" i="10"/>
  <c r="T83" i="10"/>
  <c r="I21" i="10"/>
  <c r="Q12" i="10"/>
  <c r="M13" i="10"/>
  <c r="R28" i="10"/>
  <c r="C50" i="10"/>
  <c r="C11" i="10"/>
  <c r="P17" i="10"/>
  <c r="S28" i="10"/>
  <c r="H31" i="10"/>
  <c r="M11" i="10"/>
  <c r="AA21" i="10"/>
  <c r="M25" i="10"/>
  <c r="Q32" i="10"/>
  <c r="V52" i="10"/>
  <c r="W55" i="10"/>
  <c r="H5" i="10"/>
  <c r="V8" i="10"/>
  <c r="I10" i="10"/>
  <c r="W12" i="10"/>
  <c r="S13" i="10"/>
  <c r="S16" i="10"/>
  <c r="U17" i="10"/>
  <c r="I19" i="10"/>
  <c r="C8" i="10"/>
  <c r="U11" i="10"/>
  <c r="AA12" i="10"/>
  <c r="T13" i="10"/>
  <c r="Q14" i="10"/>
  <c r="T16" i="10"/>
  <c r="J24" i="10"/>
  <c r="Q25" i="10"/>
  <c r="H27" i="10"/>
  <c r="S30" i="10"/>
  <c r="W31" i="10"/>
  <c r="J34" i="10"/>
  <c r="W37" i="10"/>
  <c r="AA42" i="10"/>
  <c r="H44" i="10"/>
  <c r="W51" i="10"/>
  <c r="C52" i="10"/>
  <c r="H55" i="10"/>
  <c r="AB55" i="10"/>
  <c r="M57" i="10"/>
  <c r="C62" i="10"/>
  <c r="S65" i="10"/>
  <c r="W74" i="10"/>
  <c r="M82" i="10"/>
  <c r="U83" i="10"/>
  <c r="I27" i="10"/>
  <c r="AB40" i="10"/>
  <c r="I40" i="10"/>
  <c r="AA40" i="10"/>
  <c r="H40" i="10"/>
  <c r="W40" i="10"/>
  <c r="C40" i="10"/>
  <c r="V40" i="10"/>
  <c r="U40" i="10"/>
  <c r="J4" i="10"/>
  <c r="W7" i="10"/>
  <c r="W15" i="10"/>
  <c r="I36" i="10"/>
  <c r="V73" i="10"/>
  <c r="U73" i="10"/>
  <c r="T73" i="10"/>
  <c r="S73" i="10"/>
  <c r="R73" i="10"/>
  <c r="M73" i="10"/>
  <c r="W84" i="10"/>
  <c r="T41" i="10"/>
  <c r="S41" i="10"/>
  <c r="Q41" i="10"/>
  <c r="R41" i="10"/>
  <c r="P41" i="10"/>
  <c r="AB23" i="10"/>
  <c r="I23" i="10"/>
  <c r="AA23" i="10"/>
  <c r="H23" i="10"/>
  <c r="M4" i="10"/>
  <c r="AA15" i="10"/>
  <c r="U16" i="10"/>
  <c r="Q18" i="10"/>
  <c r="U19" i="10"/>
  <c r="T19" i="10"/>
  <c r="M22" i="10"/>
  <c r="J23" i="10"/>
  <c r="C24" i="10"/>
  <c r="AB24" i="10"/>
  <c r="J29" i="10"/>
  <c r="AB31" i="10"/>
  <c r="J36" i="10"/>
  <c r="H41" i="10"/>
  <c r="V43" i="10"/>
  <c r="U43" i="10"/>
  <c r="T43" i="10"/>
  <c r="S43" i="10"/>
  <c r="R43" i="10"/>
  <c r="W56" i="10"/>
  <c r="C56" i="10"/>
  <c r="V56" i="10"/>
  <c r="U56" i="10"/>
  <c r="T56" i="10"/>
  <c r="S56" i="10"/>
  <c r="P56" i="10"/>
  <c r="R27" i="10"/>
  <c r="Q27" i="10"/>
  <c r="P27" i="10"/>
  <c r="W9" i="10"/>
  <c r="C9" i="10"/>
  <c r="V9" i="10"/>
  <c r="J9" i="10"/>
  <c r="P18" i="10"/>
  <c r="J22" i="10"/>
  <c r="J27" i="10"/>
  <c r="I29" i="10"/>
  <c r="J5" i="10"/>
  <c r="AB5" i="10"/>
  <c r="I5" i="10"/>
  <c r="AA7" i="10"/>
  <c r="M9" i="10"/>
  <c r="V14" i="10"/>
  <c r="U14" i="10"/>
  <c r="P4" i="10"/>
  <c r="M5" i="10"/>
  <c r="C7" i="10"/>
  <c r="AB7" i="10"/>
  <c r="P9" i="10"/>
  <c r="R10" i="10"/>
  <c r="Q10" i="10"/>
  <c r="J14" i="10"/>
  <c r="C15" i="10"/>
  <c r="AB15" i="10"/>
  <c r="V16" i="10"/>
  <c r="J19" i="10"/>
  <c r="M23" i="10"/>
  <c r="S27" i="10"/>
  <c r="W38" i="10"/>
  <c r="C38" i="10"/>
  <c r="V38" i="10"/>
  <c r="U38" i="10"/>
  <c r="S38" i="10"/>
  <c r="R39" i="10"/>
  <c r="Q39" i="10"/>
  <c r="M39" i="10"/>
  <c r="P39" i="10"/>
  <c r="J39" i="10"/>
  <c r="I41" i="10"/>
  <c r="U6" i="10"/>
  <c r="T6" i="10"/>
  <c r="S6" i="10"/>
  <c r="R6" i="10"/>
  <c r="Q6" i="10"/>
  <c r="J6" i="10"/>
  <c r="J18" i="10"/>
  <c r="AB18" i="10"/>
  <c r="I18" i="10"/>
  <c r="U36" i="10"/>
  <c r="T36" i="10"/>
  <c r="S36" i="10"/>
  <c r="Q36" i="10"/>
  <c r="AB63" i="10"/>
  <c r="H63" i="10"/>
  <c r="AA63" i="10"/>
  <c r="C63" i="10"/>
  <c r="W63" i="10"/>
  <c r="V63" i="10"/>
  <c r="U63" i="10"/>
  <c r="R63" i="10"/>
  <c r="I4" i="10"/>
  <c r="R22" i="10"/>
  <c r="Q22" i="10"/>
  <c r="T29" i="10"/>
  <c r="S29" i="10"/>
  <c r="R29" i="10"/>
  <c r="H36" i="10"/>
  <c r="T54" i="10"/>
  <c r="S54" i="10"/>
  <c r="R54" i="10"/>
  <c r="Q54" i="10"/>
  <c r="P54" i="10"/>
  <c r="AB54" i="10"/>
  <c r="H54" i="10"/>
  <c r="Q4" i="10"/>
  <c r="H7" i="10"/>
  <c r="Q9" i="10"/>
  <c r="AB11" i="10"/>
  <c r="I11" i="10"/>
  <c r="AA11" i="10"/>
  <c r="H11" i="10"/>
  <c r="H15" i="10"/>
  <c r="AB16" i="10"/>
  <c r="S18" i="10"/>
  <c r="S22" i="10"/>
  <c r="P23" i="10"/>
  <c r="T24" i="10"/>
  <c r="S24" i="10"/>
  <c r="T27" i="10"/>
  <c r="P29" i="10"/>
  <c r="V31" i="10"/>
  <c r="U31" i="10"/>
  <c r="T31" i="10"/>
  <c r="P36" i="10"/>
  <c r="J40" i="10"/>
  <c r="J41" i="10"/>
  <c r="AA53" i="10"/>
  <c r="H53" i="10"/>
  <c r="W53" i="10"/>
  <c r="C53" i="10"/>
  <c r="V53" i="10"/>
  <c r="U53" i="10"/>
  <c r="T53" i="10"/>
  <c r="Q53" i="10"/>
  <c r="J58" i="10"/>
  <c r="I81" i="10"/>
  <c r="U84" i="10"/>
  <c r="T84" i="10"/>
  <c r="S84" i="10"/>
  <c r="R84" i="10"/>
  <c r="Q84" i="10"/>
  <c r="J84" i="10"/>
  <c r="AB84" i="10"/>
  <c r="I84" i="10"/>
  <c r="I15" i="10"/>
  <c r="M40" i="10"/>
  <c r="M41" i="10"/>
  <c r="C54" i="10"/>
  <c r="R23" i="10"/>
  <c r="U29" i="10"/>
  <c r="S10" i="10"/>
  <c r="V18" i="10"/>
  <c r="R19" i="10"/>
  <c r="V22" i="10"/>
  <c r="S23" i="10"/>
  <c r="P24" i="10"/>
  <c r="W27" i="10"/>
  <c r="V29" i="10"/>
  <c r="M31" i="10"/>
  <c r="W36" i="10"/>
  <c r="M38" i="10"/>
  <c r="S39" i="10"/>
  <c r="Q40" i="10"/>
  <c r="V41" i="10"/>
  <c r="M43" i="10"/>
  <c r="V50" i="10"/>
  <c r="U50" i="10"/>
  <c r="T50" i="10"/>
  <c r="S50" i="10"/>
  <c r="R50" i="10"/>
  <c r="M50" i="10"/>
  <c r="I6" i="10"/>
  <c r="M54" i="10"/>
  <c r="J56" i="10"/>
  <c r="P63" i="10"/>
  <c r="J73" i="10"/>
  <c r="J83" i="10"/>
  <c r="AB83" i="10"/>
  <c r="I83" i="10"/>
  <c r="AA83" i="10"/>
  <c r="H83" i="10"/>
  <c r="W83" i="10"/>
  <c r="C83" i="10"/>
  <c r="V83" i="10"/>
  <c r="S83" i="10"/>
  <c r="R83" i="10"/>
  <c r="AB58" i="10"/>
  <c r="I58" i="10"/>
  <c r="AA58" i="10"/>
  <c r="H58" i="10"/>
  <c r="W58" i="10"/>
  <c r="C58" i="10"/>
  <c r="V58" i="10"/>
  <c r="U58" i="10"/>
  <c r="R58" i="10"/>
  <c r="AA81" i="10"/>
  <c r="H81" i="10"/>
  <c r="W81" i="10"/>
  <c r="C81" i="10"/>
  <c r="V81" i="10"/>
  <c r="U81" i="10"/>
  <c r="T81" i="10"/>
  <c r="Q81" i="10"/>
  <c r="P81" i="10"/>
  <c r="M18" i="10"/>
  <c r="Q15" i="10"/>
  <c r="P15" i="10"/>
  <c r="R36" i="10"/>
  <c r="J81" i="10"/>
  <c r="J7" i="10"/>
  <c r="V27" i="10"/>
  <c r="U41" i="10"/>
  <c r="J54" i="10"/>
  <c r="V4" i="10"/>
  <c r="M7" i="10"/>
  <c r="P11" i="10"/>
  <c r="W4" i="10"/>
  <c r="T5" i="10"/>
  <c r="P7" i="10"/>
  <c r="R15" i="10"/>
  <c r="M16" i="10"/>
  <c r="AA27" i="10"/>
  <c r="P31" i="10"/>
  <c r="AA36" i="10"/>
  <c r="P38" i="10"/>
  <c r="T39" i="10"/>
  <c r="R40" i="10"/>
  <c r="W41" i="10"/>
  <c r="P43" i="10"/>
  <c r="M6" i="10"/>
  <c r="I53" i="10"/>
  <c r="U54" i="10"/>
  <c r="M56" i="10"/>
  <c r="S58" i="10"/>
  <c r="Q63" i="10"/>
  <c r="P73" i="10"/>
  <c r="T77" i="10"/>
  <c r="S77" i="10"/>
  <c r="R77" i="10"/>
  <c r="Q77" i="10"/>
  <c r="P77" i="10"/>
  <c r="AB77" i="10"/>
  <c r="I77" i="10"/>
  <c r="S81" i="10"/>
  <c r="C84" i="10"/>
  <c r="T4" i="10"/>
  <c r="Q29" i="10"/>
  <c r="P40" i="10"/>
  <c r="P58" i="10"/>
  <c r="M63" i="10"/>
  <c r="M81" i="10"/>
  <c r="T9" i="10"/>
  <c r="W18" i="10"/>
  <c r="S19" i="10"/>
  <c r="U5" i="10"/>
  <c r="AA9" i="10"/>
  <c r="U10" i="10"/>
  <c r="R11" i="10"/>
  <c r="T14" i="10"/>
  <c r="S15" i="10"/>
  <c r="S17" i="10"/>
  <c r="R17" i="10"/>
  <c r="AA18" i="10"/>
  <c r="V19" i="10"/>
  <c r="W21" i="10"/>
  <c r="C21" i="10"/>
  <c r="V21" i="10"/>
  <c r="AA22" i="10"/>
  <c r="U23" i="10"/>
  <c r="R24" i="10"/>
  <c r="W26" i="10"/>
  <c r="C26" i="10"/>
  <c r="V26" i="10"/>
  <c r="U26" i="10"/>
  <c r="AB27" i="10"/>
  <c r="AA29" i="10"/>
  <c r="Q31" i="10"/>
  <c r="AA33" i="10"/>
  <c r="H33" i="10"/>
  <c r="W33" i="10"/>
  <c r="C33" i="10"/>
  <c r="V33" i="10"/>
  <c r="AB36" i="10"/>
  <c r="Q38" i="10"/>
  <c r="U39" i="10"/>
  <c r="S40" i="10"/>
  <c r="AA41" i="10"/>
  <c r="Q43" i="10"/>
  <c r="P6" i="10"/>
  <c r="J53" i="10"/>
  <c r="V54" i="10"/>
  <c r="Q56" i="10"/>
  <c r="T58" i="10"/>
  <c r="T59" i="10"/>
  <c r="S59" i="10"/>
  <c r="R59" i="10"/>
  <c r="Q59" i="10"/>
  <c r="P59" i="10"/>
  <c r="AB59" i="10"/>
  <c r="I59" i="10"/>
  <c r="S63" i="10"/>
  <c r="Q73" i="10"/>
  <c r="AB81" i="10"/>
  <c r="H84" i="10"/>
  <c r="S4" i="10"/>
  <c r="R4" i="10"/>
  <c r="U7" i="10"/>
  <c r="T7" i="10"/>
  <c r="R9" i="10"/>
  <c r="T18" i="10"/>
  <c r="T22" i="10"/>
  <c r="U27" i="10"/>
  <c r="M58" i="10"/>
  <c r="J63" i="10"/>
  <c r="U4" i="10"/>
  <c r="S9" i="10"/>
  <c r="AA16" i="10"/>
  <c r="H16" i="10"/>
  <c r="W16" i="10"/>
  <c r="C16" i="10"/>
  <c r="U18" i="10"/>
  <c r="U22" i="10"/>
  <c r="V36" i="10"/>
  <c r="S5" i="10"/>
  <c r="T12" i="10"/>
  <c r="S12" i="10"/>
  <c r="R14" i="10"/>
  <c r="M15" i="10"/>
  <c r="J16" i="10"/>
  <c r="U9" i="10"/>
  <c r="T10" i="10"/>
  <c r="Q11" i="10"/>
  <c r="J12" i="10"/>
  <c r="S14" i="10"/>
  <c r="W22" i="10"/>
  <c r="T23" i="10"/>
  <c r="Q24" i="10"/>
  <c r="W29" i="10"/>
  <c r="C4" i="10"/>
  <c r="AB4" i="10"/>
  <c r="V5" i="10"/>
  <c r="R7" i="10"/>
  <c r="AB9" i="10"/>
  <c r="V10" i="10"/>
  <c r="S11" i="10"/>
  <c r="P12" i="10"/>
  <c r="W14" i="10"/>
  <c r="T15" i="10"/>
  <c r="Q16" i="10"/>
  <c r="C18" i="10"/>
  <c r="W19" i="10"/>
  <c r="C22" i="10"/>
  <c r="AB22" i="10"/>
  <c r="V23" i="10"/>
  <c r="U24" i="10"/>
  <c r="C27" i="10"/>
  <c r="AB28" i="10"/>
  <c r="I28" i="10"/>
  <c r="AA28" i="10"/>
  <c r="H28" i="10"/>
  <c r="W28" i="10"/>
  <c r="C28" i="10"/>
  <c r="AB29" i="10"/>
  <c r="R31" i="10"/>
  <c r="J35" i="10"/>
  <c r="AB35" i="10"/>
  <c r="I35" i="10"/>
  <c r="AA35" i="10"/>
  <c r="H35" i="10"/>
  <c r="V35" i="10"/>
  <c r="R38" i="10"/>
  <c r="V39" i="10"/>
  <c r="T40" i="10"/>
  <c r="AB41" i="10"/>
  <c r="W43" i="10"/>
  <c r="V6" i="10"/>
  <c r="M53" i="10"/>
  <c r="W54" i="10"/>
  <c r="R56" i="10"/>
  <c r="T63" i="10"/>
  <c r="U64" i="10"/>
  <c r="T64" i="10"/>
  <c r="S64" i="10"/>
  <c r="R64" i="10"/>
  <c r="Q64" i="10"/>
  <c r="J64" i="10"/>
  <c r="W73" i="10"/>
  <c r="M84" i="10"/>
  <c r="J57" i="10"/>
  <c r="R61" i="10"/>
  <c r="J74" i="10"/>
  <c r="S61" i="10"/>
  <c r="P82" i="10"/>
  <c r="I30" i="10"/>
  <c r="AB30" i="10"/>
  <c r="Q34" i="10"/>
  <c r="I42" i="10"/>
  <c r="AB42" i="10"/>
  <c r="Q51" i="10"/>
  <c r="P57" i="10"/>
  <c r="I60" i="10"/>
  <c r="AB60" i="10"/>
  <c r="T61" i="10"/>
  <c r="P74" i="10"/>
  <c r="I78" i="10"/>
  <c r="AB78" i="10"/>
  <c r="Q82" i="10"/>
  <c r="R34" i="10"/>
  <c r="R51" i="10"/>
  <c r="Q57" i="10"/>
  <c r="U61" i="10"/>
  <c r="Q74" i="10"/>
  <c r="R82" i="10"/>
  <c r="M14" i="9"/>
  <c r="M13" i="9"/>
  <c r="M11" i="9"/>
  <c r="M15" i="9"/>
  <c r="M12" i="9"/>
  <c r="AD12" i="8"/>
  <c r="M26" i="9"/>
  <c r="P15" i="9"/>
  <c r="AB14" i="9"/>
  <c r="I53" i="9" l="1"/>
  <c r="P59" i="9"/>
  <c r="C53" i="9"/>
  <c r="I42" i="9"/>
  <c r="U60" i="9"/>
  <c r="I11" i="9"/>
  <c r="AB4" i="9"/>
  <c r="V28" i="9"/>
  <c r="C42" i="9"/>
  <c r="AA4" i="9"/>
  <c r="H44" i="9"/>
  <c r="T20" i="9"/>
  <c r="T6" i="9"/>
  <c r="Q38" i="9"/>
  <c r="AB15" i="9"/>
  <c r="U18" i="9"/>
  <c r="V44" i="9"/>
  <c r="P77" i="9"/>
  <c r="S7" i="9"/>
  <c r="M18" i="9"/>
  <c r="U13" i="9"/>
  <c r="V31" i="9"/>
  <c r="AA28" i="9"/>
  <c r="T80" i="9"/>
  <c r="W31" i="9"/>
  <c r="C77" i="9"/>
  <c r="AA41" i="9"/>
  <c r="AB32" i="9"/>
  <c r="R6" i="9"/>
  <c r="U57" i="9"/>
  <c r="T57" i="9"/>
  <c r="M84" i="9"/>
  <c r="H14" i="9"/>
  <c r="R61" i="9"/>
  <c r="W27" i="9"/>
  <c r="R52" i="9"/>
  <c r="M59" i="9"/>
  <c r="P52" i="9"/>
  <c r="W40" i="9"/>
  <c r="J59" i="9"/>
  <c r="P9" i="9"/>
  <c r="I4" i="9"/>
  <c r="U14" i="9"/>
  <c r="J39" i="9"/>
  <c r="W7" i="9"/>
  <c r="T40" i="9"/>
  <c r="I57" i="9"/>
  <c r="I5" i="9"/>
  <c r="T35" i="9"/>
  <c r="R14" i="9"/>
  <c r="AA15" i="9"/>
  <c r="R40" i="9"/>
  <c r="T37" i="9"/>
  <c r="S82" i="9"/>
  <c r="W66" i="9"/>
  <c r="V17" i="9"/>
  <c r="I58" i="9"/>
  <c r="U66" i="9"/>
  <c r="I27" i="9"/>
  <c r="R12" i="9"/>
  <c r="R31" i="9"/>
  <c r="V35" i="9"/>
  <c r="W25" i="9"/>
  <c r="M7" i="9"/>
  <c r="V16" i="9"/>
  <c r="R16" i="9"/>
  <c r="V76" i="9"/>
  <c r="C33" i="9"/>
  <c r="M9" i="9"/>
  <c r="U26" i="9"/>
  <c r="AA50" i="9"/>
  <c r="C40" i="9"/>
  <c r="W30" i="9"/>
  <c r="J15" i="9"/>
  <c r="W32" i="9"/>
  <c r="S6" i="9"/>
  <c r="U37" i="9"/>
  <c r="V61" i="9"/>
  <c r="R63" i="9"/>
  <c r="T8" i="9"/>
  <c r="M6" i="9"/>
  <c r="T78" i="9"/>
  <c r="H12" i="9"/>
  <c r="V63" i="9"/>
  <c r="C67" i="9"/>
  <c r="S67" i="9"/>
  <c r="U5" i="9"/>
  <c r="W50" i="9"/>
  <c r="U77" i="9"/>
  <c r="R22" i="9"/>
  <c r="S66" i="9"/>
  <c r="U11" i="9"/>
  <c r="H53" i="9"/>
  <c r="H56" i="9"/>
  <c r="I33" i="9"/>
  <c r="P18" i="9"/>
  <c r="Q86" i="9"/>
  <c r="P39" i="9"/>
  <c r="V25" i="9"/>
  <c r="J4" i="9"/>
  <c r="R37" i="9"/>
  <c r="H11" i="9"/>
  <c r="C30" i="9"/>
  <c r="S18" i="9"/>
  <c r="C37" i="9"/>
  <c r="S14" i="9"/>
  <c r="W65" i="9"/>
  <c r="C32" i="9"/>
  <c r="S10" i="9"/>
  <c r="H5" i="9"/>
  <c r="S35" i="9"/>
  <c r="T59" i="9"/>
  <c r="W62" i="9"/>
  <c r="AA51" i="9"/>
  <c r="AA31" i="9"/>
  <c r="P85" i="9"/>
  <c r="Q21" i="9"/>
  <c r="M34" i="9"/>
  <c r="V8" i="9"/>
  <c r="R51" i="9"/>
  <c r="Q8" i="9"/>
  <c r="V29" i="9"/>
  <c r="V78" i="9"/>
  <c r="C6" i="9"/>
  <c r="J7" i="9"/>
  <c r="H6" i="9"/>
  <c r="P32" i="9"/>
  <c r="V62" i="9"/>
  <c r="C76" i="9"/>
  <c r="M41" i="9"/>
  <c r="T19" i="9"/>
  <c r="Q54" i="9"/>
  <c r="T86" i="9"/>
  <c r="H60" i="9"/>
  <c r="M4" i="9"/>
  <c r="AB82" i="9"/>
  <c r="U38" i="9"/>
  <c r="I22" i="9"/>
  <c r="Q5" i="9"/>
  <c r="P86" i="9"/>
  <c r="AA7" i="9"/>
  <c r="U28" i="9"/>
  <c r="Q11" i="9"/>
  <c r="J34" i="9"/>
  <c r="AA13" i="9"/>
  <c r="T63" i="9"/>
  <c r="P31" i="9"/>
  <c r="AA9" i="9"/>
  <c r="T7" i="9"/>
  <c r="AA34" i="9"/>
  <c r="W26" i="9"/>
  <c r="C62" i="9"/>
  <c r="H43" i="9"/>
  <c r="R29" i="9"/>
  <c r="U84" i="9"/>
  <c r="I20" i="9"/>
  <c r="W60" i="9"/>
  <c r="R84" i="9"/>
  <c r="T43" i="9"/>
  <c r="M31" i="9"/>
  <c r="C23" i="9"/>
  <c r="V6" i="9"/>
  <c r="I38" i="9"/>
  <c r="R78" i="9"/>
  <c r="J78" i="9"/>
  <c r="P63" i="9"/>
  <c r="AB35" i="9"/>
  <c r="C29" i="9"/>
  <c r="S5" i="9"/>
  <c r="AA58" i="9"/>
  <c r="Q26" i="9"/>
  <c r="W37" i="9"/>
  <c r="W17" i="9"/>
  <c r="P82" i="9"/>
  <c r="I25" i="9"/>
  <c r="R86" i="9"/>
  <c r="I82" i="9"/>
  <c r="Q34" i="9"/>
  <c r="W20" i="9"/>
  <c r="AB7" i="9"/>
  <c r="T56" i="9"/>
  <c r="H7" i="9"/>
  <c r="AA59" i="9"/>
  <c r="Q7" i="9"/>
  <c r="AA32" i="9"/>
  <c r="V11" i="9"/>
  <c r="I62" i="9"/>
  <c r="S28" i="9"/>
  <c r="Q77" i="9"/>
  <c r="Q40" i="9"/>
  <c r="Q33" i="9"/>
  <c r="P25" i="9"/>
  <c r="S55" i="9"/>
  <c r="R34" i="9"/>
  <c r="J22" i="9"/>
  <c r="U80" i="9"/>
  <c r="W19" i="9"/>
  <c r="J27" i="9"/>
  <c r="R80" i="9"/>
  <c r="M60" i="9"/>
  <c r="Q17" i="9"/>
  <c r="T21" i="9"/>
  <c r="AB85" i="9"/>
  <c r="J32" i="9"/>
  <c r="M78" i="9"/>
  <c r="I78" i="9"/>
  <c r="AA20" i="9"/>
  <c r="AB29" i="9"/>
  <c r="W35" i="9"/>
  <c r="I83" i="9"/>
  <c r="C75" i="9"/>
  <c r="P20" i="9"/>
  <c r="S12" i="9"/>
  <c r="R65" i="9"/>
  <c r="H19" i="9"/>
  <c r="J82" i="9"/>
  <c r="Q62" i="9"/>
  <c r="V33" i="9"/>
  <c r="C20" i="9"/>
  <c r="I7" i="9"/>
  <c r="AA55" i="9"/>
  <c r="P28" i="9"/>
  <c r="T25" i="9"/>
  <c r="M37" i="9"/>
  <c r="V30" i="9"/>
  <c r="AB9" i="9"/>
  <c r="U55" i="9"/>
  <c r="H61" i="9"/>
  <c r="U7" i="9"/>
  <c r="W34" i="9"/>
  <c r="T30" i="9"/>
  <c r="Q20" i="9"/>
  <c r="U52" i="9"/>
  <c r="AB28" i="9"/>
  <c r="AA17" i="9"/>
  <c r="V66" i="9"/>
  <c r="H17" i="9"/>
  <c r="P21" i="9"/>
  <c r="T51" i="9"/>
  <c r="T17" i="9"/>
  <c r="AA84" i="9"/>
  <c r="Q16" i="9"/>
  <c r="W64" i="9"/>
  <c r="J85" i="9"/>
  <c r="R83" i="9"/>
  <c r="M83" i="9"/>
  <c r="I8" i="9"/>
  <c r="Q57" i="9"/>
  <c r="T24" i="9"/>
  <c r="J41" i="9"/>
  <c r="M80" i="9"/>
  <c r="H38" i="9"/>
  <c r="T62" i="9"/>
  <c r="I14" i="9"/>
  <c r="I63" i="9"/>
  <c r="U56" i="9"/>
  <c r="AB30" i="9"/>
  <c r="P57" i="9"/>
  <c r="AA30" i="9"/>
  <c r="H55" i="9"/>
  <c r="R18" i="9"/>
  <c r="C22" i="9"/>
  <c r="AA65" i="9"/>
  <c r="AB61" i="9"/>
  <c r="R77" i="9"/>
  <c r="W52" i="9"/>
  <c r="V59" i="9"/>
  <c r="W61" i="9"/>
  <c r="R76" i="9"/>
  <c r="M23" i="9"/>
  <c r="T18" i="9"/>
  <c r="V86" i="9"/>
  <c r="P26" i="9"/>
  <c r="I16" i="9"/>
  <c r="R54" i="9"/>
  <c r="T13" i="9"/>
  <c r="V51" i="9"/>
  <c r="T23" i="9"/>
  <c r="J12" i="9"/>
  <c r="H84" i="9"/>
  <c r="AB12" i="9"/>
  <c r="M42" i="9"/>
  <c r="V64" i="9"/>
  <c r="U83" i="9"/>
  <c r="T83" i="9"/>
  <c r="AA67" i="9"/>
  <c r="AB6" i="9"/>
  <c r="M24" i="9"/>
  <c r="H64" i="9"/>
  <c r="U50" i="9"/>
  <c r="AA11" i="9"/>
  <c r="I60" i="9"/>
  <c r="AA56" i="9"/>
  <c r="AB40" i="9"/>
  <c r="R62" i="9"/>
  <c r="AB55" i="9"/>
  <c r="I30" i="9"/>
  <c r="U19" i="9"/>
  <c r="U25" i="9"/>
  <c r="U53" i="9"/>
  <c r="H65" i="9"/>
  <c r="H18" i="9"/>
  <c r="R56" i="9"/>
  <c r="C59" i="9"/>
  <c r="V7" i="9"/>
  <c r="C44" i="9"/>
  <c r="R25" i="9"/>
  <c r="S27" i="9"/>
  <c r="AA62" i="9"/>
  <c r="H15" i="9"/>
  <c r="S11" i="9"/>
  <c r="S37" i="9"/>
  <c r="AB19" i="9"/>
  <c r="P54" i="9"/>
  <c r="AB43" i="9"/>
  <c r="J11" i="9"/>
  <c r="W8" i="9"/>
  <c r="Q80" i="9"/>
  <c r="M51" i="9"/>
  <c r="T67" i="9"/>
  <c r="AA83" i="9"/>
  <c r="H36" i="9"/>
  <c r="J42" i="9"/>
  <c r="AA63" i="9"/>
  <c r="C54" i="9"/>
  <c r="AB23" i="9"/>
  <c r="J76" i="9"/>
  <c r="S24" i="9"/>
  <c r="W58" i="9"/>
  <c r="T66" i="9"/>
  <c r="P44" i="9"/>
  <c r="H33" i="9"/>
  <c r="C56" i="9"/>
  <c r="I40" i="9"/>
  <c r="V56" i="9"/>
  <c r="I55" i="9"/>
  <c r="W28" i="9"/>
  <c r="J18" i="9"/>
  <c r="AB18" i="9"/>
  <c r="AA42" i="9"/>
  <c r="S56" i="9"/>
  <c r="T14" i="9"/>
  <c r="V55" i="9"/>
  <c r="J26" i="9"/>
  <c r="S20" i="9"/>
  <c r="P43" i="9"/>
  <c r="W24" i="9"/>
  <c r="AA26" i="9"/>
  <c r="H62" i="9"/>
  <c r="V13" i="9"/>
  <c r="Q10" i="9"/>
  <c r="P10" i="9"/>
  <c r="I17" i="9"/>
  <c r="Q29" i="9"/>
  <c r="P34" i="9"/>
  <c r="AA8" i="9"/>
  <c r="P66" i="9"/>
  <c r="Q41" i="9"/>
  <c r="S43" i="9"/>
  <c r="T65" i="9"/>
  <c r="M62" i="9"/>
  <c r="U32" i="9"/>
  <c r="V38" i="9"/>
  <c r="I52" i="9"/>
  <c r="S38" i="9"/>
  <c r="P76" i="9"/>
  <c r="S62" i="9"/>
  <c r="C78" i="9"/>
  <c r="AB13" i="9"/>
  <c r="W77" i="9"/>
  <c r="C41" i="9"/>
  <c r="V19" i="9"/>
  <c r="AC51" i="9"/>
  <c r="V15" i="9"/>
  <c r="J40" i="9"/>
  <c r="R13" i="9"/>
  <c r="S52" i="9"/>
  <c r="AA19" i="9"/>
  <c r="Q83" i="9"/>
  <c r="M75" i="9"/>
  <c r="R50" i="9"/>
  <c r="AA75" i="9"/>
  <c r="T61" i="9"/>
  <c r="C84" i="9"/>
  <c r="H83" i="9"/>
  <c r="J64" i="9"/>
  <c r="P24" i="9"/>
  <c r="J8" i="9"/>
  <c r="J67" i="9"/>
  <c r="J33" i="9"/>
  <c r="Q9" i="9"/>
  <c r="Q65" i="9"/>
  <c r="W33" i="9"/>
  <c r="U76" i="9"/>
  <c r="U36" i="9"/>
  <c r="R36" i="9"/>
  <c r="W84" i="9"/>
  <c r="J21" i="9"/>
  <c r="S32" i="9"/>
  <c r="AB84" i="9"/>
  <c r="M5" i="9"/>
  <c r="J30" i="9"/>
  <c r="V83" i="9"/>
  <c r="I21" i="9"/>
  <c r="V21" i="9"/>
  <c r="AB44" i="9"/>
  <c r="AA16" i="9"/>
  <c r="C64" i="9"/>
  <c r="S26" i="9"/>
  <c r="I44" i="9"/>
  <c r="S85" i="9"/>
  <c r="R43" i="9"/>
  <c r="H66" i="9"/>
  <c r="I66" i="9"/>
  <c r="U43" i="9"/>
  <c r="S77" i="9"/>
  <c r="M67" i="9"/>
  <c r="M35" i="9"/>
  <c r="V77" i="9"/>
  <c r="M22" i="9"/>
  <c r="P35" i="9"/>
  <c r="C86" i="9"/>
  <c r="C34" i="9"/>
  <c r="J6" i="9"/>
  <c r="M20" i="9"/>
  <c r="J56" i="9"/>
  <c r="R42" i="9"/>
  <c r="U65" i="9"/>
  <c r="P14" i="9"/>
  <c r="Q28" i="9"/>
  <c r="P19" i="9"/>
  <c r="P38" i="9"/>
  <c r="S63" i="9"/>
  <c r="U4" i="9"/>
  <c r="U59" i="9"/>
  <c r="P12" i="9"/>
  <c r="I26" i="9"/>
  <c r="R33" i="9"/>
  <c r="W44" i="9"/>
  <c r="S76" i="9"/>
  <c r="J5" i="9"/>
  <c r="C18" i="9"/>
  <c r="W59" i="9"/>
  <c r="R38" i="9"/>
  <c r="J62" i="9"/>
  <c r="S59" i="9"/>
  <c r="AA18" i="9"/>
  <c r="T33" i="9"/>
  <c r="AB65" i="9"/>
  <c r="V20" i="9"/>
  <c r="M39" i="9"/>
  <c r="Q85" i="9"/>
  <c r="Q23" i="9"/>
  <c r="J53" i="9"/>
  <c r="R24" i="9"/>
  <c r="AB50" i="9"/>
  <c r="J75" i="9"/>
  <c r="U75" i="9"/>
  <c r="V5" i="9"/>
  <c r="T52" i="9"/>
  <c r="V58" i="9"/>
  <c r="I86" i="9"/>
  <c r="AB83" i="9"/>
  <c r="C35" i="9"/>
  <c r="H78" i="9"/>
  <c r="H76" i="9"/>
  <c r="AA35" i="9"/>
  <c r="AB78" i="9"/>
  <c r="V67" i="9"/>
  <c r="U39" i="9"/>
  <c r="H85" i="9"/>
  <c r="M38" i="9"/>
  <c r="C38" i="9"/>
  <c r="V85" i="9"/>
  <c r="C25" i="9"/>
  <c r="W36" i="9"/>
  <c r="W85" i="9"/>
  <c r="Q6" i="9"/>
  <c r="T32" i="9"/>
  <c r="AA85" i="9"/>
  <c r="T36" i="9"/>
  <c r="I24" i="9"/>
  <c r="M52" i="9"/>
  <c r="M19" i="9"/>
  <c r="AA64" i="9"/>
  <c r="R27" i="9"/>
  <c r="C51" i="9"/>
  <c r="J86" i="9"/>
  <c r="J51" i="9"/>
  <c r="S8" i="9"/>
  <c r="P80" i="9"/>
  <c r="S51" i="9"/>
  <c r="T12" i="9"/>
  <c r="S80" i="9"/>
  <c r="T41" i="9"/>
  <c r="H10" i="9"/>
  <c r="W23" i="9"/>
  <c r="U41" i="9"/>
  <c r="U8" i="9"/>
  <c r="J35" i="9"/>
  <c r="H8" i="9"/>
  <c r="AA23" i="9"/>
  <c r="M63" i="9"/>
  <c r="R55" i="9"/>
  <c r="Q66" i="9"/>
  <c r="C15" i="9"/>
  <c r="S30" i="9"/>
  <c r="W57" i="9"/>
  <c r="C39" i="9"/>
  <c r="V65" i="9"/>
  <c r="C9" i="9"/>
  <c r="P60" i="9"/>
  <c r="C13" i="9"/>
  <c r="AB26" i="9"/>
  <c r="I34" i="9"/>
  <c r="P51" i="9"/>
  <c r="U82" i="9"/>
  <c r="C4" i="9"/>
  <c r="W18" i="9"/>
  <c r="R60" i="9"/>
  <c r="I39" i="9"/>
  <c r="U63" i="9"/>
  <c r="P40" i="9"/>
  <c r="J57" i="9"/>
  <c r="H37" i="9"/>
  <c r="C82" i="9"/>
  <c r="I59" i="9"/>
  <c r="H82" i="9"/>
  <c r="H22" i="9"/>
  <c r="C10" i="9"/>
  <c r="AB22" i="9"/>
  <c r="J37" i="9"/>
  <c r="M65" i="9"/>
  <c r="P65" i="9"/>
  <c r="H77" i="9"/>
  <c r="AB56" i="9"/>
  <c r="U62" i="9"/>
  <c r="Q59" i="9"/>
  <c r="S65" i="9"/>
  <c r="AA60" i="9"/>
  <c r="J10" i="9"/>
  <c r="Q75" i="9"/>
  <c r="J24" i="9"/>
  <c r="S19" i="9"/>
  <c r="C50" i="9"/>
  <c r="C80" i="9"/>
  <c r="J29" i="9"/>
  <c r="AA86" i="9"/>
  <c r="C21" i="9"/>
  <c r="AB21" i="9"/>
  <c r="C14" i="9"/>
  <c r="R39" i="9"/>
  <c r="J14" i="9"/>
  <c r="M76" i="9"/>
  <c r="AB51" i="9"/>
  <c r="T9" i="9"/>
  <c r="M44" i="9"/>
  <c r="M21" i="9"/>
  <c r="I85" i="9"/>
  <c r="S78" i="9"/>
  <c r="T38" i="9"/>
  <c r="R64" i="9"/>
  <c r="M10" i="9"/>
  <c r="S34" i="9"/>
  <c r="J83" i="9"/>
  <c r="J38" i="9"/>
  <c r="M25" i="9"/>
  <c r="M54" i="9"/>
  <c r="W21" i="9"/>
  <c r="C83" i="9"/>
  <c r="M61" i="9"/>
  <c r="AA53" i="9"/>
  <c r="M8" i="9"/>
  <c r="R8" i="9"/>
  <c r="I77" i="9"/>
  <c r="P84" i="9"/>
  <c r="J66" i="9"/>
  <c r="Q13" i="9"/>
  <c r="S84" i="9"/>
  <c r="AA43" i="9"/>
  <c r="P78" i="9"/>
  <c r="U24" i="9"/>
  <c r="C43" i="9"/>
  <c r="M77" i="9"/>
  <c r="W43" i="9"/>
  <c r="AB8" i="9"/>
  <c r="AB24" i="9"/>
  <c r="J65" i="9"/>
  <c r="R82" i="9"/>
  <c r="Q76" i="9"/>
  <c r="W15" i="9"/>
  <c r="P33" i="9"/>
  <c r="T22" i="9"/>
  <c r="W39" i="9"/>
  <c r="R66" i="9"/>
  <c r="Q14" i="9"/>
  <c r="C61" i="9"/>
  <c r="W13" i="9"/>
  <c r="T27" i="9"/>
  <c r="AB34" i="9"/>
  <c r="C52" i="9"/>
  <c r="AB86" i="9"/>
  <c r="W4" i="9"/>
  <c r="R19" i="9"/>
  <c r="I61" i="9"/>
  <c r="AB39" i="9"/>
  <c r="C65" i="9"/>
  <c r="C7" i="9"/>
  <c r="U20" i="9"/>
  <c r="AA37" i="9"/>
  <c r="W82" i="9"/>
  <c r="AB59" i="9"/>
  <c r="AA82" i="9"/>
  <c r="AA22" i="9"/>
  <c r="W10" i="9"/>
  <c r="AB25" i="9"/>
  <c r="U86" i="9"/>
  <c r="Q31" i="9"/>
  <c r="Q82" i="9"/>
  <c r="R32" i="9"/>
  <c r="S61" i="9"/>
  <c r="R75" i="9"/>
  <c r="W80" i="9"/>
  <c r="AB33" i="9"/>
  <c r="AB63" i="9"/>
  <c r="Q37" i="9"/>
  <c r="P8" i="9"/>
  <c r="AA38" i="9"/>
  <c r="R44" i="9"/>
  <c r="S75" i="9"/>
  <c r="S50" i="9"/>
  <c r="I29" i="9"/>
  <c r="U61" i="9"/>
  <c r="C58" i="9"/>
  <c r="I64" i="9"/>
  <c r="AB16" i="9"/>
  <c r="H35" i="9"/>
  <c r="I31" i="9"/>
  <c r="AA6" i="9"/>
  <c r="V54" i="9"/>
  <c r="H28" i="9"/>
  <c r="W6" i="9"/>
  <c r="W67" i="9"/>
  <c r="U9" i="9"/>
  <c r="S64" i="9"/>
  <c r="V36" i="9"/>
  <c r="M85" i="9"/>
  <c r="AA14" i="9"/>
  <c r="S44" i="9"/>
  <c r="T85" i="9"/>
  <c r="AA12" i="9"/>
  <c r="AA36" i="9"/>
  <c r="M64" i="9"/>
  <c r="R57" i="9"/>
  <c r="R58" i="9"/>
  <c r="W83" i="9"/>
  <c r="V27" i="9"/>
  <c r="C85" i="9"/>
  <c r="J31" i="9"/>
  <c r="Q63" i="9"/>
  <c r="C60" i="9"/>
  <c r="I12" i="9"/>
  <c r="J13" i="9"/>
  <c r="J77" i="9"/>
  <c r="Q84" i="9"/>
  <c r="U23" i="9"/>
  <c r="T77" i="9"/>
  <c r="H63" i="9"/>
  <c r="V12" i="9"/>
  <c r="M27" i="9"/>
  <c r="W51" i="9"/>
  <c r="P13" i="9"/>
  <c r="S13" i="9"/>
  <c r="I10" i="9"/>
  <c r="P27" i="9"/>
  <c r="H86" i="9"/>
  <c r="U44" i="9"/>
  <c r="W86" i="9"/>
  <c r="V57" i="9"/>
  <c r="AA5" i="9"/>
  <c r="Q25" i="9"/>
  <c r="T42" i="9"/>
  <c r="T82" i="9"/>
  <c r="S16" i="9"/>
  <c r="R28" i="9"/>
  <c r="I15" i="9"/>
  <c r="Q60" i="9"/>
  <c r="V37" i="9"/>
  <c r="R53" i="9"/>
  <c r="AB5" i="9"/>
  <c r="I9" i="9"/>
  <c r="AB57" i="9"/>
  <c r="T28" i="9"/>
  <c r="V42" i="9"/>
  <c r="V82" i="9"/>
  <c r="H4" i="9"/>
  <c r="W22" i="9"/>
  <c r="U40" i="9"/>
  <c r="Q30" i="9"/>
  <c r="I37" i="9"/>
  <c r="R59" i="9"/>
  <c r="H30" i="9"/>
  <c r="AB11" i="9"/>
  <c r="U6" i="9"/>
  <c r="V80" i="9"/>
  <c r="P42" i="9"/>
  <c r="R21" i="9"/>
  <c r="Q43" i="9"/>
  <c r="T15" i="9"/>
  <c r="P75" i="9"/>
  <c r="V75" i="9"/>
  <c r="H75" i="9"/>
  <c r="AB52" i="9"/>
  <c r="Q78" i="9"/>
  <c r="S57" i="9"/>
  <c r="P64" i="9"/>
  <c r="T76" i="9"/>
  <c r="P11" i="9"/>
  <c r="S39" i="9"/>
  <c r="J50" i="9"/>
  <c r="M50" i="9"/>
  <c r="S15" i="9"/>
  <c r="H50" i="9"/>
  <c r="V26" i="9"/>
  <c r="M86" i="9"/>
  <c r="T58" i="9"/>
  <c r="AA21" i="9"/>
  <c r="W78" i="9"/>
  <c r="AA78" i="9"/>
  <c r="U67" i="9"/>
  <c r="M33" i="9"/>
  <c r="R9" i="9"/>
  <c r="W14" i="9"/>
  <c r="J36" i="9"/>
  <c r="S83" i="9"/>
  <c r="Q44" i="9"/>
  <c r="H21" i="9"/>
  <c r="C19" i="9"/>
  <c r="H54" i="9"/>
  <c r="H16" i="9"/>
  <c r="I19" i="9"/>
  <c r="M40" i="9"/>
  <c r="S36" i="9"/>
  <c r="P5" i="9"/>
  <c r="V34" i="9"/>
  <c r="R5" i="9"/>
  <c r="I36" i="9"/>
  <c r="R15" i="9"/>
  <c r="U34" i="9"/>
  <c r="AB66" i="9"/>
  <c r="M43" i="9"/>
  <c r="S17" i="9"/>
  <c r="R23" i="9"/>
  <c r="T60" i="9"/>
  <c r="V60" i="9"/>
  <c r="U12" i="9"/>
  <c r="P67" i="9"/>
  <c r="J16" i="9"/>
  <c r="AB60" i="9"/>
  <c r="J63" i="9"/>
  <c r="P29" i="9"/>
  <c r="C17" i="9"/>
  <c r="W12" i="9"/>
  <c r="H31" i="9"/>
  <c r="Q22" i="9"/>
  <c r="P53" i="9"/>
  <c r="C5" i="9"/>
  <c r="S22" i="9"/>
  <c r="W9" i="9"/>
  <c r="V32" i="9"/>
  <c r="V52" i="9"/>
  <c r="V39" i="9"/>
  <c r="C57" i="9"/>
  <c r="V4" i="9"/>
  <c r="T16" i="9"/>
  <c r="AA61" i="9"/>
  <c r="H39" i="9"/>
  <c r="Q56" i="9"/>
  <c r="V18" i="9"/>
  <c r="T10" i="9"/>
  <c r="V22" i="9"/>
  <c r="H32" i="9"/>
  <c r="AA44" i="9"/>
  <c r="P4" i="9"/>
  <c r="J9" i="9"/>
  <c r="H59" i="9"/>
  <c r="W42" i="9"/>
  <c r="R30" i="9"/>
  <c r="V40" i="9"/>
  <c r="R11" i="9"/>
  <c r="U33" i="9"/>
  <c r="J20" i="9"/>
  <c r="U27" i="9"/>
  <c r="T5" i="9"/>
  <c r="P58" i="9"/>
  <c r="T29" i="9"/>
  <c r="Q55" i="9"/>
  <c r="J80" i="9"/>
  <c r="U15" i="9"/>
  <c r="T26" i="9"/>
  <c r="Q51" i="9"/>
  <c r="U35" i="9"/>
  <c r="Q18" i="9"/>
  <c r="Q4" i="9"/>
  <c r="R67" i="9"/>
  <c r="Q50" i="9"/>
  <c r="T50" i="9"/>
  <c r="W29" i="9"/>
  <c r="S58" i="9"/>
  <c r="I80" i="9"/>
  <c r="R26" i="9"/>
  <c r="U29" i="9"/>
  <c r="AA27" i="9"/>
  <c r="M53" i="9"/>
  <c r="M57" i="9"/>
  <c r="AB80" i="9"/>
  <c r="T39" i="9"/>
  <c r="J17" i="9"/>
  <c r="AA33" i="9"/>
  <c r="AA66" i="9"/>
  <c r="U85" i="9"/>
  <c r="W63" i="9"/>
  <c r="C16" i="9"/>
  <c r="S21" i="9"/>
  <c r="U64" i="9"/>
  <c r="C12" i="9"/>
  <c r="U21" i="9"/>
  <c r="T44" i="9"/>
  <c r="Q64" i="9"/>
  <c r="AA10" i="9"/>
  <c r="AB36" i="9"/>
  <c r="AB77" i="9"/>
  <c r="Q42" i="9"/>
  <c r="M17" i="9"/>
  <c r="Q39" i="9"/>
  <c r="H80" i="9"/>
  <c r="R17" i="9"/>
  <c r="J60" i="9"/>
  <c r="T31" i="9"/>
  <c r="S23" i="9"/>
  <c r="M66" i="9"/>
  <c r="S41" i="9"/>
  <c r="V23" i="9"/>
  <c r="T84" i="9"/>
  <c r="AB17" i="9"/>
  <c r="S29" i="9"/>
  <c r="Q67" i="9"/>
  <c r="I35" i="9"/>
  <c r="H20" i="9"/>
  <c r="Q35" i="9"/>
  <c r="R7" i="9"/>
  <c r="M56" i="9"/>
  <c r="T4" i="9"/>
  <c r="C26" i="9"/>
  <c r="T11" i="9"/>
  <c r="H34" i="9"/>
  <c r="T55" i="9"/>
  <c r="S42" i="9"/>
  <c r="V24" i="9"/>
  <c r="H9" i="9"/>
  <c r="P23" i="9"/>
  <c r="U30" i="9"/>
  <c r="S40" i="9"/>
  <c r="AB62" i="9"/>
  <c r="H57" i="9"/>
  <c r="H13" i="9"/>
  <c r="AA24" i="9"/>
  <c r="S33" i="9"/>
  <c r="AA52" i="9"/>
  <c r="R4" i="9"/>
  <c r="C11" i="9"/>
  <c r="J61" i="9"/>
  <c r="C55" i="9"/>
  <c r="J28" i="9"/>
  <c r="Q12" i="9"/>
  <c r="P17" i="9"/>
  <c r="P7" i="9"/>
  <c r="P30" i="9"/>
  <c r="V84" i="9"/>
  <c r="T75" i="9"/>
  <c r="W75" i="9"/>
  <c r="V50" i="9"/>
  <c r="H58" i="9"/>
  <c r="J84" i="9"/>
  <c r="Q61" i="9"/>
  <c r="W41" i="9"/>
  <c r="R35" i="9"/>
  <c r="W56" i="9"/>
  <c r="AB27" i="9"/>
  <c r="H67" i="9"/>
  <c r="H51" i="9"/>
  <c r="H23" i="9"/>
  <c r="AB54" i="9"/>
  <c r="AB67" i="9"/>
  <c r="M36" i="9"/>
  <c r="T64" i="9"/>
  <c r="M32" i="9"/>
  <c r="H25" i="9"/>
  <c r="AA76" i="9"/>
  <c r="P16" i="9"/>
  <c r="J25" i="9"/>
  <c r="J52" i="9"/>
  <c r="P83" i="9"/>
  <c r="U78" i="9"/>
  <c r="W38" i="9"/>
  <c r="AB10" i="9"/>
  <c r="Q52" i="9"/>
  <c r="AB20" i="9"/>
  <c r="H41" i="9"/>
  <c r="AA80" i="9"/>
  <c r="I23" i="9"/>
  <c r="S31" i="9"/>
  <c r="P41" i="9"/>
  <c r="S60" i="9"/>
  <c r="T34" i="9"/>
  <c r="P36" i="9"/>
  <c r="P22" i="9"/>
  <c r="S9" i="9"/>
  <c r="S54" i="9"/>
  <c r="AB75" i="9"/>
  <c r="P50" i="9"/>
  <c r="H29" i="9"/>
  <c r="P62" i="9"/>
  <c r="J58" i="9"/>
  <c r="I41" i="9"/>
  <c r="M29" i="9"/>
  <c r="M55" i="9"/>
  <c r="I43" i="9"/>
  <c r="I67" i="9"/>
  <c r="AB58" i="9"/>
  <c r="I76" i="9"/>
  <c r="W54" i="9"/>
  <c r="AA25" i="9"/>
  <c r="C66" i="9"/>
  <c r="AB76" i="9"/>
  <c r="Q36" i="9"/>
  <c r="W76" i="9"/>
  <c r="J44" i="9"/>
  <c r="C27" i="9"/>
  <c r="M82" i="9"/>
  <c r="P6" i="9"/>
  <c r="H27" i="9"/>
  <c r="J54" i="9"/>
  <c r="R85" i="9"/>
  <c r="W16" i="9"/>
  <c r="AA40" i="9"/>
  <c r="U16" i="9"/>
  <c r="P55" i="9"/>
  <c r="P37" i="9"/>
  <c r="J55" i="9"/>
  <c r="V53" i="9"/>
  <c r="C28" i="9"/>
  <c r="Q15" i="9"/>
  <c r="I18" i="9"/>
  <c r="H42" i="9"/>
  <c r="W55" i="9"/>
  <c r="W11" i="9"/>
  <c r="S53" i="9"/>
  <c r="S25" i="9"/>
  <c r="AA57" i="9"/>
  <c r="U42" i="9"/>
  <c r="C24" i="9"/>
  <c r="H26" i="9"/>
  <c r="P56" i="9"/>
  <c r="V9" i="9"/>
  <c r="S4" i="9"/>
  <c r="M16" i="9"/>
  <c r="V43" i="9"/>
  <c r="AB31" i="9"/>
  <c r="C8" i="9"/>
  <c r="C63" i="9"/>
  <c r="U31" i="9"/>
  <c r="J23" i="9"/>
  <c r="U54" i="9"/>
  <c r="T54" i="9"/>
  <c r="Q27" i="9"/>
  <c r="C36" i="9"/>
  <c r="H40" i="9"/>
  <c r="Q32" i="9"/>
  <c r="AA54" i="9"/>
  <c r="AB41" i="9"/>
  <c r="Q24" i="9"/>
  <c r="I84" i="9"/>
  <c r="V41" i="9"/>
  <c r="S86" i="9"/>
  <c r="AB53" i="9"/>
  <c r="M30" i="9"/>
  <c r="W53" i="9"/>
  <c r="AB42" i="9"/>
  <c r="P61" i="9"/>
  <c r="V14" i="9"/>
  <c r="V10" i="9"/>
  <c r="AB37" i="9"/>
  <c r="T53" i="9"/>
  <c r="U10" i="9"/>
  <c r="H52" i="9"/>
  <c r="H24" i="9"/>
  <c r="Q19" i="9"/>
  <c r="AA39" i="9"/>
  <c r="U22" i="9"/>
  <c r="R20" i="9"/>
  <c r="Q53" i="9"/>
  <c r="R10" i="9"/>
  <c r="W5" i="9"/>
  <c r="M28" i="9"/>
  <c r="R41" i="9"/>
  <c r="C31" i="9"/>
  <c r="I6" i="9"/>
  <c r="U51" i="9"/>
  <c r="U17" i="9"/>
  <c r="I13" i="9"/>
  <c r="J43" i="9"/>
  <c r="AB38" i="9"/>
  <c r="J19" i="9"/>
  <c r="Q58" i="9"/>
  <c r="M58" i="9"/>
  <c r="I32" i="9"/>
  <c r="I28" i="9"/>
  <c r="AA29" i="9"/>
  <c r="AB64" i="9"/>
  <c r="U58" i="9"/>
  <c r="AA77" i="9"/>
  <c r="AB82" i="8"/>
  <c r="AA82" i="8"/>
  <c r="Q82" i="8"/>
  <c r="U82" i="8"/>
  <c r="T82" i="8"/>
  <c r="R82" i="8"/>
  <c r="M82" i="8"/>
  <c r="W82" i="8"/>
  <c r="J82" i="8"/>
  <c r="I82" i="8"/>
  <c r="P82" i="8"/>
  <c r="V82" i="8"/>
  <c r="H82" i="8"/>
  <c r="S82" i="8"/>
  <c r="C82" i="8"/>
  <c r="AB12" i="8"/>
  <c r="J12" i="8"/>
  <c r="M12" i="8"/>
  <c r="P12" i="8"/>
  <c r="R12" i="8"/>
  <c r="S12" i="8"/>
  <c r="Q12" i="8"/>
  <c r="T12" i="8"/>
  <c r="U12" i="8"/>
  <c r="V12" i="8"/>
  <c r="C12" i="8"/>
  <c r="W12" i="8"/>
  <c r="H12" i="8"/>
  <c r="AA12" i="8"/>
  <c r="I12" i="8"/>
  <c r="AD20" i="8" l="1"/>
  <c r="AC20" i="8"/>
  <c r="AD19" i="8"/>
  <c r="AC19" i="8"/>
  <c r="AD18" i="8"/>
  <c r="AC18" i="8"/>
  <c r="AD17" i="8"/>
  <c r="AC17" i="8"/>
  <c r="AD16" i="8"/>
  <c r="AC16" i="8"/>
  <c r="C16" i="8" l="1"/>
  <c r="I16" i="8"/>
  <c r="P16" i="8"/>
  <c r="R16" i="8"/>
  <c r="Q16" i="8"/>
  <c r="AA16" i="8"/>
  <c r="H16" i="8"/>
  <c r="AB16" i="8"/>
  <c r="S16" i="8"/>
  <c r="T16" i="8"/>
  <c r="J16" i="8"/>
  <c r="U16" i="8"/>
  <c r="V16" i="8"/>
  <c r="W16" i="8"/>
  <c r="M16" i="8"/>
  <c r="Q17" i="8"/>
  <c r="V17" i="8"/>
  <c r="C17" i="8"/>
  <c r="R17" i="8"/>
  <c r="I17" i="8"/>
  <c r="AB17" i="8"/>
  <c r="S17" i="8"/>
  <c r="T17" i="8"/>
  <c r="J17" i="8"/>
  <c r="U17" i="8"/>
  <c r="W17" i="8"/>
  <c r="H17" i="8"/>
  <c r="AA17" i="8"/>
  <c r="P17" i="8"/>
  <c r="M17" i="8"/>
  <c r="U18" i="8"/>
  <c r="M18" i="8"/>
  <c r="V18" i="8"/>
  <c r="C18" i="8"/>
  <c r="W18" i="8"/>
  <c r="I18" i="8"/>
  <c r="Q18" i="8"/>
  <c r="P18" i="8"/>
  <c r="H18" i="8"/>
  <c r="AA18" i="8"/>
  <c r="R18" i="8"/>
  <c r="J18" i="8"/>
  <c r="AB18" i="8"/>
  <c r="S18" i="8"/>
  <c r="T18" i="8"/>
  <c r="AB19" i="8"/>
  <c r="H19" i="8"/>
  <c r="M19" i="8"/>
  <c r="R19" i="8"/>
  <c r="C19" i="8"/>
  <c r="P19" i="8"/>
  <c r="I19" i="8"/>
  <c r="Q19" i="8"/>
  <c r="U19" i="8"/>
  <c r="S19" i="8"/>
  <c r="T19" i="8"/>
  <c r="V19" i="8"/>
  <c r="W19" i="8"/>
  <c r="J19" i="8"/>
  <c r="AA19" i="8"/>
  <c r="Q20" i="8"/>
  <c r="AA20" i="8"/>
  <c r="R20" i="8"/>
  <c r="V20" i="8"/>
  <c r="AB20" i="8"/>
  <c r="S20" i="8"/>
  <c r="M20" i="8"/>
  <c r="T20" i="8"/>
  <c r="C20" i="8"/>
  <c r="U20" i="8"/>
  <c r="I20" i="8"/>
  <c r="W20" i="8"/>
  <c r="H20" i="8"/>
  <c r="P20" i="8"/>
  <c r="J20" i="8"/>
  <c r="AD96" i="8"/>
  <c r="AC96" i="8"/>
  <c r="AB96" i="8"/>
  <c r="AA96" i="8"/>
  <c r="W96" i="8"/>
  <c r="V96" i="8"/>
  <c r="U96" i="8"/>
  <c r="T96" i="8"/>
  <c r="S96" i="8"/>
  <c r="R96" i="8"/>
  <c r="Q96" i="8"/>
  <c r="P96" i="8"/>
  <c r="J96" i="8"/>
  <c r="H96" i="8"/>
  <c r="C96" i="8"/>
  <c r="AD95" i="8"/>
  <c r="AC95" i="8"/>
  <c r="AB95" i="8"/>
  <c r="AA95" i="8"/>
  <c r="W95" i="8"/>
  <c r="V95" i="8"/>
  <c r="U95" i="8"/>
  <c r="T95" i="8"/>
  <c r="S95" i="8"/>
  <c r="R95" i="8"/>
  <c r="Q95" i="8"/>
  <c r="P95" i="8"/>
  <c r="J95" i="8"/>
  <c r="H95" i="8"/>
  <c r="C95" i="8"/>
  <c r="AD94" i="8"/>
  <c r="AB94" i="8"/>
  <c r="AA94" i="8"/>
  <c r="W94" i="8"/>
  <c r="V94" i="8"/>
  <c r="U94" i="8"/>
  <c r="T94" i="8"/>
  <c r="S94" i="8"/>
  <c r="R94" i="8"/>
  <c r="Q94" i="8"/>
  <c r="P94" i="8"/>
  <c r="M94" i="8"/>
  <c r="J94" i="8"/>
  <c r="H94" i="8"/>
  <c r="C94" i="8"/>
  <c r="AD93" i="8"/>
  <c r="AB93" i="8"/>
  <c r="AA93" i="8"/>
  <c r="W93" i="8"/>
  <c r="V93" i="8"/>
  <c r="U93" i="8"/>
  <c r="T93" i="8"/>
  <c r="S93" i="8"/>
  <c r="R93" i="8"/>
  <c r="Q93" i="8"/>
  <c r="P93" i="8"/>
  <c r="M93" i="8"/>
  <c r="J93" i="8"/>
  <c r="H93" i="8"/>
  <c r="C93" i="8"/>
  <c r="AD92" i="8"/>
  <c r="AB92" i="8"/>
  <c r="AA92" i="8"/>
  <c r="W92" i="8"/>
  <c r="V92" i="8"/>
  <c r="U92" i="8"/>
  <c r="T92" i="8"/>
  <c r="S92" i="8"/>
  <c r="R92" i="8"/>
  <c r="Q92" i="8"/>
  <c r="P92" i="8"/>
  <c r="M92" i="8"/>
  <c r="J92" i="8"/>
  <c r="H92" i="8"/>
  <c r="C92" i="8"/>
  <c r="AD91" i="8"/>
  <c r="AB91" i="8"/>
  <c r="AA91" i="8"/>
  <c r="W91" i="8"/>
  <c r="V91" i="8"/>
  <c r="U91" i="8"/>
  <c r="T91" i="8"/>
  <c r="S91" i="8"/>
  <c r="R91" i="8"/>
  <c r="Q91" i="8"/>
  <c r="P91" i="8"/>
  <c r="M91" i="8"/>
  <c r="J91" i="8"/>
  <c r="H91" i="8"/>
  <c r="C91" i="8"/>
  <c r="AD90" i="8"/>
  <c r="AB90" i="8"/>
  <c r="AA90" i="8"/>
  <c r="W90" i="8"/>
  <c r="V90" i="8"/>
  <c r="U90" i="8"/>
  <c r="T90" i="8"/>
  <c r="S90" i="8"/>
  <c r="R90" i="8"/>
  <c r="Q90" i="8"/>
  <c r="P90" i="8"/>
  <c r="M90" i="8"/>
  <c r="J90" i="8"/>
  <c r="H90" i="8"/>
  <c r="C90" i="8"/>
  <c r="AD89" i="8"/>
  <c r="AB89" i="8"/>
  <c r="AA89" i="8"/>
  <c r="W89" i="8"/>
  <c r="V89" i="8"/>
  <c r="U89" i="8"/>
  <c r="T89" i="8"/>
  <c r="S89" i="8"/>
  <c r="R89" i="8"/>
  <c r="Q89" i="8"/>
  <c r="P89" i="8"/>
  <c r="M89" i="8"/>
  <c r="J89" i="8"/>
  <c r="H89" i="8"/>
  <c r="C89" i="8"/>
  <c r="AD88" i="8"/>
  <c r="AB88" i="8"/>
  <c r="AA88" i="8"/>
  <c r="W88" i="8"/>
  <c r="V88" i="8"/>
  <c r="U88" i="8"/>
  <c r="T88" i="8"/>
  <c r="S88" i="8"/>
  <c r="R88" i="8"/>
  <c r="Q88" i="8"/>
  <c r="P88" i="8"/>
  <c r="M88" i="8"/>
  <c r="J88" i="8"/>
  <c r="H88" i="8"/>
  <c r="C88" i="8"/>
  <c r="AD87" i="8"/>
  <c r="AB87" i="8"/>
  <c r="AA87" i="8"/>
  <c r="W87" i="8"/>
  <c r="V87" i="8"/>
  <c r="U87" i="8"/>
  <c r="T87" i="8"/>
  <c r="S87" i="8"/>
  <c r="R87" i="8"/>
  <c r="Q87" i="8"/>
  <c r="P87" i="8"/>
  <c r="M87" i="8"/>
  <c r="J87" i="8"/>
  <c r="H87" i="8"/>
  <c r="C87" i="8"/>
  <c r="AD85" i="8"/>
  <c r="AD86" i="8"/>
  <c r="AD84" i="8"/>
  <c r="AD83" i="8"/>
  <c r="AD79" i="8"/>
  <c r="AD80" i="8"/>
  <c r="AD76" i="8"/>
  <c r="AB76" i="8"/>
  <c r="AA76" i="8"/>
  <c r="W76" i="8"/>
  <c r="V76" i="8"/>
  <c r="U76" i="8"/>
  <c r="T76" i="8"/>
  <c r="S76" i="8"/>
  <c r="R76" i="8"/>
  <c r="Q76" i="8"/>
  <c r="P76" i="8"/>
  <c r="J76" i="8"/>
  <c r="H76" i="8"/>
  <c r="C76" i="8"/>
  <c r="AD75" i="8"/>
  <c r="AB75" i="8"/>
  <c r="AA75" i="8"/>
  <c r="W75" i="8"/>
  <c r="V75" i="8"/>
  <c r="U75" i="8"/>
  <c r="T75" i="8"/>
  <c r="S75" i="8"/>
  <c r="R75" i="8"/>
  <c r="Q75" i="8"/>
  <c r="P75" i="8"/>
  <c r="M75" i="8"/>
  <c r="J75" i="8"/>
  <c r="H75" i="8"/>
  <c r="C75" i="8"/>
  <c r="AD74" i="8"/>
  <c r="AB74" i="8"/>
  <c r="AA74" i="8"/>
  <c r="W74" i="8"/>
  <c r="V74" i="8"/>
  <c r="U74" i="8"/>
  <c r="T74" i="8"/>
  <c r="S74" i="8"/>
  <c r="R74" i="8"/>
  <c r="Q74" i="8"/>
  <c r="P74" i="8"/>
  <c r="M74" i="8"/>
  <c r="J74" i="8"/>
  <c r="H74" i="8"/>
  <c r="C74" i="8"/>
  <c r="AD73" i="8"/>
  <c r="AB73" i="8"/>
  <c r="AA73" i="8"/>
  <c r="W73" i="8"/>
  <c r="V73" i="8"/>
  <c r="U73" i="8"/>
  <c r="T73" i="8"/>
  <c r="S73" i="8"/>
  <c r="R73" i="8"/>
  <c r="Q73" i="8"/>
  <c r="P73" i="8"/>
  <c r="M73" i="8"/>
  <c r="J73" i="8"/>
  <c r="H73" i="8"/>
  <c r="C73" i="8"/>
  <c r="AD72" i="8"/>
  <c r="AB72" i="8"/>
  <c r="AA72" i="8"/>
  <c r="W72" i="8"/>
  <c r="V72" i="8"/>
  <c r="U72" i="8"/>
  <c r="T72" i="8"/>
  <c r="S72" i="8"/>
  <c r="R72" i="8"/>
  <c r="Q72" i="8"/>
  <c r="P72" i="8"/>
  <c r="M72" i="8"/>
  <c r="J72" i="8"/>
  <c r="H72" i="8"/>
  <c r="C72" i="8"/>
  <c r="AD54" i="8"/>
  <c r="AD53" i="8"/>
  <c r="AD52" i="8"/>
  <c r="AD51" i="8"/>
  <c r="AD50" i="8"/>
  <c r="AD71" i="8"/>
  <c r="AD70" i="8"/>
  <c r="AD69" i="8"/>
  <c r="AD43" i="8"/>
  <c r="AD42" i="8"/>
  <c r="AD41" i="8"/>
  <c r="AD40" i="8"/>
  <c r="AD67" i="8"/>
  <c r="AD65" i="8"/>
  <c r="AD64" i="8"/>
  <c r="AD63" i="8"/>
  <c r="AD62" i="8"/>
  <c r="AD9" i="8"/>
  <c r="AD8" i="8"/>
  <c r="AD7" i="8"/>
  <c r="AD6" i="8"/>
  <c r="AD61" i="8"/>
  <c r="AD60" i="8"/>
  <c r="AD57" i="8"/>
  <c r="AC57" i="8"/>
  <c r="AB57" i="8"/>
  <c r="AA57" i="8"/>
  <c r="W57" i="8"/>
  <c r="V57" i="8"/>
  <c r="U57" i="8"/>
  <c r="T57" i="8"/>
  <c r="S57" i="8"/>
  <c r="R57" i="8"/>
  <c r="Q57" i="8"/>
  <c r="P57" i="8"/>
  <c r="M57" i="8"/>
  <c r="J57" i="8"/>
  <c r="I57" i="8"/>
  <c r="H57" i="8"/>
  <c r="C57" i="8"/>
  <c r="AD56" i="8"/>
  <c r="AC56" i="8"/>
  <c r="AB56" i="8"/>
  <c r="AA56" i="8"/>
  <c r="W56" i="8"/>
  <c r="V56" i="8"/>
  <c r="U56" i="8"/>
  <c r="T56" i="8"/>
  <c r="S56" i="8"/>
  <c r="R56" i="8"/>
  <c r="Q56" i="8"/>
  <c r="P56" i="8"/>
  <c r="M56" i="8"/>
  <c r="J56" i="8"/>
  <c r="I56" i="8"/>
  <c r="H56" i="8"/>
  <c r="C56" i="8"/>
  <c r="AD55" i="8"/>
  <c r="AC55" i="8"/>
  <c r="AB55" i="8"/>
  <c r="AA55" i="8"/>
  <c r="W55" i="8"/>
  <c r="V55" i="8"/>
  <c r="U55" i="8"/>
  <c r="T55" i="8"/>
  <c r="S55" i="8"/>
  <c r="R55" i="8"/>
  <c r="Q55" i="8"/>
  <c r="P55" i="8"/>
  <c r="M55" i="8"/>
  <c r="J55" i="8"/>
  <c r="I55" i="8"/>
  <c r="H55" i="8"/>
  <c r="C55" i="8"/>
  <c r="AD47" i="8"/>
  <c r="AD46" i="8"/>
  <c r="AD45" i="8"/>
  <c r="AD44" i="8"/>
  <c r="AD68" i="8"/>
  <c r="AD48" i="8"/>
  <c r="AD49" i="8"/>
  <c r="AD66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15" i="8"/>
  <c r="AD14" i="8"/>
  <c r="AD13" i="8"/>
  <c r="AD11" i="8"/>
  <c r="AD10" i="8"/>
  <c r="AD5" i="8"/>
  <c r="AD4" i="8"/>
  <c r="AD62" i="7"/>
  <c r="AD56" i="7"/>
  <c r="AD55" i="7"/>
  <c r="AD14" i="7"/>
  <c r="U71" i="8" l="1"/>
  <c r="C30" i="8"/>
  <c r="C40" i="8"/>
  <c r="C37" i="8"/>
  <c r="I51" i="8"/>
  <c r="AB15" i="8"/>
  <c r="AB44" i="8"/>
  <c r="U63" i="8"/>
  <c r="Q27" i="8"/>
  <c r="R45" i="8"/>
  <c r="M6" i="8"/>
  <c r="W64" i="8"/>
  <c r="P69" i="8"/>
  <c r="V53" i="8"/>
  <c r="W83" i="8"/>
  <c r="R8" i="8"/>
  <c r="S36" i="8"/>
  <c r="T50" i="8"/>
  <c r="U85" i="8"/>
  <c r="P14" i="8"/>
  <c r="U68" i="8"/>
  <c r="M60" i="8"/>
  <c r="U79" i="8"/>
  <c r="P4" i="8"/>
  <c r="S32" i="8"/>
  <c r="V42" i="8"/>
  <c r="T52" i="8"/>
  <c r="J21" i="8"/>
  <c r="AB10" i="8"/>
  <c r="W22" i="8"/>
  <c r="R28" i="8"/>
  <c r="M34" i="8"/>
  <c r="H66" i="8"/>
  <c r="J46" i="8"/>
  <c r="W65" i="8"/>
  <c r="H86" i="8"/>
  <c r="C13" i="8"/>
  <c r="U48" i="8"/>
  <c r="T9" i="8"/>
  <c r="M25" i="8"/>
  <c r="AC60" i="8"/>
  <c r="U26" i="8"/>
  <c r="W61" i="8"/>
  <c r="Q33" i="8"/>
  <c r="U43" i="8"/>
  <c r="U7" i="8"/>
  <c r="P70" i="8"/>
  <c r="U54" i="8"/>
  <c r="C84" i="8"/>
  <c r="W24" i="8"/>
  <c r="AB80" i="8"/>
  <c r="T31" i="8"/>
  <c r="AB41" i="8"/>
  <c r="AB62" i="8"/>
  <c r="AB38" i="8"/>
  <c r="V5" i="8"/>
  <c r="P39" i="8"/>
  <c r="H11" i="8"/>
  <c r="W23" i="8"/>
  <c r="AB29" i="8"/>
  <c r="W35" i="8"/>
  <c r="R49" i="8"/>
  <c r="W47" i="8"/>
  <c r="T67" i="8"/>
  <c r="S4" i="8"/>
  <c r="U13" i="8"/>
  <c r="H50" i="8"/>
  <c r="AA37" i="8"/>
  <c r="M27" i="8"/>
  <c r="I66" i="8"/>
  <c r="R66" i="8"/>
  <c r="R37" i="8"/>
  <c r="S37" i="8"/>
  <c r="P37" i="8"/>
  <c r="H22" i="8"/>
  <c r="I22" i="8"/>
  <c r="T37" i="8"/>
  <c r="W53" i="8"/>
  <c r="R13" i="8"/>
  <c r="W37" i="8"/>
  <c r="V54" i="8"/>
  <c r="W30" i="8"/>
  <c r="C62" i="8"/>
  <c r="Q26" i="8"/>
  <c r="P44" i="8"/>
  <c r="W67" i="8"/>
  <c r="AB26" i="8"/>
  <c r="S44" i="8"/>
  <c r="T44" i="8"/>
  <c r="T54" i="8"/>
  <c r="M8" i="8"/>
  <c r="AA65" i="8"/>
  <c r="Q39" i="8"/>
  <c r="M39" i="8"/>
  <c r="T39" i="8"/>
  <c r="S11" i="8"/>
  <c r="C51" i="8"/>
  <c r="T13" i="8"/>
  <c r="AA22" i="8"/>
  <c r="Q30" i="8"/>
  <c r="J35" i="8"/>
  <c r="M41" i="8"/>
  <c r="P23" i="8"/>
  <c r="I27" i="8"/>
  <c r="I39" i="8"/>
  <c r="Q41" i="8"/>
  <c r="H27" i="8"/>
  <c r="J27" i="8"/>
  <c r="J39" i="8"/>
  <c r="M64" i="8"/>
  <c r="U41" i="8"/>
  <c r="C50" i="8"/>
  <c r="M54" i="8"/>
  <c r="H79" i="8"/>
  <c r="C70" i="8"/>
  <c r="H70" i="8"/>
  <c r="S27" i="8"/>
  <c r="R70" i="8"/>
  <c r="T70" i="8"/>
  <c r="U27" i="8"/>
  <c r="U70" i="8"/>
  <c r="R27" i="8"/>
  <c r="M9" i="8"/>
  <c r="V70" i="8"/>
  <c r="H51" i="8"/>
  <c r="AA54" i="8"/>
  <c r="T83" i="8"/>
  <c r="T27" i="8"/>
  <c r="V27" i="8"/>
  <c r="W27" i="8"/>
  <c r="U9" i="8"/>
  <c r="W70" i="8"/>
  <c r="AA51" i="8"/>
  <c r="M80" i="8"/>
  <c r="V83" i="8"/>
  <c r="AA27" i="8"/>
  <c r="H31" i="8"/>
  <c r="S45" i="8"/>
  <c r="AA61" i="8"/>
  <c r="W9" i="8"/>
  <c r="AA70" i="8"/>
  <c r="Q80" i="8"/>
  <c r="H10" i="8"/>
  <c r="I10" i="8"/>
  <c r="U14" i="8"/>
  <c r="AA10" i="8"/>
  <c r="AB14" i="8"/>
  <c r="J23" i="8"/>
  <c r="C27" i="8"/>
  <c r="AB27" i="8"/>
  <c r="I31" i="8"/>
  <c r="T36" i="8"/>
  <c r="AA9" i="8"/>
  <c r="P64" i="8"/>
  <c r="P80" i="8"/>
  <c r="I68" i="8"/>
  <c r="M40" i="8"/>
  <c r="AA50" i="8"/>
  <c r="J68" i="8"/>
  <c r="Q40" i="8"/>
  <c r="C79" i="8"/>
  <c r="R68" i="8"/>
  <c r="J61" i="8"/>
  <c r="I67" i="8"/>
  <c r="S40" i="8"/>
  <c r="J79" i="8"/>
  <c r="H36" i="8"/>
  <c r="V68" i="8"/>
  <c r="M61" i="8"/>
  <c r="P67" i="8"/>
  <c r="T40" i="8"/>
  <c r="V43" i="8"/>
  <c r="M79" i="8"/>
  <c r="AA83" i="8"/>
  <c r="J40" i="8"/>
  <c r="H15" i="8"/>
  <c r="P36" i="8"/>
  <c r="AA68" i="8"/>
  <c r="P61" i="8"/>
  <c r="R67" i="8"/>
  <c r="W40" i="8"/>
  <c r="W43" i="8"/>
  <c r="C80" i="8"/>
  <c r="P79" i="8"/>
  <c r="H67" i="8"/>
  <c r="R40" i="8"/>
  <c r="U15" i="8"/>
  <c r="Q36" i="8"/>
  <c r="AB68" i="8"/>
  <c r="Q61" i="8"/>
  <c r="C9" i="8"/>
  <c r="S67" i="8"/>
  <c r="AB40" i="8"/>
  <c r="AA43" i="8"/>
  <c r="H80" i="8"/>
  <c r="Q79" i="8"/>
  <c r="Q68" i="8"/>
  <c r="I61" i="8"/>
  <c r="I13" i="8"/>
  <c r="S61" i="8"/>
  <c r="H9" i="8"/>
  <c r="C64" i="8"/>
  <c r="I80" i="8"/>
  <c r="T79" i="8"/>
  <c r="M84" i="8"/>
  <c r="AA29" i="8"/>
  <c r="S63" i="8"/>
  <c r="AA52" i="8"/>
  <c r="R86" i="8"/>
  <c r="W4" i="8"/>
  <c r="AA14" i="8"/>
  <c r="C22" i="8"/>
  <c r="AB22" i="8"/>
  <c r="V26" i="8"/>
  <c r="Q44" i="8"/>
  <c r="V45" i="8"/>
  <c r="V9" i="8"/>
  <c r="AB50" i="8"/>
  <c r="U83" i="8"/>
  <c r="W86" i="8"/>
  <c r="R39" i="8"/>
  <c r="T66" i="8"/>
  <c r="V44" i="8"/>
  <c r="C8" i="8"/>
  <c r="I9" i="8"/>
  <c r="AB9" i="8"/>
  <c r="I50" i="8"/>
  <c r="AB83" i="8"/>
  <c r="M22" i="8"/>
  <c r="I35" i="8"/>
  <c r="S39" i="8"/>
  <c r="I8" i="8"/>
  <c r="J9" i="8"/>
  <c r="H69" i="8"/>
  <c r="J50" i="8"/>
  <c r="H83" i="8"/>
  <c r="J22" i="8"/>
  <c r="Q22" i="8"/>
  <c r="M50" i="8"/>
  <c r="U39" i="8"/>
  <c r="C45" i="8"/>
  <c r="S8" i="8"/>
  <c r="P9" i="8"/>
  <c r="H43" i="8"/>
  <c r="S69" i="8"/>
  <c r="P50" i="8"/>
  <c r="S80" i="8"/>
  <c r="J83" i="8"/>
  <c r="R69" i="8"/>
  <c r="I83" i="8"/>
  <c r="R22" i="8"/>
  <c r="V39" i="8"/>
  <c r="H45" i="8"/>
  <c r="U8" i="8"/>
  <c r="Q9" i="8"/>
  <c r="J65" i="8"/>
  <c r="J43" i="8"/>
  <c r="T69" i="8"/>
  <c r="Q50" i="8"/>
  <c r="V80" i="8"/>
  <c r="P83" i="8"/>
  <c r="W39" i="8"/>
  <c r="H44" i="8"/>
  <c r="P45" i="8"/>
  <c r="V8" i="8"/>
  <c r="R9" i="8"/>
  <c r="M65" i="8"/>
  <c r="R43" i="8"/>
  <c r="V69" i="8"/>
  <c r="U50" i="8"/>
  <c r="H52" i="8"/>
  <c r="W80" i="8"/>
  <c r="Q83" i="8"/>
  <c r="M35" i="8"/>
  <c r="H4" i="8"/>
  <c r="I11" i="8"/>
  <c r="H14" i="8"/>
  <c r="C21" i="8"/>
  <c r="U22" i="8"/>
  <c r="Q35" i="8"/>
  <c r="H37" i="8"/>
  <c r="I4" i="8"/>
  <c r="M11" i="8"/>
  <c r="Q14" i="8"/>
  <c r="H21" i="8"/>
  <c r="V22" i="8"/>
  <c r="P27" i="8"/>
  <c r="S35" i="8"/>
  <c r="J37" i="8"/>
  <c r="C39" i="8"/>
  <c r="AA39" i="8"/>
  <c r="I44" i="8"/>
  <c r="Q45" i="8"/>
  <c r="C6" i="8"/>
  <c r="W8" i="8"/>
  <c r="S9" i="8"/>
  <c r="C63" i="8"/>
  <c r="P65" i="8"/>
  <c r="I41" i="8"/>
  <c r="S43" i="8"/>
  <c r="AA69" i="8"/>
  <c r="V50" i="8"/>
  <c r="P52" i="8"/>
  <c r="AA80" i="8"/>
  <c r="R83" i="8"/>
  <c r="J86" i="8"/>
  <c r="S22" i="8"/>
  <c r="P35" i="8"/>
  <c r="J4" i="8"/>
  <c r="R11" i="8"/>
  <c r="T14" i="8"/>
  <c r="AA35" i="8"/>
  <c r="M37" i="8"/>
  <c r="H39" i="8"/>
  <c r="AB39" i="8"/>
  <c r="H68" i="8"/>
  <c r="M44" i="8"/>
  <c r="AB6" i="8"/>
  <c r="AB8" i="8"/>
  <c r="H63" i="8"/>
  <c r="S65" i="8"/>
  <c r="I40" i="8"/>
  <c r="J41" i="8"/>
  <c r="T43" i="8"/>
  <c r="AB69" i="8"/>
  <c r="C71" i="8"/>
  <c r="W50" i="8"/>
  <c r="V52" i="8"/>
  <c r="S83" i="8"/>
  <c r="M86" i="8"/>
  <c r="C5" i="8"/>
  <c r="W5" i="8"/>
  <c r="H23" i="8"/>
  <c r="AB23" i="8"/>
  <c r="I28" i="8"/>
  <c r="U31" i="8"/>
  <c r="T32" i="8"/>
  <c r="I38" i="8"/>
  <c r="V47" i="8"/>
  <c r="S7" i="8"/>
  <c r="AA64" i="8"/>
  <c r="T42" i="8"/>
  <c r="I85" i="8"/>
  <c r="AB4" i="8"/>
  <c r="H5" i="8"/>
  <c r="AA5" i="8"/>
  <c r="J11" i="8"/>
  <c r="R14" i="8"/>
  <c r="V15" i="8"/>
  <c r="I23" i="8"/>
  <c r="R26" i="8"/>
  <c r="AB30" i="8"/>
  <c r="V31" i="8"/>
  <c r="U32" i="8"/>
  <c r="H35" i="8"/>
  <c r="AB35" i="8"/>
  <c r="J38" i="8"/>
  <c r="Q66" i="8"/>
  <c r="AA47" i="8"/>
  <c r="H61" i="8"/>
  <c r="AB61" i="8"/>
  <c r="V7" i="8"/>
  <c r="W42" i="8"/>
  <c r="I52" i="8"/>
  <c r="AB53" i="8"/>
  <c r="P84" i="8"/>
  <c r="J85" i="8"/>
  <c r="M5" i="8"/>
  <c r="I5" i="8"/>
  <c r="AB5" i="8"/>
  <c r="AA31" i="8"/>
  <c r="V32" i="8"/>
  <c r="M38" i="8"/>
  <c r="H47" i="8"/>
  <c r="AB47" i="8"/>
  <c r="W7" i="8"/>
  <c r="AA42" i="8"/>
  <c r="M85" i="8"/>
  <c r="J5" i="8"/>
  <c r="P11" i="8"/>
  <c r="M23" i="8"/>
  <c r="I24" i="8"/>
  <c r="W26" i="8"/>
  <c r="H29" i="8"/>
  <c r="AB31" i="8"/>
  <c r="AB32" i="8"/>
  <c r="U38" i="8"/>
  <c r="S66" i="8"/>
  <c r="I47" i="8"/>
  <c r="AA7" i="8"/>
  <c r="H64" i="8"/>
  <c r="AB42" i="8"/>
  <c r="R52" i="8"/>
  <c r="AA85" i="8"/>
  <c r="J63" i="8"/>
  <c r="R64" i="8"/>
  <c r="Q65" i="8"/>
  <c r="C43" i="8"/>
  <c r="AB52" i="8"/>
  <c r="R79" i="8"/>
  <c r="P5" i="8"/>
  <c r="Q23" i="8"/>
  <c r="Q5" i="8"/>
  <c r="T11" i="8"/>
  <c r="W21" i="8"/>
  <c r="R23" i="8"/>
  <c r="AA25" i="8"/>
  <c r="J31" i="8"/>
  <c r="C32" i="8"/>
  <c r="H33" i="8"/>
  <c r="P47" i="8"/>
  <c r="R4" i="8"/>
  <c r="R5" i="8"/>
  <c r="V11" i="8"/>
  <c r="S23" i="8"/>
  <c r="I30" i="8"/>
  <c r="M31" i="8"/>
  <c r="H32" i="8"/>
  <c r="R35" i="8"/>
  <c r="U44" i="8"/>
  <c r="Q47" i="8"/>
  <c r="R61" i="8"/>
  <c r="Q63" i="8"/>
  <c r="S64" i="8"/>
  <c r="R65" i="8"/>
  <c r="C42" i="8"/>
  <c r="S79" i="8"/>
  <c r="S5" i="8"/>
  <c r="T23" i="8"/>
  <c r="R47" i="8"/>
  <c r="R60" i="8"/>
  <c r="H42" i="8"/>
  <c r="AA11" i="8"/>
  <c r="I14" i="8"/>
  <c r="I15" i="8"/>
  <c r="I48" i="8"/>
  <c r="W44" i="8"/>
  <c r="S47" i="8"/>
  <c r="U60" i="8"/>
  <c r="T61" i="8"/>
  <c r="H7" i="8"/>
  <c r="P8" i="8"/>
  <c r="W63" i="8"/>
  <c r="U64" i="8"/>
  <c r="T65" i="8"/>
  <c r="I42" i="8"/>
  <c r="M43" i="8"/>
  <c r="J69" i="8"/>
  <c r="J70" i="8"/>
  <c r="Q71" i="8"/>
  <c r="R50" i="8"/>
  <c r="C53" i="8"/>
  <c r="V79" i="8"/>
  <c r="J47" i="8"/>
  <c r="M47" i="8"/>
  <c r="W11" i="8"/>
  <c r="P31" i="8"/>
  <c r="I32" i="8"/>
  <c r="C7" i="8"/>
  <c r="T64" i="8"/>
  <c r="T5" i="8"/>
  <c r="U23" i="8"/>
  <c r="C26" i="8"/>
  <c r="U4" i="8"/>
  <c r="U5" i="8"/>
  <c r="AB11" i="8"/>
  <c r="M14" i="8"/>
  <c r="V23" i="8"/>
  <c r="I26" i="8"/>
  <c r="U30" i="8"/>
  <c r="R31" i="8"/>
  <c r="Q32" i="8"/>
  <c r="AA34" i="8"/>
  <c r="U35" i="8"/>
  <c r="AB48" i="8"/>
  <c r="AA44" i="8"/>
  <c r="T47" i="8"/>
  <c r="V60" i="8"/>
  <c r="U61" i="8"/>
  <c r="J7" i="8"/>
  <c r="Q8" i="8"/>
  <c r="AA63" i="8"/>
  <c r="V64" i="8"/>
  <c r="V65" i="8"/>
  <c r="M42" i="8"/>
  <c r="P43" i="8"/>
  <c r="M69" i="8"/>
  <c r="M70" i="8"/>
  <c r="S71" i="8"/>
  <c r="S50" i="8"/>
  <c r="M53" i="8"/>
  <c r="W79" i="8"/>
  <c r="C85" i="8"/>
  <c r="T4" i="8"/>
  <c r="R30" i="8"/>
  <c r="Q31" i="8"/>
  <c r="P32" i="8"/>
  <c r="H34" i="8"/>
  <c r="T35" i="8"/>
  <c r="C11" i="8"/>
  <c r="M15" i="8"/>
  <c r="V4" i="8"/>
  <c r="P15" i="8"/>
  <c r="AA23" i="8"/>
  <c r="J26" i="8"/>
  <c r="V30" i="8"/>
  <c r="V35" i="8"/>
  <c r="C38" i="8"/>
  <c r="C44" i="8"/>
  <c r="I46" i="8"/>
  <c r="U47" i="8"/>
  <c r="V61" i="8"/>
  <c r="R7" i="8"/>
  <c r="AB63" i="8"/>
  <c r="H41" i="8"/>
  <c r="S42" i="8"/>
  <c r="Q43" i="8"/>
  <c r="U53" i="8"/>
  <c r="AA79" i="8"/>
  <c r="M83" i="8"/>
  <c r="H85" i="8"/>
  <c r="T71" i="8"/>
  <c r="J71" i="8"/>
  <c r="AA71" i="8"/>
  <c r="H71" i="8"/>
  <c r="S51" i="8"/>
  <c r="M49" i="8"/>
  <c r="V62" i="8"/>
  <c r="J62" i="8"/>
  <c r="R10" i="8"/>
  <c r="AA13" i="8"/>
  <c r="H13" i="8"/>
  <c r="P13" i="8"/>
  <c r="S34" i="8"/>
  <c r="W49" i="8"/>
  <c r="T48" i="8"/>
  <c r="H60" i="8"/>
  <c r="T62" i="8"/>
  <c r="J13" i="8"/>
  <c r="V38" i="8"/>
  <c r="V66" i="8"/>
  <c r="J66" i="8"/>
  <c r="AA49" i="8"/>
  <c r="U45" i="8"/>
  <c r="AB45" i="8"/>
  <c r="I45" i="8"/>
  <c r="AA46" i="8"/>
  <c r="J60" i="8"/>
  <c r="U6" i="8"/>
  <c r="U62" i="8"/>
  <c r="Q67" i="8"/>
  <c r="U67" i="8"/>
  <c r="V41" i="8"/>
  <c r="I71" i="8"/>
  <c r="T51" i="8"/>
  <c r="Q53" i="8"/>
  <c r="P54" i="8"/>
  <c r="R84" i="8"/>
  <c r="J84" i="8"/>
  <c r="AB84" i="8"/>
  <c r="I84" i="8"/>
  <c r="AA84" i="8"/>
  <c r="H84" i="8"/>
  <c r="V84" i="8"/>
  <c r="U84" i="8"/>
  <c r="R24" i="8"/>
  <c r="V24" i="8"/>
  <c r="I49" i="8"/>
  <c r="M33" i="8"/>
  <c r="AA48" i="8"/>
  <c r="H48" i="8"/>
  <c r="P48" i="8"/>
  <c r="Q21" i="8"/>
  <c r="R21" i="8"/>
  <c r="T25" i="8"/>
  <c r="W28" i="8"/>
  <c r="S29" i="8"/>
  <c r="T6" i="8"/>
  <c r="T10" i="8"/>
  <c r="W15" i="8"/>
  <c r="S21" i="8"/>
  <c r="T29" i="8"/>
  <c r="W33" i="8"/>
  <c r="R36" i="8"/>
  <c r="V36" i="8"/>
  <c r="M4" i="8"/>
  <c r="U10" i="8"/>
  <c r="M13" i="8"/>
  <c r="S14" i="8"/>
  <c r="W14" i="8"/>
  <c r="C14" i="8"/>
  <c r="AA15" i="8"/>
  <c r="T21" i="8"/>
  <c r="C24" i="8"/>
  <c r="AB24" i="8"/>
  <c r="V25" i="8"/>
  <c r="S26" i="8"/>
  <c r="C28" i="8"/>
  <c r="AB28" i="8"/>
  <c r="V29" i="8"/>
  <c r="S30" i="8"/>
  <c r="J32" i="8"/>
  <c r="R32" i="8"/>
  <c r="AA33" i="8"/>
  <c r="V34" i="8"/>
  <c r="J36" i="8"/>
  <c r="W38" i="8"/>
  <c r="M66" i="8"/>
  <c r="C49" i="8"/>
  <c r="AB49" i="8"/>
  <c r="V48" i="8"/>
  <c r="T68" i="8"/>
  <c r="J45" i="8"/>
  <c r="C46" i="8"/>
  <c r="AB46" i="8"/>
  <c r="W6" i="8"/>
  <c r="T7" i="8"/>
  <c r="W62" i="8"/>
  <c r="T63" i="8"/>
  <c r="J67" i="8"/>
  <c r="AA41" i="8"/>
  <c r="U42" i="8"/>
  <c r="M71" i="8"/>
  <c r="U51" i="8"/>
  <c r="S52" i="8"/>
  <c r="S53" i="8"/>
  <c r="Q54" i="8"/>
  <c r="C86" i="8"/>
  <c r="P28" i="8"/>
  <c r="S10" i="8"/>
  <c r="V33" i="8"/>
  <c r="W46" i="8"/>
  <c r="P60" i="8"/>
  <c r="T60" i="8"/>
  <c r="AA24" i="8"/>
  <c r="U25" i="8"/>
  <c r="AA28" i="8"/>
  <c r="U34" i="8"/>
  <c r="I36" i="8"/>
  <c r="Q4" i="8"/>
  <c r="W10" i="8"/>
  <c r="Q13" i="8"/>
  <c r="J14" i="8"/>
  <c r="C15" i="8"/>
  <c r="V21" i="8"/>
  <c r="H24" i="8"/>
  <c r="W25" i="8"/>
  <c r="H28" i="8"/>
  <c r="W29" i="8"/>
  <c r="T30" i="8"/>
  <c r="M32" i="8"/>
  <c r="C33" i="8"/>
  <c r="W34" i="8"/>
  <c r="M36" i="8"/>
  <c r="AB37" i="8"/>
  <c r="I37" i="8"/>
  <c r="Q37" i="8"/>
  <c r="P66" i="8"/>
  <c r="H49" i="8"/>
  <c r="W48" i="8"/>
  <c r="M45" i="8"/>
  <c r="H46" i="8"/>
  <c r="Q60" i="8"/>
  <c r="AA6" i="8"/>
  <c r="AA62" i="8"/>
  <c r="M67" i="8"/>
  <c r="AA40" i="8"/>
  <c r="H40" i="8"/>
  <c r="P40" i="8"/>
  <c r="P71" i="8"/>
  <c r="W51" i="8"/>
  <c r="T53" i="8"/>
  <c r="R54" i="8"/>
  <c r="C10" i="8"/>
  <c r="S13" i="8"/>
  <c r="J15" i="8"/>
  <c r="R15" i="8"/>
  <c r="AA21" i="8"/>
  <c r="J24" i="8"/>
  <c r="C25" i="8"/>
  <c r="M28" i="8"/>
  <c r="C29" i="8"/>
  <c r="J33" i="8"/>
  <c r="C34" i="8"/>
  <c r="AB34" i="8"/>
  <c r="T38" i="8"/>
  <c r="AA38" i="8"/>
  <c r="H38" i="8"/>
  <c r="J49" i="8"/>
  <c r="C48" i="8"/>
  <c r="S60" i="8"/>
  <c r="H6" i="8"/>
  <c r="H62" i="8"/>
  <c r="S41" i="8"/>
  <c r="W41" i="8"/>
  <c r="C41" i="8"/>
  <c r="R71" i="8"/>
  <c r="AB51" i="8"/>
  <c r="P46" i="8"/>
  <c r="T46" i="8"/>
  <c r="I6" i="8"/>
  <c r="V10" i="8"/>
  <c r="J10" i="8"/>
  <c r="Q29" i="8"/>
  <c r="U29" i="8"/>
  <c r="I34" i="8"/>
  <c r="J6" i="8"/>
  <c r="M10" i="8"/>
  <c r="V13" i="8"/>
  <c r="Q15" i="8"/>
  <c r="Q24" i="8"/>
  <c r="T26" i="8"/>
  <c r="AA26" i="8"/>
  <c r="H26" i="8"/>
  <c r="J29" i="8"/>
  <c r="J34" i="8"/>
  <c r="U36" i="8"/>
  <c r="P38" i="8"/>
  <c r="U66" i="8"/>
  <c r="M48" i="8"/>
  <c r="S68" i="8"/>
  <c r="W68" i="8"/>
  <c r="C68" i="8"/>
  <c r="T45" i="8"/>
  <c r="R46" i="8"/>
  <c r="W60" i="8"/>
  <c r="AB7" i="8"/>
  <c r="I7" i="8"/>
  <c r="Q7" i="8"/>
  <c r="P62" i="8"/>
  <c r="R63" i="8"/>
  <c r="V63" i="8"/>
  <c r="V67" i="8"/>
  <c r="P41" i="8"/>
  <c r="J42" i="8"/>
  <c r="R42" i="8"/>
  <c r="V71" i="8"/>
  <c r="Q52" i="8"/>
  <c r="W52" i="8"/>
  <c r="C52" i="8"/>
  <c r="U52" i="8"/>
  <c r="Q84" i="8"/>
  <c r="V28" i="8"/>
  <c r="J28" i="8"/>
  <c r="U33" i="8"/>
  <c r="AB33" i="8"/>
  <c r="I33" i="8"/>
  <c r="Q49" i="8"/>
  <c r="U49" i="8"/>
  <c r="AB25" i="8"/>
  <c r="I25" i="8"/>
  <c r="Q25" i="8"/>
  <c r="R6" i="8"/>
  <c r="V6" i="8"/>
  <c r="U21" i="8"/>
  <c r="AB21" i="8"/>
  <c r="I21" i="8"/>
  <c r="P24" i="8"/>
  <c r="I29" i="8"/>
  <c r="P33" i="8"/>
  <c r="Q46" i="8"/>
  <c r="M62" i="8"/>
  <c r="V51" i="8"/>
  <c r="P51" i="8"/>
  <c r="J51" i="8"/>
  <c r="W13" i="8"/>
  <c r="S24" i="8"/>
  <c r="P25" i="8"/>
  <c r="AA30" i="8"/>
  <c r="H30" i="8"/>
  <c r="P30" i="8"/>
  <c r="R33" i="8"/>
  <c r="W36" i="8"/>
  <c r="W66" i="8"/>
  <c r="S49" i="8"/>
  <c r="Q48" i="8"/>
  <c r="S46" i="8"/>
  <c r="AA60" i="8"/>
  <c r="W71" i="8"/>
  <c r="M51" i="8"/>
  <c r="AA53" i="8"/>
  <c r="H53" i="8"/>
  <c r="R53" i="8"/>
  <c r="P53" i="8"/>
  <c r="S54" i="8"/>
  <c r="AB54" i="8"/>
  <c r="I54" i="8"/>
  <c r="W54" i="8"/>
  <c r="C54" i="8"/>
  <c r="S84" i="8"/>
  <c r="AB86" i="8"/>
  <c r="I86" i="8"/>
  <c r="AA86" i="8"/>
  <c r="V86" i="8"/>
  <c r="U86" i="8"/>
  <c r="T86" i="8"/>
  <c r="S86" i="8"/>
  <c r="Q86" i="8"/>
  <c r="P86" i="8"/>
  <c r="M24" i="8"/>
  <c r="H25" i="8"/>
  <c r="M46" i="8"/>
  <c r="I62" i="8"/>
  <c r="J25" i="8"/>
  <c r="Q28" i="8"/>
  <c r="P34" i="8"/>
  <c r="T34" i="8"/>
  <c r="P49" i="8"/>
  <c r="J48" i="8"/>
  <c r="P10" i="8"/>
  <c r="S15" i="8"/>
  <c r="M21" i="8"/>
  <c r="S28" i="8"/>
  <c r="M29" i="8"/>
  <c r="Q38" i="8"/>
  <c r="P6" i="8"/>
  <c r="Q62" i="8"/>
  <c r="C4" i="8"/>
  <c r="AA4" i="8"/>
  <c r="Q10" i="8"/>
  <c r="Q11" i="8"/>
  <c r="U11" i="8"/>
  <c r="AB13" i="8"/>
  <c r="V14" i="8"/>
  <c r="T15" i="8"/>
  <c r="P21" i="8"/>
  <c r="P22" i="8"/>
  <c r="T22" i="8"/>
  <c r="T24" i="8"/>
  <c r="R25" i="8"/>
  <c r="M26" i="8"/>
  <c r="T28" i="8"/>
  <c r="P29" i="8"/>
  <c r="J30" i="8"/>
  <c r="W32" i="8"/>
  <c r="S33" i="8"/>
  <c r="Q34" i="8"/>
  <c r="AA36" i="8"/>
  <c r="U37" i="8"/>
  <c r="R38" i="8"/>
  <c r="AA66" i="8"/>
  <c r="T49" i="8"/>
  <c r="R48" i="8"/>
  <c r="M68" i="8"/>
  <c r="W45" i="8"/>
  <c r="U46" i="8"/>
  <c r="AB60" i="8"/>
  <c r="Q6" i="8"/>
  <c r="M7" i="8"/>
  <c r="T8" i="8"/>
  <c r="AA8" i="8"/>
  <c r="H8" i="8"/>
  <c r="R62" i="8"/>
  <c r="M63" i="8"/>
  <c r="AB64" i="8"/>
  <c r="I64" i="8"/>
  <c r="Q64" i="8"/>
  <c r="U65" i="8"/>
  <c r="AB65" i="8"/>
  <c r="H65" i="8"/>
  <c r="AA67" i="8"/>
  <c r="U40" i="8"/>
  <c r="R41" i="8"/>
  <c r="P42" i="8"/>
  <c r="Q69" i="8"/>
  <c r="W69" i="8"/>
  <c r="U69" i="8"/>
  <c r="AB71" i="8"/>
  <c r="Q51" i="8"/>
  <c r="J52" i="8"/>
  <c r="I53" i="8"/>
  <c r="H54" i="8"/>
  <c r="T84" i="8"/>
  <c r="U24" i="8"/>
  <c r="S25" i="8"/>
  <c r="P26" i="8"/>
  <c r="U28" i="8"/>
  <c r="R29" i="8"/>
  <c r="M30" i="8"/>
  <c r="S31" i="8"/>
  <c r="W31" i="8"/>
  <c r="C31" i="8"/>
  <c r="AA32" i="8"/>
  <c r="T33" i="8"/>
  <c r="R34" i="8"/>
  <c r="C36" i="8"/>
  <c r="AB36" i="8"/>
  <c r="V37" i="8"/>
  <c r="S38" i="8"/>
  <c r="C66" i="8"/>
  <c r="AB66" i="8"/>
  <c r="V49" i="8"/>
  <c r="S48" i="8"/>
  <c r="P68" i="8"/>
  <c r="J44" i="8"/>
  <c r="R44" i="8"/>
  <c r="AA45" i="8"/>
  <c r="V46" i="8"/>
  <c r="C60" i="8"/>
  <c r="S6" i="8"/>
  <c r="P7" i="8"/>
  <c r="J8" i="8"/>
  <c r="S62" i="8"/>
  <c r="P63" i="8"/>
  <c r="J64" i="8"/>
  <c r="C65" i="8"/>
  <c r="C67" i="8"/>
  <c r="AB67" i="8"/>
  <c r="V40" i="8"/>
  <c r="T41" i="8"/>
  <c r="Q42" i="8"/>
  <c r="C69" i="8"/>
  <c r="AB70" i="8"/>
  <c r="I70" i="8"/>
  <c r="S70" i="8"/>
  <c r="Q70" i="8"/>
  <c r="R51" i="8"/>
  <c r="M52" i="8"/>
  <c r="J53" i="8"/>
  <c r="J54" i="8"/>
  <c r="J80" i="8"/>
  <c r="U80" i="8"/>
  <c r="T80" i="8"/>
  <c r="R80" i="8"/>
  <c r="W84" i="8"/>
  <c r="V85" i="8"/>
  <c r="W85" i="8"/>
  <c r="I43" i="8"/>
  <c r="AB43" i="8"/>
  <c r="I79" i="8"/>
  <c r="AB79" i="8"/>
  <c r="AB85" i="8"/>
  <c r="P85" i="8"/>
  <c r="Q85" i="8"/>
  <c r="R85" i="8"/>
  <c r="S85" i="8"/>
  <c r="C23" i="8"/>
  <c r="C35" i="8"/>
  <c r="C47" i="8"/>
  <c r="C61" i="8"/>
  <c r="C83" i="8"/>
  <c r="T85" i="8"/>
  <c r="AA55" i="7"/>
  <c r="AB56" i="7"/>
  <c r="AB62" i="7"/>
  <c r="J56" i="7"/>
  <c r="P56" i="7"/>
  <c r="Q56" i="7"/>
  <c r="J62" i="7"/>
  <c r="M62" i="7"/>
  <c r="P62" i="7"/>
  <c r="Q62" i="7"/>
  <c r="R62" i="7"/>
  <c r="S62" i="7"/>
  <c r="T62" i="7"/>
  <c r="U62" i="7"/>
  <c r="V62" i="7"/>
  <c r="W62" i="7"/>
  <c r="C62" i="7"/>
  <c r="AA62" i="7"/>
  <c r="H62" i="7"/>
  <c r="M56" i="7"/>
  <c r="R56" i="7"/>
  <c r="S56" i="7"/>
  <c r="T56" i="7"/>
  <c r="U56" i="7"/>
  <c r="V56" i="7"/>
  <c r="W56" i="7"/>
  <c r="C56" i="7"/>
  <c r="AA56" i="7"/>
  <c r="H56" i="7"/>
  <c r="C55" i="7"/>
  <c r="I55" i="7"/>
  <c r="AB55" i="7"/>
  <c r="M55" i="7"/>
  <c r="P55" i="7"/>
  <c r="Q55" i="7"/>
  <c r="R55" i="7"/>
  <c r="J55" i="7"/>
  <c r="U55" i="7"/>
  <c r="S55" i="7"/>
  <c r="T55" i="7"/>
  <c r="V55" i="7"/>
  <c r="W55" i="7"/>
  <c r="H55" i="7"/>
  <c r="AB14" i="7"/>
  <c r="M14" i="7"/>
  <c r="J14" i="7"/>
  <c r="Q14" i="7"/>
  <c r="P14" i="7"/>
  <c r="R14" i="7"/>
  <c r="S14" i="7"/>
  <c r="T14" i="7"/>
  <c r="U14" i="7"/>
  <c r="V14" i="7"/>
  <c r="C14" i="7"/>
  <c r="W14" i="7"/>
  <c r="H14" i="7"/>
  <c r="AA14" i="7"/>
  <c r="I14" i="7"/>
  <c r="AC6" i="6" l="1"/>
  <c r="AC12" i="5"/>
  <c r="AD79" i="7" l="1"/>
  <c r="AA79" i="7" s="1"/>
  <c r="AD80" i="7"/>
  <c r="R80" i="7" s="1"/>
  <c r="J79" i="7" l="1"/>
  <c r="Q79" i="7"/>
  <c r="T79" i="7"/>
  <c r="M79" i="7"/>
  <c r="U79" i="7"/>
  <c r="I79" i="7"/>
  <c r="P79" i="7"/>
  <c r="R79" i="7"/>
  <c r="S79" i="7"/>
  <c r="V79" i="7"/>
  <c r="W79" i="7"/>
  <c r="C79" i="7"/>
  <c r="AB79" i="7"/>
  <c r="H79" i="7"/>
  <c r="Q80" i="7"/>
  <c r="M80" i="7"/>
  <c r="P80" i="7"/>
  <c r="J80" i="7"/>
  <c r="AA80" i="7"/>
  <c r="H80" i="7"/>
  <c r="AB80" i="7"/>
  <c r="W80" i="7"/>
  <c r="C80" i="7"/>
  <c r="T80" i="7"/>
  <c r="S80" i="7"/>
  <c r="I80" i="7"/>
  <c r="V80" i="7"/>
  <c r="U80" i="7"/>
  <c r="AD95" i="7"/>
  <c r="AC95" i="7"/>
  <c r="AB95" i="7"/>
  <c r="AA95" i="7"/>
  <c r="W95" i="7"/>
  <c r="V95" i="7"/>
  <c r="U95" i="7"/>
  <c r="T95" i="7"/>
  <c r="S95" i="7"/>
  <c r="R95" i="7"/>
  <c r="Q95" i="7"/>
  <c r="P95" i="7"/>
  <c r="J95" i="7"/>
  <c r="H95" i="7"/>
  <c r="C95" i="7"/>
  <c r="AD94" i="7"/>
  <c r="AC94" i="7"/>
  <c r="AB94" i="7"/>
  <c r="AA94" i="7"/>
  <c r="W94" i="7"/>
  <c r="V94" i="7"/>
  <c r="U94" i="7"/>
  <c r="T94" i="7"/>
  <c r="S94" i="7"/>
  <c r="R94" i="7"/>
  <c r="Q94" i="7"/>
  <c r="P94" i="7"/>
  <c r="J94" i="7"/>
  <c r="H94" i="7"/>
  <c r="C94" i="7"/>
  <c r="AD93" i="7"/>
  <c r="AB93" i="7"/>
  <c r="AA93" i="7"/>
  <c r="W93" i="7"/>
  <c r="V93" i="7"/>
  <c r="U93" i="7"/>
  <c r="T93" i="7"/>
  <c r="S93" i="7"/>
  <c r="R93" i="7"/>
  <c r="Q93" i="7"/>
  <c r="P93" i="7"/>
  <c r="M93" i="7"/>
  <c r="J93" i="7"/>
  <c r="H93" i="7"/>
  <c r="C93" i="7"/>
  <c r="AD92" i="7"/>
  <c r="AB92" i="7"/>
  <c r="AA92" i="7"/>
  <c r="W92" i="7"/>
  <c r="V92" i="7"/>
  <c r="U92" i="7"/>
  <c r="T92" i="7"/>
  <c r="S92" i="7"/>
  <c r="R92" i="7"/>
  <c r="Q92" i="7"/>
  <c r="P92" i="7"/>
  <c r="M92" i="7"/>
  <c r="J92" i="7"/>
  <c r="H92" i="7"/>
  <c r="C92" i="7"/>
  <c r="AD91" i="7"/>
  <c r="AB91" i="7"/>
  <c r="AA91" i="7"/>
  <c r="W91" i="7"/>
  <c r="V91" i="7"/>
  <c r="U91" i="7"/>
  <c r="T91" i="7"/>
  <c r="S91" i="7"/>
  <c r="R91" i="7"/>
  <c r="Q91" i="7"/>
  <c r="P91" i="7"/>
  <c r="M91" i="7"/>
  <c r="J91" i="7"/>
  <c r="H91" i="7"/>
  <c r="C91" i="7"/>
  <c r="AD90" i="7"/>
  <c r="AB90" i="7"/>
  <c r="AA90" i="7"/>
  <c r="W90" i="7"/>
  <c r="V90" i="7"/>
  <c r="U90" i="7"/>
  <c r="T90" i="7"/>
  <c r="S90" i="7"/>
  <c r="R90" i="7"/>
  <c r="Q90" i="7"/>
  <c r="P90" i="7"/>
  <c r="M90" i="7"/>
  <c r="J90" i="7"/>
  <c r="H90" i="7"/>
  <c r="C90" i="7"/>
  <c r="AD89" i="7"/>
  <c r="AB89" i="7"/>
  <c r="AA89" i="7"/>
  <c r="W89" i="7"/>
  <c r="V89" i="7"/>
  <c r="U89" i="7"/>
  <c r="T89" i="7"/>
  <c r="S89" i="7"/>
  <c r="R89" i="7"/>
  <c r="Q89" i="7"/>
  <c r="P89" i="7"/>
  <c r="M89" i="7"/>
  <c r="J89" i="7"/>
  <c r="H89" i="7"/>
  <c r="C89" i="7"/>
  <c r="AD88" i="7"/>
  <c r="AB88" i="7"/>
  <c r="AA88" i="7"/>
  <c r="W88" i="7"/>
  <c r="V88" i="7"/>
  <c r="U88" i="7"/>
  <c r="T88" i="7"/>
  <c r="S88" i="7"/>
  <c r="R88" i="7"/>
  <c r="Q88" i="7"/>
  <c r="P88" i="7"/>
  <c r="M88" i="7"/>
  <c r="J88" i="7"/>
  <c r="H88" i="7"/>
  <c r="C88" i="7"/>
  <c r="AD87" i="7"/>
  <c r="AB87" i="7"/>
  <c r="AA87" i="7"/>
  <c r="W87" i="7"/>
  <c r="V87" i="7"/>
  <c r="U87" i="7"/>
  <c r="T87" i="7"/>
  <c r="S87" i="7"/>
  <c r="R87" i="7"/>
  <c r="Q87" i="7"/>
  <c r="P87" i="7"/>
  <c r="M87" i="7"/>
  <c r="J87" i="7"/>
  <c r="H87" i="7"/>
  <c r="C87" i="7"/>
  <c r="AD86" i="7"/>
  <c r="AB86" i="7"/>
  <c r="AA86" i="7"/>
  <c r="W86" i="7"/>
  <c r="V86" i="7"/>
  <c r="U86" i="7"/>
  <c r="T86" i="7"/>
  <c r="S86" i="7"/>
  <c r="R86" i="7"/>
  <c r="Q86" i="7"/>
  <c r="P86" i="7"/>
  <c r="M86" i="7"/>
  <c r="J86" i="7"/>
  <c r="H86" i="7"/>
  <c r="C86" i="7"/>
  <c r="AD82" i="7"/>
  <c r="AD85" i="7"/>
  <c r="AD81" i="7"/>
  <c r="AD84" i="7"/>
  <c r="AD83" i="7"/>
  <c r="AD78" i="7"/>
  <c r="AD77" i="7"/>
  <c r="AD74" i="7"/>
  <c r="AB74" i="7"/>
  <c r="AA74" i="7"/>
  <c r="W74" i="7"/>
  <c r="V74" i="7"/>
  <c r="U74" i="7"/>
  <c r="T74" i="7"/>
  <c r="S74" i="7"/>
  <c r="R74" i="7"/>
  <c r="Q74" i="7"/>
  <c r="P74" i="7"/>
  <c r="J74" i="7"/>
  <c r="H74" i="7"/>
  <c r="C74" i="7"/>
  <c r="AD73" i="7"/>
  <c r="AB73" i="7"/>
  <c r="AA73" i="7"/>
  <c r="W73" i="7"/>
  <c r="V73" i="7"/>
  <c r="U73" i="7"/>
  <c r="T73" i="7"/>
  <c r="S73" i="7"/>
  <c r="R73" i="7"/>
  <c r="Q73" i="7"/>
  <c r="P73" i="7"/>
  <c r="M73" i="7"/>
  <c r="J73" i="7"/>
  <c r="H73" i="7"/>
  <c r="C73" i="7"/>
  <c r="AD72" i="7"/>
  <c r="AB72" i="7"/>
  <c r="AA72" i="7"/>
  <c r="W72" i="7"/>
  <c r="V72" i="7"/>
  <c r="U72" i="7"/>
  <c r="T72" i="7"/>
  <c r="S72" i="7"/>
  <c r="R72" i="7"/>
  <c r="Q72" i="7"/>
  <c r="P72" i="7"/>
  <c r="M72" i="7"/>
  <c r="J72" i="7"/>
  <c r="H72" i="7"/>
  <c r="C72" i="7"/>
  <c r="AD71" i="7"/>
  <c r="AB71" i="7"/>
  <c r="AA71" i="7"/>
  <c r="W71" i="7"/>
  <c r="V71" i="7"/>
  <c r="U71" i="7"/>
  <c r="T71" i="7"/>
  <c r="S71" i="7"/>
  <c r="R71" i="7"/>
  <c r="Q71" i="7"/>
  <c r="P71" i="7"/>
  <c r="M71" i="7"/>
  <c r="J71" i="7"/>
  <c r="H71" i="7"/>
  <c r="C71" i="7"/>
  <c r="AD70" i="7"/>
  <c r="AB70" i="7"/>
  <c r="AA70" i="7"/>
  <c r="W70" i="7"/>
  <c r="V70" i="7"/>
  <c r="U70" i="7"/>
  <c r="T70" i="7"/>
  <c r="S70" i="7"/>
  <c r="R70" i="7"/>
  <c r="Q70" i="7"/>
  <c r="P70" i="7"/>
  <c r="M70" i="7"/>
  <c r="J70" i="7"/>
  <c r="H70" i="7"/>
  <c r="C70" i="7"/>
  <c r="AD69" i="7"/>
  <c r="AD68" i="7"/>
  <c r="AD67" i="7"/>
  <c r="AD66" i="7"/>
  <c r="AD65" i="7"/>
  <c r="AD64" i="7"/>
  <c r="AD63" i="7"/>
  <c r="AD61" i="7"/>
  <c r="AD60" i="7"/>
  <c r="AD59" i="7"/>
  <c r="AD58" i="7"/>
  <c r="AD57" i="7"/>
  <c r="AD53" i="7"/>
  <c r="AD52" i="7"/>
  <c r="AD51" i="7"/>
  <c r="AD50" i="7"/>
  <c r="AD49" i="7"/>
  <c r="AD48" i="7"/>
  <c r="AD54" i="7"/>
  <c r="AD47" i="7"/>
  <c r="AD44" i="7"/>
  <c r="AC44" i="7"/>
  <c r="AB44" i="7"/>
  <c r="AA44" i="7"/>
  <c r="W44" i="7"/>
  <c r="V44" i="7"/>
  <c r="U44" i="7"/>
  <c r="T44" i="7"/>
  <c r="S44" i="7"/>
  <c r="R44" i="7"/>
  <c r="Q44" i="7"/>
  <c r="P44" i="7"/>
  <c r="M44" i="7"/>
  <c r="J44" i="7"/>
  <c r="I44" i="7"/>
  <c r="H44" i="7"/>
  <c r="C44" i="7"/>
  <c r="AD43" i="7"/>
  <c r="AC43" i="7"/>
  <c r="AB43" i="7"/>
  <c r="AA43" i="7"/>
  <c r="W43" i="7"/>
  <c r="V43" i="7"/>
  <c r="U43" i="7"/>
  <c r="T43" i="7"/>
  <c r="S43" i="7"/>
  <c r="R43" i="7"/>
  <c r="Q43" i="7"/>
  <c r="P43" i="7"/>
  <c r="M43" i="7"/>
  <c r="J43" i="7"/>
  <c r="I43" i="7"/>
  <c r="H43" i="7"/>
  <c r="C43" i="7"/>
  <c r="AD42" i="7"/>
  <c r="AC42" i="7"/>
  <c r="AB42" i="7"/>
  <c r="AA42" i="7"/>
  <c r="W42" i="7"/>
  <c r="V42" i="7"/>
  <c r="U42" i="7"/>
  <c r="T42" i="7"/>
  <c r="S42" i="7"/>
  <c r="R42" i="7"/>
  <c r="Q42" i="7"/>
  <c r="P42" i="7"/>
  <c r="M42" i="7"/>
  <c r="J42" i="7"/>
  <c r="I42" i="7"/>
  <c r="H42" i="7"/>
  <c r="C42" i="7"/>
  <c r="AD41" i="7"/>
  <c r="AD40" i="7"/>
  <c r="AD39" i="7"/>
  <c r="AD38" i="7"/>
  <c r="AD37" i="7"/>
  <c r="AD36" i="7"/>
  <c r="AD35" i="7"/>
  <c r="AD34" i="7"/>
  <c r="AD33" i="7"/>
  <c r="AD32" i="7"/>
  <c r="AD31" i="7"/>
  <c r="AD30" i="7"/>
  <c r="AD29" i="7"/>
  <c r="AD28" i="7"/>
  <c r="AD27" i="7"/>
  <c r="AD26" i="7"/>
  <c r="AD25" i="7"/>
  <c r="AD24" i="7"/>
  <c r="AD23" i="7"/>
  <c r="AD22" i="7"/>
  <c r="AD21" i="7"/>
  <c r="AD20" i="7"/>
  <c r="AD19" i="7"/>
  <c r="AD18" i="7"/>
  <c r="AD17" i="7"/>
  <c r="AD16" i="7"/>
  <c r="AD15" i="7"/>
  <c r="AD11" i="7"/>
  <c r="AD10" i="7"/>
  <c r="AD13" i="7"/>
  <c r="AD12" i="7"/>
  <c r="AD8" i="7"/>
  <c r="AD7" i="7"/>
  <c r="AD6" i="7"/>
  <c r="AD9" i="7"/>
  <c r="AD5" i="7"/>
  <c r="AD4" i="7"/>
  <c r="H26" i="7" l="1"/>
  <c r="J26" i="7"/>
  <c r="AD79" i="6"/>
  <c r="AD49" i="6"/>
  <c r="AD50" i="6"/>
  <c r="AD48" i="6"/>
  <c r="AD98" i="6" l="1"/>
  <c r="AC98" i="6"/>
  <c r="AB98" i="6"/>
  <c r="AA98" i="6"/>
  <c r="W98" i="6"/>
  <c r="V98" i="6"/>
  <c r="U98" i="6"/>
  <c r="T98" i="6"/>
  <c r="S98" i="6"/>
  <c r="R98" i="6"/>
  <c r="Q98" i="6"/>
  <c r="P98" i="6"/>
  <c r="J98" i="6"/>
  <c r="H98" i="6"/>
  <c r="C98" i="6"/>
  <c r="AD97" i="6"/>
  <c r="AC97" i="6"/>
  <c r="AB97" i="6"/>
  <c r="AA97" i="6"/>
  <c r="W97" i="6"/>
  <c r="V97" i="6"/>
  <c r="U97" i="6"/>
  <c r="T97" i="6"/>
  <c r="S97" i="6"/>
  <c r="R97" i="6"/>
  <c r="Q97" i="6"/>
  <c r="P97" i="6"/>
  <c r="J97" i="6"/>
  <c r="H97" i="6"/>
  <c r="C97" i="6"/>
  <c r="AD96" i="6"/>
  <c r="AB96" i="6"/>
  <c r="AA96" i="6"/>
  <c r="W96" i="6"/>
  <c r="V96" i="6"/>
  <c r="U96" i="6"/>
  <c r="T96" i="6"/>
  <c r="S96" i="6"/>
  <c r="R96" i="6"/>
  <c r="Q96" i="6"/>
  <c r="P96" i="6"/>
  <c r="M96" i="6"/>
  <c r="J96" i="6"/>
  <c r="H96" i="6"/>
  <c r="C96" i="6"/>
  <c r="AD95" i="6"/>
  <c r="AB95" i="6"/>
  <c r="AA95" i="6"/>
  <c r="W95" i="6"/>
  <c r="V95" i="6"/>
  <c r="U95" i="6"/>
  <c r="T95" i="6"/>
  <c r="S95" i="6"/>
  <c r="R95" i="6"/>
  <c r="Q95" i="6"/>
  <c r="P95" i="6"/>
  <c r="M95" i="6"/>
  <c r="J95" i="6"/>
  <c r="H95" i="6"/>
  <c r="C95" i="6"/>
  <c r="AD94" i="6"/>
  <c r="AB94" i="6"/>
  <c r="AA94" i="6"/>
  <c r="W94" i="6"/>
  <c r="V94" i="6"/>
  <c r="U94" i="6"/>
  <c r="T94" i="6"/>
  <c r="S94" i="6"/>
  <c r="R94" i="6"/>
  <c r="Q94" i="6"/>
  <c r="P94" i="6"/>
  <c r="M94" i="6"/>
  <c r="J94" i="6"/>
  <c r="H94" i="6"/>
  <c r="C94" i="6"/>
  <c r="AD93" i="6"/>
  <c r="AB93" i="6"/>
  <c r="AA93" i="6"/>
  <c r="W93" i="6"/>
  <c r="V93" i="6"/>
  <c r="U93" i="6"/>
  <c r="T93" i="6"/>
  <c r="S93" i="6"/>
  <c r="R93" i="6"/>
  <c r="Q93" i="6"/>
  <c r="P93" i="6"/>
  <c r="M93" i="6"/>
  <c r="J93" i="6"/>
  <c r="H93" i="6"/>
  <c r="C93" i="6"/>
  <c r="AD92" i="6"/>
  <c r="AB92" i="6"/>
  <c r="AA92" i="6"/>
  <c r="W92" i="6"/>
  <c r="V92" i="6"/>
  <c r="U92" i="6"/>
  <c r="T92" i="6"/>
  <c r="S92" i="6"/>
  <c r="R92" i="6"/>
  <c r="Q92" i="6"/>
  <c r="P92" i="6"/>
  <c r="M92" i="6"/>
  <c r="J92" i="6"/>
  <c r="H92" i="6"/>
  <c r="C92" i="6"/>
  <c r="AD91" i="6"/>
  <c r="AB91" i="6"/>
  <c r="AA91" i="6"/>
  <c r="W91" i="6"/>
  <c r="V91" i="6"/>
  <c r="U91" i="6"/>
  <c r="T91" i="6"/>
  <c r="S91" i="6"/>
  <c r="R91" i="6"/>
  <c r="Q91" i="6"/>
  <c r="P91" i="6"/>
  <c r="M91" i="6"/>
  <c r="J91" i="6"/>
  <c r="H91" i="6"/>
  <c r="C91" i="6"/>
  <c r="AD90" i="6"/>
  <c r="AB90" i="6"/>
  <c r="AA90" i="6"/>
  <c r="W90" i="6"/>
  <c r="V90" i="6"/>
  <c r="U90" i="6"/>
  <c r="T90" i="6"/>
  <c r="S90" i="6"/>
  <c r="R90" i="6"/>
  <c r="Q90" i="6"/>
  <c r="P90" i="6"/>
  <c r="M90" i="6"/>
  <c r="J90" i="6"/>
  <c r="H90" i="6"/>
  <c r="C90" i="6"/>
  <c r="AD89" i="6"/>
  <c r="AB89" i="6"/>
  <c r="AA89" i="6"/>
  <c r="W89" i="6"/>
  <c r="V89" i="6"/>
  <c r="U89" i="6"/>
  <c r="T89" i="6"/>
  <c r="S89" i="6"/>
  <c r="R89" i="6"/>
  <c r="Q89" i="6"/>
  <c r="P89" i="6"/>
  <c r="M89" i="6"/>
  <c r="J89" i="6"/>
  <c r="H89" i="6"/>
  <c r="C89" i="6"/>
  <c r="AD88" i="6"/>
  <c r="AD87" i="6"/>
  <c r="AD86" i="6"/>
  <c r="AD85" i="6"/>
  <c r="AD84" i="6"/>
  <c r="AD83" i="6"/>
  <c r="AD82" i="6"/>
  <c r="AD81" i="6"/>
  <c r="AD80" i="6"/>
  <c r="AD78" i="6"/>
  <c r="AD75" i="6"/>
  <c r="AB75" i="6"/>
  <c r="AA75" i="6"/>
  <c r="W75" i="6"/>
  <c r="V75" i="6"/>
  <c r="U75" i="6"/>
  <c r="T75" i="6"/>
  <c r="S75" i="6"/>
  <c r="R75" i="6"/>
  <c r="Q75" i="6"/>
  <c r="P75" i="6"/>
  <c r="J75" i="6"/>
  <c r="H75" i="6"/>
  <c r="C75" i="6"/>
  <c r="AD74" i="6"/>
  <c r="AB74" i="6"/>
  <c r="AA74" i="6"/>
  <c r="W74" i="6"/>
  <c r="V74" i="6"/>
  <c r="U74" i="6"/>
  <c r="T74" i="6"/>
  <c r="S74" i="6"/>
  <c r="R74" i="6"/>
  <c r="Q74" i="6"/>
  <c r="P74" i="6"/>
  <c r="M74" i="6"/>
  <c r="J74" i="6"/>
  <c r="H74" i="6"/>
  <c r="C74" i="6"/>
  <c r="AD73" i="6"/>
  <c r="AB73" i="6"/>
  <c r="AA73" i="6"/>
  <c r="W73" i="6"/>
  <c r="V73" i="6"/>
  <c r="U73" i="6"/>
  <c r="T73" i="6"/>
  <c r="S73" i="6"/>
  <c r="R73" i="6"/>
  <c r="Q73" i="6"/>
  <c r="P73" i="6"/>
  <c r="M73" i="6"/>
  <c r="J73" i="6"/>
  <c r="H73" i="6"/>
  <c r="C73" i="6"/>
  <c r="AD72" i="6"/>
  <c r="AB72" i="6"/>
  <c r="AA72" i="6"/>
  <c r="W72" i="6"/>
  <c r="V72" i="6"/>
  <c r="U72" i="6"/>
  <c r="T72" i="6"/>
  <c r="S72" i="6"/>
  <c r="R72" i="6"/>
  <c r="Q72" i="6"/>
  <c r="P72" i="6"/>
  <c r="M72" i="6"/>
  <c r="J72" i="6"/>
  <c r="H72" i="6"/>
  <c r="C72" i="6"/>
  <c r="AD71" i="6"/>
  <c r="AB71" i="6"/>
  <c r="AA71" i="6"/>
  <c r="W71" i="6"/>
  <c r="V71" i="6"/>
  <c r="U71" i="6"/>
  <c r="T71" i="6"/>
  <c r="S71" i="6"/>
  <c r="R71" i="6"/>
  <c r="Q71" i="6"/>
  <c r="P71" i="6"/>
  <c r="M71" i="6"/>
  <c r="J71" i="6"/>
  <c r="H71" i="6"/>
  <c r="C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C58" i="6"/>
  <c r="AD56" i="6"/>
  <c r="AD55" i="6"/>
  <c r="AD54" i="6"/>
  <c r="AD53" i="6"/>
  <c r="AD52" i="6"/>
  <c r="AD57" i="6"/>
  <c r="AD51" i="6"/>
  <c r="AD45" i="6"/>
  <c r="AC45" i="6"/>
  <c r="AB45" i="6"/>
  <c r="AA45" i="6"/>
  <c r="W45" i="6"/>
  <c r="V45" i="6"/>
  <c r="U45" i="6"/>
  <c r="T45" i="6"/>
  <c r="S45" i="6"/>
  <c r="R45" i="6"/>
  <c r="Q45" i="6"/>
  <c r="P45" i="6"/>
  <c r="M45" i="6"/>
  <c r="J45" i="6"/>
  <c r="I45" i="6"/>
  <c r="H45" i="6"/>
  <c r="C45" i="6"/>
  <c r="AD44" i="6"/>
  <c r="AC44" i="6"/>
  <c r="AB44" i="6"/>
  <c r="AA44" i="6"/>
  <c r="W44" i="6"/>
  <c r="V44" i="6"/>
  <c r="U44" i="6"/>
  <c r="T44" i="6"/>
  <c r="S44" i="6"/>
  <c r="R44" i="6"/>
  <c r="Q44" i="6"/>
  <c r="P44" i="6"/>
  <c r="M44" i="6"/>
  <c r="J44" i="6"/>
  <c r="I44" i="6"/>
  <c r="H44" i="6"/>
  <c r="C44" i="6"/>
  <c r="AD43" i="6"/>
  <c r="AC43" i="6"/>
  <c r="AB43" i="6"/>
  <c r="AA43" i="6"/>
  <c r="W43" i="6"/>
  <c r="V43" i="6"/>
  <c r="U43" i="6"/>
  <c r="T43" i="6"/>
  <c r="S43" i="6"/>
  <c r="R43" i="6"/>
  <c r="Q43" i="6"/>
  <c r="P43" i="6"/>
  <c r="M43" i="6"/>
  <c r="J43" i="6"/>
  <c r="I43" i="6"/>
  <c r="H43" i="6"/>
  <c r="C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8" i="6"/>
  <c r="AD7" i="6"/>
  <c r="AD6" i="6"/>
  <c r="AD14" i="6"/>
  <c r="AD13" i="6"/>
  <c r="AD11" i="6"/>
  <c r="AD9" i="6"/>
  <c r="AD12" i="6"/>
  <c r="AD10" i="6"/>
  <c r="AD5" i="6"/>
  <c r="AD4" i="6"/>
  <c r="AA6" i="6" l="1"/>
  <c r="H6" i="6"/>
  <c r="U6" i="6"/>
  <c r="M6" i="6"/>
  <c r="I6" i="6"/>
  <c r="W6" i="6"/>
  <c r="C6" i="6"/>
  <c r="V6" i="6"/>
  <c r="T6" i="6"/>
  <c r="S6" i="6"/>
  <c r="R6" i="6"/>
  <c r="Q6" i="6"/>
  <c r="P6" i="6"/>
  <c r="J6" i="6"/>
  <c r="AB6" i="6"/>
  <c r="T58" i="6"/>
  <c r="C58" i="6"/>
  <c r="H58" i="6"/>
  <c r="J58" i="6"/>
  <c r="Q58" i="6"/>
  <c r="S58" i="6"/>
  <c r="M58" i="6"/>
  <c r="V58" i="6"/>
  <c r="W58" i="6"/>
  <c r="AA58" i="6"/>
  <c r="AB58" i="6"/>
  <c r="U58" i="6"/>
  <c r="P58" i="6"/>
  <c r="R58" i="6"/>
  <c r="AC56" i="5"/>
  <c r="AD56" i="5"/>
  <c r="C56" i="5" s="1"/>
  <c r="S56" i="5" l="1"/>
  <c r="U56" i="5"/>
  <c r="Q56" i="5"/>
  <c r="W56" i="5"/>
  <c r="R56" i="5"/>
  <c r="P56" i="5"/>
  <c r="V56" i="5"/>
  <c r="M56" i="5"/>
  <c r="J56" i="5"/>
  <c r="T56" i="5"/>
  <c r="AB56" i="5"/>
  <c r="H56" i="5"/>
  <c r="AA56" i="5"/>
  <c r="AD78" i="5"/>
  <c r="AD12" i="5" l="1"/>
  <c r="AD96" i="5"/>
  <c r="AC96" i="5"/>
  <c r="AB96" i="5"/>
  <c r="AA96" i="5"/>
  <c r="W96" i="5"/>
  <c r="V96" i="5"/>
  <c r="U96" i="5"/>
  <c r="T96" i="5"/>
  <c r="S96" i="5"/>
  <c r="R96" i="5"/>
  <c r="Q96" i="5"/>
  <c r="P96" i="5"/>
  <c r="J96" i="5"/>
  <c r="H96" i="5"/>
  <c r="C96" i="5"/>
  <c r="AD95" i="5"/>
  <c r="AC95" i="5"/>
  <c r="AB95" i="5"/>
  <c r="AA95" i="5"/>
  <c r="W95" i="5"/>
  <c r="V95" i="5"/>
  <c r="U95" i="5"/>
  <c r="T95" i="5"/>
  <c r="S95" i="5"/>
  <c r="R95" i="5"/>
  <c r="Q95" i="5"/>
  <c r="P95" i="5"/>
  <c r="J95" i="5"/>
  <c r="H95" i="5"/>
  <c r="C95" i="5"/>
  <c r="AD94" i="5"/>
  <c r="AB94" i="5"/>
  <c r="AA94" i="5"/>
  <c r="W94" i="5"/>
  <c r="V94" i="5"/>
  <c r="U94" i="5"/>
  <c r="T94" i="5"/>
  <c r="S94" i="5"/>
  <c r="R94" i="5"/>
  <c r="Q94" i="5"/>
  <c r="P94" i="5"/>
  <c r="M94" i="5"/>
  <c r="J94" i="5"/>
  <c r="H94" i="5"/>
  <c r="C94" i="5"/>
  <c r="AD93" i="5"/>
  <c r="AB93" i="5"/>
  <c r="AA93" i="5"/>
  <c r="W93" i="5"/>
  <c r="V93" i="5"/>
  <c r="U93" i="5"/>
  <c r="T93" i="5"/>
  <c r="S93" i="5"/>
  <c r="R93" i="5"/>
  <c r="Q93" i="5"/>
  <c r="P93" i="5"/>
  <c r="M93" i="5"/>
  <c r="J93" i="5"/>
  <c r="H93" i="5"/>
  <c r="C93" i="5"/>
  <c r="AD92" i="5"/>
  <c r="AB92" i="5"/>
  <c r="AA92" i="5"/>
  <c r="W92" i="5"/>
  <c r="V92" i="5"/>
  <c r="U92" i="5"/>
  <c r="T92" i="5"/>
  <c r="S92" i="5"/>
  <c r="R92" i="5"/>
  <c r="Q92" i="5"/>
  <c r="P92" i="5"/>
  <c r="M92" i="5"/>
  <c r="J92" i="5"/>
  <c r="H92" i="5"/>
  <c r="C92" i="5"/>
  <c r="AD91" i="5"/>
  <c r="AB91" i="5"/>
  <c r="AA91" i="5"/>
  <c r="W91" i="5"/>
  <c r="V91" i="5"/>
  <c r="U91" i="5"/>
  <c r="T91" i="5"/>
  <c r="S91" i="5"/>
  <c r="R91" i="5"/>
  <c r="Q91" i="5"/>
  <c r="P91" i="5"/>
  <c r="M91" i="5"/>
  <c r="J91" i="5"/>
  <c r="H91" i="5"/>
  <c r="C91" i="5"/>
  <c r="AD90" i="5"/>
  <c r="AB90" i="5"/>
  <c r="AA90" i="5"/>
  <c r="W90" i="5"/>
  <c r="V90" i="5"/>
  <c r="U90" i="5"/>
  <c r="T90" i="5"/>
  <c r="S90" i="5"/>
  <c r="R90" i="5"/>
  <c r="Q90" i="5"/>
  <c r="P90" i="5"/>
  <c r="M90" i="5"/>
  <c r="J90" i="5"/>
  <c r="H90" i="5"/>
  <c r="C90" i="5"/>
  <c r="AD89" i="5"/>
  <c r="AB89" i="5"/>
  <c r="AA89" i="5"/>
  <c r="W89" i="5"/>
  <c r="V89" i="5"/>
  <c r="U89" i="5"/>
  <c r="T89" i="5"/>
  <c r="S89" i="5"/>
  <c r="R89" i="5"/>
  <c r="Q89" i="5"/>
  <c r="P89" i="5"/>
  <c r="M89" i="5"/>
  <c r="J89" i="5"/>
  <c r="H89" i="5"/>
  <c r="C89" i="5"/>
  <c r="AD88" i="5"/>
  <c r="AB88" i="5"/>
  <c r="AA88" i="5"/>
  <c r="W88" i="5"/>
  <c r="V88" i="5"/>
  <c r="U88" i="5"/>
  <c r="T88" i="5"/>
  <c r="S88" i="5"/>
  <c r="R88" i="5"/>
  <c r="Q88" i="5"/>
  <c r="P88" i="5"/>
  <c r="M88" i="5"/>
  <c r="J88" i="5"/>
  <c r="H88" i="5"/>
  <c r="C88" i="5"/>
  <c r="AD87" i="5"/>
  <c r="AB87" i="5"/>
  <c r="AA87" i="5"/>
  <c r="W87" i="5"/>
  <c r="V87" i="5"/>
  <c r="U87" i="5"/>
  <c r="T87" i="5"/>
  <c r="S87" i="5"/>
  <c r="R87" i="5"/>
  <c r="Q87" i="5"/>
  <c r="P87" i="5"/>
  <c r="M87" i="5"/>
  <c r="J87" i="5"/>
  <c r="H87" i="5"/>
  <c r="C87" i="5"/>
  <c r="AD86" i="5"/>
  <c r="AD85" i="5"/>
  <c r="AD84" i="5"/>
  <c r="AD83" i="5"/>
  <c r="AD82" i="5"/>
  <c r="AD81" i="5"/>
  <c r="AD80" i="5"/>
  <c r="AD79" i="5"/>
  <c r="AD77" i="5"/>
  <c r="AD76" i="5"/>
  <c r="AD73" i="5"/>
  <c r="AB73" i="5"/>
  <c r="AA73" i="5"/>
  <c r="W73" i="5"/>
  <c r="V73" i="5"/>
  <c r="U73" i="5"/>
  <c r="T73" i="5"/>
  <c r="S73" i="5"/>
  <c r="R73" i="5"/>
  <c r="Q73" i="5"/>
  <c r="P73" i="5"/>
  <c r="J73" i="5"/>
  <c r="H73" i="5"/>
  <c r="C73" i="5"/>
  <c r="AD72" i="5"/>
  <c r="AB72" i="5"/>
  <c r="AA72" i="5"/>
  <c r="W72" i="5"/>
  <c r="V72" i="5"/>
  <c r="U72" i="5"/>
  <c r="T72" i="5"/>
  <c r="S72" i="5"/>
  <c r="R72" i="5"/>
  <c r="Q72" i="5"/>
  <c r="P72" i="5"/>
  <c r="M72" i="5"/>
  <c r="J72" i="5"/>
  <c r="H72" i="5"/>
  <c r="C72" i="5"/>
  <c r="AD71" i="5"/>
  <c r="AB71" i="5"/>
  <c r="AA71" i="5"/>
  <c r="W71" i="5"/>
  <c r="V71" i="5"/>
  <c r="U71" i="5"/>
  <c r="T71" i="5"/>
  <c r="S71" i="5"/>
  <c r="R71" i="5"/>
  <c r="Q71" i="5"/>
  <c r="P71" i="5"/>
  <c r="M71" i="5"/>
  <c r="J71" i="5"/>
  <c r="H71" i="5"/>
  <c r="C71" i="5"/>
  <c r="AD70" i="5"/>
  <c r="AB70" i="5"/>
  <c r="AA70" i="5"/>
  <c r="W70" i="5"/>
  <c r="V70" i="5"/>
  <c r="U70" i="5"/>
  <c r="T70" i="5"/>
  <c r="S70" i="5"/>
  <c r="R70" i="5"/>
  <c r="Q70" i="5"/>
  <c r="P70" i="5"/>
  <c r="M70" i="5"/>
  <c r="J70" i="5"/>
  <c r="H70" i="5"/>
  <c r="C70" i="5"/>
  <c r="AD69" i="5"/>
  <c r="AB69" i="5"/>
  <c r="AA69" i="5"/>
  <c r="W69" i="5"/>
  <c r="V69" i="5"/>
  <c r="U69" i="5"/>
  <c r="T69" i="5"/>
  <c r="S69" i="5"/>
  <c r="R69" i="5"/>
  <c r="Q69" i="5"/>
  <c r="P69" i="5"/>
  <c r="M69" i="5"/>
  <c r="J69" i="5"/>
  <c r="H69" i="5"/>
  <c r="C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5" i="5"/>
  <c r="AD54" i="5"/>
  <c r="AD53" i="5"/>
  <c r="AD52" i="5"/>
  <c r="AD51" i="5"/>
  <c r="AD48" i="5"/>
  <c r="AD50" i="5"/>
  <c r="AD49" i="5"/>
  <c r="AD45" i="5"/>
  <c r="AC45" i="5"/>
  <c r="AB45" i="5"/>
  <c r="AA45" i="5"/>
  <c r="W45" i="5"/>
  <c r="V45" i="5"/>
  <c r="U45" i="5"/>
  <c r="T45" i="5"/>
  <c r="S45" i="5"/>
  <c r="R45" i="5"/>
  <c r="Q45" i="5"/>
  <c r="P45" i="5"/>
  <c r="M45" i="5"/>
  <c r="J45" i="5"/>
  <c r="I45" i="5"/>
  <c r="H45" i="5"/>
  <c r="C45" i="5"/>
  <c r="AD44" i="5"/>
  <c r="AC44" i="5"/>
  <c r="AB44" i="5"/>
  <c r="AA44" i="5"/>
  <c r="W44" i="5"/>
  <c r="V44" i="5"/>
  <c r="U44" i="5"/>
  <c r="T44" i="5"/>
  <c r="S44" i="5"/>
  <c r="R44" i="5"/>
  <c r="Q44" i="5"/>
  <c r="P44" i="5"/>
  <c r="M44" i="5"/>
  <c r="J44" i="5"/>
  <c r="I44" i="5"/>
  <c r="H44" i="5"/>
  <c r="C44" i="5"/>
  <c r="AD43" i="5"/>
  <c r="AC43" i="5"/>
  <c r="AB43" i="5"/>
  <c r="AA43" i="5"/>
  <c r="W43" i="5"/>
  <c r="V43" i="5"/>
  <c r="U43" i="5"/>
  <c r="T43" i="5"/>
  <c r="S43" i="5"/>
  <c r="R43" i="5"/>
  <c r="Q43" i="5"/>
  <c r="P43" i="5"/>
  <c r="M43" i="5"/>
  <c r="J43" i="5"/>
  <c r="I43" i="5"/>
  <c r="H43" i="5"/>
  <c r="C43" i="5"/>
  <c r="AD35" i="5"/>
  <c r="AD34" i="5"/>
  <c r="AD33" i="5"/>
  <c r="AD42" i="5"/>
  <c r="AD41" i="5"/>
  <c r="AD40" i="5"/>
  <c r="AD39" i="5"/>
  <c r="AD38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37" i="5"/>
  <c r="AD36" i="5"/>
  <c r="AD9" i="5"/>
  <c r="AD8" i="5"/>
  <c r="AD19" i="5"/>
  <c r="AD18" i="5"/>
  <c r="AD17" i="5"/>
  <c r="AD16" i="5"/>
  <c r="AD15" i="5"/>
  <c r="AD14" i="5"/>
  <c r="AD13" i="5"/>
  <c r="AD10" i="5"/>
  <c r="AD11" i="5"/>
  <c r="AD7" i="5"/>
  <c r="AD6" i="5"/>
  <c r="AD5" i="5"/>
  <c r="AD4" i="5"/>
  <c r="P12" i="5" l="1"/>
  <c r="I12" i="5"/>
  <c r="H12" i="5"/>
  <c r="W12" i="5"/>
  <c r="C12" i="5"/>
  <c r="R12" i="5"/>
  <c r="M12" i="5"/>
  <c r="J12" i="5"/>
  <c r="AB12" i="5"/>
  <c r="AA12" i="5"/>
  <c r="T12" i="5"/>
  <c r="V12" i="5"/>
  <c r="U12" i="5"/>
  <c r="S12" i="5"/>
  <c r="Q12" i="5"/>
  <c r="AD92" i="4"/>
  <c r="AB92" i="4"/>
  <c r="AA92" i="4"/>
  <c r="W92" i="4"/>
  <c r="V92" i="4"/>
  <c r="U92" i="4"/>
  <c r="T92" i="4"/>
  <c r="S92" i="4"/>
  <c r="R92" i="4"/>
  <c r="Q92" i="4"/>
  <c r="P92" i="4"/>
  <c r="M92" i="4"/>
  <c r="J92" i="4"/>
  <c r="H92" i="4"/>
  <c r="C92" i="4"/>
  <c r="AD91" i="4"/>
  <c r="AB91" i="4"/>
  <c r="AA91" i="4"/>
  <c r="W91" i="4"/>
  <c r="V91" i="4"/>
  <c r="U91" i="4"/>
  <c r="T91" i="4"/>
  <c r="S91" i="4"/>
  <c r="R91" i="4"/>
  <c r="Q91" i="4"/>
  <c r="P91" i="4"/>
  <c r="M91" i="4"/>
  <c r="J91" i="4"/>
  <c r="H91" i="4"/>
  <c r="C91" i="4"/>
  <c r="AD90" i="4"/>
  <c r="AB90" i="4"/>
  <c r="AA90" i="4"/>
  <c r="W90" i="4"/>
  <c r="V90" i="4"/>
  <c r="U90" i="4"/>
  <c r="T90" i="4"/>
  <c r="S90" i="4"/>
  <c r="R90" i="4"/>
  <c r="Q90" i="4"/>
  <c r="P90" i="4"/>
  <c r="M90" i="4"/>
  <c r="J90" i="4"/>
  <c r="H90" i="4"/>
  <c r="C90" i="4"/>
  <c r="AD89" i="4"/>
  <c r="AB89" i="4"/>
  <c r="AA89" i="4"/>
  <c r="W89" i="4"/>
  <c r="V89" i="4"/>
  <c r="U89" i="4"/>
  <c r="T89" i="4"/>
  <c r="S89" i="4"/>
  <c r="R89" i="4"/>
  <c r="Q89" i="4"/>
  <c r="P89" i="4"/>
  <c r="M89" i="4"/>
  <c r="J89" i="4"/>
  <c r="H89" i="4"/>
  <c r="C89" i="4"/>
  <c r="AD88" i="4"/>
  <c r="AB88" i="4"/>
  <c r="AA88" i="4"/>
  <c r="W88" i="4"/>
  <c r="V88" i="4"/>
  <c r="U88" i="4"/>
  <c r="T88" i="4"/>
  <c r="S88" i="4"/>
  <c r="R88" i="4"/>
  <c r="Q88" i="4"/>
  <c r="P88" i="4"/>
  <c r="M88" i="4"/>
  <c r="J88" i="4"/>
  <c r="H88" i="4"/>
  <c r="C88" i="4"/>
  <c r="AD87" i="4"/>
  <c r="AB87" i="4"/>
  <c r="AA87" i="4"/>
  <c r="W87" i="4"/>
  <c r="V87" i="4"/>
  <c r="U87" i="4"/>
  <c r="T87" i="4"/>
  <c r="S87" i="4"/>
  <c r="R87" i="4"/>
  <c r="Q87" i="4"/>
  <c r="P87" i="4"/>
  <c r="M87" i="4"/>
  <c r="J87" i="4"/>
  <c r="H87" i="4"/>
  <c r="C87" i="4"/>
  <c r="AD86" i="4"/>
  <c r="AB86" i="4"/>
  <c r="AA86" i="4"/>
  <c r="W86" i="4"/>
  <c r="V86" i="4"/>
  <c r="U86" i="4"/>
  <c r="T86" i="4"/>
  <c r="S86" i="4"/>
  <c r="R86" i="4"/>
  <c r="Q86" i="4"/>
  <c r="P86" i="4"/>
  <c r="M86" i="4"/>
  <c r="J86" i="4"/>
  <c r="H86" i="4"/>
  <c r="C86" i="4"/>
  <c r="AD85" i="4"/>
  <c r="AB85" i="4"/>
  <c r="AA85" i="4"/>
  <c r="W85" i="4"/>
  <c r="V85" i="4"/>
  <c r="U85" i="4"/>
  <c r="T85" i="4"/>
  <c r="S85" i="4"/>
  <c r="R85" i="4"/>
  <c r="Q85" i="4"/>
  <c r="P85" i="4"/>
  <c r="M85" i="4"/>
  <c r="J85" i="4"/>
  <c r="H85" i="4"/>
  <c r="C85" i="4"/>
  <c r="AD78" i="4"/>
  <c r="AD77" i="4"/>
  <c r="AD76" i="4"/>
  <c r="AD75" i="4"/>
  <c r="M68" i="4"/>
  <c r="M69" i="4"/>
  <c r="M70" i="4"/>
  <c r="M71" i="4"/>
  <c r="AD71" i="4"/>
  <c r="AB71" i="4"/>
  <c r="AA71" i="4"/>
  <c r="W71" i="4"/>
  <c r="V71" i="4"/>
  <c r="U71" i="4"/>
  <c r="T71" i="4"/>
  <c r="S71" i="4"/>
  <c r="R71" i="4"/>
  <c r="Q71" i="4"/>
  <c r="P71" i="4"/>
  <c r="J71" i="4"/>
  <c r="H71" i="4"/>
  <c r="C71" i="4"/>
  <c r="AD70" i="4"/>
  <c r="AB70" i="4"/>
  <c r="AA70" i="4"/>
  <c r="W70" i="4"/>
  <c r="V70" i="4"/>
  <c r="U70" i="4"/>
  <c r="T70" i="4"/>
  <c r="S70" i="4"/>
  <c r="R70" i="4"/>
  <c r="Q70" i="4"/>
  <c r="P70" i="4"/>
  <c r="J70" i="4"/>
  <c r="H70" i="4"/>
  <c r="C70" i="4"/>
  <c r="AD69" i="4"/>
  <c r="AB69" i="4"/>
  <c r="AA69" i="4"/>
  <c r="W69" i="4"/>
  <c r="V69" i="4"/>
  <c r="U69" i="4"/>
  <c r="T69" i="4"/>
  <c r="S69" i="4"/>
  <c r="R69" i="4"/>
  <c r="Q69" i="4"/>
  <c r="P69" i="4"/>
  <c r="J69" i="4"/>
  <c r="H69" i="4"/>
  <c r="C69" i="4"/>
  <c r="AD68" i="4"/>
  <c r="AB68" i="4"/>
  <c r="AA68" i="4"/>
  <c r="W68" i="4"/>
  <c r="V68" i="4"/>
  <c r="U68" i="4"/>
  <c r="T68" i="4"/>
  <c r="S68" i="4"/>
  <c r="R68" i="4"/>
  <c r="Q68" i="4"/>
  <c r="P68" i="4"/>
  <c r="J68" i="4"/>
  <c r="H68" i="4"/>
  <c r="C68" i="4"/>
  <c r="AD49" i="4"/>
  <c r="AD48" i="4"/>
  <c r="AC4" i="12" s="1"/>
  <c r="AD44" i="4"/>
  <c r="AC44" i="4"/>
  <c r="AB44" i="4"/>
  <c r="AA44" i="4"/>
  <c r="W44" i="4"/>
  <c r="V44" i="4"/>
  <c r="U44" i="4"/>
  <c r="T44" i="4"/>
  <c r="S44" i="4"/>
  <c r="R44" i="4"/>
  <c r="Q44" i="4"/>
  <c r="P44" i="4"/>
  <c r="M44" i="4"/>
  <c r="J44" i="4"/>
  <c r="I44" i="4"/>
  <c r="H44" i="4"/>
  <c r="C44" i="4"/>
  <c r="AD43" i="4"/>
  <c r="AC43" i="4"/>
  <c r="AB43" i="4"/>
  <c r="AA43" i="4"/>
  <c r="W43" i="4"/>
  <c r="V43" i="4"/>
  <c r="U43" i="4"/>
  <c r="T43" i="4"/>
  <c r="S43" i="4"/>
  <c r="R43" i="4"/>
  <c r="Q43" i="4"/>
  <c r="P43" i="4"/>
  <c r="M43" i="4"/>
  <c r="J43" i="4"/>
  <c r="I43" i="4"/>
  <c r="H43" i="4"/>
  <c r="C43" i="4"/>
  <c r="AD42" i="4"/>
  <c r="AD41" i="4"/>
  <c r="AD40" i="4"/>
  <c r="AC4" i="24" s="1"/>
  <c r="AD84" i="4"/>
  <c r="AD34" i="4"/>
  <c r="AC55" i="21" s="1"/>
  <c r="AD33" i="4"/>
  <c r="AC54" i="21" s="1"/>
  <c r="AD32" i="4"/>
  <c r="AD31" i="4"/>
  <c r="AD30" i="4"/>
  <c r="AC6" i="21" s="1"/>
  <c r="AD29" i="4"/>
  <c r="AC5" i="21" s="1"/>
  <c r="AD45" i="4"/>
  <c r="AC45" i="4"/>
  <c r="AB45" i="4"/>
  <c r="AA45" i="4"/>
  <c r="W45" i="4"/>
  <c r="V45" i="4"/>
  <c r="U45" i="4"/>
  <c r="T45" i="4"/>
  <c r="S45" i="4"/>
  <c r="R45" i="4"/>
  <c r="Q45" i="4"/>
  <c r="P45" i="4"/>
  <c r="M45" i="4"/>
  <c r="J45" i="4"/>
  <c r="I45" i="4"/>
  <c r="H45" i="4"/>
  <c r="C45" i="4"/>
  <c r="AD28" i="4"/>
  <c r="AD27" i="4"/>
  <c r="AC8" i="21" s="1"/>
  <c r="AD83" i="4"/>
  <c r="AD39" i="4"/>
  <c r="AD38" i="4"/>
  <c r="AD37" i="4"/>
  <c r="AD36" i="4"/>
  <c r="AD35" i="4"/>
  <c r="AC47" i="24" s="1"/>
  <c r="AD82" i="4"/>
  <c r="AD26" i="4"/>
  <c r="AC4" i="21" s="1"/>
  <c r="AD25" i="4"/>
  <c r="AD24" i="4"/>
  <c r="AD23" i="4"/>
  <c r="AD22" i="4"/>
  <c r="AD7" i="4"/>
  <c r="AD6" i="4"/>
  <c r="AD50" i="4"/>
  <c r="AD81" i="4"/>
  <c r="AD67" i="4"/>
  <c r="AD66" i="4"/>
  <c r="AD65" i="4"/>
  <c r="AD64" i="4"/>
  <c r="AD62" i="4"/>
  <c r="AD63" i="4"/>
  <c r="AD61" i="4"/>
  <c r="AD20" i="4"/>
  <c r="AD21" i="4"/>
  <c r="AD80" i="4"/>
  <c r="AD60" i="4"/>
  <c r="AD54" i="4"/>
  <c r="AC4" i="10" s="1"/>
  <c r="AD53" i="4"/>
  <c r="AC7" i="8" s="1"/>
  <c r="AD52" i="4"/>
  <c r="AC6" i="8" s="1"/>
  <c r="AD51" i="4"/>
  <c r="AD19" i="4"/>
  <c r="AD18" i="4"/>
  <c r="AD56" i="4"/>
  <c r="AC46" i="24" s="1"/>
  <c r="AD79" i="4"/>
  <c r="AD55" i="4"/>
  <c r="AC5" i="10" s="1"/>
  <c r="AD59" i="4"/>
  <c r="AD58" i="4"/>
  <c r="AD57" i="4"/>
  <c r="AC5" i="24" s="1"/>
  <c r="AD17" i="4"/>
  <c r="AD16" i="4"/>
  <c r="AC4" i="14" s="1"/>
  <c r="AD15" i="4"/>
  <c r="AC4" i="19" s="1"/>
  <c r="AC45" i="25" l="1"/>
  <c r="AC49" i="24"/>
  <c r="AC40" i="26"/>
  <c r="AC29" i="26"/>
  <c r="AC30" i="26"/>
  <c r="AC38" i="24"/>
  <c r="AC35" i="25"/>
  <c r="AC37" i="24"/>
  <c r="AC36" i="25"/>
  <c r="AC10" i="26"/>
  <c r="AC16" i="24"/>
  <c r="AC14" i="25"/>
  <c r="AC51" i="24"/>
  <c r="AC17" i="24"/>
  <c r="AC47" i="25"/>
  <c r="AC42" i="26"/>
  <c r="AC15" i="25"/>
  <c r="AC50" i="24"/>
  <c r="AC46" i="25"/>
  <c r="AC41" i="26"/>
  <c r="AC11" i="26"/>
  <c r="AC18" i="23"/>
  <c r="AC18" i="24"/>
  <c r="AC16" i="25"/>
  <c r="AC12" i="26"/>
  <c r="AC62" i="26"/>
  <c r="AC70" i="25"/>
  <c r="AC74" i="24"/>
  <c r="AC16" i="26"/>
  <c r="AC23" i="25"/>
  <c r="AC25" i="24"/>
  <c r="AC27" i="23"/>
  <c r="AC24" i="25"/>
  <c r="AC26" i="24"/>
  <c r="AC17" i="26"/>
  <c r="AC21" i="24"/>
  <c r="AC46" i="26"/>
  <c r="AC52" i="25"/>
  <c r="AC15" i="26"/>
  <c r="AC45" i="26"/>
  <c r="AC51" i="25"/>
  <c r="AC14" i="26"/>
  <c r="AC20" i="24"/>
  <c r="AC56" i="24"/>
  <c r="AC55" i="24"/>
  <c r="AC19" i="25"/>
  <c r="AC18" i="25"/>
  <c r="AC17" i="25"/>
  <c r="AC13" i="26"/>
  <c r="AC19" i="24"/>
  <c r="AC4" i="26"/>
  <c r="AC10" i="24"/>
  <c r="AC8" i="25"/>
  <c r="AC8" i="24"/>
  <c r="AC6" i="25"/>
  <c r="AC10" i="25"/>
  <c r="AC12" i="24"/>
  <c r="AC6" i="26"/>
  <c r="AC55" i="26"/>
  <c r="AC67" i="24"/>
  <c r="AC63" i="25"/>
  <c r="AC9" i="25"/>
  <c r="AC11" i="24"/>
  <c r="AC5" i="26"/>
  <c r="AC4" i="25"/>
  <c r="AC6" i="24"/>
  <c r="AC64" i="24"/>
  <c r="AC60" i="25"/>
  <c r="AC13" i="24"/>
  <c r="AC11" i="25"/>
  <c r="AC7" i="26"/>
  <c r="AC5" i="25"/>
  <c r="AC7" i="24"/>
  <c r="AC9" i="26"/>
  <c r="AC15" i="24"/>
  <c r="AC13" i="25"/>
  <c r="AC65" i="24"/>
  <c r="AC61" i="25"/>
  <c r="AC64" i="25"/>
  <c r="AC68" i="24"/>
  <c r="AC56" i="26"/>
  <c r="AC27" i="21"/>
  <c r="AC19" i="23"/>
  <c r="AC20" i="22"/>
  <c r="AC63" i="21"/>
  <c r="AC51" i="23"/>
  <c r="AC51" i="22"/>
  <c r="AC9" i="21"/>
  <c r="AC56" i="21"/>
  <c r="AC39" i="23"/>
  <c r="AC38" i="23"/>
  <c r="AC38" i="22"/>
  <c r="AC39" i="22"/>
  <c r="AC60" i="21"/>
  <c r="AC48" i="23"/>
  <c r="AC48" i="22"/>
  <c r="AC24" i="21"/>
  <c r="AC17" i="22"/>
  <c r="AC25" i="21"/>
  <c r="AC17" i="23"/>
  <c r="AC18" i="22"/>
  <c r="AC12" i="21"/>
  <c r="AC5" i="23"/>
  <c r="AC5" i="22"/>
  <c r="AC64" i="21"/>
  <c r="AC52" i="22"/>
  <c r="AC13" i="21"/>
  <c r="AC4" i="23"/>
  <c r="AC4" i="22"/>
  <c r="AC52" i="23"/>
  <c r="AC53" i="23"/>
  <c r="AC19" i="22"/>
  <c r="AC54" i="22"/>
  <c r="AC53" i="22"/>
  <c r="AC59" i="21"/>
  <c r="AC47" i="23"/>
  <c r="AC47" i="22"/>
  <c r="AC93" i="21"/>
  <c r="AC76" i="23"/>
  <c r="AC77" i="22"/>
  <c r="AC28" i="21"/>
  <c r="AC20" i="23"/>
  <c r="AC21" i="22"/>
  <c r="AC61" i="21"/>
  <c r="AC49" i="23"/>
  <c r="AC49" i="22"/>
  <c r="AC18" i="21"/>
  <c r="AC11" i="23"/>
  <c r="AC11" i="22"/>
  <c r="AC86" i="21"/>
  <c r="AC69" i="23"/>
  <c r="AC70" i="22"/>
  <c r="AC58" i="23"/>
  <c r="AC21" i="23"/>
  <c r="AC57" i="23"/>
  <c r="AC22" i="23"/>
  <c r="AC58" i="22"/>
  <c r="AC24" i="22"/>
  <c r="AC23" i="22"/>
  <c r="AC59" i="22"/>
  <c r="AC69" i="11"/>
  <c r="AC26" i="23"/>
  <c r="AC14" i="21"/>
  <c r="AC6" i="23"/>
  <c r="AC6" i="22"/>
  <c r="AC17" i="21"/>
  <c r="AC9" i="23"/>
  <c r="AC9" i="22"/>
  <c r="AC20" i="21"/>
  <c r="AC13" i="23"/>
  <c r="AC13" i="22"/>
  <c r="AC19" i="21"/>
  <c r="AC12" i="23"/>
  <c r="AC12" i="22"/>
  <c r="AC15" i="21"/>
  <c r="AC7" i="23"/>
  <c r="AC7" i="22"/>
  <c r="AC83" i="21"/>
  <c r="AC66" i="23"/>
  <c r="AC67" i="22"/>
  <c r="AC21" i="21"/>
  <c r="AC14" i="23"/>
  <c r="AC14" i="22"/>
  <c r="AC29" i="21"/>
  <c r="AC22" i="22"/>
  <c r="AC16" i="21"/>
  <c r="AC8" i="23"/>
  <c r="AC8" i="22"/>
  <c r="AC23" i="21"/>
  <c r="AC16" i="23"/>
  <c r="AC16" i="22"/>
  <c r="AC67" i="23"/>
  <c r="AC68" i="22"/>
  <c r="AC87" i="21"/>
  <c r="AC70" i="23"/>
  <c r="AC71" i="22"/>
  <c r="AC46" i="21"/>
  <c r="AC45" i="21"/>
  <c r="AC81" i="21"/>
  <c r="AC7" i="21"/>
  <c r="AC10" i="20"/>
  <c r="AC66" i="21"/>
  <c r="AC26" i="21"/>
  <c r="AC65" i="21"/>
  <c r="AC71" i="21"/>
  <c r="AC70" i="21"/>
  <c r="AC31" i="21"/>
  <c r="AC30" i="21"/>
  <c r="AC84" i="21"/>
  <c r="AC80" i="21"/>
  <c r="AC27" i="19"/>
  <c r="AC28" i="20"/>
  <c r="AC10" i="19"/>
  <c r="AC11" i="20"/>
  <c r="AC61" i="19"/>
  <c r="AC62" i="20"/>
  <c r="AC57" i="19"/>
  <c r="AC58" i="20"/>
  <c r="AC67" i="19"/>
  <c r="AC68" i="20"/>
  <c r="AC6" i="19"/>
  <c r="AC6" i="20"/>
  <c r="AC11" i="19"/>
  <c r="AC12" i="20"/>
  <c r="AC86" i="19"/>
  <c r="AC87" i="20"/>
  <c r="AC64" i="19"/>
  <c r="AC65" i="20"/>
  <c r="AC28" i="19"/>
  <c r="AC29" i="20"/>
  <c r="AC7" i="19"/>
  <c r="AC7" i="20"/>
  <c r="AC15" i="19"/>
  <c r="AC16" i="20"/>
  <c r="AC16" i="19"/>
  <c r="AC17" i="20"/>
  <c r="AC9" i="19"/>
  <c r="AC9" i="20"/>
  <c r="AC63" i="19"/>
  <c r="AC64" i="20"/>
  <c r="AC68" i="19"/>
  <c r="AC69" i="20"/>
  <c r="AC70" i="20"/>
  <c r="AC30" i="20"/>
  <c r="AC71" i="20"/>
  <c r="AC30" i="19"/>
  <c r="AC31" i="20"/>
  <c r="AC32" i="19"/>
  <c r="AC33" i="20"/>
  <c r="AC21" i="19"/>
  <c r="AC22" i="20"/>
  <c r="AC12" i="19"/>
  <c r="AC13" i="20"/>
  <c r="AC8" i="19"/>
  <c r="AC8" i="20"/>
  <c r="AC31" i="19"/>
  <c r="AC32" i="20"/>
  <c r="AC5" i="19"/>
  <c r="AC4" i="20"/>
  <c r="AC35" i="20"/>
  <c r="AC34" i="20"/>
  <c r="AC13" i="19"/>
  <c r="AC14" i="20"/>
  <c r="AC20" i="19"/>
  <c r="AC21" i="20"/>
  <c r="AC58" i="19"/>
  <c r="AC59" i="20"/>
  <c r="AC22" i="19"/>
  <c r="AC23" i="20"/>
  <c r="AC56" i="20"/>
  <c r="AC19" i="20"/>
  <c r="AC88" i="19"/>
  <c r="AC89" i="20"/>
  <c r="AC24" i="19"/>
  <c r="AC25" i="20"/>
  <c r="AC59" i="19"/>
  <c r="AC60" i="20"/>
  <c r="AC65" i="19"/>
  <c r="AC66" i="20"/>
  <c r="AC91" i="19"/>
  <c r="AC92" i="20"/>
  <c r="AC17" i="19"/>
  <c r="AC18" i="20"/>
  <c r="AC23" i="19"/>
  <c r="AC24" i="20"/>
  <c r="AC19" i="19"/>
  <c r="AC20" i="20"/>
  <c r="AC26" i="19"/>
  <c r="AC27" i="20"/>
  <c r="AC90" i="20"/>
  <c r="AC86" i="20"/>
  <c r="AC60" i="19"/>
  <c r="AC61" i="20"/>
  <c r="AC92" i="19"/>
  <c r="AC93" i="20"/>
  <c r="AC33" i="19"/>
  <c r="AC34" i="19"/>
  <c r="AC29" i="19"/>
  <c r="AC70" i="19"/>
  <c r="AC69" i="19"/>
  <c r="AC18" i="19"/>
  <c r="AC56" i="19"/>
  <c r="AC85" i="19"/>
  <c r="AC89" i="19"/>
  <c r="AC10" i="16"/>
  <c r="AC6" i="18"/>
  <c r="AC8" i="17"/>
  <c r="AC22" i="16"/>
  <c r="AC18" i="18"/>
  <c r="AC20" i="17"/>
  <c r="AC32" i="16"/>
  <c r="AC28" i="18"/>
  <c r="AC30" i="17"/>
  <c r="AC47" i="16"/>
  <c r="AC49" i="18"/>
  <c r="AC44" i="17"/>
  <c r="AC15" i="16"/>
  <c r="AC11" i="18"/>
  <c r="AC13" i="17"/>
  <c r="AC51" i="16"/>
  <c r="AC53" i="18"/>
  <c r="AC48" i="17"/>
  <c r="AC11" i="16"/>
  <c r="AC7" i="18"/>
  <c r="AC9" i="17"/>
  <c r="AC33" i="16"/>
  <c r="AC29" i="18"/>
  <c r="AC31" i="17"/>
  <c r="AC57" i="16"/>
  <c r="AC59" i="18"/>
  <c r="AC54" i="17"/>
  <c r="AC34" i="16"/>
  <c r="AC61" i="18"/>
  <c r="AC60" i="18"/>
  <c r="AC56" i="17"/>
  <c r="AC30" i="18"/>
  <c r="AC55" i="17"/>
  <c r="AC32" i="17"/>
  <c r="AC14" i="16"/>
  <c r="AC10" i="18"/>
  <c r="AC12" i="17"/>
  <c r="AC52" i="16"/>
  <c r="AC54" i="18"/>
  <c r="AC49" i="17"/>
  <c r="AC27" i="16"/>
  <c r="AC23" i="18"/>
  <c r="AC25" i="17"/>
  <c r="AC66" i="16"/>
  <c r="AC4" i="17"/>
  <c r="AC12" i="16"/>
  <c r="AC8" i="18"/>
  <c r="AC10" i="17"/>
  <c r="AC20" i="16"/>
  <c r="AC16" i="18"/>
  <c r="AC18" i="17"/>
  <c r="AC13" i="16"/>
  <c r="AC9" i="18"/>
  <c r="AC11" i="17"/>
  <c r="AC21" i="16"/>
  <c r="AC17" i="18"/>
  <c r="AC19" i="17"/>
  <c r="AC35" i="16"/>
  <c r="AC31" i="18"/>
  <c r="AC33" i="17"/>
  <c r="AC18" i="16"/>
  <c r="AC14" i="18"/>
  <c r="AC16" i="17"/>
  <c r="AC37" i="17"/>
  <c r="AC36" i="17"/>
  <c r="AC35" i="18"/>
  <c r="AC34" i="18"/>
  <c r="AC56" i="16"/>
  <c r="AC58" i="18"/>
  <c r="AC53" i="17"/>
  <c r="AC71" i="16"/>
  <c r="AC74" i="18"/>
  <c r="AC66" i="17"/>
  <c r="AC36" i="16"/>
  <c r="AC32" i="18"/>
  <c r="AC34" i="17"/>
  <c r="AC54" i="16"/>
  <c r="AC56" i="18"/>
  <c r="AC51" i="17"/>
  <c r="AC16" i="16"/>
  <c r="AC12" i="18"/>
  <c r="AC14" i="17"/>
  <c r="AC53" i="16"/>
  <c r="AC55" i="18"/>
  <c r="AC50" i="17"/>
  <c r="AC9" i="16"/>
  <c r="AC5" i="18"/>
  <c r="AC7" i="17"/>
  <c r="AC37" i="16"/>
  <c r="AC33" i="18"/>
  <c r="AC35" i="17"/>
  <c r="AC26" i="16"/>
  <c r="AC22" i="18"/>
  <c r="AC24" i="17"/>
  <c r="AC17" i="16"/>
  <c r="AC13" i="18"/>
  <c r="AC15" i="17"/>
  <c r="AC28" i="16"/>
  <c r="AC24" i="18"/>
  <c r="AC26" i="17"/>
  <c r="AC73" i="16"/>
  <c r="AC76" i="18"/>
  <c r="AC68" i="17"/>
  <c r="AC49" i="16"/>
  <c r="AC51" i="18"/>
  <c r="AC46" i="17"/>
  <c r="AC76" i="16"/>
  <c r="AC79" i="18"/>
  <c r="AC71" i="17"/>
  <c r="AC25" i="16"/>
  <c r="AC21" i="18"/>
  <c r="AC23" i="17"/>
  <c r="AC48" i="16"/>
  <c r="AC50" i="18"/>
  <c r="AC45" i="17"/>
  <c r="AC41" i="17"/>
  <c r="AC19" i="18"/>
  <c r="AC47" i="18"/>
  <c r="AC21" i="17"/>
  <c r="AC43" i="17"/>
  <c r="AC29" i="16"/>
  <c r="AC25" i="18"/>
  <c r="AC27" i="17"/>
  <c r="AC24" i="16"/>
  <c r="AC20" i="18"/>
  <c r="AC22" i="17"/>
  <c r="AC31" i="16"/>
  <c r="AC27" i="18"/>
  <c r="AC29" i="17"/>
  <c r="AC77" i="18"/>
  <c r="AC73" i="18"/>
  <c r="AC69" i="17"/>
  <c r="AC65" i="17"/>
  <c r="AC50" i="16"/>
  <c r="AC52" i="18"/>
  <c r="AC47" i="17"/>
  <c r="AC72" i="17"/>
  <c r="AC80" i="18"/>
  <c r="AC45" i="15"/>
  <c r="AC44" i="16"/>
  <c r="AC46" i="16"/>
  <c r="AC23" i="16"/>
  <c r="AC70" i="16"/>
  <c r="AC74" i="16"/>
  <c r="AC16" i="14"/>
  <c r="AC14" i="15"/>
  <c r="AC52" i="14"/>
  <c r="AC53" i="15"/>
  <c r="AC35" i="14"/>
  <c r="AC35" i="15"/>
  <c r="AC32" i="14"/>
  <c r="AC32" i="15"/>
  <c r="AC51" i="14"/>
  <c r="AC52" i="15"/>
  <c r="AC56" i="14"/>
  <c r="AC57" i="15"/>
  <c r="AC21" i="14"/>
  <c r="AC20" i="15"/>
  <c r="AC37" i="14"/>
  <c r="AC37" i="15"/>
  <c r="AC47" i="14"/>
  <c r="AC48" i="15"/>
  <c r="AC65" i="14"/>
  <c r="AC68" i="15"/>
  <c r="AC36" i="14"/>
  <c r="AC36" i="15"/>
  <c r="AC72" i="14"/>
  <c r="AC78" i="15"/>
  <c r="AC28" i="14"/>
  <c r="AC27" i="15"/>
  <c r="AC20" i="14"/>
  <c r="AC18" i="15"/>
  <c r="AC13" i="14"/>
  <c r="AC11" i="15"/>
  <c r="AC53" i="14"/>
  <c r="AC54" i="15"/>
  <c r="AC15" i="14"/>
  <c r="AC13" i="15"/>
  <c r="AC34" i="14"/>
  <c r="AC34" i="15"/>
  <c r="AC23" i="14"/>
  <c r="AC22" i="15"/>
  <c r="AC29" i="14"/>
  <c r="AC28" i="15"/>
  <c r="AC48" i="14"/>
  <c r="AC49" i="15"/>
  <c r="AC17" i="14"/>
  <c r="AC15" i="15"/>
  <c r="AC69" i="14"/>
  <c r="AC73" i="15"/>
  <c r="AC33" i="14"/>
  <c r="AC33" i="15"/>
  <c r="AC22" i="14"/>
  <c r="AC21" i="15"/>
  <c r="AC19" i="14"/>
  <c r="AC17" i="15"/>
  <c r="AC23" i="15"/>
  <c r="AC47" i="15"/>
  <c r="AC70" i="14"/>
  <c r="AC75" i="15"/>
  <c r="AC30" i="14"/>
  <c r="AC29" i="15"/>
  <c r="AC49" i="14"/>
  <c r="AC50" i="15"/>
  <c r="AC18" i="14"/>
  <c r="AC16" i="15"/>
  <c r="AC14" i="14"/>
  <c r="AC12" i="15"/>
  <c r="AC57" i="14"/>
  <c r="AC58" i="15"/>
  <c r="AC11" i="14"/>
  <c r="AC9" i="15"/>
  <c r="AC54" i="14"/>
  <c r="AC55" i="15"/>
  <c r="AC27" i="14"/>
  <c r="AC26" i="15"/>
  <c r="AC12" i="14"/>
  <c r="AC10" i="15"/>
  <c r="AC26" i="14"/>
  <c r="AC25" i="15"/>
  <c r="AC25" i="14"/>
  <c r="AC24" i="15"/>
  <c r="AC31" i="14"/>
  <c r="AC31" i="15"/>
  <c r="AC72" i="15"/>
  <c r="AC76" i="15"/>
  <c r="AC50" i="14"/>
  <c r="AC51" i="15"/>
  <c r="AC24" i="14"/>
  <c r="AC46" i="14"/>
  <c r="AC68" i="14"/>
  <c r="AC71" i="14"/>
  <c r="AC36" i="13"/>
  <c r="AC38" i="12"/>
  <c r="AC49" i="13"/>
  <c r="AC51" i="12"/>
  <c r="AC21" i="13"/>
  <c r="AC23" i="12"/>
  <c r="AC53" i="13"/>
  <c r="AC55" i="12"/>
  <c r="AC58" i="13"/>
  <c r="AC60" i="12"/>
  <c r="AC73" i="13"/>
  <c r="AC75" i="12"/>
  <c r="AC55" i="13"/>
  <c r="AC57" i="12"/>
  <c r="AC25" i="13"/>
  <c r="AC27" i="12"/>
  <c r="AC4" i="13"/>
  <c r="AC5" i="12"/>
  <c r="AC22" i="13"/>
  <c r="AC24" i="12"/>
  <c r="AC37" i="13"/>
  <c r="AC39" i="12"/>
  <c r="AC19" i="13"/>
  <c r="AC21" i="12"/>
  <c r="AC26" i="13"/>
  <c r="AC28" i="12"/>
  <c r="AC38" i="13"/>
  <c r="AC40" i="12"/>
  <c r="AC20" i="13"/>
  <c r="AC22" i="12"/>
  <c r="AC54" i="13"/>
  <c r="AC56" i="12"/>
  <c r="AC73" i="11"/>
  <c r="AC69" i="13"/>
  <c r="AC72" i="12"/>
  <c r="AC17" i="13"/>
  <c r="AC19" i="12"/>
  <c r="AC18" i="13"/>
  <c r="AC20" i="12"/>
  <c r="AC59" i="13"/>
  <c r="AC61" i="12"/>
  <c r="AC39" i="13"/>
  <c r="AC41" i="12"/>
  <c r="AC67" i="13"/>
  <c r="AC6" i="12"/>
  <c r="AC15" i="13"/>
  <c r="AC17" i="12"/>
  <c r="AC41" i="13"/>
  <c r="AC43" i="12"/>
  <c r="AC23" i="13"/>
  <c r="AC25" i="12"/>
  <c r="AC56" i="13"/>
  <c r="AC58" i="12"/>
  <c r="AC76" i="13"/>
  <c r="AC78" i="12"/>
  <c r="AC32" i="13"/>
  <c r="AC34" i="12"/>
  <c r="AC24" i="13"/>
  <c r="AC26" i="12"/>
  <c r="AC40" i="13"/>
  <c r="AC42" i="12"/>
  <c r="AC31" i="13"/>
  <c r="AC33" i="12"/>
  <c r="AC30" i="13"/>
  <c r="AC32" i="12"/>
  <c r="AC50" i="13"/>
  <c r="AC52" i="12"/>
  <c r="AC74" i="13"/>
  <c r="AC76" i="12"/>
  <c r="AC34" i="13"/>
  <c r="AC36" i="12"/>
  <c r="AC16" i="13"/>
  <c r="AC18" i="12"/>
  <c r="AC29" i="11"/>
  <c r="AC27" i="13"/>
  <c r="AC29" i="12"/>
  <c r="AC33" i="13"/>
  <c r="AC35" i="12"/>
  <c r="AC28" i="13"/>
  <c r="AC48" i="13"/>
  <c r="AC50" i="12"/>
  <c r="AC30" i="12"/>
  <c r="AC51" i="13"/>
  <c r="AC53" i="12"/>
  <c r="AC29" i="13"/>
  <c r="AC31" i="12"/>
  <c r="AC35" i="13"/>
  <c r="AC37" i="12"/>
  <c r="AC72" i="13"/>
  <c r="AC75" i="13"/>
  <c r="AC77" i="12"/>
  <c r="AC74" i="12"/>
  <c r="AC52" i="13"/>
  <c r="AC54" i="12"/>
  <c r="AC24" i="10"/>
  <c r="AC23" i="11"/>
  <c r="AC25" i="10"/>
  <c r="AC24" i="11"/>
  <c r="AC40" i="10"/>
  <c r="AC39" i="11"/>
  <c r="AC52" i="10"/>
  <c r="AC5" i="11"/>
  <c r="AC41" i="10"/>
  <c r="AC40" i="11"/>
  <c r="AC43" i="10"/>
  <c r="AC42" i="11"/>
  <c r="AC55" i="10"/>
  <c r="AC51" i="11"/>
  <c r="AC64" i="10"/>
  <c r="AC60" i="11"/>
  <c r="AC28" i="10"/>
  <c r="AC27" i="11"/>
  <c r="AC65" i="10"/>
  <c r="AC61" i="11"/>
  <c r="AC29" i="10"/>
  <c r="AC28" i="11"/>
  <c r="AC23" i="10"/>
  <c r="AC22" i="11"/>
  <c r="AC60" i="10"/>
  <c r="AC56" i="11"/>
  <c r="AC42" i="10"/>
  <c r="AC41" i="11"/>
  <c r="AC18" i="10"/>
  <c r="AC6" i="11"/>
  <c r="AC44" i="10"/>
  <c r="AC43" i="11"/>
  <c r="AC34" i="10"/>
  <c r="AC33" i="11"/>
  <c r="AC26" i="10"/>
  <c r="AC25" i="11"/>
  <c r="AC61" i="10"/>
  <c r="AC57" i="11"/>
  <c r="AC22" i="10"/>
  <c r="AC21" i="11"/>
  <c r="AC75" i="10"/>
  <c r="AC70" i="11"/>
  <c r="AC17" i="10"/>
  <c r="AC17" i="11"/>
  <c r="AC62" i="10"/>
  <c r="AC58" i="11"/>
  <c r="AC19" i="10"/>
  <c r="AC18" i="11"/>
  <c r="AC84" i="10"/>
  <c r="AC79" i="11"/>
  <c r="AC35" i="10"/>
  <c r="AC34" i="11"/>
  <c r="AC27" i="10"/>
  <c r="AC26" i="11"/>
  <c r="AC59" i="10"/>
  <c r="AC55" i="11"/>
  <c r="AC81" i="10"/>
  <c r="AC76" i="11"/>
  <c r="AC21" i="10"/>
  <c r="AC20" i="11"/>
  <c r="AC39" i="10"/>
  <c r="AC38" i="11"/>
  <c r="AC20" i="10"/>
  <c r="AC19" i="11"/>
  <c r="AC33" i="10"/>
  <c r="AC32" i="11"/>
  <c r="AC36" i="10"/>
  <c r="AC35" i="11"/>
  <c r="AC56" i="10"/>
  <c r="AC52" i="11"/>
  <c r="AC30" i="11"/>
  <c r="AC50" i="11"/>
  <c r="AC82" i="10"/>
  <c r="AC77" i="11"/>
  <c r="AC37" i="10"/>
  <c r="AC36" i="11"/>
  <c r="AC57" i="10"/>
  <c r="AC53" i="11"/>
  <c r="AC32" i="10"/>
  <c r="AC31" i="11"/>
  <c r="AC38" i="10"/>
  <c r="AC37" i="11"/>
  <c r="AC75" i="11"/>
  <c r="AC78" i="11"/>
  <c r="AC58" i="10"/>
  <c r="AC54" i="11"/>
  <c r="AC80" i="9"/>
  <c r="AC78" i="10"/>
  <c r="AC79" i="9"/>
  <c r="AC76" i="9"/>
  <c r="AC74" i="10"/>
  <c r="AC30" i="10"/>
  <c r="AC6" i="10"/>
  <c r="AC53" i="10"/>
  <c r="AC31" i="10"/>
  <c r="AC80" i="10"/>
  <c r="AC83" i="10"/>
  <c r="AC49" i="8"/>
  <c r="AC39" i="9"/>
  <c r="AC67" i="8"/>
  <c r="AC63" i="9"/>
  <c r="AC27" i="8"/>
  <c r="AC21" i="9"/>
  <c r="AC38" i="8"/>
  <c r="AC28" i="9"/>
  <c r="AC26" i="8"/>
  <c r="AC20" i="9"/>
  <c r="AC71" i="8"/>
  <c r="AC67" i="9"/>
  <c r="AC28" i="8"/>
  <c r="AC22" i="9"/>
  <c r="AC39" i="8"/>
  <c r="AC29" i="9"/>
  <c r="AC63" i="8"/>
  <c r="AC54" i="9"/>
  <c r="AC9" i="8"/>
  <c r="AC6" i="9"/>
  <c r="AC37" i="8"/>
  <c r="AC61" i="9"/>
  <c r="AC70" i="8"/>
  <c r="AC66" i="9"/>
  <c r="AC50" i="8"/>
  <c r="AC40" i="9"/>
  <c r="AC51" i="8"/>
  <c r="AC41" i="9"/>
  <c r="AC29" i="8"/>
  <c r="AC23" i="9"/>
  <c r="AC66" i="8"/>
  <c r="AC62" i="9"/>
  <c r="AC61" i="8"/>
  <c r="AC52" i="9"/>
  <c r="AC52" i="8"/>
  <c r="AC42" i="9"/>
  <c r="AC53" i="8"/>
  <c r="AC43" i="9"/>
  <c r="AC30" i="8"/>
  <c r="AC24" i="9"/>
  <c r="AC31" i="8"/>
  <c r="AC25" i="9"/>
  <c r="AC54" i="8"/>
  <c r="AC44" i="9"/>
  <c r="AC44" i="8"/>
  <c r="AC34" i="9"/>
  <c r="AC32" i="8"/>
  <c r="AC26" i="9"/>
  <c r="AC25" i="8"/>
  <c r="AC57" i="9"/>
  <c r="AC68" i="8"/>
  <c r="AC64" i="9"/>
  <c r="AC24" i="8"/>
  <c r="AC19" i="9"/>
  <c r="AC8" i="8"/>
  <c r="AC5" i="9"/>
  <c r="AC86" i="8"/>
  <c r="AC86" i="9"/>
  <c r="AC45" i="8"/>
  <c r="AC35" i="9"/>
  <c r="AC33" i="8"/>
  <c r="AC27" i="9"/>
  <c r="AC83" i="8"/>
  <c r="AC83" i="9"/>
  <c r="AC22" i="8"/>
  <c r="AC17" i="9"/>
  <c r="AC30" i="9"/>
  <c r="AC53" i="9"/>
  <c r="AC43" i="8"/>
  <c r="AC33" i="9"/>
  <c r="AC46" i="8"/>
  <c r="AC36" i="9"/>
  <c r="AC34" i="8"/>
  <c r="AC58" i="9"/>
  <c r="AC23" i="8"/>
  <c r="AC18" i="9"/>
  <c r="AC55" i="9"/>
  <c r="AC31" i="9"/>
  <c r="AC84" i="8"/>
  <c r="AC84" i="9"/>
  <c r="AC47" i="8"/>
  <c r="AC37" i="9"/>
  <c r="AC35" i="8"/>
  <c r="AC59" i="9"/>
  <c r="AC42" i="8"/>
  <c r="AC32" i="9"/>
  <c r="AC48" i="8"/>
  <c r="AC38" i="9"/>
  <c r="AC82" i="9"/>
  <c r="AC85" i="9"/>
  <c r="AC36" i="8"/>
  <c r="AC60" i="9"/>
  <c r="P82" i="4"/>
  <c r="C82" i="4"/>
  <c r="H82" i="4"/>
  <c r="AC85" i="8"/>
  <c r="AC82" i="8"/>
  <c r="P83" i="4"/>
  <c r="H83" i="4"/>
  <c r="C83" i="4"/>
  <c r="AC79" i="7"/>
  <c r="AC80" i="8"/>
  <c r="AC80" i="7"/>
  <c r="AC79" i="8"/>
  <c r="AC53" i="7"/>
  <c r="AC40" i="8"/>
  <c r="AC62" i="8"/>
  <c r="AC55" i="7"/>
  <c r="AC64" i="8"/>
  <c r="AC41" i="8"/>
  <c r="AD14" i="4"/>
  <c r="AC5" i="16" s="1"/>
  <c r="AD13" i="4"/>
  <c r="AC83" i="20" s="1"/>
  <c r="AD12" i="4"/>
  <c r="AC5" i="8" s="1"/>
  <c r="AD11" i="4"/>
  <c r="AC65" i="16" s="1"/>
  <c r="AD10" i="4"/>
  <c r="AC82" i="19" l="1"/>
  <c r="AC70" i="18"/>
  <c r="AC10" i="14"/>
  <c r="AC5" i="15"/>
  <c r="AC66" i="14"/>
  <c r="AC67" i="15"/>
  <c r="AC8" i="13"/>
  <c r="AC10" i="12"/>
  <c r="AC72" i="11"/>
  <c r="AC70" i="13"/>
  <c r="AC71" i="12"/>
  <c r="AC14" i="13"/>
  <c r="AC16" i="12"/>
  <c r="AC10" i="10"/>
  <c r="AC10" i="11"/>
  <c r="AC76" i="10"/>
  <c r="AC16" i="11"/>
  <c r="AC71" i="11"/>
  <c r="AC78" i="9"/>
  <c r="AC77" i="10"/>
  <c r="AC16" i="10"/>
  <c r="AC14" i="8"/>
  <c r="AC10" i="9"/>
  <c r="AC11" i="8"/>
  <c r="AC4" i="9"/>
  <c r="AC77" i="9"/>
  <c r="AC16" i="9"/>
  <c r="AC21" i="8"/>
  <c r="AC12" i="8"/>
  <c r="AC14" i="7"/>
  <c r="AC15" i="8"/>
  <c r="AD8" i="4"/>
  <c r="AC4" i="16" s="1"/>
  <c r="AD9" i="4"/>
  <c r="AC6" i="14" s="1"/>
  <c r="AD5" i="4"/>
  <c r="AC5" i="14" s="1"/>
  <c r="AC7" i="14" l="1"/>
  <c r="AC4" i="15"/>
  <c r="AC5" i="13"/>
  <c r="AC7" i="12"/>
  <c r="AC6" i="13"/>
  <c r="AC8" i="12"/>
  <c r="AC7" i="13"/>
  <c r="AC9" i="12"/>
  <c r="AC8" i="10"/>
  <c r="AC8" i="11"/>
  <c r="AC7" i="10"/>
  <c r="AC7" i="11"/>
  <c r="AC9" i="10"/>
  <c r="AC9" i="11"/>
  <c r="AC10" i="8"/>
  <c r="AC8" i="9"/>
  <c r="AC13" i="8"/>
  <c r="AC9" i="9"/>
  <c r="AC4" i="8"/>
  <c r="AC7" i="9"/>
  <c r="AC93" i="4"/>
  <c r="AC94" i="4"/>
  <c r="AD94" i="4"/>
  <c r="AB94" i="4"/>
  <c r="AA94" i="4"/>
  <c r="W94" i="4"/>
  <c r="V94" i="4"/>
  <c r="U94" i="4"/>
  <c r="T94" i="4"/>
  <c r="S94" i="4"/>
  <c r="R94" i="4"/>
  <c r="Q94" i="4"/>
  <c r="P94" i="4"/>
  <c r="J94" i="4"/>
  <c r="H94" i="4"/>
  <c r="C94" i="4"/>
  <c r="AD93" i="4"/>
  <c r="AB93" i="4"/>
  <c r="AA93" i="4"/>
  <c r="W93" i="4"/>
  <c r="V93" i="4"/>
  <c r="U93" i="4"/>
  <c r="T93" i="4"/>
  <c r="S93" i="4"/>
  <c r="R93" i="4"/>
  <c r="Q93" i="4"/>
  <c r="P93" i="4"/>
  <c r="J93" i="4"/>
  <c r="H93" i="4"/>
  <c r="C93" i="4"/>
  <c r="AD72" i="4"/>
  <c r="AB72" i="4"/>
  <c r="AA72" i="4"/>
  <c r="W72" i="4"/>
  <c r="V72" i="4"/>
  <c r="U72" i="4"/>
  <c r="T72" i="4"/>
  <c r="S72" i="4"/>
  <c r="R72" i="4"/>
  <c r="Q72" i="4"/>
  <c r="P72" i="4"/>
  <c r="J72" i="4"/>
  <c r="H72" i="4"/>
  <c r="C72" i="4"/>
  <c r="AD4" i="4"/>
  <c r="AC60" i="26" l="1"/>
  <c r="AC72" i="24"/>
  <c r="AC68" i="25"/>
  <c r="AC91" i="21"/>
  <c r="AC74" i="23"/>
  <c r="AC75" i="22"/>
  <c r="AC97" i="20"/>
  <c r="AC96" i="19"/>
  <c r="AC47" i="7"/>
  <c r="AC54" i="7"/>
  <c r="AC77" i="7"/>
  <c r="I83" i="7"/>
  <c r="J16" i="7"/>
  <c r="AB16" i="7"/>
  <c r="M60" i="7"/>
  <c r="I16" i="7"/>
  <c r="J60" i="7"/>
  <c r="AA52" i="7"/>
  <c r="V22" i="7"/>
  <c r="J19" i="7"/>
  <c r="H16" i="7"/>
  <c r="AB67" i="7"/>
  <c r="AB60" i="7"/>
  <c r="I60" i="7"/>
  <c r="W52" i="7"/>
  <c r="S38" i="7"/>
  <c r="U22" i="7"/>
  <c r="AA16" i="7"/>
  <c r="C16" i="7"/>
  <c r="P10" i="7"/>
  <c r="V83" i="7"/>
  <c r="AB78" i="7"/>
  <c r="Q85" i="7"/>
  <c r="S69" i="7"/>
  <c r="W60" i="7"/>
  <c r="V35" i="7"/>
  <c r="M32" i="7"/>
  <c r="AB27" i="7"/>
  <c r="U25" i="7"/>
  <c r="R22" i="7"/>
  <c r="C19" i="7"/>
  <c r="V60" i="7"/>
  <c r="V52" i="7"/>
  <c r="U35" i="7"/>
  <c r="J32" i="7"/>
  <c r="W27" i="7"/>
  <c r="Q22" i="7"/>
  <c r="S60" i="7"/>
  <c r="Q52" i="7"/>
  <c r="J54" i="7"/>
  <c r="W31" i="7"/>
  <c r="AB21" i="7"/>
  <c r="W16" i="7"/>
  <c r="V8" i="7"/>
  <c r="P61" i="7"/>
  <c r="R53" i="7"/>
  <c r="W48" i="7"/>
  <c r="AB33" i="7"/>
  <c r="I27" i="7"/>
  <c r="AA21" i="7"/>
  <c r="U15" i="7"/>
  <c r="I13" i="7"/>
  <c r="U5" i="7"/>
  <c r="V48" i="7"/>
  <c r="S85" i="7"/>
  <c r="T83" i="7"/>
  <c r="T77" i="7"/>
  <c r="R69" i="7"/>
  <c r="AB64" i="7"/>
  <c r="T25" i="7"/>
  <c r="Q67" i="7"/>
  <c r="W18" i="7"/>
  <c r="AB63" i="7"/>
  <c r="P85" i="7"/>
  <c r="S83" i="7"/>
  <c r="Q69" i="7"/>
  <c r="T64" i="7"/>
  <c r="U60" i="7"/>
  <c r="U52" i="7"/>
  <c r="S35" i="7"/>
  <c r="V27" i="7"/>
  <c r="S25" i="7"/>
  <c r="AB15" i="7"/>
  <c r="AA8" i="7"/>
  <c r="AB5" i="7"/>
  <c r="U27" i="7"/>
  <c r="AB19" i="7"/>
  <c r="W8" i="7"/>
  <c r="J85" i="7"/>
  <c r="J69" i="7"/>
  <c r="S53" i="7"/>
  <c r="AA48" i="7"/>
  <c r="Q35" i="7"/>
  <c r="Q25" i="7"/>
  <c r="AA18" i="7"/>
  <c r="U58" i="7"/>
  <c r="M50" i="7"/>
  <c r="V31" i="7"/>
  <c r="C25" i="7"/>
  <c r="V16" i="7"/>
  <c r="AB4" i="7"/>
  <c r="Q60" i="7"/>
  <c r="H52" i="7"/>
  <c r="M85" i="7"/>
  <c r="R83" i="7"/>
  <c r="M69" i="7"/>
  <c r="AA67" i="7"/>
  <c r="P64" i="7"/>
  <c r="T60" i="7"/>
  <c r="R52" i="7"/>
  <c r="R35" i="7"/>
  <c r="M29" i="7"/>
  <c r="R25" i="7"/>
  <c r="W15" i="7"/>
  <c r="W5" i="7"/>
  <c r="Q83" i="7"/>
  <c r="V67" i="7"/>
  <c r="Q61" i="7"/>
  <c r="AB50" i="7"/>
  <c r="J27" i="7"/>
  <c r="AA19" i="7"/>
  <c r="V15" i="7"/>
  <c r="V5" i="7"/>
  <c r="M83" i="7"/>
  <c r="R60" i="7"/>
  <c r="J52" i="7"/>
  <c r="H35" i="7"/>
  <c r="W19" i="7"/>
  <c r="M10" i="7"/>
  <c r="Q8" i="7"/>
  <c r="M61" i="7"/>
  <c r="J50" i="7"/>
  <c r="C35" i="7"/>
  <c r="T58" i="7"/>
  <c r="J83" i="7"/>
  <c r="P67" i="7"/>
  <c r="Q53" i="7"/>
  <c r="R39" i="7"/>
  <c r="M67" i="7"/>
  <c r="H60" i="7"/>
  <c r="S58" i="7"/>
  <c r="P53" i="7"/>
  <c r="C52" i="7"/>
  <c r="I50" i="7"/>
  <c r="U48" i="7"/>
  <c r="W33" i="7"/>
  <c r="V28" i="7"/>
  <c r="M21" i="7"/>
  <c r="U19" i="7"/>
  <c r="J18" i="7"/>
  <c r="T16" i="7"/>
  <c r="S15" i="7"/>
  <c r="C13" i="7"/>
  <c r="M8" i="7"/>
  <c r="C5" i="7"/>
  <c r="W4" i="7"/>
  <c r="R38" i="7"/>
  <c r="W35" i="7"/>
  <c r="R16" i="7"/>
  <c r="M4" i="7"/>
  <c r="S68" i="7"/>
  <c r="AB49" i="7"/>
  <c r="C37" i="7"/>
  <c r="T22" i="7"/>
  <c r="H8" i="7"/>
  <c r="H63" i="7"/>
  <c r="V34" i="7"/>
  <c r="S22" i="7"/>
  <c r="P16" i="7"/>
  <c r="H19" i="7"/>
  <c r="AB35" i="7"/>
  <c r="C18" i="7"/>
  <c r="M51" i="7"/>
  <c r="I81" i="7"/>
  <c r="H50" i="7"/>
  <c r="H38" i="7"/>
  <c r="C27" i="7"/>
  <c r="J8" i="7"/>
  <c r="I63" i="7"/>
  <c r="AB25" i="7"/>
  <c r="J4" i="7"/>
  <c r="P58" i="7"/>
  <c r="V30" i="7"/>
  <c r="R19" i="7"/>
  <c r="C8" i="7"/>
  <c r="T48" i="7"/>
  <c r="W25" i="7"/>
  <c r="H48" i="7"/>
  <c r="AA24" i="7"/>
  <c r="H81" i="7"/>
  <c r="M63" i="7"/>
  <c r="W59" i="7"/>
  <c r="V19" i="7"/>
  <c r="U16" i="7"/>
  <c r="J10" i="7"/>
  <c r="P8" i="7"/>
  <c r="T5" i="7"/>
  <c r="AA4" i="7"/>
  <c r="AA30" i="7"/>
  <c r="Q58" i="7"/>
  <c r="W34" i="7"/>
  <c r="Q16" i="7"/>
  <c r="R68" i="7"/>
  <c r="H53" i="7"/>
  <c r="AA25" i="7"/>
  <c r="AB13" i="7"/>
  <c r="I4" i="7"/>
  <c r="Q68" i="7"/>
  <c r="C53" i="7"/>
  <c r="M16" i="7"/>
  <c r="Q40" i="7"/>
  <c r="U28" i="7"/>
  <c r="H78" i="7"/>
  <c r="T28" i="7"/>
  <c r="H6" i="7"/>
  <c r="C60" i="7"/>
  <c r="P32" i="7"/>
  <c r="J63" i="7"/>
  <c r="J53" i="7"/>
  <c r="AA34" i="7"/>
  <c r="T19" i="7"/>
  <c r="I53" i="7"/>
  <c r="W30" i="7"/>
  <c r="S19" i="7"/>
  <c r="M58" i="7"/>
  <c r="AA13" i="7"/>
  <c r="H4" i="7"/>
  <c r="T51" i="7"/>
  <c r="I21" i="7"/>
  <c r="AA6" i="7"/>
  <c r="AA60" i="7"/>
  <c r="H21" i="7"/>
  <c r="AA35" i="7"/>
  <c r="AB11" i="7"/>
  <c r="V24" i="7"/>
  <c r="C21" i="7"/>
  <c r="AA82" i="7"/>
  <c r="AA78" i="7"/>
  <c r="M68" i="7"/>
  <c r="I61" i="7"/>
  <c r="J48" i="7"/>
  <c r="AA33" i="7"/>
  <c r="P21" i="7"/>
  <c r="W13" i="7"/>
  <c r="W82" i="7"/>
  <c r="M78" i="7"/>
  <c r="H61" i="7"/>
  <c r="I48" i="7"/>
  <c r="J33" i="7"/>
  <c r="W28" i="7"/>
  <c r="AB24" i="7"/>
  <c r="J21" i="7"/>
  <c r="V18" i="7"/>
  <c r="T15" i="7"/>
  <c r="H13" i="7"/>
  <c r="M82" i="7"/>
  <c r="I78" i="7"/>
  <c r="I67" i="7"/>
  <c r="H18" i="7"/>
  <c r="J82" i="7"/>
  <c r="S51" i="7"/>
  <c r="W24" i="7"/>
  <c r="I12" i="7"/>
  <c r="R28" i="7"/>
  <c r="H12" i="7"/>
  <c r="AB40" i="7"/>
  <c r="U51" i="7"/>
  <c r="M24" i="7"/>
  <c r="W40" i="7"/>
  <c r="C11" i="7"/>
  <c r="S36" i="7"/>
  <c r="V37" i="7"/>
  <c r="H37" i="7"/>
  <c r="T7" i="7"/>
  <c r="P41" i="7"/>
  <c r="J17" i="7"/>
  <c r="C59" i="7"/>
  <c r="I26" i="7"/>
  <c r="AA68" i="7"/>
  <c r="P4" i="7"/>
  <c r="AA63" i="7"/>
  <c r="V21" i="7"/>
  <c r="S28" i="7"/>
  <c r="C61" i="7"/>
  <c r="AA81" i="7"/>
  <c r="P48" i="7"/>
  <c r="T8" i="7"/>
  <c r="U34" i="7"/>
  <c r="T85" i="7"/>
  <c r="T35" i="7"/>
  <c r="M22" i="7"/>
  <c r="H20" i="7"/>
  <c r="S54" i="7"/>
  <c r="Q84" i="7"/>
  <c r="T38" i="7"/>
  <c r="J64" i="7"/>
  <c r="H27" i="7"/>
  <c r="T66" i="7"/>
  <c r="AB7" i="7"/>
  <c r="AA28" i="7"/>
  <c r="Q54" i="7"/>
  <c r="U66" i="7"/>
  <c r="M12" i="7"/>
  <c r="C22" i="7"/>
  <c r="Q33" i="7"/>
  <c r="I52" i="7"/>
  <c r="S12" i="7"/>
  <c r="I31" i="7"/>
  <c r="W58" i="7"/>
  <c r="AB36" i="7"/>
  <c r="J51" i="7"/>
  <c r="J24" i="7"/>
  <c r="V40" i="7"/>
  <c r="W11" i="7"/>
  <c r="P36" i="7"/>
  <c r="S37" i="7"/>
  <c r="U49" i="7"/>
  <c r="S7" i="7"/>
  <c r="M41" i="7"/>
  <c r="AB17" i="7"/>
  <c r="M59" i="7"/>
  <c r="H34" i="7"/>
  <c r="C68" i="7"/>
  <c r="R33" i="7"/>
  <c r="W63" i="7"/>
  <c r="Q21" i="7"/>
  <c r="Q28" i="7"/>
  <c r="AA61" i="7"/>
  <c r="V81" i="7"/>
  <c r="S48" i="7"/>
  <c r="S8" i="7"/>
  <c r="C48" i="7"/>
  <c r="U82" i="7"/>
  <c r="V78" i="7"/>
  <c r="T65" i="7"/>
  <c r="P25" i="7"/>
  <c r="I23" i="7"/>
  <c r="AB54" i="7"/>
  <c r="P84" i="7"/>
  <c r="S39" i="7"/>
  <c r="Q66" i="7"/>
  <c r="C65" i="7"/>
  <c r="S29" i="7"/>
  <c r="M9" i="7"/>
  <c r="Q12" i="7"/>
  <c r="T29" i="7"/>
  <c r="I49" i="7"/>
  <c r="AA69" i="7"/>
  <c r="S10" i="7"/>
  <c r="AA22" i="7"/>
  <c r="AB34" i="7"/>
  <c r="I64" i="7"/>
  <c r="W10" i="7"/>
  <c r="V32" i="7"/>
  <c r="C58" i="7"/>
  <c r="AA65" i="7"/>
  <c r="C39" i="7"/>
  <c r="C66" i="7"/>
  <c r="C10" i="7"/>
  <c r="U11" i="7"/>
  <c r="AB30" i="7"/>
  <c r="C51" i="7"/>
  <c r="H24" i="7"/>
  <c r="U40" i="7"/>
  <c r="J11" i="7"/>
  <c r="M36" i="7"/>
  <c r="R37" i="7"/>
  <c r="T49" i="7"/>
  <c r="C7" i="7"/>
  <c r="H41" i="7"/>
  <c r="I17" i="7"/>
  <c r="V59" i="7"/>
  <c r="T34" i="7"/>
  <c r="W68" i="7"/>
  <c r="I33" i="7"/>
  <c r="U63" i="7"/>
  <c r="P31" i="7"/>
  <c r="J28" i="7"/>
  <c r="W61" i="7"/>
  <c r="U81" i="7"/>
  <c r="R48" i="7"/>
  <c r="R8" i="7"/>
  <c r="J29" i="7"/>
  <c r="P35" i="7"/>
  <c r="H54" i="7"/>
  <c r="AB84" i="7"/>
  <c r="J23" i="7"/>
  <c r="R66" i="7"/>
  <c r="S32" i="7"/>
  <c r="M17" i="7"/>
  <c r="T10" i="7"/>
  <c r="M30" i="7"/>
  <c r="R50" i="7"/>
  <c r="H69" i="7"/>
  <c r="M11" i="7"/>
  <c r="U23" i="7"/>
  <c r="I34" i="7"/>
  <c r="M65" i="7"/>
  <c r="S11" i="7"/>
  <c r="S33" i="7"/>
  <c r="R58" i="7"/>
  <c r="H65" i="7"/>
  <c r="Q39" i="7"/>
  <c r="S66" i="7"/>
  <c r="AA10" i="7"/>
  <c r="Q15" i="7"/>
  <c r="T12" i="7"/>
  <c r="AB6" i="7"/>
  <c r="AB57" i="7"/>
  <c r="T40" i="7"/>
  <c r="I11" i="7"/>
  <c r="R36" i="7"/>
  <c r="Q37" i="7"/>
  <c r="Q49" i="7"/>
  <c r="I7" i="7"/>
  <c r="C41" i="7"/>
  <c r="H17" i="7"/>
  <c r="U59" i="7"/>
  <c r="P34" i="7"/>
  <c r="V68" i="7"/>
  <c r="H33" i="7"/>
  <c r="T63" i="7"/>
  <c r="U31" i="7"/>
  <c r="Q13" i="7"/>
  <c r="T61" i="7"/>
  <c r="T81" i="7"/>
  <c r="Q48" i="7"/>
  <c r="V13" i="7"/>
  <c r="C63" i="7"/>
  <c r="P9" i="7"/>
  <c r="J35" i="7"/>
  <c r="AB26" i="7"/>
  <c r="AA84" i="7"/>
  <c r="I84" i="7"/>
  <c r="H47" i="7"/>
  <c r="M23" i="7"/>
  <c r="Q9" i="7"/>
  <c r="M33" i="7"/>
  <c r="R10" i="7"/>
  <c r="P11" i="7"/>
  <c r="C31" i="7"/>
  <c r="Q50" i="7"/>
  <c r="W69" i="7"/>
  <c r="U9" i="7"/>
  <c r="T26" i="7"/>
  <c r="AB38" i="7"/>
  <c r="U67" i="7"/>
  <c r="T17" i="7"/>
  <c r="T59" i="7"/>
  <c r="U65" i="7"/>
  <c r="P66" i="7"/>
  <c r="T11" i="7"/>
  <c r="V17" i="7"/>
  <c r="M31" i="7"/>
  <c r="W47" i="7"/>
  <c r="R57" i="7"/>
  <c r="I8" i="7"/>
  <c r="M25" i="7"/>
  <c r="J38" i="7"/>
  <c r="S50" i="7"/>
  <c r="M77" i="7"/>
  <c r="W81" i="7"/>
  <c r="V85" i="7"/>
  <c r="U61" i="7"/>
  <c r="AA85" i="7"/>
  <c r="P5" i="7"/>
  <c r="W12" i="7"/>
  <c r="C26" i="7"/>
  <c r="J39" i="7"/>
  <c r="Q51" i="7"/>
  <c r="R85" i="7"/>
  <c r="Q82" i="7"/>
  <c r="S82" i="7"/>
  <c r="P47" i="7"/>
  <c r="V69" i="7"/>
  <c r="S47" i="7"/>
  <c r="H22" i="7"/>
  <c r="U20" i="7"/>
  <c r="W23" i="7"/>
  <c r="AB32" i="7"/>
  <c r="P57" i="7"/>
  <c r="C9" i="7"/>
  <c r="AA26" i="7"/>
  <c r="P52" i="7"/>
  <c r="AB12" i="7"/>
  <c r="AB18" i="7"/>
  <c r="AA57" i="7"/>
  <c r="P40" i="7"/>
  <c r="H11" i="7"/>
  <c r="Q36" i="7"/>
  <c r="P37" i="7"/>
  <c r="H49" i="7"/>
  <c r="S61" i="7"/>
  <c r="V66" i="7"/>
  <c r="Q59" i="7"/>
  <c r="S34" i="7"/>
  <c r="U68" i="7"/>
  <c r="C33" i="7"/>
  <c r="S63" i="7"/>
  <c r="S31" i="7"/>
  <c r="J34" i="7"/>
  <c r="I68" i="7"/>
  <c r="S81" i="7"/>
  <c r="M48" i="7"/>
  <c r="I15" i="7"/>
  <c r="J68" i="7"/>
  <c r="I19" i="7"/>
  <c r="I29" i="7"/>
  <c r="H84" i="7"/>
  <c r="W20" i="7"/>
  <c r="Q23" i="7"/>
  <c r="J6" i="7"/>
  <c r="W38" i="7"/>
  <c r="P20" i="7"/>
  <c r="R17" i="7"/>
  <c r="AA31" i="7"/>
  <c r="W50" i="7"/>
  <c r="C69" i="7"/>
  <c r="Q6" i="7"/>
  <c r="P27" i="7"/>
  <c r="T67" i="7"/>
  <c r="T20" i="7"/>
  <c r="T47" i="7"/>
  <c r="S59" i="7"/>
  <c r="V47" i="7"/>
  <c r="U17" i="7"/>
  <c r="Q18" i="7"/>
  <c r="H32" i="7"/>
  <c r="Q57" i="7"/>
  <c r="C78" i="7"/>
  <c r="P63" i="7"/>
  <c r="Q17" i="7"/>
  <c r="R12" i="7"/>
  <c r="S67" i="7"/>
  <c r="R59" i="7"/>
  <c r="V20" i="7"/>
  <c r="AA12" i="7"/>
  <c r="T24" i="7"/>
  <c r="V57" i="7"/>
  <c r="M40" i="7"/>
  <c r="AA36" i="7"/>
  <c r="I36" i="7"/>
  <c r="AB37" i="7"/>
  <c r="AA49" i="7"/>
  <c r="V41" i="7"/>
  <c r="H25" i="7"/>
  <c r="M66" i="7"/>
  <c r="J81" i="7"/>
  <c r="M34" i="7"/>
  <c r="J13" i="7"/>
  <c r="M54" i="7"/>
  <c r="T31" i="7"/>
  <c r="M53" i="7"/>
  <c r="M81" i="7"/>
  <c r="C4" i="7"/>
  <c r="P15" i="7"/>
  <c r="Q47" i="7"/>
  <c r="C83" i="7"/>
  <c r="C82" i="7"/>
  <c r="W32" i="7"/>
  <c r="W84" i="7"/>
  <c r="C20" i="7"/>
  <c r="AA64" i="7"/>
  <c r="P26" i="7"/>
  <c r="P17" i="7"/>
  <c r="U39" i="7"/>
  <c r="I18" i="7"/>
  <c r="T32" i="7"/>
  <c r="C50" i="7"/>
  <c r="H28" i="7"/>
  <c r="W6" i="7"/>
  <c r="W54" i="7"/>
  <c r="I10" i="7"/>
  <c r="I40" i="7"/>
  <c r="J12" i="7"/>
  <c r="R24" i="7"/>
  <c r="U57" i="7"/>
  <c r="J40" i="7"/>
  <c r="H36" i="7"/>
  <c r="AA37" i="7"/>
  <c r="AB53" i="7"/>
  <c r="U41" i="7"/>
  <c r="U30" i="7"/>
  <c r="AB48" i="7"/>
  <c r="U13" i="7"/>
  <c r="AB39" i="7"/>
  <c r="AA53" i="7"/>
  <c r="M13" i="7"/>
  <c r="R31" i="7"/>
  <c r="W53" i="7"/>
  <c r="U18" i="7"/>
  <c r="Q5" i="7"/>
  <c r="M15" i="7"/>
  <c r="AB77" i="7"/>
  <c r="V58" i="7"/>
  <c r="AA83" i="7"/>
  <c r="AB83" i="7"/>
  <c r="C32" i="7"/>
  <c r="C84" i="7"/>
  <c r="Q10" i="7"/>
  <c r="H64" i="7"/>
  <c r="R29" i="7"/>
  <c r="S9" i="7"/>
  <c r="P54" i="7"/>
  <c r="M47" i="7"/>
  <c r="R20" i="7"/>
  <c r="P33" i="7"/>
  <c r="AB51" i="7"/>
  <c r="U69" i="7"/>
  <c r="U10" i="7"/>
  <c r="AB28" i="7"/>
  <c r="R67" i="7"/>
  <c r="V23" i="7"/>
  <c r="U54" i="7"/>
  <c r="AB59" i="7"/>
  <c r="J22" i="7"/>
  <c r="V65" i="7"/>
  <c r="C6" i="7"/>
  <c r="V26" i="7"/>
  <c r="S21" i="7"/>
  <c r="U33" i="7"/>
  <c r="P60" i="7"/>
  <c r="Q24" i="7"/>
  <c r="S57" i="7"/>
  <c r="T68" i="7"/>
  <c r="C36" i="7"/>
  <c r="M37" i="7"/>
  <c r="AA7" i="7"/>
  <c r="R41" i="7"/>
  <c r="C30" i="7"/>
  <c r="AA11" i="7"/>
  <c r="T13" i="7"/>
  <c r="T4" i="7"/>
  <c r="S6" i="7"/>
  <c r="M19" i="7"/>
  <c r="AA50" i="7"/>
  <c r="U53" i="7"/>
  <c r="S18" i="7"/>
  <c r="R5" i="7"/>
  <c r="C15" i="7"/>
  <c r="Q77" i="7"/>
  <c r="V10" i="7"/>
  <c r="P19" i="7"/>
  <c r="H82" i="7"/>
  <c r="M39" i="7"/>
  <c r="U84" i="7"/>
  <c r="P23" i="7"/>
  <c r="C64" i="7"/>
  <c r="U38" i="7"/>
  <c r="Q20" i="7"/>
  <c r="C49" i="7"/>
  <c r="AA5" i="7"/>
  <c r="S23" i="7"/>
  <c r="V39" i="7"/>
  <c r="AA51" i="7"/>
  <c r="P69" i="7"/>
  <c r="J36" i="7"/>
  <c r="U24" i="7"/>
  <c r="M57" i="7"/>
  <c r="V36" i="7"/>
  <c r="I37" i="7"/>
  <c r="V7" i="7"/>
  <c r="AA41" i="7"/>
  <c r="J30" i="7"/>
  <c r="C24" i="7"/>
  <c r="R13" i="7"/>
  <c r="P68" i="7"/>
  <c r="V4" i="7"/>
  <c r="V6" i="7"/>
  <c r="R21" i="7"/>
  <c r="V50" i="7"/>
  <c r="T53" i="7"/>
  <c r="P18" i="7"/>
  <c r="J5" i="7"/>
  <c r="AB20" i="7"/>
  <c r="P77" i="7"/>
  <c r="J25" i="7"/>
  <c r="I25" i="7"/>
  <c r="I9" i="7"/>
  <c r="T84" i="7"/>
  <c r="M26" i="7"/>
  <c r="V64" i="7"/>
  <c r="T39" i="7"/>
  <c r="R23" i="7"/>
  <c r="V49" i="7"/>
  <c r="T9" i="7"/>
  <c r="S26" i="7"/>
  <c r="H51" i="7"/>
  <c r="AB69" i="7"/>
  <c r="H15" i="7"/>
  <c r="H31" i="7"/>
  <c r="W51" i="7"/>
  <c r="P24" i="7"/>
  <c r="J57" i="7"/>
  <c r="V54" i="7"/>
  <c r="U36" i="7"/>
  <c r="T37" i="7"/>
  <c r="W7" i="7"/>
  <c r="W41" i="7"/>
  <c r="I30" i="7"/>
  <c r="AA59" i="7"/>
  <c r="T23" i="7"/>
  <c r="AB68" i="7"/>
  <c r="Q4" i="7"/>
  <c r="I6" i="7"/>
  <c r="W21" i="7"/>
  <c r="U50" i="7"/>
  <c r="V61" i="7"/>
  <c r="R81" i="7"/>
  <c r="M18" i="7"/>
  <c r="I5" i="7"/>
  <c r="J20" i="7"/>
  <c r="J77" i="7"/>
  <c r="W83" i="7"/>
  <c r="M35" i="7"/>
  <c r="S16" i="7"/>
  <c r="C17" i="7"/>
  <c r="AB47" i="7"/>
  <c r="S84" i="7"/>
  <c r="Q29" i="7"/>
  <c r="U64" i="7"/>
  <c r="R26" i="7"/>
  <c r="P49" i="7"/>
  <c r="P6" i="7"/>
  <c r="M27" i="7"/>
  <c r="R47" i="7"/>
  <c r="R51" i="7"/>
  <c r="I69" i="7"/>
  <c r="S17" i="7"/>
  <c r="AB31" i="7"/>
  <c r="S52" i="7"/>
  <c r="J9" i="7"/>
  <c r="V29" i="7"/>
  <c r="AA58" i="7"/>
  <c r="R65" i="7"/>
  <c r="AA39" i="7"/>
  <c r="AA66" i="7"/>
  <c r="R6" i="7"/>
  <c r="J31" i="7"/>
  <c r="S27" i="7"/>
  <c r="S40" i="7"/>
  <c r="W65" i="7"/>
  <c r="AB22" i="7"/>
  <c r="H9" i="7"/>
  <c r="AA20" i="7"/>
  <c r="T30" i="7"/>
  <c r="S64" i="7"/>
  <c r="U85" i="7"/>
  <c r="V51" i="7"/>
  <c r="I24" i="7"/>
  <c r="I57" i="7"/>
  <c r="Q11" i="7"/>
  <c r="T36" i="7"/>
  <c r="J37" i="7"/>
  <c r="U7" i="7"/>
  <c r="Q41" i="7"/>
  <c r="R63" i="7"/>
  <c r="P59" i="7"/>
  <c r="Q26" i="7"/>
  <c r="H68" i="7"/>
  <c r="U4" i="7"/>
  <c r="Q63" i="7"/>
  <c r="U21" i="7"/>
  <c r="T50" i="7"/>
  <c r="AB61" i="7"/>
  <c r="AB81" i="7"/>
  <c r="C54" i="7"/>
  <c r="U8" i="7"/>
  <c r="I20" i="7"/>
  <c r="H83" i="7"/>
  <c r="V25" i="7"/>
  <c r="C38" i="7"/>
  <c r="Q19" i="7"/>
  <c r="AA17" i="7"/>
  <c r="T54" i="7"/>
  <c r="I35" i="7"/>
  <c r="R7" i="7"/>
  <c r="V84" i="7"/>
  <c r="U47" i="7"/>
  <c r="R9" i="7"/>
  <c r="W67" i="7"/>
  <c r="M64" i="7"/>
  <c r="I66" i="7"/>
  <c r="H10" i="7"/>
  <c r="R40" i="7"/>
  <c r="W9" i="7"/>
  <c r="AB9" i="7"/>
  <c r="T27" i="7"/>
  <c r="AA47" i="7"/>
  <c r="W78" i="7"/>
  <c r="U77" i="7"/>
  <c r="C85" i="7"/>
  <c r="Q81" i="7"/>
  <c r="Q65" i="7"/>
  <c r="C23" i="7"/>
  <c r="C57" i="7"/>
  <c r="Q7" i="7"/>
  <c r="AA54" i="7"/>
  <c r="P82" i="7"/>
  <c r="C12" i="7"/>
  <c r="Q32" i="7"/>
  <c r="U26" i="7"/>
  <c r="AA23" i="7"/>
  <c r="I22" i="7"/>
  <c r="AB29" i="7"/>
  <c r="W36" i="7"/>
  <c r="S5" i="7"/>
  <c r="H7" i="7"/>
  <c r="Q27" i="7"/>
  <c r="R49" i="7"/>
  <c r="AA32" i="7"/>
  <c r="J61" i="7"/>
  <c r="W22" i="7"/>
  <c r="I28" i="7"/>
  <c r="R77" i="7"/>
  <c r="V9" i="7"/>
  <c r="W17" i="7"/>
  <c r="J78" i="7"/>
  <c r="J47" i="7"/>
  <c r="R54" i="7"/>
  <c r="J7" i="7"/>
  <c r="R34" i="7"/>
  <c r="P13" i="7"/>
  <c r="S24" i="7"/>
  <c r="T41" i="7"/>
  <c r="R84" i="7"/>
  <c r="R11" i="7"/>
  <c r="C67" i="7"/>
  <c r="S65" i="7"/>
  <c r="H66" i="7"/>
  <c r="AB10" i="7"/>
  <c r="AA40" i="7"/>
  <c r="W57" i="7"/>
  <c r="M7" i="7"/>
  <c r="U6" i="7"/>
  <c r="P28" i="7"/>
  <c r="V82" i="7"/>
  <c r="Q78" i="7"/>
  <c r="W85" i="7"/>
  <c r="H85" i="7"/>
  <c r="T57" i="7"/>
  <c r="H30" i="7"/>
  <c r="M20" i="7"/>
  <c r="AA15" i="7"/>
  <c r="P29" i="7"/>
  <c r="W66" i="7"/>
  <c r="H40" i="7"/>
  <c r="U12" i="7"/>
  <c r="H29" i="7"/>
  <c r="V63" i="7"/>
  <c r="R82" i="7"/>
  <c r="C40" i="7"/>
  <c r="T18" i="7"/>
  <c r="H5" i="7"/>
  <c r="S20" i="7"/>
  <c r="P65" i="7"/>
  <c r="H59" i="7"/>
  <c r="AB8" i="7"/>
  <c r="S49" i="7"/>
  <c r="U37" i="7"/>
  <c r="I77" i="7"/>
  <c r="S13" i="7"/>
  <c r="W64" i="7"/>
  <c r="U29" i="7"/>
  <c r="P12" i="7"/>
  <c r="W26" i="7"/>
  <c r="R64" i="7"/>
  <c r="V11" i="7"/>
  <c r="Q31" i="7"/>
  <c r="V77" i="7"/>
  <c r="U78" i="7"/>
  <c r="J15" i="7"/>
  <c r="Q64" i="7"/>
  <c r="P30" i="7"/>
  <c r="Q38" i="7"/>
  <c r="M28" i="7"/>
  <c r="P50" i="7"/>
  <c r="H67" i="7"/>
  <c r="T33" i="7"/>
  <c r="R15" i="7"/>
  <c r="I32" i="7"/>
  <c r="H57" i="7"/>
  <c r="R78" i="7"/>
  <c r="I85" i="7"/>
  <c r="P39" i="7"/>
  <c r="R32" i="7"/>
  <c r="C28" i="7"/>
  <c r="U32" i="7"/>
  <c r="P38" i="7"/>
  <c r="P51" i="7"/>
  <c r="S4" i="7"/>
  <c r="J58" i="7"/>
  <c r="R61" i="7"/>
  <c r="AA38" i="7"/>
  <c r="V38" i="7"/>
  <c r="M52" i="7"/>
  <c r="J59" i="7"/>
  <c r="S77" i="7"/>
  <c r="Q30" i="7"/>
  <c r="C29" i="7"/>
  <c r="J84" i="7"/>
  <c r="V33" i="7"/>
  <c r="T82" i="7"/>
  <c r="M49" i="7"/>
  <c r="AA29" i="7"/>
  <c r="R18" i="7"/>
  <c r="U83" i="7"/>
  <c r="V53" i="7"/>
  <c r="P83" i="7"/>
  <c r="W49" i="7"/>
  <c r="J65" i="7"/>
  <c r="AB52" i="7"/>
  <c r="H58" i="7"/>
  <c r="J66" i="7"/>
  <c r="W29" i="7"/>
  <c r="I38" i="7"/>
  <c r="AB85" i="7"/>
  <c r="AB58" i="7"/>
  <c r="S30" i="7"/>
  <c r="S41" i="7"/>
  <c r="S78" i="7"/>
  <c r="M38" i="7"/>
  <c r="I58" i="7"/>
  <c r="Q34" i="7"/>
  <c r="AA9" i="7"/>
  <c r="P81" i="7"/>
  <c r="AB65" i="7"/>
  <c r="H39" i="7"/>
  <c r="AA77" i="7"/>
  <c r="AB82" i="7"/>
  <c r="P78" i="7"/>
  <c r="C77" i="7"/>
  <c r="M5" i="7"/>
  <c r="M6" i="7"/>
  <c r="I59" i="7"/>
  <c r="I39" i="7"/>
  <c r="T6" i="7"/>
  <c r="I65" i="7"/>
  <c r="V12" i="7"/>
  <c r="AB66" i="7"/>
  <c r="C81" i="7"/>
  <c r="C34" i="7"/>
  <c r="I51" i="7"/>
  <c r="C47" i="7"/>
  <c r="AB41" i="7"/>
  <c r="R30" i="7"/>
  <c r="W77" i="7"/>
  <c r="AA27" i="7"/>
  <c r="P7" i="7"/>
  <c r="M84" i="7"/>
  <c r="H77" i="7"/>
  <c r="H23" i="7"/>
  <c r="T69" i="7"/>
  <c r="J49" i="7"/>
  <c r="R4" i="7"/>
  <c r="W39" i="7"/>
  <c r="T21" i="7"/>
  <c r="T78" i="7"/>
  <c r="W37" i="7"/>
  <c r="P22" i="7"/>
  <c r="I82" i="7"/>
  <c r="AB23" i="7"/>
  <c r="J41" i="7"/>
  <c r="R27" i="7"/>
  <c r="J67" i="7"/>
  <c r="I41" i="7"/>
  <c r="T52" i="7"/>
  <c r="AB49" i="6"/>
  <c r="AA79" i="6"/>
  <c r="R49" i="6"/>
  <c r="V49" i="6"/>
  <c r="M48" i="6"/>
  <c r="J79" i="6"/>
  <c r="P79" i="6"/>
  <c r="H79" i="6"/>
  <c r="S49" i="6"/>
  <c r="W50" i="6"/>
  <c r="P48" i="6"/>
  <c r="C49" i="6"/>
  <c r="AB50" i="6"/>
  <c r="AA48" i="6"/>
  <c r="AB79" i="6"/>
  <c r="T49" i="6"/>
  <c r="C50" i="6"/>
  <c r="Q48" i="6"/>
  <c r="S50" i="6"/>
  <c r="T50" i="6"/>
  <c r="Q79" i="6"/>
  <c r="Q50" i="6"/>
  <c r="W49" i="6"/>
  <c r="R48" i="6"/>
  <c r="T48" i="6"/>
  <c r="AB48" i="6"/>
  <c r="R79" i="6"/>
  <c r="V79" i="6"/>
  <c r="J50" i="6"/>
  <c r="V50" i="6"/>
  <c r="S48" i="6"/>
  <c r="P50" i="6"/>
  <c r="V48" i="6"/>
  <c r="T79" i="6"/>
  <c r="M79" i="6"/>
  <c r="M50" i="6"/>
  <c r="U50" i="6"/>
  <c r="U48" i="6"/>
  <c r="S79" i="6"/>
  <c r="U49" i="6"/>
  <c r="H49" i="6"/>
  <c r="R50" i="6"/>
  <c r="J49" i="6"/>
  <c r="I50" i="6"/>
  <c r="C48" i="6"/>
  <c r="W48" i="6"/>
  <c r="U79" i="6"/>
  <c r="M49" i="6"/>
  <c r="AA49" i="6"/>
  <c r="H48" i="6"/>
  <c r="W79" i="6"/>
  <c r="P49" i="6"/>
  <c r="AA50" i="6"/>
  <c r="J48" i="6"/>
  <c r="C79" i="6"/>
  <c r="Q49" i="6"/>
  <c r="H50" i="6"/>
  <c r="AC24" i="7"/>
  <c r="AC66" i="7"/>
  <c r="AC52" i="7"/>
  <c r="AC57" i="7"/>
  <c r="AC50" i="6"/>
  <c r="AC40" i="7"/>
  <c r="AC84" i="7"/>
  <c r="AC20" i="7"/>
  <c r="AC81" i="7"/>
  <c r="AC30" i="7"/>
  <c r="AC60" i="7"/>
  <c r="AC37" i="7"/>
  <c r="AC85" i="7"/>
  <c r="AC78" i="7"/>
  <c r="AC23" i="7"/>
  <c r="AC25" i="7"/>
  <c r="AC48" i="7"/>
  <c r="AC17" i="7"/>
  <c r="AC22" i="7"/>
  <c r="AC41" i="7"/>
  <c r="AC27" i="7"/>
  <c r="AC38" i="7"/>
  <c r="AC49" i="7"/>
  <c r="AC28" i="7"/>
  <c r="AC7" i="7"/>
  <c r="AC31" i="7"/>
  <c r="AC8" i="7"/>
  <c r="AC65" i="7"/>
  <c r="AC34" i="7"/>
  <c r="AC21" i="7"/>
  <c r="AC18" i="7"/>
  <c r="AC59" i="7"/>
  <c r="AC83" i="7"/>
  <c r="AC35" i="7"/>
  <c r="AC50" i="7"/>
  <c r="AC33" i="7"/>
  <c r="AC29" i="7"/>
  <c r="AC58" i="7"/>
  <c r="AC26" i="7"/>
  <c r="AC82" i="7"/>
  <c r="AC6" i="7"/>
  <c r="AC36" i="7"/>
  <c r="AC67" i="7"/>
  <c r="AC51" i="7"/>
  <c r="AC64" i="7"/>
  <c r="AC39" i="7"/>
  <c r="AC69" i="7"/>
  <c r="AC16" i="7"/>
  <c r="AC19" i="7"/>
  <c r="AC63" i="7"/>
  <c r="AC68" i="7"/>
  <c r="AC32" i="7"/>
  <c r="AC61" i="7"/>
  <c r="AC13" i="7"/>
  <c r="AC5" i="7"/>
  <c r="AC11" i="7"/>
  <c r="AC9" i="7"/>
  <c r="AC15" i="7"/>
  <c r="AC4" i="7"/>
  <c r="AC10" i="7"/>
  <c r="AC12" i="7"/>
  <c r="S28" i="6"/>
  <c r="U65" i="6"/>
  <c r="AA87" i="6"/>
  <c r="H54" i="6"/>
  <c r="T12" i="6"/>
  <c r="U9" i="6"/>
  <c r="Q63" i="6"/>
  <c r="V53" i="6"/>
  <c r="W33" i="6"/>
  <c r="AA61" i="6"/>
  <c r="U55" i="6"/>
  <c r="M9" i="6"/>
  <c r="H70" i="6"/>
  <c r="AA33" i="6"/>
  <c r="M20" i="6"/>
  <c r="J41" i="6"/>
  <c r="T29" i="6"/>
  <c r="W30" i="6"/>
  <c r="H32" i="6"/>
  <c r="J32" i="6"/>
  <c r="R84" i="6"/>
  <c r="I83" i="6"/>
  <c r="I34" i="6"/>
  <c r="AA7" i="6"/>
  <c r="I26" i="6"/>
  <c r="T87" i="6"/>
  <c r="H59" i="6"/>
  <c r="H13" i="6"/>
  <c r="R63" i="6"/>
  <c r="H65" i="6"/>
  <c r="R12" i="6"/>
  <c r="S59" i="6"/>
  <c r="H40" i="6"/>
  <c r="U13" i="6"/>
  <c r="P55" i="6"/>
  <c r="S86" i="6"/>
  <c r="J8" i="6"/>
  <c r="P40" i="6"/>
  <c r="R26" i="6"/>
  <c r="R18" i="6"/>
  <c r="R37" i="6"/>
  <c r="U66" i="6"/>
  <c r="R25" i="6"/>
  <c r="AB12" i="6"/>
  <c r="T26" i="6"/>
  <c r="R55" i="6"/>
  <c r="P83" i="6"/>
  <c r="S34" i="6"/>
  <c r="Q69" i="6"/>
  <c r="P52" i="6"/>
  <c r="R67" i="6"/>
  <c r="S85" i="6"/>
  <c r="P51" i="6"/>
  <c r="R60" i="6"/>
  <c r="P36" i="6"/>
  <c r="AB56" i="6"/>
  <c r="R36" i="6"/>
  <c r="V18" i="6"/>
  <c r="I28" i="6"/>
  <c r="U19" i="6"/>
  <c r="P30" i="6"/>
  <c r="C56" i="6"/>
  <c r="C78" i="6"/>
  <c r="C4" i="6"/>
  <c r="AB22" i="6"/>
  <c r="S54" i="6"/>
  <c r="V14" i="6"/>
  <c r="P12" i="6"/>
  <c r="AB5" i="6"/>
  <c r="M21" i="6"/>
  <c r="C31" i="6"/>
  <c r="U11" i="6"/>
  <c r="T24" i="6"/>
  <c r="AB40" i="6"/>
  <c r="P62" i="6"/>
  <c r="P37" i="6"/>
  <c r="U41" i="6"/>
  <c r="P27" i="6"/>
  <c r="AB69" i="6"/>
  <c r="T34" i="6"/>
  <c r="R81" i="6"/>
  <c r="W81" i="6"/>
  <c r="C42" i="6"/>
  <c r="P80" i="6"/>
  <c r="AA64" i="6"/>
  <c r="Q86" i="6"/>
  <c r="H27" i="6"/>
  <c r="Q61" i="6"/>
  <c r="J7" i="6"/>
  <c r="U8" i="6"/>
  <c r="I63" i="6"/>
  <c r="AA65" i="6"/>
  <c r="J53" i="6"/>
  <c r="S8" i="6"/>
  <c r="AA53" i="6"/>
  <c r="C24" i="6"/>
  <c r="I70" i="6"/>
  <c r="W35" i="6"/>
  <c r="Q30" i="6"/>
  <c r="W64" i="6"/>
  <c r="U30" i="6"/>
  <c r="AA34" i="6"/>
  <c r="M84" i="6"/>
  <c r="C34" i="6"/>
  <c r="M86" i="6"/>
  <c r="T84" i="6"/>
  <c r="W7" i="6"/>
  <c r="AB16" i="6"/>
  <c r="I31" i="6"/>
  <c r="C25" i="6"/>
  <c r="J63" i="6"/>
  <c r="P31" i="6"/>
  <c r="M59" i="6"/>
  <c r="M17" i="6"/>
  <c r="R66" i="6"/>
  <c r="U12" i="6"/>
  <c r="U63" i="6"/>
  <c r="I7" i="6"/>
  <c r="Q56" i="6"/>
  <c r="M87" i="6"/>
  <c r="M18" i="6"/>
  <c r="V4" i="6"/>
  <c r="R32" i="6"/>
  <c r="I20" i="6"/>
  <c r="R40" i="6"/>
  <c r="V70" i="6"/>
  <c r="J26" i="6"/>
  <c r="T9" i="6"/>
  <c r="AB31" i="6"/>
  <c r="U56" i="6"/>
  <c r="U86" i="6"/>
  <c r="H36" i="6"/>
  <c r="W80" i="6"/>
  <c r="U52" i="6"/>
  <c r="Q67" i="6"/>
  <c r="R85" i="6"/>
  <c r="AA62" i="6"/>
  <c r="Q60" i="6"/>
  <c r="S37" i="6"/>
  <c r="I56" i="6"/>
  <c r="T37" i="6"/>
  <c r="S19" i="6"/>
  <c r="J11" i="6"/>
  <c r="V21" i="6"/>
  <c r="P33" i="6"/>
  <c r="J60" i="6"/>
  <c r="W28" i="6"/>
  <c r="M12" i="6"/>
  <c r="W27" i="6"/>
  <c r="J56" i="6"/>
  <c r="S11" i="6"/>
  <c r="U10" i="6"/>
  <c r="R24" i="6"/>
  <c r="R33" i="6"/>
  <c r="AA14" i="6"/>
  <c r="C27" i="6"/>
  <c r="I40" i="6"/>
  <c r="T67" i="6"/>
  <c r="J37" i="6"/>
  <c r="T51" i="6"/>
  <c r="S27" i="6"/>
  <c r="I69" i="6"/>
  <c r="P42" i="6"/>
  <c r="I64" i="6"/>
  <c r="U33" i="6"/>
  <c r="W57" i="6"/>
  <c r="I61" i="6"/>
  <c r="H19" i="6"/>
  <c r="J4" i="6"/>
  <c r="AA23" i="6"/>
  <c r="I57" i="6"/>
  <c r="AA82" i="6"/>
  <c r="AB25" i="6"/>
  <c r="V26" i="6"/>
  <c r="Q84" i="6"/>
  <c r="AB29" i="6"/>
  <c r="P5" i="6"/>
  <c r="T55" i="6"/>
  <c r="R42" i="6"/>
  <c r="J9" i="6"/>
  <c r="U42" i="6"/>
  <c r="C61" i="6"/>
  <c r="H41" i="6"/>
  <c r="C9" i="6"/>
  <c r="Q70" i="6"/>
  <c r="M41" i="6"/>
  <c r="I52" i="6"/>
  <c r="V9" i="6"/>
  <c r="I36" i="6"/>
  <c r="H34" i="6"/>
  <c r="W32" i="6"/>
  <c r="T61" i="6"/>
  <c r="C21" i="6"/>
  <c r="W34" i="6"/>
  <c r="H63" i="6"/>
  <c r="AB64" i="6"/>
  <c r="Q13" i="6"/>
  <c r="AB41" i="6"/>
  <c r="I14" i="6"/>
  <c r="I82" i="6"/>
  <c r="H31" i="6"/>
  <c r="U32" i="6"/>
  <c r="P15" i="6"/>
  <c r="C55" i="6"/>
  <c r="H24" i="6"/>
  <c r="J16" i="6"/>
  <c r="AB78" i="6"/>
  <c r="C18" i="6"/>
  <c r="U88" i="6"/>
  <c r="AB37" i="6"/>
  <c r="AB38" i="6"/>
  <c r="V51" i="6"/>
  <c r="J81" i="6"/>
  <c r="I24" i="6"/>
  <c r="I22" i="6"/>
  <c r="V55" i="6"/>
  <c r="V8" i="6"/>
  <c r="H78" i="6"/>
  <c r="H29" i="6"/>
  <c r="AB55" i="6"/>
  <c r="W17" i="6"/>
  <c r="J86" i="6"/>
  <c r="V61" i="6"/>
  <c r="V68" i="6"/>
  <c r="T7" i="6"/>
  <c r="I41" i="6"/>
  <c r="Q53" i="6"/>
  <c r="R35" i="6"/>
  <c r="W84" i="6"/>
  <c r="C26" i="6"/>
  <c r="M39" i="6"/>
  <c r="AA80" i="6"/>
  <c r="U84" i="6"/>
  <c r="M63" i="6"/>
  <c r="J12" i="6"/>
  <c r="M40" i="6"/>
  <c r="P86" i="6"/>
  <c r="Q14" i="6"/>
  <c r="C80" i="6"/>
  <c r="U4" i="6"/>
  <c r="T23" i="6"/>
  <c r="R64" i="6"/>
  <c r="Q23" i="6"/>
  <c r="W24" i="6"/>
  <c r="M8" i="6"/>
  <c r="W11" i="6"/>
  <c r="U23" i="6"/>
  <c r="R56" i="6"/>
  <c r="P84" i="6"/>
  <c r="H18" i="6"/>
  <c r="Q8" i="6"/>
  <c r="M35" i="6"/>
  <c r="T64" i="6"/>
  <c r="M25" i="6"/>
  <c r="R88" i="6"/>
  <c r="W54" i="6"/>
  <c r="AA85" i="6"/>
  <c r="I85" i="6"/>
  <c r="V62" i="6"/>
  <c r="AA40" i="6"/>
  <c r="I60" i="6"/>
  <c r="AB36" i="6"/>
  <c r="I58" i="6"/>
  <c r="S55" i="6"/>
  <c r="AB59" i="6"/>
  <c r="T80" i="6"/>
  <c r="Q81" i="6"/>
  <c r="C29" i="6"/>
  <c r="I62" i="6"/>
  <c r="H53" i="6"/>
  <c r="AB9" i="6"/>
  <c r="M22" i="6"/>
  <c r="Q42" i="6"/>
  <c r="I35" i="6"/>
  <c r="C30" i="6"/>
  <c r="I29" i="6"/>
  <c r="S81" i="6"/>
  <c r="AB35" i="6"/>
  <c r="S20" i="6"/>
  <c r="U20" i="6"/>
  <c r="H84" i="6"/>
  <c r="I59" i="6"/>
  <c r="I80" i="6"/>
  <c r="I81" i="6"/>
  <c r="H22" i="6"/>
  <c r="AA10" i="6"/>
  <c r="M85" i="6"/>
  <c r="Q5" i="6"/>
  <c r="T38" i="6"/>
  <c r="I38" i="6"/>
  <c r="R30" i="6"/>
  <c r="AA17" i="6"/>
  <c r="J31" i="6"/>
  <c r="J35" i="6"/>
  <c r="AA86" i="6"/>
  <c r="T53" i="6"/>
  <c r="S35" i="6"/>
  <c r="I39" i="6"/>
  <c r="W87" i="6"/>
  <c r="C17" i="6"/>
  <c r="S21" i="6"/>
  <c r="C88" i="6"/>
  <c r="Q59" i="6"/>
  <c r="V31" i="6"/>
  <c r="J80" i="6"/>
  <c r="C20" i="6"/>
  <c r="Q17" i="6"/>
  <c r="P8" i="6"/>
  <c r="H42" i="6"/>
  <c r="J85" i="6"/>
  <c r="W20" i="6"/>
  <c r="T32" i="6"/>
  <c r="R65" i="6"/>
  <c r="V16" i="6"/>
  <c r="AB66" i="6"/>
  <c r="R54" i="6"/>
  <c r="C85" i="6"/>
  <c r="W51" i="6"/>
  <c r="J54" i="6"/>
  <c r="T27" i="6"/>
  <c r="P10" i="6"/>
  <c r="Q15" i="6"/>
  <c r="AA22" i="6"/>
  <c r="V40" i="6"/>
  <c r="R78" i="6"/>
  <c r="M16" i="6"/>
  <c r="T28" i="6"/>
  <c r="J67" i="6"/>
  <c r="P7" i="6"/>
  <c r="I17" i="6"/>
  <c r="R16" i="6"/>
  <c r="W31" i="6"/>
  <c r="S33" i="6"/>
  <c r="U57" i="6"/>
  <c r="S36" i="6"/>
  <c r="P41" i="6"/>
  <c r="U51" i="6"/>
  <c r="C69" i="6"/>
  <c r="V65" i="6"/>
  <c r="AB80" i="6"/>
  <c r="Q83" i="6"/>
  <c r="J68" i="6"/>
  <c r="T65" i="6"/>
  <c r="P38" i="6"/>
  <c r="H21" i="6"/>
  <c r="J21" i="6"/>
  <c r="C33" i="6"/>
  <c r="J83" i="6"/>
  <c r="S17" i="6"/>
  <c r="AB4" i="6"/>
  <c r="V86" i="6"/>
  <c r="W62" i="6"/>
  <c r="H56" i="6"/>
  <c r="U27" i="6"/>
  <c r="P78" i="6"/>
  <c r="AA8" i="6"/>
  <c r="S57" i="6"/>
  <c r="V36" i="6"/>
  <c r="S68" i="6"/>
  <c r="S65" i="6"/>
  <c r="C36" i="6"/>
  <c r="R87" i="6"/>
  <c r="V56" i="6"/>
  <c r="Q25" i="6"/>
  <c r="M15" i="6"/>
  <c r="AB18" i="6"/>
  <c r="V57" i="6"/>
  <c r="AB81" i="6"/>
  <c r="R68" i="6"/>
  <c r="S30" i="6"/>
  <c r="V7" i="6"/>
  <c r="AA51" i="6"/>
  <c r="Q34" i="6"/>
  <c r="V83" i="6"/>
  <c r="AA30" i="6"/>
  <c r="U24" i="6"/>
  <c r="C35" i="6"/>
  <c r="T42" i="6"/>
  <c r="C41" i="6"/>
  <c r="C13" i="6"/>
  <c r="AB26" i="6"/>
  <c r="C32" i="6"/>
  <c r="Q38" i="6"/>
  <c r="C7" i="6"/>
  <c r="AA83" i="6"/>
  <c r="V64" i="6"/>
  <c r="AA88" i="6"/>
  <c r="C37" i="6"/>
  <c r="H12" i="6"/>
  <c r="T4" i="6"/>
  <c r="J33" i="6"/>
  <c r="J82" i="6"/>
  <c r="U22" i="6"/>
  <c r="H20" i="6"/>
  <c r="T16" i="6"/>
  <c r="T86" i="6"/>
  <c r="U25" i="6"/>
  <c r="T33" i="6"/>
  <c r="V66" i="6"/>
  <c r="T18" i="6"/>
  <c r="R82" i="6"/>
  <c r="C54" i="6"/>
  <c r="V85" i="6"/>
  <c r="H62" i="6"/>
  <c r="S24" i="6"/>
  <c r="AA56" i="6"/>
  <c r="Q28" i="6"/>
  <c r="M11" i="6"/>
  <c r="Q19" i="6"/>
  <c r="P24" i="6"/>
  <c r="W41" i="6"/>
  <c r="Q78" i="6"/>
  <c r="W4" i="6"/>
  <c r="P29" i="6"/>
  <c r="S5" i="6"/>
  <c r="C8" i="6"/>
  <c r="AA18" i="6"/>
  <c r="J17" i="6"/>
  <c r="R51" i="6"/>
  <c r="W15" i="6"/>
  <c r="W38" i="6"/>
  <c r="AA52" i="6"/>
  <c r="Q36" i="6"/>
  <c r="AB52" i="6"/>
  <c r="AA57" i="6"/>
  <c r="V69" i="6"/>
  <c r="Q66" i="6"/>
  <c r="V81" i="6"/>
  <c r="U87" i="6"/>
  <c r="P70" i="6"/>
  <c r="H64" i="6"/>
  <c r="Q68" i="6"/>
  <c r="AA55" i="6"/>
  <c r="M34" i="6"/>
  <c r="U21" i="6"/>
  <c r="P87" i="6"/>
  <c r="M69" i="6"/>
  <c r="U85" i="6"/>
  <c r="R29" i="6"/>
  <c r="J51" i="6"/>
  <c r="M10" i="6"/>
  <c r="S16" i="6"/>
  <c r="AB54" i="6"/>
  <c r="H68" i="6"/>
  <c r="S80" i="6"/>
  <c r="W70" i="6"/>
  <c r="C62" i="6"/>
  <c r="W16" i="6"/>
  <c r="AA36" i="6"/>
  <c r="P25" i="6"/>
  <c r="AA37" i="6"/>
  <c r="W42" i="6"/>
  <c r="C65" i="6"/>
  <c r="I32" i="6"/>
  <c r="S87" i="6"/>
  <c r="C52" i="6"/>
  <c r="AB39" i="6"/>
  <c r="AA9" i="6"/>
  <c r="AB34" i="6"/>
  <c r="Q20" i="6"/>
  <c r="R20" i="6"/>
  <c r="AB61" i="6"/>
  <c r="AA42" i="6"/>
  <c r="R53" i="6"/>
  <c r="C87" i="6"/>
  <c r="AB7" i="6"/>
  <c r="S82" i="6"/>
  <c r="P63" i="6"/>
  <c r="Q64" i="6"/>
  <c r="S23" i="6"/>
  <c r="Q55" i="6"/>
  <c r="R34" i="6"/>
  <c r="W67" i="6"/>
  <c r="V24" i="6"/>
  <c r="P11" i="6"/>
  <c r="C5" i="6"/>
  <c r="Q24" i="6"/>
  <c r="C38" i="6"/>
  <c r="C57" i="6"/>
  <c r="P88" i="6"/>
  <c r="AA11" i="6"/>
  <c r="C67" i="6"/>
  <c r="U29" i="6"/>
  <c r="Q57" i="6"/>
  <c r="T15" i="6"/>
  <c r="U38" i="6"/>
  <c r="AA60" i="6"/>
  <c r="AA68" i="6"/>
  <c r="AB53" i="6"/>
  <c r="U68" i="6"/>
  <c r="AB32" i="6"/>
  <c r="I25" i="6"/>
  <c r="I78" i="6"/>
  <c r="U62" i="6"/>
  <c r="W9" i="6"/>
  <c r="I9" i="6"/>
  <c r="U35" i="6"/>
  <c r="R22" i="6"/>
  <c r="W26" i="6"/>
  <c r="H52" i="6"/>
  <c r="J84" i="6"/>
  <c r="R61" i="6"/>
  <c r="C84" i="6"/>
  <c r="AB23" i="6"/>
  <c r="W86" i="6"/>
  <c r="Q4" i="6"/>
  <c r="I66" i="6"/>
  <c r="J55" i="6"/>
  <c r="J23" i="6"/>
  <c r="I65" i="6"/>
  <c r="H11" i="6"/>
  <c r="M37" i="6"/>
  <c r="I88" i="6"/>
  <c r="Q26" i="6"/>
  <c r="V22" i="6"/>
  <c r="AB20" i="6"/>
  <c r="H39" i="6"/>
  <c r="R27" i="6"/>
  <c r="AA78" i="6"/>
  <c r="W52" i="6"/>
  <c r="T69" i="6"/>
  <c r="P81" i="6"/>
  <c r="M14" i="6"/>
  <c r="M53" i="6"/>
  <c r="H4" i="6"/>
  <c r="AB24" i="6"/>
  <c r="V11" i="6"/>
  <c r="J36" i="6"/>
  <c r="P22" i="6"/>
  <c r="I27" i="6"/>
  <c r="V42" i="6"/>
  <c r="I54" i="6"/>
  <c r="M38" i="6"/>
  <c r="J5" i="6"/>
  <c r="U18" i="6"/>
  <c r="AB65" i="6"/>
  <c r="S53" i="6"/>
  <c r="C23" i="6"/>
  <c r="M42" i="6"/>
  <c r="Q39" i="6"/>
  <c r="J59" i="6"/>
  <c r="M66" i="6"/>
  <c r="S63" i="6"/>
  <c r="C11" i="6"/>
  <c r="R86" i="6"/>
  <c r="T21" i="6"/>
  <c r="S25" i="6"/>
  <c r="H33" i="6"/>
  <c r="AA4" i="6"/>
  <c r="W25" i="6"/>
  <c r="W63" i="6"/>
  <c r="Q31" i="6"/>
  <c r="U16" i="6"/>
  <c r="S40" i="6"/>
  <c r="Q87" i="6"/>
  <c r="J27" i="6"/>
  <c r="S67" i="6"/>
  <c r="AB85" i="6"/>
  <c r="AB62" i="6"/>
  <c r="AB33" i="6"/>
  <c r="J78" i="6"/>
  <c r="M57" i="6"/>
  <c r="C51" i="6"/>
  <c r="S10" i="6"/>
  <c r="AB30" i="6"/>
  <c r="I67" i="6"/>
  <c r="P19" i="6"/>
  <c r="Q7" i="6"/>
  <c r="AA41" i="6"/>
  <c r="V5" i="6"/>
  <c r="AA5" i="6"/>
  <c r="T11" i="6"/>
  <c r="H26" i="6"/>
  <c r="P60" i="6"/>
  <c r="AB19" i="6"/>
  <c r="H38" i="6"/>
  <c r="R39" i="6"/>
  <c r="H15" i="6"/>
  <c r="H57" i="6"/>
  <c r="J69" i="6"/>
  <c r="C83" i="6"/>
  <c r="W66" i="6"/>
  <c r="V87" i="6"/>
  <c r="R80" i="6"/>
  <c r="H30" i="6"/>
  <c r="T70" i="6"/>
  <c r="M36" i="6"/>
  <c r="S42" i="6"/>
  <c r="T82" i="6"/>
  <c r="H61" i="6"/>
  <c r="T68" i="6"/>
  <c r="AB17" i="6"/>
  <c r="T20" i="6"/>
  <c r="AB82" i="6"/>
  <c r="S61" i="6"/>
  <c r="C12" i="6"/>
  <c r="U53" i="6"/>
  <c r="W82" i="6"/>
  <c r="H25" i="6"/>
  <c r="P64" i="6"/>
  <c r="S13" i="6"/>
  <c r="J87" i="6"/>
  <c r="H10" i="6"/>
  <c r="T59" i="6"/>
  <c r="AB42" i="6"/>
  <c r="V17" i="6"/>
  <c r="T36" i="6"/>
  <c r="W29" i="6"/>
  <c r="W55" i="6"/>
  <c r="W88" i="6"/>
  <c r="M64" i="6"/>
  <c r="T81" i="6"/>
  <c r="V29" i="6"/>
  <c r="S22" i="6"/>
  <c r="M32" i="6"/>
  <c r="S83" i="6"/>
  <c r="M19" i="6"/>
  <c r="U61" i="6"/>
  <c r="C64" i="6"/>
  <c r="I86" i="6"/>
  <c r="I13" i="6"/>
  <c r="H83" i="6"/>
  <c r="V20" i="6"/>
  <c r="H88" i="6"/>
  <c r="R9" i="6"/>
  <c r="V63" i="6"/>
  <c r="P26" i="6"/>
  <c r="I37" i="6"/>
  <c r="S9" i="6"/>
  <c r="AA31" i="6"/>
  <c r="M65" i="6"/>
  <c r="H17" i="6"/>
  <c r="S18" i="6"/>
  <c r="M23" i="6"/>
  <c r="C63" i="6"/>
  <c r="T52" i="6"/>
  <c r="AA67" i="6"/>
  <c r="I10" i="6"/>
  <c r="U60" i="6"/>
  <c r="T39" i="6"/>
  <c r="M28" i="6"/>
  <c r="M54" i="6"/>
  <c r="Q52" i="6"/>
  <c r="J13" i="6"/>
  <c r="W36" i="6"/>
  <c r="V78" i="6"/>
  <c r="Q10" i="6"/>
  <c r="R17" i="6"/>
  <c r="R57" i="6"/>
  <c r="P21" i="6"/>
  <c r="AA35" i="6"/>
  <c r="J22" i="6"/>
  <c r="H55" i="6"/>
  <c r="P14" i="6"/>
  <c r="C70" i="6"/>
  <c r="M68" i="6"/>
  <c r="J30" i="6"/>
  <c r="R38" i="6"/>
  <c r="Q27" i="6"/>
  <c r="P35" i="6"/>
  <c r="V84" i="6"/>
  <c r="I23" i="6"/>
  <c r="J64" i="6"/>
  <c r="U82" i="6"/>
  <c r="AB87" i="6"/>
  <c r="R13" i="6"/>
  <c r="I84" i="6"/>
  <c r="R23" i="6"/>
  <c r="I4" i="6"/>
  <c r="I16" i="6"/>
  <c r="J65" i="6"/>
  <c r="P32" i="6"/>
  <c r="W12" i="6"/>
  <c r="V13" i="6"/>
  <c r="S32" i="6"/>
  <c r="Q80" i="6"/>
  <c r="Q9" i="6"/>
  <c r="AA21" i="6"/>
  <c r="AB11" i="6"/>
  <c r="AB63" i="6"/>
  <c r="R52" i="6"/>
  <c r="H67" i="6"/>
  <c r="M51" i="6"/>
  <c r="T60" i="6"/>
  <c r="Q41" i="6"/>
  <c r="R15" i="6"/>
  <c r="H60" i="6"/>
  <c r="P54" i="6"/>
  <c r="W18" i="6"/>
  <c r="V37" i="6"/>
  <c r="U78" i="6"/>
  <c r="Q11" i="6"/>
  <c r="U17" i="6"/>
  <c r="V52" i="6"/>
  <c r="M24" i="6"/>
  <c r="H8" i="6"/>
  <c r="R7" i="6"/>
  <c r="Q29" i="6"/>
  <c r="I5" i="6"/>
  <c r="AB27" i="6"/>
  <c r="U40" i="6"/>
  <c r="AA15" i="6"/>
  <c r="S39" i="6"/>
  <c r="W19" i="6"/>
  <c r="AA69" i="6"/>
  <c r="C68" i="6"/>
  <c r="M80" i="6"/>
  <c r="Q65" i="6"/>
  <c r="H35" i="6"/>
  <c r="T83" i="6"/>
  <c r="Q18" i="6"/>
  <c r="T14" i="6"/>
  <c r="P82" i="6"/>
  <c r="V23" i="6"/>
  <c r="AA13" i="6"/>
  <c r="V54" i="6"/>
  <c r="AB51" i="6"/>
  <c r="J57" i="6"/>
  <c r="M78" i="6"/>
  <c r="AB21" i="6"/>
  <c r="T78" i="6"/>
  <c r="V19" i="6"/>
  <c r="W14" i="6"/>
  <c r="I8" i="6"/>
  <c r="V10" i="6"/>
  <c r="J40" i="6"/>
  <c r="T41" i="6"/>
  <c r="W56" i="6"/>
  <c r="M5" i="6"/>
  <c r="U81" i="6"/>
  <c r="M27" i="6"/>
  <c r="P20" i="6"/>
  <c r="M70" i="6"/>
  <c r="H9" i="6"/>
  <c r="W61" i="6"/>
  <c r="AA29" i="6"/>
  <c r="M61" i="6"/>
  <c r="U7" i="6"/>
  <c r="AA32" i="6"/>
  <c r="AB83" i="6"/>
  <c r="H86" i="6"/>
  <c r="AB88" i="6"/>
  <c r="R31" i="6"/>
  <c r="AB84" i="6"/>
  <c r="S31" i="6"/>
  <c r="M26" i="6"/>
  <c r="T66" i="6"/>
  <c r="V12" i="6"/>
  <c r="I11" i="6"/>
  <c r="M33" i="6"/>
  <c r="R14" i="6"/>
  <c r="V59" i="6"/>
  <c r="U64" i="6"/>
  <c r="H85" i="6"/>
  <c r="W60" i="6"/>
  <c r="R19" i="6"/>
  <c r="J10" i="6"/>
  <c r="V38" i="6"/>
  <c r="W8" i="6"/>
  <c r="M60" i="6"/>
  <c r="AB8" i="6"/>
  <c r="M30" i="6"/>
  <c r="V28" i="6"/>
  <c r="AA28" i="6"/>
  <c r="C19" i="6"/>
  <c r="R5" i="6"/>
  <c r="P69" i="6"/>
  <c r="T88" i="6"/>
  <c r="M55" i="6"/>
  <c r="Q35" i="6"/>
  <c r="J70" i="6"/>
  <c r="C86" i="6"/>
  <c r="AB13" i="6"/>
  <c r="AB70" i="6"/>
  <c r="V30" i="6"/>
  <c r="S84" i="6"/>
  <c r="V32" i="6"/>
  <c r="V34" i="6"/>
  <c r="AA84" i="6"/>
  <c r="AB86" i="6"/>
  <c r="I12" i="6"/>
  <c r="J18" i="6"/>
  <c r="I87" i="6"/>
  <c r="C10" i="6"/>
  <c r="AA20" i="6"/>
  <c r="S70" i="6"/>
  <c r="T13" i="6"/>
  <c r="S14" i="6"/>
  <c r="M7" i="6"/>
  <c r="P34" i="6"/>
  <c r="M83" i="6"/>
  <c r="P17" i="6"/>
  <c r="AA25" i="6"/>
  <c r="AA63" i="6"/>
  <c r="R8" i="6"/>
  <c r="W65" i="6"/>
  <c r="T54" i="6"/>
  <c r="W85" i="6"/>
  <c r="H51" i="6"/>
  <c r="C60" i="6"/>
  <c r="J52" i="6"/>
  <c r="J24" i="6"/>
  <c r="T5" i="6"/>
  <c r="J15" i="6"/>
  <c r="I21" i="6"/>
  <c r="W39" i="6"/>
  <c r="S78" i="6"/>
  <c r="S15" i="6"/>
  <c r="C22" i="6"/>
  <c r="J62" i="6"/>
  <c r="Q16" i="6"/>
  <c r="V15" i="6"/>
  <c r="T31" i="6"/>
  <c r="H14" i="6"/>
  <c r="S29" i="6"/>
  <c r="S51" i="6"/>
  <c r="U36" i="6"/>
  <c r="R41" i="6"/>
  <c r="AB28" i="6"/>
  <c r="W69" i="6"/>
  <c r="T63" i="6"/>
  <c r="H80" i="6"/>
  <c r="AA81" i="6"/>
  <c r="AA66" i="6"/>
  <c r="I53" i="6"/>
  <c r="S88" i="6"/>
  <c r="W23" i="6"/>
  <c r="J25" i="6"/>
  <c r="Q33" i="6"/>
  <c r="AA19" i="6"/>
  <c r="AA54" i="6"/>
  <c r="U69" i="6"/>
  <c r="H81" i="6"/>
  <c r="J88" i="6"/>
  <c r="T85" i="6"/>
  <c r="R28" i="6"/>
  <c r="T10" i="6"/>
  <c r="P4" i="6"/>
  <c r="P56" i="6"/>
  <c r="U70" i="6"/>
  <c r="J66" i="6"/>
  <c r="I55" i="6"/>
  <c r="J29" i="6"/>
  <c r="AA16" i="6"/>
  <c r="P66" i="6"/>
  <c r="J61" i="6"/>
  <c r="P9" i="6"/>
  <c r="T25" i="6"/>
  <c r="P61" i="6"/>
  <c r="V80" i="6"/>
  <c r="P67" i="6"/>
  <c r="S56" i="6"/>
  <c r="M29" i="6"/>
  <c r="AA39" i="6"/>
  <c r="Q12" i="6"/>
  <c r="I18" i="6"/>
  <c r="C15" i="6"/>
  <c r="R62" i="6"/>
  <c r="W68" i="6"/>
  <c r="V82" i="6"/>
  <c r="P65" i="6"/>
  <c r="I19" i="6"/>
  <c r="Q32" i="6"/>
  <c r="M88" i="6"/>
  <c r="S52" i="6"/>
  <c r="H82" i="6"/>
  <c r="J34" i="6"/>
  <c r="P23" i="6"/>
  <c r="T40" i="6"/>
  <c r="AB10" i="6"/>
  <c r="Q54" i="6"/>
  <c r="T22" i="6"/>
  <c r="R69" i="6"/>
  <c r="AA24" i="6"/>
  <c r="T62" i="6"/>
  <c r="W78" i="6"/>
  <c r="S38" i="6"/>
  <c r="AB68" i="6"/>
  <c r="M31" i="6"/>
  <c r="W13" i="6"/>
  <c r="Q62" i="6"/>
  <c r="H16" i="6"/>
  <c r="V60" i="6"/>
  <c r="C53" i="6"/>
  <c r="C82" i="6"/>
  <c r="U34" i="6"/>
  <c r="U31" i="6"/>
  <c r="S64" i="6"/>
  <c r="Q82" i="6"/>
  <c r="Q85" i="6"/>
  <c r="I30" i="6"/>
  <c r="Q51" i="6"/>
  <c r="P13" i="6"/>
  <c r="P18" i="6"/>
  <c r="H37" i="6"/>
  <c r="H69" i="6"/>
  <c r="R83" i="6"/>
  <c r="J20" i="6"/>
  <c r="S66" i="6"/>
  <c r="R4" i="6"/>
  <c r="P85" i="6"/>
  <c r="U39" i="6"/>
  <c r="U14" i="6"/>
  <c r="Q22" i="6"/>
  <c r="Q37" i="6"/>
  <c r="S69" i="6"/>
  <c r="C66" i="6"/>
  <c r="Q88" i="6"/>
  <c r="S41" i="6"/>
  <c r="U26" i="6"/>
  <c r="P39" i="6"/>
  <c r="I68" i="6"/>
  <c r="H23" i="6"/>
  <c r="T35" i="6"/>
  <c r="S4" i="6"/>
  <c r="M52" i="6"/>
  <c r="R10" i="6"/>
  <c r="J39" i="6"/>
  <c r="I42" i="6"/>
  <c r="H7" i="6"/>
  <c r="S62" i="6"/>
  <c r="AA38" i="6"/>
  <c r="AA12" i="6"/>
  <c r="AA59" i="6"/>
  <c r="AB67" i="6"/>
  <c r="T57" i="6"/>
  <c r="V39" i="6"/>
  <c r="U28" i="6"/>
  <c r="C59" i="6"/>
  <c r="AA27" i="6"/>
  <c r="P53" i="6"/>
  <c r="T8" i="6"/>
  <c r="J28" i="6"/>
  <c r="M82" i="6"/>
  <c r="V35" i="6"/>
  <c r="Q40" i="6"/>
  <c r="W21" i="6"/>
  <c r="T17" i="6"/>
  <c r="I15" i="6"/>
  <c r="P57" i="6"/>
  <c r="U5" i="6"/>
  <c r="P16" i="6"/>
  <c r="U54" i="6"/>
  <c r="C40" i="6"/>
  <c r="AB15" i="6"/>
  <c r="P59" i="6"/>
  <c r="W53" i="6"/>
  <c r="R70" i="6"/>
  <c r="J38" i="6"/>
  <c r="W22" i="6"/>
  <c r="U37" i="6"/>
  <c r="J19" i="6"/>
  <c r="P28" i="6"/>
  <c r="C16" i="6"/>
  <c r="M13" i="6"/>
  <c r="M4" i="6"/>
  <c r="M56" i="6"/>
  <c r="S60" i="6"/>
  <c r="T19" i="6"/>
  <c r="U80" i="6"/>
  <c r="M81" i="6"/>
  <c r="T30" i="6"/>
  <c r="S12" i="6"/>
  <c r="S26" i="6"/>
  <c r="C39" i="6"/>
  <c r="H28" i="6"/>
  <c r="V33" i="6"/>
  <c r="W5" i="6"/>
  <c r="AB14" i="6"/>
  <c r="C14" i="6"/>
  <c r="M62" i="6"/>
  <c r="W10" i="6"/>
  <c r="AA70" i="6"/>
  <c r="Q21" i="6"/>
  <c r="J42" i="6"/>
  <c r="V67" i="6"/>
  <c r="I33" i="6"/>
  <c r="R11" i="6"/>
  <c r="U15" i="6"/>
  <c r="M67" i="6"/>
  <c r="AB57" i="6"/>
  <c r="W83" i="6"/>
  <c r="W59" i="6"/>
  <c r="H87" i="6"/>
  <c r="J14" i="6"/>
  <c r="R59" i="6"/>
  <c r="R21" i="6"/>
  <c r="U59" i="6"/>
  <c r="U67" i="6"/>
  <c r="T56" i="6"/>
  <c r="V27" i="6"/>
  <c r="W37" i="6"/>
  <c r="H5" i="6"/>
  <c r="AB60" i="6"/>
  <c r="V88" i="6"/>
  <c r="H66" i="6"/>
  <c r="U83" i="6"/>
  <c r="AA26" i="6"/>
  <c r="V25" i="6"/>
  <c r="C28" i="6"/>
  <c r="C81" i="6"/>
  <c r="S7" i="6"/>
  <c r="V41" i="6"/>
  <c r="W40" i="6"/>
  <c r="P68" i="6"/>
  <c r="AB78" i="5"/>
  <c r="AA78" i="5"/>
  <c r="H78" i="5"/>
  <c r="T78" i="5"/>
  <c r="M78" i="5"/>
  <c r="Q78" i="5"/>
  <c r="W78" i="5"/>
  <c r="R78" i="5"/>
  <c r="S78" i="5"/>
  <c r="U78" i="5"/>
  <c r="P78" i="5"/>
  <c r="J78" i="5"/>
  <c r="V78" i="5"/>
  <c r="C78" i="5"/>
  <c r="H65" i="5"/>
  <c r="AB5" i="5"/>
  <c r="U40" i="5"/>
  <c r="J67" i="5"/>
  <c r="S28" i="5"/>
  <c r="AB62" i="5"/>
  <c r="W19" i="5"/>
  <c r="R41" i="5"/>
  <c r="Q57" i="5"/>
  <c r="R28" i="5"/>
  <c r="W63" i="5"/>
  <c r="I6" i="5"/>
  <c r="V6" i="5"/>
  <c r="C21" i="5"/>
  <c r="Q19" i="5"/>
  <c r="T17" i="5"/>
  <c r="J61" i="5"/>
  <c r="R8" i="5"/>
  <c r="M65" i="5"/>
  <c r="H30" i="5"/>
  <c r="M30" i="5"/>
  <c r="P18" i="5"/>
  <c r="AB60" i="5"/>
  <c r="R18" i="5"/>
  <c r="S7" i="5"/>
  <c r="W58" i="5"/>
  <c r="C61" i="5"/>
  <c r="Q8" i="5"/>
  <c r="AB57" i="5"/>
  <c r="H32" i="5"/>
  <c r="AA39" i="5"/>
  <c r="T85" i="5"/>
  <c r="R57" i="5"/>
  <c r="S57" i="5"/>
  <c r="V24" i="5"/>
  <c r="U53" i="5"/>
  <c r="C85" i="5"/>
  <c r="R37" i="5"/>
  <c r="V34" i="5"/>
  <c r="U76" i="5"/>
  <c r="H36" i="5"/>
  <c r="P15" i="5"/>
  <c r="U10" i="5"/>
  <c r="P38" i="5"/>
  <c r="P62" i="5"/>
  <c r="J10" i="5"/>
  <c r="Q38" i="5"/>
  <c r="AA80" i="5"/>
  <c r="S13" i="5"/>
  <c r="H34" i="5"/>
  <c r="C8" i="5"/>
  <c r="R63" i="5"/>
  <c r="T67" i="5"/>
  <c r="C33" i="5"/>
  <c r="AB31" i="5"/>
  <c r="S5" i="5"/>
  <c r="J9" i="5"/>
  <c r="C29" i="5"/>
  <c r="R48" i="5"/>
  <c r="Q11" i="5"/>
  <c r="J27" i="5"/>
  <c r="T25" i="5"/>
  <c r="R62" i="5"/>
  <c r="T33" i="5"/>
  <c r="AB64" i="5"/>
  <c r="M6" i="5"/>
  <c r="R51" i="5"/>
  <c r="P6" i="5"/>
  <c r="R31" i="5"/>
  <c r="W33" i="5"/>
  <c r="J51" i="5"/>
  <c r="AB7" i="5"/>
  <c r="Q13" i="5"/>
  <c r="S22" i="5"/>
  <c r="M48" i="5"/>
  <c r="C81" i="5"/>
  <c r="W52" i="5"/>
  <c r="T79" i="5"/>
  <c r="C68" i="5"/>
  <c r="P60" i="5"/>
  <c r="P86" i="5"/>
  <c r="C66" i="5"/>
  <c r="Q86" i="5"/>
  <c r="P68" i="5"/>
  <c r="V64" i="5"/>
  <c r="U86" i="5"/>
  <c r="J66" i="5"/>
  <c r="Q55" i="5"/>
  <c r="Q61" i="5"/>
  <c r="C48" i="5"/>
  <c r="AB15" i="5"/>
  <c r="S41" i="5"/>
  <c r="AA37" i="5"/>
  <c r="I61" i="5"/>
  <c r="H66" i="5"/>
  <c r="W6" i="5"/>
  <c r="T19" i="5"/>
  <c r="H22" i="5"/>
  <c r="U15" i="5"/>
  <c r="I10" i="5"/>
  <c r="T20" i="5"/>
  <c r="AA18" i="5"/>
  <c r="J65" i="5"/>
  <c r="Q21" i="5"/>
  <c r="M66" i="5"/>
  <c r="AA32" i="5"/>
  <c r="T61" i="5"/>
  <c r="R19" i="5"/>
  <c r="V61" i="5"/>
  <c r="W9" i="5"/>
  <c r="W7" i="5"/>
  <c r="AA61" i="5"/>
  <c r="AB61" i="5"/>
  <c r="S9" i="5"/>
  <c r="U58" i="5"/>
  <c r="AB32" i="5"/>
  <c r="J35" i="5"/>
  <c r="AB86" i="5"/>
  <c r="J58" i="5"/>
  <c r="S76" i="5"/>
  <c r="C27" i="5"/>
  <c r="U55" i="5"/>
  <c r="C86" i="5"/>
  <c r="M20" i="5"/>
  <c r="V35" i="5"/>
  <c r="AA77" i="5"/>
  <c r="U24" i="5"/>
  <c r="I16" i="5"/>
  <c r="H14" i="5"/>
  <c r="M39" i="5"/>
  <c r="H67" i="5"/>
  <c r="M5" i="5"/>
  <c r="H13" i="5"/>
  <c r="W22" i="5"/>
  <c r="V81" i="5"/>
  <c r="J11" i="5"/>
  <c r="C36" i="5"/>
  <c r="W10" i="5"/>
  <c r="C38" i="5"/>
  <c r="I65" i="5"/>
  <c r="R65" i="5"/>
  <c r="J77" i="5"/>
  <c r="W18" i="5"/>
  <c r="U20" i="5"/>
  <c r="V41" i="5"/>
  <c r="H10" i="5"/>
  <c r="W15" i="5"/>
  <c r="T21" i="5"/>
  <c r="P21" i="5"/>
  <c r="I66" i="5"/>
  <c r="M22" i="5"/>
  <c r="S68" i="5"/>
  <c r="T39" i="5"/>
  <c r="R16" i="5"/>
  <c r="V9" i="5"/>
  <c r="M64" i="5"/>
  <c r="I28" i="5"/>
  <c r="T13" i="5"/>
  <c r="AB65" i="5"/>
  <c r="C77" i="5"/>
  <c r="W36" i="5"/>
  <c r="S59" i="5"/>
  <c r="I35" i="5"/>
  <c r="J52" i="5"/>
  <c r="R24" i="5"/>
  <c r="C59" i="5"/>
  <c r="J82" i="5"/>
  <c r="V28" i="5"/>
  <c r="T57" i="5"/>
  <c r="H5" i="5"/>
  <c r="C24" i="5"/>
  <c r="R49" i="5"/>
  <c r="S80" i="5"/>
  <c r="M58" i="5"/>
  <c r="AB16" i="5"/>
  <c r="Q15" i="5"/>
  <c r="S40" i="5"/>
  <c r="W76" i="5"/>
  <c r="P10" i="5"/>
  <c r="V40" i="5"/>
  <c r="U83" i="5"/>
  <c r="S17" i="5"/>
  <c r="T34" i="5"/>
  <c r="I25" i="5"/>
  <c r="P63" i="5"/>
  <c r="Q67" i="5"/>
  <c r="V25" i="5"/>
  <c r="AA31" i="5"/>
  <c r="C5" i="5"/>
  <c r="AA36" i="5"/>
  <c r="R29" i="5"/>
  <c r="J48" i="5"/>
  <c r="C6" i="5"/>
  <c r="M42" i="5"/>
  <c r="AB27" i="5"/>
  <c r="S65" i="5"/>
  <c r="R58" i="5"/>
  <c r="H17" i="5"/>
  <c r="AA49" i="5"/>
  <c r="M18" i="5"/>
  <c r="AB10" i="5"/>
  <c r="M21" i="5"/>
  <c r="AB37" i="5"/>
  <c r="J81" i="5"/>
  <c r="J83" i="5"/>
  <c r="AB20" i="5"/>
  <c r="U21" i="5"/>
  <c r="H84" i="5"/>
  <c r="V15" i="5"/>
  <c r="R20" i="5"/>
  <c r="Q29" i="5"/>
  <c r="J22" i="5"/>
  <c r="M68" i="5"/>
  <c r="M23" i="5"/>
  <c r="R77" i="5"/>
  <c r="AB42" i="5"/>
  <c r="S16" i="5"/>
  <c r="AA21" i="5"/>
  <c r="V65" i="5"/>
  <c r="V30" i="5"/>
  <c r="V16" i="5"/>
  <c r="W85" i="5"/>
  <c r="C84" i="5"/>
  <c r="W37" i="5"/>
  <c r="W60" i="5"/>
  <c r="I52" i="5"/>
  <c r="M57" i="5"/>
  <c r="M52" i="5"/>
  <c r="R76" i="5"/>
  <c r="Q83" i="5"/>
  <c r="AA29" i="5"/>
  <c r="P58" i="5"/>
  <c r="J5" i="5"/>
  <c r="W24" i="5"/>
  <c r="V52" i="5"/>
  <c r="S82" i="5"/>
  <c r="H59" i="5"/>
  <c r="I18" i="5"/>
  <c r="J8" i="5"/>
  <c r="P42" i="5"/>
  <c r="AB77" i="5"/>
  <c r="M32" i="5"/>
  <c r="R38" i="5"/>
  <c r="AB80" i="5"/>
  <c r="S35" i="5"/>
  <c r="V37" i="5"/>
  <c r="W57" i="5"/>
  <c r="W20" i="5"/>
  <c r="U29" i="5"/>
  <c r="T65" i="5"/>
  <c r="V23" i="5"/>
  <c r="C23" i="5"/>
  <c r="T29" i="5"/>
  <c r="J20" i="5"/>
  <c r="J21" i="5"/>
  <c r="T38" i="5"/>
  <c r="J23" i="5"/>
  <c r="Q77" i="5"/>
  <c r="AB26" i="5"/>
  <c r="W86" i="5"/>
  <c r="P57" i="5"/>
  <c r="C18" i="5"/>
  <c r="H28" i="5"/>
  <c r="AB66" i="5"/>
  <c r="J40" i="5"/>
  <c r="S18" i="5"/>
  <c r="AA7" i="5"/>
  <c r="AA85" i="5"/>
  <c r="J24" i="5"/>
  <c r="AA67" i="5"/>
  <c r="M54" i="5"/>
  <c r="C58" i="5"/>
  <c r="P76" i="5"/>
  <c r="P83" i="5"/>
  <c r="C9" i="5"/>
  <c r="R32" i="5"/>
  <c r="J59" i="5"/>
  <c r="I37" i="5"/>
  <c r="W27" i="5"/>
  <c r="AA53" i="5"/>
  <c r="S83" i="5"/>
  <c r="S10" i="5"/>
  <c r="I19" i="5"/>
  <c r="P9" i="5"/>
  <c r="AA35" i="5"/>
  <c r="W80" i="5"/>
  <c r="AB4" i="5"/>
  <c r="V49" i="5"/>
  <c r="M85" i="5"/>
  <c r="H19" i="5"/>
  <c r="J34" i="5"/>
  <c r="S42" i="5"/>
  <c r="AB63" i="5"/>
  <c r="AB67" i="5"/>
  <c r="J25" i="5"/>
  <c r="T31" i="5"/>
  <c r="R11" i="5"/>
  <c r="I22" i="5"/>
  <c r="R30" i="5"/>
  <c r="I48" i="5"/>
  <c r="S11" i="5"/>
  <c r="R34" i="5"/>
  <c r="W34" i="5"/>
  <c r="J53" i="5"/>
  <c r="J14" i="5"/>
  <c r="M25" i="5"/>
  <c r="M63" i="5"/>
  <c r="C26" i="5"/>
  <c r="AB38" i="5"/>
  <c r="AB21" i="5"/>
  <c r="Q28" i="5"/>
  <c r="V20" i="5"/>
  <c r="J54" i="5"/>
  <c r="U38" i="5"/>
  <c r="I20" i="5"/>
  <c r="I21" i="5"/>
  <c r="U22" i="5"/>
  <c r="Q66" i="5"/>
  <c r="H26" i="5"/>
  <c r="AA81" i="5"/>
  <c r="U28" i="5"/>
  <c r="P7" i="5"/>
  <c r="R61" i="5"/>
  <c r="P30" i="5"/>
  <c r="M29" i="5"/>
  <c r="C80" i="5"/>
  <c r="I34" i="5"/>
  <c r="AA9" i="5"/>
  <c r="W13" i="5"/>
  <c r="M24" i="5"/>
  <c r="V32" i="5"/>
  <c r="C76" i="5"/>
  <c r="J76" i="5"/>
  <c r="AB58" i="5"/>
  <c r="Q52" i="5"/>
  <c r="M35" i="5"/>
  <c r="M37" i="5"/>
  <c r="J38" i="5"/>
  <c r="J60" i="5"/>
  <c r="Q10" i="5"/>
  <c r="AA28" i="5"/>
  <c r="V55" i="5"/>
  <c r="M84" i="5"/>
  <c r="M15" i="5"/>
  <c r="I8" i="5"/>
  <c r="S36" i="5"/>
  <c r="S49" i="5"/>
  <c r="U82" i="5"/>
  <c r="V10" i="5"/>
  <c r="AB52" i="5"/>
  <c r="M86" i="5"/>
  <c r="P19" i="5"/>
  <c r="C4" i="5"/>
  <c r="S77" i="5"/>
  <c r="U60" i="5"/>
  <c r="Q41" i="5"/>
  <c r="W31" i="5"/>
  <c r="J19" i="5"/>
  <c r="W32" i="5"/>
  <c r="C41" i="5"/>
  <c r="W39" i="5"/>
  <c r="W23" i="5"/>
  <c r="M17" i="5"/>
  <c r="C60" i="5"/>
  <c r="H49" i="5"/>
  <c r="H21" i="5"/>
  <c r="T22" i="5"/>
  <c r="I29" i="5"/>
  <c r="AB84" i="5"/>
  <c r="T28" i="5"/>
  <c r="S86" i="5"/>
  <c r="C30" i="5"/>
  <c r="P16" i="5"/>
  <c r="C63" i="5"/>
  <c r="U61" i="5"/>
  <c r="T30" i="5"/>
  <c r="AA83" i="5"/>
  <c r="J55" i="5"/>
  <c r="J28" i="5"/>
  <c r="T18" i="5"/>
  <c r="P24" i="5"/>
  <c r="S38" i="5"/>
  <c r="AB76" i="5"/>
  <c r="U79" i="5"/>
  <c r="AA59" i="5"/>
  <c r="Q76" i="5"/>
  <c r="Q35" i="5"/>
  <c r="C16" i="5"/>
  <c r="H39" i="5"/>
  <c r="T76" i="5"/>
  <c r="T35" i="5"/>
  <c r="S32" i="5"/>
  <c r="U57" i="5"/>
  <c r="H85" i="5"/>
  <c r="AA16" i="5"/>
  <c r="M9" i="5"/>
  <c r="U37" i="5"/>
  <c r="AA52" i="5"/>
  <c r="T83" i="5"/>
  <c r="R14" i="5"/>
  <c r="AA57" i="5"/>
  <c r="M11" i="5"/>
  <c r="R36" i="5"/>
  <c r="U6" i="5"/>
  <c r="J42" i="5"/>
  <c r="AA63" i="5"/>
  <c r="W67" i="5"/>
  <c r="AA13" i="5"/>
  <c r="J50" i="5"/>
  <c r="AB13" i="5"/>
  <c r="Q22" i="5"/>
  <c r="AB30" i="5"/>
  <c r="H48" i="5"/>
  <c r="T23" i="5"/>
  <c r="C51" i="5"/>
  <c r="M51" i="5"/>
  <c r="V13" i="5"/>
  <c r="Q54" i="5"/>
  <c r="U64" i="5"/>
  <c r="R50" i="5"/>
  <c r="S33" i="5"/>
  <c r="T9" i="5"/>
  <c r="T40" i="5"/>
  <c r="AA51" i="5"/>
  <c r="AB14" i="5"/>
  <c r="V4" i="5"/>
  <c r="J18" i="5"/>
  <c r="S30" i="5"/>
  <c r="V60" i="5"/>
  <c r="W28" i="5"/>
  <c r="AA60" i="5"/>
  <c r="Q85" i="5"/>
  <c r="W82" i="5"/>
  <c r="AA79" i="5"/>
  <c r="AB85" i="5"/>
  <c r="H6" i="5"/>
  <c r="R21" i="5"/>
  <c r="Q42" i="5"/>
  <c r="S39" i="5"/>
  <c r="V33" i="5"/>
  <c r="I41" i="5"/>
  <c r="U65" i="5"/>
  <c r="H35" i="5"/>
  <c r="U8" i="5"/>
  <c r="V18" i="5"/>
  <c r="I23" i="5"/>
  <c r="S66" i="5"/>
  <c r="R22" i="5"/>
  <c r="H29" i="5"/>
  <c r="AB41" i="5"/>
  <c r="P48" i="5"/>
  <c r="H41" i="5"/>
  <c r="M7" i="5"/>
  <c r="W48" i="5"/>
  <c r="AA17" i="5"/>
  <c r="Q65" i="5"/>
  <c r="Q16" i="5"/>
  <c r="H38" i="5"/>
  <c r="R85" i="5"/>
  <c r="I58" i="5"/>
  <c r="W30" i="5"/>
  <c r="AB9" i="5"/>
  <c r="I5" i="5"/>
  <c r="R39" i="5"/>
  <c r="J79" i="5"/>
  <c r="H83" i="5"/>
  <c r="M76" i="5"/>
  <c r="M83" i="5"/>
  <c r="P5" i="5"/>
  <c r="W16" i="5"/>
  <c r="M40" i="5"/>
  <c r="V77" i="5"/>
  <c r="M49" i="5"/>
  <c r="M38" i="5"/>
  <c r="Q58" i="5"/>
  <c r="I86" i="5"/>
  <c r="H18" i="5"/>
  <c r="M36" i="5"/>
  <c r="Q20" i="5"/>
  <c r="AB53" i="5"/>
  <c r="P84" i="5"/>
  <c r="M8" i="5"/>
  <c r="T58" i="5"/>
  <c r="J6" i="5"/>
  <c r="C25" i="5"/>
  <c r="U13" i="5"/>
  <c r="AA42" i="5"/>
  <c r="H63" i="5"/>
  <c r="C67" i="5"/>
  <c r="AA27" i="5"/>
  <c r="P11" i="5"/>
  <c r="V14" i="5"/>
  <c r="Q25" i="5"/>
  <c r="I30" i="5"/>
  <c r="U48" i="5"/>
  <c r="Q23" i="5"/>
  <c r="V17" i="5"/>
  <c r="W62" i="5"/>
  <c r="S4" i="5"/>
  <c r="P54" i="5"/>
  <c r="T64" i="5"/>
  <c r="Q50" i="5"/>
  <c r="U11" i="5"/>
  <c r="P36" i="5"/>
  <c r="Q40" i="5"/>
  <c r="H51" i="5"/>
  <c r="I14" i="5"/>
  <c r="T5" i="5"/>
  <c r="C19" i="5"/>
  <c r="S31" i="5"/>
  <c r="P66" i="5"/>
  <c r="V38" i="5"/>
  <c r="C65" i="5"/>
  <c r="H86" i="5"/>
  <c r="T49" i="5"/>
  <c r="U80" i="5"/>
  <c r="I55" i="5"/>
  <c r="V80" i="5"/>
  <c r="C49" i="5"/>
  <c r="S52" i="5"/>
  <c r="R15" i="5"/>
  <c r="AB24" i="5"/>
  <c r="Q68" i="5"/>
  <c r="AA54" i="5"/>
  <c r="R84" i="5"/>
  <c r="J41" i="5"/>
  <c r="C22" i="5"/>
  <c r="U19" i="5"/>
  <c r="S20" i="5"/>
  <c r="AA20" i="5"/>
  <c r="I60" i="5"/>
  <c r="W41" i="5"/>
  <c r="AA41" i="5"/>
  <c r="H81" i="5"/>
  <c r="M53" i="5"/>
  <c r="V48" i="5"/>
  <c r="AA14" i="5"/>
  <c r="T53" i="5"/>
  <c r="T8" i="5"/>
  <c r="U68" i="5"/>
  <c r="R7" i="5"/>
  <c r="I40" i="5"/>
  <c r="Q7" i="5"/>
  <c r="W61" i="5"/>
  <c r="AB40" i="5"/>
  <c r="M28" i="5"/>
  <c r="M10" i="5"/>
  <c r="W40" i="5"/>
  <c r="V83" i="5"/>
  <c r="AB83" i="5"/>
  <c r="V79" i="5"/>
  <c r="S24" i="5"/>
  <c r="P32" i="5"/>
  <c r="H9" i="5"/>
  <c r="S34" i="5"/>
  <c r="R80" i="5"/>
  <c r="H16" i="5"/>
  <c r="J39" i="5"/>
  <c r="M59" i="5"/>
  <c r="J32" i="5"/>
  <c r="V5" i="5"/>
  <c r="S37" i="5"/>
  <c r="H24" i="5"/>
  <c r="V57" i="5"/>
  <c r="J85" i="5"/>
  <c r="V36" i="5"/>
  <c r="R59" i="5"/>
  <c r="R6" i="5"/>
  <c r="AA26" i="5"/>
  <c r="S14" i="5"/>
  <c r="H42" i="5"/>
  <c r="U63" i="5"/>
  <c r="I4" i="5"/>
  <c r="H27" i="5"/>
  <c r="T11" i="5"/>
  <c r="C17" i="5"/>
  <c r="M26" i="5"/>
  <c r="I42" i="5"/>
  <c r="S48" i="5"/>
  <c r="AA23" i="5"/>
  <c r="J17" i="5"/>
  <c r="C62" i="5"/>
  <c r="U25" i="5"/>
  <c r="AB54" i="5"/>
  <c r="S64" i="5"/>
  <c r="P50" i="5"/>
  <c r="V11" i="5"/>
  <c r="P23" i="5"/>
  <c r="P40" i="5"/>
  <c r="U51" i="5"/>
  <c r="Q14" i="5"/>
  <c r="Q6" i="5"/>
  <c r="AA8" i="5"/>
  <c r="C39" i="5"/>
  <c r="R68" i="5"/>
  <c r="C35" i="5"/>
  <c r="AB59" i="5"/>
  <c r="Q9" i="5"/>
  <c r="AB8" i="5"/>
  <c r="W83" i="5"/>
  <c r="J16" i="5"/>
  <c r="M19" i="5"/>
  <c r="W38" i="5"/>
  <c r="T48" i="5"/>
  <c r="H37" i="5"/>
  <c r="AA22" i="5"/>
  <c r="AA66" i="5"/>
  <c r="J80" i="5"/>
  <c r="J68" i="5"/>
  <c r="V68" i="5"/>
  <c r="U84" i="5"/>
  <c r="H61" i="5"/>
  <c r="S53" i="5"/>
  <c r="M16" i="5"/>
  <c r="J57" i="5"/>
  <c r="S21" i="5"/>
  <c r="T77" i="5"/>
  <c r="T7" i="5"/>
  <c r="T41" i="5"/>
  <c r="V7" i="5"/>
  <c r="Q64" i="5"/>
  <c r="M34" i="5"/>
  <c r="I53" i="5"/>
  <c r="AA10" i="5"/>
  <c r="T42" i="5"/>
  <c r="S84" i="5"/>
  <c r="C37" i="5"/>
  <c r="M81" i="5"/>
  <c r="R35" i="5"/>
  <c r="Q5" i="5"/>
  <c r="Q37" i="5"/>
  <c r="U35" i="5"/>
  <c r="M82" i="5"/>
  <c r="H8" i="5"/>
  <c r="R40" i="5"/>
  <c r="M60" i="5"/>
  <c r="T24" i="5"/>
  <c r="C7" i="5"/>
  <c r="P20" i="5"/>
  <c r="AA24" i="5"/>
  <c r="S58" i="5"/>
  <c r="J86" i="5"/>
  <c r="I24" i="5"/>
  <c r="S60" i="5"/>
  <c r="W4" i="5"/>
  <c r="V27" i="5"/>
  <c r="U17" i="5"/>
  <c r="C34" i="5"/>
  <c r="S63" i="5"/>
  <c r="Q26" i="5"/>
  <c r="U27" i="5"/>
  <c r="P25" i="5"/>
  <c r="AB17" i="5"/>
  <c r="I27" i="5"/>
  <c r="M33" i="5"/>
  <c r="S54" i="5"/>
  <c r="H23" i="5"/>
  <c r="U36" i="5"/>
  <c r="V62" i="5"/>
  <c r="S26" i="5"/>
  <c r="I54" i="5"/>
  <c r="P64" i="5"/>
  <c r="AB50" i="5"/>
  <c r="M13" i="5"/>
  <c r="AA25" i="5"/>
  <c r="AA40" i="5"/>
  <c r="T51" i="5"/>
  <c r="W25" i="5"/>
  <c r="J7" i="5"/>
  <c r="U9" i="5"/>
  <c r="C40" i="5"/>
  <c r="U77" i="5"/>
  <c r="W35" i="5"/>
  <c r="Q79" i="5"/>
  <c r="M41" i="5"/>
  <c r="W59" i="5"/>
  <c r="AA65" i="5"/>
  <c r="Q24" i="5"/>
  <c r="R83" i="5"/>
  <c r="AA5" i="5"/>
  <c r="T62" i="5"/>
  <c r="S8" i="5"/>
  <c r="R67" i="5"/>
  <c r="H33" i="5"/>
  <c r="W29" i="5"/>
  <c r="AB6" i="5"/>
  <c r="R33" i="5"/>
  <c r="V54" i="5"/>
  <c r="J13" i="5"/>
  <c r="U33" i="5"/>
  <c r="V39" i="5"/>
  <c r="AA4" i="5"/>
  <c r="C11" i="5"/>
  <c r="T27" i="5"/>
  <c r="R82" i="5"/>
  <c r="R66" i="5"/>
  <c r="W68" i="5"/>
  <c r="M77" i="5"/>
  <c r="AB55" i="5"/>
  <c r="AB82" i="5"/>
  <c r="P79" i="5"/>
  <c r="V50" i="5"/>
  <c r="P49" i="5"/>
  <c r="W66" i="5"/>
  <c r="AA58" i="5"/>
  <c r="C42" i="5"/>
  <c r="C50" i="5"/>
  <c r="M50" i="5"/>
  <c r="U18" i="5"/>
  <c r="AB81" i="5"/>
  <c r="V76" i="5"/>
  <c r="AA38" i="5"/>
  <c r="S79" i="5"/>
  <c r="T84" i="5"/>
  <c r="M61" i="5"/>
  <c r="S85" i="5"/>
  <c r="I32" i="5"/>
  <c r="J84" i="5"/>
  <c r="I11" i="5"/>
  <c r="AA76" i="5"/>
  <c r="W8" i="5"/>
  <c r="P67" i="5"/>
  <c r="I26" i="5"/>
  <c r="V29" i="5"/>
  <c r="W14" i="5"/>
  <c r="T50" i="5"/>
  <c r="U54" i="5"/>
  <c r="W11" i="5"/>
  <c r="P17" i="5"/>
  <c r="U39" i="5"/>
  <c r="H4" i="5"/>
  <c r="AB11" i="5"/>
  <c r="S29" i="5"/>
  <c r="V86" i="5"/>
  <c r="T68" i="5"/>
  <c r="W79" i="5"/>
  <c r="C79" i="5"/>
  <c r="V59" i="5"/>
  <c r="V85" i="5"/>
  <c r="H80" i="5"/>
  <c r="S55" i="5"/>
  <c r="P59" i="5"/>
  <c r="U26" i="5"/>
  <c r="C31" i="5"/>
  <c r="Q18" i="5"/>
  <c r="AA15" i="5"/>
  <c r="C82" i="5"/>
  <c r="C83" i="5"/>
  <c r="W21" i="5"/>
  <c r="H54" i="5"/>
  <c r="J62" i="5"/>
  <c r="Q31" i="5"/>
  <c r="I68" i="5"/>
  <c r="S23" i="5"/>
  <c r="T66" i="5"/>
  <c r="P22" i="5"/>
  <c r="H53" i="5"/>
  <c r="I83" i="5"/>
  <c r="I9" i="5"/>
  <c r="AB28" i="5"/>
  <c r="V82" i="5"/>
  <c r="T36" i="5"/>
  <c r="I67" i="5"/>
  <c r="M4" i="5"/>
  <c r="U30" i="5"/>
  <c r="R25" i="5"/>
  <c r="U62" i="5"/>
  <c r="T54" i="5"/>
  <c r="T26" i="5"/>
  <c r="R5" i="5"/>
  <c r="Q39" i="5"/>
  <c r="P4" i="5"/>
  <c r="M14" i="5"/>
  <c r="W42" i="5"/>
  <c r="V21" i="5"/>
  <c r="W77" i="5"/>
  <c r="T80" i="5"/>
  <c r="Q81" i="5"/>
  <c r="Q60" i="5"/>
  <c r="S81" i="5"/>
  <c r="U81" i="5"/>
  <c r="T6" i="5"/>
  <c r="P41" i="5"/>
  <c r="R42" i="5"/>
  <c r="Q34" i="5"/>
  <c r="W54" i="5"/>
  <c r="T4" i="5"/>
  <c r="I81" i="5"/>
  <c r="T81" i="5"/>
  <c r="S61" i="5"/>
  <c r="C54" i="5"/>
  <c r="C52" i="5"/>
  <c r="I85" i="5"/>
  <c r="AB29" i="5"/>
  <c r="P80" i="5"/>
  <c r="P29" i="5"/>
  <c r="U23" i="5"/>
  <c r="M55" i="5"/>
  <c r="W84" i="5"/>
  <c r="J36" i="5"/>
  <c r="T32" i="5"/>
  <c r="Q84" i="5"/>
  <c r="V42" i="5"/>
  <c r="J26" i="5"/>
  <c r="W5" i="5"/>
  <c r="Q30" i="5"/>
  <c r="P26" i="5"/>
  <c r="S62" i="5"/>
  <c r="R54" i="5"/>
  <c r="R27" i="5"/>
  <c r="P13" i="5"/>
  <c r="H40" i="5"/>
  <c r="R4" i="5"/>
  <c r="T15" i="5"/>
  <c r="AA33" i="5"/>
  <c r="C28" i="5"/>
  <c r="Q80" i="5"/>
  <c r="P81" i="5"/>
  <c r="H82" i="5"/>
  <c r="P65" i="5"/>
  <c r="M79" i="5"/>
  <c r="P82" i="5"/>
  <c r="H7" i="5"/>
  <c r="J30" i="5"/>
  <c r="J49" i="5"/>
  <c r="S6" i="5"/>
  <c r="AA6" i="5"/>
  <c r="Q62" i="5"/>
  <c r="U42" i="5"/>
  <c r="W51" i="5"/>
  <c r="AA82" i="5"/>
  <c r="AA84" i="5"/>
  <c r="H11" i="5"/>
  <c r="P33" i="5"/>
  <c r="AB34" i="5"/>
  <c r="V53" i="5"/>
  <c r="C32" i="5"/>
  <c r="U85" i="5"/>
  <c r="R52" i="5"/>
  <c r="V51" i="5"/>
  <c r="AB23" i="5"/>
  <c r="H77" i="5"/>
  <c r="S15" i="5"/>
  <c r="T14" i="5"/>
  <c r="Q32" i="5"/>
  <c r="P61" i="5"/>
  <c r="H52" i="5"/>
  <c r="P14" i="5"/>
  <c r="M62" i="5"/>
  <c r="S25" i="5"/>
  <c r="S19" i="5"/>
  <c r="Q48" i="5"/>
  <c r="S50" i="5"/>
  <c r="AA62" i="5"/>
  <c r="I64" i="5"/>
  <c r="H50" i="5"/>
  <c r="AB19" i="5"/>
  <c r="T63" i="5"/>
  <c r="U7" i="5"/>
  <c r="R17" i="5"/>
  <c r="S67" i="5"/>
  <c r="R53" i="5"/>
  <c r="T82" i="5"/>
  <c r="H55" i="5"/>
  <c r="P28" i="5"/>
  <c r="AB68" i="5"/>
  <c r="C20" i="5"/>
  <c r="T86" i="5"/>
  <c r="U4" i="5"/>
  <c r="I15" i="5"/>
  <c r="U14" i="5"/>
  <c r="T16" i="5"/>
  <c r="I17" i="5"/>
  <c r="I38" i="5"/>
  <c r="I62" i="5"/>
  <c r="H76" i="5"/>
  <c r="AA19" i="5"/>
  <c r="Q63" i="5"/>
  <c r="J4" i="5"/>
  <c r="P8" i="5"/>
  <c r="AB48" i="5"/>
  <c r="AB36" i="5"/>
  <c r="H62" i="5"/>
  <c r="AA64" i="5"/>
  <c r="W50" i="5"/>
  <c r="V8" i="5"/>
  <c r="M67" i="5"/>
  <c r="I7" i="5"/>
  <c r="Q36" i="5"/>
  <c r="P53" i="5"/>
  <c r="T55" i="5"/>
  <c r="V84" i="5"/>
  <c r="AA55" i="5"/>
  <c r="P35" i="5"/>
  <c r="P77" i="5"/>
  <c r="Q82" i="5"/>
  <c r="H20" i="5"/>
  <c r="I57" i="5"/>
  <c r="AB49" i="5"/>
  <c r="W49" i="5"/>
  <c r="T52" i="5"/>
  <c r="R10" i="5"/>
  <c r="V31" i="5"/>
  <c r="U31" i="5"/>
  <c r="J63" i="5"/>
  <c r="P27" i="5"/>
  <c r="R9" i="5"/>
  <c r="AA48" i="5"/>
  <c r="I36" i="5"/>
  <c r="R13" i="5"/>
  <c r="H64" i="5"/>
  <c r="Q33" i="5"/>
  <c r="V26" i="5"/>
  <c r="AB51" i="5"/>
  <c r="AA11" i="5"/>
  <c r="J37" i="5"/>
  <c r="R55" i="5"/>
  <c r="V58" i="5"/>
  <c r="AA86" i="5"/>
  <c r="U59" i="5"/>
  <c r="U49" i="5"/>
  <c r="H79" i="5"/>
  <c r="P55" i="5"/>
  <c r="AA50" i="5"/>
  <c r="U41" i="5"/>
  <c r="T59" i="5"/>
  <c r="H58" i="5"/>
  <c r="H57" i="5"/>
  <c r="U5" i="5"/>
  <c r="J15" i="5"/>
  <c r="U32" i="5"/>
  <c r="AA34" i="5"/>
  <c r="I63" i="5"/>
  <c r="P31" i="5"/>
  <c r="AB22" i="5"/>
  <c r="R64" i="5"/>
  <c r="R26" i="5"/>
  <c r="Q27" i="5"/>
  <c r="W64" i="5"/>
  <c r="J33" i="5"/>
  <c r="S27" i="5"/>
  <c r="I51" i="5"/>
  <c r="Q17" i="5"/>
  <c r="R23" i="5"/>
  <c r="R79" i="5"/>
  <c r="Q59" i="5"/>
  <c r="C55" i="5"/>
  <c r="V66" i="5"/>
  <c r="P52" i="5"/>
  <c r="AB79" i="5"/>
  <c r="C57" i="5"/>
  <c r="V19" i="5"/>
  <c r="Q53" i="5"/>
  <c r="I84" i="5"/>
  <c r="W17" i="5"/>
  <c r="I13" i="5"/>
  <c r="P85" i="5"/>
  <c r="Q49" i="5"/>
  <c r="T10" i="5"/>
  <c r="P39" i="5"/>
  <c r="U34" i="5"/>
  <c r="V67" i="5"/>
  <c r="I31" i="5"/>
  <c r="V22" i="5"/>
  <c r="H25" i="5"/>
  <c r="M27" i="5"/>
  <c r="M31" i="5"/>
  <c r="C64" i="5"/>
  <c r="AB33" i="5"/>
  <c r="AB39" i="5"/>
  <c r="S51" i="5"/>
  <c r="P37" i="5"/>
  <c r="AB25" i="5"/>
  <c r="M80" i="5"/>
  <c r="H60" i="5"/>
  <c r="W55" i="5"/>
  <c r="H68" i="5"/>
  <c r="C53" i="5"/>
  <c r="R81" i="5"/>
  <c r="I59" i="5"/>
  <c r="H15" i="5"/>
  <c r="C15" i="5"/>
  <c r="AB18" i="5"/>
  <c r="U16" i="5"/>
  <c r="R86" i="5"/>
  <c r="U52" i="5"/>
  <c r="C14" i="5"/>
  <c r="AB35" i="5"/>
  <c r="P34" i="5"/>
  <c r="U67" i="5"/>
  <c r="H31" i="5"/>
  <c r="J29" i="5"/>
  <c r="Q4" i="5"/>
  <c r="J31" i="5"/>
  <c r="Q51" i="5"/>
  <c r="J64" i="5"/>
  <c r="I33" i="5"/>
  <c r="I39" i="5"/>
  <c r="P51" i="5"/>
  <c r="T37" i="5"/>
  <c r="W26" i="5"/>
  <c r="W81" i="5"/>
  <c r="W65" i="5"/>
  <c r="U66" i="5"/>
  <c r="AA68" i="5"/>
  <c r="W53" i="5"/>
  <c r="I82" i="5"/>
  <c r="T60" i="5"/>
  <c r="AA30" i="5"/>
  <c r="R60" i="5"/>
  <c r="C13" i="5"/>
  <c r="U50" i="5"/>
  <c r="V63" i="5"/>
  <c r="C10" i="5"/>
  <c r="AC38" i="6"/>
  <c r="AC24" i="6"/>
  <c r="AC68" i="6"/>
  <c r="AC27" i="6"/>
  <c r="AC41" i="6"/>
  <c r="AC20" i="6"/>
  <c r="AC88" i="6"/>
  <c r="AC33" i="6"/>
  <c r="AC26" i="6"/>
  <c r="AC38" i="5"/>
  <c r="AC24" i="5"/>
  <c r="AC66" i="5"/>
  <c r="AC27" i="5"/>
  <c r="AC41" i="5"/>
  <c r="AC20" i="5"/>
  <c r="AC86" i="5"/>
  <c r="AC33" i="5"/>
  <c r="AC26" i="5"/>
  <c r="AC17" i="5"/>
  <c r="AC81" i="5"/>
  <c r="AC85" i="6"/>
  <c r="AC35" i="6"/>
  <c r="AC86" i="6"/>
  <c r="AC69" i="6"/>
  <c r="AC29" i="6"/>
  <c r="AC25" i="6"/>
  <c r="AC28" i="6"/>
  <c r="AC17" i="6"/>
  <c r="AC59" i="6"/>
  <c r="AC83" i="5"/>
  <c r="AC35" i="5"/>
  <c r="AC84" i="5"/>
  <c r="AC67" i="5"/>
  <c r="AC29" i="5"/>
  <c r="AC25" i="5"/>
  <c r="AC28" i="5"/>
  <c r="AC57" i="5"/>
  <c r="AC62" i="5"/>
  <c r="AC30" i="6"/>
  <c r="AC53" i="6"/>
  <c r="AC18" i="6"/>
  <c r="AC19" i="6"/>
  <c r="AC62" i="6"/>
  <c r="AC32" i="6"/>
  <c r="AC84" i="6"/>
  <c r="AC40" i="6"/>
  <c r="AC9" i="6"/>
  <c r="AC8" i="5"/>
  <c r="AC55" i="6"/>
  <c r="AC60" i="6"/>
  <c r="AC5" i="6"/>
  <c r="AC61" i="6"/>
  <c r="AC65" i="6"/>
  <c r="AC54" i="5"/>
  <c r="AC58" i="5"/>
  <c r="AC5" i="5"/>
  <c r="AC63" i="5"/>
  <c r="AC30" i="5"/>
  <c r="AC52" i="5"/>
  <c r="AC18" i="5"/>
  <c r="AC19" i="5"/>
  <c r="AC60" i="5"/>
  <c r="AC32" i="5"/>
  <c r="AC82" i="5"/>
  <c r="AC40" i="5"/>
  <c r="AC87" i="6"/>
  <c r="AC54" i="6"/>
  <c r="AC31" i="6"/>
  <c r="AC64" i="6"/>
  <c r="AC85" i="5"/>
  <c r="AC53" i="5"/>
  <c r="AC31" i="5"/>
  <c r="AC59" i="5"/>
  <c r="AC11" i="6"/>
  <c r="AC42" i="6"/>
  <c r="AC70" i="6"/>
  <c r="AC63" i="6"/>
  <c r="AC56" i="6"/>
  <c r="AC10" i="6"/>
  <c r="AC66" i="6"/>
  <c r="AC37" i="6"/>
  <c r="AC23" i="6"/>
  <c r="AC34" i="6"/>
  <c r="AC39" i="5"/>
  <c r="AC21" i="5"/>
  <c r="AC9" i="5"/>
  <c r="AC42" i="5"/>
  <c r="AC68" i="5"/>
  <c r="AC61" i="5"/>
  <c r="AC55" i="5"/>
  <c r="AC6" i="5"/>
  <c r="AC64" i="5"/>
  <c r="AC37" i="5"/>
  <c r="AC23" i="5"/>
  <c r="AC65" i="5"/>
  <c r="AC48" i="5"/>
  <c r="AC22" i="5"/>
  <c r="AC67" i="6"/>
  <c r="AC52" i="6"/>
  <c r="AC39" i="6"/>
  <c r="AC36" i="6"/>
  <c r="AC21" i="6"/>
  <c r="AC22" i="6"/>
  <c r="AC83" i="6"/>
  <c r="AC51" i="5"/>
  <c r="AC36" i="5"/>
  <c r="AC34" i="5"/>
  <c r="AC13" i="6"/>
  <c r="AC7" i="6"/>
  <c r="AC10" i="5"/>
  <c r="AC13" i="5"/>
  <c r="AC15" i="5"/>
  <c r="AC8" i="6"/>
  <c r="AC15" i="6"/>
  <c r="AC16" i="5"/>
  <c r="AC14" i="5"/>
  <c r="AC16" i="6"/>
  <c r="AC14" i="6"/>
  <c r="AC11" i="5"/>
  <c r="AC12" i="6"/>
  <c r="AC4" i="6"/>
  <c r="AC7" i="5"/>
  <c r="AC4" i="5"/>
  <c r="AB75" i="4"/>
  <c r="U34" i="4"/>
  <c r="V78" i="4"/>
  <c r="M31" i="4"/>
  <c r="I29" i="4"/>
  <c r="U75" i="4"/>
  <c r="T32" i="4"/>
  <c r="R31" i="4"/>
  <c r="R28" i="4"/>
  <c r="AA28" i="4"/>
  <c r="Q31" i="4"/>
  <c r="J32" i="4"/>
  <c r="J30" i="4"/>
  <c r="AA33" i="4"/>
  <c r="T27" i="4"/>
  <c r="M27" i="4"/>
  <c r="AA37" i="4"/>
  <c r="V38" i="4"/>
  <c r="AA38" i="4"/>
  <c r="U39" i="4"/>
  <c r="V26" i="4"/>
  <c r="C26" i="4"/>
  <c r="S26" i="4"/>
  <c r="T39" i="4"/>
  <c r="AC26" i="4"/>
  <c r="T84" i="4"/>
  <c r="Q37" i="4"/>
  <c r="AC36" i="4"/>
  <c r="P84" i="4"/>
  <c r="W78" i="4"/>
  <c r="U29" i="4"/>
  <c r="W30" i="4"/>
  <c r="V75" i="4"/>
  <c r="T34" i="4"/>
  <c r="M84" i="4"/>
  <c r="AB28" i="4"/>
  <c r="J29" i="4"/>
  <c r="H32" i="4"/>
  <c r="AC32" i="4"/>
  <c r="AC30" i="4"/>
  <c r="S34" i="4"/>
  <c r="V27" i="4"/>
  <c r="Q38" i="4"/>
  <c r="S38" i="4"/>
  <c r="Q39" i="4"/>
  <c r="S39" i="4"/>
  <c r="V39" i="4"/>
  <c r="W26" i="4"/>
  <c r="T37" i="4"/>
  <c r="AC37" i="4"/>
  <c r="AC31" i="4"/>
  <c r="Q36" i="4"/>
  <c r="V29" i="4"/>
  <c r="T28" i="4"/>
  <c r="AA78" i="4"/>
  <c r="W31" i="4"/>
  <c r="T33" i="4"/>
  <c r="W75" i="4"/>
  <c r="C28" i="4"/>
  <c r="V28" i="4"/>
  <c r="I28" i="4"/>
  <c r="AC29" i="4"/>
  <c r="AA32" i="4"/>
  <c r="U33" i="4"/>
  <c r="U31" i="4"/>
  <c r="J84" i="4"/>
  <c r="S27" i="4"/>
  <c r="M36" i="4"/>
  <c r="AC39" i="4"/>
  <c r="T36" i="4"/>
  <c r="V37" i="4"/>
  <c r="H39" i="4"/>
  <c r="C38" i="4"/>
  <c r="C37" i="4"/>
  <c r="U28" i="4"/>
  <c r="U38" i="4"/>
  <c r="S78" i="4"/>
  <c r="Q26" i="4"/>
  <c r="AB78" i="4"/>
  <c r="AA29" i="4"/>
  <c r="P75" i="4"/>
  <c r="C75" i="4"/>
  <c r="P28" i="4"/>
  <c r="M29" i="4"/>
  <c r="J28" i="4"/>
  <c r="U30" i="4"/>
  <c r="S33" i="4"/>
  <c r="P34" i="4"/>
  <c r="P32" i="4"/>
  <c r="AC84" i="4"/>
  <c r="C27" i="4"/>
  <c r="P36" i="4"/>
  <c r="R36" i="4"/>
  <c r="M37" i="4"/>
  <c r="W36" i="4"/>
  <c r="C36" i="4"/>
  <c r="AB38" i="4"/>
  <c r="V36" i="4"/>
  <c r="S75" i="4"/>
  <c r="Q32" i="4"/>
  <c r="P38" i="4"/>
  <c r="I32" i="4"/>
  <c r="C78" i="4"/>
  <c r="R30" i="4"/>
  <c r="P29" i="4"/>
  <c r="AA75" i="4"/>
  <c r="C29" i="4"/>
  <c r="P30" i="4"/>
  <c r="V34" i="4"/>
  <c r="P31" i="4"/>
  <c r="J34" i="4"/>
  <c r="C84" i="4"/>
  <c r="C33" i="4"/>
  <c r="H31" i="4"/>
  <c r="W27" i="4"/>
  <c r="W37" i="4"/>
  <c r="I37" i="4"/>
  <c r="U36" i="4"/>
  <c r="R37" i="4"/>
  <c r="I36" i="4"/>
  <c r="H26" i="4"/>
  <c r="I26" i="4"/>
  <c r="AA36" i="4"/>
  <c r="M34" i="4"/>
  <c r="T26" i="4"/>
  <c r="AA31" i="4"/>
  <c r="AB32" i="4"/>
  <c r="H78" i="4"/>
  <c r="S30" i="4"/>
  <c r="AB30" i="4"/>
  <c r="H75" i="4"/>
  <c r="C30" i="4"/>
  <c r="T31" i="4"/>
  <c r="Q84" i="4"/>
  <c r="C32" i="4"/>
  <c r="AC34" i="4"/>
  <c r="W84" i="4"/>
  <c r="W33" i="4"/>
  <c r="J33" i="4"/>
  <c r="Q27" i="4"/>
  <c r="R38" i="4"/>
  <c r="AB37" i="4"/>
  <c r="P37" i="4"/>
  <c r="I38" i="4"/>
  <c r="AB36" i="4"/>
  <c r="AA26" i="4"/>
  <c r="AB26" i="4"/>
  <c r="P33" i="4"/>
  <c r="R27" i="4"/>
  <c r="W39" i="4"/>
  <c r="R29" i="4"/>
  <c r="J78" i="4"/>
  <c r="M33" i="4"/>
  <c r="AB33" i="4"/>
  <c r="W28" i="4"/>
  <c r="J31" i="4"/>
  <c r="I33" i="4"/>
  <c r="V32" i="4"/>
  <c r="W32" i="4"/>
  <c r="U84" i="4"/>
  <c r="V33" i="4"/>
  <c r="R34" i="4"/>
  <c r="J39" i="4"/>
  <c r="H27" i="4"/>
  <c r="I39" i="4"/>
  <c r="T38" i="4"/>
  <c r="R26" i="4"/>
  <c r="S84" i="4"/>
  <c r="S37" i="4"/>
  <c r="S32" i="4"/>
  <c r="C34" i="4"/>
  <c r="M78" i="4"/>
  <c r="I30" i="4"/>
  <c r="M75" i="4"/>
  <c r="AB29" i="4"/>
  <c r="U32" i="4"/>
  <c r="R84" i="4"/>
  <c r="Q33" i="4"/>
  <c r="R33" i="4"/>
  <c r="V84" i="4"/>
  <c r="Q34" i="4"/>
  <c r="I84" i="4"/>
  <c r="J38" i="4"/>
  <c r="AA27" i="4"/>
  <c r="AB39" i="4"/>
  <c r="M39" i="4"/>
  <c r="W38" i="4"/>
  <c r="M38" i="4"/>
  <c r="Q30" i="4"/>
  <c r="Q28" i="4"/>
  <c r="P26" i="4"/>
  <c r="U37" i="4"/>
  <c r="W29" i="4"/>
  <c r="P78" i="4"/>
  <c r="H29" i="4"/>
  <c r="Q75" i="4"/>
  <c r="C31" i="4"/>
  <c r="W34" i="4"/>
  <c r="AC28" i="4"/>
  <c r="H34" i="4"/>
  <c r="I34" i="4"/>
  <c r="Q29" i="4"/>
  <c r="H84" i="4"/>
  <c r="AB84" i="4"/>
  <c r="J37" i="4"/>
  <c r="I27" i="4"/>
  <c r="AA39" i="4"/>
  <c r="S36" i="4"/>
  <c r="R39" i="4"/>
  <c r="H36" i="4"/>
  <c r="C39" i="4"/>
  <c r="J26" i="4"/>
  <c r="T78" i="4"/>
  <c r="AA30" i="4"/>
  <c r="M26" i="4"/>
  <c r="AC33" i="4"/>
  <c r="M32" i="4"/>
  <c r="Q78" i="4"/>
  <c r="T30" i="4"/>
  <c r="R75" i="4"/>
  <c r="R32" i="4"/>
  <c r="S28" i="4"/>
  <c r="AB31" i="4"/>
  <c r="AA34" i="4"/>
  <c r="AB34" i="4"/>
  <c r="H30" i="4"/>
  <c r="AA84" i="4"/>
  <c r="V31" i="4"/>
  <c r="J36" i="4"/>
  <c r="AB27" i="4"/>
  <c r="R78" i="4"/>
  <c r="AC27" i="4"/>
  <c r="P27" i="4"/>
  <c r="U78" i="4"/>
  <c r="T29" i="4"/>
  <c r="J75" i="4"/>
  <c r="T75" i="4"/>
  <c r="I31" i="4"/>
  <c r="M30" i="4"/>
  <c r="M28" i="4"/>
  <c r="H28" i="4"/>
  <c r="V30" i="4"/>
  <c r="S31" i="4"/>
  <c r="S29" i="4"/>
  <c r="H33" i="4"/>
  <c r="U27" i="4"/>
  <c r="J27" i="4"/>
  <c r="H37" i="4"/>
  <c r="P39" i="4"/>
  <c r="H38" i="4"/>
  <c r="AC38" i="4"/>
  <c r="U26" i="4"/>
  <c r="M48" i="4"/>
  <c r="AB42" i="4"/>
  <c r="C77" i="4"/>
  <c r="J76" i="4"/>
  <c r="T49" i="4"/>
  <c r="V48" i="4"/>
  <c r="U41" i="4"/>
  <c r="H41" i="4"/>
  <c r="U42" i="4"/>
  <c r="T40" i="4"/>
  <c r="AC83" i="4"/>
  <c r="S82" i="4"/>
  <c r="M82" i="4"/>
  <c r="J42" i="4"/>
  <c r="J41" i="4"/>
  <c r="AB49" i="4"/>
  <c r="AA77" i="4"/>
  <c r="P76" i="4"/>
  <c r="U49" i="4"/>
  <c r="W48" i="4"/>
  <c r="P42" i="4"/>
  <c r="AA41" i="4"/>
  <c r="V42" i="4"/>
  <c r="C40" i="4"/>
  <c r="S83" i="4"/>
  <c r="T82" i="4"/>
  <c r="T77" i="4"/>
  <c r="R42" i="4"/>
  <c r="H77" i="4"/>
  <c r="R83" i="4"/>
  <c r="AB77" i="4"/>
  <c r="C76" i="4"/>
  <c r="P49" i="4"/>
  <c r="C48" i="4"/>
  <c r="V41" i="4"/>
  <c r="S42" i="4"/>
  <c r="M41" i="4"/>
  <c r="I42" i="4"/>
  <c r="AB82" i="4"/>
  <c r="S49" i="4"/>
  <c r="W77" i="4"/>
  <c r="J77" i="4"/>
  <c r="M76" i="4"/>
  <c r="V49" i="4"/>
  <c r="AA48" i="4"/>
  <c r="Q42" i="4"/>
  <c r="R40" i="4"/>
  <c r="U40" i="4"/>
  <c r="Q83" i="4"/>
  <c r="J82" i="4"/>
  <c r="V82" i="4"/>
  <c r="H42" i="4"/>
  <c r="V77" i="4"/>
  <c r="AC42" i="4"/>
  <c r="AA42" i="4"/>
  <c r="AB76" i="4"/>
  <c r="M77" i="4"/>
  <c r="Q76" i="4"/>
  <c r="Q49" i="4"/>
  <c r="H48" i="4"/>
  <c r="M42" i="4"/>
  <c r="I41" i="4"/>
  <c r="P41" i="4"/>
  <c r="U83" i="4"/>
  <c r="W83" i="4"/>
  <c r="I83" i="4"/>
  <c r="U82" i="4"/>
  <c r="AA82" i="4"/>
  <c r="P77" i="4"/>
  <c r="S76" i="4"/>
  <c r="W49" i="4"/>
  <c r="AB48" i="4"/>
  <c r="M40" i="4"/>
  <c r="AB41" i="4"/>
  <c r="C42" i="4"/>
  <c r="V83" i="4"/>
  <c r="AB83" i="4"/>
  <c r="AA83" i="4"/>
  <c r="R48" i="4"/>
  <c r="W40" i="4"/>
  <c r="Q77" i="4"/>
  <c r="T76" i="4"/>
  <c r="C49" i="4"/>
  <c r="J48" i="4"/>
  <c r="H40" i="4"/>
  <c r="P40" i="4"/>
  <c r="T42" i="4"/>
  <c r="W42" i="4"/>
  <c r="I82" i="4"/>
  <c r="V76" i="4"/>
  <c r="W76" i="4"/>
  <c r="R41" i="4"/>
  <c r="R77" i="4"/>
  <c r="R76" i="4"/>
  <c r="AA49" i="4"/>
  <c r="P48" i="4"/>
  <c r="AA40" i="4"/>
  <c r="C41" i="4"/>
  <c r="T41" i="4"/>
  <c r="V40" i="4"/>
  <c r="M83" i="4"/>
  <c r="Q82" i="4"/>
  <c r="J49" i="4"/>
  <c r="S40" i="4"/>
  <c r="T48" i="4"/>
  <c r="Q48" i="4"/>
  <c r="S77" i="4"/>
  <c r="U76" i="4"/>
  <c r="M49" i="4"/>
  <c r="H49" i="4"/>
  <c r="S48" i="4"/>
  <c r="S41" i="4"/>
  <c r="W41" i="4"/>
  <c r="J40" i="4"/>
  <c r="Q41" i="4"/>
  <c r="T83" i="4"/>
  <c r="U77" i="4"/>
  <c r="H76" i="4"/>
  <c r="AA76" i="4"/>
  <c r="R49" i="4"/>
  <c r="U48" i="4"/>
  <c r="AC40" i="4"/>
  <c r="Q40" i="4"/>
  <c r="AC41" i="4"/>
  <c r="AB40" i="4"/>
  <c r="J83" i="4"/>
  <c r="R82" i="4"/>
  <c r="W82" i="4"/>
  <c r="AC82" i="4"/>
  <c r="I40" i="4"/>
  <c r="S35" i="4"/>
  <c r="T35" i="4"/>
  <c r="J35" i="4"/>
  <c r="Q35" i="4"/>
  <c r="R35" i="4"/>
  <c r="H35" i="4"/>
  <c r="C35" i="4"/>
  <c r="AC35" i="4"/>
  <c r="U35" i="4"/>
  <c r="W35" i="4"/>
  <c r="AB35" i="4"/>
  <c r="V35" i="4"/>
  <c r="P35" i="4"/>
  <c r="AA35" i="4"/>
  <c r="I35" i="4"/>
  <c r="M35" i="4"/>
  <c r="S25" i="4"/>
  <c r="J23" i="4"/>
  <c r="AB23" i="4"/>
  <c r="R25" i="4"/>
  <c r="I23" i="4"/>
  <c r="Q25" i="4"/>
  <c r="P25" i="4"/>
  <c r="U22" i="4"/>
  <c r="AB20" i="4"/>
  <c r="M25" i="4"/>
  <c r="T22" i="4"/>
  <c r="T64" i="4"/>
  <c r="S22" i="4"/>
  <c r="U24" i="4"/>
  <c r="V24" i="4"/>
  <c r="R22" i="4"/>
  <c r="T24" i="4"/>
  <c r="AC23" i="4"/>
  <c r="R20" i="4"/>
  <c r="W81" i="4"/>
  <c r="V79" i="4"/>
  <c r="AC65" i="4"/>
  <c r="AA24" i="4"/>
  <c r="J24" i="4"/>
  <c r="H25" i="4"/>
  <c r="AB25" i="4"/>
  <c r="AC7" i="4"/>
  <c r="Q7" i="4"/>
  <c r="P6" i="4"/>
  <c r="P50" i="4"/>
  <c r="AB65" i="4"/>
  <c r="I62" i="4"/>
  <c r="P63" i="4"/>
  <c r="V64" i="4"/>
  <c r="J66" i="4"/>
  <c r="Q61" i="4"/>
  <c r="Q66" i="4"/>
  <c r="R65" i="4"/>
  <c r="C20" i="4"/>
  <c r="P64" i="4"/>
  <c r="J67" i="4"/>
  <c r="H21" i="4"/>
  <c r="AC60" i="4"/>
  <c r="T59" i="4"/>
  <c r="P58" i="4"/>
  <c r="AA59" i="4"/>
  <c r="V58" i="4"/>
  <c r="P57" i="4"/>
  <c r="C56" i="4"/>
  <c r="AA79" i="4"/>
  <c r="T79" i="4"/>
  <c r="V55" i="4"/>
  <c r="T54" i="4"/>
  <c r="C53" i="4"/>
  <c r="V52" i="4"/>
  <c r="T52" i="4"/>
  <c r="AB51" i="4"/>
  <c r="U19" i="4"/>
  <c r="R18" i="4"/>
  <c r="I17" i="4"/>
  <c r="Q15" i="4"/>
  <c r="Q55" i="4"/>
  <c r="P15" i="4"/>
  <c r="Q22" i="4"/>
  <c r="C22" i="4"/>
  <c r="AC24" i="4"/>
  <c r="AA25" i="4"/>
  <c r="H24" i="4"/>
  <c r="V7" i="4"/>
  <c r="J6" i="4"/>
  <c r="C6" i="4"/>
  <c r="T50" i="4"/>
  <c r="C66" i="4"/>
  <c r="AC62" i="4"/>
  <c r="R63" i="4"/>
  <c r="Q65" i="4"/>
  <c r="P81" i="4"/>
  <c r="H63" i="4"/>
  <c r="H67" i="4"/>
  <c r="I66" i="4"/>
  <c r="W20" i="4"/>
  <c r="C65" i="4"/>
  <c r="AC67" i="4"/>
  <c r="Q21" i="4"/>
  <c r="C58" i="4"/>
  <c r="R60" i="4"/>
  <c r="C59" i="4"/>
  <c r="V60" i="4"/>
  <c r="V80" i="4"/>
  <c r="C57" i="4"/>
  <c r="W56" i="4"/>
  <c r="AC79" i="4"/>
  <c r="U79" i="4"/>
  <c r="C55" i="4"/>
  <c r="U54" i="4"/>
  <c r="H53" i="4"/>
  <c r="W52" i="4"/>
  <c r="U52" i="4"/>
  <c r="J51" i="4"/>
  <c r="I19" i="4"/>
  <c r="S18" i="4"/>
  <c r="T17" i="4"/>
  <c r="T15" i="4"/>
  <c r="M15" i="4"/>
  <c r="T16" i="4"/>
  <c r="V57" i="4"/>
  <c r="AA57" i="4"/>
  <c r="R50" i="4"/>
  <c r="AB52" i="4"/>
  <c r="AC25" i="4"/>
  <c r="W22" i="4"/>
  <c r="U25" i="4"/>
  <c r="W24" i="4"/>
  <c r="I22" i="4"/>
  <c r="H7" i="4"/>
  <c r="AA6" i="4"/>
  <c r="W6" i="4"/>
  <c r="H50" i="4"/>
  <c r="T66" i="4"/>
  <c r="M63" i="4"/>
  <c r="AC20" i="4"/>
  <c r="H66" i="4"/>
  <c r="U20" i="4"/>
  <c r="AA63" i="4"/>
  <c r="AA67" i="4"/>
  <c r="AB66" i="4"/>
  <c r="R61" i="4"/>
  <c r="W65" i="4"/>
  <c r="U81" i="4"/>
  <c r="W21" i="4"/>
  <c r="S59" i="4"/>
  <c r="I80" i="4"/>
  <c r="W59" i="4"/>
  <c r="Q80" i="4"/>
  <c r="R59" i="4"/>
  <c r="J57" i="4"/>
  <c r="H56" i="4"/>
  <c r="P79" i="4"/>
  <c r="AC55" i="4"/>
  <c r="W55" i="4"/>
  <c r="Q54" i="4"/>
  <c r="I53" i="4"/>
  <c r="AC52" i="4"/>
  <c r="V51" i="4"/>
  <c r="AC51" i="4"/>
  <c r="P19" i="4"/>
  <c r="C18" i="4"/>
  <c r="AA17" i="4"/>
  <c r="V15" i="4"/>
  <c r="H16" i="4"/>
  <c r="Q19" i="4"/>
  <c r="AB15" i="4"/>
  <c r="AC59" i="4"/>
  <c r="S24" i="4"/>
  <c r="AA62" i="4"/>
  <c r="R23" i="4"/>
  <c r="M23" i="4"/>
  <c r="Q23" i="4"/>
  <c r="M24" i="4"/>
  <c r="R7" i="4"/>
  <c r="I6" i="4"/>
  <c r="H6" i="4"/>
  <c r="Q50" i="4"/>
  <c r="M65" i="4"/>
  <c r="C61" i="4"/>
  <c r="I20" i="4"/>
  <c r="AA66" i="4"/>
  <c r="P61" i="4"/>
  <c r="S62" i="4"/>
  <c r="S81" i="4"/>
  <c r="T67" i="4"/>
  <c r="I63" i="4"/>
  <c r="R66" i="4"/>
  <c r="M67" i="4"/>
  <c r="R21" i="4"/>
  <c r="H80" i="4"/>
  <c r="AB80" i="4"/>
  <c r="U60" i="4"/>
  <c r="M58" i="4"/>
  <c r="C80" i="4"/>
  <c r="Q57" i="4"/>
  <c r="I56" i="4"/>
  <c r="H79" i="4"/>
  <c r="R55" i="4"/>
  <c r="H55" i="4"/>
  <c r="V54" i="4"/>
  <c r="AB53" i="4"/>
  <c r="P52" i="4"/>
  <c r="T51" i="4"/>
  <c r="P51" i="4"/>
  <c r="V19" i="4"/>
  <c r="T18" i="4"/>
  <c r="H17" i="4"/>
  <c r="W15" i="4"/>
  <c r="AA16" i="4"/>
  <c r="V16" i="4"/>
  <c r="P16" i="4"/>
  <c r="U56" i="4"/>
  <c r="AB16" i="4"/>
  <c r="AB57" i="4"/>
  <c r="I24" i="4"/>
  <c r="V25" i="4"/>
  <c r="AB22" i="4"/>
  <c r="M22" i="4"/>
  <c r="AA7" i="4"/>
  <c r="M6" i="4"/>
  <c r="C50" i="4"/>
  <c r="U50" i="4"/>
  <c r="W66" i="4"/>
  <c r="S63" i="4"/>
  <c r="J20" i="4"/>
  <c r="S67" i="4"/>
  <c r="C63" i="4"/>
  <c r="J64" i="4"/>
  <c r="T63" i="4"/>
  <c r="M81" i="4"/>
  <c r="AB63" i="4"/>
  <c r="I67" i="4"/>
  <c r="H62" i="4"/>
  <c r="AA21" i="4"/>
  <c r="AA80" i="4"/>
  <c r="W80" i="4"/>
  <c r="P80" i="4"/>
  <c r="V59" i="4"/>
  <c r="T60" i="4"/>
  <c r="R57" i="4"/>
  <c r="AB56" i="4"/>
  <c r="R79" i="4"/>
  <c r="S55" i="4"/>
  <c r="AA55" i="4"/>
  <c r="C54" i="4"/>
  <c r="J53" i="4"/>
  <c r="C52" i="4"/>
  <c r="M51" i="4"/>
  <c r="Q51" i="4"/>
  <c r="H19" i="4"/>
  <c r="U18" i="4"/>
  <c r="P17" i="4"/>
  <c r="AC15" i="4"/>
  <c r="J16" i="4"/>
  <c r="Q17" i="4"/>
  <c r="W18" i="4"/>
  <c r="M16" i="4"/>
  <c r="AA20" i="4"/>
  <c r="T53" i="4"/>
  <c r="AB60" i="4"/>
  <c r="AB24" i="4"/>
  <c r="AC22" i="4"/>
  <c r="T23" i="4"/>
  <c r="H23" i="4"/>
  <c r="S7" i="4"/>
  <c r="Q6" i="4"/>
  <c r="W50" i="4"/>
  <c r="I50" i="4"/>
  <c r="U64" i="4"/>
  <c r="H61" i="4"/>
  <c r="M20" i="4"/>
  <c r="J81" i="4"/>
  <c r="W63" i="4"/>
  <c r="AC64" i="4"/>
  <c r="S20" i="4"/>
  <c r="T20" i="4"/>
  <c r="T62" i="4"/>
  <c r="AB67" i="4"/>
  <c r="J65" i="4"/>
  <c r="J21" i="4"/>
  <c r="U58" i="4"/>
  <c r="AA58" i="4"/>
  <c r="M59" i="4"/>
  <c r="R58" i="4"/>
  <c r="J59" i="4"/>
  <c r="S57" i="4"/>
  <c r="J56" i="4"/>
  <c r="C79" i="4"/>
  <c r="I55" i="4"/>
  <c r="H54" i="4"/>
  <c r="W54" i="4"/>
  <c r="AC53" i="4"/>
  <c r="H52" i="4"/>
  <c r="S51" i="4"/>
  <c r="AA19" i="4"/>
  <c r="M19" i="4"/>
  <c r="V18" i="4"/>
  <c r="U17" i="4"/>
  <c r="R15" i="4"/>
  <c r="AC16" i="4"/>
  <c r="H57" i="4"/>
  <c r="C15" i="4"/>
  <c r="I16" i="4"/>
  <c r="T7" i="4"/>
  <c r="S64" i="4"/>
  <c r="U66" i="4"/>
  <c r="T25" i="4"/>
  <c r="U23" i="4"/>
  <c r="J22" i="4"/>
  <c r="J25" i="4"/>
  <c r="U7" i="4"/>
  <c r="S6" i="4"/>
  <c r="AA50" i="4"/>
  <c r="M50" i="4"/>
  <c r="C62" i="4"/>
  <c r="I61" i="4"/>
  <c r="P20" i="4"/>
  <c r="AC81" i="4"/>
  <c r="R62" i="4"/>
  <c r="U65" i="4"/>
  <c r="J61" i="4"/>
  <c r="M61" i="4"/>
  <c r="M64" i="4"/>
  <c r="T81" i="4"/>
  <c r="C81" i="4"/>
  <c r="S21" i="4"/>
  <c r="M60" i="4"/>
  <c r="J58" i="4"/>
  <c r="J60" i="4"/>
  <c r="I59" i="4"/>
  <c r="H60" i="4"/>
  <c r="T57" i="4"/>
  <c r="AC56" i="4"/>
  <c r="I79" i="4"/>
  <c r="J55" i="4"/>
  <c r="I54" i="4"/>
  <c r="AA54" i="4"/>
  <c r="M53" i="4"/>
  <c r="I52" i="4"/>
  <c r="U51" i="4"/>
  <c r="AC19" i="4"/>
  <c r="S17" i="4"/>
  <c r="T21" i="4"/>
  <c r="AB6" i="4"/>
  <c r="P23" i="4"/>
  <c r="P24" i="4"/>
  <c r="P22" i="4"/>
  <c r="W7" i="4"/>
  <c r="T6" i="4"/>
  <c r="S50" i="4"/>
  <c r="I81" i="4"/>
  <c r="R64" i="4"/>
  <c r="T61" i="4"/>
  <c r="Q20" i="4"/>
  <c r="R67" i="4"/>
  <c r="I64" i="4"/>
  <c r="P66" i="4"/>
  <c r="AC61" i="4"/>
  <c r="V63" i="4"/>
  <c r="H20" i="4"/>
  <c r="V62" i="4"/>
  <c r="U21" i="4"/>
  <c r="V21" i="4"/>
  <c r="W58" i="4"/>
  <c r="AC58" i="4"/>
  <c r="Q59" i="4"/>
  <c r="AB59" i="4"/>
  <c r="AA60" i="4"/>
  <c r="W57" i="4"/>
  <c r="M56" i="4"/>
  <c r="AB79" i="4"/>
  <c r="P55" i="4"/>
  <c r="J54" i="4"/>
  <c r="AB54" i="4"/>
  <c r="P53" i="4"/>
  <c r="J52" i="4"/>
  <c r="H51" i="4"/>
  <c r="AB19" i="4"/>
  <c r="C19" i="4"/>
  <c r="H18" i="4"/>
  <c r="V17" i="4"/>
  <c r="AA15" i="4"/>
  <c r="Q16" i="4"/>
  <c r="U16" i="4"/>
  <c r="AA18" i="4"/>
  <c r="J15" i="4"/>
  <c r="C16" i="4"/>
  <c r="W17" i="4"/>
  <c r="U57" i="4"/>
  <c r="AA23" i="4"/>
  <c r="P18" i="4"/>
  <c r="S58" i="4"/>
  <c r="V22" i="4"/>
  <c r="C25" i="4"/>
  <c r="C23" i="4"/>
  <c r="I7" i="4"/>
  <c r="U6" i="4"/>
  <c r="AB50" i="4"/>
  <c r="V81" i="4"/>
  <c r="J62" i="4"/>
  <c r="U61" i="4"/>
  <c r="V66" i="4"/>
  <c r="V67" i="4"/>
  <c r="AB64" i="4"/>
  <c r="C67" i="4"/>
  <c r="U63" i="4"/>
  <c r="H64" i="4"/>
  <c r="S61" i="4"/>
  <c r="Q64" i="4"/>
  <c r="AC21" i="4"/>
  <c r="AB21" i="4"/>
  <c r="H58" i="4"/>
  <c r="U59" i="4"/>
  <c r="P60" i="4"/>
  <c r="C60" i="4"/>
  <c r="S80" i="4"/>
  <c r="S56" i="4"/>
  <c r="P56" i="4"/>
  <c r="J79" i="4"/>
  <c r="T55" i="4"/>
  <c r="M54" i="4"/>
  <c r="V53" i="4"/>
  <c r="Q53" i="4"/>
  <c r="M52" i="4"/>
  <c r="C51" i="4"/>
  <c r="J19" i="4"/>
  <c r="J18" i="4"/>
  <c r="AB17" i="4"/>
  <c r="R16" i="4"/>
  <c r="W16" i="4"/>
  <c r="I57" i="4"/>
  <c r="V61" i="4"/>
  <c r="R51" i="4"/>
  <c r="T80" i="4"/>
  <c r="H22" i="4"/>
  <c r="W25" i="4"/>
  <c r="W23" i="4"/>
  <c r="J7" i="4"/>
  <c r="R6" i="4"/>
  <c r="AC50" i="4"/>
  <c r="I65" i="4"/>
  <c r="M62" i="4"/>
  <c r="W61" i="4"/>
  <c r="Q67" i="4"/>
  <c r="Q81" i="4"/>
  <c r="T65" i="4"/>
  <c r="W67" i="4"/>
  <c r="P62" i="4"/>
  <c r="S65" i="4"/>
  <c r="J63" i="4"/>
  <c r="H65" i="4"/>
  <c r="I21" i="4"/>
  <c r="M21" i="4"/>
  <c r="Q60" i="4"/>
  <c r="S60" i="4"/>
  <c r="M80" i="4"/>
  <c r="W60" i="4"/>
  <c r="I60" i="4"/>
  <c r="R56" i="4"/>
  <c r="Q56" i="4"/>
  <c r="M79" i="4"/>
  <c r="U55" i="4"/>
  <c r="P54" i="4"/>
  <c r="W53" i="4"/>
  <c r="R53" i="4"/>
  <c r="Q52" i="4"/>
  <c r="W51" i="4"/>
  <c r="R19" i="4"/>
  <c r="AC18" i="4"/>
  <c r="I18" i="4"/>
  <c r="M17" i="4"/>
  <c r="S15" i="4"/>
  <c r="S16" i="4"/>
  <c r="U15" i="4"/>
  <c r="W19" i="4"/>
  <c r="R17" i="4"/>
  <c r="P67" i="4"/>
  <c r="AA22" i="4"/>
  <c r="V23" i="4"/>
  <c r="R24" i="4"/>
  <c r="AB7" i="4"/>
  <c r="M7" i="4"/>
  <c r="V6" i="4"/>
  <c r="V50" i="4"/>
  <c r="AB81" i="4"/>
  <c r="W62" i="4"/>
  <c r="AA61" i="4"/>
  <c r="H81" i="4"/>
  <c r="Q62" i="4"/>
  <c r="M66" i="4"/>
  <c r="R81" i="4"/>
  <c r="C64" i="4"/>
  <c r="AC66" i="4"/>
  <c r="AC63" i="4"/>
  <c r="AA65" i="4"/>
  <c r="P21" i="4"/>
  <c r="U80" i="4"/>
  <c r="I58" i="4"/>
  <c r="J80" i="4"/>
  <c r="Q58" i="4"/>
  <c r="R80" i="4"/>
  <c r="AC57" i="4"/>
  <c r="AA56" i="4"/>
  <c r="T56" i="4"/>
  <c r="Q79" i="4"/>
  <c r="AB55" i="4"/>
  <c r="R54" i="4"/>
  <c r="AA53" i="4"/>
  <c r="S53" i="4"/>
  <c r="R52" i="4"/>
  <c r="AA51" i="4"/>
  <c r="S19" i="4"/>
  <c r="M18" i="4"/>
  <c r="AB18" i="4"/>
  <c r="J17" i="4"/>
  <c r="Q63" i="4"/>
  <c r="AC54" i="4"/>
  <c r="C24" i="4"/>
  <c r="S23" i="4"/>
  <c r="Q24" i="4"/>
  <c r="I25" i="4"/>
  <c r="C7" i="4"/>
  <c r="P7" i="4"/>
  <c r="AC6" i="4"/>
  <c r="J50" i="4"/>
  <c r="P65" i="4"/>
  <c r="AB62" i="4"/>
  <c r="AB61" i="4"/>
  <c r="AA81" i="4"/>
  <c r="AA64" i="4"/>
  <c r="V20" i="4"/>
  <c r="V65" i="4"/>
  <c r="W64" i="4"/>
  <c r="U67" i="4"/>
  <c r="U62" i="4"/>
  <c r="S66" i="4"/>
  <c r="C21" i="4"/>
  <c r="T58" i="4"/>
  <c r="AB58" i="4"/>
  <c r="AC80" i="4"/>
  <c r="H59" i="4"/>
  <c r="P59" i="4"/>
  <c r="M57" i="4"/>
  <c r="V56" i="4"/>
  <c r="W79" i="4"/>
  <c r="S79" i="4"/>
  <c r="M55" i="4"/>
  <c r="S54" i="4"/>
  <c r="U53" i="4"/>
  <c r="AA52" i="4"/>
  <c r="S52" i="4"/>
  <c r="I51" i="4"/>
  <c r="T19" i="4"/>
  <c r="Q18" i="4"/>
  <c r="C17" i="4"/>
  <c r="I15" i="4"/>
  <c r="H15" i="4"/>
  <c r="AC17" i="4"/>
  <c r="AB12" i="4"/>
  <c r="C14" i="4"/>
  <c r="R13" i="4"/>
  <c r="AC12" i="4"/>
  <c r="I12" i="4"/>
  <c r="P11" i="4"/>
  <c r="T13" i="4"/>
  <c r="W14" i="4"/>
  <c r="U13" i="4"/>
  <c r="W12" i="4"/>
  <c r="U11" i="4"/>
  <c r="Q11" i="4"/>
  <c r="AA11" i="4"/>
  <c r="C12" i="4"/>
  <c r="R11" i="4"/>
  <c r="H14" i="4"/>
  <c r="C13" i="4"/>
  <c r="J12" i="4"/>
  <c r="V11" i="4"/>
  <c r="S11" i="4"/>
  <c r="C11" i="4"/>
  <c r="P12" i="4"/>
  <c r="S13" i="4"/>
  <c r="H13" i="4"/>
  <c r="H12" i="4"/>
  <c r="AC14" i="4"/>
  <c r="AA14" i="4"/>
  <c r="AA13" i="4"/>
  <c r="AA12" i="4"/>
  <c r="AC11" i="4"/>
  <c r="AC13" i="4"/>
  <c r="W13" i="4"/>
  <c r="P14" i="4"/>
  <c r="I14" i="4"/>
  <c r="I13" i="4"/>
  <c r="M12" i="4"/>
  <c r="H11" i="4"/>
  <c r="R12" i="4"/>
  <c r="J11" i="4"/>
  <c r="V12" i="4"/>
  <c r="Q14" i="4"/>
  <c r="AB14" i="4"/>
  <c r="J13" i="4"/>
  <c r="Q12" i="4"/>
  <c r="S12" i="4"/>
  <c r="P13" i="4"/>
  <c r="M11" i="4"/>
  <c r="R14" i="4"/>
  <c r="J14" i="4"/>
  <c r="M13" i="4"/>
  <c r="I11" i="4"/>
  <c r="T12" i="4"/>
  <c r="M14" i="4"/>
  <c r="V13" i="4"/>
  <c r="AB11" i="4"/>
  <c r="U12" i="4"/>
  <c r="S14" i="4"/>
  <c r="AB13" i="4"/>
  <c r="W11" i="4"/>
  <c r="T14" i="4"/>
  <c r="T11" i="4"/>
  <c r="U14" i="4"/>
  <c r="V14" i="4"/>
  <c r="Q13" i="4"/>
  <c r="S9" i="4"/>
  <c r="V9" i="4"/>
  <c r="U5" i="4"/>
  <c r="Q8" i="4"/>
  <c r="AA5" i="4"/>
  <c r="P5" i="4"/>
  <c r="P9" i="4"/>
  <c r="W9" i="4"/>
  <c r="Q5" i="4"/>
  <c r="R5" i="4"/>
  <c r="C5" i="4"/>
  <c r="AA9" i="4"/>
  <c r="H9" i="4"/>
  <c r="T8" i="4"/>
  <c r="H5" i="4"/>
  <c r="AC8" i="4"/>
  <c r="I9" i="4"/>
  <c r="C8" i="4"/>
  <c r="W8" i="4"/>
  <c r="AC9" i="4"/>
  <c r="U8" i="4"/>
  <c r="I8" i="4"/>
  <c r="U9" i="4"/>
  <c r="M9" i="4"/>
  <c r="J5" i="4"/>
  <c r="S5" i="4"/>
  <c r="J9" i="4"/>
  <c r="M5" i="4"/>
  <c r="T9" i="4"/>
  <c r="AA8" i="4"/>
  <c r="S8" i="4"/>
  <c r="C9" i="4"/>
  <c r="W5" i="4"/>
  <c r="V8" i="4"/>
  <c r="Q9" i="4"/>
  <c r="I5" i="4"/>
  <c r="AB5" i="4"/>
  <c r="T5" i="4"/>
  <c r="AB9" i="4"/>
  <c r="R8" i="4"/>
  <c r="R9" i="4"/>
  <c r="H8" i="4"/>
  <c r="M8" i="4"/>
  <c r="V5" i="4"/>
  <c r="P8" i="4"/>
  <c r="AB8" i="4"/>
  <c r="J8" i="4"/>
  <c r="AC5" i="4"/>
  <c r="W10" i="4"/>
  <c r="AB10" i="4"/>
  <c r="H10" i="4"/>
  <c r="J10" i="4"/>
  <c r="AA10" i="4"/>
  <c r="S10" i="4"/>
  <c r="P10" i="4"/>
  <c r="C10" i="4"/>
  <c r="Q10" i="4"/>
  <c r="AC10" i="4"/>
  <c r="R10" i="4"/>
  <c r="U10" i="4"/>
  <c r="V10" i="4"/>
  <c r="I10" i="4"/>
  <c r="M10" i="4"/>
  <c r="T10" i="4"/>
  <c r="I4" i="4"/>
  <c r="AC4" i="4"/>
  <c r="M4" i="4"/>
  <c r="AA4" i="4"/>
  <c r="S4" i="4"/>
  <c r="R4" i="4"/>
  <c r="U4" i="4"/>
  <c r="T4" i="4"/>
  <c r="Q4" i="4"/>
  <c r="P4" i="4"/>
  <c r="H4" i="4"/>
  <c r="J4" i="4"/>
  <c r="AB4" i="4"/>
  <c r="C4" i="4"/>
  <c r="W4" i="4"/>
  <c r="V4" i="4"/>
</calcChain>
</file>

<file path=xl/sharedStrings.xml><?xml version="1.0" encoding="utf-8"?>
<sst xmlns="http://schemas.openxmlformats.org/spreadsheetml/2006/main" count="12166" uniqueCount="589">
  <si>
    <t>SIRA</t>
  </si>
  <si>
    <t>FİRMA</t>
  </si>
  <si>
    <t>AMBALAJ</t>
  </si>
  <si>
    <t>CİNSİ</t>
  </si>
  <si>
    <t>ÇAP</t>
  </si>
  <si>
    <t>FORMÜL</t>
  </si>
  <si>
    <t>PAKET İÇİ</t>
  </si>
  <si>
    <t>PAKET GRAMAJI</t>
  </si>
  <si>
    <t>TARİH</t>
  </si>
  <si>
    <t>SKT/AY</t>
  </si>
  <si>
    <t>ÜRT/PRD</t>
  </si>
  <si>
    <t>TETT/EXP</t>
  </si>
  <si>
    <t>PRT/LOT</t>
  </si>
  <si>
    <t>KAREKOD DOSYA ADI</t>
  </si>
  <si>
    <t>KOLİ / TARİH</t>
  </si>
  <si>
    <t>AÇIKLAMALAR</t>
  </si>
  <si>
    <t>AMBALAJ MİKTAR</t>
  </si>
  <si>
    <t>LLC TRİTON</t>
  </si>
  <si>
    <t>TORTİLLAS 25 CM 4 PCS 260G</t>
  </si>
  <si>
    <t>SADE</t>
  </si>
  <si>
    <t>ÜRETİLECEK MİKTAR/ PALET</t>
  </si>
  <si>
    <t>ÜRETİLECEK MİKTAR/ KOLİ</t>
  </si>
  <si>
    <t>SOFT</t>
  </si>
  <si>
    <t>YURTDIŞI</t>
  </si>
  <si>
    <t>TRİTON -SKT ATILACAK</t>
  </si>
  <si>
    <t>24-26 CM</t>
  </si>
  <si>
    <t>1.</t>
  </si>
  <si>
    <t>GERMES</t>
  </si>
  <si>
    <t>KOLİ İÇİ</t>
  </si>
  <si>
    <t>IRAK SOFT</t>
  </si>
  <si>
    <t>HANAMİ MAVİ - ÜRETİM ATILACAK</t>
  </si>
  <si>
    <t>GTIN KODU</t>
  </si>
  <si>
    <t>MUTLUKAL WHEAT TORTILLA</t>
  </si>
  <si>
    <t>KIRMIZI TORTİLLAS 25 CM</t>
  </si>
  <si>
    <t>KIRMIZI - ÜRETİM TARİHLİ ETİKET</t>
  </si>
  <si>
    <t>MAKİNE 1</t>
  </si>
  <si>
    <t>PRODUCT NAME / ÜRÜN ADI</t>
  </si>
  <si>
    <t>ORDER NUMBER / SİPARİŞ NUMARASI</t>
  </si>
  <si>
    <t>Firma</t>
  </si>
  <si>
    <t>GTIN Kodu</t>
  </si>
  <si>
    <t>Koli İçi</t>
  </si>
  <si>
    <t>Birleştir</t>
  </si>
  <si>
    <t>KB-006500</t>
  </si>
  <si>
    <t>ZP4-021324</t>
  </si>
  <si>
    <t>26060425-1</t>
  </si>
  <si>
    <t>LLC KOTOR</t>
  </si>
  <si>
    <t xml:space="preserve">MANETKA PEYNİRLİ 25 CM </t>
  </si>
  <si>
    <t>PEYNİRLİ</t>
  </si>
  <si>
    <t>SOFT-AT</t>
  </si>
  <si>
    <t>AMBALAJ ETİKETİ</t>
  </si>
  <si>
    <t>BARKOD ETİKETİ</t>
  </si>
  <si>
    <t>MANETKA PEYNİRLİ 25CM</t>
  </si>
  <si>
    <t>KIRMIZI KOLİ-TARİHLİ KOLİ ETİKETİ</t>
  </si>
  <si>
    <t>MAGNİT</t>
  </si>
  <si>
    <t>MAGNİT MAVİ AMBALAJ 25 CM 260G</t>
  </si>
  <si>
    <t>25CM TURUNCU KOLİ-SOL ÜST DİKDÖRTGENE ÜRETİM TARİHİ BASILACAK</t>
  </si>
  <si>
    <t>MAGNİT MAVİ AMBALAJ 25CM</t>
  </si>
  <si>
    <t>HANAMİ GERMES 25CM SADE 250G</t>
  </si>
  <si>
    <t>Kırmızı Tortillas-Germes-25cm 375g</t>
  </si>
  <si>
    <t>HANAMİ PEYNİRLİ 25 CM 250G</t>
  </si>
  <si>
    <t>HANAMİ PEYNİRLİ 25CM AMBALAJ (098)</t>
  </si>
  <si>
    <t>IRAK SOFT-AT</t>
  </si>
  <si>
    <t>HANAMİ SARI KOLİ-ÜRETİM TARİHİ BASILACAK</t>
  </si>
  <si>
    <t>HANAMİ 25 CM SADE (081)</t>
  </si>
  <si>
    <t>SMART LLC</t>
  </si>
  <si>
    <t>TORTİLLAS SAMAKAT 20CM 166G</t>
  </si>
  <si>
    <t>TORTİLLAS 20CM (SAMAKAT BİLGİLERİ EKLİ)</t>
  </si>
  <si>
    <t>19-21 CM</t>
  </si>
  <si>
    <t>KAREKODSUZ ÜRETİLECEK</t>
  </si>
  <si>
    <t>MANETKA SADE 20CM 166G</t>
  </si>
  <si>
    <t>SİYAH KARE KOLİ-ÜRETİM TARİHLİ ETİKET</t>
  </si>
  <si>
    <t>Mutlukal Tortillas 15cm 250g</t>
  </si>
  <si>
    <t>YURTİÇİ</t>
  </si>
  <si>
    <t>15CM KOLİ</t>
  </si>
  <si>
    <t>KESME-33-35G BEZE, KESİLMEMİŞ 16-18CM, 320-330G- KESİLMİŞ 245-250G</t>
  </si>
  <si>
    <t>Maydonoz Döner</t>
  </si>
  <si>
    <t>Mutlukal Tortillas 15cm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</si>
  <si>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</si>
  <si>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</si>
  <si>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</si>
  <si>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</si>
  <si>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</si>
  <si>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</si>
  <si>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</si>
  <si>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</si>
  <si>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</si>
  <si>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</si>
  <si>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</si>
  <si>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</si>
  <si>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</si>
  <si>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</si>
  <si>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</si>
  <si>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</si>
  <si>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</si>
  <si>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DEPO STOK / KOLİ</t>
  </si>
  <si>
    <t>Şok Market</t>
  </si>
  <si>
    <t>Taco 15 cm 6 lı 150 g</t>
  </si>
  <si>
    <t xml:space="preserve">Taco 15 cm </t>
  </si>
  <si>
    <t>SOFT-PA3</t>
  </si>
  <si>
    <t>15 CM KOLİ</t>
  </si>
  <si>
    <t>14-16 CM</t>
  </si>
  <si>
    <t>Aylin Karton</t>
  </si>
  <si>
    <t>Happylla 25 cm 10 lu 650g</t>
  </si>
  <si>
    <t>Happylla 25cm (060)</t>
  </si>
  <si>
    <t>Irak soft</t>
  </si>
  <si>
    <t>Yurtiçi</t>
  </si>
  <si>
    <t>Kırmızı Koli-Etiketli</t>
  </si>
  <si>
    <t>24-26 cm</t>
  </si>
  <si>
    <t>Kırmızı tortillas 25cm 4 lü 250g</t>
  </si>
  <si>
    <t>Kırmızı Tortillas 25 cm</t>
  </si>
  <si>
    <t>Soft</t>
  </si>
  <si>
    <t>Yurtdışı</t>
  </si>
  <si>
    <t>Ne Çıkarsa</t>
  </si>
  <si>
    <t>Güncel</t>
  </si>
  <si>
    <t>Bisto 25 cm 12 pcs 840g</t>
  </si>
  <si>
    <t>Bisto 25 cm</t>
  </si>
  <si>
    <t>Standart</t>
  </si>
  <si>
    <t>Bisto Kolisi</t>
  </si>
  <si>
    <t>24-26 Cm</t>
  </si>
  <si>
    <t>A101</t>
  </si>
  <si>
    <t>Nimet 25cm 12 pcs 840g</t>
  </si>
  <si>
    <t>Nimet 25 cm</t>
  </si>
  <si>
    <t>Nimet Kolisi</t>
  </si>
  <si>
    <t>SÜRE</t>
  </si>
  <si>
    <t>ARAÇ SAYISI</t>
  </si>
  <si>
    <t>Sultanoğlu</t>
  </si>
  <si>
    <t>Tortillove 25 cm 8pcs 520g</t>
  </si>
  <si>
    <t>Tortillove 25 cm</t>
  </si>
  <si>
    <t>Irak Soft</t>
  </si>
  <si>
    <t>Kırmızı Koli</t>
  </si>
  <si>
    <t>Kopuz</t>
  </si>
  <si>
    <t>Mutlukal Tortillas 30cm 950g</t>
  </si>
  <si>
    <t>Mutlukal tortillas 30cm</t>
  </si>
  <si>
    <t>Mavi Koli</t>
  </si>
  <si>
    <t>29-31 Cm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</si>
  <si>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</si>
  <si>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</si>
  <si>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</si>
  <si>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</si>
  <si>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</si>
  <si>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</si>
  <si>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</si>
  <si>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</si>
  <si>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</si>
  <si>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</si>
  <si>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</si>
  <si>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</si>
  <si>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</si>
  <si>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</si>
  <si>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</si>
  <si>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</si>
  <si>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</si>
  <si>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</si>
  <si>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</si>
  <si>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</si>
  <si>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</si>
  <si>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</si>
  <si>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</si>
  <si>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</si>
  <si>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1. ARAÇ</t>
  </si>
  <si>
    <t>2. ARAÇ</t>
  </si>
  <si>
    <t>3. ARAÇ</t>
  </si>
  <si>
    <t xml:space="preserve">Hanami 20cm sade 4pcs 166g </t>
  </si>
  <si>
    <t>Hanami 20cm Sade 4 pcs 166g (067)</t>
  </si>
  <si>
    <t>19-21 cm</t>
  </si>
  <si>
    <t>PALET/KOLİ</t>
  </si>
  <si>
    <t>Tortillas 20cm 4 lü 166g</t>
  </si>
  <si>
    <t>20cm Koli-Üretim Tarihli Etiket</t>
  </si>
  <si>
    <t>Hanami Peynirli 20cm 4 lü 166g</t>
  </si>
  <si>
    <t>Irak Soft-AT</t>
  </si>
  <si>
    <t>Hanami Peynirli 20cm (050)</t>
  </si>
  <si>
    <t>Tortillas 20cm (Etiketli)</t>
  </si>
  <si>
    <t>26061520P</t>
  </si>
  <si>
    <t>Manetka 20cm 4 pcs 166g</t>
  </si>
  <si>
    <t>Manetka 20cm</t>
  </si>
  <si>
    <t>Kare Koli-Üretim Tarihli Etiket</t>
  </si>
  <si>
    <t>Tortillas 20cm Peynirli 4pcs 166g</t>
  </si>
  <si>
    <t>EYAL</t>
  </si>
  <si>
    <t>Rimini 20 cm 8 pcs 360g</t>
  </si>
  <si>
    <t>Rimini 20cm</t>
  </si>
  <si>
    <t>20cm koli-İbranice Etiket</t>
  </si>
  <si>
    <t>ALDİ - KOSOVA</t>
  </si>
  <si>
    <t>Tortillove 30cm 10pcs 900g</t>
  </si>
  <si>
    <t>Tortillove 30cm</t>
  </si>
  <si>
    <t>29-31 cm</t>
  </si>
  <si>
    <t>Tortillas 30cm 10pcs 900g</t>
  </si>
  <si>
    <t>Tortillas 30cm</t>
  </si>
  <si>
    <t>Tortillove 25cm 6pcs 390g</t>
  </si>
  <si>
    <t>Tortillove 25cm</t>
  </si>
  <si>
    <t>Tortillas 25cm 6pcs 390g</t>
  </si>
  <si>
    <t>Tortillas 25cm</t>
  </si>
  <si>
    <t>Tam Buğdaylı</t>
  </si>
  <si>
    <t>Tortillove 25cm 10pcs 650g</t>
  </si>
  <si>
    <t>Tortillas 25cm 10pcs 650g</t>
  </si>
  <si>
    <t>30cm Koli - Tortillove 900g Etiketli</t>
  </si>
  <si>
    <t>30cm Koli - Tortillas 900g Etiketli</t>
  </si>
  <si>
    <t>25cm Koli - Tortillove 390g Etiketli</t>
  </si>
  <si>
    <t>25cm Koli - Tortillas 390g Etiketli</t>
  </si>
  <si>
    <t>25cm Koli - Tortillove 390g TB Etiketli</t>
  </si>
  <si>
    <t>25cm Koli - Tortillas 390g TB Etiketli</t>
  </si>
  <si>
    <t>25cm Koli - Tortillove 650g Etiketli</t>
  </si>
  <si>
    <t>25cm Koli - Tortillas 650g Etiketli</t>
  </si>
  <si>
    <t>Pizza kolisi</t>
  </si>
  <si>
    <t>26 cm kesme -Beze 145-150g, Kesilmmeiş çap 27-28cm, Kesilmemiş ağı: 520-540g, Kesilmiş:475-485g</t>
  </si>
  <si>
    <t>PALET KOLİ SAYISI</t>
  </si>
  <si>
    <t>PALET ÖLÇÜ</t>
  </si>
  <si>
    <t>Pizza-6 26cm 4pcs 480g</t>
  </si>
  <si>
    <t>Pizza-6 26 cm</t>
  </si>
  <si>
    <t>Palet Ölçüsü</t>
  </si>
  <si>
    <t>Arka kısma Arnavutça içerik-Tortillove</t>
  </si>
  <si>
    <t>Arka kısma Arnavutça içerik-Tortillas</t>
  </si>
  <si>
    <t>Barkod üzerine Arnavutça içerik+Barkod-Tortillove</t>
  </si>
  <si>
    <t>Barkod üzerine Arnavutça içerik+Barkod-Tortillas</t>
  </si>
  <si>
    <t>Tortillove Tam Buğday 25cm</t>
  </si>
  <si>
    <t>Tortillas Tam Buğday 25cm</t>
  </si>
  <si>
    <t>Barkod üzerine Arnavutça TB içerik+Barkod-Tortillove</t>
  </si>
  <si>
    <t>Barkod üzerine Arnavutça TB içerik+Barkod-Tortillas</t>
  </si>
  <si>
    <t>Arka kısma Arnavutça içerik-Pizza 6</t>
  </si>
  <si>
    <t>TASTE LAND-BULGARİSTAN</t>
  </si>
  <si>
    <t>Tortillas 30cm Sade 18pcs 1620g</t>
  </si>
  <si>
    <t>30cm Lacivert Koli- Bulgarca Etiket</t>
  </si>
  <si>
    <t>95x130cm</t>
  </si>
  <si>
    <t>Tortillas 30cm Tam Buğday 18pcs 1620g</t>
  </si>
  <si>
    <t>30cm Lacivert Koli- Bulgarca TB Etiket</t>
  </si>
  <si>
    <t>Tortillas Avrupa 25cm (698)</t>
  </si>
  <si>
    <t>25cm Perforeli-Bulgarca etiket</t>
  </si>
  <si>
    <t>80x120cm</t>
  </si>
  <si>
    <t>80x120cm -Epal+Epal</t>
  </si>
  <si>
    <t>Tortillas 25cm Sade 10pcs 650g</t>
  </si>
  <si>
    <t>Tortillas 25cm Tam Buğday 10pcs 650g</t>
  </si>
  <si>
    <t>Tortillas Avrupa 25cm Tam Buğday (711)</t>
  </si>
  <si>
    <t>25cm Perforeli-Bulgarca TB etiket</t>
  </si>
  <si>
    <t>Tortillas 25cm Domatesli 6pcs 390g</t>
  </si>
  <si>
    <t>Domatesli</t>
  </si>
  <si>
    <t>25cm Perforeli-Bulgarca Domatesli etiket</t>
  </si>
  <si>
    <t>Tortillas 25cm Ispanaklı 6pcs 390g</t>
  </si>
  <si>
    <t>Tortillas Avrupa 25cm Domatesli (074)</t>
  </si>
  <si>
    <t>Tortillas Avrupa 25cm Ispanaklı (081)</t>
  </si>
  <si>
    <t>Ispanaklı</t>
  </si>
  <si>
    <t>25cm Perforeli-Bulgarca Ispanaklı etiket</t>
  </si>
  <si>
    <t>Tortillas 25cm Peynirli 6pcs 390g</t>
  </si>
  <si>
    <t>Tortillas Avrupa 25cm Peynirli (098)</t>
  </si>
  <si>
    <t>Peynirli</t>
  </si>
  <si>
    <t>25cm Perforeli-Bulgarca Peynirli etiket</t>
  </si>
  <si>
    <t>Tortillas Pizza 26cm 4pcs 480g</t>
  </si>
  <si>
    <t>Tortillas Avrupa Pizza 26cm (742)</t>
  </si>
  <si>
    <t>26cm Pizza Perforeli-Bulgarca Etiket</t>
  </si>
  <si>
    <t>25cm Kırmızı koli-Bulgarca Etiket</t>
  </si>
  <si>
    <t>25cm Kırmızı koli-Bulgarca TB Etiket</t>
  </si>
  <si>
    <t xml:space="preserve">Tortillas 30cm Sade </t>
  </si>
  <si>
    <t>Tortillas 25cm Sade 6pcs 390g</t>
  </si>
  <si>
    <t>Tortillas 25cm TB 6pcs 390g</t>
  </si>
  <si>
    <t>Tortillas 20cm Sade 6pcs 270g</t>
  </si>
  <si>
    <t>Tortillas 20cm Sade</t>
  </si>
  <si>
    <t>20cm Lacivert-Bulgarca Etiket</t>
  </si>
  <si>
    <t>100x120cm-Epal+Epal</t>
  </si>
  <si>
    <t>Ankara Kahve</t>
  </si>
  <si>
    <t>Tortillas 26cm Pizza 4pcs 480g</t>
  </si>
  <si>
    <t>Tortillas 26cm Pizza</t>
  </si>
  <si>
    <t>Barkod üzerine Barkod Etiketi (050)</t>
  </si>
  <si>
    <t>Tortillas Avrupa 25cm TB (711)</t>
  </si>
  <si>
    <t>Barkod üzerine Barkod Etiketi (067)</t>
  </si>
  <si>
    <t>Barkod üzerine Barkod Etiketi (104)</t>
  </si>
  <si>
    <t xml:space="preserve">Tortillas 20cm Sade </t>
  </si>
  <si>
    <t>Barkod üzerine-Bulgarca Barkodlu içerik etiketi (012)</t>
  </si>
  <si>
    <t xml:space="preserve">Tortillas 30cm Tam Buğday </t>
  </si>
  <si>
    <t>Barkod üzerine-Bulgarca Barkodlu TB içerik etiketi (029)</t>
  </si>
  <si>
    <t>SKT/ AY</t>
  </si>
  <si>
    <t>LAIKYUZHN-BELARUS</t>
  </si>
  <si>
    <t>Tortillas 25cm Tam buğday 4pcs 240g</t>
  </si>
  <si>
    <t>Tortillas 25cm Tam Buğday</t>
  </si>
  <si>
    <t>Soft-PA3</t>
  </si>
  <si>
    <t>25cm Kolisi-Etiketli</t>
  </si>
  <si>
    <t>24-26 cm (Macca Hetto Inkjet Uzun Tarih)</t>
  </si>
  <si>
    <t>Tortillas 25cm Domatesli 4pcs 240g</t>
  </si>
  <si>
    <t>Tortillas 25cm Domatesli</t>
  </si>
  <si>
    <t>Tortillas 25cm Ispanaklı 4pcs 240g</t>
  </si>
  <si>
    <t>Tortillas 25cm Ispanaklı</t>
  </si>
  <si>
    <t>Magnit Tortillas 25cm Peynirli 4pcs 240g</t>
  </si>
  <si>
    <t>Magnit Tortillas 25cm Peynirli</t>
  </si>
  <si>
    <t>Soft-PA3-AT</t>
  </si>
  <si>
    <t>Baskısız 30cm 12pcs 1020g</t>
  </si>
  <si>
    <t>Baskısız 30cm</t>
  </si>
  <si>
    <t>30 cm Kolisi</t>
  </si>
  <si>
    <t>Kırmızı Tortillas 25cm 4ps 240g</t>
  </si>
  <si>
    <t>Kırmızı Tortillas 25cm</t>
  </si>
  <si>
    <t xml:space="preserve">Tortillas Pizza 26cm </t>
  </si>
  <si>
    <t>26 cm pizza kolisi-Etiketli</t>
  </si>
  <si>
    <t>UNITERA-KAZAKİSTAN</t>
  </si>
  <si>
    <t>Tortillas 25cm Tam Buğday 6pcs 390g</t>
  </si>
  <si>
    <t>25cm Koli-Kazakça Etiketli</t>
  </si>
  <si>
    <t>19-21cm</t>
  </si>
  <si>
    <t>Kırmızı Tortillas 25cm Sade 6pcs 390g</t>
  </si>
  <si>
    <t>Kırmızı Tortillas 25cm Sade</t>
  </si>
  <si>
    <t>Etiketli</t>
  </si>
  <si>
    <t>8698829381237 Barkod Etiketli</t>
  </si>
  <si>
    <t>Tortillas 20cm Çok Tahıllı 4pcs 166g</t>
  </si>
  <si>
    <t>Tortillas 20cm Çok Tahıllı</t>
  </si>
  <si>
    <t>Çok Tahıllı</t>
  </si>
  <si>
    <t>Lazeza 30 cm 6pcs 510g</t>
  </si>
  <si>
    <t>Lazeza 30cm</t>
  </si>
  <si>
    <t>Lazeza Kolisi</t>
  </si>
  <si>
    <t>TVK Import</t>
  </si>
  <si>
    <t>30cm Kolisi</t>
  </si>
  <si>
    <t>Arka kısma İçerik</t>
  </si>
  <si>
    <t>30cm Kolisi-Etiketli</t>
  </si>
  <si>
    <t>Tüm Bilgiler Sade</t>
  </si>
  <si>
    <t>Tüm Bilgiler TB</t>
  </si>
  <si>
    <t>Tüm Bilgiler Ispanaklı</t>
  </si>
  <si>
    <t>Baskısız 30cm TB 12pcs 1020g</t>
  </si>
  <si>
    <t>Baskısız 30cm Ispanaklı 12pcs 1020g</t>
  </si>
  <si>
    <t>Sons Of Hanna</t>
  </si>
  <si>
    <t>Happylla 25cm Sade 6pcs 390g</t>
  </si>
  <si>
    <t xml:space="preserve">Happylla 25cm </t>
  </si>
  <si>
    <t>24-26cm</t>
  </si>
  <si>
    <t>Happylla 30cm Sade 6pcs 510g</t>
  </si>
  <si>
    <t xml:space="preserve">Happylla 30cm </t>
  </si>
  <si>
    <t>30cm Koli</t>
  </si>
  <si>
    <t>Tortillas 30cm Tam Buğday6pcs 510g</t>
  </si>
  <si>
    <t>Lazeza 25 cm 6pcs 390g</t>
  </si>
  <si>
    <t>Lazeza 25cm</t>
  </si>
  <si>
    <t>Gülbahar Company</t>
  </si>
  <si>
    <t>Baskısız 25cm Sade 8pcs 480g</t>
  </si>
  <si>
    <t>Baskısız 25 cm</t>
  </si>
  <si>
    <t>Lana 25cm 8pcs 480g Yuvarlak</t>
  </si>
  <si>
    <t>Hanami Germes Tako 15cm 6pcs 150g</t>
  </si>
  <si>
    <t>Hanami Tako 15cm</t>
  </si>
  <si>
    <t>Hanami Tako 15cm-Üretim Tarihi Atılacak</t>
  </si>
  <si>
    <t>14-16 cm</t>
  </si>
  <si>
    <t>Baskısız 15cm Sade 8pcs 220g</t>
  </si>
  <si>
    <t>Baskısız 15 cm</t>
  </si>
  <si>
    <t>15cm koli</t>
  </si>
  <si>
    <t>24-26 cm (Inkjet ile Bilgiler Atılacak)</t>
  </si>
  <si>
    <t>26061120P</t>
  </si>
  <si>
    <t>26061020G</t>
  </si>
  <si>
    <t>Ajjawi</t>
  </si>
  <si>
    <t>26061730T</t>
  </si>
  <si>
    <t>26061730I</t>
  </si>
  <si>
    <t>26062220G</t>
  </si>
  <si>
    <t>26060320G</t>
  </si>
  <si>
    <t>26062320P</t>
  </si>
  <si>
    <t>26042908-2</t>
  </si>
  <si>
    <t>Tortillas 25cm Sade 4pcs 240g</t>
  </si>
  <si>
    <t>20252825-2</t>
  </si>
  <si>
    <t xml:space="preserve">MAKİNE 2 </t>
  </si>
  <si>
    <t>MAKİNE 3</t>
  </si>
  <si>
    <t>Germes</t>
  </si>
  <si>
    <t>46-Hanami Tako 15cm-31200</t>
  </si>
  <si>
    <t>Tortillas Pizza 26cm 2pcs 240g</t>
  </si>
  <si>
    <t>MUTLUKAL-EK BİNA İŞ EMRİ</t>
  </si>
  <si>
    <t>30cm Koli - TB Etiketli</t>
  </si>
  <si>
    <t>BİTTİ</t>
  </si>
  <si>
    <t>26060230T</t>
  </si>
  <si>
    <t>26060225+Z24</t>
  </si>
  <si>
    <t>26061030T</t>
  </si>
  <si>
    <t>26061025T</t>
  </si>
  <si>
    <t>26061025D</t>
  </si>
  <si>
    <t>26061025I</t>
  </si>
  <si>
    <t>26061025P</t>
  </si>
  <si>
    <t>26060830T</t>
  </si>
  <si>
    <t>Pazartesi gündüz vardiyasına kadar ne çıkarsa</t>
  </si>
  <si>
    <t>Makine 2 ile ortak yapacak</t>
  </si>
  <si>
    <t>Makine 3 ile ortak yapacak</t>
  </si>
  <si>
    <t>Eyal</t>
  </si>
  <si>
    <t>Durum 30cm sade 18 li 1620g</t>
  </si>
  <si>
    <t>Tortillas 20cm (Samakat Bilgileri Ekli)</t>
  </si>
  <si>
    <t>Durum 3 lü paket sade 1620g</t>
  </si>
  <si>
    <t>Durum 3 lü paket sade 1620g (İç-Dış Ambalaj)</t>
  </si>
  <si>
    <t>Durum 3 lü paket TB 1620g</t>
  </si>
  <si>
    <t>Durum 3 lü paket TB 1620g (İç-Dış Ambalaj)</t>
  </si>
  <si>
    <t>Durum 30cm Sade 18pcs 1620g</t>
  </si>
  <si>
    <t>30cm kolisi-Etiketli</t>
  </si>
  <si>
    <t>Tortillove 25cm TB 6pcs 390g</t>
  </si>
  <si>
    <t>17 sinde haham gelecek</t>
  </si>
  <si>
    <t>26062625T</t>
  </si>
  <si>
    <t>26062625D</t>
  </si>
  <si>
    <t>26062625I</t>
  </si>
  <si>
    <t>26062625P</t>
  </si>
  <si>
    <t>26062925T</t>
  </si>
  <si>
    <t>26063025T</t>
  </si>
  <si>
    <t>26063025D</t>
  </si>
  <si>
    <t>26063025I</t>
  </si>
  <si>
    <t>26063025P</t>
  </si>
  <si>
    <t>26070225T</t>
  </si>
  <si>
    <t>26070225D</t>
  </si>
  <si>
    <t>26070225I</t>
  </si>
  <si>
    <t>26070225P</t>
  </si>
  <si>
    <t>A101Nimet 25cm 12 pcs 840g</t>
  </si>
  <si>
    <t>43.</t>
  </si>
  <si>
    <t>44.</t>
  </si>
  <si>
    <t>45.</t>
  </si>
  <si>
    <t>46.</t>
  </si>
  <si>
    <t>47.</t>
  </si>
  <si>
    <t>48.</t>
  </si>
  <si>
    <t>5. ARAÇ</t>
  </si>
  <si>
    <t>GT-748125-1000463497-5-1</t>
  </si>
  <si>
    <t>26061725-1</t>
  </si>
  <si>
    <t>6. ARAÇ</t>
  </si>
  <si>
    <t>GT-748125-1000463497-6-1</t>
  </si>
  <si>
    <t>26061725-2</t>
  </si>
  <si>
    <t>8. ARAÇ</t>
  </si>
  <si>
    <t>GT-748125-1000463497-8-1</t>
  </si>
  <si>
    <t>26061825-2</t>
  </si>
  <si>
    <t>11. ARAÇ</t>
  </si>
  <si>
    <t>GT-748125-1000463497-11-1</t>
  </si>
  <si>
    <t>26062025-1</t>
  </si>
  <si>
    <t>12. ARAÇ</t>
  </si>
  <si>
    <t>GT-748125-1000463497-12-1</t>
  </si>
  <si>
    <t>26062025-2</t>
  </si>
  <si>
    <t>Donipa</t>
  </si>
  <si>
    <t>Donipa 30cm 18pcs 1710g</t>
  </si>
  <si>
    <t>30cm koli-Etiketli</t>
  </si>
  <si>
    <t>Donipa 30cm 18pcs 1710g etiketli</t>
  </si>
  <si>
    <t>49.</t>
  </si>
  <si>
    <t>50.</t>
  </si>
  <si>
    <t>51.</t>
  </si>
  <si>
    <t>52.</t>
  </si>
  <si>
    <t>53.</t>
  </si>
  <si>
    <t>54.</t>
  </si>
  <si>
    <t>26061520G</t>
  </si>
  <si>
    <t>Mutlukal Tortillas Sade 25cm 6pcs 390g</t>
  </si>
  <si>
    <t xml:space="preserve">Tortillas 25cm </t>
  </si>
  <si>
    <t>Kırmızı Koli 25cm-Barkod Etiketli</t>
  </si>
  <si>
    <t xml:space="preserve">24-26 cm </t>
  </si>
  <si>
    <t xml:space="preserve"> </t>
  </si>
  <si>
    <t>makine 3 ile beraber yapacak</t>
  </si>
  <si>
    <t>Lana 15cm 8pcs 220g Yuvarlak</t>
  </si>
  <si>
    <t>Akşam vardiyasında başlanacak</t>
  </si>
  <si>
    <t>MAGNİT 8. ARACA YARDIM EDİLECEK. BİTTİKTEN SONRA 11. ARAÇ MAKİNE 1 VE 2 DEN ORTAK YAPILACAK</t>
  </si>
  <si>
    <t>Ambalaj kaç aylık kontrol?</t>
  </si>
  <si>
    <t>Hanami Mavi Koli -Üretim Tarihi+9 AYI KAPATACAK ETİKETLİ</t>
  </si>
  <si>
    <t>Bağ Ticaret</t>
  </si>
  <si>
    <t>Happylla 30cm Sade 10pcs 900g</t>
  </si>
  <si>
    <t>30cm kolisi</t>
  </si>
  <si>
    <t>95*130cm</t>
  </si>
  <si>
    <t>Happylla 25cm Sade 10pcs 500g</t>
  </si>
  <si>
    <t xml:space="preserve">Happylla 500g </t>
  </si>
  <si>
    <t>Kırmızı Koli 25cm</t>
  </si>
  <si>
    <t>110*110cm</t>
  </si>
  <si>
    <t>Happylla 25cm</t>
  </si>
  <si>
    <t>Kırmızı Koli 25cm-Arapça etiketli</t>
  </si>
  <si>
    <t>Happylla 650g-Etiketli</t>
  </si>
  <si>
    <t>26071020T</t>
  </si>
  <si>
    <t>26071020D</t>
  </si>
  <si>
    <t>26071020I</t>
  </si>
  <si>
    <t>26071020P</t>
  </si>
  <si>
    <t>26062325T</t>
  </si>
  <si>
    <t>MAGNİT 8. ARACA YARDIM EDİLECEK. BİTTİKTEN SONRA 11. ARAÇ MAKİNE 1 VE 2 DEN ORTAK YAPILACAK. MAGNİTE CUMA AKŞAM VARDİYASINDA BAŞLANMALIDIR</t>
  </si>
  <si>
    <t>EXP:17.03.2027</t>
  </si>
  <si>
    <t>LOT:DVD2526</t>
  </si>
  <si>
    <t>23-26cm</t>
  </si>
  <si>
    <t>Oqqa Natural</t>
  </si>
  <si>
    <t>Oqqa 25cm 10 lu 650g</t>
  </si>
  <si>
    <t>Oqqa 25cm 650g (Etiketli)</t>
  </si>
  <si>
    <t>SADE (Folik Asitli Un)</t>
  </si>
  <si>
    <t>Folik Asit Bilgisi Etiketli-Besin Değerleri</t>
  </si>
  <si>
    <t>Willifood</t>
  </si>
  <si>
    <t>Willifood 20cm 10 pcs 450g</t>
  </si>
  <si>
    <t>Özel Tarih</t>
  </si>
  <si>
    <t>20cm koli-Etiketli</t>
  </si>
  <si>
    <t>Yüksekbaş Gıda</t>
  </si>
  <si>
    <t>Yüksekbaş 15cm 10 pcs 250g</t>
  </si>
  <si>
    <t xml:space="preserve">Tortillove 15cm </t>
  </si>
  <si>
    <t>85*115cm</t>
  </si>
  <si>
    <t>Yüksekbaş 20cm 10pcs 450g</t>
  </si>
  <si>
    <t>Tortillove 20cm</t>
  </si>
  <si>
    <t>20cm kolisi</t>
  </si>
  <si>
    <t>100*120cm</t>
  </si>
  <si>
    <t>Yüksekbaş 25cm 10pcs 650g</t>
  </si>
  <si>
    <t>25cm Kırmızı Koli</t>
  </si>
  <si>
    <t>Yüksekbaş 30cm 10pcs 950g</t>
  </si>
  <si>
    <t>Yüksekbaş TB 25cm 10pcs 650g</t>
  </si>
  <si>
    <t>25cm Kırmızı Koli-Etiketli</t>
  </si>
  <si>
    <t>MAGNİT 8. ARACA YARDIM EDİLECEK. BİTTİKTEN SONRA 11. ARAÇ MAKİNE 1 VE 2 DEN ORTAK YAPILACAK.</t>
  </si>
  <si>
    <t>Makine 3 teki bisto üretimi bittikten sonra nimete geçilmeli.</t>
  </si>
  <si>
    <t>26071325T</t>
  </si>
  <si>
    <t>Baskısız 25cm 6 pcs 390g (Deneme)</t>
  </si>
  <si>
    <t>Baskısız 25cm proteinli (Deneme)</t>
  </si>
  <si>
    <t>Proteinli</t>
  </si>
  <si>
    <t>Mauri (5kg yağ+2lt gliserin+gluten 3kg+protein 11.4kg+katkı)</t>
  </si>
  <si>
    <t>Kırmızı koli-Etiketli</t>
  </si>
  <si>
    <t>Willifood 25cm 8 pcs 560g</t>
  </si>
  <si>
    <t>ırak Soft</t>
  </si>
  <si>
    <t>KIRMIZI KOLİ-ETİKETLİ</t>
  </si>
  <si>
    <t>Willifood Pizza 26cm 4 pcs 480g</t>
  </si>
  <si>
    <t>Willifood 26 cm Pizza</t>
  </si>
  <si>
    <t>Pizza</t>
  </si>
  <si>
    <t>Dürümek Kolisi-Çift Etiket</t>
  </si>
  <si>
    <t>Kesme.Bezeler 145-150 g.Kesilmemiş 27-28 cm. Kesilmemiş ağ 520-540g. Kesilmiş ağ 475-485 g</t>
  </si>
  <si>
    <t>25cm Kırmızı Koli-Üretim Tarihli Etiketli</t>
  </si>
  <si>
    <t xml:space="preserve">Tortillas Domatesli 25cm 4pcs 250g </t>
  </si>
  <si>
    <t>Tortillas Domatesli 25cm (Germes Bilgileri Ekli)</t>
  </si>
  <si>
    <t xml:space="preserve">Tortillas Ispanaklı 25cm 4pcs 250g </t>
  </si>
  <si>
    <t>Tortillas Ispanaklı 25cm (Germes Bilgileri Ekli)</t>
  </si>
  <si>
    <t>Cumayı Cumartesiye bağlayan gece vardiyasında Belarus pizza üretimine geçilmelidir.</t>
  </si>
  <si>
    <t>26071520P</t>
  </si>
  <si>
    <t>26072325D</t>
  </si>
  <si>
    <t>26072325I</t>
  </si>
  <si>
    <t>20cm Koli</t>
  </si>
  <si>
    <t>25cm Koli</t>
  </si>
  <si>
    <t>Fama Group</t>
  </si>
  <si>
    <t>Tortillas 33cm 10pcs 1000g</t>
  </si>
  <si>
    <t>Tortillas 33cm</t>
  </si>
  <si>
    <t>Sade</t>
  </si>
  <si>
    <t>33cm Kolisi</t>
  </si>
  <si>
    <t>32-34 cm</t>
  </si>
  <si>
    <t>Pizza Kolisi-ETİKETLİ</t>
  </si>
  <si>
    <t>25-27 cm</t>
  </si>
  <si>
    <t>80*120cm</t>
  </si>
  <si>
    <t>Tortillas 30cm 10pcs 850g</t>
  </si>
  <si>
    <t xml:space="preserve">Tortillas 30cm </t>
  </si>
  <si>
    <t>25cm Kolisi</t>
  </si>
  <si>
    <t>Tortillas 20cm 10pcs 450g</t>
  </si>
  <si>
    <t>Tortillas 20cm</t>
  </si>
  <si>
    <t>20cm Siyah Koli</t>
  </si>
  <si>
    <t>Tortillas 15cm 10pcs 250g</t>
  </si>
  <si>
    <t>Tortillas 15cm</t>
  </si>
  <si>
    <t>14-16cm</t>
  </si>
  <si>
    <t>Yusuf Köse</t>
  </si>
  <si>
    <t>32-34cm</t>
  </si>
  <si>
    <t>Tortillas 30cm 10pcs 950g</t>
  </si>
  <si>
    <t>29-31cm</t>
  </si>
  <si>
    <t xml:space="preserve">LOT: </t>
  </si>
  <si>
    <t xml:space="preserve">EXP: </t>
  </si>
  <si>
    <t>tarih verilecek</t>
  </si>
  <si>
    <t>26072825T</t>
  </si>
  <si>
    <t>Lacivert 20cm Koli-İbranice Sade Etiketli</t>
  </si>
  <si>
    <t>Lacivert 20cm Koli-İbranice TB Etiketli</t>
  </si>
  <si>
    <t>4 koli depoda var</t>
  </si>
  <si>
    <t>2 koli depoda var</t>
  </si>
  <si>
    <t>3 koli depoda var</t>
  </si>
  <si>
    <t>8 koli depoda var</t>
  </si>
  <si>
    <t>1 koli depoda var</t>
  </si>
  <si>
    <t>60 koli depoda var</t>
  </si>
  <si>
    <t>SİYAH KARE KOLİ- Üretim Tarihi Etiketli</t>
  </si>
  <si>
    <t>Kırmızı Koli- Üretim Tarihi Etiketli</t>
  </si>
  <si>
    <t>SİYAH KARE KOLİ-Üretim Tarihi Etiketli</t>
  </si>
  <si>
    <t>MANETKA PEYNİRLİ 25CM Irak Soft</t>
  </si>
  <si>
    <t>MANETKA PEYNİRLİ 25 CM Irak Soft</t>
  </si>
  <si>
    <t>2.ARAÇ</t>
  </si>
  <si>
    <t>1.ARAÇ</t>
  </si>
  <si>
    <t>Depodaki Gıdaserler kontrol edilecek sağlamlar tarihlenip Yüksekbaşa konulacaktır.</t>
  </si>
  <si>
    <t>Cumartesi gündüz vardiyası gelince pizzaya başlansın.</t>
  </si>
  <si>
    <t>Makine 1 ve 2 ortak yapacak</t>
  </si>
  <si>
    <t>82 koli depoda var</t>
  </si>
  <si>
    <t xml:space="preserve">pizza üretimi bitene kadar </t>
  </si>
  <si>
    <t>27.Temmuz Haham gelecek</t>
  </si>
  <si>
    <t>Tortillas 25cm Sade</t>
  </si>
  <si>
    <t>Switz Trading</t>
  </si>
  <si>
    <t>Switz 25cm 8pcs 520g</t>
  </si>
  <si>
    <t>110x110cm</t>
  </si>
  <si>
    <t>Tortillove 33cm 10pcs 1000g</t>
  </si>
  <si>
    <t>Tortillove 33 cm</t>
  </si>
  <si>
    <t>Gıdaser</t>
  </si>
  <si>
    <t>Tortillove 15cm 10pcs 250g</t>
  </si>
  <si>
    <t>15cm kolisi</t>
  </si>
  <si>
    <t>Tortillove 30cm 10pcs 950g</t>
  </si>
  <si>
    <t>30cm kolisi-Barkod etiketli</t>
  </si>
  <si>
    <t>Pizza bitene kadar ne çıkarsa</t>
  </si>
  <si>
    <t>3 koli depoda var, Gıdaserler kontrol edilip konulacak.</t>
  </si>
  <si>
    <t>Baskısız 30cm 18pcs 1170g</t>
  </si>
  <si>
    <t>26042908-3</t>
  </si>
  <si>
    <t>26071025T</t>
  </si>
  <si>
    <t>Nimete geçince makine3 pizza üretimine başlasın</t>
  </si>
  <si>
    <t>Kolisi 25 cm kolisi olacak</t>
  </si>
  <si>
    <t>26071025D</t>
  </si>
  <si>
    <t>26071025I</t>
  </si>
  <si>
    <t>Deneme - Helal Denetim</t>
  </si>
  <si>
    <t>Happylla 25cm (TS13542 arka tarafta yazacak)</t>
  </si>
  <si>
    <t>Soft - H26</t>
  </si>
  <si>
    <t>Ürün Analize gidecek, ambalaj ve katkısına dikkat edin, tamamı ayrılacak, lot güncel atılacak, kod yazılmayacak</t>
  </si>
  <si>
    <t>HRC Trade</t>
  </si>
  <si>
    <t>Tortillas 30cm 18pcs 1710g</t>
  </si>
  <si>
    <t>Azerice Etiketli</t>
  </si>
  <si>
    <t>Tortillas 25cm 18pcs 1170g</t>
  </si>
  <si>
    <t>Ceylan Döner</t>
  </si>
  <si>
    <t>15cm Kolisi</t>
  </si>
  <si>
    <t>14-15cm</t>
  </si>
  <si>
    <t>Gayet iyi pişmelidir.</t>
  </si>
  <si>
    <t>Belamionix</t>
  </si>
  <si>
    <t>20cm Kolisi</t>
  </si>
  <si>
    <t>90*110cm</t>
  </si>
  <si>
    <t>Arka Kısma Bosnaca içerik Etiketli</t>
  </si>
  <si>
    <t>Pizza Kolisi</t>
  </si>
  <si>
    <t>25-27cm</t>
  </si>
  <si>
    <t>Tortillas 25cm TB 10pcs 650g</t>
  </si>
  <si>
    <t>Artane</t>
  </si>
  <si>
    <t>Makine 2 ve 3</t>
  </si>
  <si>
    <t xml:space="preserve">Depoda kontrol edilen ürünlerin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</si>
</sst>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8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4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3BCD8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" fontId="1" fillId="11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" fontId="2" fillId="3" borderId="0" xfId="0" applyNumberFormat="1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14" fontId="6" fillId="10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14" fontId="6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1" fontId="2" fillId="16" borderId="1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14" fontId="2" fillId="16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1" fontId="2" fillId="18" borderId="1" xfId="0" applyNumberFormat="1" applyFont="1" applyFill="1" applyBorder="1" applyAlignment="1">
      <alignment horizontal="center" vertical="center" wrapText="1"/>
    </xf>
    <xf numFmtId="0" fontId="2" fillId="18" borderId="0" xfId="0" applyFont="1" applyFill="1" applyAlignment="1">
      <alignment horizontal="center" vertical="center"/>
    </xf>
    <xf numFmtId="14" fontId="2" fillId="18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1" fontId="2" fillId="19" borderId="1" xfId="0" applyNumberFormat="1" applyFont="1" applyFill="1" applyBorder="1" applyAlignment="1">
      <alignment horizontal="center" vertical="center"/>
    </xf>
    <xf numFmtId="1" fontId="2" fillId="19" borderId="1" xfId="0" applyNumberFormat="1" applyFont="1" applyFill="1" applyBorder="1" applyAlignment="1">
      <alignment horizontal="center" vertical="center" wrapText="1"/>
    </xf>
    <xf numFmtId="14" fontId="2" fillId="19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16" fontId="2" fillId="6" borderId="1" xfId="0" applyNumberFormat="1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1" fontId="2" fillId="20" borderId="1" xfId="0" applyNumberFormat="1" applyFont="1" applyFill="1" applyBorder="1" applyAlignment="1">
      <alignment horizontal="center" vertical="center" wrapText="1"/>
    </xf>
    <xf numFmtId="0" fontId="2" fillId="20" borderId="0" xfId="0" applyFont="1" applyFill="1" applyAlignment="1">
      <alignment horizontal="center" vertical="center"/>
    </xf>
    <xf numFmtId="14" fontId="2" fillId="20" borderId="1" xfId="0" applyNumberFormat="1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1" fontId="2" fillId="21" borderId="1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center" vertical="center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14" fontId="2" fillId="2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20" fontId="2" fillId="5" borderId="3" xfId="0" applyNumberFormat="1" applyFont="1" applyFill="1" applyBorder="1" applyAlignment="1">
      <alignment horizontal="center" vertical="center" wrapText="1"/>
    </xf>
    <xf numFmtId="20" fontId="2" fillId="5" borderId="5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lef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7" fillId="17" borderId="4" xfId="0" applyFont="1" applyFill="1" applyBorder="1" applyAlignment="1">
      <alignment horizontal="left" vertical="center" wrapText="1"/>
    </xf>
    <xf numFmtId="0" fontId="7" fillId="17" borderId="5" xfId="0" applyFont="1" applyFill="1" applyBorder="1" applyAlignment="1">
      <alignment horizontal="left" vertical="center" wrapText="1"/>
    </xf>
    <xf numFmtId="0" fontId="2" fillId="24" borderId="3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 wrapText="1"/>
    </xf>
    <xf numFmtId="0" fontId="2" fillId="2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BCD8"/>
      <color rgb="FFFF00FF"/>
      <color rgb="FFFFCCFF"/>
      <color rgb="FFCCCCFF"/>
      <color rgb="FFFF3300"/>
      <color rgb="FFFFCC99"/>
      <color rgb="FFCC99FF"/>
      <color rgb="FFCCFFCC"/>
      <color rgb="FFFF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547"/>
  <sheetViews>
    <sheetView zoomScale="73" zoomScaleNormal="73" workbookViewId="0">
      <pane xSplit="6" ySplit="20" topLeftCell="G54" activePane="bottomRight" state="frozen"/>
      <selection pane="topRight" activeCell="G1" sqref="G1"/>
      <selection pane="bottomLeft" activeCell="A21" sqref="A21"/>
      <selection pane="bottomRight" activeCell="E118" sqref="E118"/>
    </sheetView>
  </sheetViews>
  <sheetFormatPr defaultRowHeight="15.75" x14ac:dyDescent="0.25"/>
  <cols>
    <col min="1" max="1" width="7.140625" style="142" customWidth="1"/>
    <col min="2" max="2" width="72" style="142" customWidth="1"/>
    <col min="3" max="3" width="29.140625" style="142" bestFit="1" customWidth="1"/>
    <col min="4" max="4" width="16.7109375" style="142" customWidth="1"/>
    <col min="5" max="5" width="43.5703125" style="142" bestFit="1" customWidth="1"/>
    <col min="6" max="6" width="46.140625" style="142" bestFit="1" customWidth="1"/>
    <col min="7" max="7" width="15.5703125" style="142" bestFit="1" customWidth="1"/>
    <col min="8" max="8" width="7.140625" style="142" bestFit="1" customWidth="1"/>
    <col min="9" max="9" width="4.7109375" style="142" bestFit="1" customWidth="1"/>
    <col min="10" max="10" width="18.140625" style="142" customWidth="1"/>
    <col min="11" max="11" width="6.85546875" style="142" bestFit="1" customWidth="1"/>
    <col min="12" max="12" width="8.28515625" style="142" bestFit="1" customWidth="1"/>
    <col min="13" max="13" width="9.42578125" style="142" bestFit="1" customWidth="1"/>
    <col min="14" max="14" width="10.85546875" style="142" bestFit="1" customWidth="1"/>
    <col min="15" max="15" width="7.5703125" style="142" bestFit="1" customWidth="1"/>
    <col min="16" max="16" width="76.28515625" style="142" bestFit="1" customWidth="1"/>
    <col min="17" max="17" width="45.5703125" style="142" bestFit="1" customWidth="1"/>
    <col min="18" max="18" width="9.140625" style="142"/>
    <col min="19" max="19" width="23.42578125" style="142" bestFit="1" customWidth="1"/>
    <col min="20" max="20" width="56.140625" style="142" bestFit="1" customWidth="1"/>
    <col min="21" max="16384" width="9.140625" style="142"/>
  </cols>
  <sheetData>
    <row r="3" spans="2:22" ht="50.25" customHeight="1" x14ac:dyDescent="0.25">
      <c r="B3" s="142" t="s">
        <v>41</v>
      </c>
      <c r="C3" s="140" t="s">
        <v>38</v>
      </c>
      <c r="D3" s="141" t="s">
        <v>39</v>
      </c>
      <c r="E3" s="141" t="s">
        <v>36</v>
      </c>
      <c r="F3" s="140" t="s">
        <v>2</v>
      </c>
      <c r="G3" s="140" t="s">
        <v>3</v>
      </c>
      <c r="H3" s="140" t="s">
        <v>40</v>
      </c>
      <c r="I3" s="140" t="s">
        <v>4</v>
      </c>
      <c r="J3" s="140" t="s">
        <v>5</v>
      </c>
      <c r="K3" s="140" t="s">
        <v>6</v>
      </c>
      <c r="L3" s="140" t="s">
        <v>28</v>
      </c>
      <c r="M3" s="140" t="s">
        <v>7</v>
      </c>
      <c r="N3" s="140" t="s">
        <v>8</v>
      </c>
      <c r="O3" s="140" t="s">
        <v>9</v>
      </c>
      <c r="P3" s="140" t="s">
        <v>14</v>
      </c>
      <c r="Q3" s="140" t="s">
        <v>15</v>
      </c>
      <c r="R3" s="140" t="s">
        <v>204</v>
      </c>
      <c r="S3" s="140" t="s">
        <v>205</v>
      </c>
      <c r="T3" s="140" t="s">
        <v>49</v>
      </c>
      <c r="U3" s="140"/>
      <c r="V3" s="140"/>
    </row>
    <row r="4" spans="2:22" x14ac:dyDescent="0.25">
      <c r="B4" s="142" t="str">
        <f>IF(C4="","",CONCATENATE(C4,E4))</f>
        <v>LLC TRİTONMUTLUKAL WHEAT TORTILLA</v>
      </c>
      <c r="C4" s="140" t="s">
        <v>17</v>
      </c>
      <c r="D4" s="143">
        <v>8698829380698</v>
      </c>
      <c r="E4" s="143" t="s">
        <v>32</v>
      </c>
      <c r="F4" s="142" t="s">
        <v>18</v>
      </c>
      <c r="G4" s="142" t="s">
        <v>19</v>
      </c>
      <c r="H4" s="142">
        <v>30</v>
      </c>
      <c r="I4" s="142">
        <v>25</v>
      </c>
      <c r="J4" s="142" t="s">
        <v>22</v>
      </c>
      <c r="K4" s="142">
        <v>4</v>
      </c>
      <c r="L4" s="142">
        <v>30</v>
      </c>
      <c r="M4" s="142">
        <v>260</v>
      </c>
      <c r="N4" s="142" t="s">
        <v>23</v>
      </c>
      <c r="O4" s="142">
        <v>6</v>
      </c>
      <c r="P4" s="140" t="s">
        <v>24</v>
      </c>
      <c r="Q4" s="142" t="s">
        <v>25</v>
      </c>
      <c r="R4" s="142">
        <v>84</v>
      </c>
    </row>
    <row r="5" spans="2:22" x14ac:dyDescent="0.25">
      <c r="B5" s="144" t="str">
        <f t="shared" ref="B5:B68" si="0">IF(C5="","",CONCATENATE(C5,E5))</f>
        <v>GERMESHANAMİ GERMES 25CM SADE 250G</v>
      </c>
      <c r="C5" s="140" t="s">
        <v>27</v>
      </c>
      <c r="D5" s="143">
        <v>8698829380698</v>
      </c>
      <c r="E5" s="143" t="s">
        <v>57</v>
      </c>
      <c r="F5" s="142" t="s">
        <v>63</v>
      </c>
      <c r="G5" s="142" t="s">
        <v>19</v>
      </c>
      <c r="H5" s="142">
        <v>30</v>
      </c>
      <c r="I5" s="142">
        <v>25</v>
      </c>
      <c r="J5" s="142" t="s">
        <v>29</v>
      </c>
      <c r="K5" s="142">
        <v>4</v>
      </c>
      <c r="L5" s="142">
        <v>30</v>
      </c>
      <c r="M5" s="142">
        <v>250</v>
      </c>
      <c r="N5" s="142" t="s">
        <v>23</v>
      </c>
      <c r="O5" s="142">
        <v>9</v>
      </c>
      <c r="P5" s="140" t="s">
        <v>30</v>
      </c>
      <c r="Q5" s="142" t="s">
        <v>25</v>
      </c>
      <c r="R5" s="142">
        <v>84</v>
      </c>
      <c r="T5" s="142" t="s">
        <v>429</v>
      </c>
    </row>
    <row r="6" spans="2:22" x14ac:dyDescent="0.25">
      <c r="B6" s="142" t="str">
        <f t="shared" si="0"/>
        <v>GERMESKırmızı Tortillas-Germes-25cm 375g</v>
      </c>
      <c r="C6" s="140" t="s">
        <v>27</v>
      </c>
      <c r="D6" s="143">
        <v>8698829380698</v>
      </c>
      <c r="E6" s="143" t="s">
        <v>58</v>
      </c>
      <c r="F6" s="142" t="s">
        <v>33</v>
      </c>
      <c r="G6" s="142" t="s">
        <v>19</v>
      </c>
      <c r="H6" s="142">
        <v>18</v>
      </c>
      <c r="I6" s="142">
        <v>25</v>
      </c>
      <c r="J6" s="142" t="s">
        <v>29</v>
      </c>
      <c r="K6" s="142">
        <v>6</v>
      </c>
      <c r="L6" s="142">
        <v>18</v>
      </c>
      <c r="M6" s="142">
        <v>375</v>
      </c>
      <c r="N6" s="142" t="s">
        <v>23</v>
      </c>
      <c r="O6" s="142">
        <v>9</v>
      </c>
      <c r="P6" s="140" t="s">
        <v>34</v>
      </c>
      <c r="Q6" s="142" t="s">
        <v>25</v>
      </c>
      <c r="R6" s="142">
        <v>84</v>
      </c>
      <c r="T6" s="142" t="s">
        <v>50</v>
      </c>
    </row>
    <row r="7" spans="2:22" x14ac:dyDescent="0.25">
      <c r="B7" s="144" t="str">
        <f t="shared" si="0"/>
        <v>LLC KOTORMANETKA PEYNİRLİ 25CM</v>
      </c>
      <c r="C7" s="142" t="s">
        <v>45</v>
      </c>
      <c r="D7" s="143">
        <v>8698829380698</v>
      </c>
      <c r="E7" s="142" t="s">
        <v>51</v>
      </c>
      <c r="F7" s="142" t="s">
        <v>46</v>
      </c>
      <c r="G7" s="142" t="s">
        <v>47</v>
      </c>
      <c r="H7" s="142">
        <v>30</v>
      </c>
      <c r="I7" s="142">
        <v>25</v>
      </c>
      <c r="J7" s="142" t="s">
        <v>48</v>
      </c>
      <c r="K7" s="142">
        <v>4</v>
      </c>
      <c r="L7" s="142">
        <v>30</v>
      </c>
      <c r="M7" s="142">
        <v>250</v>
      </c>
      <c r="N7" s="142" t="s">
        <v>23</v>
      </c>
      <c r="O7" s="142">
        <v>6</v>
      </c>
      <c r="P7" s="142" t="s">
        <v>52</v>
      </c>
      <c r="Q7" s="142" t="s">
        <v>25</v>
      </c>
      <c r="R7" s="142">
        <v>78</v>
      </c>
    </row>
    <row r="8" spans="2:22" x14ac:dyDescent="0.25">
      <c r="B8" s="142" t="str">
        <f t="shared" si="0"/>
        <v>MAGNİTMAGNİT MAVİ AMBALAJ 25 CM 260G</v>
      </c>
      <c r="C8" s="142" t="s">
        <v>53</v>
      </c>
      <c r="D8" s="143">
        <v>8698829380698</v>
      </c>
      <c r="E8" s="142" t="s">
        <v>54</v>
      </c>
      <c r="F8" s="142" t="s">
        <v>56</v>
      </c>
      <c r="G8" s="142" t="s">
        <v>19</v>
      </c>
      <c r="H8" s="142">
        <v>30</v>
      </c>
      <c r="I8" s="142">
        <v>25</v>
      </c>
      <c r="J8" s="142" t="s">
        <v>22</v>
      </c>
      <c r="K8" s="142">
        <v>4</v>
      </c>
      <c r="L8" s="142">
        <v>30</v>
      </c>
      <c r="M8" s="142">
        <v>260</v>
      </c>
      <c r="N8" s="142" t="s">
        <v>23</v>
      </c>
      <c r="O8" s="142">
        <v>9</v>
      </c>
      <c r="P8" s="140" t="s">
        <v>55</v>
      </c>
      <c r="Q8" s="142" t="s">
        <v>25</v>
      </c>
      <c r="R8" s="142">
        <v>84</v>
      </c>
    </row>
    <row r="9" spans="2:22" x14ac:dyDescent="0.25">
      <c r="B9" s="144" t="str">
        <f t="shared" si="0"/>
        <v>GERMESHANAMİ PEYNİRLİ 25 CM 250G</v>
      </c>
      <c r="C9" s="142" t="s">
        <v>27</v>
      </c>
      <c r="D9" s="143">
        <v>8698829380698</v>
      </c>
      <c r="E9" s="142" t="s">
        <v>59</v>
      </c>
      <c r="F9" s="142" t="s">
        <v>60</v>
      </c>
      <c r="G9" s="142" t="s">
        <v>47</v>
      </c>
      <c r="H9" s="142">
        <v>30</v>
      </c>
      <c r="I9" s="142">
        <v>25</v>
      </c>
      <c r="J9" s="142" t="s">
        <v>61</v>
      </c>
      <c r="K9" s="142">
        <v>4</v>
      </c>
      <c r="L9" s="142">
        <v>30</v>
      </c>
      <c r="M9" s="142">
        <v>250</v>
      </c>
      <c r="N9" s="142" t="s">
        <v>23</v>
      </c>
      <c r="O9" s="142">
        <v>9</v>
      </c>
      <c r="P9" s="140" t="s">
        <v>62</v>
      </c>
      <c r="Q9" s="142" t="s">
        <v>25</v>
      </c>
      <c r="R9" s="142">
        <v>84</v>
      </c>
      <c r="T9" s="142" t="s">
        <v>429</v>
      </c>
    </row>
    <row r="10" spans="2:22" x14ac:dyDescent="0.25">
      <c r="B10" s="142" t="str">
        <f t="shared" si="0"/>
        <v>SMART LLCTORTİLLAS SAMAKAT 20CM 166G</v>
      </c>
      <c r="C10" s="142" t="s">
        <v>64</v>
      </c>
      <c r="D10" s="143">
        <v>8698829380698</v>
      </c>
      <c r="E10" s="142" t="s">
        <v>65</v>
      </c>
      <c r="F10" s="142" t="s">
        <v>66</v>
      </c>
      <c r="G10" s="142" t="s">
        <v>19</v>
      </c>
      <c r="H10" s="142">
        <v>14</v>
      </c>
      <c r="I10" s="142">
        <v>20</v>
      </c>
      <c r="J10" s="142" t="s">
        <v>29</v>
      </c>
      <c r="K10" s="142">
        <v>4</v>
      </c>
      <c r="L10" s="142">
        <v>14</v>
      </c>
      <c r="M10" s="142">
        <v>166</v>
      </c>
      <c r="N10" s="142" t="s">
        <v>23</v>
      </c>
      <c r="O10" s="142">
        <v>9</v>
      </c>
      <c r="P10" s="142" t="s">
        <v>534</v>
      </c>
      <c r="Q10" s="142" t="s">
        <v>67</v>
      </c>
      <c r="R10" s="142">
        <v>225</v>
      </c>
    </row>
    <row r="11" spans="2:22" x14ac:dyDescent="0.25">
      <c r="B11" s="144" t="str">
        <f t="shared" si="0"/>
        <v>LLC KOTORMANETKA SADE 20CM 166G</v>
      </c>
      <c r="C11" s="142" t="s">
        <v>45</v>
      </c>
      <c r="D11" s="143">
        <v>8698829380698</v>
      </c>
      <c r="E11" s="142" t="s">
        <v>69</v>
      </c>
      <c r="F11" s="142" t="s">
        <v>69</v>
      </c>
      <c r="G11" s="142" t="s">
        <v>19</v>
      </c>
      <c r="H11" s="142">
        <v>14</v>
      </c>
      <c r="I11" s="142">
        <v>20</v>
      </c>
      <c r="J11" s="142" t="s">
        <v>29</v>
      </c>
      <c r="K11" s="142">
        <v>4</v>
      </c>
      <c r="L11" s="142">
        <v>14</v>
      </c>
      <c r="M11" s="142">
        <v>166</v>
      </c>
      <c r="N11" s="142" t="s">
        <v>23</v>
      </c>
      <c r="O11" s="142">
        <v>6</v>
      </c>
      <c r="P11" s="142" t="s">
        <v>70</v>
      </c>
      <c r="Q11" s="142" t="s">
        <v>67</v>
      </c>
      <c r="R11" s="142">
        <v>225</v>
      </c>
    </row>
    <row r="12" spans="2:22" ht="31.5" x14ac:dyDescent="0.25">
      <c r="B12" s="142" t="str">
        <f t="shared" si="0"/>
        <v>Maydonoz DönerMutlukal Tortillas 15cm 250g</v>
      </c>
      <c r="C12" s="142" t="s">
        <v>75</v>
      </c>
      <c r="D12" s="143">
        <v>8698829380698</v>
      </c>
      <c r="E12" s="142" t="s">
        <v>71</v>
      </c>
      <c r="F12" s="142" t="s">
        <v>76</v>
      </c>
      <c r="G12" s="142" t="s">
        <v>19</v>
      </c>
      <c r="H12" s="142">
        <v>10</v>
      </c>
      <c r="I12" s="142">
        <v>12</v>
      </c>
      <c r="J12" s="142" t="s">
        <v>29</v>
      </c>
      <c r="K12" s="142">
        <v>10</v>
      </c>
      <c r="L12" s="142">
        <v>12</v>
      </c>
      <c r="M12" s="142">
        <v>250</v>
      </c>
      <c r="N12" s="142" t="s">
        <v>72</v>
      </c>
      <c r="O12" s="142">
        <v>6</v>
      </c>
      <c r="P12" s="142" t="s">
        <v>73</v>
      </c>
      <c r="Q12" s="140" t="s">
        <v>74</v>
      </c>
      <c r="R12" s="142">
        <v>96</v>
      </c>
    </row>
    <row r="13" spans="2:22" x14ac:dyDescent="0.25">
      <c r="B13" s="144" t="str">
        <f t="shared" si="0"/>
        <v>Şok MarketTaco 15 cm 6 lı 150 g</v>
      </c>
      <c r="C13" s="142" t="s">
        <v>95</v>
      </c>
      <c r="D13" s="143">
        <v>8698829380698</v>
      </c>
      <c r="E13" s="142" t="s">
        <v>96</v>
      </c>
      <c r="F13" s="142" t="s">
        <v>97</v>
      </c>
      <c r="G13" s="142" t="s">
        <v>19</v>
      </c>
      <c r="H13" s="142">
        <v>18</v>
      </c>
      <c r="I13" s="142">
        <v>15</v>
      </c>
      <c r="J13" s="142" t="s">
        <v>98</v>
      </c>
      <c r="K13" s="142">
        <v>6</v>
      </c>
      <c r="L13" s="142">
        <v>18</v>
      </c>
      <c r="M13" s="142">
        <v>250</v>
      </c>
      <c r="N13" s="142" t="s">
        <v>72</v>
      </c>
      <c r="O13" s="142">
        <v>6</v>
      </c>
      <c r="P13" s="142" t="s">
        <v>99</v>
      </c>
      <c r="Q13" s="142" t="s">
        <v>100</v>
      </c>
      <c r="R13" s="142">
        <v>60</v>
      </c>
    </row>
    <row r="14" spans="2:22" x14ac:dyDescent="0.25">
      <c r="B14" s="142" t="str">
        <f t="shared" si="0"/>
        <v>Aylin KartonHappylla 25 cm 10 lu 650g</v>
      </c>
      <c r="C14" s="142" t="s">
        <v>101</v>
      </c>
      <c r="D14" s="143">
        <v>8698829380698</v>
      </c>
      <c r="E14" s="142" t="s">
        <v>102</v>
      </c>
      <c r="F14" s="142" t="s">
        <v>103</v>
      </c>
      <c r="G14" s="142" t="s">
        <v>19</v>
      </c>
      <c r="H14" s="142">
        <v>12</v>
      </c>
      <c r="I14" s="142">
        <v>25</v>
      </c>
      <c r="J14" s="142" t="s">
        <v>104</v>
      </c>
      <c r="K14" s="142">
        <v>10</v>
      </c>
      <c r="L14" s="142">
        <v>12</v>
      </c>
      <c r="M14" s="142">
        <v>650</v>
      </c>
      <c r="N14" s="142" t="s">
        <v>105</v>
      </c>
      <c r="O14" s="142">
        <v>6</v>
      </c>
      <c r="P14" s="142" t="s">
        <v>106</v>
      </c>
      <c r="Q14" s="142" t="s">
        <v>107</v>
      </c>
      <c r="R14" s="142">
        <v>50</v>
      </c>
    </row>
    <row r="15" spans="2:22" x14ac:dyDescent="0.25">
      <c r="B15" s="144" t="str">
        <f t="shared" si="0"/>
        <v>SMART LLCKırmızı tortillas 25cm 4 lü 250g</v>
      </c>
      <c r="C15" s="142" t="s">
        <v>64</v>
      </c>
      <c r="D15" s="143">
        <v>8698829380698</v>
      </c>
      <c r="E15" s="142" t="s">
        <v>108</v>
      </c>
      <c r="F15" s="142" t="s">
        <v>109</v>
      </c>
      <c r="G15" s="142" t="s">
        <v>19</v>
      </c>
      <c r="H15" s="142">
        <v>30</v>
      </c>
      <c r="I15" s="142">
        <v>25</v>
      </c>
      <c r="J15" s="142" t="s">
        <v>110</v>
      </c>
      <c r="K15" s="142">
        <v>4</v>
      </c>
      <c r="L15" s="142">
        <v>30</v>
      </c>
      <c r="M15" s="142">
        <v>250</v>
      </c>
      <c r="N15" s="142" t="s">
        <v>111</v>
      </c>
      <c r="O15" s="142">
        <v>9</v>
      </c>
      <c r="P15" s="142" t="s">
        <v>535</v>
      </c>
      <c r="Q15" s="142" t="s">
        <v>25</v>
      </c>
      <c r="R15" s="142">
        <v>84</v>
      </c>
    </row>
    <row r="16" spans="2:22" x14ac:dyDescent="0.25">
      <c r="B16" s="142" t="str">
        <f t="shared" si="0"/>
        <v>Şok MarketBisto 25 cm 12 pcs 840g</v>
      </c>
      <c r="C16" s="142" t="s">
        <v>95</v>
      </c>
      <c r="D16" s="143">
        <v>8698829380698</v>
      </c>
      <c r="E16" s="142" t="s">
        <v>114</v>
      </c>
      <c r="F16" s="142" t="s">
        <v>115</v>
      </c>
      <c r="G16" s="142" t="s">
        <v>19</v>
      </c>
      <c r="H16" s="142">
        <v>12</v>
      </c>
      <c r="I16" s="142">
        <v>25</v>
      </c>
      <c r="J16" s="142" t="s">
        <v>116</v>
      </c>
      <c r="K16" s="142">
        <v>12</v>
      </c>
      <c r="L16" s="142">
        <v>12</v>
      </c>
      <c r="M16" s="142">
        <v>840</v>
      </c>
      <c r="N16" s="142" t="s">
        <v>105</v>
      </c>
      <c r="O16" s="142">
        <v>6</v>
      </c>
      <c r="P16" s="142" t="s">
        <v>117</v>
      </c>
      <c r="Q16" s="142" t="s">
        <v>118</v>
      </c>
      <c r="R16" s="142">
        <v>48</v>
      </c>
    </row>
    <row r="17" spans="2:20" x14ac:dyDescent="0.25">
      <c r="B17" s="144" t="str">
        <f t="shared" si="0"/>
        <v>A101Nimet 25cm 12 pcs 840g</v>
      </c>
      <c r="C17" s="142" t="s">
        <v>119</v>
      </c>
      <c r="D17" s="143">
        <v>8698829380698</v>
      </c>
      <c r="E17" s="142" t="s">
        <v>120</v>
      </c>
      <c r="F17" s="142" t="s">
        <v>121</v>
      </c>
      <c r="G17" s="142" t="s">
        <v>19</v>
      </c>
      <c r="H17" s="142">
        <v>12</v>
      </c>
      <c r="I17" s="142">
        <v>25</v>
      </c>
      <c r="J17" s="142" t="s">
        <v>116</v>
      </c>
      <c r="K17" s="142">
        <v>12</v>
      </c>
      <c r="L17" s="142">
        <v>12</v>
      </c>
      <c r="M17" s="142">
        <v>840</v>
      </c>
      <c r="N17" s="142" t="s">
        <v>72</v>
      </c>
      <c r="O17" s="142">
        <v>5</v>
      </c>
      <c r="P17" s="142" t="s">
        <v>122</v>
      </c>
      <c r="Q17" s="142" t="s">
        <v>25</v>
      </c>
      <c r="R17" s="142">
        <v>50</v>
      </c>
    </row>
    <row r="18" spans="2:20" x14ac:dyDescent="0.25">
      <c r="B18" s="142" t="str">
        <f t="shared" si="0"/>
        <v>SultanoğluTortillove 25 cm 8pcs 520g</v>
      </c>
      <c r="C18" s="142" t="s">
        <v>125</v>
      </c>
      <c r="D18" s="143">
        <v>8698829380698</v>
      </c>
      <c r="E18" s="142" t="s">
        <v>126</v>
      </c>
      <c r="F18" s="142" t="s">
        <v>127</v>
      </c>
      <c r="G18" s="142" t="s">
        <v>19</v>
      </c>
      <c r="H18" s="142">
        <v>14</v>
      </c>
      <c r="I18" s="142">
        <v>25</v>
      </c>
      <c r="J18" s="142" t="s">
        <v>128</v>
      </c>
      <c r="K18" s="142">
        <v>8</v>
      </c>
      <c r="L18" s="142">
        <v>14</v>
      </c>
      <c r="M18" s="142">
        <v>520</v>
      </c>
      <c r="N18" s="142" t="s">
        <v>72</v>
      </c>
      <c r="O18" s="142">
        <v>6</v>
      </c>
      <c r="P18" s="142" t="s">
        <v>129</v>
      </c>
      <c r="Q18" s="142" t="s">
        <v>107</v>
      </c>
    </row>
    <row r="19" spans="2:20" x14ac:dyDescent="0.25">
      <c r="B19" s="144" t="str">
        <f t="shared" si="0"/>
        <v>KopuzMutlukal Tortillas 30cm 950g</v>
      </c>
      <c r="C19" s="142" t="s">
        <v>130</v>
      </c>
      <c r="D19" s="143">
        <v>8698829380698</v>
      </c>
      <c r="E19" s="142" t="s">
        <v>131</v>
      </c>
      <c r="F19" s="142" t="s">
        <v>132</v>
      </c>
      <c r="G19" s="142" t="s">
        <v>19</v>
      </c>
      <c r="H19" s="142">
        <v>12</v>
      </c>
      <c r="I19" s="142">
        <v>30</v>
      </c>
      <c r="J19" s="142" t="s">
        <v>128</v>
      </c>
      <c r="K19" s="142">
        <v>10</v>
      </c>
      <c r="L19" s="142">
        <v>12</v>
      </c>
      <c r="M19" s="142">
        <v>950</v>
      </c>
      <c r="N19" s="142" t="s">
        <v>105</v>
      </c>
      <c r="O19" s="142">
        <v>6</v>
      </c>
      <c r="P19" s="142" t="s">
        <v>133</v>
      </c>
      <c r="Q19" s="142" t="s">
        <v>134</v>
      </c>
    </row>
    <row r="20" spans="2:20" x14ac:dyDescent="0.25">
      <c r="B20" s="142" t="str">
        <f t="shared" si="0"/>
        <v xml:space="preserve">GERMESHanami 20cm sade 4pcs 166g </v>
      </c>
      <c r="C20" s="142" t="s">
        <v>27</v>
      </c>
      <c r="D20" s="143">
        <v>8698829380698</v>
      </c>
      <c r="E20" s="142" t="s">
        <v>162</v>
      </c>
      <c r="F20" s="142" t="s">
        <v>163</v>
      </c>
      <c r="G20" s="142" t="s">
        <v>19</v>
      </c>
      <c r="H20" s="142">
        <v>30</v>
      </c>
      <c r="I20" s="142">
        <v>20</v>
      </c>
      <c r="J20" s="142" t="s">
        <v>128</v>
      </c>
      <c r="K20" s="142">
        <v>4</v>
      </c>
      <c r="L20" s="142">
        <v>30</v>
      </c>
      <c r="M20" s="142">
        <v>166</v>
      </c>
      <c r="N20" s="142" t="s">
        <v>111</v>
      </c>
      <c r="O20" s="142">
        <v>9</v>
      </c>
      <c r="P20" s="142" t="s">
        <v>430</v>
      </c>
      <c r="Q20" s="142" t="s">
        <v>164</v>
      </c>
      <c r="R20" s="142">
        <v>140</v>
      </c>
      <c r="T20" s="142" t="s">
        <v>429</v>
      </c>
    </row>
    <row r="21" spans="2:20" x14ac:dyDescent="0.25">
      <c r="B21" s="144" t="str">
        <f t="shared" si="0"/>
        <v>GERMESTortillas 20cm 4 lü 166g</v>
      </c>
      <c r="C21" s="142" t="s">
        <v>27</v>
      </c>
      <c r="D21" s="143">
        <v>8698829380698</v>
      </c>
      <c r="E21" s="142" t="s">
        <v>166</v>
      </c>
      <c r="F21" s="142" t="s">
        <v>171</v>
      </c>
      <c r="G21" s="142" t="s">
        <v>19</v>
      </c>
      <c r="H21" s="142">
        <v>30</v>
      </c>
      <c r="I21" s="142">
        <v>20</v>
      </c>
      <c r="J21" s="142" t="s">
        <v>104</v>
      </c>
      <c r="K21" s="142">
        <v>4</v>
      </c>
      <c r="L21" s="142">
        <v>30</v>
      </c>
      <c r="M21" s="142">
        <v>166</v>
      </c>
      <c r="N21" s="142" t="s">
        <v>111</v>
      </c>
      <c r="O21" s="142">
        <v>9</v>
      </c>
      <c r="P21" s="142" t="s">
        <v>167</v>
      </c>
      <c r="Q21" s="142" t="s">
        <v>164</v>
      </c>
      <c r="R21" s="142">
        <v>140</v>
      </c>
      <c r="T21" s="142" t="s">
        <v>294</v>
      </c>
    </row>
    <row r="22" spans="2:20" x14ac:dyDescent="0.25">
      <c r="B22" s="142" t="str">
        <f t="shared" si="0"/>
        <v>GERMESHanami Peynirli 20cm 4 lü 166g</v>
      </c>
      <c r="C22" s="142" t="s">
        <v>27</v>
      </c>
      <c r="D22" s="143">
        <v>8698829380698</v>
      </c>
      <c r="E22" s="142" t="s">
        <v>168</v>
      </c>
      <c r="F22" s="142" t="s">
        <v>170</v>
      </c>
      <c r="G22" s="142" t="s">
        <v>47</v>
      </c>
      <c r="H22" s="142">
        <v>30</v>
      </c>
      <c r="I22" s="142">
        <v>20</v>
      </c>
      <c r="J22" s="142" t="s">
        <v>169</v>
      </c>
      <c r="K22" s="142">
        <v>4</v>
      </c>
      <c r="L22" s="142">
        <v>30</v>
      </c>
      <c r="M22" s="142">
        <v>166</v>
      </c>
      <c r="N22" s="142" t="s">
        <v>23</v>
      </c>
      <c r="O22" s="142">
        <v>9</v>
      </c>
      <c r="P22" s="142" t="s">
        <v>62</v>
      </c>
      <c r="Q22" s="142" t="s">
        <v>67</v>
      </c>
      <c r="R22" s="142">
        <v>140</v>
      </c>
      <c r="T22" s="142" t="s">
        <v>429</v>
      </c>
    </row>
    <row r="23" spans="2:20" x14ac:dyDescent="0.25">
      <c r="B23" s="144" t="str">
        <f t="shared" si="0"/>
        <v>LLC KOTORManetka 20cm 4 pcs 166g</v>
      </c>
      <c r="C23" s="142" t="s">
        <v>45</v>
      </c>
      <c r="D23" s="143">
        <v>8698829380698</v>
      </c>
      <c r="E23" s="142" t="s">
        <v>173</v>
      </c>
      <c r="F23" s="142" t="s">
        <v>174</v>
      </c>
      <c r="G23" s="142" t="s">
        <v>19</v>
      </c>
      <c r="H23" s="142">
        <v>14</v>
      </c>
      <c r="I23" s="142">
        <v>20</v>
      </c>
      <c r="J23" s="142" t="s">
        <v>128</v>
      </c>
      <c r="K23" s="142">
        <v>4</v>
      </c>
      <c r="L23" s="142">
        <v>14</v>
      </c>
      <c r="M23" s="142">
        <v>166</v>
      </c>
      <c r="N23" s="142" t="s">
        <v>23</v>
      </c>
      <c r="O23" s="142">
        <v>6</v>
      </c>
      <c r="P23" s="142" t="s">
        <v>175</v>
      </c>
      <c r="Q23" s="142" t="s">
        <v>164</v>
      </c>
      <c r="R23" s="142">
        <v>225</v>
      </c>
    </row>
    <row r="24" spans="2:20" x14ac:dyDescent="0.25">
      <c r="B24" s="142" t="str">
        <f t="shared" si="0"/>
        <v>SMART LLCTortillas 20cm Peynirli 4pcs 166g</v>
      </c>
      <c r="C24" s="142" t="s">
        <v>64</v>
      </c>
      <c r="D24" s="143">
        <v>8698829380698</v>
      </c>
      <c r="E24" s="142" t="s">
        <v>176</v>
      </c>
      <c r="F24" s="142" t="s">
        <v>365</v>
      </c>
      <c r="G24" s="142" t="s">
        <v>47</v>
      </c>
      <c r="H24" s="142">
        <v>14</v>
      </c>
      <c r="I24" s="142">
        <v>20</v>
      </c>
      <c r="J24" s="142" t="s">
        <v>61</v>
      </c>
      <c r="K24" s="142">
        <v>4</v>
      </c>
      <c r="L24" s="142">
        <v>14</v>
      </c>
      <c r="M24" s="142">
        <v>166</v>
      </c>
      <c r="N24" s="142" t="s">
        <v>23</v>
      </c>
      <c r="O24" s="142">
        <v>9</v>
      </c>
      <c r="P24" s="142" t="s">
        <v>175</v>
      </c>
      <c r="Q24" s="142" t="s">
        <v>164</v>
      </c>
      <c r="R24" s="142">
        <v>225</v>
      </c>
    </row>
    <row r="25" spans="2:20" x14ac:dyDescent="0.25">
      <c r="B25" s="144" t="str">
        <f t="shared" si="0"/>
        <v>EYALRimini 20 cm 8 pcs 360g</v>
      </c>
      <c r="C25" s="142" t="s">
        <v>177</v>
      </c>
      <c r="D25" s="143">
        <v>8698829380698</v>
      </c>
      <c r="E25" s="142" t="s">
        <v>178</v>
      </c>
      <c r="F25" s="142" t="s">
        <v>179</v>
      </c>
      <c r="G25" s="142" t="s">
        <v>19</v>
      </c>
      <c r="H25" s="142">
        <v>14</v>
      </c>
      <c r="I25" s="142">
        <v>20</v>
      </c>
      <c r="J25" s="142" t="s">
        <v>104</v>
      </c>
      <c r="K25" s="142">
        <v>8</v>
      </c>
      <c r="L25" s="142">
        <v>14</v>
      </c>
      <c r="M25" s="142">
        <v>360</v>
      </c>
      <c r="N25" s="142" t="s">
        <v>23</v>
      </c>
      <c r="P25" s="142" t="s">
        <v>180</v>
      </c>
      <c r="Q25" s="142" t="s">
        <v>164</v>
      </c>
      <c r="R25" s="142">
        <v>120</v>
      </c>
    </row>
    <row r="26" spans="2:20" x14ac:dyDescent="0.25">
      <c r="B26" s="142" t="str">
        <f t="shared" si="0"/>
        <v>ALDİ - KOSOVATortillove 30cm 10pcs 900g</v>
      </c>
      <c r="C26" s="142" t="s">
        <v>181</v>
      </c>
      <c r="D26" s="143">
        <v>8698829380698</v>
      </c>
      <c r="E26" s="142" t="s">
        <v>182</v>
      </c>
      <c r="F26" s="142" t="s">
        <v>183</v>
      </c>
      <c r="G26" s="142" t="s">
        <v>19</v>
      </c>
      <c r="H26" s="142">
        <v>12</v>
      </c>
      <c r="I26" s="142">
        <v>30</v>
      </c>
      <c r="J26" s="142" t="s">
        <v>128</v>
      </c>
      <c r="K26" s="142">
        <v>10</v>
      </c>
      <c r="L26" s="142">
        <v>12</v>
      </c>
      <c r="M26" s="142">
        <v>900</v>
      </c>
      <c r="N26" s="142" t="s">
        <v>111</v>
      </c>
      <c r="O26" s="142">
        <v>12</v>
      </c>
      <c r="P26" s="142" t="s">
        <v>194</v>
      </c>
      <c r="Q26" s="142" t="s">
        <v>184</v>
      </c>
      <c r="R26" s="142">
        <v>50</v>
      </c>
      <c r="T26" s="142" t="s">
        <v>209</v>
      </c>
    </row>
    <row r="27" spans="2:20" x14ac:dyDescent="0.25">
      <c r="B27" s="144" t="str">
        <f t="shared" si="0"/>
        <v>ALDİ - KOSOVATortillas 30cm 10pcs 900g</v>
      </c>
      <c r="C27" s="142" t="s">
        <v>181</v>
      </c>
      <c r="D27" s="143">
        <v>8698829380698</v>
      </c>
      <c r="E27" s="142" t="s">
        <v>185</v>
      </c>
      <c r="F27" s="142" t="s">
        <v>186</v>
      </c>
      <c r="G27" s="142" t="s">
        <v>19</v>
      </c>
      <c r="H27" s="142">
        <v>12</v>
      </c>
      <c r="I27" s="142">
        <v>30</v>
      </c>
      <c r="J27" s="142" t="s">
        <v>128</v>
      </c>
      <c r="K27" s="142">
        <v>10</v>
      </c>
      <c r="L27" s="142">
        <v>12</v>
      </c>
      <c r="M27" s="142">
        <v>900</v>
      </c>
      <c r="N27" s="142" t="s">
        <v>111</v>
      </c>
      <c r="O27" s="142">
        <v>12</v>
      </c>
      <c r="P27" s="142" t="s">
        <v>195</v>
      </c>
      <c r="Q27" s="142" t="s">
        <v>184</v>
      </c>
      <c r="R27" s="142">
        <v>50</v>
      </c>
      <c r="T27" s="142" t="s">
        <v>210</v>
      </c>
    </row>
    <row r="28" spans="2:20" x14ac:dyDescent="0.25">
      <c r="B28" s="142" t="str">
        <f t="shared" si="0"/>
        <v>ALDİ - KOSOVATortillove 25cm 6pcs 390g</v>
      </c>
      <c r="C28" s="142" t="s">
        <v>181</v>
      </c>
      <c r="D28" s="143">
        <v>8698829380698</v>
      </c>
      <c r="E28" s="142" t="s">
        <v>187</v>
      </c>
      <c r="F28" s="142" t="s">
        <v>188</v>
      </c>
      <c r="G28" s="142" t="s">
        <v>19</v>
      </c>
      <c r="H28" s="142">
        <v>18</v>
      </c>
      <c r="I28" s="142">
        <v>25</v>
      </c>
      <c r="J28" s="142" t="s">
        <v>128</v>
      </c>
      <c r="K28" s="142">
        <v>6</v>
      </c>
      <c r="L28" s="142">
        <v>18</v>
      </c>
      <c r="M28" s="142">
        <v>390</v>
      </c>
      <c r="N28" s="142" t="s">
        <v>111</v>
      </c>
      <c r="O28" s="142">
        <v>12</v>
      </c>
      <c r="P28" s="142" t="s">
        <v>196</v>
      </c>
      <c r="Q28" s="142" t="s">
        <v>107</v>
      </c>
      <c r="R28" s="142">
        <v>84</v>
      </c>
      <c r="T28" s="142" t="s">
        <v>211</v>
      </c>
    </row>
    <row r="29" spans="2:20" x14ac:dyDescent="0.25">
      <c r="B29" s="144" t="str">
        <f t="shared" si="0"/>
        <v>ALDİ - KOSOVATortillas 25cm 6pcs 390g</v>
      </c>
      <c r="C29" s="142" t="s">
        <v>181</v>
      </c>
      <c r="D29" s="143">
        <v>8698829380698</v>
      </c>
      <c r="E29" s="142" t="s">
        <v>189</v>
      </c>
      <c r="F29" s="142" t="s">
        <v>190</v>
      </c>
      <c r="G29" s="142" t="s">
        <v>19</v>
      </c>
      <c r="H29" s="142">
        <v>18</v>
      </c>
      <c r="I29" s="142">
        <v>25</v>
      </c>
      <c r="J29" s="142" t="s">
        <v>128</v>
      </c>
      <c r="K29" s="142">
        <v>6</v>
      </c>
      <c r="L29" s="142">
        <v>18</v>
      </c>
      <c r="M29" s="142">
        <v>390</v>
      </c>
      <c r="N29" s="142" t="s">
        <v>111</v>
      </c>
      <c r="O29" s="142">
        <v>12</v>
      </c>
      <c r="P29" s="142" t="s">
        <v>197</v>
      </c>
      <c r="Q29" s="142" t="s">
        <v>107</v>
      </c>
      <c r="R29" s="142">
        <v>84</v>
      </c>
      <c r="T29" s="142" t="s">
        <v>212</v>
      </c>
    </row>
    <row r="30" spans="2:20" x14ac:dyDescent="0.25">
      <c r="B30" s="142" t="str">
        <f t="shared" si="0"/>
        <v>ALDİ - KOSOVATortillove 25cm TB 6pcs 390g</v>
      </c>
      <c r="C30" s="142" t="s">
        <v>181</v>
      </c>
      <c r="D30" s="143">
        <v>8698829380698</v>
      </c>
      <c r="E30" s="142" t="s">
        <v>372</v>
      </c>
      <c r="F30" s="142" t="s">
        <v>213</v>
      </c>
      <c r="G30" s="142" t="s">
        <v>191</v>
      </c>
      <c r="H30" s="142">
        <v>18</v>
      </c>
      <c r="I30" s="142">
        <v>25</v>
      </c>
      <c r="J30" s="142" t="s">
        <v>128</v>
      </c>
      <c r="K30" s="142">
        <v>6</v>
      </c>
      <c r="L30" s="142">
        <v>18</v>
      </c>
      <c r="M30" s="142">
        <v>390</v>
      </c>
      <c r="N30" s="142" t="s">
        <v>111</v>
      </c>
      <c r="O30" s="142">
        <v>12</v>
      </c>
      <c r="P30" s="142" t="s">
        <v>198</v>
      </c>
      <c r="Q30" s="142" t="s">
        <v>107</v>
      </c>
      <c r="R30" s="142">
        <v>84</v>
      </c>
      <c r="T30" s="142" t="s">
        <v>215</v>
      </c>
    </row>
    <row r="31" spans="2:20" x14ac:dyDescent="0.25">
      <c r="B31" s="144" t="str">
        <f t="shared" si="0"/>
        <v>ALDİ - KOSOVATortillas 25cm TB 6pcs 390g</v>
      </c>
      <c r="C31" s="142" t="s">
        <v>181</v>
      </c>
      <c r="D31" s="143">
        <v>8698829380698</v>
      </c>
      <c r="E31" s="142" t="s">
        <v>251</v>
      </c>
      <c r="F31" s="142" t="s">
        <v>214</v>
      </c>
      <c r="G31" s="142" t="s">
        <v>191</v>
      </c>
      <c r="H31" s="142">
        <v>18</v>
      </c>
      <c r="I31" s="142">
        <v>25</v>
      </c>
      <c r="J31" s="142" t="s">
        <v>128</v>
      </c>
      <c r="K31" s="142">
        <v>6</v>
      </c>
      <c r="L31" s="142">
        <v>18</v>
      </c>
      <c r="M31" s="142">
        <v>390</v>
      </c>
      <c r="N31" s="142" t="s">
        <v>111</v>
      </c>
      <c r="O31" s="142">
        <v>12</v>
      </c>
      <c r="P31" s="142" t="s">
        <v>199</v>
      </c>
      <c r="Q31" s="142" t="s">
        <v>107</v>
      </c>
      <c r="R31" s="142">
        <v>84</v>
      </c>
      <c r="T31" s="142" t="s">
        <v>216</v>
      </c>
    </row>
    <row r="32" spans="2:20" x14ac:dyDescent="0.25">
      <c r="B32" s="142" t="str">
        <f t="shared" si="0"/>
        <v>ALDİ - KOSOVATortillove 25cm 10pcs 650g</v>
      </c>
      <c r="C32" s="142" t="s">
        <v>181</v>
      </c>
      <c r="D32" s="143">
        <v>8698829380698</v>
      </c>
      <c r="E32" s="142" t="s">
        <v>192</v>
      </c>
      <c r="F32" s="142" t="s">
        <v>188</v>
      </c>
      <c r="G32" s="142" t="s">
        <v>19</v>
      </c>
      <c r="H32" s="142">
        <v>12</v>
      </c>
      <c r="I32" s="142">
        <v>25</v>
      </c>
      <c r="J32" s="142" t="s">
        <v>128</v>
      </c>
      <c r="K32" s="142">
        <v>10</v>
      </c>
      <c r="L32" s="142">
        <v>12</v>
      </c>
      <c r="M32" s="142">
        <v>650</v>
      </c>
      <c r="N32" s="142" t="s">
        <v>111</v>
      </c>
      <c r="O32" s="142">
        <v>12</v>
      </c>
      <c r="P32" s="142" t="s">
        <v>200</v>
      </c>
      <c r="Q32" s="142" t="s">
        <v>107</v>
      </c>
      <c r="R32" s="142">
        <v>84</v>
      </c>
      <c r="T32" s="142" t="s">
        <v>209</v>
      </c>
    </row>
    <row r="33" spans="2:20" x14ac:dyDescent="0.25">
      <c r="B33" s="144" t="str">
        <f t="shared" si="0"/>
        <v>ALDİ - KOSOVATortillas 25cm 10pcs 650g</v>
      </c>
      <c r="C33" s="142" t="s">
        <v>181</v>
      </c>
      <c r="D33" s="143">
        <v>8698829380698</v>
      </c>
      <c r="E33" s="142" t="s">
        <v>193</v>
      </c>
      <c r="F33" s="142" t="s">
        <v>190</v>
      </c>
      <c r="G33" s="142" t="s">
        <v>19</v>
      </c>
      <c r="H33" s="142">
        <v>12</v>
      </c>
      <c r="I33" s="142">
        <v>25</v>
      </c>
      <c r="J33" s="142" t="s">
        <v>128</v>
      </c>
      <c r="K33" s="142">
        <v>10</v>
      </c>
      <c r="L33" s="142">
        <v>12</v>
      </c>
      <c r="M33" s="142">
        <v>650</v>
      </c>
      <c r="N33" s="142" t="s">
        <v>111</v>
      </c>
      <c r="O33" s="142">
        <v>12</v>
      </c>
      <c r="P33" s="142" t="s">
        <v>201</v>
      </c>
      <c r="Q33" s="142" t="s">
        <v>107</v>
      </c>
      <c r="R33" s="142">
        <v>84</v>
      </c>
      <c r="T33" s="142" t="s">
        <v>210</v>
      </c>
    </row>
    <row r="34" spans="2:20" ht="47.25" x14ac:dyDescent="0.25">
      <c r="B34" s="142" t="str">
        <f t="shared" si="0"/>
        <v>ALDİ - KOSOVAPizza-6 26cm 4pcs 480g</v>
      </c>
      <c r="C34" s="142" t="s">
        <v>181</v>
      </c>
      <c r="D34" s="143">
        <v>8698829380698</v>
      </c>
      <c r="E34" s="142" t="s">
        <v>206</v>
      </c>
      <c r="F34" s="142" t="s">
        <v>207</v>
      </c>
      <c r="G34" s="142" t="s">
        <v>19</v>
      </c>
      <c r="H34" s="142">
        <v>6</v>
      </c>
      <c r="I34" s="142">
        <v>26</v>
      </c>
      <c r="J34" s="142" t="s">
        <v>128</v>
      </c>
      <c r="K34" s="142">
        <v>4</v>
      </c>
      <c r="L34" s="142">
        <v>6</v>
      </c>
      <c r="M34" s="142">
        <v>480</v>
      </c>
      <c r="N34" s="142" t="s">
        <v>23</v>
      </c>
      <c r="O34" s="142">
        <v>12</v>
      </c>
      <c r="P34" s="142" t="s">
        <v>202</v>
      </c>
      <c r="Q34" s="140" t="s">
        <v>203</v>
      </c>
      <c r="R34" s="142">
        <v>120</v>
      </c>
      <c r="T34" s="142" t="s">
        <v>217</v>
      </c>
    </row>
    <row r="35" spans="2:20" x14ac:dyDescent="0.25">
      <c r="B35" s="144" t="str">
        <f>IF(C35="","",CONCATENATE(C35,E35))</f>
        <v>TASTE LAND-BULGARİSTANTortillas 30cm Sade 18pcs 1620g</v>
      </c>
      <c r="C35" s="142" t="s">
        <v>218</v>
      </c>
      <c r="D35" s="143">
        <v>8698829380698</v>
      </c>
      <c r="E35" s="142" t="s">
        <v>219</v>
      </c>
      <c r="F35" s="142" t="s">
        <v>249</v>
      </c>
      <c r="G35" s="142" t="s">
        <v>19</v>
      </c>
      <c r="H35" s="142">
        <v>6</v>
      </c>
      <c r="I35" s="142">
        <v>30</v>
      </c>
      <c r="J35" s="142" t="s">
        <v>128</v>
      </c>
      <c r="K35" s="142">
        <v>18</v>
      </c>
      <c r="L35" s="142">
        <v>6</v>
      </c>
      <c r="M35" s="142">
        <v>1620</v>
      </c>
      <c r="N35" s="142" t="s">
        <v>111</v>
      </c>
      <c r="O35" s="142">
        <v>9</v>
      </c>
      <c r="P35" s="142" t="s">
        <v>220</v>
      </c>
      <c r="Q35" s="142" t="s">
        <v>184</v>
      </c>
      <c r="R35" s="142">
        <v>60</v>
      </c>
      <c r="S35" s="142" t="s">
        <v>221</v>
      </c>
      <c r="T35" s="142" t="s">
        <v>264</v>
      </c>
    </row>
    <row r="36" spans="2:20" x14ac:dyDescent="0.25">
      <c r="B36" s="142" t="str">
        <f t="shared" si="0"/>
        <v>TASTE LAND-BULGARİSTANTortillas 30cm Tam Buğday 18pcs 1620g</v>
      </c>
      <c r="C36" s="142" t="s">
        <v>218</v>
      </c>
      <c r="D36" s="143">
        <v>8698829380698</v>
      </c>
      <c r="E36" s="142" t="s">
        <v>222</v>
      </c>
      <c r="F36" s="142" t="s">
        <v>265</v>
      </c>
      <c r="G36" s="142" t="s">
        <v>191</v>
      </c>
      <c r="H36" s="142">
        <v>6</v>
      </c>
      <c r="I36" s="142">
        <v>30</v>
      </c>
      <c r="J36" s="142" t="s">
        <v>128</v>
      </c>
      <c r="K36" s="142">
        <v>18</v>
      </c>
      <c r="L36" s="142">
        <v>6</v>
      </c>
      <c r="M36" s="142">
        <v>1620</v>
      </c>
      <c r="N36" s="142" t="s">
        <v>111</v>
      </c>
      <c r="O36" s="142">
        <v>9</v>
      </c>
      <c r="P36" s="142" t="s">
        <v>223</v>
      </c>
      <c r="Q36" s="142" t="s">
        <v>184</v>
      </c>
      <c r="R36" s="142">
        <v>60</v>
      </c>
      <c r="S36" s="142" t="s">
        <v>221</v>
      </c>
      <c r="T36" s="142" t="s">
        <v>266</v>
      </c>
    </row>
    <row r="37" spans="2:20" x14ac:dyDescent="0.25">
      <c r="B37" s="144" t="str">
        <f t="shared" si="0"/>
        <v>TASTE LAND-BULGARİSTANTortillas 25cm Sade 10pcs 650g</v>
      </c>
      <c r="C37" s="142" t="s">
        <v>218</v>
      </c>
      <c r="D37" s="143">
        <v>8698829380698</v>
      </c>
      <c r="E37" s="142" t="s">
        <v>228</v>
      </c>
      <c r="F37" s="142" t="s">
        <v>224</v>
      </c>
      <c r="G37" s="142" t="s">
        <v>19</v>
      </c>
      <c r="H37" s="142">
        <v>8</v>
      </c>
      <c r="I37" s="142">
        <v>25</v>
      </c>
      <c r="J37" s="142" t="s">
        <v>128</v>
      </c>
      <c r="K37" s="142">
        <v>10</v>
      </c>
      <c r="L37" s="142">
        <v>8</v>
      </c>
      <c r="M37" s="142">
        <v>650</v>
      </c>
      <c r="N37" s="142" t="s">
        <v>111</v>
      </c>
      <c r="O37" s="142">
        <v>9</v>
      </c>
      <c r="P37" s="142" t="s">
        <v>225</v>
      </c>
      <c r="Q37" s="142" t="s">
        <v>107</v>
      </c>
      <c r="R37" s="142">
        <v>120</v>
      </c>
      <c r="S37" s="142" t="s">
        <v>227</v>
      </c>
    </row>
    <row r="38" spans="2:20" x14ac:dyDescent="0.25">
      <c r="B38" s="142" t="str">
        <f t="shared" si="0"/>
        <v>TASTE LAND-BULGARİSTANTortillas 25cm Tam Buğday 10pcs 650g</v>
      </c>
      <c r="C38" s="142" t="s">
        <v>218</v>
      </c>
      <c r="D38" s="143">
        <v>8698829380698</v>
      </c>
      <c r="E38" s="142" t="s">
        <v>229</v>
      </c>
      <c r="F38" s="142" t="s">
        <v>230</v>
      </c>
      <c r="G38" s="142" t="s">
        <v>191</v>
      </c>
      <c r="H38" s="142">
        <v>8</v>
      </c>
      <c r="I38" s="142">
        <v>25</v>
      </c>
      <c r="J38" s="142" t="s">
        <v>128</v>
      </c>
      <c r="K38" s="142">
        <v>10</v>
      </c>
      <c r="L38" s="142">
        <v>8</v>
      </c>
      <c r="M38" s="142">
        <v>650</v>
      </c>
      <c r="N38" s="142" t="s">
        <v>111</v>
      </c>
      <c r="O38" s="142">
        <v>9</v>
      </c>
      <c r="P38" s="142" t="s">
        <v>231</v>
      </c>
      <c r="Q38" s="142" t="s">
        <v>107</v>
      </c>
      <c r="R38" s="142">
        <v>120</v>
      </c>
      <c r="S38" s="142" t="s">
        <v>227</v>
      </c>
    </row>
    <row r="39" spans="2:20" x14ac:dyDescent="0.25">
      <c r="B39" s="144" t="str">
        <f t="shared" si="0"/>
        <v>TASTE LAND-BULGARİSTANTortillas 25cm Domatesli 6pcs 390g</v>
      </c>
      <c r="C39" s="142" t="s">
        <v>218</v>
      </c>
      <c r="D39" s="143">
        <v>8698829380698</v>
      </c>
      <c r="E39" s="142" t="s">
        <v>232</v>
      </c>
      <c r="F39" s="142" t="s">
        <v>236</v>
      </c>
      <c r="G39" s="142" t="s">
        <v>233</v>
      </c>
      <c r="H39" s="142">
        <v>12</v>
      </c>
      <c r="I39" s="142">
        <v>25</v>
      </c>
      <c r="J39" s="142" t="s">
        <v>128</v>
      </c>
      <c r="K39" s="142">
        <v>6</v>
      </c>
      <c r="L39" s="142">
        <v>12</v>
      </c>
      <c r="M39" s="142">
        <v>390</v>
      </c>
      <c r="N39" s="142" t="s">
        <v>111</v>
      </c>
      <c r="O39" s="142">
        <v>9</v>
      </c>
      <c r="P39" s="142" t="s">
        <v>234</v>
      </c>
      <c r="Q39" s="142" t="s">
        <v>107</v>
      </c>
      <c r="R39" s="142">
        <v>120</v>
      </c>
      <c r="S39" s="142" t="s">
        <v>227</v>
      </c>
    </row>
    <row r="40" spans="2:20" x14ac:dyDescent="0.25">
      <c r="B40" s="142" t="str">
        <f t="shared" si="0"/>
        <v>TASTE LAND-BULGARİSTANTortillas 25cm Ispanaklı 6pcs 390g</v>
      </c>
      <c r="C40" s="142" t="s">
        <v>218</v>
      </c>
      <c r="D40" s="143">
        <v>8698829380698</v>
      </c>
      <c r="E40" s="142" t="s">
        <v>235</v>
      </c>
      <c r="F40" s="142" t="s">
        <v>237</v>
      </c>
      <c r="G40" s="142" t="s">
        <v>238</v>
      </c>
      <c r="H40" s="142">
        <v>12</v>
      </c>
      <c r="I40" s="142">
        <v>25</v>
      </c>
      <c r="J40" s="142" t="s">
        <v>128</v>
      </c>
      <c r="K40" s="142">
        <v>6</v>
      </c>
      <c r="L40" s="142">
        <v>12</v>
      </c>
      <c r="M40" s="142">
        <v>390</v>
      </c>
      <c r="N40" s="142" t="s">
        <v>111</v>
      </c>
      <c r="O40" s="142">
        <v>9</v>
      </c>
      <c r="P40" s="142" t="s">
        <v>239</v>
      </c>
      <c r="Q40" s="142" t="s">
        <v>107</v>
      </c>
      <c r="R40" s="142">
        <v>120</v>
      </c>
      <c r="S40" s="142" t="s">
        <v>227</v>
      </c>
    </row>
    <row r="41" spans="2:20" x14ac:dyDescent="0.25">
      <c r="B41" s="144" t="str">
        <f t="shared" si="0"/>
        <v>TASTE LAND-BULGARİSTANTortillas 25cm Peynirli 6pcs 390g</v>
      </c>
      <c r="C41" s="142" t="s">
        <v>218</v>
      </c>
      <c r="D41" s="143">
        <v>8698829380698</v>
      </c>
      <c r="E41" s="142" t="s">
        <v>240</v>
      </c>
      <c r="F41" s="142" t="s">
        <v>241</v>
      </c>
      <c r="G41" s="142" t="s">
        <v>242</v>
      </c>
      <c r="H41" s="142">
        <v>12</v>
      </c>
      <c r="I41" s="142">
        <v>25</v>
      </c>
      <c r="J41" s="142" t="s">
        <v>169</v>
      </c>
      <c r="K41" s="142">
        <v>6</v>
      </c>
      <c r="L41" s="142">
        <v>12</v>
      </c>
      <c r="M41" s="142">
        <v>390</v>
      </c>
      <c r="N41" s="142" t="s">
        <v>111</v>
      </c>
      <c r="O41" s="142">
        <v>9</v>
      </c>
      <c r="P41" s="142" t="s">
        <v>243</v>
      </c>
      <c r="Q41" s="142" t="s">
        <v>107</v>
      </c>
      <c r="R41" s="142">
        <v>120</v>
      </c>
      <c r="S41" s="142" t="s">
        <v>227</v>
      </c>
    </row>
    <row r="42" spans="2:20" ht="47.25" x14ac:dyDescent="0.25">
      <c r="B42" s="142" t="str">
        <f t="shared" si="0"/>
        <v>TASTE LAND-BULGARİSTANTortillas Pizza 26cm 4pcs 480g</v>
      </c>
      <c r="C42" s="142" t="s">
        <v>218</v>
      </c>
      <c r="D42" s="143">
        <v>8698829380698</v>
      </c>
      <c r="E42" s="142" t="s">
        <v>244</v>
      </c>
      <c r="F42" s="142" t="s">
        <v>245</v>
      </c>
      <c r="G42" s="142" t="s">
        <v>19</v>
      </c>
      <c r="H42" s="142">
        <v>8</v>
      </c>
      <c r="I42" s="142">
        <v>26</v>
      </c>
      <c r="J42" s="142" t="s">
        <v>128</v>
      </c>
      <c r="K42" s="142">
        <v>4</v>
      </c>
      <c r="L42" s="142">
        <v>8</v>
      </c>
      <c r="M42" s="142">
        <v>480</v>
      </c>
      <c r="N42" s="142" t="s">
        <v>111</v>
      </c>
      <c r="O42" s="142">
        <v>9</v>
      </c>
      <c r="P42" s="142" t="s">
        <v>246</v>
      </c>
      <c r="Q42" s="140" t="s">
        <v>203</v>
      </c>
      <c r="R42" s="142">
        <v>120</v>
      </c>
      <c r="S42" s="142" t="s">
        <v>227</v>
      </c>
    </row>
    <row r="43" spans="2:20" x14ac:dyDescent="0.25">
      <c r="B43" s="144" t="str">
        <f t="shared" si="0"/>
        <v>TASTE LAND-BULGARİSTANTortillas 25cm Sade 6pcs 390g</v>
      </c>
      <c r="C43" s="142" t="s">
        <v>218</v>
      </c>
      <c r="D43" s="143">
        <v>8698829380698</v>
      </c>
      <c r="E43" s="142" t="s">
        <v>250</v>
      </c>
      <c r="F43" s="142" t="s">
        <v>224</v>
      </c>
      <c r="G43" s="142" t="s">
        <v>19</v>
      </c>
      <c r="H43" s="142">
        <v>18</v>
      </c>
      <c r="I43" s="142">
        <v>25</v>
      </c>
      <c r="J43" s="142" t="s">
        <v>128</v>
      </c>
      <c r="K43" s="142">
        <v>6</v>
      </c>
      <c r="L43" s="142">
        <v>18</v>
      </c>
      <c r="M43" s="142">
        <v>390</v>
      </c>
      <c r="N43" s="142" t="s">
        <v>111</v>
      </c>
      <c r="O43" s="142">
        <v>9</v>
      </c>
      <c r="P43" s="142" t="s">
        <v>247</v>
      </c>
      <c r="Q43" s="142" t="s">
        <v>107</v>
      </c>
      <c r="R43" s="142">
        <v>84</v>
      </c>
      <c r="S43" s="142" t="s">
        <v>227</v>
      </c>
      <c r="T43" s="142" t="s">
        <v>259</v>
      </c>
    </row>
    <row r="44" spans="2:20" x14ac:dyDescent="0.25">
      <c r="B44" s="142" t="str">
        <f t="shared" si="0"/>
        <v>TASTE LAND-BULGARİSTANTortillas 25cm TB 6pcs 390g</v>
      </c>
      <c r="C44" s="142" t="s">
        <v>218</v>
      </c>
      <c r="D44" s="143">
        <v>8698829380698</v>
      </c>
      <c r="E44" s="142" t="s">
        <v>251</v>
      </c>
      <c r="F44" s="142" t="s">
        <v>260</v>
      </c>
      <c r="G44" s="142" t="s">
        <v>191</v>
      </c>
      <c r="H44" s="142">
        <v>18</v>
      </c>
      <c r="I44" s="142">
        <v>25</v>
      </c>
      <c r="J44" s="142" t="s">
        <v>128</v>
      </c>
      <c r="K44" s="142">
        <v>6</v>
      </c>
      <c r="L44" s="142">
        <v>18</v>
      </c>
      <c r="M44" s="142">
        <v>390</v>
      </c>
      <c r="N44" s="142" t="s">
        <v>111</v>
      </c>
      <c r="O44" s="142">
        <v>9</v>
      </c>
      <c r="P44" s="142" t="s">
        <v>248</v>
      </c>
      <c r="Q44" s="142" t="s">
        <v>107</v>
      </c>
      <c r="R44" s="142">
        <v>84</v>
      </c>
      <c r="S44" s="142" t="s">
        <v>227</v>
      </c>
      <c r="T44" s="142" t="s">
        <v>261</v>
      </c>
    </row>
    <row r="45" spans="2:20" x14ac:dyDescent="0.25">
      <c r="B45" s="144" t="str">
        <f t="shared" si="0"/>
        <v>TASTE LAND-BULGARİSTANTortillas 20cm Sade 6pcs 270g</v>
      </c>
      <c r="C45" s="142" t="s">
        <v>218</v>
      </c>
      <c r="D45" s="143">
        <v>8698829380698</v>
      </c>
      <c r="E45" s="142" t="s">
        <v>252</v>
      </c>
      <c r="F45" s="142" t="s">
        <v>263</v>
      </c>
      <c r="G45" s="142" t="s">
        <v>19</v>
      </c>
      <c r="H45" s="142">
        <v>18</v>
      </c>
      <c r="I45" s="142">
        <v>20</v>
      </c>
      <c r="J45" s="142" t="s">
        <v>128</v>
      </c>
      <c r="K45" s="142">
        <v>6</v>
      </c>
      <c r="L45" s="142">
        <v>18</v>
      </c>
      <c r="M45" s="142">
        <v>270</v>
      </c>
      <c r="N45" s="142" t="s">
        <v>111</v>
      </c>
      <c r="O45" s="142">
        <v>9</v>
      </c>
      <c r="P45" s="142" t="s">
        <v>254</v>
      </c>
      <c r="Q45" s="142" t="s">
        <v>164</v>
      </c>
      <c r="R45" s="142">
        <v>120</v>
      </c>
      <c r="S45" s="142" t="s">
        <v>255</v>
      </c>
      <c r="T45" s="142" t="s">
        <v>262</v>
      </c>
    </row>
    <row r="46" spans="2:20" ht="47.25" x14ac:dyDescent="0.25">
      <c r="B46" s="142" t="str">
        <f t="shared" si="0"/>
        <v>Ankara KahveTortillas 26cm Pizza 4pcs 480g</v>
      </c>
      <c r="C46" s="142" t="s">
        <v>256</v>
      </c>
      <c r="D46" s="143">
        <v>8698829380698</v>
      </c>
      <c r="E46" s="142" t="s">
        <v>257</v>
      </c>
      <c r="F46" s="142" t="s">
        <v>258</v>
      </c>
      <c r="G46" s="142" t="s">
        <v>19</v>
      </c>
      <c r="H46" s="142">
        <v>6</v>
      </c>
      <c r="I46" s="142">
        <v>26</v>
      </c>
      <c r="J46" s="142" t="s">
        <v>128</v>
      </c>
      <c r="K46" s="142">
        <v>4</v>
      </c>
      <c r="L46" s="142">
        <v>6</v>
      </c>
      <c r="M46" s="142">
        <v>480</v>
      </c>
      <c r="N46" s="142" t="s">
        <v>105</v>
      </c>
      <c r="O46" s="142">
        <v>6</v>
      </c>
      <c r="P46" s="142" t="s">
        <v>202</v>
      </c>
      <c r="Q46" s="140" t="s">
        <v>203</v>
      </c>
      <c r="S46" s="142" t="s">
        <v>226</v>
      </c>
    </row>
    <row r="47" spans="2:20" x14ac:dyDescent="0.25">
      <c r="B47" s="144" t="str">
        <f t="shared" si="0"/>
        <v>LAIKYUZHN-BELARUSTortillas 25cm Tam buğday 4pcs 240g</v>
      </c>
      <c r="C47" s="142" t="s">
        <v>268</v>
      </c>
      <c r="D47" s="143">
        <v>8698829380698</v>
      </c>
      <c r="E47" s="142" t="s">
        <v>269</v>
      </c>
      <c r="F47" s="142" t="s">
        <v>270</v>
      </c>
      <c r="G47" s="142" t="s">
        <v>191</v>
      </c>
      <c r="H47" s="142">
        <v>30</v>
      </c>
      <c r="I47" s="142">
        <v>25</v>
      </c>
      <c r="J47" s="142" t="s">
        <v>271</v>
      </c>
      <c r="K47" s="142">
        <v>4</v>
      </c>
      <c r="L47" s="142">
        <v>30</v>
      </c>
      <c r="M47" s="142">
        <v>240</v>
      </c>
      <c r="N47" s="142" t="s">
        <v>111</v>
      </c>
      <c r="O47" s="142">
        <v>12</v>
      </c>
      <c r="P47" s="142" t="s">
        <v>272</v>
      </c>
      <c r="Q47" s="142" t="s">
        <v>273</v>
      </c>
      <c r="R47" s="142">
        <v>84</v>
      </c>
      <c r="S47" s="142" t="s">
        <v>226</v>
      </c>
    </row>
    <row r="48" spans="2:20" x14ac:dyDescent="0.25">
      <c r="B48" s="142" t="str">
        <f t="shared" si="0"/>
        <v>LAIKYUZHN-BELARUSTortillas 25cm Domatesli 4pcs 240g</v>
      </c>
      <c r="C48" s="142" t="s">
        <v>268</v>
      </c>
      <c r="D48" s="143">
        <v>8698829380698</v>
      </c>
      <c r="E48" s="142" t="s">
        <v>274</v>
      </c>
      <c r="F48" s="142" t="s">
        <v>275</v>
      </c>
      <c r="G48" s="142" t="s">
        <v>233</v>
      </c>
      <c r="H48" s="142">
        <v>30</v>
      </c>
      <c r="I48" s="142">
        <v>25</v>
      </c>
      <c r="J48" s="142" t="s">
        <v>271</v>
      </c>
      <c r="K48" s="142">
        <v>4</v>
      </c>
      <c r="L48" s="142">
        <v>30</v>
      </c>
      <c r="M48" s="142">
        <v>240</v>
      </c>
      <c r="N48" s="142" t="s">
        <v>111</v>
      </c>
      <c r="O48" s="142">
        <v>12</v>
      </c>
      <c r="P48" s="142" t="s">
        <v>272</v>
      </c>
      <c r="Q48" s="142" t="s">
        <v>273</v>
      </c>
      <c r="R48" s="142">
        <v>84</v>
      </c>
      <c r="S48" s="142" t="s">
        <v>226</v>
      </c>
    </row>
    <row r="49" spans="2:20" x14ac:dyDescent="0.25">
      <c r="B49" s="144" t="str">
        <f t="shared" si="0"/>
        <v>LAIKYUZHN-BELARUSTortillas 25cm Ispanaklı 4pcs 240g</v>
      </c>
      <c r="C49" s="142" t="s">
        <v>268</v>
      </c>
      <c r="D49" s="143">
        <v>8698829380698</v>
      </c>
      <c r="E49" s="142" t="s">
        <v>276</v>
      </c>
      <c r="F49" s="142" t="s">
        <v>277</v>
      </c>
      <c r="G49" s="142" t="s">
        <v>238</v>
      </c>
      <c r="H49" s="142">
        <v>30</v>
      </c>
      <c r="I49" s="142">
        <v>25</v>
      </c>
      <c r="J49" s="142" t="s">
        <v>271</v>
      </c>
      <c r="K49" s="142">
        <v>4</v>
      </c>
      <c r="L49" s="142">
        <v>30</v>
      </c>
      <c r="M49" s="142">
        <v>240</v>
      </c>
      <c r="N49" s="142" t="s">
        <v>111</v>
      </c>
      <c r="O49" s="142">
        <v>12</v>
      </c>
      <c r="P49" s="142" t="s">
        <v>272</v>
      </c>
      <c r="Q49" s="142" t="s">
        <v>273</v>
      </c>
      <c r="R49" s="142">
        <v>84</v>
      </c>
      <c r="S49" s="142" t="s">
        <v>226</v>
      </c>
    </row>
    <row r="50" spans="2:20" x14ac:dyDescent="0.25">
      <c r="B50" s="142" t="str">
        <f t="shared" si="0"/>
        <v>LAIKYUZHN-BELARUSMagnit Tortillas 25cm Peynirli 4pcs 240g</v>
      </c>
      <c r="C50" s="142" t="s">
        <v>268</v>
      </c>
      <c r="D50" s="143">
        <v>8698829380698</v>
      </c>
      <c r="E50" s="142" t="s">
        <v>278</v>
      </c>
      <c r="F50" s="142" t="s">
        <v>279</v>
      </c>
      <c r="G50" s="142" t="s">
        <v>242</v>
      </c>
      <c r="H50" s="142">
        <v>30</v>
      </c>
      <c r="I50" s="142">
        <v>25</v>
      </c>
      <c r="J50" s="142" t="s">
        <v>280</v>
      </c>
      <c r="K50" s="142">
        <v>4</v>
      </c>
      <c r="L50" s="142">
        <v>30</v>
      </c>
      <c r="M50" s="142">
        <v>250</v>
      </c>
      <c r="N50" s="142" t="s">
        <v>111</v>
      </c>
      <c r="O50" s="142">
        <v>9</v>
      </c>
      <c r="P50" s="142" t="s">
        <v>272</v>
      </c>
      <c r="Q50" s="142" t="s">
        <v>273</v>
      </c>
      <c r="R50" s="142">
        <v>84</v>
      </c>
      <c r="S50" s="142" t="s">
        <v>226</v>
      </c>
      <c r="T50" s="142" t="s">
        <v>294</v>
      </c>
    </row>
    <row r="51" spans="2:20" x14ac:dyDescent="0.25">
      <c r="B51" s="144" t="str">
        <f t="shared" si="0"/>
        <v>LAIKYUZHN-BELARUSBaskısız 30cm 12pcs 1020g</v>
      </c>
      <c r="C51" s="142" t="s">
        <v>268</v>
      </c>
      <c r="D51" s="143">
        <v>8698829380698</v>
      </c>
      <c r="E51" s="142" t="s">
        <v>281</v>
      </c>
      <c r="F51" s="142" t="s">
        <v>282</v>
      </c>
      <c r="G51" s="142" t="s">
        <v>19</v>
      </c>
      <c r="H51" s="142">
        <v>10</v>
      </c>
      <c r="I51" s="142">
        <v>30</v>
      </c>
      <c r="J51" s="142" t="s">
        <v>271</v>
      </c>
      <c r="K51" s="142">
        <v>12</v>
      </c>
      <c r="L51" s="142">
        <v>10</v>
      </c>
      <c r="M51" s="142">
        <v>1020</v>
      </c>
      <c r="N51" s="142" t="s">
        <v>111</v>
      </c>
      <c r="O51" s="142">
        <v>12</v>
      </c>
      <c r="P51" s="142" t="s">
        <v>283</v>
      </c>
      <c r="Q51" s="142" t="s">
        <v>273</v>
      </c>
      <c r="T51" s="142" t="s">
        <v>295</v>
      </c>
    </row>
    <row r="52" spans="2:20" x14ac:dyDescent="0.25">
      <c r="B52" s="142" t="str">
        <f t="shared" si="0"/>
        <v>LAIKYUZHN-BELARUSKırmızı Tortillas 25cm 4ps 240g</v>
      </c>
      <c r="C52" s="142" t="s">
        <v>268</v>
      </c>
      <c r="D52" s="143">
        <v>8698829380698</v>
      </c>
      <c r="E52" s="142" t="s">
        <v>284</v>
      </c>
      <c r="F52" s="142" t="s">
        <v>285</v>
      </c>
      <c r="G52" s="142" t="s">
        <v>19</v>
      </c>
      <c r="H52" s="142">
        <v>30</v>
      </c>
      <c r="I52" s="142">
        <v>25</v>
      </c>
      <c r="J52" s="142" t="s">
        <v>271</v>
      </c>
      <c r="K52" s="142">
        <v>4</v>
      </c>
      <c r="L52" s="142">
        <v>30</v>
      </c>
      <c r="M52" s="142">
        <v>240</v>
      </c>
      <c r="N52" s="142" t="s">
        <v>111</v>
      </c>
      <c r="O52" s="142">
        <v>12</v>
      </c>
      <c r="P52" s="142" t="s">
        <v>272</v>
      </c>
      <c r="Q52" s="142" t="s">
        <v>273</v>
      </c>
      <c r="R52" s="142">
        <v>84</v>
      </c>
      <c r="S52" s="142" t="s">
        <v>226</v>
      </c>
    </row>
    <row r="53" spans="2:20" x14ac:dyDescent="0.25">
      <c r="B53" s="144" t="str">
        <f t="shared" si="0"/>
        <v>LAIKYUZHN-BELARUSTortillas Pizza 26cm 4pcs 480g</v>
      </c>
      <c r="C53" s="142" t="s">
        <v>268</v>
      </c>
      <c r="D53" s="143">
        <v>8698829380698</v>
      </c>
      <c r="E53" s="142" t="s">
        <v>244</v>
      </c>
      <c r="F53" s="142" t="s">
        <v>286</v>
      </c>
      <c r="G53" s="142" t="s">
        <v>19</v>
      </c>
      <c r="H53" s="142">
        <v>12</v>
      </c>
      <c r="I53" s="142">
        <v>26</v>
      </c>
      <c r="J53" s="142" t="s">
        <v>271</v>
      </c>
      <c r="K53" s="142">
        <v>2</v>
      </c>
      <c r="L53" s="142">
        <v>12</v>
      </c>
      <c r="M53" s="142">
        <v>240</v>
      </c>
      <c r="N53" s="142" t="s">
        <v>111</v>
      </c>
      <c r="O53" s="142">
        <v>9</v>
      </c>
      <c r="P53" s="142" t="s">
        <v>287</v>
      </c>
      <c r="Q53" s="142" t="s">
        <v>273</v>
      </c>
      <c r="R53" s="142">
        <v>192</v>
      </c>
      <c r="S53" s="142" t="s">
        <v>226</v>
      </c>
    </row>
    <row r="54" spans="2:20" x14ac:dyDescent="0.25">
      <c r="B54" s="142" t="str">
        <f t="shared" si="0"/>
        <v>UNITERA-KAZAKİSTANTortillas 25cm Tam Buğday 6pcs 390g</v>
      </c>
      <c r="C54" s="142" t="s">
        <v>288</v>
      </c>
      <c r="D54" s="143">
        <v>8698829380698</v>
      </c>
      <c r="E54" s="142" t="s">
        <v>289</v>
      </c>
      <c r="F54" s="142" t="s">
        <v>270</v>
      </c>
      <c r="G54" s="142" t="s">
        <v>191</v>
      </c>
      <c r="H54" s="142">
        <v>18</v>
      </c>
      <c r="I54" s="142">
        <v>25</v>
      </c>
      <c r="J54" s="142" t="s">
        <v>128</v>
      </c>
      <c r="K54" s="142">
        <v>6</v>
      </c>
      <c r="L54" s="142">
        <v>18</v>
      </c>
      <c r="M54" s="142">
        <v>390</v>
      </c>
      <c r="N54" s="142" t="s">
        <v>23</v>
      </c>
      <c r="O54" s="142">
        <v>9</v>
      </c>
      <c r="P54" s="142" t="s">
        <v>290</v>
      </c>
      <c r="Q54" s="142" t="s">
        <v>107</v>
      </c>
      <c r="R54" s="142">
        <v>50</v>
      </c>
      <c r="S54" s="142" t="s">
        <v>226</v>
      </c>
      <c r="T54" s="142" t="s">
        <v>304</v>
      </c>
    </row>
    <row r="55" spans="2:20" x14ac:dyDescent="0.25">
      <c r="B55" s="144" t="str">
        <f t="shared" si="0"/>
        <v>UNITERA-KAZAKİSTANTortillas 20cm Sade 6pcs 270g</v>
      </c>
      <c r="C55" s="142" t="s">
        <v>288</v>
      </c>
      <c r="D55" s="143">
        <v>8698829380698</v>
      </c>
      <c r="E55" s="142" t="s">
        <v>252</v>
      </c>
      <c r="F55" s="142" t="s">
        <v>253</v>
      </c>
      <c r="G55" s="142" t="s">
        <v>19</v>
      </c>
      <c r="H55" s="142">
        <v>18</v>
      </c>
      <c r="I55" s="142">
        <v>20</v>
      </c>
      <c r="J55" s="142" t="s">
        <v>128</v>
      </c>
      <c r="K55" s="142">
        <v>6</v>
      </c>
      <c r="L55" s="142">
        <v>18</v>
      </c>
      <c r="M55" s="142">
        <v>270</v>
      </c>
      <c r="N55" s="142" t="s">
        <v>23</v>
      </c>
      <c r="O55" s="142">
        <v>9</v>
      </c>
      <c r="P55" s="142" t="s">
        <v>498</v>
      </c>
      <c r="Q55" s="142" t="s">
        <v>291</v>
      </c>
      <c r="R55" s="142">
        <v>100</v>
      </c>
      <c r="S55" s="142" t="s">
        <v>226</v>
      </c>
      <c r="T55" s="142" t="s">
        <v>304</v>
      </c>
    </row>
    <row r="56" spans="2:20" x14ac:dyDescent="0.25">
      <c r="B56" s="142" t="str">
        <f t="shared" si="0"/>
        <v>UNITERA-KAZAKİSTANKırmızı Tortillas 25cm Sade 6pcs 390g</v>
      </c>
      <c r="C56" s="142" t="s">
        <v>288</v>
      </c>
      <c r="D56" s="143">
        <v>8698829380698</v>
      </c>
      <c r="E56" s="142" t="s">
        <v>292</v>
      </c>
      <c r="F56" s="142" t="s">
        <v>293</v>
      </c>
      <c r="G56" s="142" t="s">
        <v>19</v>
      </c>
      <c r="H56" s="142">
        <v>18</v>
      </c>
      <c r="I56" s="142">
        <v>25</v>
      </c>
      <c r="J56" s="142" t="s">
        <v>128</v>
      </c>
      <c r="K56" s="142">
        <v>6</v>
      </c>
      <c r="L56" s="142">
        <v>18</v>
      </c>
      <c r="M56" s="142">
        <v>390</v>
      </c>
      <c r="N56" s="142" t="s">
        <v>23</v>
      </c>
      <c r="O56" s="142">
        <v>9</v>
      </c>
      <c r="P56" s="142" t="s">
        <v>499</v>
      </c>
      <c r="Q56" s="142" t="s">
        <v>107</v>
      </c>
      <c r="R56" s="142">
        <v>50</v>
      </c>
      <c r="S56" s="142" t="s">
        <v>226</v>
      </c>
      <c r="T56" s="142" t="s">
        <v>304</v>
      </c>
    </row>
    <row r="57" spans="2:20" x14ac:dyDescent="0.25">
      <c r="B57" s="144" t="str">
        <f t="shared" si="0"/>
        <v>SMART LLCTortillas 20cm Çok Tahıllı 4pcs 166g</v>
      </c>
      <c r="C57" s="142" t="s">
        <v>64</v>
      </c>
      <c r="D57" s="143">
        <v>8698829380698</v>
      </c>
      <c r="E57" s="142" t="s">
        <v>296</v>
      </c>
      <c r="F57" s="142" t="s">
        <v>297</v>
      </c>
      <c r="G57" s="142" t="s">
        <v>298</v>
      </c>
      <c r="H57" s="142">
        <v>14</v>
      </c>
      <c r="I57" s="142">
        <v>20</v>
      </c>
      <c r="J57" s="142" t="s">
        <v>128</v>
      </c>
      <c r="K57" s="142">
        <v>4</v>
      </c>
      <c r="L57" s="142">
        <v>14</v>
      </c>
      <c r="M57" s="142">
        <v>166</v>
      </c>
      <c r="N57" s="142" t="s">
        <v>111</v>
      </c>
      <c r="O57" s="142">
        <v>9</v>
      </c>
      <c r="P57" s="142" t="s">
        <v>536</v>
      </c>
      <c r="Q57" s="142" t="s">
        <v>164</v>
      </c>
      <c r="R57" s="142">
        <v>225</v>
      </c>
    </row>
    <row r="58" spans="2:20" x14ac:dyDescent="0.25">
      <c r="B58" s="142" t="str">
        <f t="shared" si="0"/>
        <v>AjjawiLazeza 30 cm 6pcs 510g</v>
      </c>
      <c r="C58" s="142" t="s">
        <v>335</v>
      </c>
      <c r="D58" s="143">
        <v>8698829380698</v>
      </c>
      <c r="E58" s="142" t="s">
        <v>299</v>
      </c>
      <c r="F58" s="142" t="s">
        <v>300</v>
      </c>
      <c r="G58" s="142" t="s">
        <v>19</v>
      </c>
      <c r="H58" s="142">
        <v>18</v>
      </c>
      <c r="I58" s="142">
        <v>30</v>
      </c>
      <c r="J58" s="142" t="s">
        <v>128</v>
      </c>
      <c r="K58" s="142">
        <v>6</v>
      </c>
      <c r="L58" s="142">
        <v>18</v>
      </c>
      <c r="M58" s="142">
        <v>510</v>
      </c>
      <c r="N58" s="142" t="s">
        <v>111</v>
      </c>
      <c r="O58" s="142">
        <v>6</v>
      </c>
      <c r="P58" s="142" t="s">
        <v>301</v>
      </c>
      <c r="Q58" s="142" t="s">
        <v>184</v>
      </c>
    </row>
    <row r="59" spans="2:20" x14ac:dyDescent="0.25">
      <c r="B59" s="144" t="str">
        <f t="shared" si="0"/>
        <v>TVK ImportBaskısız 30cm 12pcs 1020g</v>
      </c>
      <c r="C59" s="142" t="s">
        <v>302</v>
      </c>
      <c r="D59" s="143">
        <v>8698829380698</v>
      </c>
      <c r="E59" s="142" t="s">
        <v>281</v>
      </c>
      <c r="F59" s="142" t="s">
        <v>282</v>
      </c>
      <c r="G59" s="142" t="s">
        <v>19</v>
      </c>
      <c r="H59" s="142">
        <v>10</v>
      </c>
      <c r="I59" s="142">
        <v>30</v>
      </c>
      <c r="J59" s="142" t="s">
        <v>104</v>
      </c>
      <c r="K59" s="142">
        <v>12</v>
      </c>
      <c r="L59" s="142">
        <v>10</v>
      </c>
      <c r="M59" s="142">
        <v>1020</v>
      </c>
      <c r="N59" s="142" t="s">
        <v>111</v>
      </c>
      <c r="O59" s="142">
        <v>6</v>
      </c>
      <c r="P59" s="142" t="s">
        <v>303</v>
      </c>
      <c r="Q59" s="142" t="s">
        <v>184</v>
      </c>
      <c r="T59" s="142" t="s">
        <v>306</v>
      </c>
    </row>
    <row r="60" spans="2:20" x14ac:dyDescent="0.25">
      <c r="B60" s="142" t="str">
        <f t="shared" si="0"/>
        <v>TVK ImportBaskısız 30cm TB 12pcs 1020g</v>
      </c>
      <c r="C60" s="142" t="s">
        <v>302</v>
      </c>
      <c r="D60" s="143">
        <v>8698829380698</v>
      </c>
      <c r="E60" s="142" t="s">
        <v>309</v>
      </c>
      <c r="F60" s="142" t="s">
        <v>282</v>
      </c>
      <c r="G60" s="142" t="s">
        <v>191</v>
      </c>
      <c r="H60" s="142">
        <v>10</v>
      </c>
      <c r="I60" s="142">
        <v>30</v>
      </c>
      <c r="J60" s="142" t="s">
        <v>104</v>
      </c>
      <c r="K60" s="142">
        <v>12</v>
      </c>
      <c r="L60" s="142">
        <v>10</v>
      </c>
      <c r="M60" s="142">
        <v>1020</v>
      </c>
      <c r="N60" s="142" t="s">
        <v>111</v>
      </c>
      <c r="O60" s="142">
        <v>6</v>
      </c>
      <c r="P60" s="142" t="s">
        <v>305</v>
      </c>
      <c r="Q60" s="142" t="s">
        <v>184</v>
      </c>
      <c r="T60" s="142" t="s">
        <v>307</v>
      </c>
    </row>
    <row r="61" spans="2:20" x14ac:dyDescent="0.25">
      <c r="B61" s="144" t="str">
        <f t="shared" si="0"/>
        <v>TVK ImportBaskısız 30cm Ispanaklı 12pcs 1020g</v>
      </c>
      <c r="C61" s="142" t="s">
        <v>302</v>
      </c>
      <c r="D61" s="143">
        <v>8698829380698</v>
      </c>
      <c r="E61" s="142" t="s">
        <v>310</v>
      </c>
      <c r="F61" s="142" t="s">
        <v>282</v>
      </c>
      <c r="G61" s="142" t="s">
        <v>238</v>
      </c>
      <c r="H61" s="142">
        <v>10</v>
      </c>
      <c r="I61" s="142">
        <v>30</v>
      </c>
      <c r="J61" s="142" t="s">
        <v>104</v>
      </c>
      <c r="K61" s="142">
        <v>12</v>
      </c>
      <c r="L61" s="142">
        <v>10</v>
      </c>
      <c r="M61" s="142">
        <v>1020</v>
      </c>
      <c r="N61" s="142" t="s">
        <v>111</v>
      </c>
      <c r="O61" s="142">
        <v>6</v>
      </c>
      <c r="P61" s="142" t="s">
        <v>305</v>
      </c>
      <c r="Q61" s="142" t="s">
        <v>184</v>
      </c>
      <c r="T61" s="142" t="s">
        <v>308</v>
      </c>
    </row>
    <row r="62" spans="2:20" x14ac:dyDescent="0.25">
      <c r="B62" s="142" t="str">
        <f t="shared" si="0"/>
        <v>Sons Of HannaHappylla 25cm Sade 6pcs 390g</v>
      </c>
      <c r="C62" s="142" t="s">
        <v>311</v>
      </c>
      <c r="D62" s="143">
        <v>8698829380698</v>
      </c>
      <c r="E62" s="142" t="s">
        <v>312</v>
      </c>
      <c r="F62" s="142" t="s">
        <v>313</v>
      </c>
      <c r="G62" s="142" t="s">
        <v>19</v>
      </c>
      <c r="H62" s="142">
        <v>18</v>
      </c>
      <c r="I62" s="142">
        <v>25</v>
      </c>
      <c r="J62" s="142" t="s">
        <v>128</v>
      </c>
      <c r="K62" s="142">
        <v>6</v>
      </c>
      <c r="L62" s="142">
        <v>18</v>
      </c>
      <c r="M62" s="142">
        <v>390</v>
      </c>
      <c r="N62" s="142" t="s">
        <v>111</v>
      </c>
      <c r="O62" s="142">
        <v>8</v>
      </c>
      <c r="P62" s="142" t="s">
        <v>129</v>
      </c>
      <c r="Q62" s="142" t="s">
        <v>314</v>
      </c>
    </row>
    <row r="63" spans="2:20" x14ac:dyDescent="0.25">
      <c r="B63" s="144" t="str">
        <f t="shared" si="0"/>
        <v>Sons Of HannaHappylla 30cm Sade 6pcs 510g</v>
      </c>
      <c r="C63" s="142" t="s">
        <v>311</v>
      </c>
      <c r="D63" s="143">
        <v>8698829380698</v>
      </c>
      <c r="E63" s="142" t="s">
        <v>315</v>
      </c>
      <c r="F63" s="142" t="s">
        <v>316</v>
      </c>
      <c r="G63" s="142" t="s">
        <v>19</v>
      </c>
      <c r="H63" s="142">
        <v>18</v>
      </c>
      <c r="I63" s="142">
        <v>30</v>
      </c>
      <c r="J63" s="142" t="s">
        <v>128</v>
      </c>
      <c r="K63" s="142">
        <v>6</v>
      </c>
      <c r="L63" s="142">
        <v>18</v>
      </c>
      <c r="M63" s="142">
        <v>510</v>
      </c>
      <c r="N63" s="142" t="s">
        <v>111</v>
      </c>
      <c r="O63" s="142">
        <v>8</v>
      </c>
      <c r="P63" s="142" t="s">
        <v>317</v>
      </c>
      <c r="Q63" s="142" t="s">
        <v>184</v>
      </c>
    </row>
    <row r="64" spans="2:20" x14ac:dyDescent="0.25">
      <c r="B64" s="142" t="str">
        <f t="shared" si="0"/>
        <v>Sons Of HannaTortillas 30cm Tam Buğday6pcs 510g</v>
      </c>
      <c r="C64" s="142" t="s">
        <v>311</v>
      </c>
      <c r="D64" s="143">
        <v>8698829380698</v>
      </c>
      <c r="E64" s="142" t="s">
        <v>318</v>
      </c>
      <c r="F64" s="142" t="s">
        <v>265</v>
      </c>
      <c r="G64" s="142" t="s">
        <v>191</v>
      </c>
      <c r="H64" s="142">
        <v>18</v>
      </c>
      <c r="I64" s="142">
        <v>30</v>
      </c>
      <c r="J64" s="142" t="s">
        <v>128</v>
      </c>
      <c r="K64" s="142">
        <v>6</v>
      </c>
      <c r="L64" s="142">
        <v>18</v>
      </c>
      <c r="M64" s="142">
        <v>510</v>
      </c>
      <c r="N64" s="142" t="s">
        <v>111</v>
      </c>
      <c r="O64" s="142">
        <v>8</v>
      </c>
      <c r="P64" s="142" t="s">
        <v>350</v>
      </c>
      <c r="Q64" s="142" t="s">
        <v>184</v>
      </c>
    </row>
    <row r="65" spans="2:20" x14ac:dyDescent="0.25">
      <c r="B65" s="144" t="str">
        <f t="shared" si="0"/>
        <v>AjjawiLazeza 25 cm 6pcs 390g</v>
      </c>
      <c r="C65" s="142" t="s">
        <v>335</v>
      </c>
      <c r="D65" s="143">
        <v>8698829380698</v>
      </c>
      <c r="E65" s="142" t="s">
        <v>319</v>
      </c>
      <c r="F65" s="142" t="s">
        <v>320</v>
      </c>
      <c r="G65" s="142" t="s">
        <v>19</v>
      </c>
      <c r="H65" s="142">
        <v>18</v>
      </c>
      <c r="I65" s="142">
        <v>25</v>
      </c>
      <c r="J65" s="142" t="s">
        <v>128</v>
      </c>
      <c r="K65" s="142">
        <v>6</v>
      </c>
      <c r="L65" s="142">
        <v>18</v>
      </c>
      <c r="M65" s="142">
        <v>390</v>
      </c>
      <c r="N65" s="142" t="s">
        <v>111</v>
      </c>
      <c r="O65" s="142">
        <v>6</v>
      </c>
      <c r="P65" s="142" t="s">
        <v>301</v>
      </c>
      <c r="Q65" s="142" t="s">
        <v>107</v>
      </c>
    </row>
    <row r="66" spans="2:20" x14ac:dyDescent="0.25">
      <c r="B66" s="142" t="str">
        <f t="shared" si="0"/>
        <v>Gülbahar CompanyBaskısız 25cm Sade 8pcs 480g</v>
      </c>
      <c r="C66" s="142" t="s">
        <v>321</v>
      </c>
      <c r="D66" s="143">
        <v>8698829380698</v>
      </c>
      <c r="E66" s="142" t="s">
        <v>322</v>
      </c>
      <c r="F66" s="142" t="s">
        <v>323</v>
      </c>
      <c r="G66" s="142" t="s">
        <v>19</v>
      </c>
      <c r="H66" s="142">
        <v>14</v>
      </c>
      <c r="I66" s="142">
        <v>25</v>
      </c>
      <c r="J66" s="142" t="s">
        <v>128</v>
      </c>
      <c r="K66" s="142">
        <v>8</v>
      </c>
      <c r="L66" s="142">
        <v>14</v>
      </c>
      <c r="M66" s="142">
        <v>480</v>
      </c>
      <c r="N66" s="142" t="s">
        <v>111</v>
      </c>
      <c r="O66" s="142">
        <v>6</v>
      </c>
      <c r="P66" s="142" t="s">
        <v>129</v>
      </c>
      <c r="Q66" s="142" t="s">
        <v>107</v>
      </c>
      <c r="T66" s="142" t="s">
        <v>324</v>
      </c>
    </row>
    <row r="67" spans="2:20" x14ac:dyDescent="0.25">
      <c r="B67" s="144" t="str">
        <f t="shared" si="0"/>
        <v>GERMESHanami Germes Tako 15cm 6pcs 150g</v>
      </c>
      <c r="C67" s="142" t="s">
        <v>27</v>
      </c>
      <c r="D67" s="143">
        <v>8698829380698</v>
      </c>
      <c r="E67" s="142" t="s">
        <v>325</v>
      </c>
      <c r="F67" s="142" t="s">
        <v>326</v>
      </c>
      <c r="G67" s="142" t="s">
        <v>19</v>
      </c>
      <c r="H67" s="142">
        <v>20</v>
      </c>
      <c r="I67" s="142">
        <v>15</v>
      </c>
      <c r="J67" s="142" t="s">
        <v>128</v>
      </c>
      <c r="K67" s="142">
        <v>6</v>
      </c>
      <c r="L67" s="142">
        <v>20</v>
      </c>
      <c r="M67" s="142">
        <v>150</v>
      </c>
      <c r="N67" s="142" t="s">
        <v>111</v>
      </c>
      <c r="O67" s="142">
        <v>9</v>
      </c>
      <c r="P67" s="142" t="s">
        <v>327</v>
      </c>
      <c r="Q67" s="142" t="s">
        <v>328</v>
      </c>
      <c r="T67" s="142" t="s">
        <v>429</v>
      </c>
    </row>
    <row r="68" spans="2:20" x14ac:dyDescent="0.25">
      <c r="B68" s="142" t="str">
        <f t="shared" si="0"/>
        <v>Gülbahar CompanyBaskısız 15cm Sade 8pcs 220g</v>
      </c>
      <c r="C68" s="142" t="s">
        <v>321</v>
      </c>
      <c r="D68" s="143">
        <v>8698829380698</v>
      </c>
      <c r="E68" s="142" t="s">
        <v>329</v>
      </c>
      <c r="F68" s="142" t="s">
        <v>330</v>
      </c>
      <c r="G68" s="142" t="s">
        <v>19</v>
      </c>
      <c r="H68" s="142">
        <v>14</v>
      </c>
      <c r="I68" s="142">
        <v>15</v>
      </c>
      <c r="J68" s="142" t="s">
        <v>128</v>
      </c>
      <c r="K68" s="142">
        <v>8</v>
      </c>
      <c r="L68" s="142">
        <v>14</v>
      </c>
      <c r="M68" s="142">
        <v>220</v>
      </c>
      <c r="N68" s="142" t="s">
        <v>111</v>
      </c>
      <c r="O68" s="142">
        <v>6</v>
      </c>
      <c r="P68" s="142" t="s">
        <v>331</v>
      </c>
      <c r="Q68" s="142" t="s">
        <v>332</v>
      </c>
      <c r="T68" s="142" t="s">
        <v>426</v>
      </c>
    </row>
    <row r="69" spans="2:20" x14ac:dyDescent="0.25">
      <c r="B69" s="144" t="str">
        <f t="shared" ref="B69:B132" si="1">IF(C69="","",CONCATENATE(C69,E69))</f>
        <v>EYALDurum 3 lü paket sade 1620g</v>
      </c>
      <c r="C69" s="142" t="s">
        <v>177</v>
      </c>
      <c r="D69" s="143">
        <v>8698829380698</v>
      </c>
      <c r="E69" s="142" t="s">
        <v>366</v>
      </c>
      <c r="F69" s="142" t="s">
        <v>367</v>
      </c>
      <c r="G69" s="142" t="s">
        <v>19</v>
      </c>
      <c r="H69" s="142">
        <v>4</v>
      </c>
      <c r="I69" s="142">
        <v>20</v>
      </c>
      <c r="J69" s="142" t="s">
        <v>128</v>
      </c>
      <c r="K69" s="142">
        <v>36</v>
      </c>
      <c r="L69" s="142">
        <v>4</v>
      </c>
      <c r="M69" s="142">
        <v>1620</v>
      </c>
      <c r="N69" s="142" t="s">
        <v>111</v>
      </c>
      <c r="P69" s="142" t="s">
        <v>526</v>
      </c>
      <c r="Q69" s="142" t="s">
        <v>164</v>
      </c>
    </row>
    <row r="70" spans="2:20" x14ac:dyDescent="0.25">
      <c r="B70" s="142" t="str">
        <f t="shared" si="1"/>
        <v>EYALDurum 3 lü paket TB 1620g</v>
      </c>
      <c r="C70" s="142" t="s">
        <v>177</v>
      </c>
      <c r="D70" s="143">
        <v>8698829380698</v>
      </c>
      <c r="E70" s="142" t="s">
        <v>368</v>
      </c>
      <c r="F70" s="142" t="s">
        <v>369</v>
      </c>
      <c r="G70" s="142" t="s">
        <v>191</v>
      </c>
      <c r="H70" s="142">
        <v>4</v>
      </c>
      <c r="I70" s="142">
        <v>20</v>
      </c>
      <c r="J70" s="142" t="s">
        <v>128</v>
      </c>
      <c r="K70" s="142">
        <v>36</v>
      </c>
      <c r="L70" s="142">
        <v>4</v>
      </c>
      <c r="M70" s="142">
        <v>1620</v>
      </c>
      <c r="N70" s="142" t="s">
        <v>111</v>
      </c>
      <c r="P70" s="142" t="s">
        <v>527</v>
      </c>
      <c r="Q70" s="142" t="s">
        <v>164</v>
      </c>
    </row>
    <row r="71" spans="2:20" x14ac:dyDescent="0.25">
      <c r="B71" s="144" t="str">
        <f t="shared" si="1"/>
        <v>EYALDurum 30cm sade 18 li 1620g</v>
      </c>
      <c r="C71" s="142" t="s">
        <v>177</v>
      </c>
      <c r="D71" s="143">
        <v>8698829380698</v>
      </c>
      <c r="E71" s="142" t="s">
        <v>364</v>
      </c>
      <c r="F71" s="142" t="s">
        <v>370</v>
      </c>
      <c r="G71" s="142" t="s">
        <v>19</v>
      </c>
      <c r="H71" s="142">
        <v>18</v>
      </c>
      <c r="I71" s="142">
        <v>30</v>
      </c>
      <c r="J71" s="142" t="s">
        <v>128</v>
      </c>
      <c r="K71" s="142">
        <v>18</v>
      </c>
      <c r="L71" s="142">
        <v>6</v>
      </c>
      <c r="M71" s="142">
        <v>1620</v>
      </c>
      <c r="N71" s="142" t="s">
        <v>111</v>
      </c>
      <c r="P71" s="142" t="s">
        <v>371</v>
      </c>
      <c r="Q71" s="142" t="s">
        <v>184</v>
      </c>
    </row>
    <row r="72" spans="2:20" x14ac:dyDescent="0.25">
      <c r="B72" s="142" t="str">
        <f t="shared" si="1"/>
        <v>LAIKYUZHN-BELARUSTortillas 25cm Sade 4pcs 240g</v>
      </c>
      <c r="C72" s="142" t="s">
        <v>268</v>
      </c>
      <c r="D72" s="143">
        <v>8698829380698</v>
      </c>
      <c r="E72" s="142" t="s">
        <v>342</v>
      </c>
      <c r="F72" s="142" t="s">
        <v>547</v>
      </c>
      <c r="G72" s="142" t="s">
        <v>19</v>
      </c>
      <c r="H72" s="142">
        <v>30</v>
      </c>
      <c r="I72" s="142">
        <v>25</v>
      </c>
      <c r="J72" s="142" t="s">
        <v>271</v>
      </c>
      <c r="K72" s="142">
        <v>4</v>
      </c>
      <c r="L72" s="142">
        <v>30</v>
      </c>
      <c r="M72" s="142">
        <v>240</v>
      </c>
      <c r="N72" s="142" t="s">
        <v>111</v>
      </c>
      <c r="O72" s="142">
        <v>12</v>
      </c>
      <c r="P72" s="142" t="s">
        <v>272</v>
      </c>
      <c r="Q72" s="142" t="s">
        <v>273</v>
      </c>
      <c r="R72" s="142">
        <v>84</v>
      </c>
      <c r="S72" s="142" t="s">
        <v>226</v>
      </c>
    </row>
    <row r="73" spans="2:20" x14ac:dyDescent="0.25">
      <c r="B73" s="144" t="str">
        <f t="shared" si="1"/>
        <v>DonipaDonipa 30cm 18pcs 1710g</v>
      </c>
      <c r="C73" s="142" t="s">
        <v>409</v>
      </c>
      <c r="D73" s="143">
        <v>8698829380698</v>
      </c>
      <c r="E73" s="142" t="s">
        <v>410</v>
      </c>
      <c r="F73" s="142" t="s">
        <v>282</v>
      </c>
      <c r="G73" s="142" t="s">
        <v>19</v>
      </c>
      <c r="H73" s="142">
        <v>6</v>
      </c>
      <c r="I73" s="142">
        <v>30</v>
      </c>
      <c r="J73" s="142" t="s">
        <v>104</v>
      </c>
      <c r="K73" s="142">
        <v>18</v>
      </c>
      <c r="L73" s="142">
        <v>6</v>
      </c>
      <c r="M73" s="142">
        <v>1710</v>
      </c>
      <c r="N73" s="142" t="s">
        <v>105</v>
      </c>
      <c r="O73" s="142">
        <v>6</v>
      </c>
      <c r="P73" s="142" t="s">
        <v>411</v>
      </c>
      <c r="Q73" s="142" t="s">
        <v>184</v>
      </c>
      <c r="T73" s="142" t="s">
        <v>412</v>
      </c>
    </row>
    <row r="74" spans="2:20" x14ac:dyDescent="0.25">
      <c r="B74" s="142" t="str">
        <f t="shared" si="1"/>
        <v>A101Mutlukal Tortillas Sade 25cm 6pcs 390g</v>
      </c>
      <c r="C74" s="142" t="s">
        <v>119</v>
      </c>
      <c r="D74" s="143">
        <v>8698829380698</v>
      </c>
      <c r="E74" s="142" t="s">
        <v>420</v>
      </c>
      <c r="F74" s="142" t="s">
        <v>421</v>
      </c>
      <c r="G74" s="142" t="s">
        <v>19</v>
      </c>
      <c r="H74" s="142">
        <v>20</v>
      </c>
      <c r="I74" s="142">
        <v>25</v>
      </c>
      <c r="J74" s="142" t="s">
        <v>98</v>
      </c>
      <c r="K74" s="142">
        <v>6</v>
      </c>
      <c r="L74" s="142">
        <v>20</v>
      </c>
      <c r="M74" s="142">
        <v>390</v>
      </c>
      <c r="N74" s="142" t="s">
        <v>105</v>
      </c>
      <c r="O74" s="142">
        <v>6</v>
      </c>
      <c r="P74" s="142" t="s">
        <v>422</v>
      </c>
      <c r="Q74" s="142" t="s">
        <v>423</v>
      </c>
      <c r="R74" s="142">
        <v>54</v>
      </c>
    </row>
    <row r="75" spans="2:20" x14ac:dyDescent="0.25">
      <c r="B75" s="144" t="str">
        <f t="shared" si="1"/>
        <v>Bağ TicaretHappylla 30cm Sade 10pcs 900g</v>
      </c>
      <c r="C75" s="142" t="s">
        <v>431</v>
      </c>
      <c r="D75" s="143">
        <v>8698829380698</v>
      </c>
      <c r="E75" s="142" t="s">
        <v>432</v>
      </c>
      <c r="F75" s="142" t="s">
        <v>316</v>
      </c>
      <c r="G75" s="142" t="s">
        <v>19</v>
      </c>
      <c r="H75" s="142">
        <v>12</v>
      </c>
      <c r="I75" s="142">
        <v>30</v>
      </c>
      <c r="J75" s="142" t="s">
        <v>116</v>
      </c>
      <c r="K75" s="142">
        <v>10</v>
      </c>
      <c r="L75" s="142">
        <v>12</v>
      </c>
      <c r="M75" s="142">
        <v>900</v>
      </c>
      <c r="N75" s="142" t="s">
        <v>111</v>
      </c>
      <c r="O75" s="142">
        <v>6</v>
      </c>
      <c r="P75" s="142" t="s">
        <v>433</v>
      </c>
      <c r="Q75" s="142" t="s">
        <v>184</v>
      </c>
      <c r="R75" s="142">
        <v>60</v>
      </c>
      <c r="S75" s="142" t="s">
        <v>434</v>
      </c>
    </row>
    <row r="76" spans="2:20" x14ac:dyDescent="0.25">
      <c r="B76" s="142" t="str">
        <f t="shared" si="1"/>
        <v>Bağ TicaretHappylla 25cm Sade 10pcs 500g</v>
      </c>
      <c r="C76" s="142" t="s">
        <v>431</v>
      </c>
      <c r="D76" s="143">
        <v>8698829380698</v>
      </c>
      <c r="E76" s="142" t="s">
        <v>435</v>
      </c>
      <c r="F76" s="142" t="s">
        <v>436</v>
      </c>
      <c r="G76" s="142" t="s">
        <v>19</v>
      </c>
      <c r="H76" s="142">
        <v>12</v>
      </c>
      <c r="I76" s="142">
        <v>25</v>
      </c>
      <c r="J76" s="142" t="s">
        <v>128</v>
      </c>
      <c r="K76" s="142">
        <v>10</v>
      </c>
      <c r="L76" s="142">
        <v>12</v>
      </c>
      <c r="M76" s="142">
        <v>500</v>
      </c>
      <c r="N76" s="142" t="s">
        <v>111</v>
      </c>
      <c r="O76" s="142">
        <v>6</v>
      </c>
      <c r="P76" s="142" t="s">
        <v>437</v>
      </c>
      <c r="Q76" s="142" t="s">
        <v>450</v>
      </c>
      <c r="R76" s="142">
        <v>104</v>
      </c>
      <c r="S76" s="142" t="s">
        <v>438</v>
      </c>
    </row>
    <row r="77" spans="2:20" x14ac:dyDescent="0.25">
      <c r="B77" s="144" t="str">
        <f t="shared" si="1"/>
        <v>Bağ TicaretHappylla 25 cm 10 lu 650g</v>
      </c>
      <c r="C77" s="142" t="s">
        <v>431</v>
      </c>
      <c r="D77" s="143">
        <v>8698829380698</v>
      </c>
      <c r="E77" s="142" t="s">
        <v>102</v>
      </c>
      <c r="F77" s="142" t="s">
        <v>439</v>
      </c>
      <c r="G77" s="142" t="s">
        <v>191</v>
      </c>
      <c r="H77" s="142">
        <v>12</v>
      </c>
      <c r="I77" s="142">
        <v>25</v>
      </c>
      <c r="J77" s="142" t="s">
        <v>116</v>
      </c>
      <c r="K77" s="142">
        <v>10</v>
      </c>
      <c r="L77" s="142">
        <v>12</v>
      </c>
      <c r="M77" s="142">
        <v>650</v>
      </c>
      <c r="N77" s="142" t="s">
        <v>111</v>
      </c>
      <c r="O77" s="142">
        <v>6</v>
      </c>
      <c r="P77" s="142" t="s">
        <v>440</v>
      </c>
      <c r="Q77" s="142" t="s">
        <v>314</v>
      </c>
      <c r="R77" s="142">
        <v>104</v>
      </c>
      <c r="S77" s="142" t="s">
        <v>438</v>
      </c>
      <c r="T77" s="142" t="s">
        <v>441</v>
      </c>
    </row>
    <row r="78" spans="2:20" x14ac:dyDescent="0.25">
      <c r="B78" s="142" t="str">
        <f t="shared" si="1"/>
        <v>Oqqa NaturalOqqa 25cm 10 lu 650g</v>
      </c>
      <c r="C78" s="142" t="s">
        <v>451</v>
      </c>
      <c r="D78" s="143">
        <v>8698829380698</v>
      </c>
      <c r="E78" s="142" t="s">
        <v>452</v>
      </c>
      <c r="F78" s="142" t="s">
        <v>453</v>
      </c>
      <c r="G78" s="142" t="s">
        <v>454</v>
      </c>
      <c r="H78" s="142">
        <v>12</v>
      </c>
      <c r="I78" s="142">
        <v>25</v>
      </c>
      <c r="J78" s="142" t="s">
        <v>128</v>
      </c>
      <c r="K78" s="142">
        <v>10</v>
      </c>
      <c r="L78" s="142">
        <v>12</v>
      </c>
      <c r="M78" s="142">
        <v>650</v>
      </c>
      <c r="N78" s="142" t="s">
        <v>111</v>
      </c>
      <c r="O78" s="142">
        <v>12</v>
      </c>
      <c r="P78" s="142" t="s">
        <v>106</v>
      </c>
      <c r="Q78" s="142" t="s">
        <v>314</v>
      </c>
      <c r="T78" s="142" t="s">
        <v>455</v>
      </c>
    </row>
    <row r="79" spans="2:20" x14ac:dyDescent="0.25">
      <c r="B79" s="144" t="str">
        <f t="shared" si="1"/>
        <v>WillifoodWillifood 20cm 10 pcs 450g</v>
      </c>
      <c r="C79" s="142" t="s">
        <v>456</v>
      </c>
      <c r="D79" s="143">
        <v>8698829380698</v>
      </c>
      <c r="E79" s="142" t="s">
        <v>457</v>
      </c>
      <c r="F79" s="142" t="s">
        <v>457</v>
      </c>
      <c r="G79" s="142" t="s">
        <v>19</v>
      </c>
      <c r="H79" s="142">
        <v>12</v>
      </c>
      <c r="I79" s="142">
        <v>20</v>
      </c>
      <c r="J79" s="142" t="s">
        <v>128</v>
      </c>
      <c r="K79" s="142">
        <v>10</v>
      </c>
      <c r="L79" s="142">
        <v>12</v>
      </c>
      <c r="M79" s="142">
        <v>450</v>
      </c>
      <c r="N79" s="142" t="s">
        <v>111</v>
      </c>
      <c r="O79" s="142" t="s">
        <v>458</v>
      </c>
      <c r="P79" s="142" t="s">
        <v>459</v>
      </c>
      <c r="Q79" s="142" t="s">
        <v>164</v>
      </c>
    </row>
    <row r="80" spans="2:20" ht="78.75" x14ac:dyDescent="0.25">
      <c r="B80" s="142" t="str">
        <f t="shared" si="1"/>
        <v>A101Baskısız 25cm 6 pcs 390g (Deneme)</v>
      </c>
      <c r="C80" s="142" t="s">
        <v>119</v>
      </c>
      <c r="D80" s="143">
        <v>8698829380698</v>
      </c>
      <c r="E80" s="142" t="s">
        <v>476</v>
      </c>
      <c r="F80" s="142" t="s">
        <v>477</v>
      </c>
      <c r="G80" s="142" t="s">
        <v>478</v>
      </c>
      <c r="H80" s="142">
        <v>20</v>
      </c>
      <c r="I80" s="142">
        <v>25</v>
      </c>
      <c r="J80" s="140" t="s">
        <v>479</v>
      </c>
      <c r="K80" s="142">
        <v>6</v>
      </c>
      <c r="L80" s="142">
        <v>20</v>
      </c>
      <c r="M80" s="142">
        <v>390</v>
      </c>
      <c r="N80" s="142" t="s">
        <v>105</v>
      </c>
      <c r="O80" s="142">
        <v>5</v>
      </c>
      <c r="P80" s="142" t="s">
        <v>480</v>
      </c>
      <c r="Q80" s="142" t="s">
        <v>107</v>
      </c>
    </row>
    <row r="81" spans="2:19" x14ac:dyDescent="0.25">
      <c r="B81" s="144" t="str">
        <f t="shared" si="1"/>
        <v>WillifoodWillifood 25cm 8 pcs 560g</v>
      </c>
      <c r="C81" s="142" t="s">
        <v>456</v>
      </c>
      <c r="D81" s="143">
        <v>8698829380698</v>
      </c>
      <c r="E81" s="142" t="s">
        <v>481</v>
      </c>
      <c r="F81" s="142" t="s">
        <v>481</v>
      </c>
      <c r="G81" s="142" t="s">
        <v>19</v>
      </c>
      <c r="H81" s="142">
        <v>14</v>
      </c>
      <c r="I81" s="142">
        <v>25</v>
      </c>
      <c r="J81" s="142" t="s">
        <v>482</v>
      </c>
      <c r="K81" s="142">
        <v>8</v>
      </c>
      <c r="L81" s="142">
        <v>14</v>
      </c>
      <c r="M81" s="142">
        <v>560</v>
      </c>
      <c r="N81" s="142" t="s">
        <v>23</v>
      </c>
      <c r="O81" s="142">
        <v>18</v>
      </c>
      <c r="P81" s="142" t="s">
        <v>483</v>
      </c>
      <c r="Q81" s="142" t="s">
        <v>25</v>
      </c>
    </row>
    <row r="82" spans="2:19" ht="47.25" x14ac:dyDescent="0.25">
      <c r="B82" s="142" t="str">
        <f t="shared" si="1"/>
        <v>WillifoodWillifood Pizza 26cm 4 pcs 480g</v>
      </c>
      <c r="C82" s="142" t="s">
        <v>456</v>
      </c>
      <c r="D82" s="143">
        <v>8698829380698</v>
      </c>
      <c r="E82" s="142" t="s">
        <v>484</v>
      </c>
      <c r="F82" s="142" t="s">
        <v>485</v>
      </c>
      <c r="G82" s="142" t="s">
        <v>486</v>
      </c>
      <c r="H82" s="142">
        <v>12</v>
      </c>
      <c r="I82" s="142">
        <v>26</v>
      </c>
      <c r="J82" s="142" t="s">
        <v>128</v>
      </c>
      <c r="K82" s="142">
        <v>4</v>
      </c>
      <c r="L82" s="142">
        <v>12</v>
      </c>
      <c r="M82" s="142">
        <v>480</v>
      </c>
      <c r="N82" s="142" t="s">
        <v>111</v>
      </c>
      <c r="O82" s="142">
        <v>18</v>
      </c>
      <c r="P82" s="142" t="s">
        <v>487</v>
      </c>
      <c r="Q82" s="140" t="s">
        <v>488</v>
      </c>
    </row>
    <row r="83" spans="2:19" x14ac:dyDescent="0.25">
      <c r="B83" s="144" t="str">
        <f t="shared" si="1"/>
        <v>Yüksekbaş GıdaYüksekbaş 15cm 10 pcs 250g</v>
      </c>
      <c r="C83" s="142" t="s">
        <v>460</v>
      </c>
      <c r="D83" s="143">
        <v>8698829380698</v>
      </c>
      <c r="E83" s="142" t="s">
        <v>461</v>
      </c>
      <c r="F83" s="142" t="s">
        <v>462</v>
      </c>
      <c r="G83" s="142" t="s">
        <v>19</v>
      </c>
      <c r="H83" s="142">
        <v>12</v>
      </c>
      <c r="I83" s="142">
        <v>15</v>
      </c>
      <c r="J83" s="142" t="s">
        <v>128</v>
      </c>
      <c r="K83" s="142">
        <v>10</v>
      </c>
      <c r="L83" s="142">
        <v>12</v>
      </c>
      <c r="M83" s="142">
        <v>250</v>
      </c>
      <c r="N83" s="142" t="s">
        <v>111</v>
      </c>
      <c r="O83" s="142">
        <v>6</v>
      </c>
      <c r="P83" s="142" t="s">
        <v>331</v>
      </c>
      <c r="Q83" s="142" t="s">
        <v>328</v>
      </c>
      <c r="R83" s="142">
        <v>100</v>
      </c>
      <c r="S83" s="142" t="s">
        <v>463</v>
      </c>
    </row>
    <row r="84" spans="2:19" x14ac:dyDescent="0.25">
      <c r="B84" s="142" t="str">
        <f t="shared" si="1"/>
        <v>Yüksekbaş GıdaYüksekbaş 20cm 10pcs 450g</v>
      </c>
      <c r="C84" s="142" t="s">
        <v>460</v>
      </c>
      <c r="D84" s="143">
        <v>8698829380698</v>
      </c>
      <c r="E84" s="142" t="s">
        <v>464</v>
      </c>
      <c r="F84" s="142" t="s">
        <v>465</v>
      </c>
      <c r="G84" s="142" t="s">
        <v>19</v>
      </c>
      <c r="H84" s="142">
        <v>12</v>
      </c>
      <c r="I84" s="142">
        <v>20</v>
      </c>
      <c r="J84" s="142" t="s">
        <v>128</v>
      </c>
      <c r="K84" s="142">
        <v>10</v>
      </c>
      <c r="L84" s="142">
        <v>12</v>
      </c>
      <c r="M84" s="142">
        <v>450</v>
      </c>
      <c r="N84" s="142" t="s">
        <v>111</v>
      </c>
      <c r="O84" s="142">
        <v>6</v>
      </c>
      <c r="P84" s="142" t="s">
        <v>466</v>
      </c>
      <c r="Q84" s="142" t="s">
        <v>164</v>
      </c>
      <c r="R84" s="142">
        <v>100</v>
      </c>
      <c r="S84" s="142" t="s">
        <v>467</v>
      </c>
    </row>
    <row r="85" spans="2:19" x14ac:dyDescent="0.25">
      <c r="B85" s="144" t="str">
        <f t="shared" si="1"/>
        <v>Yüksekbaş GıdaYüksekbaş 25cm 10pcs 650g</v>
      </c>
      <c r="C85" s="142" t="s">
        <v>460</v>
      </c>
      <c r="D85" s="143">
        <v>8698829380698</v>
      </c>
      <c r="E85" s="142" t="s">
        <v>468</v>
      </c>
      <c r="F85" s="142" t="s">
        <v>188</v>
      </c>
      <c r="G85" s="142" t="s">
        <v>19</v>
      </c>
      <c r="H85" s="142">
        <v>12</v>
      </c>
      <c r="I85" s="142">
        <v>25</v>
      </c>
      <c r="J85" s="142" t="s">
        <v>128</v>
      </c>
      <c r="K85" s="142">
        <v>10</v>
      </c>
      <c r="L85" s="142">
        <v>12</v>
      </c>
      <c r="M85" s="142">
        <v>650</v>
      </c>
      <c r="N85" s="142" t="s">
        <v>111</v>
      </c>
      <c r="O85" s="142">
        <v>6</v>
      </c>
      <c r="P85" s="142" t="s">
        <v>469</v>
      </c>
      <c r="Q85" s="142" t="s">
        <v>107</v>
      </c>
      <c r="R85" s="142">
        <v>100</v>
      </c>
      <c r="S85" s="142" t="s">
        <v>438</v>
      </c>
    </row>
    <row r="86" spans="2:19" x14ac:dyDescent="0.25">
      <c r="B86" s="142" t="str">
        <f t="shared" si="1"/>
        <v>Yüksekbaş GıdaYüksekbaş 30cm 10pcs 950g</v>
      </c>
      <c r="C86" s="142" t="s">
        <v>460</v>
      </c>
      <c r="D86" s="143">
        <v>8698829380698</v>
      </c>
      <c r="E86" s="142" t="s">
        <v>470</v>
      </c>
      <c r="F86" s="142" t="s">
        <v>183</v>
      </c>
      <c r="G86" s="142" t="s">
        <v>19</v>
      </c>
      <c r="H86" s="142">
        <v>12</v>
      </c>
      <c r="I86" s="142">
        <v>30</v>
      </c>
      <c r="J86" s="142" t="s">
        <v>128</v>
      </c>
      <c r="K86" s="142">
        <v>10</v>
      </c>
      <c r="L86" s="142">
        <v>12</v>
      </c>
      <c r="M86" s="142">
        <v>950</v>
      </c>
      <c r="N86" s="142" t="s">
        <v>111</v>
      </c>
      <c r="O86" s="142">
        <v>6</v>
      </c>
      <c r="P86" s="142" t="s">
        <v>303</v>
      </c>
      <c r="Q86" s="142" t="s">
        <v>184</v>
      </c>
      <c r="R86" s="142">
        <v>66</v>
      </c>
      <c r="S86" s="142" t="s">
        <v>434</v>
      </c>
    </row>
    <row r="87" spans="2:19" x14ac:dyDescent="0.25">
      <c r="B87" s="144" t="str">
        <f t="shared" si="1"/>
        <v>Yüksekbaş GıdaYüksekbaş TB 25cm 10pcs 650g</v>
      </c>
      <c r="C87" s="142" t="s">
        <v>460</v>
      </c>
      <c r="D87" s="143">
        <v>8698829380698</v>
      </c>
      <c r="E87" s="142" t="s">
        <v>471</v>
      </c>
      <c r="F87" s="142" t="s">
        <v>213</v>
      </c>
      <c r="G87" s="142" t="s">
        <v>191</v>
      </c>
      <c r="H87" s="142">
        <v>12</v>
      </c>
      <c r="I87" s="142">
        <v>25</v>
      </c>
      <c r="J87" s="142" t="s">
        <v>128</v>
      </c>
      <c r="K87" s="142">
        <v>10</v>
      </c>
      <c r="L87" s="142">
        <v>12</v>
      </c>
      <c r="M87" s="142">
        <v>650</v>
      </c>
      <c r="N87" s="142" t="s">
        <v>111</v>
      </c>
      <c r="O87" s="142">
        <v>6</v>
      </c>
      <c r="P87" s="142" t="s">
        <v>472</v>
      </c>
      <c r="Q87" s="142" t="s">
        <v>107</v>
      </c>
      <c r="R87" s="142">
        <v>100</v>
      </c>
      <c r="S87" s="142" t="s">
        <v>438</v>
      </c>
    </row>
    <row r="88" spans="2:19" x14ac:dyDescent="0.25">
      <c r="B88" s="142" t="str">
        <f t="shared" si="1"/>
        <v xml:space="preserve">GermesTortillas Domatesli 25cm 4pcs 250g </v>
      </c>
      <c r="C88" s="142" t="s">
        <v>346</v>
      </c>
      <c r="D88" s="143">
        <v>8698829380698</v>
      </c>
      <c r="E88" s="142" t="s">
        <v>490</v>
      </c>
      <c r="F88" s="142" t="s">
        <v>491</v>
      </c>
      <c r="G88" s="142" t="s">
        <v>233</v>
      </c>
      <c r="H88" s="142">
        <v>30</v>
      </c>
      <c r="I88" s="142">
        <v>25</v>
      </c>
      <c r="J88" s="142" t="s">
        <v>128</v>
      </c>
      <c r="K88" s="142">
        <v>4</v>
      </c>
      <c r="L88" s="142">
        <v>30</v>
      </c>
      <c r="M88" s="142">
        <v>250</v>
      </c>
      <c r="N88" s="142" t="s">
        <v>111</v>
      </c>
      <c r="O88" s="142">
        <v>9</v>
      </c>
      <c r="P88" s="142" t="s">
        <v>489</v>
      </c>
    </row>
    <row r="89" spans="2:19" x14ac:dyDescent="0.25">
      <c r="B89" s="144" t="str">
        <f t="shared" si="1"/>
        <v xml:space="preserve">GermesTortillas Ispanaklı 25cm 4pcs 250g </v>
      </c>
      <c r="C89" s="142" t="s">
        <v>346</v>
      </c>
      <c r="D89" s="143">
        <v>8698829380698</v>
      </c>
      <c r="E89" s="142" t="s">
        <v>492</v>
      </c>
      <c r="F89" s="142" t="s">
        <v>493</v>
      </c>
      <c r="G89" s="142" t="s">
        <v>238</v>
      </c>
      <c r="H89" s="142">
        <v>30</v>
      </c>
      <c r="I89" s="142">
        <v>25</v>
      </c>
      <c r="J89" s="142" t="s">
        <v>128</v>
      </c>
      <c r="K89" s="142">
        <v>4</v>
      </c>
      <c r="L89" s="142">
        <v>30</v>
      </c>
      <c r="M89" s="142">
        <v>250</v>
      </c>
      <c r="N89" s="142" t="s">
        <v>111</v>
      </c>
      <c r="O89" s="142">
        <v>9</v>
      </c>
      <c r="P89" s="142" t="s">
        <v>489</v>
      </c>
    </row>
    <row r="90" spans="2:19" x14ac:dyDescent="0.25">
      <c r="B90" s="142" t="str">
        <f t="shared" si="1"/>
        <v>Fama GroupTortillas 33cm 10pcs 1000g</v>
      </c>
      <c r="C90" s="142" t="s">
        <v>500</v>
      </c>
      <c r="D90" s="143">
        <v>8698829380698</v>
      </c>
      <c r="E90" s="142" t="s">
        <v>501</v>
      </c>
      <c r="F90" s="142" t="s">
        <v>502</v>
      </c>
      <c r="G90" s="142" t="s">
        <v>503</v>
      </c>
      <c r="H90" s="142">
        <v>12</v>
      </c>
      <c r="I90" s="142">
        <v>33</v>
      </c>
      <c r="J90" s="142" t="s">
        <v>128</v>
      </c>
      <c r="K90" s="142">
        <v>10</v>
      </c>
      <c r="L90" s="142">
        <v>12</v>
      </c>
      <c r="M90" s="142">
        <v>1000</v>
      </c>
      <c r="N90" s="142" t="s">
        <v>111</v>
      </c>
      <c r="O90" s="142">
        <v>12</v>
      </c>
      <c r="P90" s="142" t="s">
        <v>504</v>
      </c>
      <c r="Q90" s="142" t="s">
        <v>505</v>
      </c>
      <c r="R90" s="142">
        <v>50</v>
      </c>
      <c r="S90" s="142" t="s">
        <v>434</v>
      </c>
    </row>
    <row r="91" spans="2:19" x14ac:dyDescent="0.25">
      <c r="B91" s="144" t="str">
        <f t="shared" si="1"/>
        <v>Fama GroupTortillas Pizza 26cm 4pcs 480g</v>
      </c>
      <c r="C91" s="142" t="s">
        <v>500</v>
      </c>
      <c r="D91" s="143">
        <v>8698829380698</v>
      </c>
      <c r="E91" s="142" t="s">
        <v>244</v>
      </c>
      <c r="F91" s="142" t="s">
        <v>286</v>
      </c>
      <c r="G91" s="142" t="s">
        <v>503</v>
      </c>
      <c r="H91" s="142">
        <v>6</v>
      </c>
      <c r="I91" s="142">
        <v>26</v>
      </c>
      <c r="J91" s="142" t="s">
        <v>128</v>
      </c>
      <c r="K91" s="142">
        <v>4</v>
      </c>
      <c r="L91" s="142">
        <v>6</v>
      </c>
      <c r="M91" s="142">
        <v>480</v>
      </c>
      <c r="N91" s="142" t="s">
        <v>111</v>
      </c>
      <c r="O91" s="142">
        <v>12</v>
      </c>
      <c r="P91" s="142" t="s">
        <v>506</v>
      </c>
      <c r="Q91" s="142" t="s">
        <v>507</v>
      </c>
      <c r="R91" s="142">
        <v>50</v>
      </c>
      <c r="S91" s="142" t="s">
        <v>508</v>
      </c>
    </row>
    <row r="92" spans="2:19" x14ac:dyDescent="0.25">
      <c r="B92" s="142" t="str">
        <f t="shared" si="1"/>
        <v>Fama GroupTortillas 25cm Tam Buğday 10pcs 650g</v>
      </c>
      <c r="C92" s="142" t="s">
        <v>500</v>
      </c>
      <c r="D92" s="143">
        <v>8698829380698</v>
      </c>
      <c r="E92" s="142" t="s">
        <v>229</v>
      </c>
      <c r="F92" s="142" t="s">
        <v>270</v>
      </c>
      <c r="G92" s="142" t="s">
        <v>191</v>
      </c>
      <c r="H92" s="142">
        <v>12</v>
      </c>
      <c r="I92" s="142">
        <v>25</v>
      </c>
      <c r="J92" s="142" t="s">
        <v>128</v>
      </c>
      <c r="K92" s="142">
        <v>10</v>
      </c>
      <c r="L92" s="142">
        <v>12</v>
      </c>
      <c r="M92" s="142">
        <v>650</v>
      </c>
      <c r="N92" s="142" t="s">
        <v>111</v>
      </c>
      <c r="O92" s="142">
        <v>12</v>
      </c>
      <c r="P92" s="142" t="s">
        <v>272</v>
      </c>
      <c r="Q92" s="142" t="s">
        <v>107</v>
      </c>
      <c r="R92" s="142">
        <v>50</v>
      </c>
      <c r="S92" s="142" t="s">
        <v>508</v>
      </c>
    </row>
    <row r="93" spans="2:19" x14ac:dyDescent="0.25">
      <c r="B93" s="144" t="str">
        <f t="shared" si="1"/>
        <v>Fama GroupTortillas 30cm 10pcs 850g</v>
      </c>
      <c r="C93" s="142" t="s">
        <v>500</v>
      </c>
      <c r="D93" s="143">
        <v>8698829380698</v>
      </c>
      <c r="E93" s="142" t="s">
        <v>509</v>
      </c>
      <c r="F93" s="142" t="s">
        <v>510</v>
      </c>
      <c r="G93" s="142" t="s">
        <v>503</v>
      </c>
      <c r="H93" s="142">
        <v>12</v>
      </c>
      <c r="I93" s="142">
        <v>30</v>
      </c>
      <c r="J93" s="142" t="s">
        <v>128</v>
      </c>
      <c r="K93" s="142">
        <v>10</v>
      </c>
      <c r="L93" s="142">
        <v>12</v>
      </c>
      <c r="M93" s="142">
        <v>850</v>
      </c>
      <c r="N93" s="142" t="s">
        <v>111</v>
      </c>
      <c r="O93" s="142">
        <v>12</v>
      </c>
      <c r="P93" s="142" t="s">
        <v>283</v>
      </c>
      <c r="Q93" s="142" t="s">
        <v>184</v>
      </c>
      <c r="R93" s="142">
        <v>50</v>
      </c>
      <c r="S93" s="142" t="s">
        <v>434</v>
      </c>
    </row>
    <row r="94" spans="2:19" x14ac:dyDescent="0.25">
      <c r="B94" s="142" t="str">
        <f t="shared" si="1"/>
        <v>Fama GroupTortillas 25cm 10pcs 650g</v>
      </c>
      <c r="C94" s="142" t="s">
        <v>500</v>
      </c>
      <c r="D94" s="143">
        <v>8698829380698</v>
      </c>
      <c r="E94" s="142" t="s">
        <v>193</v>
      </c>
      <c r="F94" s="142" t="s">
        <v>190</v>
      </c>
      <c r="G94" s="142" t="s">
        <v>503</v>
      </c>
      <c r="H94" s="142">
        <v>12</v>
      </c>
      <c r="I94" s="142">
        <v>25</v>
      </c>
      <c r="J94" s="142" t="s">
        <v>128</v>
      </c>
      <c r="K94" s="142">
        <v>10</v>
      </c>
      <c r="L94" s="142">
        <v>12</v>
      </c>
      <c r="M94" s="142">
        <v>650</v>
      </c>
      <c r="N94" s="142" t="s">
        <v>111</v>
      </c>
      <c r="O94" s="142">
        <v>12</v>
      </c>
      <c r="P94" s="142" t="s">
        <v>511</v>
      </c>
      <c r="Q94" s="142" t="s">
        <v>314</v>
      </c>
      <c r="R94" s="142">
        <v>50</v>
      </c>
      <c r="S94" s="142" t="s">
        <v>508</v>
      </c>
    </row>
    <row r="95" spans="2:19" x14ac:dyDescent="0.25">
      <c r="B95" s="144" t="str">
        <f t="shared" si="1"/>
        <v>Fama GroupTortillas 20cm 10pcs 450g</v>
      </c>
      <c r="C95" s="142" t="s">
        <v>500</v>
      </c>
      <c r="D95" s="143">
        <v>8698829380698</v>
      </c>
      <c r="E95" s="142" t="s">
        <v>512</v>
      </c>
      <c r="F95" s="142" t="s">
        <v>513</v>
      </c>
      <c r="G95" s="142" t="s">
        <v>503</v>
      </c>
      <c r="H95" s="142">
        <v>12</v>
      </c>
      <c r="I95" s="142">
        <v>20</v>
      </c>
      <c r="J95" s="142" t="s">
        <v>128</v>
      </c>
      <c r="K95" s="142">
        <v>10</v>
      </c>
      <c r="L95" s="142">
        <v>12</v>
      </c>
      <c r="M95" s="142">
        <v>450</v>
      </c>
      <c r="N95" s="142" t="s">
        <v>111</v>
      </c>
      <c r="O95" s="142">
        <v>12</v>
      </c>
      <c r="P95" s="142" t="s">
        <v>514</v>
      </c>
      <c r="Q95" s="142" t="s">
        <v>291</v>
      </c>
      <c r="R95" s="142">
        <v>50</v>
      </c>
      <c r="S95" s="142" t="s">
        <v>508</v>
      </c>
    </row>
    <row r="96" spans="2:19" x14ac:dyDescent="0.25">
      <c r="B96" s="142" t="str">
        <f t="shared" si="1"/>
        <v>Fama GroupTortillas 15cm 10pcs 250g</v>
      </c>
      <c r="C96" s="142" t="s">
        <v>500</v>
      </c>
      <c r="D96" s="143">
        <v>8698829380698</v>
      </c>
      <c r="E96" s="142" t="s">
        <v>515</v>
      </c>
      <c r="F96" s="142" t="s">
        <v>516</v>
      </c>
      <c r="G96" s="142" t="s">
        <v>503</v>
      </c>
      <c r="H96" s="142">
        <v>12</v>
      </c>
      <c r="I96" s="142">
        <v>15</v>
      </c>
      <c r="J96" s="142" t="s">
        <v>128</v>
      </c>
      <c r="K96" s="142">
        <v>10</v>
      </c>
      <c r="L96" s="142">
        <v>12</v>
      </c>
      <c r="M96" s="142">
        <v>250</v>
      </c>
      <c r="N96" s="142" t="s">
        <v>111</v>
      </c>
      <c r="O96" s="142">
        <v>12</v>
      </c>
      <c r="P96" s="142" t="s">
        <v>331</v>
      </c>
      <c r="Q96" s="142" t="s">
        <v>517</v>
      </c>
      <c r="R96" s="142">
        <v>50</v>
      </c>
      <c r="S96" s="142" t="s">
        <v>508</v>
      </c>
    </row>
    <row r="97" spans="2:20" x14ac:dyDescent="0.25">
      <c r="B97" s="144" t="str">
        <f t="shared" si="1"/>
        <v>Yusuf KöseTortillas 33cm 10pcs 1000g</v>
      </c>
      <c r="C97" s="142" t="s">
        <v>518</v>
      </c>
      <c r="D97" s="143">
        <v>8698829380698</v>
      </c>
      <c r="E97" s="142" t="s">
        <v>501</v>
      </c>
      <c r="F97" s="142" t="s">
        <v>502</v>
      </c>
      <c r="G97" s="142" t="s">
        <v>503</v>
      </c>
      <c r="H97" s="142">
        <v>12</v>
      </c>
      <c r="I97" s="142">
        <v>33</v>
      </c>
      <c r="J97" s="142" t="s">
        <v>128</v>
      </c>
      <c r="K97" s="142">
        <v>10</v>
      </c>
      <c r="L97" s="142">
        <v>12</v>
      </c>
      <c r="M97" s="142">
        <v>1000</v>
      </c>
      <c r="N97" s="142" t="s">
        <v>105</v>
      </c>
      <c r="O97" s="142">
        <v>6</v>
      </c>
      <c r="P97" s="142" t="s">
        <v>504</v>
      </c>
      <c r="Q97" s="142" t="s">
        <v>519</v>
      </c>
      <c r="R97" s="142">
        <v>50</v>
      </c>
      <c r="S97" s="142" t="s">
        <v>434</v>
      </c>
    </row>
    <row r="98" spans="2:20" x14ac:dyDescent="0.25">
      <c r="B98" s="142" t="str">
        <f t="shared" si="1"/>
        <v>Yusuf KöseTortillas 30cm 10pcs 950g</v>
      </c>
      <c r="C98" s="142" t="s">
        <v>518</v>
      </c>
      <c r="D98" s="143">
        <v>8698829380698</v>
      </c>
      <c r="E98" s="142" t="s">
        <v>520</v>
      </c>
      <c r="F98" s="142" t="s">
        <v>186</v>
      </c>
      <c r="G98" s="142" t="s">
        <v>503</v>
      </c>
      <c r="H98" s="142">
        <v>12</v>
      </c>
      <c r="I98" s="142">
        <v>30</v>
      </c>
      <c r="J98" s="142" t="s">
        <v>128</v>
      </c>
      <c r="K98" s="142">
        <v>10</v>
      </c>
      <c r="L98" s="142">
        <v>12</v>
      </c>
      <c r="M98" s="142">
        <v>950</v>
      </c>
      <c r="N98" s="142" t="s">
        <v>105</v>
      </c>
      <c r="O98" s="142">
        <v>6</v>
      </c>
      <c r="P98" s="142" t="s">
        <v>303</v>
      </c>
      <c r="Q98" s="142" t="s">
        <v>521</v>
      </c>
      <c r="R98" s="142">
        <v>50</v>
      </c>
      <c r="S98" s="142" t="s">
        <v>467</v>
      </c>
    </row>
    <row r="99" spans="2:20" x14ac:dyDescent="0.25">
      <c r="B99" s="144" t="str">
        <f t="shared" si="1"/>
        <v>Yusuf KöseTortillas 15cm 10pcs 250g</v>
      </c>
      <c r="C99" s="142" t="s">
        <v>518</v>
      </c>
      <c r="D99" s="143">
        <v>8698829380698</v>
      </c>
      <c r="E99" s="142" t="s">
        <v>515</v>
      </c>
      <c r="F99" s="142" t="s">
        <v>516</v>
      </c>
      <c r="G99" s="142" t="s">
        <v>503</v>
      </c>
      <c r="H99" s="142">
        <v>12</v>
      </c>
      <c r="I99" s="142">
        <v>15</v>
      </c>
      <c r="J99" s="142" t="s">
        <v>128</v>
      </c>
      <c r="K99" s="142">
        <v>10</v>
      </c>
      <c r="L99" s="142">
        <v>12</v>
      </c>
      <c r="M99" s="142">
        <v>250</v>
      </c>
      <c r="N99" s="142" t="s">
        <v>105</v>
      </c>
      <c r="O99" s="142">
        <v>6</v>
      </c>
      <c r="P99" s="142" t="s">
        <v>331</v>
      </c>
      <c r="Q99" s="142" t="s">
        <v>517</v>
      </c>
      <c r="R99" s="142">
        <v>84</v>
      </c>
      <c r="S99" s="142" t="s">
        <v>508</v>
      </c>
    </row>
    <row r="100" spans="2:20" x14ac:dyDescent="0.25">
      <c r="B100" s="142" t="str">
        <f t="shared" si="1"/>
        <v>KopuzTortillas 33cm 10pcs 1000g</v>
      </c>
      <c r="C100" s="142" t="s">
        <v>130</v>
      </c>
      <c r="D100" s="143">
        <v>8698829380698</v>
      </c>
      <c r="E100" s="142" t="s">
        <v>501</v>
      </c>
      <c r="F100" s="142" t="s">
        <v>502</v>
      </c>
      <c r="G100" s="142" t="s">
        <v>503</v>
      </c>
      <c r="H100" s="142">
        <v>12</v>
      </c>
      <c r="I100" s="142">
        <v>33</v>
      </c>
      <c r="J100" s="142" t="s">
        <v>128</v>
      </c>
      <c r="K100" s="142">
        <v>10</v>
      </c>
      <c r="L100" s="142">
        <v>12</v>
      </c>
      <c r="M100" s="142">
        <v>1000</v>
      </c>
      <c r="N100" s="142" t="s">
        <v>105</v>
      </c>
      <c r="O100" s="142">
        <v>6</v>
      </c>
      <c r="P100" s="142" t="s">
        <v>504</v>
      </c>
      <c r="Q100" s="142" t="s">
        <v>519</v>
      </c>
    </row>
    <row r="101" spans="2:20" x14ac:dyDescent="0.25">
      <c r="B101" s="144" t="str">
        <f t="shared" si="1"/>
        <v>LLC KOTORMANETKA PEYNİRLİ 25CM Irak Soft</v>
      </c>
      <c r="C101" s="142" t="s">
        <v>45</v>
      </c>
      <c r="D101" s="143">
        <v>8698829380698</v>
      </c>
      <c r="E101" s="142" t="s">
        <v>537</v>
      </c>
      <c r="F101" s="142" t="s">
        <v>538</v>
      </c>
      <c r="G101" s="142" t="s">
        <v>47</v>
      </c>
      <c r="H101" s="142">
        <v>30</v>
      </c>
      <c r="I101" s="142">
        <v>25</v>
      </c>
      <c r="J101" s="142" t="s">
        <v>61</v>
      </c>
      <c r="K101" s="142">
        <v>4</v>
      </c>
      <c r="L101" s="142">
        <v>30</v>
      </c>
      <c r="M101" s="142">
        <v>250</v>
      </c>
      <c r="N101" s="142" t="s">
        <v>23</v>
      </c>
      <c r="O101" s="142">
        <v>6</v>
      </c>
      <c r="P101" s="142" t="s">
        <v>52</v>
      </c>
      <c r="Q101" s="142" t="s">
        <v>25</v>
      </c>
      <c r="R101" s="142">
        <v>78</v>
      </c>
    </row>
    <row r="102" spans="2:20" x14ac:dyDescent="0.25">
      <c r="B102" s="142" t="str">
        <f t="shared" si="1"/>
        <v>Switz TradingSwitz 25cm 8pcs 520g</v>
      </c>
      <c r="C102" s="142" t="s">
        <v>548</v>
      </c>
      <c r="D102" s="143">
        <v>8698829380698</v>
      </c>
      <c r="E102" s="142" t="s">
        <v>549</v>
      </c>
      <c r="F102" s="142" t="s">
        <v>549</v>
      </c>
      <c r="G102" s="142" t="s">
        <v>503</v>
      </c>
      <c r="H102" s="142">
        <v>14</v>
      </c>
      <c r="I102" s="142">
        <v>25</v>
      </c>
      <c r="J102" s="142" t="s">
        <v>104</v>
      </c>
      <c r="K102" s="142">
        <v>8</v>
      </c>
      <c r="L102" s="142">
        <v>14</v>
      </c>
      <c r="M102" s="142">
        <v>520</v>
      </c>
      <c r="N102" s="142" t="s">
        <v>111</v>
      </c>
      <c r="O102" s="142">
        <v>9</v>
      </c>
      <c r="P102" s="142" t="s">
        <v>129</v>
      </c>
      <c r="Q102" s="142" t="s">
        <v>107</v>
      </c>
      <c r="R102" s="142">
        <v>100</v>
      </c>
      <c r="S102" s="142" t="s">
        <v>550</v>
      </c>
    </row>
    <row r="103" spans="2:20" x14ac:dyDescent="0.25">
      <c r="B103" s="144" t="str">
        <f t="shared" si="1"/>
        <v>Ankara KahveTortillove 33cm 10pcs 1000g</v>
      </c>
      <c r="C103" s="142" t="s">
        <v>256</v>
      </c>
      <c r="D103" s="143">
        <v>8698829380698</v>
      </c>
      <c r="E103" s="142" t="s">
        <v>551</v>
      </c>
      <c r="F103" s="142" t="s">
        <v>552</v>
      </c>
      <c r="G103" s="142" t="s">
        <v>503</v>
      </c>
      <c r="H103" s="142">
        <v>12</v>
      </c>
      <c r="I103" s="142">
        <v>33</v>
      </c>
      <c r="J103" s="142" t="s">
        <v>104</v>
      </c>
      <c r="K103" s="142">
        <v>10</v>
      </c>
      <c r="L103" s="142">
        <v>12</v>
      </c>
      <c r="M103" s="142">
        <v>1000</v>
      </c>
      <c r="N103" s="142" t="s">
        <v>105</v>
      </c>
      <c r="O103" s="142">
        <v>6</v>
      </c>
      <c r="P103" s="142" t="s">
        <v>504</v>
      </c>
      <c r="Q103" s="142" t="s">
        <v>519</v>
      </c>
    </row>
    <row r="104" spans="2:20" x14ac:dyDescent="0.25">
      <c r="B104" s="142" t="str">
        <f t="shared" si="1"/>
        <v>GıdaserTortillove 15cm 10pcs 250g</v>
      </c>
      <c r="C104" s="142" t="s">
        <v>553</v>
      </c>
      <c r="D104" s="143">
        <v>8698829380698</v>
      </c>
      <c r="E104" s="142" t="s">
        <v>554</v>
      </c>
      <c r="F104" s="142" t="s">
        <v>462</v>
      </c>
      <c r="G104" s="142" t="s">
        <v>503</v>
      </c>
      <c r="H104" s="142">
        <v>12</v>
      </c>
      <c r="I104" s="142">
        <v>15</v>
      </c>
      <c r="J104" s="142" t="s">
        <v>104</v>
      </c>
      <c r="K104" s="142">
        <v>10</v>
      </c>
      <c r="L104" s="142">
        <v>12</v>
      </c>
      <c r="M104" s="142">
        <v>250</v>
      </c>
      <c r="N104" s="142" t="s">
        <v>105</v>
      </c>
      <c r="O104" s="142">
        <v>6</v>
      </c>
      <c r="P104" s="142" t="s">
        <v>555</v>
      </c>
      <c r="Q104" s="142" t="s">
        <v>517</v>
      </c>
      <c r="R104" s="142">
        <v>100</v>
      </c>
    </row>
    <row r="105" spans="2:20" x14ac:dyDescent="0.25">
      <c r="B105" s="144" t="str">
        <f t="shared" si="1"/>
        <v>GıdaserTortillove 30cm 10pcs 950g</v>
      </c>
      <c r="C105" s="142" t="s">
        <v>553</v>
      </c>
      <c r="D105" s="143">
        <v>8698829380698</v>
      </c>
      <c r="E105" s="142" t="s">
        <v>556</v>
      </c>
      <c r="F105" s="142" t="s">
        <v>183</v>
      </c>
      <c r="G105" s="142" t="s">
        <v>503</v>
      </c>
      <c r="H105" s="142">
        <v>12</v>
      </c>
      <c r="I105" s="142">
        <v>30</v>
      </c>
      <c r="J105" s="142" t="s">
        <v>104</v>
      </c>
      <c r="K105" s="142">
        <v>10</v>
      </c>
      <c r="L105" s="142">
        <v>12</v>
      </c>
      <c r="M105" s="142">
        <v>950</v>
      </c>
      <c r="N105" s="142" t="s">
        <v>105</v>
      </c>
      <c r="O105" s="142">
        <v>6</v>
      </c>
      <c r="P105" s="142" t="s">
        <v>557</v>
      </c>
      <c r="Q105" s="142" t="s">
        <v>521</v>
      </c>
      <c r="R105" s="142">
        <v>50</v>
      </c>
      <c r="S105" s="142" t="s">
        <v>434</v>
      </c>
    </row>
    <row r="106" spans="2:20" x14ac:dyDescent="0.25">
      <c r="B106" s="142" t="str">
        <f t="shared" si="1"/>
        <v>TASTE LAND-BULGARİSTANBaskısız 30cm 18pcs 1170g</v>
      </c>
      <c r="C106" s="142" t="s">
        <v>218</v>
      </c>
      <c r="D106" s="143">
        <v>8698829380698</v>
      </c>
      <c r="E106" s="142" t="s">
        <v>560</v>
      </c>
      <c r="F106" s="142" t="s">
        <v>282</v>
      </c>
      <c r="G106" s="142" t="s">
        <v>191</v>
      </c>
      <c r="H106" s="142">
        <v>6</v>
      </c>
      <c r="I106" s="142">
        <v>25</v>
      </c>
      <c r="J106" s="142" t="s">
        <v>104</v>
      </c>
      <c r="K106" s="142">
        <v>18</v>
      </c>
      <c r="L106" s="142">
        <v>6</v>
      </c>
      <c r="M106" s="142">
        <v>1170</v>
      </c>
      <c r="N106" s="142" t="s">
        <v>23</v>
      </c>
      <c r="O106" s="142">
        <v>9</v>
      </c>
      <c r="P106" s="142" t="s">
        <v>272</v>
      </c>
      <c r="Q106" s="142" t="s">
        <v>314</v>
      </c>
      <c r="R106" s="142">
        <v>84</v>
      </c>
      <c r="S106" s="142" t="s">
        <v>227</v>
      </c>
      <c r="T106" s="142" t="s">
        <v>294</v>
      </c>
    </row>
    <row r="107" spans="2:20" ht="47.25" x14ac:dyDescent="0.25">
      <c r="B107" s="144" t="str">
        <f t="shared" si="1"/>
        <v>Deneme - Helal DenetimHappylla 25cm (TS13542 arka tarafta yazacak)</v>
      </c>
      <c r="C107" s="142" t="s">
        <v>567</v>
      </c>
      <c r="D107" s="143">
        <v>8698829380698</v>
      </c>
      <c r="E107" s="142" t="s">
        <v>568</v>
      </c>
      <c r="F107" s="142" t="s">
        <v>568</v>
      </c>
      <c r="G107" s="142" t="s">
        <v>503</v>
      </c>
      <c r="H107" s="142">
        <v>12</v>
      </c>
      <c r="I107" s="142">
        <v>25</v>
      </c>
      <c r="J107" s="142" t="s">
        <v>569</v>
      </c>
      <c r="K107" s="142">
        <v>10</v>
      </c>
      <c r="L107" s="142">
        <v>12</v>
      </c>
      <c r="M107" s="142">
        <v>650</v>
      </c>
      <c r="N107" s="142" t="s">
        <v>105</v>
      </c>
      <c r="O107" s="142">
        <v>6</v>
      </c>
      <c r="P107" s="142" t="s">
        <v>129</v>
      </c>
      <c r="Q107" s="142" t="s">
        <v>107</v>
      </c>
      <c r="T107" s="140" t="s">
        <v>570</v>
      </c>
    </row>
    <row r="108" spans="2:20" x14ac:dyDescent="0.25">
      <c r="B108" s="142" t="str">
        <f t="shared" si="1"/>
        <v>HRC TradeTortillas 30cm 18pcs 1710g</v>
      </c>
      <c r="C108" s="142" t="s">
        <v>571</v>
      </c>
      <c r="D108" s="143">
        <v>8698829380698</v>
      </c>
      <c r="E108" s="142" t="s">
        <v>572</v>
      </c>
      <c r="F108" s="142" t="s">
        <v>186</v>
      </c>
      <c r="G108" s="142" t="s">
        <v>503</v>
      </c>
      <c r="H108" s="142">
        <v>6</v>
      </c>
      <c r="I108" s="142">
        <v>30</v>
      </c>
      <c r="J108" s="142" t="s">
        <v>104</v>
      </c>
      <c r="K108" s="142">
        <v>18</v>
      </c>
      <c r="L108" s="142">
        <v>6</v>
      </c>
      <c r="M108" s="142">
        <v>1710</v>
      </c>
      <c r="N108" s="142" t="s">
        <v>111</v>
      </c>
      <c r="O108" s="142">
        <v>9</v>
      </c>
      <c r="P108" s="142" t="s">
        <v>303</v>
      </c>
      <c r="Q108" s="142" t="s">
        <v>521</v>
      </c>
      <c r="R108" s="142">
        <v>68</v>
      </c>
      <c r="S108" s="142" t="s">
        <v>438</v>
      </c>
      <c r="T108" s="142" t="s">
        <v>573</v>
      </c>
    </row>
    <row r="109" spans="2:20" x14ac:dyDescent="0.25">
      <c r="B109" s="144" t="str">
        <f t="shared" si="1"/>
        <v>HRC TradeTortillas 25cm 18pcs 1170g</v>
      </c>
      <c r="C109" s="142" t="s">
        <v>571</v>
      </c>
      <c r="D109" s="143">
        <v>8698829380698</v>
      </c>
      <c r="E109" s="142" t="s">
        <v>574</v>
      </c>
      <c r="F109" s="142" t="s">
        <v>190</v>
      </c>
      <c r="G109" s="142" t="s">
        <v>503</v>
      </c>
      <c r="H109" s="142">
        <v>6</v>
      </c>
      <c r="I109" s="142">
        <v>25</v>
      </c>
      <c r="J109" s="142" t="s">
        <v>104</v>
      </c>
      <c r="K109" s="142">
        <v>18</v>
      </c>
      <c r="L109" s="142">
        <v>6</v>
      </c>
      <c r="M109" s="142">
        <v>1170</v>
      </c>
      <c r="N109" s="142" t="s">
        <v>111</v>
      </c>
      <c r="O109" s="142">
        <v>9</v>
      </c>
      <c r="P109" s="142" t="s">
        <v>511</v>
      </c>
      <c r="Q109" s="142" t="s">
        <v>314</v>
      </c>
      <c r="R109" s="142">
        <v>80</v>
      </c>
      <c r="S109" s="142" t="s">
        <v>434</v>
      </c>
      <c r="T109" s="142" t="s">
        <v>573</v>
      </c>
    </row>
    <row r="110" spans="2:20" x14ac:dyDescent="0.25">
      <c r="B110" s="142" t="str">
        <f t="shared" si="1"/>
        <v>Ceylan DönerTortillas 15cm 10pcs 250g</v>
      </c>
      <c r="C110" s="142" t="s">
        <v>575</v>
      </c>
      <c r="D110" s="143">
        <v>8698829380698</v>
      </c>
      <c r="E110" s="142" t="s">
        <v>515</v>
      </c>
      <c r="F110" s="142" t="s">
        <v>516</v>
      </c>
      <c r="G110" s="142" t="s">
        <v>503</v>
      </c>
      <c r="H110" s="142">
        <v>12</v>
      </c>
      <c r="I110" s="142">
        <v>15</v>
      </c>
      <c r="J110" s="142" t="s">
        <v>104</v>
      </c>
      <c r="K110" s="142">
        <v>10</v>
      </c>
      <c r="L110" s="142">
        <v>12</v>
      </c>
      <c r="M110" s="142">
        <v>250</v>
      </c>
      <c r="N110" s="142" t="s">
        <v>105</v>
      </c>
      <c r="O110" s="142">
        <v>6</v>
      </c>
      <c r="P110" s="142" t="s">
        <v>576</v>
      </c>
      <c r="Q110" s="142" t="s">
        <v>577</v>
      </c>
      <c r="R110" s="142">
        <v>100</v>
      </c>
      <c r="S110" s="142" t="s">
        <v>508</v>
      </c>
    </row>
    <row r="111" spans="2:20" x14ac:dyDescent="0.25">
      <c r="B111" s="144" t="str">
        <f t="shared" si="1"/>
        <v>Ankara KahveTortillove 30cm 10pcs 950g</v>
      </c>
      <c r="C111" s="142" t="s">
        <v>256</v>
      </c>
      <c r="D111" s="143">
        <v>8698829380698</v>
      </c>
      <c r="E111" s="142" t="s">
        <v>556</v>
      </c>
      <c r="F111" s="142" t="s">
        <v>183</v>
      </c>
      <c r="G111" s="142" t="s">
        <v>503</v>
      </c>
      <c r="H111" s="142">
        <v>12</v>
      </c>
      <c r="I111" s="142">
        <v>30</v>
      </c>
      <c r="J111" s="142" t="s">
        <v>104</v>
      </c>
      <c r="K111" s="142">
        <v>10</v>
      </c>
      <c r="L111" s="142">
        <v>12</v>
      </c>
      <c r="M111" s="142">
        <v>950</v>
      </c>
      <c r="N111" s="142" t="s">
        <v>105</v>
      </c>
      <c r="O111" s="142">
        <v>6</v>
      </c>
      <c r="P111" s="142" t="s">
        <v>303</v>
      </c>
      <c r="Q111" s="142" t="s">
        <v>521</v>
      </c>
    </row>
    <row r="112" spans="2:20" x14ac:dyDescent="0.25">
      <c r="B112" s="142" t="str">
        <f t="shared" si="1"/>
        <v>BelamionixTortillas 20cm 10pcs 450g</v>
      </c>
      <c r="C112" s="142" t="s">
        <v>579</v>
      </c>
      <c r="D112" s="143">
        <v>8698829380698</v>
      </c>
      <c r="E112" s="142" t="s">
        <v>512</v>
      </c>
      <c r="F112" s="142" t="s">
        <v>513</v>
      </c>
      <c r="G112" s="142" t="s">
        <v>503</v>
      </c>
      <c r="H112" s="142">
        <v>12</v>
      </c>
      <c r="I112" s="142">
        <v>20</v>
      </c>
      <c r="J112" s="142" t="s">
        <v>104</v>
      </c>
      <c r="K112" s="142">
        <v>10</v>
      </c>
      <c r="L112" s="142">
        <v>12</v>
      </c>
      <c r="M112" s="142">
        <v>450</v>
      </c>
      <c r="N112" s="142" t="s">
        <v>111</v>
      </c>
      <c r="O112" s="142">
        <v>6</v>
      </c>
      <c r="P112" s="142" t="s">
        <v>580</v>
      </c>
      <c r="Q112" s="142" t="s">
        <v>291</v>
      </c>
      <c r="R112" s="142">
        <v>100</v>
      </c>
      <c r="S112" s="142" t="s">
        <v>581</v>
      </c>
      <c r="T112" s="142" t="s">
        <v>582</v>
      </c>
    </row>
    <row r="113" spans="2:20" x14ac:dyDescent="0.25">
      <c r="B113" s="144" t="str">
        <f t="shared" si="1"/>
        <v>BelamionixTortillas 25cm 10pcs 650g</v>
      </c>
      <c r="C113" s="142" t="s">
        <v>579</v>
      </c>
      <c r="D113" s="143">
        <v>8698829380698</v>
      </c>
      <c r="E113" s="142" t="s">
        <v>193</v>
      </c>
      <c r="F113" s="142" t="s">
        <v>190</v>
      </c>
      <c r="G113" s="142" t="s">
        <v>503</v>
      </c>
      <c r="H113" s="142">
        <v>12</v>
      </c>
      <c r="I113" s="142">
        <v>25</v>
      </c>
      <c r="J113" s="142" t="s">
        <v>104</v>
      </c>
      <c r="K113" s="142">
        <v>10</v>
      </c>
      <c r="L113" s="142">
        <v>12</v>
      </c>
      <c r="M113" s="142">
        <v>650</v>
      </c>
      <c r="N113" s="142" t="s">
        <v>111</v>
      </c>
      <c r="O113" s="142">
        <v>6</v>
      </c>
      <c r="P113" s="142" t="s">
        <v>511</v>
      </c>
      <c r="Q113" s="142" t="s">
        <v>314</v>
      </c>
      <c r="R113" s="142">
        <v>100</v>
      </c>
      <c r="S113" s="142" t="s">
        <v>438</v>
      </c>
      <c r="T113" s="142" t="s">
        <v>582</v>
      </c>
    </row>
    <row r="114" spans="2:20" x14ac:dyDescent="0.25">
      <c r="B114" s="142" t="str">
        <f t="shared" si="1"/>
        <v>BelamionixTortillas 30cm 10pcs 850g</v>
      </c>
      <c r="C114" s="142" t="s">
        <v>579</v>
      </c>
      <c r="D114" s="143">
        <v>8698829380698</v>
      </c>
      <c r="E114" s="142" t="s">
        <v>509</v>
      </c>
      <c r="F114" s="142" t="s">
        <v>186</v>
      </c>
      <c r="G114" s="142" t="s">
        <v>503</v>
      </c>
      <c r="H114" s="142">
        <v>12</v>
      </c>
      <c r="I114" s="142">
        <v>30</v>
      </c>
      <c r="J114" s="142" t="s">
        <v>104</v>
      </c>
      <c r="K114" s="142">
        <v>10</v>
      </c>
      <c r="L114" s="142">
        <v>12</v>
      </c>
      <c r="M114" s="142">
        <v>850</v>
      </c>
      <c r="N114" s="142" t="s">
        <v>111</v>
      </c>
      <c r="O114" s="142">
        <v>6</v>
      </c>
      <c r="P114" s="142" t="s">
        <v>303</v>
      </c>
      <c r="Q114" s="142" t="s">
        <v>521</v>
      </c>
      <c r="R114" s="142">
        <v>50</v>
      </c>
      <c r="S114" s="142" t="s">
        <v>434</v>
      </c>
      <c r="T114" s="142" t="s">
        <v>582</v>
      </c>
    </row>
    <row r="115" spans="2:20" x14ac:dyDescent="0.25">
      <c r="B115" s="144" t="str">
        <f t="shared" si="1"/>
        <v>BelamionixTortillas 25cm TB 10pcs 650g</v>
      </c>
      <c r="C115" s="142" t="s">
        <v>579</v>
      </c>
      <c r="D115" s="143">
        <v>8698829380698</v>
      </c>
      <c r="E115" s="142" t="s">
        <v>585</v>
      </c>
      <c r="F115" s="142" t="s">
        <v>270</v>
      </c>
      <c r="G115" s="142" t="s">
        <v>191</v>
      </c>
      <c r="H115" s="142">
        <v>12</v>
      </c>
      <c r="I115" s="142">
        <v>25</v>
      </c>
      <c r="J115" s="142" t="s">
        <v>104</v>
      </c>
      <c r="K115" s="142">
        <v>10</v>
      </c>
      <c r="L115" s="142">
        <v>12</v>
      </c>
      <c r="M115" s="142">
        <v>650</v>
      </c>
      <c r="N115" s="142" t="s">
        <v>111</v>
      </c>
      <c r="O115" s="142">
        <v>6</v>
      </c>
      <c r="P115" s="142" t="s">
        <v>272</v>
      </c>
      <c r="Q115" s="142" t="s">
        <v>314</v>
      </c>
      <c r="R115" s="142">
        <v>100</v>
      </c>
      <c r="S115" s="142" t="s">
        <v>438</v>
      </c>
      <c r="T115" s="142" t="s">
        <v>582</v>
      </c>
    </row>
    <row r="116" spans="2:20" x14ac:dyDescent="0.25">
      <c r="B116" s="142" t="str">
        <f t="shared" si="1"/>
        <v>BelamionixTortillas 26cm Pizza 4pcs 480g</v>
      </c>
      <c r="C116" s="142" t="s">
        <v>579</v>
      </c>
      <c r="D116" s="143">
        <v>8698829380698</v>
      </c>
      <c r="E116" s="142" t="s">
        <v>257</v>
      </c>
      <c r="F116" s="142" t="s">
        <v>286</v>
      </c>
      <c r="G116" s="142" t="s">
        <v>486</v>
      </c>
      <c r="H116" s="142">
        <v>6</v>
      </c>
      <c r="I116" s="142">
        <v>26</v>
      </c>
      <c r="J116" s="142" t="s">
        <v>104</v>
      </c>
      <c r="K116" s="142">
        <v>4</v>
      </c>
      <c r="L116" s="142">
        <v>6</v>
      </c>
      <c r="M116" s="142">
        <v>480</v>
      </c>
      <c r="N116" s="142" t="s">
        <v>111</v>
      </c>
      <c r="O116" s="142">
        <v>6</v>
      </c>
      <c r="P116" s="142" t="s">
        <v>583</v>
      </c>
      <c r="Q116" s="142" t="s">
        <v>584</v>
      </c>
      <c r="R116" s="142">
        <v>150</v>
      </c>
      <c r="S116" s="142" t="s">
        <v>508</v>
      </c>
      <c r="T116" s="142" t="s">
        <v>582</v>
      </c>
    </row>
    <row r="117" spans="2:20" x14ac:dyDescent="0.25">
      <c r="B117" s="144" t="str">
        <f t="shared" si="1"/>
        <v>Ankara KahveTortillove 15cm 10pcs 250g</v>
      </c>
      <c r="C117" s="142" t="s">
        <v>256</v>
      </c>
      <c r="D117" s="143">
        <v>8698829380698</v>
      </c>
      <c r="E117" s="142" t="s">
        <v>554</v>
      </c>
      <c r="F117" s="142" t="s">
        <v>462</v>
      </c>
      <c r="G117" s="142" t="s">
        <v>503</v>
      </c>
      <c r="H117" s="142">
        <v>12</v>
      </c>
      <c r="I117" s="142">
        <v>15</v>
      </c>
      <c r="J117" s="142" t="s">
        <v>104</v>
      </c>
      <c r="K117" s="142">
        <v>10</v>
      </c>
      <c r="L117" s="142">
        <v>12</v>
      </c>
      <c r="M117" s="142">
        <v>250</v>
      </c>
      <c r="N117" s="142" t="s">
        <v>105</v>
      </c>
      <c r="O117" s="142">
        <v>6</v>
      </c>
      <c r="P117" s="142" t="s">
        <v>576</v>
      </c>
      <c r="Q117" s="142" t="s">
        <v>517</v>
      </c>
    </row>
    <row r="118" spans="2:20" x14ac:dyDescent="0.25">
      <c r="B118" s="142" t="str">
        <f t="shared" si="1"/>
        <v>ArtaneTortillas 30cm 10pcs 900g</v>
      </c>
      <c r="C118" s="142" t="s">
        <v>586</v>
      </c>
      <c r="D118" s="143">
        <v>8698829380698</v>
      </c>
      <c r="E118" s="142" t="s">
        <v>185</v>
      </c>
      <c r="F118" s="142" t="s">
        <v>186</v>
      </c>
      <c r="G118" s="142" t="s">
        <v>503</v>
      </c>
      <c r="H118" s="142">
        <v>12</v>
      </c>
      <c r="I118" s="142">
        <v>30</v>
      </c>
      <c r="J118" s="142" t="s">
        <v>104</v>
      </c>
      <c r="K118" s="142">
        <v>10</v>
      </c>
      <c r="L118" s="142">
        <v>12</v>
      </c>
      <c r="M118" s="142">
        <v>900</v>
      </c>
      <c r="N118" s="142" t="s">
        <v>111</v>
      </c>
      <c r="O118" s="142">
        <v>6</v>
      </c>
      <c r="P118" s="142" t="s">
        <v>303</v>
      </c>
      <c r="Q118" s="142" t="s">
        <v>521</v>
      </c>
      <c r="R118" s="142">
        <v>50</v>
      </c>
      <c r="S118" s="142" t="s">
        <v>434</v>
      </c>
      <c r="T118" s="142" t="s">
        <v>582</v>
      </c>
    </row>
    <row r="119" spans="2:20" x14ac:dyDescent="0.25">
      <c r="B119" s="144" t="str">
        <f t="shared" si="1"/>
        <v/>
      </c>
    </row>
    <row r="120" spans="2:20" x14ac:dyDescent="0.25">
      <c r="B120" s="142" t="str">
        <f t="shared" si="1"/>
        <v/>
      </c>
    </row>
    <row r="121" spans="2:20" x14ac:dyDescent="0.25">
      <c r="B121" s="144" t="str">
        <f t="shared" si="1"/>
        <v/>
      </c>
    </row>
    <row r="122" spans="2:20" x14ac:dyDescent="0.25">
      <c r="B122" s="142" t="str">
        <f t="shared" si="1"/>
        <v/>
      </c>
    </row>
    <row r="123" spans="2:20" x14ac:dyDescent="0.25">
      <c r="B123" s="144" t="str">
        <f t="shared" si="1"/>
        <v/>
      </c>
    </row>
    <row r="124" spans="2:20" x14ac:dyDescent="0.25">
      <c r="B124" s="142" t="str">
        <f t="shared" si="1"/>
        <v/>
      </c>
    </row>
    <row r="125" spans="2:20" x14ac:dyDescent="0.25">
      <c r="B125" s="144" t="str">
        <f t="shared" si="1"/>
        <v/>
      </c>
    </row>
    <row r="126" spans="2:20" x14ac:dyDescent="0.25">
      <c r="B126" s="142" t="str">
        <f t="shared" si="1"/>
        <v/>
      </c>
    </row>
    <row r="127" spans="2:20" x14ac:dyDescent="0.25">
      <c r="B127" s="144" t="str">
        <f t="shared" si="1"/>
        <v/>
      </c>
    </row>
    <row r="128" spans="2:20" x14ac:dyDescent="0.25">
      <c r="B128" s="142" t="str">
        <f t="shared" si="1"/>
        <v/>
      </c>
    </row>
    <row r="129" spans="2:2" x14ac:dyDescent="0.25">
      <c r="B129" s="144" t="str">
        <f t="shared" si="1"/>
        <v/>
      </c>
    </row>
    <row r="130" spans="2:2" x14ac:dyDescent="0.25">
      <c r="B130" s="142" t="str">
        <f t="shared" si="1"/>
        <v/>
      </c>
    </row>
    <row r="131" spans="2:2" x14ac:dyDescent="0.25">
      <c r="B131" s="144" t="str">
        <f t="shared" si="1"/>
        <v/>
      </c>
    </row>
    <row r="132" spans="2:2" x14ac:dyDescent="0.25">
      <c r="B132" s="142" t="str">
        <f t="shared" si="1"/>
        <v/>
      </c>
    </row>
    <row r="133" spans="2:2" x14ac:dyDescent="0.25">
      <c r="B133" s="144" t="str">
        <f t="shared" ref="B133:B196" si="2">IF(C133="","",CONCATENATE(C133,E133))</f>
        <v/>
      </c>
    </row>
    <row r="134" spans="2:2" x14ac:dyDescent="0.25">
      <c r="B134" s="142" t="str">
        <f t="shared" si="2"/>
        <v/>
      </c>
    </row>
    <row r="135" spans="2:2" x14ac:dyDescent="0.25">
      <c r="B135" s="144" t="str">
        <f t="shared" si="2"/>
        <v/>
      </c>
    </row>
    <row r="136" spans="2:2" x14ac:dyDescent="0.25">
      <c r="B136" s="142" t="str">
        <f t="shared" si="2"/>
        <v/>
      </c>
    </row>
    <row r="137" spans="2:2" x14ac:dyDescent="0.25">
      <c r="B137" s="144" t="str">
        <f t="shared" si="2"/>
        <v/>
      </c>
    </row>
    <row r="138" spans="2:2" x14ac:dyDescent="0.25">
      <c r="B138" s="142" t="str">
        <f t="shared" si="2"/>
        <v/>
      </c>
    </row>
    <row r="139" spans="2:2" x14ac:dyDescent="0.25">
      <c r="B139" s="144" t="str">
        <f t="shared" si="2"/>
        <v/>
      </c>
    </row>
    <row r="140" spans="2:2" x14ac:dyDescent="0.25">
      <c r="B140" s="142" t="str">
        <f t="shared" si="2"/>
        <v/>
      </c>
    </row>
    <row r="141" spans="2:2" x14ac:dyDescent="0.25">
      <c r="B141" s="144" t="str">
        <f t="shared" si="2"/>
        <v/>
      </c>
    </row>
    <row r="142" spans="2:2" x14ac:dyDescent="0.25">
      <c r="B142" s="142" t="str">
        <f t="shared" si="2"/>
        <v/>
      </c>
    </row>
    <row r="143" spans="2:2" x14ac:dyDescent="0.25">
      <c r="B143" s="144" t="str">
        <f t="shared" si="2"/>
        <v/>
      </c>
    </row>
    <row r="144" spans="2:2" x14ac:dyDescent="0.25">
      <c r="B144" s="142" t="str">
        <f t="shared" si="2"/>
        <v/>
      </c>
    </row>
    <row r="145" spans="2:2" x14ac:dyDescent="0.25">
      <c r="B145" s="144" t="str">
        <f t="shared" si="2"/>
        <v/>
      </c>
    </row>
    <row r="146" spans="2:2" x14ac:dyDescent="0.25">
      <c r="B146" s="142" t="str">
        <f t="shared" si="2"/>
        <v/>
      </c>
    </row>
    <row r="147" spans="2:2" x14ac:dyDescent="0.25">
      <c r="B147" s="144" t="str">
        <f t="shared" si="2"/>
        <v/>
      </c>
    </row>
    <row r="148" spans="2:2" x14ac:dyDescent="0.25">
      <c r="B148" s="142" t="str">
        <f t="shared" si="2"/>
        <v/>
      </c>
    </row>
    <row r="149" spans="2:2" x14ac:dyDescent="0.25">
      <c r="B149" s="144" t="str">
        <f t="shared" si="2"/>
        <v/>
      </c>
    </row>
    <row r="150" spans="2:2" x14ac:dyDescent="0.25">
      <c r="B150" s="142" t="str">
        <f t="shared" si="2"/>
        <v/>
      </c>
    </row>
    <row r="151" spans="2:2" x14ac:dyDescent="0.25">
      <c r="B151" s="144" t="str">
        <f t="shared" si="2"/>
        <v/>
      </c>
    </row>
    <row r="152" spans="2:2" x14ac:dyDescent="0.25">
      <c r="B152" s="142" t="str">
        <f t="shared" si="2"/>
        <v/>
      </c>
    </row>
    <row r="153" spans="2:2" x14ac:dyDescent="0.25">
      <c r="B153" s="144" t="str">
        <f t="shared" si="2"/>
        <v/>
      </c>
    </row>
    <row r="154" spans="2:2" x14ac:dyDescent="0.25">
      <c r="B154" s="142" t="str">
        <f t="shared" si="2"/>
        <v/>
      </c>
    </row>
    <row r="155" spans="2:2" x14ac:dyDescent="0.25">
      <c r="B155" s="144" t="str">
        <f t="shared" si="2"/>
        <v/>
      </c>
    </row>
    <row r="156" spans="2:2" x14ac:dyDescent="0.25">
      <c r="B156" s="142" t="str">
        <f t="shared" si="2"/>
        <v/>
      </c>
    </row>
    <row r="157" spans="2:2" x14ac:dyDescent="0.25">
      <c r="B157" s="144" t="str">
        <f t="shared" si="2"/>
        <v/>
      </c>
    </row>
    <row r="158" spans="2:2" x14ac:dyDescent="0.25">
      <c r="B158" s="142" t="str">
        <f t="shared" si="2"/>
        <v/>
      </c>
    </row>
    <row r="159" spans="2:2" x14ac:dyDescent="0.25">
      <c r="B159" s="144" t="str">
        <f t="shared" si="2"/>
        <v/>
      </c>
    </row>
    <row r="160" spans="2:2" x14ac:dyDescent="0.25">
      <c r="B160" s="142" t="str">
        <f t="shared" si="2"/>
        <v/>
      </c>
    </row>
    <row r="161" spans="2:2" x14ac:dyDescent="0.25">
      <c r="B161" s="144" t="str">
        <f t="shared" si="2"/>
        <v/>
      </c>
    </row>
    <row r="162" spans="2:2" x14ac:dyDescent="0.25">
      <c r="B162" s="142" t="str">
        <f t="shared" si="2"/>
        <v/>
      </c>
    </row>
    <row r="163" spans="2:2" x14ac:dyDescent="0.25">
      <c r="B163" s="144" t="str">
        <f t="shared" si="2"/>
        <v/>
      </c>
    </row>
    <row r="164" spans="2:2" x14ac:dyDescent="0.25">
      <c r="B164" s="142" t="str">
        <f t="shared" si="2"/>
        <v/>
      </c>
    </row>
    <row r="165" spans="2:2" x14ac:dyDescent="0.25">
      <c r="B165" s="144" t="str">
        <f t="shared" si="2"/>
        <v/>
      </c>
    </row>
    <row r="166" spans="2:2" x14ac:dyDescent="0.25">
      <c r="B166" s="142" t="str">
        <f t="shared" si="2"/>
        <v/>
      </c>
    </row>
    <row r="167" spans="2:2" x14ac:dyDescent="0.25">
      <c r="B167" s="144" t="str">
        <f t="shared" si="2"/>
        <v/>
      </c>
    </row>
    <row r="168" spans="2:2" x14ac:dyDescent="0.25">
      <c r="B168" s="142" t="str">
        <f t="shared" si="2"/>
        <v/>
      </c>
    </row>
    <row r="169" spans="2:2" x14ac:dyDescent="0.25">
      <c r="B169" s="144" t="str">
        <f t="shared" si="2"/>
        <v/>
      </c>
    </row>
    <row r="170" spans="2:2" x14ac:dyDescent="0.25">
      <c r="B170" s="142" t="str">
        <f t="shared" si="2"/>
        <v/>
      </c>
    </row>
    <row r="171" spans="2:2" x14ac:dyDescent="0.25">
      <c r="B171" s="144" t="str">
        <f t="shared" si="2"/>
        <v/>
      </c>
    </row>
    <row r="172" spans="2:2" x14ac:dyDescent="0.25">
      <c r="B172" s="142" t="str">
        <f t="shared" si="2"/>
        <v/>
      </c>
    </row>
    <row r="173" spans="2:2" x14ac:dyDescent="0.25">
      <c r="B173" s="144" t="str">
        <f t="shared" si="2"/>
        <v/>
      </c>
    </row>
    <row r="174" spans="2:2" x14ac:dyDescent="0.25">
      <c r="B174" s="142" t="str">
        <f t="shared" si="2"/>
        <v/>
      </c>
    </row>
    <row r="175" spans="2:2" x14ac:dyDescent="0.25">
      <c r="B175" s="144" t="str">
        <f t="shared" si="2"/>
        <v/>
      </c>
    </row>
    <row r="176" spans="2:2" x14ac:dyDescent="0.25">
      <c r="B176" s="142" t="str">
        <f t="shared" si="2"/>
        <v/>
      </c>
    </row>
    <row r="177" spans="2:2" x14ac:dyDescent="0.25">
      <c r="B177" s="144" t="str">
        <f t="shared" si="2"/>
        <v/>
      </c>
    </row>
    <row r="178" spans="2:2" x14ac:dyDescent="0.25">
      <c r="B178" s="142" t="str">
        <f t="shared" si="2"/>
        <v/>
      </c>
    </row>
    <row r="179" spans="2:2" x14ac:dyDescent="0.25">
      <c r="B179" s="144" t="str">
        <f t="shared" si="2"/>
        <v/>
      </c>
    </row>
    <row r="180" spans="2:2" x14ac:dyDescent="0.25">
      <c r="B180" s="142" t="str">
        <f t="shared" si="2"/>
        <v/>
      </c>
    </row>
    <row r="181" spans="2:2" x14ac:dyDescent="0.25">
      <c r="B181" s="144" t="str">
        <f t="shared" si="2"/>
        <v/>
      </c>
    </row>
    <row r="182" spans="2:2" x14ac:dyDescent="0.25">
      <c r="B182" s="142" t="str">
        <f t="shared" si="2"/>
        <v/>
      </c>
    </row>
    <row r="183" spans="2:2" x14ac:dyDescent="0.25">
      <c r="B183" s="144" t="str">
        <f t="shared" si="2"/>
        <v/>
      </c>
    </row>
    <row r="184" spans="2:2" x14ac:dyDescent="0.25">
      <c r="B184" s="142" t="str">
        <f t="shared" si="2"/>
        <v/>
      </c>
    </row>
    <row r="185" spans="2:2" x14ac:dyDescent="0.25">
      <c r="B185" s="144" t="str">
        <f t="shared" si="2"/>
        <v/>
      </c>
    </row>
    <row r="186" spans="2:2" x14ac:dyDescent="0.25">
      <c r="B186" s="142" t="str">
        <f t="shared" si="2"/>
        <v/>
      </c>
    </row>
    <row r="187" spans="2:2" x14ac:dyDescent="0.25">
      <c r="B187" s="144" t="str">
        <f t="shared" si="2"/>
        <v/>
      </c>
    </row>
    <row r="188" spans="2:2" x14ac:dyDescent="0.25">
      <c r="B188" s="142" t="str">
        <f t="shared" si="2"/>
        <v/>
      </c>
    </row>
    <row r="189" spans="2:2" x14ac:dyDescent="0.25">
      <c r="B189" s="144" t="str">
        <f t="shared" si="2"/>
        <v/>
      </c>
    </row>
    <row r="190" spans="2:2" x14ac:dyDescent="0.25">
      <c r="B190" s="142" t="str">
        <f t="shared" si="2"/>
        <v/>
      </c>
    </row>
    <row r="191" spans="2:2" x14ac:dyDescent="0.25">
      <c r="B191" s="144" t="str">
        <f t="shared" si="2"/>
        <v/>
      </c>
    </row>
    <row r="192" spans="2:2" x14ac:dyDescent="0.25">
      <c r="B192" s="142" t="str">
        <f t="shared" si="2"/>
        <v/>
      </c>
    </row>
    <row r="193" spans="2:2" x14ac:dyDescent="0.25">
      <c r="B193" s="144" t="str">
        <f t="shared" si="2"/>
        <v/>
      </c>
    </row>
    <row r="194" spans="2:2" x14ac:dyDescent="0.25">
      <c r="B194" s="142" t="str">
        <f t="shared" si="2"/>
        <v/>
      </c>
    </row>
    <row r="195" spans="2:2" x14ac:dyDescent="0.25">
      <c r="B195" s="144" t="str">
        <f t="shared" si="2"/>
        <v/>
      </c>
    </row>
    <row r="196" spans="2:2" x14ac:dyDescent="0.25">
      <c r="B196" s="142" t="str">
        <f t="shared" si="2"/>
        <v/>
      </c>
    </row>
    <row r="197" spans="2:2" x14ac:dyDescent="0.25">
      <c r="B197" s="144" t="str">
        <f t="shared" ref="B197:B260" si="3">IF(C197="","",CONCATENATE(C197,E197))</f>
        <v/>
      </c>
    </row>
    <row r="198" spans="2:2" x14ac:dyDescent="0.25">
      <c r="B198" s="142" t="str">
        <f t="shared" si="3"/>
        <v/>
      </c>
    </row>
    <row r="199" spans="2:2" x14ac:dyDescent="0.25">
      <c r="B199" s="144" t="str">
        <f t="shared" si="3"/>
        <v/>
      </c>
    </row>
    <row r="200" spans="2:2" x14ac:dyDescent="0.25">
      <c r="B200" s="142" t="str">
        <f t="shared" si="3"/>
        <v/>
      </c>
    </row>
    <row r="201" spans="2:2" x14ac:dyDescent="0.25">
      <c r="B201" s="144" t="str">
        <f t="shared" si="3"/>
        <v/>
      </c>
    </row>
    <row r="202" spans="2:2" x14ac:dyDescent="0.25">
      <c r="B202" s="142" t="str">
        <f t="shared" si="3"/>
        <v/>
      </c>
    </row>
    <row r="203" spans="2:2" x14ac:dyDescent="0.25">
      <c r="B203" s="144" t="str">
        <f t="shared" si="3"/>
        <v/>
      </c>
    </row>
    <row r="204" spans="2:2" x14ac:dyDescent="0.25">
      <c r="B204" s="142" t="str">
        <f t="shared" si="3"/>
        <v/>
      </c>
    </row>
    <row r="205" spans="2:2" x14ac:dyDescent="0.25">
      <c r="B205" s="144" t="str">
        <f t="shared" si="3"/>
        <v/>
      </c>
    </row>
    <row r="206" spans="2:2" x14ac:dyDescent="0.25">
      <c r="B206" s="142" t="str">
        <f t="shared" si="3"/>
        <v/>
      </c>
    </row>
    <row r="207" spans="2:2" x14ac:dyDescent="0.25">
      <c r="B207" s="144" t="str">
        <f t="shared" si="3"/>
        <v/>
      </c>
    </row>
    <row r="208" spans="2:2" x14ac:dyDescent="0.25">
      <c r="B208" s="142" t="str">
        <f t="shared" si="3"/>
        <v/>
      </c>
    </row>
    <row r="209" spans="2:2" x14ac:dyDescent="0.25">
      <c r="B209" s="144" t="str">
        <f t="shared" si="3"/>
        <v/>
      </c>
    </row>
    <row r="210" spans="2:2" x14ac:dyDescent="0.25">
      <c r="B210" s="142" t="str">
        <f t="shared" si="3"/>
        <v/>
      </c>
    </row>
    <row r="211" spans="2:2" x14ac:dyDescent="0.25">
      <c r="B211" s="144" t="str">
        <f t="shared" si="3"/>
        <v/>
      </c>
    </row>
    <row r="212" spans="2:2" x14ac:dyDescent="0.25">
      <c r="B212" s="142" t="str">
        <f t="shared" si="3"/>
        <v/>
      </c>
    </row>
    <row r="213" spans="2:2" x14ac:dyDescent="0.25">
      <c r="B213" s="144" t="str">
        <f t="shared" si="3"/>
        <v/>
      </c>
    </row>
    <row r="214" spans="2:2" x14ac:dyDescent="0.25">
      <c r="B214" s="142" t="str">
        <f t="shared" si="3"/>
        <v/>
      </c>
    </row>
    <row r="215" spans="2:2" x14ac:dyDescent="0.25">
      <c r="B215" s="144" t="str">
        <f t="shared" si="3"/>
        <v/>
      </c>
    </row>
    <row r="216" spans="2:2" x14ac:dyDescent="0.25">
      <c r="B216" s="142" t="str">
        <f t="shared" si="3"/>
        <v/>
      </c>
    </row>
    <row r="217" spans="2:2" x14ac:dyDescent="0.25">
      <c r="B217" s="144" t="str">
        <f t="shared" si="3"/>
        <v/>
      </c>
    </row>
    <row r="218" spans="2:2" x14ac:dyDescent="0.25">
      <c r="B218" s="142" t="str">
        <f t="shared" si="3"/>
        <v/>
      </c>
    </row>
    <row r="219" spans="2:2" x14ac:dyDescent="0.25">
      <c r="B219" s="144" t="str">
        <f t="shared" si="3"/>
        <v/>
      </c>
    </row>
    <row r="220" spans="2:2" x14ac:dyDescent="0.25">
      <c r="B220" s="142" t="str">
        <f t="shared" si="3"/>
        <v/>
      </c>
    </row>
    <row r="221" spans="2:2" x14ac:dyDescent="0.25">
      <c r="B221" s="144" t="str">
        <f t="shared" si="3"/>
        <v/>
      </c>
    </row>
    <row r="222" spans="2:2" x14ac:dyDescent="0.25">
      <c r="B222" s="142" t="str">
        <f t="shared" si="3"/>
        <v/>
      </c>
    </row>
    <row r="223" spans="2:2" x14ac:dyDescent="0.25">
      <c r="B223" s="144" t="str">
        <f t="shared" si="3"/>
        <v/>
      </c>
    </row>
    <row r="224" spans="2:2" x14ac:dyDescent="0.25">
      <c r="B224" s="142" t="str">
        <f t="shared" si="3"/>
        <v/>
      </c>
    </row>
    <row r="225" spans="2:2" x14ac:dyDescent="0.25">
      <c r="B225" s="144" t="str">
        <f t="shared" si="3"/>
        <v/>
      </c>
    </row>
    <row r="226" spans="2:2" x14ac:dyDescent="0.25">
      <c r="B226" s="142" t="str">
        <f t="shared" si="3"/>
        <v/>
      </c>
    </row>
    <row r="227" spans="2:2" x14ac:dyDescent="0.25">
      <c r="B227" s="144" t="str">
        <f t="shared" si="3"/>
        <v/>
      </c>
    </row>
    <row r="228" spans="2:2" x14ac:dyDescent="0.25">
      <c r="B228" s="142" t="str">
        <f t="shared" si="3"/>
        <v/>
      </c>
    </row>
    <row r="229" spans="2:2" x14ac:dyDescent="0.25">
      <c r="B229" s="144" t="str">
        <f t="shared" si="3"/>
        <v/>
      </c>
    </row>
    <row r="230" spans="2:2" x14ac:dyDescent="0.25">
      <c r="B230" s="142" t="str">
        <f t="shared" si="3"/>
        <v/>
      </c>
    </row>
    <row r="231" spans="2:2" x14ac:dyDescent="0.25">
      <c r="B231" s="144" t="str">
        <f t="shared" si="3"/>
        <v/>
      </c>
    </row>
    <row r="232" spans="2:2" x14ac:dyDescent="0.25">
      <c r="B232" s="142" t="str">
        <f t="shared" si="3"/>
        <v/>
      </c>
    </row>
    <row r="233" spans="2:2" x14ac:dyDescent="0.25">
      <c r="B233" s="144" t="str">
        <f t="shared" si="3"/>
        <v/>
      </c>
    </row>
    <row r="234" spans="2:2" x14ac:dyDescent="0.25">
      <c r="B234" s="142" t="str">
        <f t="shared" si="3"/>
        <v/>
      </c>
    </row>
    <row r="235" spans="2:2" x14ac:dyDescent="0.25">
      <c r="B235" s="144" t="str">
        <f t="shared" si="3"/>
        <v/>
      </c>
    </row>
    <row r="236" spans="2:2" x14ac:dyDescent="0.25">
      <c r="B236" s="142" t="str">
        <f t="shared" si="3"/>
        <v/>
      </c>
    </row>
    <row r="237" spans="2:2" x14ac:dyDescent="0.25">
      <c r="B237" s="144" t="str">
        <f t="shared" si="3"/>
        <v/>
      </c>
    </row>
    <row r="238" spans="2:2" x14ac:dyDescent="0.25">
      <c r="B238" s="142" t="str">
        <f t="shared" si="3"/>
        <v/>
      </c>
    </row>
    <row r="239" spans="2:2" x14ac:dyDescent="0.25">
      <c r="B239" s="144" t="str">
        <f t="shared" si="3"/>
        <v/>
      </c>
    </row>
    <row r="240" spans="2:2" x14ac:dyDescent="0.25">
      <c r="B240" s="142" t="str">
        <f t="shared" si="3"/>
        <v/>
      </c>
    </row>
    <row r="241" spans="2:2" x14ac:dyDescent="0.25">
      <c r="B241" s="144" t="str">
        <f t="shared" si="3"/>
        <v/>
      </c>
    </row>
    <row r="242" spans="2:2" x14ac:dyDescent="0.25">
      <c r="B242" s="142" t="str">
        <f t="shared" si="3"/>
        <v/>
      </c>
    </row>
    <row r="243" spans="2:2" x14ac:dyDescent="0.25">
      <c r="B243" s="144" t="str">
        <f t="shared" si="3"/>
        <v/>
      </c>
    </row>
    <row r="244" spans="2:2" x14ac:dyDescent="0.25">
      <c r="B244" s="142" t="str">
        <f t="shared" si="3"/>
        <v/>
      </c>
    </row>
    <row r="245" spans="2:2" x14ac:dyDescent="0.25">
      <c r="B245" s="144" t="str">
        <f t="shared" si="3"/>
        <v/>
      </c>
    </row>
    <row r="246" spans="2:2" x14ac:dyDescent="0.25">
      <c r="B246" s="142" t="str">
        <f t="shared" si="3"/>
        <v/>
      </c>
    </row>
    <row r="247" spans="2:2" x14ac:dyDescent="0.25">
      <c r="B247" s="144" t="str">
        <f t="shared" si="3"/>
        <v/>
      </c>
    </row>
    <row r="248" spans="2:2" x14ac:dyDescent="0.25">
      <c r="B248" s="142" t="str">
        <f t="shared" si="3"/>
        <v/>
      </c>
    </row>
    <row r="249" spans="2:2" x14ac:dyDescent="0.25">
      <c r="B249" s="144" t="str">
        <f t="shared" si="3"/>
        <v/>
      </c>
    </row>
    <row r="250" spans="2:2" x14ac:dyDescent="0.25">
      <c r="B250" s="142" t="str">
        <f t="shared" si="3"/>
        <v/>
      </c>
    </row>
    <row r="251" spans="2:2" x14ac:dyDescent="0.25">
      <c r="B251" s="144" t="str">
        <f t="shared" si="3"/>
        <v/>
      </c>
    </row>
    <row r="252" spans="2:2" x14ac:dyDescent="0.25">
      <c r="B252" s="142" t="str">
        <f t="shared" si="3"/>
        <v/>
      </c>
    </row>
    <row r="253" spans="2:2" x14ac:dyDescent="0.25">
      <c r="B253" s="144" t="str">
        <f t="shared" si="3"/>
        <v/>
      </c>
    </row>
    <row r="254" spans="2:2" x14ac:dyDescent="0.25">
      <c r="B254" s="142" t="str">
        <f t="shared" si="3"/>
        <v/>
      </c>
    </row>
    <row r="255" spans="2:2" x14ac:dyDescent="0.25">
      <c r="B255" s="144" t="str">
        <f t="shared" si="3"/>
        <v/>
      </c>
    </row>
    <row r="256" spans="2:2" x14ac:dyDescent="0.25">
      <c r="B256" s="142" t="str">
        <f t="shared" si="3"/>
        <v/>
      </c>
    </row>
    <row r="257" spans="2:2" x14ac:dyDescent="0.25">
      <c r="B257" s="144" t="str">
        <f t="shared" si="3"/>
        <v/>
      </c>
    </row>
    <row r="258" spans="2:2" x14ac:dyDescent="0.25">
      <c r="B258" s="142" t="str">
        <f t="shared" si="3"/>
        <v/>
      </c>
    </row>
    <row r="259" spans="2:2" x14ac:dyDescent="0.25">
      <c r="B259" s="144" t="str">
        <f t="shared" si="3"/>
        <v/>
      </c>
    </row>
    <row r="260" spans="2:2" x14ac:dyDescent="0.25">
      <c r="B260" s="142" t="str">
        <f t="shared" si="3"/>
        <v/>
      </c>
    </row>
    <row r="261" spans="2:2" x14ac:dyDescent="0.25">
      <c r="B261" s="144" t="str">
        <f t="shared" ref="B261:B324" si="4">IF(C261="","",CONCATENATE(C261,E261))</f>
        <v/>
      </c>
    </row>
    <row r="262" spans="2:2" x14ac:dyDescent="0.25">
      <c r="B262" s="142" t="str">
        <f t="shared" si="4"/>
        <v/>
      </c>
    </row>
    <row r="263" spans="2:2" x14ac:dyDescent="0.25">
      <c r="B263" s="144" t="str">
        <f t="shared" si="4"/>
        <v/>
      </c>
    </row>
    <row r="264" spans="2:2" x14ac:dyDescent="0.25">
      <c r="B264" s="142" t="str">
        <f t="shared" si="4"/>
        <v/>
      </c>
    </row>
    <row r="265" spans="2:2" x14ac:dyDescent="0.25">
      <c r="B265" s="144" t="str">
        <f t="shared" si="4"/>
        <v/>
      </c>
    </row>
    <row r="266" spans="2:2" x14ac:dyDescent="0.25">
      <c r="B266" s="142" t="str">
        <f t="shared" si="4"/>
        <v/>
      </c>
    </row>
    <row r="267" spans="2:2" x14ac:dyDescent="0.25">
      <c r="B267" s="144" t="str">
        <f t="shared" si="4"/>
        <v/>
      </c>
    </row>
    <row r="268" spans="2:2" x14ac:dyDescent="0.25">
      <c r="B268" s="142" t="str">
        <f t="shared" si="4"/>
        <v/>
      </c>
    </row>
    <row r="269" spans="2:2" x14ac:dyDescent="0.25">
      <c r="B269" s="144" t="str">
        <f t="shared" si="4"/>
        <v/>
      </c>
    </row>
    <row r="270" spans="2:2" x14ac:dyDescent="0.25">
      <c r="B270" s="142" t="str">
        <f t="shared" si="4"/>
        <v/>
      </c>
    </row>
    <row r="271" spans="2:2" x14ac:dyDescent="0.25">
      <c r="B271" s="144" t="str">
        <f t="shared" si="4"/>
        <v/>
      </c>
    </row>
    <row r="272" spans="2:2" x14ac:dyDescent="0.25">
      <c r="B272" s="142" t="str">
        <f t="shared" si="4"/>
        <v/>
      </c>
    </row>
    <row r="273" spans="2:2" x14ac:dyDescent="0.25">
      <c r="B273" s="144" t="str">
        <f t="shared" si="4"/>
        <v/>
      </c>
    </row>
    <row r="274" spans="2:2" x14ac:dyDescent="0.25">
      <c r="B274" s="142" t="str">
        <f t="shared" si="4"/>
        <v/>
      </c>
    </row>
    <row r="275" spans="2:2" x14ac:dyDescent="0.25">
      <c r="B275" s="144" t="str">
        <f t="shared" si="4"/>
        <v/>
      </c>
    </row>
    <row r="276" spans="2:2" x14ac:dyDescent="0.25">
      <c r="B276" s="142" t="str">
        <f t="shared" si="4"/>
        <v/>
      </c>
    </row>
    <row r="277" spans="2:2" x14ac:dyDescent="0.25">
      <c r="B277" s="144" t="str">
        <f t="shared" si="4"/>
        <v/>
      </c>
    </row>
    <row r="278" spans="2:2" x14ac:dyDescent="0.25">
      <c r="B278" s="142" t="str">
        <f t="shared" si="4"/>
        <v/>
      </c>
    </row>
    <row r="279" spans="2:2" x14ac:dyDescent="0.25">
      <c r="B279" s="144" t="str">
        <f t="shared" si="4"/>
        <v/>
      </c>
    </row>
    <row r="280" spans="2:2" x14ac:dyDescent="0.25">
      <c r="B280" s="142" t="str">
        <f t="shared" si="4"/>
        <v/>
      </c>
    </row>
    <row r="281" spans="2:2" x14ac:dyDescent="0.25">
      <c r="B281" s="144" t="str">
        <f t="shared" si="4"/>
        <v/>
      </c>
    </row>
    <row r="282" spans="2:2" x14ac:dyDescent="0.25">
      <c r="B282" s="142" t="str">
        <f t="shared" si="4"/>
        <v/>
      </c>
    </row>
    <row r="283" spans="2:2" x14ac:dyDescent="0.25">
      <c r="B283" s="144" t="str">
        <f t="shared" si="4"/>
        <v/>
      </c>
    </row>
    <row r="284" spans="2:2" x14ac:dyDescent="0.25">
      <c r="B284" s="142" t="str">
        <f t="shared" si="4"/>
        <v/>
      </c>
    </row>
    <row r="285" spans="2:2" x14ac:dyDescent="0.25">
      <c r="B285" s="144" t="str">
        <f t="shared" si="4"/>
        <v/>
      </c>
    </row>
    <row r="286" spans="2:2" x14ac:dyDescent="0.25">
      <c r="B286" s="142" t="str">
        <f t="shared" si="4"/>
        <v/>
      </c>
    </row>
    <row r="287" spans="2:2" x14ac:dyDescent="0.25">
      <c r="B287" s="144" t="str">
        <f t="shared" si="4"/>
        <v/>
      </c>
    </row>
    <row r="288" spans="2:2" x14ac:dyDescent="0.25">
      <c r="B288" s="142" t="str">
        <f t="shared" si="4"/>
        <v/>
      </c>
    </row>
    <row r="289" spans="2:2" x14ac:dyDescent="0.25">
      <c r="B289" s="144" t="str">
        <f t="shared" si="4"/>
        <v/>
      </c>
    </row>
    <row r="290" spans="2:2" x14ac:dyDescent="0.25">
      <c r="B290" s="142" t="str">
        <f t="shared" si="4"/>
        <v/>
      </c>
    </row>
    <row r="291" spans="2:2" x14ac:dyDescent="0.25">
      <c r="B291" s="144" t="str">
        <f t="shared" si="4"/>
        <v/>
      </c>
    </row>
    <row r="292" spans="2:2" x14ac:dyDescent="0.25">
      <c r="B292" s="142" t="str">
        <f t="shared" si="4"/>
        <v/>
      </c>
    </row>
    <row r="293" spans="2:2" x14ac:dyDescent="0.25">
      <c r="B293" s="144" t="str">
        <f t="shared" si="4"/>
        <v/>
      </c>
    </row>
    <row r="294" spans="2:2" x14ac:dyDescent="0.25">
      <c r="B294" s="142" t="str">
        <f t="shared" si="4"/>
        <v/>
      </c>
    </row>
    <row r="295" spans="2:2" x14ac:dyDescent="0.25">
      <c r="B295" s="144" t="str">
        <f t="shared" si="4"/>
        <v/>
      </c>
    </row>
    <row r="296" spans="2:2" x14ac:dyDescent="0.25">
      <c r="B296" s="142" t="str">
        <f t="shared" si="4"/>
        <v/>
      </c>
    </row>
    <row r="297" spans="2:2" x14ac:dyDescent="0.25">
      <c r="B297" s="144" t="str">
        <f t="shared" si="4"/>
        <v/>
      </c>
    </row>
    <row r="298" spans="2:2" x14ac:dyDescent="0.25">
      <c r="B298" s="142" t="str">
        <f t="shared" si="4"/>
        <v/>
      </c>
    </row>
    <row r="299" spans="2:2" x14ac:dyDescent="0.25">
      <c r="B299" s="144" t="str">
        <f t="shared" si="4"/>
        <v/>
      </c>
    </row>
    <row r="300" spans="2:2" x14ac:dyDescent="0.25">
      <c r="B300" s="142" t="str">
        <f t="shared" si="4"/>
        <v/>
      </c>
    </row>
    <row r="301" spans="2:2" x14ac:dyDescent="0.25">
      <c r="B301" s="144" t="str">
        <f t="shared" si="4"/>
        <v/>
      </c>
    </row>
    <row r="302" spans="2:2" x14ac:dyDescent="0.25">
      <c r="B302" s="142" t="str">
        <f t="shared" si="4"/>
        <v/>
      </c>
    </row>
    <row r="303" spans="2:2" x14ac:dyDescent="0.25">
      <c r="B303" s="144" t="str">
        <f t="shared" si="4"/>
        <v/>
      </c>
    </row>
    <row r="304" spans="2:2" x14ac:dyDescent="0.25">
      <c r="B304" s="142" t="str">
        <f t="shared" si="4"/>
        <v/>
      </c>
    </row>
    <row r="305" spans="2:2" x14ac:dyDescent="0.25">
      <c r="B305" s="144" t="str">
        <f t="shared" si="4"/>
        <v/>
      </c>
    </row>
    <row r="306" spans="2:2" x14ac:dyDescent="0.25">
      <c r="B306" s="142" t="str">
        <f t="shared" si="4"/>
        <v/>
      </c>
    </row>
    <row r="307" spans="2:2" x14ac:dyDescent="0.25">
      <c r="B307" s="144" t="str">
        <f t="shared" si="4"/>
        <v/>
      </c>
    </row>
    <row r="308" spans="2:2" x14ac:dyDescent="0.25">
      <c r="B308" s="142" t="str">
        <f t="shared" si="4"/>
        <v/>
      </c>
    </row>
    <row r="309" spans="2:2" x14ac:dyDescent="0.25">
      <c r="B309" s="144" t="str">
        <f t="shared" si="4"/>
        <v/>
      </c>
    </row>
    <row r="310" spans="2:2" x14ac:dyDescent="0.25">
      <c r="B310" s="142" t="str">
        <f t="shared" si="4"/>
        <v/>
      </c>
    </row>
    <row r="311" spans="2:2" x14ac:dyDescent="0.25">
      <c r="B311" s="144" t="str">
        <f t="shared" si="4"/>
        <v/>
      </c>
    </row>
    <row r="312" spans="2:2" x14ac:dyDescent="0.25">
      <c r="B312" s="142" t="str">
        <f t="shared" si="4"/>
        <v/>
      </c>
    </row>
    <row r="313" spans="2:2" x14ac:dyDescent="0.25">
      <c r="B313" s="144" t="str">
        <f t="shared" si="4"/>
        <v/>
      </c>
    </row>
    <row r="314" spans="2:2" x14ac:dyDescent="0.25">
      <c r="B314" s="142" t="str">
        <f t="shared" si="4"/>
        <v/>
      </c>
    </row>
    <row r="315" spans="2:2" x14ac:dyDescent="0.25">
      <c r="B315" s="144" t="str">
        <f t="shared" si="4"/>
        <v/>
      </c>
    </row>
    <row r="316" spans="2:2" x14ac:dyDescent="0.25">
      <c r="B316" s="142" t="str">
        <f t="shared" si="4"/>
        <v/>
      </c>
    </row>
    <row r="317" spans="2:2" x14ac:dyDescent="0.25">
      <c r="B317" s="144" t="str">
        <f t="shared" si="4"/>
        <v/>
      </c>
    </row>
    <row r="318" spans="2:2" x14ac:dyDescent="0.25">
      <c r="B318" s="142" t="str">
        <f t="shared" si="4"/>
        <v/>
      </c>
    </row>
    <row r="319" spans="2:2" x14ac:dyDescent="0.25">
      <c r="B319" s="144" t="str">
        <f t="shared" si="4"/>
        <v/>
      </c>
    </row>
    <row r="320" spans="2:2" x14ac:dyDescent="0.25">
      <c r="B320" s="142" t="str">
        <f t="shared" si="4"/>
        <v/>
      </c>
    </row>
    <row r="321" spans="2:2" x14ac:dyDescent="0.25">
      <c r="B321" s="144" t="str">
        <f t="shared" si="4"/>
        <v/>
      </c>
    </row>
    <row r="322" spans="2:2" x14ac:dyDescent="0.25">
      <c r="B322" s="142" t="str">
        <f t="shared" si="4"/>
        <v/>
      </c>
    </row>
    <row r="323" spans="2:2" x14ac:dyDescent="0.25">
      <c r="B323" s="144" t="str">
        <f t="shared" si="4"/>
        <v/>
      </c>
    </row>
    <row r="324" spans="2:2" x14ac:dyDescent="0.25">
      <c r="B324" s="142" t="str">
        <f t="shared" si="4"/>
        <v/>
      </c>
    </row>
    <row r="325" spans="2:2" x14ac:dyDescent="0.25">
      <c r="B325" s="144" t="str">
        <f t="shared" ref="B325:B388" si="5">IF(C325="","",CONCATENATE(C325,E325))</f>
        <v/>
      </c>
    </row>
    <row r="326" spans="2:2" x14ac:dyDescent="0.25">
      <c r="B326" s="142" t="str">
        <f t="shared" si="5"/>
        <v/>
      </c>
    </row>
    <row r="327" spans="2:2" x14ac:dyDescent="0.25">
      <c r="B327" s="144" t="str">
        <f t="shared" si="5"/>
        <v/>
      </c>
    </row>
    <row r="328" spans="2:2" x14ac:dyDescent="0.25">
      <c r="B328" s="142" t="str">
        <f t="shared" si="5"/>
        <v/>
      </c>
    </row>
    <row r="329" spans="2:2" x14ac:dyDescent="0.25">
      <c r="B329" s="144" t="str">
        <f t="shared" si="5"/>
        <v/>
      </c>
    </row>
    <row r="330" spans="2:2" x14ac:dyDescent="0.25">
      <c r="B330" s="142" t="str">
        <f t="shared" si="5"/>
        <v/>
      </c>
    </row>
    <row r="331" spans="2:2" x14ac:dyDescent="0.25">
      <c r="B331" s="144" t="str">
        <f t="shared" si="5"/>
        <v/>
      </c>
    </row>
    <row r="332" spans="2:2" x14ac:dyDescent="0.25">
      <c r="B332" s="142" t="str">
        <f t="shared" si="5"/>
        <v/>
      </c>
    </row>
    <row r="333" spans="2:2" x14ac:dyDescent="0.25">
      <c r="B333" s="144" t="str">
        <f t="shared" si="5"/>
        <v/>
      </c>
    </row>
    <row r="334" spans="2:2" x14ac:dyDescent="0.25">
      <c r="B334" s="142" t="str">
        <f t="shared" si="5"/>
        <v/>
      </c>
    </row>
    <row r="335" spans="2:2" x14ac:dyDescent="0.25">
      <c r="B335" s="144" t="str">
        <f t="shared" si="5"/>
        <v/>
      </c>
    </row>
    <row r="336" spans="2:2" x14ac:dyDescent="0.25">
      <c r="B336" s="142" t="str">
        <f t="shared" si="5"/>
        <v/>
      </c>
    </row>
    <row r="337" spans="2:2" x14ac:dyDescent="0.25">
      <c r="B337" s="144" t="str">
        <f t="shared" si="5"/>
        <v/>
      </c>
    </row>
    <row r="338" spans="2:2" x14ac:dyDescent="0.25">
      <c r="B338" s="142" t="str">
        <f t="shared" si="5"/>
        <v/>
      </c>
    </row>
    <row r="339" spans="2:2" x14ac:dyDescent="0.25">
      <c r="B339" s="144" t="str">
        <f t="shared" si="5"/>
        <v/>
      </c>
    </row>
    <row r="340" spans="2:2" x14ac:dyDescent="0.25">
      <c r="B340" s="142" t="str">
        <f t="shared" si="5"/>
        <v/>
      </c>
    </row>
    <row r="341" spans="2:2" x14ac:dyDescent="0.25">
      <c r="B341" s="144" t="str">
        <f t="shared" si="5"/>
        <v/>
      </c>
    </row>
    <row r="342" spans="2:2" x14ac:dyDescent="0.25">
      <c r="B342" s="142" t="str">
        <f t="shared" si="5"/>
        <v/>
      </c>
    </row>
    <row r="343" spans="2:2" x14ac:dyDescent="0.25">
      <c r="B343" s="144" t="str">
        <f t="shared" si="5"/>
        <v/>
      </c>
    </row>
    <row r="344" spans="2:2" x14ac:dyDescent="0.25">
      <c r="B344" s="142" t="str">
        <f t="shared" si="5"/>
        <v/>
      </c>
    </row>
    <row r="345" spans="2:2" x14ac:dyDescent="0.25">
      <c r="B345" s="144" t="str">
        <f t="shared" si="5"/>
        <v/>
      </c>
    </row>
    <row r="346" spans="2:2" x14ac:dyDescent="0.25">
      <c r="B346" s="142" t="str">
        <f t="shared" si="5"/>
        <v/>
      </c>
    </row>
    <row r="347" spans="2:2" x14ac:dyDescent="0.25">
      <c r="B347" s="144" t="str">
        <f t="shared" si="5"/>
        <v/>
      </c>
    </row>
    <row r="348" spans="2:2" x14ac:dyDescent="0.25">
      <c r="B348" s="142" t="str">
        <f t="shared" si="5"/>
        <v/>
      </c>
    </row>
    <row r="349" spans="2:2" x14ac:dyDescent="0.25">
      <c r="B349" s="144" t="str">
        <f t="shared" si="5"/>
        <v/>
      </c>
    </row>
    <row r="350" spans="2:2" x14ac:dyDescent="0.25">
      <c r="B350" s="142" t="str">
        <f t="shared" si="5"/>
        <v/>
      </c>
    </row>
    <row r="351" spans="2:2" x14ac:dyDescent="0.25">
      <c r="B351" s="144" t="str">
        <f t="shared" si="5"/>
        <v/>
      </c>
    </row>
    <row r="352" spans="2:2" x14ac:dyDescent="0.25">
      <c r="B352" s="142" t="str">
        <f t="shared" si="5"/>
        <v/>
      </c>
    </row>
    <row r="353" spans="2:2" x14ac:dyDescent="0.25">
      <c r="B353" s="144" t="str">
        <f t="shared" si="5"/>
        <v/>
      </c>
    </row>
    <row r="354" spans="2:2" x14ac:dyDescent="0.25">
      <c r="B354" s="142" t="str">
        <f t="shared" si="5"/>
        <v/>
      </c>
    </row>
    <row r="355" spans="2:2" x14ac:dyDescent="0.25">
      <c r="B355" s="144" t="str">
        <f t="shared" si="5"/>
        <v/>
      </c>
    </row>
    <row r="356" spans="2:2" x14ac:dyDescent="0.25">
      <c r="B356" s="142" t="str">
        <f t="shared" si="5"/>
        <v/>
      </c>
    </row>
    <row r="357" spans="2:2" x14ac:dyDescent="0.25">
      <c r="B357" s="144" t="str">
        <f t="shared" si="5"/>
        <v/>
      </c>
    </row>
    <row r="358" spans="2:2" x14ac:dyDescent="0.25">
      <c r="B358" s="142" t="str">
        <f t="shared" si="5"/>
        <v/>
      </c>
    </row>
    <row r="359" spans="2:2" x14ac:dyDescent="0.25">
      <c r="B359" s="144" t="str">
        <f t="shared" si="5"/>
        <v/>
      </c>
    </row>
    <row r="360" spans="2:2" x14ac:dyDescent="0.25">
      <c r="B360" s="142" t="str">
        <f t="shared" si="5"/>
        <v/>
      </c>
    </row>
    <row r="361" spans="2:2" x14ac:dyDescent="0.25">
      <c r="B361" s="144" t="str">
        <f t="shared" si="5"/>
        <v/>
      </c>
    </row>
    <row r="362" spans="2:2" x14ac:dyDescent="0.25">
      <c r="B362" s="142" t="str">
        <f t="shared" si="5"/>
        <v/>
      </c>
    </row>
    <row r="363" spans="2:2" x14ac:dyDescent="0.25">
      <c r="B363" s="144" t="str">
        <f t="shared" si="5"/>
        <v/>
      </c>
    </row>
    <row r="364" spans="2:2" x14ac:dyDescent="0.25">
      <c r="B364" s="142" t="str">
        <f t="shared" si="5"/>
        <v/>
      </c>
    </row>
    <row r="365" spans="2:2" x14ac:dyDescent="0.25">
      <c r="B365" s="144" t="str">
        <f t="shared" si="5"/>
        <v/>
      </c>
    </row>
    <row r="366" spans="2:2" x14ac:dyDescent="0.25">
      <c r="B366" s="142" t="str">
        <f t="shared" si="5"/>
        <v/>
      </c>
    </row>
    <row r="367" spans="2:2" x14ac:dyDescent="0.25">
      <c r="B367" s="144" t="str">
        <f t="shared" si="5"/>
        <v/>
      </c>
    </row>
    <row r="368" spans="2:2" x14ac:dyDescent="0.25">
      <c r="B368" s="142" t="str">
        <f t="shared" si="5"/>
        <v/>
      </c>
    </row>
    <row r="369" spans="2:2" x14ac:dyDescent="0.25">
      <c r="B369" s="144" t="str">
        <f t="shared" si="5"/>
        <v/>
      </c>
    </row>
    <row r="370" spans="2:2" x14ac:dyDescent="0.25">
      <c r="B370" s="142" t="str">
        <f t="shared" si="5"/>
        <v/>
      </c>
    </row>
    <row r="371" spans="2:2" x14ac:dyDescent="0.25">
      <c r="B371" s="144" t="str">
        <f t="shared" si="5"/>
        <v/>
      </c>
    </row>
    <row r="372" spans="2:2" x14ac:dyDescent="0.25">
      <c r="B372" s="142" t="str">
        <f t="shared" si="5"/>
        <v/>
      </c>
    </row>
    <row r="373" spans="2:2" x14ac:dyDescent="0.25">
      <c r="B373" s="144" t="str">
        <f t="shared" si="5"/>
        <v/>
      </c>
    </row>
    <row r="374" spans="2:2" x14ac:dyDescent="0.25">
      <c r="B374" s="142" t="str">
        <f t="shared" si="5"/>
        <v/>
      </c>
    </row>
    <row r="375" spans="2:2" x14ac:dyDescent="0.25">
      <c r="B375" s="144" t="str">
        <f t="shared" si="5"/>
        <v/>
      </c>
    </row>
    <row r="376" spans="2:2" x14ac:dyDescent="0.25">
      <c r="B376" s="142" t="str">
        <f t="shared" si="5"/>
        <v/>
      </c>
    </row>
    <row r="377" spans="2:2" x14ac:dyDescent="0.25">
      <c r="B377" s="144" t="str">
        <f t="shared" si="5"/>
        <v/>
      </c>
    </row>
    <row r="378" spans="2:2" x14ac:dyDescent="0.25">
      <c r="B378" s="142" t="str">
        <f t="shared" si="5"/>
        <v/>
      </c>
    </row>
    <row r="379" spans="2:2" x14ac:dyDescent="0.25">
      <c r="B379" s="144" t="str">
        <f t="shared" si="5"/>
        <v/>
      </c>
    </row>
    <row r="380" spans="2:2" x14ac:dyDescent="0.25">
      <c r="B380" s="142" t="str">
        <f t="shared" si="5"/>
        <v/>
      </c>
    </row>
    <row r="381" spans="2:2" x14ac:dyDescent="0.25">
      <c r="B381" s="144" t="str">
        <f t="shared" si="5"/>
        <v/>
      </c>
    </row>
    <row r="382" spans="2:2" x14ac:dyDescent="0.25">
      <c r="B382" s="142" t="str">
        <f t="shared" si="5"/>
        <v/>
      </c>
    </row>
    <row r="383" spans="2:2" x14ac:dyDescent="0.25">
      <c r="B383" s="144" t="str">
        <f t="shared" si="5"/>
        <v/>
      </c>
    </row>
    <row r="384" spans="2:2" x14ac:dyDescent="0.25">
      <c r="B384" s="142" t="str">
        <f t="shared" si="5"/>
        <v/>
      </c>
    </row>
    <row r="385" spans="2:2" x14ac:dyDescent="0.25">
      <c r="B385" s="144" t="str">
        <f t="shared" si="5"/>
        <v/>
      </c>
    </row>
    <row r="386" spans="2:2" x14ac:dyDescent="0.25">
      <c r="B386" s="142" t="str">
        <f t="shared" si="5"/>
        <v/>
      </c>
    </row>
    <row r="387" spans="2:2" x14ac:dyDescent="0.25">
      <c r="B387" s="144" t="str">
        <f t="shared" si="5"/>
        <v/>
      </c>
    </row>
    <row r="388" spans="2:2" x14ac:dyDescent="0.25">
      <c r="B388" s="142" t="str">
        <f t="shared" si="5"/>
        <v/>
      </c>
    </row>
    <row r="389" spans="2:2" x14ac:dyDescent="0.25">
      <c r="B389" s="144" t="str">
        <f t="shared" ref="B389:B452" si="6">IF(C389="","",CONCATENATE(C389,E389))</f>
        <v/>
      </c>
    </row>
    <row r="390" spans="2:2" x14ac:dyDescent="0.25">
      <c r="B390" s="142" t="str">
        <f t="shared" si="6"/>
        <v/>
      </c>
    </row>
    <row r="391" spans="2:2" x14ac:dyDescent="0.25">
      <c r="B391" s="144" t="str">
        <f t="shared" si="6"/>
        <v/>
      </c>
    </row>
    <row r="392" spans="2:2" x14ac:dyDescent="0.25">
      <c r="B392" s="142" t="str">
        <f t="shared" si="6"/>
        <v/>
      </c>
    </row>
    <row r="393" spans="2:2" x14ac:dyDescent="0.25">
      <c r="B393" s="144" t="str">
        <f t="shared" si="6"/>
        <v/>
      </c>
    </row>
    <row r="394" spans="2:2" x14ac:dyDescent="0.25">
      <c r="B394" s="142" t="str">
        <f t="shared" si="6"/>
        <v/>
      </c>
    </row>
    <row r="395" spans="2:2" x14ac:dyDescent="0.25">
      <c r="B395" s="144" t="str">
        <f t="shared" si="6"/>
        <v/>
      </c>
    </row>
    <row r="396" spans="2:2" x14ac:dyDescent="0.25">
      <c r="B396" s="142" t="str">
        <f t="shared" si="6"/>
        <v/>
      </c>
    </row>
    <row r="397" spans="2:2" x14ac:dyDescent="0.25">
      <c r="B397" s="144" t="str">
        <f t="shared" si="6"/>
        <v/>
      </c>
    </row>
    <row r="398" spans="2:2" x14ac:dyDescent="0.25">
      <c r="B398" s="142" t="str">
        <f t="shared" si="6"/>
        <v/>
      </c>
    </row>
    <row r="399" spans="2:2" x14ac:dyDescent="0.25">
      <c r="B399" s="144" t="str">
        <f t="shared" si="6"/>
        <v/>
      </c>
    </row>
    <row r="400" spans="2:2" x14ac:dyDescent="0.25">
      <c r="B400" s="142" t="str">
        <f t="shared" si="6"/>
        <v/>
      </c>
    </row>
    <row r="401" spans="2:2" x14ac:dyDescent="0.25">
      <c r="B401" s="144" t="str">
        <f t="shared" si="6"/>
        <v/>
      </c>
    </row>
    <row r="402" spans="2:2" x14ac:dyDescent="0.25">
      <c r="B402" s="142" t="str">
        <f t="shared" si="6"/>
        <v/>
      </c>
    </row>
    <row r="403" spans="2:2" x14ac:dyDescent="0.25">
      <c r="B403" s="144" t="str">
        <f t="shared" si="6"/>
        <v/>
      </c>
    </row>
    <row r="404" spans="2:2" x14ac:dyDescent="0.25">
      <c r="B404" s="142" t="str">
        <f t="shared" si="6"/>
        <v/>
      </c>
    </row>
    <row r="405" spans="2:2" x14ac:dyDescent="0.25">
      <c r="B405" s="144" t="str">
        <f t="shared" si="6"/>
        <v/>
      </c>
    </row>
    <row r="406" spans="2:2" x14ac:dyDescent="0.25">
      <c r="B406" s="142" t="str">
        <f t="shared" si="6"/>
        <v/>
      </c>
    </row>
    <row r="407" spans="2:2" x14ac:dyDescent="0.25">
      <c r="B407" s="144" t="str">
        <f t="shared" si="6"/>
        <v/>
      </c>
    </row>
    <row r="408" spans="2:2" x14ac:dyDescent="0.25">
      <c r="B408" s="142" t="str">
        <f t="shared" si="6"/>
        <v/>
      </c>
    </row>
    <row r="409" spans="2:2" x14ac:dyDescent="0.25">
      <c r="B409" s="144" t="str">
        <f t="shared" si="6"/>
        <v/>
      </c>
    </row>
    <row r="410" spans="2:2" x14ac:dyDescent="0.25">
      <c r="B410" s="142" t="str">
        <f t="shared" si="6"/>
        <v/>
      </c>
    </row>
    <row r="411" spans="2:2" x14ac:dyDescent="0.25">
      <c r="B411" s="144" t="str">
        <f t="shared" si="6"/>
        <v/>
      </c>
    </row>
    <row r="412" spans="2:2" x14ac:dyDescent="0.25">
      <c r="B412" s="142" t="str">
        <f t="shared" si="6"/>
        <v/>
      </c>
    </row>
    <row r="413" spans="2:2" x14ac:dyDescent="0.25">
      <c r="B413" s="144" t="str">
        <f t="shared" si="6"/>
        <v/>
      </c>
    </row>
    <row r="414" spans="2:2" x14ac:dyDescent="0.25">
      <c r="B414" s="142" t="str">
        <f t="shared" si="6"/>
        <v/>
      </c>
    </row>
    <row r="415" spans="2:2" x14ac:dyDescent="0.25">
      <c r="B415" s="144" t="str">
        <f t="shared" si="6"/>
        <v/>
      </c>
    </row>
    <row r="416" spans="2:2" x14ac:dyDescent="0.25">
      <c r="B416" s="142" t="str">
        <f t="shared" si="6"/>
        <v/>
      </c>
    </row>
    <row r="417" spans="2:2" x14ac:dyDescent="0.25">
      <c r="B417" s="144" t="str">
        <f t="shared" si="6"/>
        <v/>
      </c>
    </row>
    <row r="418" spans="2:2" x14ac:dyDescent="0.25">
      <c r="B418" s="142" t="str">
        <f t="shared" si="6"/>
        <v/>
      </c>
    </row>
    <row r="419" spans="2:2" x14ac:dyDescent="0.25">
      <c r="B419" s="144" t="str">
        <f t="shared" si="6"/>
        <v/>
      </c>
    </row>
    <row r="420" spans="2:2" x14ac:dyDescent="0.25">
      <c r="B420" s="142" t="str">
        <f t="shared" si="6"/>
        <v/>
      </c>
    </row>
    <row r="421" spans="2:2" x14ac:dyDescent="0.25">
      <c r="B421" s="144" t="str">
        <f t="shared" si="6"/>
        <v/>
      </c>
    </row>
    <row r="422" spans="2:2" x14ac:dyDescent="0.25">
      <c r="B422" s="142" t="str">
        <f t="shared" si="6"/>
        <v/>
      </c>
    </row>
    <row r="423" spans="2:2" x14ac:dyDescent="0.25">
      <c r="B423" s="144" t="str">
        <f t="shared" si="6"/>
        <v/>
      </c>
    </row>
    <row r="424" spans="2:2" x14ac:dyDescent="0.25">
      <c r="B424" s="142" t="str">
        <f t="shared" si="6"/>
        <v/>
      </c>
    </row>
    <row r="425" spans="2:2" x14ac:dyDescent="0.25">
      <c r="B425" s="144" t="str">
        <f t="shared" si="6"/>
        <v/>
      </c>
    </row>
    <row r="426" spans="2:2" x14ac:dyDescent="0.25">
      <c r="B426" s="142" t="str">
        <f t="shared" si="6"/>
        <v/>
      </c>
    </row>
    <row r="427" spans="2:2" x14ac:dyDescent="0.25">
      <c r="B427" s="144" t="str">
        <f t="shared" si="6"/>
        <v/>
      </c>
    </row>
    <row r="428" spans="2:2" x14ac:dyDescent="0.25">
      <c r="B428" s="142" t="str">
        <f t="shared" si="6"/>
        <v/>
      </c>
    </row>
    <row r="429" spans="2:2" x14ac:dyDescent="0.25">
      <c r="B429" s="144" t="str">
        <f t="shared" si="6"/>
        <v/>
      </c>
    </row>
    <row r="430" spans="2:2" x14ac:dyDescent="0.25">
      <c r="B430" s="142" t="str">
        <f t="shared" si="6"/>
        <v/>
      </c>
    </row>
    <row r="431" spans="2:2" x14ac:dyDescent="0.25">
      <c r="B431" s="144" t="str">
        <f t="shared" si="6"/>
        <v/>
      </c>
    </row>
    <row r="432" spans="2:2" x14ac:dyDescent="0.25">
      <c r="B432" s="142" t="str">
        <f t="shared" si="6"/>
        <v/>
      </c>
    </row>
    <row r="433" spans="2:2" x14ac:dyDescent="0.25">
      <c r="B433" s="144" t="str">
        <f t="shared" si="6"/>
        <v/>
      </c>
    </row>
    <row r="434" spans="2:2" x14ac:dyDescent="0.25">
      <c r="B434" s="142" t="str">
        <f t="shared" si="6"/>
        <v/>
      </c>
    </row>
    <row r="435" spans="2:2" x14ac:dyDescent="0.25">
      <c r="B435" s="144" t="str">
        <f t="shared" si="6"/>
        <v/>
      </c>
    </row>
    <row r="436" spans="2:2" x14ac:dyDescent="0.25">
      <c r="B436" s="142" t="str">
        <f t="shared" si="6"/>
        <v/>
      </c>
    </row>
    <row r="437" spans="2:2" x14ac:dyDescent="0.25">
      <c r="B437" s="144" t="str">
        <f t="shared" si="6"/>
        <v/>
      </c>
    </row>
    <row r="438" spans="2:2" x14ac:dyDescent="0.25">
      <c r="B438" s="142" t="str">
        <f t="shared" si="6"/>
        <v/>
      </c>
    </row>
    <row r="439" spans="2:2" x14ac:dyDescent="0.25">
      <c r="B439" s="144" t="str">
        <f t="shared" si="6"/>
        <v/>
      </c>
    </row>
    <row r="440" spans="2:2" x14ac:dyDescent="0.25">
      <c r="B440" s="142" t="str">
        <f t="shared" si="6"/>
        <v/>
      </c>
    </row>
    <row r="441" spans="2:2" x14ac:dyDescent="0.25">
      <c r="B441" s="144" t="str">
        <f t="shared" si="6"/>
        <v/>
      </c>
    </row>
    <row r="442" spans="2:2" x14ac:dyDescent="0.25">
      <c r="B442" s="142" t="str">
        <f t="shared" si="6"/>
        <v/>
      </c>
    </row>
    <row r="443" spans="2:2" x14ac:dyDescent="0.25">
      <c r="B443" s="144" t="str">
        <f t="shared" si="6"/>
        <v/>
      </c>
    </row>
    <row r="444" spans="2:2" x14ac:dyDescent="0.25">
      <c r="B444" s="142" t="str">
        <f t="shared" si="6"/>
        <v/>
      </c>
    </row>
    <row r="445" spans="2:2" x14ac:dyDescent="0.25">
      <c r="B445" s="144" t="str">
        <f t="shared" si="6"/>
        <v/>
      </c>
    </row>
    <row r="446" spans="2:2" x14ac:dyDescent="0.25">
      <c r="B446" s="142" t="str">
        <f t="shared" si="6"/>
        <v/>
      </c>
    </row>
    <row r="447" spans="2:2" x14ac:dyDescent="0.25">
      <c r="B447" s="144" t="str">
        <f t="shared" si="6"/>
        <v/>
      </c>
    </row>
    <row r="448" spans="2:2" x14ac:dyDescent="0.25">
      <c r="B448" s="142" t="str">
        <f t="shared" si="6"/>
        <v/>
      </c>
    </row>
    <row r="449" spans="2:2" x14ac:dyDescent="0.25">
      <c r="B449" s="144" t="str">
        <f t="shared" si="6"/>
        <v/>
      </c>
    </row>
    <row r="450" spans="2:2" x14ac:dyDescent="0.25">
      <c r="B450" s="142" t="str">
        <f t="shared" si="6"/>
        <v/>
      </c>
    </row>
    <row r="451" spans="2:2" x14ac:dyDescent="0.25">
      <c r="B451" s="144" t="str">
        <f t="shared" si="6"/>
        <v/>
      </c>
    </row>
    <row r="452" spans="2:2" x14ac:dyDescent="0.25">
      <c r="B452" s="142" t="str">
        <f t="shared" si="6"/>
        <v/>
      </c>
    </row>
    <row r="453" spans="2:2" x14ac:dyDescent="0.25">
      <c r="B453" s="144" t="str">
        <f t="shared" ref="B453:B516" si="7">IF(C453="","",CONCATENATE(C453,E453))</f>
        <v/>
      </c>
    </row>
    <row r="454" spans="2:2" x14ac:dyDescent="0.25">
      <c r="B454" s="142" t="str">
        <f t="shared" si="7"/>
        <v/>
      </c>
    </row>
    <row r="455" spans="2:2" x14ac:dyDescent="0.25">
      <c r="B455" s="144" t="str">
        <f t="shared" si="7"/>
        <v/>
      </c>
    </row>
    <row r="456" spans="2:2" x14ac:dyDescent="0.25">
      <c r="B456" s="142" t="str">
        <f t="shared" si="7"/>
        <v/>
      </c>
    </row>
    <row r="457" spans="2:2" x14ac:dyDescent="0.25">
      <c r="B457" s="144" t="str">
        <f t="shared" si="7"/>
        <v/>
      </c>
    </row>
    <row r="458" spans="2:2" x14ac:dyDescent="0.25">
      <c r="B458" s="142" t="str">
        <f t="shared" si="7"/>
        <v/>
      </c>
    </row>
    <row r="459" spans="2:2" x14ac:dyDescent="0.25">
      <c r="B459" s="144" t="str">
        <f t="shared" si="7"/>
        <v/>
      </c>
    </row>
    <row r="460" spans="2:2" x14ac:dyDescent="0.25">
      <c r="B460" s="142" t="str">
        <f t="shared" si="7"/>
        <v/>
      </c>
    </row>
    <row r="461" spans="2:2" x14ac:dyDescent="0.25">
      <c r="B461" s="144" t="str">
        <f t="shared" si="7"/>
        <v/>
      </c>
    </row>
    <row r="462" spans="2:2" x14ac:dyDescent="0.25">
      <c r="B462" s="142" t="str">
        <f t="shared" si="7"/>
        <v/>
      </c>
    </row>
    <row r="463" spans="2:2" x14ac:dyDescent="0.25">
      <c r="B463" s="144" t="str">
        <f t="shared" si="7"/>
        <v/>
      </c>
    </row>
    <row r="464" spans="2:2" x14ac:dyDescent="0.25">
      <c r="B464" s="142" t="str">
        <f t="shared" si="7"/>
        <v/>
      </c>
    </row>
    <row r="465" spans="2:2" x14ac:dyDescent="0.25">
      <c r="B465" s="144" t="str">
        <f t="shared" si="7"/>
        <v/>
      </c>
    </row>
    <row r="466" spans="2:2" x14ac:dyDescent="0.25">
      <c r="B466" s="142" t="str">
        <f t="shared" si="7"/>
        <v/>
      </c>
    </row>
    <row r="467" spans="2:2" x14ac:dyDescent="0.25">
      <c r="B467" s="144" t="str">
        <f t="shared" si="7"/>
        <v/>
      </c>
    </row>
    <row r="468" spans="2:2" x14ac:dyDescent="0.25">
      <c r="B468" s="142" t="str">
        <f t="shared" si="7"/>
        <v/>
      </c>
    </row>
    <row r="469" spans="2:2" x14ac:dyDescent="0.25">
      <c r="B469" s="144" t="str">
        <f t="shared" si="7"/>
        <v/>
      </c>
    </row>
    <row r="470" spans="2:2" x14ac:dyDescent="0.25">
      <c r="B470" s="142" t="str">
        <f t="shared" si="7"/>
        <v/>
      </c>
    </row>
    <row r="471" spans="2:2" x14ac:dyDescent="0.25">
      <c r="B471" s="144" t="str">
        <f t="shared" si="7"/>
        <v/>
      </c>
    </row>
    <row r="472" spans="2:2" x14ac:dyDescent="0.25">
      <c r="B472" s="142" t="str">
        <f t="shared" si="7"/>
        <v/>
      </c>
    </row>
    <row r="473" spans="2:2" x14ac:dyDescent="0.25">
      <c r="B473" s="144" t="str">
        <f t="shared" si="7"/>
        <v/>
      </c>
    </row>
    <row r="474" spans="2:2" x14ac:dyDescent="0.25">
      <c r="B474" s="142" t="str">
        <f t="shared" si="7"/>
        <v/>
      </c>
    </row>
    <row r="475" spans="2:2" x14ac:dyDescent="0.25">
      <c r="B475" s="144" t="str">
        <f t="shared" si="7"/>
        <v/>
      </c>
    </row>
    <row r="476" spans="2:2" x14ac:dyDescent="0.25">
      <c r="B476" s="142" t="str">
        <f t="shared" si="7"/>
        <v/>
      </c>
    </row>
    <row r="477" spans="2:2" x14ac:dyDescent="0.25">
      <c r="B477" s="144" t="str">
        <f t="shared" si="7"/>
        <v/>
      </c>
    </row>
    <row r="478" spans="2:2" x14ac:dyDescent="0.25">
      <c r="B478" s="142" t="str">
        <f t="shared" si="7"/>
        <v/>
      </c>
    </row>
    <row r="479" spans="2:2" x14ac:dyDescent="0.25">
      <c r="B479" s="144" t="str">
        <f t="shared" si="7"/>
        <v/>
      </c>
    </row>
    <row r="480" spans="2:2" x14ac:dyDescent="0.25">
      <c r="B480" s="142" t="str">
        <f t="shared" si="7"/>
        <v/>
      </c>
    </row>
    <row r="481" spans="2:2" x14ac:dyDescent="0.25">
      <c r="B481" s="144" t="str">
        <f t="shared" si="7"/>
        <v/>
      </c>
    </row>
    <row r="482" spans="2:2" x14ac:dyDescent="0.25">
      <c r="B482" s="142" t="str">
        <f t="shared" si="7"/>
        <v/>
      </c>
    </row>
    <row r="483" spans="2:2" x14ac:dyDescent="0.25">
      <c r="B483" s="144" t="str">
        <f t="shared" si="7"/>
        <v/>
      </c>
    </row>
    <row r="484" spans="2:2" x14ac:dyDescent="0.25">
      <c r="B484" s="142" t="str">
        <f t="shared" si="7"/>
        <v/>
      </c>
    </row>
    <row r="485" spans="2:2" x14ac:dyDescent="0.25">
      <c r="B485" s="144" t="str">
        <f t="shared" si="7"/>
        <v/>
      </c>
    </row>
    <row r="486" spans="2:2" x14ac:dyDescent="0.25">
      <c r="B486" s="142" t="str">
        <f t="shared" si="7"/>
        <v/>
      </c>
    </row>
    <row r="487" spans="2:2" x14ac:dyDescent="0.25">
      <c r="B487" s="144" t="str">
        <f t="shared" si="7"/>
        <v/>
      </c>
    </row>
    <row r="488" spans="2:2" x14ac:dyDescent="0.25">
      <c r="B488" s="142" t="str">
        <f t="shared" si="7"/>
        <v/>
      </c>
    </row>
    <row r="489" spans="2:2" x14ac:dyDescent="0.25">
      <c r="B489" s="144" t="str">
        <f t="shared" si="7"/>
        <v/>
      </c>
    </row>
    <row r="490" spans="2:2" x14ac:dyDescent="0.25">
      <c r="B490" s="142" t="str">
        <f t="shared" si="7"/>
        <v/>
      </c>
    </row>
    <row r="491" spans="2:2" x14ac:dyDescent="0.25">
      <c r="B491" s="144" t="str">
        <f t="shared" si="7"/>
        <v/>
      </c>
    </row>
    <row r="492" spans="2:2" x14ac:dyDescent="0.25">
      <c r="B492" s="142" t="str">
        <f t="shared" si="7"/>
        <v/>
      </c>
    </row>
    <row r="493" spans="2:2" x14ac:dyDescent="0.25">
      <c r="B493" s="144" t="str">
        <f t="shared" si="7"/>
        <v/>
      </c>
    </row>
    <row r="494" spans="2:2" x14ac:dyDescent="0.25">
      <c r="B494" s="142" t="str">
        <f t="shared" si="7"/>
        <v/>
      </c>
    </row>
    <row r="495" spans="2:2" x14ac:dyDescent="0.25">
      <c r="B495" s="144" t="str">
        <f t="shared" si="7"/>
        <v/>
      </c>
    </row>
    <row r="496" spans="2:2" x14ac:dyDescent="0.25">
      <c r="B496" s="142" t="str">
        <f t="shared" si="7"/>
        <v/>
      </c>
    </row>
    <row r="497" spans="2:2" x14ac:dyDescent="0.25">
      <c r="B497" s="144" t="str">
        <f t="shared" si="7"/>
        <v/>
      </c>
    </row>
    <row r="498" spans="2:2" x14ac:dyDescent="0.25">
      <c r="B498" s="142" t="str">
        <f t="shared" si="7"/>
        <v/>
      </c>
    </row>
    <row r="499" spans="2:2" x14ac:dyDescent="0.25">
      <c r="B499" s="144" t="str">
        <f t="shared" si="7"/>
        <v/>
      </c>
    </row>
    <row r="500" spans="2:2" x14ac:dyDescent="0.25">
      <c r="B500" s="142" t="str">
        <f t="shared" si="7"/>
        <v/>
      </c>
    </row>
    <row r="501" spans="2:2" x14ac:dyDescent="0.25">
      <c r="B501" s="144" t="str">
        <f t="shared" si="7"/>
        <v/>
      </c>
    </row>
    <row r="502" spans="2:2" x14ac:dyDescent="0.25">
      <c r="B502" s="142" t="str">
        <f t="shared" si="7"/>
        <v/>
      </c>
    </row>
    <row r="503" spans="2:2" x14ac:dyDescent="0.25">
      <c r="B503" s="144" t="str">
        <f t="shared" si="7"/>
        <v/>
      </c>
    </row>
    <row r="504" spans="2:2" x14ac:dyDescent="0.25">
      <c r="B504" s="142" t="str">
        <f t="shared" si="7"/>
        <v/>
      </c>
    </row>
    <row r="505" spans="2:2" x14ac:dyDescent="0.25">
      <c r="B505" s="144" t="str">
        <f t="shared" si="7"/>
        <v/>
      </c>
    </row>
    <row r="506" spans="2:2" x14ac:dyDescent="0.25">
      <c r="B506" s="142" t="str">
        <f t="shared" si="7"/>
        <v/>
      </c>
    </row>
    <row r="507" spans="2:2" x14ac:dyDescent="0.25">
      <c r="B507" s="144" t="str">
        <f t="shared" si="7"/>
        <v/>
      </c>
    </row>
    <row r="508" spans="2:2" x14ac:dyDescent="0.25">
      <c r="B508" s="142" t="str">
        <f t="shared" si="7"/>
        <v/>
      </c>
    </row>
    <row r="509" spans="2:2" x14ac:dyDescent="0.25">
      <c r="B509" s="144" t="str">
        <f t="shared" si="7"/>
        <v/>
      </c>
    </row>
    <row r="510" spans="2:2" x14ac:dyDescent="0.25">
      <c r="B510" s="142" t="str">
        <f t="shared" si="7"/>
        <v/>
      </c>
    </row>
    <row r="511" spans="2:2" x14ac:dyDescent="0.25">
      <c r="B511" s="144" t="str">
        <f t="shared" si="7"/>
        <v/>
      </c>
    </row>
    <row r="512" spans="2:2" x14ac:dyDescent="0.25">
      <c r="B512" s="142" t="str">
        <f t="shared" si="7"/>
        <v/>
      </c>
    </row>
    <row r="513" spans="2:2" x14ac:dyDescent="0.25">
      <c r="B513" s="144" t="str">
        <f t="shared" si="7"/>
        <v/>
      </c>
    </row>
    <row r="514" spans="2:2" x14ac:dyDescent="0.25">
      <c r="B514" s="142" t="str">
        <f t="shared" si="7"/>
        <v/>
      </c>
    </row>
    <row r="515" spans="2:2" x14ac:dyDescent="0.25">
      <c r="B515" s="144" t="str">
        <f t="shared" si="7"/>
        <v/>
      </c>
    </row>
    <row r="516" spans="2:2" x14ac:dyDescent="0.25">
      <c r="B516" s="142" t="str">
        <f t="shared" si="7"/>
        <v/>
      </c>
    </row>
    <row r="517" spans="2:2" x14ac:dyDescent="0.25">
      <c r="B517" s="144" t="str">
        <f t="shared" ref="B517:B547" si="8">IF(C517="","",CONCATENATE(C517,E517))</f>
        <v/>
      </c>
    </row>
    <row r="518" spans="2:2" x14ac:dyDescent="0.25">
      <c r="B518" s="142" t="str">
        <f t="shared" si="8"/>
        <v/>
      </c>
    </row>
    <row r="519" spans="2:2" x14ac:dyDescent="0.25">
      <c r="B519" s="144" t="str">
        <f t="shared" si="8"/>
        <v/>
      </c>
    </row>
    <row r="520" spans="2:2" x14ac:dyDescent="0.25">
      <c r="B520" s="142" t="str">
        <f t="shared" si="8"/>
        <v/>
      </c>
    </row>
    <row r="521" spans="2:2" x14ac:dyDescent="0.25">
      <c r="B521" s="144" t="str">
        <f t="shared" si="8"/>
        <v/>
      </c>
    </row>
    <row r="522" spans="2:2" x14ac:dyDescent="0.25">
      <c r="B522" s="142" t="str">
        <f t="shared" si="8"/>
        <v/>
      </c>
    </row>
    <row r="523" spans="2:2" x14ac:dyDescent="0.25">
      <c r="B523" s="144" t="str">
        <f t="shared" si="8"/>
        <v/>
      </c>
    </row>
    <row r="524" spans="2:2" x14ac:dyDescent="0.25">
      <c r="B524" s="142" t="str">
        <f t="shared" si="8"/>
        <v/>
      </c>
    </row>
    <row r="525" spans="2:2" x14ac:dyDescent="0.25">
      <c r="B525" s="144" t="str">
        <f t="shared" si="8"/>
        <v/>
      </c>
    </row>
    <row r="526" spans="2:2" x14ac:dyDescent="0.25">
      <c r="B526" s="142" t="str">
        <f t="shared" si="8"/>
        <v/>
      </c>
    </row>
    <row r="527" spans="2:2" x14ac:dyDescent="0.25">
      <c r="B527" s="144" t="str">
        <f t="shared" si="8"/>
        <v/>
      </c>
    </row>
    <row r="528" spans="2:2" x14ac:dyDescent="0.25">
      <c r="B528" s="142" t="str">
        <f t="shared" si="8"/>
        <v/>
      </c>
    </row>
    <row r="529" spans="2:2" x14ac:dyDescent="0.25">
      <c r="B529" s="144" t="str">
        <f t="shared" si="8"/>
        <v/>
      </c>
    </row>
    <row r="530" spans="2:2" x14ac:dyDescent="0.25">
      <c r="B530" s="142" t="str">
        <f t="shared" si="8"/>
        <v/>
      </c>
    </row>
    <row r="531" spans="2:2" x14ac:dyDescent="0.25">
      <c r="B531" s="144" t="str">
        <f t="shared" si="8"/>
        <v/>
      </c>
    </row>
    <row r="532" spans="2:2" x14ac:dyDescent="0.25">
      <c r="B532" s="142" t="str">
        <f t="shared" si="8"/>
        <v/>
      </c>
    </row>
    <row r="533" spans="2:2" x14ac:dyDescent="0.25">
      <c r="B533" s="144" t="str">
        <f t="shared" si="8"/>
        <v/>
      </c>
    </row>
    <row r="534" spans="2:2" x14ac:dyDescent="0.25">
      <c r="B534" s="142" t="str">
        <f t="shared" si="8"/>
        <v/>
      </c>
    </row>
    <row r="535" spans="2:2" x14ac:dyDescent="0.25">
      <c r="B535" s="144" t="str">
        <f t="shared" si="8"/>
        <v/>
      </c>
    </row>
    <row r="536" spans="2:2" x14ac:dyDescent="0.25">
      <c r="B536" s="142" t="str">
        <f t="shared" si="8"/>
        <v/>
      </c>
    </row>
    <row r="537" spans="2:2" x14ac:dyDescent="0.25">
      <c r="B537" s="144" t="str">
        <f t="shared" si="8"/>
        <v/>
      </c>
    </row>
    <row r="538" spans="2:2" x14ac:dyDescent="0.25">
      <c r="B538" s="142" t="str">
        <f t="shared" si="8"/>
        <v/>
      </c>
    </row>
    <row r="539" spans="2:2" x14ac:dyDescent="0.25">
      <c r="B539" s="144" t="str">
        <f t="shared" si="8"/>
        <v/>
      </c>
    </row>
    <row r="540" spans="2:2" x14ac:dyDescent="0.25">
      <c r="B540" s="142" t="str">
        <f t="shared" si="8"/>
        <v/>
      </c>
    </row>
    <row r="541" spans="2:2" x14ac:dyDescent="0.25">
      <c r="B541" s="144" t="str">
        <f t="shared" si="8"/>
        <v/>
      </c>
    </row>
    <row r="542" spans="2:2" x14ac:dyDescent="0.25">
      <c r="B542" s="142" t="str">
        <f t="shared" si="8"/>
        <v/>
      </c>
    </row>
    <row r="543" spans="2:2" x14ac:dyDescent="0.25">
      <c r="B543" s="144" t="str">
        <f t="shared" si="8"/>
        <v/>
      </c>
    </row>
    <row r="544" spans="2:2" x14ac:dyDescent="0.25">
      <c r="B544" s="142" t="str">
        <f t="shared" si="8"/>
        <v/>
      </c>
    </row>
    <row r="545" spans="2:2" x14ac:dyDescent="0.25">
      <c r="B545" s="144" t="str">
        <f t="shared" si="8"/>
        <v/>
      </c>
    </row>
    <row r="546" spans="2:2" x14ac:dyDescent="0.25">
      <c r="B546" s="142" t="str">
        <f t="shared" si="8"/>
        <v/>
      </c>
    </row>
    <row r="547" spans="2:2" x14ac:dyDescent="0.25">
      <c r="B547" s="144" t="str">
        <f t="shared" si="8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94"/>
  <sheetViews>
    <sheetView zoomScale="64" zoomScaleNormal="64" workbookViewId="0">
      <selection activeCell="K8" sqref="K8:K9"/>
    </sheetView>
  </sheetViews>
  <sheetFormatPr defaultRowHeight="15.75" x14ac:dyDescent="0.25"/>
  <cols>
    <col min="1" max="1" width="5.42578125" style="1" bestFit="1" customWidth="1"/>
    <col min="2" max="2" width="27.5703125" style="1" bestFit="1" customWidth="1"/>
    <col min="3" max="3" width="17.28515625" style="2" customWidth="1"/>
    <col min="4" max="4" width="10.28515625" style="2" customWidth="1"/>
    <col min="5" max="5" width="39.7109375" style="2" bestFit="1" customWidth="1"/>
    <col min="6" max="6" width="14" style="1" customWidth="1"/>
    <col min="7" max="7" width="22.42578125" style="1" customWidth="1"/>
    <col min="8" max="8" width="30.7109375" style="1" customWidth="1"/>
    <col min="9" max="9" width="16.28515625" style="1" customWidth="1"/>
    <col min="10" max="10" width="10.28515625" style="1" bestFit="1" customWidth="1"/>
    <col min="11" max="11" width="14" style="1" bestFit="1" customWidth="1"/>
    <col min="12" max="12" width="11" style="1" customWidth="1"/>
    <col min="13" max="13" width="12.85546875" style="1" customWidth="1"/>
    <col min="14" max="15" width="12.85546875" style="1" hidden="1" customWidth="1"/>
    <col min="16" max="16" width="11.7109375" style="1" customWidth="1"/>
    <col min="17" max="17" width="6.42578125" style="1" bestFit="1" customWidth="1"/>
    <col min="18" max="18" width="12.5703125" style="1" customWidth="1"/>
    <col min="19" max="19" width="7" style="1" bestFit="1" customWidth="1"/>
    <col min="20" max="20" width="8.42578125" style="1" bestFit="1" customWidth="1"/>
    <col min="21" max="21" width="9.5703125" style="1" bestFit="1" customWidth="1"/>
    <col min="22" max="22" width="10.85546875" style="1" bestFit="1" customWidth="1"/>
    <col min="23" max="23" width="7.28515625" style="1" customWidth="1"/>
    <col min="24" max="25" width="12.28515625" style="1" bestFit="1" customWidth="1"/>
    <col min="26" max="26" width="14" style="1" customWidth="1"/>
    <col min="27" max="27" width="20.140625" style="1" customWidth="1"/>
    <col min="28" max="29" width="20.85546875" style="1" customWidth="1"/>
    <col min="30" max="30" width="42.28515625" style="1" hidden="1" customWidth="1"/>
    <col min="31" max="31" width="7" style="1" customWidth="1"/>
    <col min="32" max="16384" width="9.140625" style="1"/>
  </cols>
  <sheetData>
    <row r="1" spans="1:31" ht="45" customHeight="1" x14ac:dyDescent="0.25">
      <c r="A1" s="177" t="s">
        <v>349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</row>
    <row r="2" spans="1:31" ht="38.25" customHeight="1" x14ac:dyDescent="0.25">
      <c r="A2" s="174" t="s">
        <v>35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52">
        <v>46176</v>
      </c>
      <c r="AB2" s="176">
        <v>0.5625</v>
      </c>
      <c r="AC2" s="176"/>
    </row>
    <row r="3" spans="1:31" s="7" customFormat="1" ht="63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1" ht="31.5" x14ac:dyDescent="0.25">
      <c r="A4" s="10" t="s">
        <v>26</v>
      </c>
      <c r="B4" s="14" t="s">
        <v>17</v>
      </c>
      <c r="C4" s="15">
        <f>IF(B4="","",VLOOKUP(AD4,Varsayımlar!$B:$Q,3,0))</f>
        <v>8698829380698</v>
      </c>
      <c r="D4" s="15"/>
      <c r="E4" s="15" t="s">
        <v>32</v>
      </c>
      <c r="F4" s="14" t="s">
        <v>42</v>
      </c>
      <c r="G4" s="3" t="s">
        <v>43</v>
      </c>
      <c r="H4" s="14" t="str">
        <f>IF(B4="","",VLOOKUP(AD4,Varsayımlar!$B:$Q,5,0))</f>
        <v>TORTİLLAS 25 CM 4 PCS 260G</v>
      </c>
      <c r="I4" s="14">
        <f>IF(B4="","",VLOOKUP(AD4,Varsayımlar!B:T,19,0))</f>
        <v>0</v>
      </c>
      <c r="J4" s="14" t="str">
        <f>IF(B4="","",VLOOKUP(AD4,Varsayımlar!$B:$Q,6,0))</f>
        <v>SADE</v>
      </c>
      <c r="K4" s="14">
        <v>2436</v>
      </c>
      <c r="L4" s="14">
        <v>1372</v>
      </c>
      <c r="M4" s="14">
        <f>IFERROR(IF(B4="","",K4/VLOOKUP(AD4,Varsayımlar!B:R,17,0)),"")</f>
        <v>29</v>
      </c>
      <c r="N4" s="14">
        <v>84</v>
      </c>
      <c r="O4" s="14"/>
      <c r="P4" s="14">
        <f>IF(B4="","",VLOOKUP(AD4,Varsayımlar!$B:$Q,7,0)*K4)</f>
        <v>73080</v>
      </c>
      <c r="Q4" s="14">
        <f>IF(B4="","",VLOOKUP(AD4,Varsayımlar!$B:$Q,8,0))</f>
        <v>25</v>
      </c>
      <c r="R4" s="14" t="str">
        <f>IF(B4="","",VLOOKUP(AD4,Varsayımlar!$B:$Q,9,0))</f>
        <v>SOFT</v>
      </c>
      <c r="S4" s="14">
        <f>IF(B4="","",VLOOKUP(AD4,Varsayımlar!$B:$Q,10,0))</f>
        <v>4</v>
      </c>
      <c r="T4" s="14">
        <f>IF(B4="","",VLOOKUP(AD4,Varsayımlar!$B:$Q,11,0))</f>
        <v>30</v>
      </c>
      <c r="U4" s="14">
        <f>IF(B4="","",VLOOKUP(AD4,Varsayımlar!$B:$Q,12,0))</f>
        <v>260</v>
      </c>
      <c r="V4" s="14" t="str">
        <f>IF(B4="","",VLOOKUP(AD4,Varsayımlar!$B:$Q,13,0))</f>
        <v>YURTDIŞI</v>
      </c>
      <c r="W4" s="14">
        <f>IF(B4="","",VLOOKUP(AD4,Varsayımlar!$B:$Q,14,0))</f>
        <v>6</v>
      </c>
      <c r="X4" s="16">
        <v>46177</v>
      </c>
      <c r="Y4" s="16">
        <v>46360</v>
      </c>
      <c r="Z4" s="14" t="s">
        <v>44</v>
      </c>
      <c r="AA4" s="14" t="str">
        <f>IF(B4="","",VLOOKUP(AD4,Varsayımlar!$B:$Q,15,0))</f>
        <v>TRİTON -SKT ATILACAK</v>
      </c>
      <c r="AB4" s="14" t="str">
        <f>IF(B4="","",VLOOKUP(AD4,Varsayımlar!$B:$Q,16,0))</f>
        <v>24-26 CM</v>
      </c>
      <c r="AC4" s="14">
        <f>IF(B4="","",VLOOKUP(Sayfa1!AD4,Varsayımlar!B:S,18,0))</f>
        <v>0</v>
      </c>
      <c r="AD4" s="4" t="str">
        <f>IF(B4="","",CONCATENATE(B4,E4))</f>
        <v>LLC TRİTONMUTLUKAL WHEAT TORTILLA</v>
      </c>
      <c r="AE4" s="1" t="s">
        <v>351</v>
      </c>
    </row>
    <row r="5" spans="1:31" ht="31.5" x14ac:dyDescent="0.25">
      <c r="A5" s="10" t="s">
        <v>77</v>
      </c>
      <c r="B5" s="23" t="s">
        <v>64</v>
      </c>
      <c r="C5" s="24">
        <f>IF(B5="","",VLOOKUP(AD5,Varsayımlar!$B:$Q,3,0))</f>
        <v>8698829380698</v>
      </c>
      <c r="D5" s="24"/>
      <c r="E5" s="35" t="s">
        <v>176</v>
      </c>
      <c r="F5" s="23"/>
      <c r="G5" s="39" t="s">
        <v>68</v>
      </c>
      <c r="H5" s="23" t="str">
        <f>IF(B5="","",VLOOKUP(AD5,Varsayımlar!$B:$Q,5,0))</f>
        <v>Tortillas 20cm (Samakat Bilgileri Ekli)</v>
      </c>
      <c r="I5" s="23">
        <f>IF(B5="","",VLOOKUP(AD5,Varsayımlar!B:T,19,0))</f>
        <v>0</v>
      </c>
      <c r="J5" s="23" t="str">
        <f>IF(B5="","",VLOOKUP(AD5,Varsayımlar!$B:$Q,6,0))</f>
        <v>PEYNİRLİ</v>
      </c>
      <c r="K5" s="23">
        <v>7200</v>
      </c>
      <c r="L5" s="23"/>
      <c r="M5" s="23">
        <f>IFERROR(IF(B5="","",K5/VLOOKUP(AD5,Varsayımlar!B:R,17,0)),"")</f>
        <v>32</v>
      </c>
      <c r="N5" s="23">
        <v>225</v>
      </c>
      <c r="O5" s="23">
        <v>35</v>
      </c>
      <c r="P5" s="23">
        <f>IF(B5="","",VLOOKUP(AD5,Varsayımlar!$B:$Q,7,0)*K5)</f>
        <v>100800</v>
      </c>
      <c r="Q5" s="23">
        <f>IF(B5="","",VLOOKUP(AD5,Varsayımlar!$B:$Q,8,0))</f>
        <v>20</v>
      </c>
      <c r="R5" s="23" t="str">
        <f>IF(B5="","",VLOOKUP(AD5,Varsayımlar!$B:$Q,9,0))</f>
        <v>IRAK SOFT-AT</v>
      </c>
      <c r="S5" s="23">
        <f>IF(B5="","",VLOOKUP(AD5,Varsayımlar!$B:$Q,10,0))</f>
        <v>4</v>
      </c>
      <c r="T5" s="23">
        <f>IF(B5="","",VLOOKUP(AD5,Varsayımlar!$B:$Q,11,0))</f>
        <v>14</v>
      </c>
      <c r="U5" s="23">
        <f>IF(B5="","",VLOOKUP(AD5,Varsayımlar!$B:$Q,12,0))</f>
        <v>166</v>
      </c>
      <c r="V5" s="23" t="str">
        <f>IF(B5="","",VLOOKUP(AD5,Varsayımlar!$B:$Q,13,0))</f>
        <v>YURTDIŞI</v>
      </c>
      <c r="W5" s="23">
        <f>IF(B5="","",VLOOKUP(AD5,Varsayımlar!$B:$Q,14,0))</f>
        <v>9</v>
      </c>
      <c r="X5" s="25">
        <v>46184</v>
      </c>
      <c r="Y5" s="25">
        <v>46457</v>
      </c>
      <c r="Z5" s="23" t="s">
        <v>333</v>
      </c>
      <c r="AA5" s="23" t="str">
        <f>IF(B5="","",VLOOKUP(AD5,Varsayımlar!$B:$Q,15,0))</f>
        <v>Kare Koli-Üretim Tarihli Etiket</v>
      </c>
      <c r="AB5" s="23" t="str">
        <f>IF(B5="","",VLOOKUP(AD5,Varsayımlar!$B:$Q,16,0))</f>
        <v>19-21 cm</v>
      </c>
      <c r="AC5" s="23">
        <f>IF(B5="","",VLOOKUP(Sayfa1!AD5,Varsayımlar!B:S,18,0))</f>
        <v>0</v>
      </c>
      <c r="AD5" s="4" t="str">
        <f t="shared" ref="AD5:AD9" si="0">IF(B5="","",CONCATENATE(B5,E5))</f>
        <v>SMART LLCTortillas 20cm Peynirli 4pcs 166g</v>
      </c>
    </row>
    <row r="6" spans="1:31" ht="31.5" x14ac:dyDescent="0.25">
      <c r="A6" s="10" t="s">
        <v>78</v>
      </c>
      <c r="B6" s="17" t="s">
        <v>311</v>
      </c>
      <c r="C6" s="18">
        <f>IF(B6="","",VLOOKUP(AD6,Varsayımlar!$B:$Q,3,0))</f>
        <v>8698829380698</v>
      </c>
      <c r="D6" s="18"/>
      <c r="E6" s="34" t="s">
        <v>315</v>
      </c>
      <c r="F6" s="17"/>
      <c r="G6" s="40"/>
      <c r="H6" s="17" t="str">
        <f>IF(B6="","",VLOOKUP(AD6,Varsayımlar!$B:$Q,5,0))</f>
        <v xml:space="preserve">Happylla 30cm </v>
      </c>
      <c r="I6" s="17">
        <f>IF(B6="","",VLOOKUP(AD6,Varsayımlar!B:T,19,0))</f>
        <v>0</v>
      </c>
      <c r="J6" s="17" t="str">
        <f>IF(B6="","",VLOOKUP(AD6,Varsayımlar!$B:$Q,6,0))</f>
        <v>SADE</v>
      </c>
      <c r="K6" s="17">
        <v>1000</v>
      </c>
      <c r="L6" s="17"/>
      <c r="M6" s="17" t="str">
        <f>IFERROR(IF(B6="","",K6/VLOOKUP(AD6,Varsayımlar!B:R,17,0)),"")</f>
        <v/>
      </c>
      <c r="N6" s="17"/>
      <c r="O6" s="17">
        <v>16</v>
      </c>
      <c r="P6" s="17">
        <f>IF(B6="","",VLOOKUP(AD6,Varsayımlar!$B:$Q,7,0)*K6)</f>
        <v>18000</v>
      </c>
      <c r="Q6" s="17">
        <f>IF(B6="","",VLOOKUP(AD6,Varsayımlar!$B:$Q,8,0))</f>
        <v>30</v>
      </c>
      <c r="R6" s="17" t="str">
        <f>IF(B6="","",VLOOKUP(AD6,Varsayımlar!$B:$Q,9,0))</f>
        <v>Irak Soft</v>
      </c>
      <c r="S6" s="17">
        <f>IF(B6="","",VLOOKUP(AD6,Varsayımlar!$B:$Q,10,0))</f>
        <v>6</v>
      </c>
      <c r="T6" s="17">
        <f>IF(B6="","",VLOOKUP(AD6,Varsayımlar!$B:$Q,11,0))</f>
        <v>18</v>
      </c>
      <c r="U6" s="17">
        <f>IF(B6="","",VLOOKUP(AD6,Varsayımlar!$B:$Q,12,0))</f>
        <v>510</v>
      </c>
      <c r="V6" s="17" t="str">
        <f>IF(B6="","",VLOOKUP(AD6,Varsayımlar!$B:$Q,13,0))</f>
        <v>Yurtdışı</v>
      </c>
      <c r="W6" s="17">
        <f>IF(B6="","",VLOOKUP(AD6,Varsayımlar!$B:$Q,14,0))</f>
        <v>8</v>
      </c>
      <c r="X6" s="19"/>
      <c r="Y6" s="19"/>
      <c r="Z6" s="17"/>
      <c r="AA6" s="17" t="str">
        <f>IF(B6="","",VLOOKUP(AD6,Varsayımlar!$B:$Q,15,0))</f>
        <v>30cm Koli</v>
      </c>
      <c r="AB6" s="17" t="str">
        <f>IF(B6="","",VLOOKUP(AD6,Varsayımlar!$B:$Q,16,0))</f>
        <v>29-31 cm</v>
      </c>
      <c r="AC6" s="17">
        <f>IF(B6="","",VLOOKUP(Sayfa1!AD6,Varsayımlar!B:S,18,0))</f>
        <v>0</v>
      </c>
      <c r="AD6" s="4" t="str">
        <f>IF(B6="","",CONCATENATE(B6,E6))</f>
        <v>Sons Of HannaHappylla 30cm Sade 6pcs 510g</v>
      </c>
    </row>
    <row r="7" spans="1:31" ht="31.5" x14ac:dyDescent="0.25">
      <c r="A7" s="10" t="s">
        <v>79</v>
      </c>
      <c r="B7" s="17" t="s">
        <v>311</v>
      </c>
      <c r="C7" s="18">
        <f>IF(B7="","",VLOOKUP(AD7,Varsayımlar!$B:$Q,3,0))</f>
        <v>8698829380698</v>
      </c>
      <c r="D7" s="18"/>
      <c r="E7" s="34" t="s">
        <v>318</v>
      </c>
      <c r="F7" s="17"/>
      <c r="G7" s="40"/>
      <c r="H7" s="17" t="str">
        <f>IF(B7="","",VLOOKUP(AD7,Varsayımlar!$B:$Q,5,0))</f>
        <v xml:space="preserve">Tortillas 30cm Tam Buğday </v>
      </c>
      <c r="I7" s="17">
        <f>IF(B7="","",VLOOKUP(AD7,Varsayımlar!B:T,19,0))</f>
        <v>0</v>
      </c>
      <c r="J7" s="17" t="str">
        <f>IF(B7="","",VLOOKUP(AD7,Varsayımlar!$B:$Q,6,0))</f>
        <v>Tam Buğdaylı</v>
      </c>
      <c r="K7" s="17">
        <v>100</v>
      </c>
      <c r="L7" s="17"/>
      <c r="M7" s="17" t="str">
        <f>IFERROR(IF(B7="","",K7/VLOOKUP(AD7,Varsayımlar!B:R,17,0)),"")</f>
        <v/>
      </c>
      <c r="N7" s="17"/>
      <c r="O7" s="17">
        <v>2</v>
      </c>
      <c r="P7" s="17">
        <f>IF(B7="","",VLOOKUP(AD7,Varsayımlar!$B:$Q,7,0)*K7)</f>
        <v>1800</v>
      </c>
      <c r="Q7" s="17">
        <f>IF(B7="","",VLOOKUP(AD7,Varsayımlar!$B:$Q,8,0))</f>
        <v>30</v>
      </c>
      <c r="R7" s="17" t="str">
        <f>IF(B7="","",VLOOKUP(AD7,Varsayımlar!$B:$Q,9,0))</f>
        <v>Irak Soft</v>
      </c>
      <c r="S7" s="17">
        <f>IF(B7="","",VLOOKUP(AD7,Varsayımlar!$B:$Q,10,0))</f>
        <v>6</v>
      </c>
      <c r="T7" s="17">
        <f>IF(B7="","",VLOOKUP(AD7,Varsayımlar!$B:$Q,11,0))</f>
        <v>18</v>
      </c>
      <c r="U7" s="17">
        <f>IF(B7="","",VLOOKUP(AD7,Varsayımlar!$B:$Q,12,0))</f>
        <v>510</v>
      </c>
      <c r="V7" s="17" t="str">
        <f>IF(B7="","",VLOOKUP(AD7,Varsayımlar!$B:$Q,13,0))</f>
        <v>Yurtdışı</v>
      </c>
      <c r="W7" s="17">
        <f>IF(B7="","",VLOOKUP(AD7,Varsayımlar!$B:$Q,14,0))</f>
        <v>8</v>
      </c>
      <c r="X7" s="19"/>
      <c r="Y7" s="19"/>
      <c r="Z7" s="17"/>
      <c r="AA7" s="17" t="str">
        <f>IF(B7="","",VLOOKUP(AD7,Varsayımlar!$B:$Q,15,0))</f>
        <v>30cm Koli - TB Etiketli</v>
      </c>
      <c r="AB7" s="17" t="str">
        <f>IF(B7="","",VLOOKUP(AD7,Varsayımlar!$B:$Q,16,0))</f>
        <v>29-31 cm</v>
      </c>
      <c r="AC7" s="17">
        <f>IF(B7="","",VLOOKUP(Sayfa1!AD7,Varsayımlar!B:S,18,0))</f>
        <v>0</v>
      </c>
      <c r="AD7" s="4" t="str">
        <f>IF(B7="","",CONCATENATE(B7,E7))</f>
        <v>Sons Of HannaTortillas 30cm Tam Buğday6pcs 510g</v>
      </c>
    </row>
    <row r="8" spans="1:31" ht="47.25" x14ac:dyDescent="0.25">
      <c r="A8" s="10" t="s">
        <v>80</v>
      </c>
      <c r="B8" s="17" t="s">
        <v>64</v>
      </c>
      <c r="C8" s="18">
        <f>IF(B8="","",VLOOKUP(AD8,Varsayımlar!$B:$Q,3,0))</f>
        <v>8698829380698</v>
      </c>
      <c r="D8" s="18"/>
      <c r="E8" s="34" t="s">
        <v>296</v>
      </c>
      <c r="F8" s="17"/>
      <c r="G8" s="40" t="s">
        <v>68</v>
      </c>
      <c r="H8" s="17" t="str">
        <f>IF(B8="","",VLOOKUP(AD8,Varsayımlar!$B:$Q,5,0))</f>
        <v>Tortillas 20cm Çok Tahıllı</v>
      </c>
      <c r="I8" s="17">
        <f>IF(B8="","",VLOOKUP(AD8,Varsayımlar!B:T,19,0))</f>
        <v>0</v>
      </c>
      <c r="J8" s="17" t="str">
        <f>IF(B8="","",VLOOKUP(AD8,Varsayımlar!$B:$Q,6,0))</f>
        <v>Çok Tahıllı</v>
      </c>
      <c r="K8" s="17">
        <v>5625</v>
      </c>
      <c r="L8" s="17"/>
      <c r="M8" s="17">
        <f>IFERROR(IF(B8="","",K8/VLOOKUP(AD8,Varsayımlar!B:R,17,0)),"")</f>
        <v>25</v>
      </c>
      <c r="N8" s="17">
        <v>225</v>
      </c>
      <c r="O8" s="17">
        <v>45</v>
      </c>
      <c r="P8" s="17">
        <f>IF(B8="","",VLOOKUP(AD8,Varsayımlar!$B:$Q,7,0)*K8)</f>
        <v>78750</v>
      </c>
      <c r="Q8" s="17">
        <f>IF(B8="","",VLOOKUP(AD8,Varsayımlar!$B:$Q,8,0))</f>
        <v>20</v>
      </c>
      <c r="R8" s="17" t="str">
        <f>IF(B8="","",VLOOKUP(AD8,Varsayımlar!$B:$Q,9,0))</f>
        <v>Irak Soft</v>
      </c>
      <c r="S8" s="17">
        <f>IF(B8="","",VLOOKUP(AD8,Varsayımlar!$B:$Q,10,0))</f>
        <v>4</v>
      </c>
      <c r="T8" s="17">
        <f>IF(B8="","",VLOOKUP(AD8,Varsayımlar!$B:$Q,11,0))</f>
        <v>14</v>
      </c>
      <c r="U8" s="17">
        <f>IF(B8="","",VLOOKUP(AD8,Varsayımlar!$B:$Q,12,0))</f>
        <v>166</v>
      </c>
      <c r="V8" s="17" t="str">
        <f>IF(B8="","",VLOOKUP(AD8,Varsayımlar!$B:$Q,13,0))</f>
        <v>Yurtdışı</v>
      </c>
      <c r="W8" s="17">
        <f>IF(B8="","",VLOOKUP(AD8,Varsayımlar!$B:$Q,14,0))</f>
        <v>9</v>
      </c>
      <c r="X8" s="19">
        <v>46183</v>
      </c>
      <c r="Y8" s="19">
        <v>46456</v>
      </c>
      <c r="Z8" s="17" t="s">
        <v>334</v>
      </c>
      <c r="AA8" s="17" t="str">
        <f>IF(B8="","",VLOOKUP(AD8,Varsayımlar!$B:$Q,15,0))</f>
        <v>SİYAH KARE KOLİ-Üretim Tarihi Etiketli</v>
      </c>
      <c r="AB8" s="17" t="str">
        <f>IF(B8="","",VLOOKUP(AD8,Varsayımlar!$B:$Q,16,0))</f>
        <v>19-21 cm</v>
      </c>
      <c r="AC8" s="17">
        <f>IF(B8="","",VLOOKUP(Sayfa1!AD8,Varsayımlar!B:S,18,0))</f>
        <v>0</v>
      </c>
      <c r="AD8" s="4" t="str">
        <f>IF(B8="","",CONCATENATE(B8,E8))</f>
        <v>SMART LLCTortillas 20cm Çok Tahıllı 4pcs 166g</v>
      </c>
    </row>
    <row r="9" spans="1:31" ht="31.5" x14ac:dyDescent="0.25">
      <c r="A9" s="10" t="s">
        <v>81</v>
      </c>
      <c r="B9" s="29" t="s">
        <v>64</v>
      </c>
      <c r="C9" s="30">
        <f>IF(B9="","",VLOOKUP(AD9,Varsayımlar!$B:$Q,3,0))</f>
        <v>8698829380698</v>
      </c>
      <c r="D9" s="30"/>
      <c r="E9" s="33" t="s">
        <v>176</v>
      </c>
      <c r="F9" s="29"/>
      <c r="G9" s="42" t="s">
        <v>68</v>
      </c>
      <c r="H9" s="29" t="str">
        <f>IF(B9="","",VLOOKUP(AD9,Varsayımlar!$B:$Q,5,0))</f>
        <v>Tortillas 20cm (Samakat Bilgileri Ekli)</v>
      </c>
      <c r="I9" s="29">
        <f>IF(B9="","",VLOOKUP(AD9,Varsayımlar!B:T,19,0))</f>
        <v>0</v>
      </c>
      <c r="J9" s="29" t="str">
        <f>IF(B9="","",VLOOKUP(AD9,Varsayımlar!$B:$Q,6,0))</f>
        <v>PEYNİRLİ</v>
      </c>
      <c r="K9" s="29">
        <v>1350</v>
      </c>
      <c r="L9" s="29"/>
      <c r="M9" s="29">
        <f>IFERROR(IF(B9="","",K9/VLOOKUP(AD9,Varsayımlar!B:R,17,0)),"")</f>
        <v>6</v>
      </c>
      <c r="N9" s="29">
        <v>225</v>
      </c>
      <c r="O9" s="29">
        <v>2</v>
      </c>
      <c r="P9" s="29">
        <f>IF(B9="","",VLOOKUP(AD9,Varsayımlar!$B:$Q,7,0)*K9)</f>
        <v>18900</v>
      </c>
      <c r="Q9" s="29">
        <f>IF(B9="","",VLOOKUP(AD9,Varsayımlar!$B:$Q,8,0))</f>
        <v>20</v>
      </c>
      <c r="R9" s="29" t="str">
        <f>IF(B9="","",VLOOKUP(AD9,Varsayımlar!$B:$Q,9,0))</f>
        <v>IRAK SOFT-AT</v>
      </c>
      <c r="S9" s="29">
        <f>IF(B9="","",VLOOKUP(AD9,Varsayımlar!$B:$Q,10,0))</f>
        <v>4</v>
      </c>
      <c r="T9" s="29">
        <f>IF(B9="","",VLOOKUP(AD9,Varsayımlar!$B:$Q,11,0))</f>
        <v>14</v>
      </c>
      <c r="U9" s="29">
        <f>IF(B9="","",VLOOKUP(AD9,Varsayımlar!$B:$Q,12,0))</f>
        <v>166</v>
      </c>
      <c r="V9" s="29" t="str">
        <f>IF(B9="","",VLOOKUP(AD9,Varsayımlar!$B:$Q,13,0))</f>
        <v>YURTDIŞI</v>
      </c>
      <c r="W9" s="29">
        <f>IF(B9="","",VLOOKUP(AD9,Varsayımlar!$B:$Q,14,0))</f>
        <v>9</v>
      </c>
      <c r="X9" s="31">
        <v>46188</v>
      </c>
      <c r="Y9" s="31">
        <v>46461</v>
      </c>
      <c r="Z9" s="29" t="s">
        <v>172</v>
      </c>
      <c r="AA9" s="29" t="str">
        <f>IF(B9="","",VLOOKUP(AD9,Varsayımlar!$B:$Q,15,0))</f>
        <v>Kare Koli-Üretim Tarihli Etiket</v>
      </c>
      <c r="AB9" s="29" t="str">
        <f>IF(B9="","",VLOOKUP(AD9,Varsayımlar!$B:$Q,16,0))</f>
        <v>19-21 cm</v>
      </c>
      <c r="AC9" s="29">
        <f>IF(B9="","",VLOOKUP(Sayfa1!AD9,Varsayımlar!B:S,18,0))</f>
        <v>0</v>
      </c>
      <c r="AD9" s="4" t="str">
        <f t="shared" si="0"/>
        <v>SMART LLCTortillas 20cm Peynirli 4pcs 166g</v>
      </c>
    </row>
    <row r="10" spans="1:31" ht="30" customHeight="1" x14ac:dyDescent="0.25">
      <c r="A10" s="10" t="s">
        <v>82</v>
      </c>
      <c r="B10" s="14" t="s">
        <v>335</v>
      </c>
      <c r="C10" s="15">
        <f>IF(B10="","",VLOOKUP(AD10,Varsayımlar!$B:$Q,3,0))</f>
        <v>8698829380698</v>
      </c>
      <c r="D10" s="15"/>
      <c r="E10" s="46" t="s">
        <v>299</v>
      </c>
      <c r="F10" s="14"/>
      <c r="G10" s="3"/>
      <c r="H10" s="14" t="str">
        <f>IF(B10="","",VLOOKUP(AD10,Varsayımlar!$B:$Q,5,0))</f>
        <v>Lazeza 30cm</v>
      </c>
      <c r="I10" s="14">
        <f>IF(B10="","",VLOOKUP(AD10,Varsayımlar!B:T,19,0))</f>
        <v>0</v>
      </c>
      <c r="J10" s="14" t="str">
        <f>IF(B10="","",VLOOKUP(AD10,Varsayımlar!$B:$Q,6,0))</f>
        <v>SADE</v>
      </c>
      <c r="K10" s="14">
        <v>1700</v>
      </c>
      <c r="L10" s="14"/>
      <c r="M10" s="14" t="str">
        <f>IFERROR(IF(B10="","",K10/VLOOKUP(AD10,Varsayımlar!B:R,17,0)),"")</f>
        <v/>
      </c>
      <c r="N10" s="14"/>
      <c r="O10" s="14">
        <v>25</v>
      </c>
      <c r="P10" s="14">
        <f>IF(B10="","",VLOOKUP(AD10,Varsayımlar!$B:$Q,7,0)*K10)</f>
        <v>30600</v>
      </c>
      <c r="Q10" s="14">
        <f>IF(B10="","",VLOOKUP(AD10,Varsayımlar!$B:$Q,8,0))</f>
        <v>30</v>
      </c>
      <c r="R10" s="14" t="str">
        <f>IF(B10="","",VLOOKUP(AD10,Varsayımlar!$B:$Q,9,0))</f>
        <v>Irak Soft</v>
      </c>
      <c r="S10" s="14">
        <f>IF(B10="","",VLOOKUP(AD10,Varsayımlar!$B:$Q,10,0))</f>
        <v>6</v>
      </c>
      <c r="T10" s="14">
        <f>IF(B10="","",VLOOKUP(AD10,Varsayımlar!$B:$Q,11,0))</f>
        <v>18</v>
      </c>
      <c r="U10" s="14">
        <f>IF(B10="","",VLOOKUP(AD10,Varsayımlar!$B:$Q,12,0))</f>
        <v>510</v>
      </c>
      <c r="V10" s="14" t="str">
        <f>IF(B10="","",VLOOKUP(AD10,Varsayımlar!$B:$Q,13,0))</f>
        <v>Yurtdışı</v>
      </c>
      <c r="W10" s="14">
        <f>IF(B10="","",VLOOKUP(AD10,Varsayımlar!$B:$Q,14,0))</f>
        <v>6</v>
      </c>
      <c r="X10" s="16"/>
      <c r="Y10" s="16"/>
      <c r="Z10" s="14"/>
      <c r="AA10" s="14" t="str">
        <f>IF(B10="","",VLOOKUP(AD10,Varsayımlar!$B:$Q,15,0))</f>
        <v>Lazeza Kolisi</v>
      </c>
      <c r="AB10" s="14" t="str">
        <f>IF(B10="","",VLOOKUP(AD10,Varsayımlar!$B:$Q,16,0))</f>
        <v>29-31 cm</v>
      </c>
      <c r="AC10" s="14">
        <f>IF(B10="","",VLOOKUP(Sayfa1!AD10,Varsayımlar!B:S,18,0))</f>
        <v>0</v>
      </c>
      <c r="AD10" s="4" t="str">
        <f t="shared" ref="AD10:AD14" si="1">IF(B10="","",CONCATENATE(B10,E10))</f>
        <v>AjjawiLazeza 30 cm 6pcs 510g</v>
      </c>
    </row>
    <row r="11" spans="1:31" ht="31.5" x14ac:dyDescent="0.25">
      <c r="A11" s="10" t="s">
        <v>83</v>
      </c>
      <c r="B11" s="11" t="s">
        <v>302</v>
      </c>
      <c r="C11" s="12">
        <f>IF(B11="","",VLOOKUP(AD11,Varsayımlar!$B:$Q,3,0))</f>
        <v>8698829380698</v>
      </c>
      <c r="D11" s="12"/>
      <c r="E11" s="45" t="s">
        <v>281</v>
      </c>
      <c r="F11" s="11"/>
      <c r="G11" s="32" t="s">
        <v>68</v>
      </c>
      <c r="H11" s="11" t="str">
        <f>IF(B11="","",VLOOKUP(AD11,Varsayımlar!$B:$Q,5,0))</f>
        <v>Baskısız 30cm</v>
      </c>
      <c r="I11" s="11" t="str">
        <f>IF(B11="","",VLOOKUP(AD11,Varsayımlar!B:T,19,0))</f>
        <v>Tüm Bilgiler Sade</v>
      </c>
      <c r="J11" s="11" t="str">
        <f>IF(B11="","",VLOOKUP(AD11,Varsayımlar!$B:$Q,6,0))</f>
        <v>SADE</v>
      </c>
      <c r="K11" s="11">
        <v>792</v>
      </c>
      <c r="L11" s="11"/>
      <c r="M11" s="11" t="str">
        <f>IFERROR(IF(B11="","",K11/VLOOKUP(AD11,Varsayımlar!B:R,17,0)),"")</f>
        <v/>
      </c>
      <c r="N11" s="11"/>
      <c r="O11" s="11">
        <v>13</v>
      </c>
      <c r="P11" s="11">
        <f>IF(B11="","",VLOOKUP(AD11,Varsayımlar!$B:$Q,7,0)*K11)</f>
        <v>7920</v>
      </c>
      <c r="Q11" s="11">
        <f>IF(B11="","",VLOOKUP(AD11,Varsayımlar!$B:$Q,8,0))</f>
        <v>30</v>
      </c>
      <c r="R11" s="11" t="str">
        <f>IF(B11="","",VLOOKUP(AD11,Varsayımlar!$B:$Q,9,0))</f>
        <v>Irak soft</v>
      </c>
      <c r="S11" s="11">
        <f>IF(B11="","",VLOOKUP(AD11,Varsayımlar!$B:$Q,10,0))</f>
        <v>12</v>
      </c>
      <c r="T11" s="11">
        <f>IF(B11="","",VLOOKUP(AD11,Varsayımlar!$B:$Q,11,0))</f>
        <v>10</v>
      </c>
      <c r="U11" s="11">
        <f>IF(B11="","",VLOOKUP(AD11,Varsayımlar!$B:$Q,12,0))</f>
        <v>1020</v>
      </c>
      <c r="V11" s="11" t="str">
        <f>IF(B11="","",VLOOKUP(AD11,Varsayımlar!$B:$Q,13,0))</f>
        <v>Yurtdışı</v>
      </c>
      <c r="W11" s="11">
        <f>IF(B11="","",VLOOKUP(AD11,Varsayımlar!$B:$Q,14,0))</f>
        <v>6</v>
      </c>
      <c r="X11" s="13">
        <v>46190</v>
      </c>
      <c r="Y11" s="13">
        <v>46373</v>
      </c>
      <c r="Z11" s="11">
        <v>26061730</v>
      </c>
      <c r="AA11" s="11" t="str">
        <f>IF(B11="","",VLOOKUP(AD11,Varsayımlar!$B:$Q,15,0))</f>
        <v>30cm Kolisi</v>
      </c>
      <c r="AB11" s="11" t="str">
        <f>IF(B11="","",VLOOKUP(AD11,Varsayımlar!$B:$Q,16,0))</f>
        <v>29-31 cm</v>
      </c>
      <c r="AC11" s="11">
        <f>IF(B11="","",VLOOKUP(Sayfa1!AD11,Varsayımlar!B:S,18,0))</f>
        <v>0</v>
      </c>
      <c r="AD11" s="4" t="str">
        <f t="shared" si="1"/>
        <v>TVK ImportBaskısız 30cm 12pcs 1020g</v>
      </c>
    </row>
    <row r="12" spans="1:31" ht="31.5" x14ac:dyDescent="0.25">
      <c r="A12" s="10" t="s">
        <v>84</v>
      </c>
      <c r="B12" s="11" t="s">
        <v>302</v>
      </c>
      <c r="C12" s="12">
        <f>IF(B12="","",VLOOKUP(AD12,Varsayımlar!$B:$Q,3,0))</f>
        <v>8698829380698</v>
      </c>
      <c r="D12" s="12"/>
      <c r="E12" s="45" t="s">
        <v>309</v>
      </c>
      <c r="F12" s="11"/>
      <c r="G12" s="32" t="s">
        <v>68</v>
      </c>
      <c r="H12" s="11" t="str">
        <f>IF(B12="","",VLOOKUP(AD12,Varsayımlar!$B:$Q,5,0))</f>
        <v>Baskısız 30cm</v>
      </c>
      <c r="I12" s="11" t="str">
        <f>IF(B12="","",VLOOKUP(AD12,Varsayımlar!B:T,19,0))</f>
        <v>Tüm Bilgiler TB</v>
      </c>
      <c r="J12" s="11" t="str">
        <f>IF(B12="","",VLOOKUP(AD12,Varsayımlar!$B:$Q,6,0))</f>
        <v>Tam Buğdaylı</v>
      </c>
      <c r="K12" s="11">
        <v>576</v>
      </c>
      <c r="L12" s="11"/>
      <c r="M12" s="11" t="str">
        <f>IFERROR(IF(B12="","",K12/VLOOKUP(AD12,Varsayımlar!B:R,17,0)),"")</f>
        <v/>
      </c>
      <c r="N12" s="11"/>
      <c r="O12" s="11">
        <v>10</v>
      </c>
      <c r="P12" s="11">
        <f>IF(B12="","",VLOOKUP(AD12,Varsayımlar!$B:$Q,7,0)*K12)</f>
        <v>5760</v>
      </c>
      <c r="Q12" s="11">
        <f>IF(B12="","",VLOOKUP(AD12,Varsayımlar!$B:$Q,8,0))</f>
        <v>30</v>
      </c>
      <c r="R12" s="11" t="str">
        <f>IF(B12="","",VLOOKUP(AD12,Varsayımlar!$B:$Q,9,0))</f>
        <v>Irak soft</v>
      </c>
      <c r="S12" s="11">
        <f>IF(B12="","",VLOOKUP(AD12,Varsayımlar!$B:$Q,10,0))</f>
        <v>12</v>
      </c>
      <c r="T12" s="11">
        <f>IF(B12="","",VLOOKUP(AD12,Varsayımlar!$B:$Q,11,0))</f>
        <v>10</v>
      </c>
      <c r="U12" s="11">
        <f>IF(B12="","",VLOOKUP(AD12,Varsayımlar!$B:$Q,12,0))</f>
        <v>1020</v>
      </c>
      <c r="V12" s="11" t="str">
        <f>IF(B12="","",VLOOKUP(AD12,Varsayımlar!$B:$Q,13,0))</f>
        <v>Yurtdışı</v>
      </c>
      <c r="W12" s="11">
        <f>IF(B12="","",VLOOKUP(AD12,Varsayımlar!$B:$Q,14,0))</f>
        <v>6</v>
      </c>
      <c r="X12" s="13">
        <v>46190</v>
      </c>
      <c r="Y12" s="13">
        <v>46373</v>
      </c>
      <c r="Z12" s="11" t="s">
        <v>336</v>
      </c>
      <c r="AA12" s="11" t="str">
        <f>IF(B12="","",VLOOKUP(AD12,Varsayımlar!$B:$Q,15,0))</f>
        <v>30cm Kolisi-Etiketli</v>
      </c>
      <c r="AB12" s="11" t="str">
        <f>IF(B12="","",VLOOKUP(AD12,Varsayımlar!$B:$Q,16,0))</f>
        <v>29-31 cm</v>
      </c>
      <c r="AC12" s="11">
        <f>IF(B12="","",VLOOKUP(Sayfa1!AD12,Varsayımlar!B:S,18,0))</f>
        <v>0</v>
      </c>
      <c r="AD12" s="4" t="str">
        <f t="shared" si="1"/>
        <v>TVK ImportBaskısız 30cm TB 12pcs 1020g</v>
      </c>
    </row>
    <row r="13" spans="1:31" ht="31.5" x14ac:dyDescent="0.25">
      <c r="A13" s="10" t="s">
        <v>85</v>
      </c>
      <c r="B13" s="11" t="s">
        <v>302</v>
      </c>
      <c r="C13" s="12">
        <f>IF(B13="","",VLOOKUP(AD13,Varsayımlar!$B:$Q,3,0))</f>
        <v>8698829380698</v>
      </c>
      <c r="D13" s="12"/>
      <c r="E13" s="45" t="s">
        <v>310</v>
      </c>
      <c r="F13" s="11"/>
      <c r="G13" s="32" t="s">
        <v>68</v>
      </c>
      <c r="H13" s="11" t="str">
        <f>IF(B13="","",VLOOKUP(AD13,Varsayımlar!$B:$Q,5,0))</f>
        <v>Baskısız 30cm</v>
      </c>
      <c r="I13" s="11" t="str">
        <f>IF(B13="","",VLOOKUP(AD13,Varsayımlar!B:T,19,0))</f>
        <v>Tüm Bilgiler Ispanaklı</v>
      </c>
      <c r="J13" s="11" t="str">
        <f>IF(B13="","",VLOOKUP(AD13,Varsayımlar!$B:$Q,6,0))</f>
        <v>Ispanaklı</v>
      </c>
      <c r="K13" s="11">
        <v>144</v>
      </c>
      <c r="L13" s="11"/>
      <c r="M13" s="11" t="str">
        <f>IFERROR(IF(B13="","",K13/VLOOKUP(AD13,Varsayımlar!B:R,17,0)),"")</f>
        <v/>
      </c>
      <c r="N13" s="11"/>
      <c r="O13" s="11">
        <v>3</v>
      </c>
      <c r="P13" s="11">
        <f>IF(B13="","",VLOOKUP(AD13,Varsayımlar!$B:$Q,7,0)*K13)</f>
        <v>1440</v>
      </c>
      <c r="Q13" s="11">
        <f>IF(B13="","",VLOOKUP(AD13,Varsayımlar!$B:$Q,8,0))</f>
        <v>30</v>
      </c>
      <c r="R13" s="11" t="str">
        <f>IF(B13="","",VLOOKUP(AD13,Varsayımlar!$B:$Q,9,0))</f>
        <v>Irak soft</v>
      </c>
      <c r="S13" s="11">
        <f>IF(B13="","",VLOOKUP(AD13,Varsayımlar!$B:$Q,10,0))</f>
        <v>12</v>
      </c>
      <c r="T13" s="11">
        <f>IF(B13="","",VLOOKUP(AD13,Varsayımlar!$B:$Q,11,0))</f>
        <v>10</v>
      </c>
      <c r="U13" s="11">
        <f>IF(B13="","",VLOOKUP(AD13,Varsayımlar!$B:$Q,12,0))</f>
        <v>1020</v>
      </c>
      <c r="V13" s="11" t="str">
        <f>IF(B13="","",VLOOKUP(AD13,Varsayımlar!$B:$Q,13,0))</f>
        <v>Yurtdışı</v>
      </c>
      <c r="W13" s="11">
        <f>IF(B13="","",VLOOKUP(AD13,Varsayımlar!$B:$Q,14,0))</f>
        <v>6</v>
      </c>
      <c r="X13" s="13">
        <v>46190</v>
      </c>
      <c r="Y13" s="13">
        <v>46373</v>
      </c>
      <c r="Z13" s="11" t="s">
        <v>337</v>
      </c>
      <c r="AA13" s="11" t="str">
        <f>IF(B13="","",VLOOKUP(AD13,Varsayımlar!$B:$Q,15,0))</f>
        <v>30cm Kolisi-Etiketli</v>
      </c>
      <c r="AB13" s="11" t="str">
        <f>IF(B13="","",VLOOKUP(AD13,Varsayımlar!$B:$Q,16,0))</f>
        <v>29-31 cm</v>
      </c>
      <c r="AC13" s="11">
        <f>IF(B13="","",VLOOKUP(Sayfa1!AD13,Varsayımlar!B:S,18,0))</f>
        <v>0</v>
      </c>
      <c r="AD13" s="4" t="str">
        <f t="shared" si="1"/>
        <v>TVK ImportBaskısız 30cm Ispanaklı 12pcs 1020g</v>
      </c>
    </row>
    <row r="14" spans="1:31" ht="47.25" x14ac:dyDescent="0.25">
      <c r="A14" s="10" t="s">
        <v>86</v>
      </c>
      <c r="B14" s="29" t="s">
        <v>64</v>
      </c>
      <c r="C14" s="30">
        <f>IF(B14="","",VLOOKUP(AD14,Varsayımlar!$B:$Q,3,0))</f>
        <v>8698829380698</v>
      </c>
      <c r="D14" s="30"/>
      <c r="E14" s="33" t="s">
        <v>296</v>
      </c>
      <c r="F14" s="29"/>
      <c r="G14" s="42" t="s">
        <v>68</v>
      </c>
      <c r="H14" s="29" t="str">
        <f>IF(B14="","",VLOOKUP(AD14,Varsayımlar!$B:$Q,5,0))</f>
        <v>Tortillas 20cm Çok Tahıllı</v>
      </c>
      <c r="I14" s="29">
        <f>IF(B14="","",VLOOKUP(AD14,Varsayımlar!B:T,19,0))</f>
        <v>0</v>
      </c>
      <c r="J14" s="29" t="str">
        <f>IF(B14="","",VLOOKUP(AD14,Varsayımlar!$B:$Q,6,0))</f>
        <v>Çok Tahıllı</v>
      </c>
      <c r="K14" s="29">
        <v>225</v>
      </c>
      <c r="L14" s="29"/>
      <c r="M14" s="29">
        <f>IFERROR(IF(B14="","",K14/VLOOKUP(AD14,Varsayımlar!B:R,17,0)),"")</f>
        <v>1</v>
      </c>
      <c r="N14" s="29"/>
      <c r="O14" s="29">
        <v>26</v>
      </c>
      <c r="P14" s="29">
        <f>IF(B14="","",VLOOKUP(AD14,Varsayımlar!$B:$Q,7,0)*K14)</f>
        <v>3150</v>
      </c>
      <c r="Q14" s="29">
        <f>IF(B14="","",VLOOKUP(AD14,Varsayımlar!$B:$Q,8,0))</f>
        <v>20</v>
      </c>
      <c r="R14" s="29" t="str">
        <f>IF(B14="","",VLOOKUP(AD14,Varsayımlar!$B:$Q,9,0))</f>
        <v>Irak Soft</v>
      </c>
      <c r="S14" s="29">
        <f>IF(B14="","",VLOOKUP(AD14,Varsayımlar!$B:$Q,10,0))</f>
        <v>4</v>
      </c>
      <c r="T14" s="29">
        <f>IF(B14="","",VLOOKUP(AD14,Varsayımlar!$B:$Q,11,0))</f>
        <v>14</v>
      </c>
      <c r="U14" s="29">
        <f>IF(B14="","",VLOOKUP(AD14,Varsayımlar!$B:$Q,12,0))</f>
        <v>166</v>
      </c>
      <c r="V14" s="29" t="str">
        <f>IF(B14="","",VLOOKUP(AD14,Varsayımlar!$B:$Q,13,0))</f>
        <v>Yurtdışı</v>
      </c>
      <c r="W14" s="29">
        <f>IF(B14="","",VLOOKUP(AD14,Varsayımlar!$B:$Q,14,0))</f>
        <v>9</v>
      </c>
      <c r="X14" s="31">
        <v>46195</v>
      </c>
      <c r="Y14" s="31">
        <v>46468</v>
      </c>
      <c r="Z14" s="29" t="s">
        <v>338</v>
      </c>
      <c r="AA14" s="29" t="str">
        <f>IF(B14="","",VLOOKUP(AD14,Varsayımlar!$B:$Q,15,0))</f>
        <v>SİYAH KARE KOLİ-Üretim Tarihi Etiketli</v>
      </c>
      <c r="AB14" s="29" t="str">
        <f>IF(B14="","",VLOOKUP(AD14,Varsayımlar!$B:$Q,16,0))</f>
        <v>19-21 cm</v>
      </c>
      <c r="AC14" s="29">
        <f>IF(B14="","",VLOOKUP(Sayfa1!AD14,Varsayımlar!B:S,18,0))</f>
        <v>0</v>
      </c>
      <c r="AD14" s="4" t="str">
        <f t="shared" si="1"/>
        <v>SMART LLCTortillas 20cm Çok Tahıllı 4pcs 166g</v>
      </c>
    </row>
    <row r="15" spans="1:31" ht="47.25" x14ac:dyDescent="0.25">
      <c r="A15" s="10" t="s">
        <v>87</v>
      </c>
      <c r="B15" s="14" t="s">
        <v>64</v>
      </c>
      <c r="C15" s="15">
        <f>IF(B15="","",VLOOKUP(AD15,Varsayımlar!$B:$Q,3,0))</f>
        <v>8698829380698</v>
      </c>
      <c r="D15" s="15"/>
      <c r="E15" s="46" t="s">
        <v>296</v>
      </c>
      <c r="F15" s="14"/>
      <c r="G15" s="3" t="s">
        <v>68</v>
      </c>
      <c r="H15" s="14" t="str">
        <f>IF(B15="","",VLOOKUP(AD15,Varsayımlar!$B:$Q,5,0))</f>
        <v>Tortillas 20cm Çok Tahıllı</v>
      </c>
      <c r="I15" s="14">
        <f>IF(B15="","",VLOOKUP(AD15,Varsayımlar!B:T,19,0))</f>
        <v>0</v>
      </c>
      <c r="J15" s="14" t="str">
        <f>IF(B15="","",VLOOKUP(AD15,Varsayımlar!$B:$Q,6,0))</f>
        <v>Çok Tahıllı</v>
      </c>
      <c r="K15" s="14">
        <v>1800</v>
      </c>
      <c r="L15" s="14"/>
      <c r="M15" s="14">
        <f>IFERROR(IF(B15="","",K15/VLOOKUP(AD15,Varsayımlar!B:R,17,0)),"")</f>
        <v>8</v>
      </c>
      <c r="N15" s="14"/>
      <c r="O15" s="14">
        <v>15</v>
      </c>
      <c r="P15" s="14">
        <f>IF(B15="","",VLOOKUP(AD15,Varsayımlar!$B:$Q,7,0)*K15)</f>
        <v>25200</v>
      </c>
      <c r="Q15" s="14">
        <f>IF(B15="","",VLOOKUP(AD15,Varsayımlar!$B:$Q,8,0))</f>
        <v>20</v>
      </c>
      <c r="R15" s="14" t="str">
        <f>IF(B15="","",VLOOKUP(AD15,Varsayımlar!$B:$Q,9,0))</f>
        <v>Irak Soft</v>
      </c>
      <c r="S15" s="14">
        <f>IF(B15="","",VLOOKUP(AD15,Varsayımlar!$B:$Q,10,0))</f>
        <v>4</v>
      </c>
      <c r="T15" s="14">
        <f>IF(B15="","",VLOOKUP(AD15,Varsayımlar!$B:$Q,11,0))</f>
        <v>14</v>
      </c>
      <c r="U15" s="14">
        <f>IF(B15="","",VLOOKUP(AD15,Varsayımlar!$B:$Q,12,0))</f>
        <v>166</v>
      </c>
      <c r="V15" s="14" t="str">
        <f>IF(B15="","",VLOOKUP(AD15,Varsayımlar!$B:$Q,13,0))</f>
        <v>Yurtdışı</v>
      </c>
      <c r="W15" s="14">
        <f>IF(B15="","",VLOOKUP(AD15,Varsayımlar!$B:$Q,14,0))</f>
        <v>9</v>
      </c>
      <c r="X15" s="16">
        <v>46196</v>
      </c>
      <c r="Y15" s="16">
        <v>46469</v>
      </c>
      <c r="Z15" s="14" t="s">
        <v>339</v>
      </c>
      <c r="AA15" s="14" t="str">
        <f>IF(B15="","",VLOOKUP(AD15,Varsayımlar!$B:$Q,15,0))</f>
        <v>SİYAH KARE KOLİ-Üretim Tarihi Etiketli</v>
      </c>
      <c r="AB15" s="14" t="str">
        <f>IF(B15="","",VLOOKUP(AD15,Varsayımlar!$B:$Q,16,0))</f>
        <v>19-21 cm</v>
      </c>
      <c r="AC15" s="14">
        <f>IF(B15="","",VLOOKUP(Sayfa1!AD15,Varsayımlar!B:S,18,0))</f>
        <v>0</v>
      </c>
      <c r="AD15" s="4" t="str">
        <f t="shared" ref="AD15:AD19" si="2">IF(B15="","",CONCATENATE(B15,E15))</f>
        <v>SMART LLCTortillas 20cm Çok Tahıllı 4pcs 166g</v>
      </c>
    </row>
    <row r="16" spans="1:31" ht="47.25" x14ac:dyDescent="0.25">
      <c r="A16" s="10" t="s">
        <v>88</v>
      </c>
      <c r="B16" s="29" t="s">
        <v>64</v>
      </c>
      <c r="C16" s="30">
        <f>IF(B16="","",VLOOKUP(AD16,Varsayımlar!$B:$Q,3,0))</f>
        <v>8698829380698</v>
      </c>
      <c r="D16" s="30"/>
      <c r="E16" s="33" t="s">
        <v>65</v>
      </c>
      <c r="F16" s="29"/>
      <c r="G16" s="42" t="s">
        <v>68</v>
      </c>
      <c r="H16" s="29" t="str">
        <f>IF(B16="","",VLOOKUP(AD16,Varsayımlar!$B:$Q,5,0))</f>
        <v>TORTİLLAS 20CM (SAMAKAT BİLGİLERİ EKLİ)</v>
      </c>
      <c r="I16" s="29">
        <f>IF(B16="","",VLOOKUP(AD16,Varsayımlar!B:T,19,0))</f>
        <v>0</v>
      </c>
      <c r="J16" s="29" t="str">
        <f>IF(B16="","",VLOOKUP(AD16,Varsayımlar!$B:$Q,6,0))</f>
        <v>SADE</v>
      </c>
      <c r="K16" s="29">
        <v>6975</v>
      </c>
      <c r="L16" s="29"/>
      <c r="M16" s="29">
        <f>IFERROR(IF(B16="","",K16/VLOOKUP(AD16,Varsayımlar!B:R,17,0)),"")</f>
        <v>31</v>
      </c>
      <c r="N16" s="29"/>
      <c r="O16" s="29">
        <v>56</v>
      </c>
      <c r="P16" s="29">
        <f>IF(B16="","",VLOOKUP(AD16,Varsayımlar!$B:$Q,7,0)*K16)</f>
        <v>97650</v>
      </c>
      <c r="Q16" s="29">
        <f>IF(B16="","",VLOOKUP(AD16,Varsayımlar!$B:$Q,8,0))</f>
        <v>20</v>
      </c>
      <c r="R16" s="29" t="str">
        <f>IF(B16="","",VLOOKUP(AD16,Varsayımlar!$B:$Q,9,0))</f>
        <v>IRAK SOFT</v>
      </c>
      <c r="S16" s="29">
        <f>IF(B16="","",VLOOKUP(AD16,Varsayımlar!$B:$Q,10,0))</f>
        <v>4</v>
      </c>
      <c r="T16" s="29">
        <f>IF(B16="","",VLOOKUP(AD16,Varsayımlar!$B:$Q,11,0))</f>
        <v>14</v>
      </c>
      <c r="U16" s="29">
        <f>IF(B16="","",VLOOKUP(AD16,Varsayımlar!$B:$Q,12,0))</f>
        <v>166</v>
      </c>
      <c r="V16" s="29" t="str">
        <f>IF(B16="","",VLOOKUP(AD16,Varsayımlar!$B:$Q,13,0))</f>
        <v>YURTDIŞI</v>
      </c>
      <c r="W16" s="29">
        <f>IF(B16="","",VLOOKUP(AD16,Varsayımlar!$B:$Q,14,0))</f>
        <v>9</v>
      </c>
      <c r="X16" s="31">
        <v>46195</v>
      </c>
      <c r="Y16" s="31">
        <v>46468</v>
      </c>
      <c r="Z16" s="29">
        <v>26062220</v>
      </c>
      <c r="AA16" s="29" t="str">
        <f>IF(B16="","",VLOOKUP(AD16,Varsayımlar!$B:$Q,15,0))</f>
        <v>SİYAH KARE KOLİ- Üretim Tarihi Etiketli</v>
      </c>
      <c r="AB16" s="29" t="str">
        <f>IF(B16="","",VLOOKUP(AD16,Varsayımlar!$B:$Q,16,0))</f>
        <v>19-21 CM</v>
      </c>
      <c r="AC16" s="29">
        <f>IF(B16="","",VLOOKUP(Sayfa1!AD16,Varsayımlar!B:S,18,0))</f>
        <v>0</v>
      </c>
      <c r="AD16" s="4" t="str">
        <f t="shared" si="2"/>
        <v>SMART LLCTORTİLLAS SAMAKAT 20CM 166G</v>
      </c>
    </row>
    <row r="17" spans="1:30" ht="31.5" x14ac:dyDescent="0.25">
      <c r="A17" s="10" t="s">
        <v>89</v>
      </c>
      <c r="B17" s="14" t="s">
        <v>64</v>
      </c>
      <c r="C17" s="15">
        <f>IF(B17="","",VLOOKUP(AD17,Varsayımlar!$B:$Q,3,0))</f>
        <v>8698829380698</v>
      </c>
      <c r="D17" s="15"/>
      <c r="E17" s="46" t="s">
        <v>176</v>
      </c>
      <c r="F17" s="14"/>
      <c r="G17" s="3" t="s">
        <v>68</v>
      </c>
      <c r="H17" s="14" t="str">
        <f>IF(B17="","",VLOOKUP(AD17,Varsayımlar!$B:$Q,5,0))</f>
        <v>Tortillas 20cm (Samakat Bilgileri Ekli)</v>
      </c>
      <c r="I17" s="14">
        <f>IF(B17="","",VLOOKUP(AD17,Varsayımlar!B:T,19,0))</f>
        <v>0</v>
      </c>
      <c r="J17" s="14" t="str">
        <f>IF(B17="","",VLOOKUP(AD17,Varsayımlar!$B:$Q,6,0))</f>
        <v>PEYNİRLİ</v>
      </c>
      <c r="K17" s="14">
        <v>2925</v>
      </c>
      <c r="L17" s="14"/>
      <c r="M17" s="14">
        <f>IFERROR(IF(B17="","",K17/VLOOKUP(AD17,Varsayımlar!B:R,17,0)),"")</f>
        <v>13</v>
      </c>
      <c r="N17" s="14"/>
      <c r="O17" s="14">
        <v>24</v>
      </c>
      <c r="P17" s="14">
        <f>IF(B17="","",VLOOKUP(AD17,Varsayımlar!$B:$Q,7,0)*K17)</f>
        <v>40950</v>
      </c>
      <c r="Q17" s="14">
        <f>IF(B17="","",VLOOKUP(AD17,Varsayımlar!$B:$Q,8,0))</f>
        <v>20</v>
      </c>
      <c r="R17" s="14" t="str">
        <f>IF(B17="","",VLOOKUP(AD17,Varsayımlar!$B:$Q,9,0))</f>
        <v>IRAK SOFT-AT</v>
      </c>
      <c r="S17" s="14">
        <f>IF(B17="","",VLOOKUP(AD17,Varsayımlar!$B:$Q,10,0))</f>
        <v>4</v>
      </c>
      <c r="T17" s="14">
        <f>IF(B17="","",VLOOKUP(AD17,Varsayımlar!$B:$Q,11,0))</f>
        <v>14</v>
      </c>
      <c r="U17" s="14">
        <f>IF(B17="","",VLOOKUP(AD17,Varsayımlar!$B:$Q,12,0))</f>
        <v>166</v>
      </c>
      <c r="V17" s="14" t="str">
        <f>IF(B17="","",VLOOKUP(AD17,Varsayımlar!$B:$Q,13,0))</f>
        <v>YURTDIŞI</v>
      </c>
      <c r="W17" s="14">
        <f>IF(B17="","",VLOOKUP(AD17,Varsayımlar!$B:$Q,14,0))</f>
        <v>9</v>
      </c>
      <c r="X17" s="16">
        <v>46196</v>
      </c>
      <c r="Y17" s="16">
        <v>46469</v>
      </c>
      <c r="Z17" s="14" t="s">
        <v>340</v>
      </c>
      <c r="AA17" s="14" t="str">
        <f>IF(B17="","",VLOOKUP(AD17,Varsayımlar!$B:$Q,15,0))</f>
        <v>Kare Koli-Üretim Tarihli Etiket</v>
      </c>
      <c r="AB17" s="14" t="str">
        <f>IF(B17="","",VLOOKUP(AD17,Varsayımlar!$B:$Q,16,0))</f>
        <v>19-21 cm</v>
      </c>
      <c r="AC17" s="14">
        <f>IF(B17="","",VLOOKUP(Sayfa1!AD17,Varsayımlar!B:S,18,0))</f>
        <v>0</v>
      </c>
      <c r="AD17" s="4" t="str">
        <f t="shared" si="2"/>
        <v>SMART LLCTortillas 20cm Peynirli 4pcs 166g</v>
      </c>
    </row>
    <row r="18" spans="1:30" ht="63" x14ac:dyDescent="0.25">
      <c r="A18" s="10" t="s">
        <v>90</v>
      </c>
      <c r="B18" s="45" t="s">
        <v>218</v>
      </c>
      <c r="C18" s="12">
        <f>IF(B18="","",VLOOKUP(AD18,Varsayımlar!$B:$Q,3,0))</f>
        <v>8698829380698</v>
      </c>
      <c r="D18" s="12" t="s">
        <v>159</v>
      </c>
      <c r="E18" s="45" t="s">
        <v>219</v>
      </c>
      <c r="F18" s="11">
        <v>26042906</v>
      </c>
      <c r="G18" s="32"/>
      <c r="H18" s="11" t="str">
        <f>IF(B18="","",VLOOKUP(AD18,Varsayımlar!$B:$Q,5,0))</f>
        <v xml:space="preserve">Tortillas 30cm Sade </v>
      </c>
      <c r="I18" s="11" t="str">
        <f>IF(B18="","",VLOOKUP(AD18,Varsayımlar!B:T,19,0))</f>
        <v>Barkod üzerine-Bulgarca Barkodlu içerik etiketi (012)</v>
      </c>
      <c r="J18" s="11" t="str">
        <f>IF(B18="","",VLOOKUP(AD18,Varsayımlar!$B:$Q,6,0))</f>
        <v>SADE</v>
      </c>
      <c r="K18" s="11">
        <v>120</v>
      </c>
      <c r="L18" s="11"/>
      <c r="M18" s="11">
        <f>IFERROR(IF(B18="","",K18/VLOOKUP(AD18,Varsayımlar!B:R,17,0)),"")</f>
        <v>2</v>
      </c>
      <c r="N18" s="11"/>
      <c r="O18" s="11">
        <v>2</v>
      </c>
      <c r="P18" s="11">
        <f>IF(B18="","",VLOOKUP(AD18,Varsayımlar!$B:$Q,7,0)*K18)</f>
        <v>720</v>
      </c>
      <c r="Q18" s="11">
        <f>IF(B18="","",VLOOKUP(AD18,Varsayımlar!$B:$Q,8,0))</f>
        <v>30</v>
      </c>
      <c r="R18" s="11" t="str">
        <f>IF(B18="","",VLOOKUP(AD18,Varsayımlar!$B:$Q,9,0))</f>
        <v>Irak Soft</v>
      </c>
      <c r="S18" s="11">
        <f>IF(B18="","",VLOOKUP(AD18,Varsayımlar!$B:$Q,10,0))</f>
        <v>18</v>
      </c>
      <c r="T18" s="11">
        <f>IF(B18="","",VLOOKUP(AD18,Varsayımlar!$B:$Q,11,0))</f>
        <v>6</v>
      </c>
      <c r="U18" s="11">
        <f>IF(B18="","",VLOOKUP(AD18,Varsayımlar!$B:$Q,12,0))</f>
        <v>1620</v>
      </c>
      <c r="V18" s="11" t="str">
        <f>IF(B18="","",VLOOKUP(AD18,Varsayımlar!$B:$Q,13,0))</f>
        <v>Yurtdışı</v>
      </c>
      <c r="W18" s="11">
        <f>IF(B18="","",VLOOKUP(AD18,Varsayımlar!$B:$Q,14,0))</f>
        <v>9</v>
      </c>
      <c r="X18" s="13"/>
      <c r="Y18" s="13"/>
      <c r="Z18" s="11"/>
      <c r="AA18" s="11" t="str">
        <f>IF(B18="","",VLOOKUP(AD18,Varsayımlar!$B:$Q,15,0))</f>
        <v>30cm Lacivert Koli- Bulgarca Etiket</v>
      </c>
      <c r="AB18" s="11" t="str">
        <f>IF(B18="","",VLOOKUP(AD18,Varsayımlar!$B:$Q,16,0))</f>
        <v>29-31 cm</v>
      </c>
      <c r="AC18" s="11" t="str">
        <f>IF(B18="","",VLOOKUP(Sayfa1!AD18,Varsayımlar!B:S,18,0))</f>
        <v>95x130cm</v>
      </c>
      <c r="AD18" s="4" t="str">
        <f t="shared" si="2"/>
        <v>TASTE LAND-BULGARİSTANTortillas 30cm Sade 18pcs 1620g</v>
      </c>
    </row>
    <row r="19" spans="1:30" ht="78.75" x14ac:dyDescent="0.25">
      <c r="A19" s="10" t="s">
        <v>91</v>
      </c>
      <c r="B19" s="45" t="s">
        <v>218</v>
      </c>
      <c r="C19" s="12">
        <f>IF(B19="","",VLOOKUP(AD19,Varsayımlar!$B:$Q,3,0))</f>
        <v>8698829380698</v>
      </c>
      <c r="D19" s="12" t="s">
        <v>159</v>
      </c>
      <c r="E19" s="45" t="s">
        <v>222</v>
      </c>
      <c r="F19" s="11">
        <v>26042906</v>
      </c>
      <c r="G19" s="32"/>
      <c r="H19" s="11" t="str">
        <f>IF(B19="","",VLOOKUP(AD19,Varsayımlar!$B:$Q,5,0))</f>
        <v xml:space="preserve">Tortillas 30cm Tam Buğday </v>
      </c>
      <c r="I19" s="11" t="str">
        <f>IF(B19="","",VLOOKUP(AD19,Varsayımlar!B:T,19,0))</f>
        <v>Barkod üzerine-Bulgarca Barkodlu TB içerik etiketi (029)</v>
      </c>
      <c r="J19" s="11" t="str">
        <f>IF(B19="","",VLOOKUP(AD19,Varsayımlar!$B:$Q,6,0))</f>
        <v>Tam Buğdaylı</v>
      </c>
      <c r="K19" s="11">
        <v>60</v>
      </c>
      <c r="L19" s="11"/>
      <c r="M19" s="11">
        <f>IFERROR(IF(B19="","",K19/VLOOKUP(AD19,Varsayımlar!B:R,17,0)),"")</f>
        <v>1</v>
      </c>
      <c r="N19" s="11"/>
      <c r="O19" s="11">
        <v>1</v>
      </c>
      <c r="P19" s="11">
        <f>IF(B19="","",VLOOKUP(AD19,Varsayımlar!$B:$Q,7,0)*K19)</f>
        <v>360</v>
      </c>
      <c r="Q19" s="11">
        <f>IF(B19="","",VLOOKUP(AD19,Varsayımlar!$B:$Q,8,0))</f>
        <v>30</v>
      </c>
      <c r="R19" s="11" t="str">
        <f>IF(B19="","",VLOOKUP(AD19,Varsayımlar!$B:$Q,9,0))</f>
        <v>Irak Soft</v>
      </c>
      <c r="S19" s="11">
        <f>IF(B19="","",VLOOKUP(AD19,Varsayımlar!$B:$Q,10,0))</f>
        <v>18</v>
      </c>
      <c r="T19" s="11">
        <f>IF(B19="","",VLOOKUP(AD19,Varsayımlar!$B:$Q,11,0))</f>
        <v>6</v>
      </c>
      <c r="U19" s="11">
        <f>IF(B19="","",VLOOKUP(AD19,Varsayımlar!$B:$Q,12,0))</f>
        <v>1620</v>
      </c>
      <c r="V19" s="11" t="str">
        <f>IF(B19="","",VLOOKUP(AD19,Varsayımlar!$B:$Q,13,0))</f>
        <v>Yurtdışı</v>
      </c>
      <c r="W19" s="11">
        <f>IF(B19="","",VLOOKUP(AD19,Varsayımlar!$B:$Q,14,0))</f>
        <v>9</v>
      </c>
      <c r="X19" s="13"/>
      <c r="Y19" s="13"/>
      <c r="Z19" s="11"/>
      <c r="AA19" s="11" t="str">
        <f>IF(B19="","",VLOOKUP(AD19,Varsayımlar!$B:$Q,15,0))</f>
        <v>30cm Lacivert Koli- Bulgarca TB Etiket</v>
      </c>
      <c r="AB19" s="11" t="str">
        <f>IF(B19="","",VLOOKUP(AD19,Varsayımlar!$B:$Q,16,0))</f>
        <v>29-31 cm</v>
      </c>
      <c r="AC19" s="11" t="str">
        <f>IF(B19="","",VLOOKUP(Sayfa1!AD19,Varsayımlar!B:S,18,0))</f>
        <v>95x130cm</v>
      </c>
      <c r="AD19" s="4" t="str">
        <f t="shared" si="2"/>
        <v>TASTE LAND-BULGARİSTANTortillas 30cm Tam Buğday 18pcs 1620g</v>
      </c>
    </row>
    <row r="20" spans="1:30" ht="78.75" x14ac:dyDescent="0.25">
      <c r="A20" s="10" t="s">
        <v>92</v>
      </c>
      <c r="B20" s="36" t="s">
        <v>218</v>
      </c>
      <c r="C20" s="27">
        <f>IF(B20="","",VLOOKUP(AD20,Varsayımlar!$B:$Q,3,0))</f>
        <v>8698829380698</v>
      </c>
      <c r="D20" s="27" t="s">
        <v>161</v>
      </c>
      <c r="E20" s="36" t="s">
        <v>222</v>
      </c>
      <c r="F20" s="26" t="s">
        <v>341</v>
      </c>
      <c r="G20" s="43"/>
      <c r="H20" s="26" t="str">
        <f>IF(B20="","",VLOOKUP(AD20,Varsayımlar!$B:$Q,5,0))</f>
        <v xml:space="preserve">Tortillas 30cm Tam Buğday </v>
      </c>
      <c r="I20" s="26" t="str">
        <f>IF(B20="","",VLOOKUP(AD20,Varsayımlar!B:T,19,0))</f>
        <v>Barkod üzerine-Bulgarca Barkodlu TB içerik etiketi (029)</v>
      </c>
      <c r="J20" s="26" t="str">
        <f>IF(B20="","",VLOOKUP(AD20,Varsayımlar!$B:$Q,6,0))</f>
        <v>Tam Buğdaylı</v>
      </c>
      <c r="K20" s="26">
        <v>60</v>
      </c>
      <c r="L20" s="26"/>
      <c r="M20" s="26">
        <f>IFERROR(IF(B20="","",K20/VLOOKUP(AD20,Varsayımlar!B:R,17,0)),"")</f>
        <v>1</v>
      </c>
      <c r="N20" s="26"/>
      <c r="O20" s="26">
        <v>1</v>
      </c>
      <c r="P20" s="26">
        <f>IF(B20="","",VLOOKUP(AD20,Varsayımlar!$B:$Q,7,0)*K20)</f>
        <v>360</v>
      </c>
      <c r="Q20" s="26">
        <f>IF(B20="","",VLOOKUP(AD20,Varsayımlar!$B:$Q,8,0))</f>
        <v>30</v>
      </c>
      <c r="R20" s="26" t="str">
        <f>IF(B20="","",VLOOKUP(AD20,Varsayımlar!$B:$Q,9,0))</f>
        <v>Irak Soft</v>
      </c>
      <c r="S20" s="26">
        <f>IF(B20="","",VLOOKUP(AD20,Varsayımlar!$B:$Q,10,0))</f>
        <v>18</v>
      </c>
      <c r="T20" s="26">
        <f>IF(B20="","",VLOOKUP(AD20,Varsayımlar!$B:$Q,11,0))</f>
        <v>6</v>
      </c>
      <c r="U20" s="26">
        <f>IF(B20="","",VLOOKUP(AD20,Varsayımlar!$B:$Q,12,0))</f>
        <v>1620</v>
      </c>
      <c r="V20" s="26" t="str">
        <f>IF(B20="","",VLOOKUP(AD20,Varsayımlar!$B:$Q,13,0))</f>
        <v>Yurtdışı</v>
      </c>
      <c r="W20" s="26">
        <f>IF(B20="","",VLOOKUP(AD20,Varsayımlar!$B:$Q,14,0))</f>
        <v>9</v>
      </c>
      <c r="X20" s="28"/>
      <c r="Y20" s="28"/>
      <c r="Z20" s="26"/>
      <c r="AA20" s="26" t="str">
        <f>IF(B20="","",VLOOKUP(AD20,Varsayımlar!$B:$Q,15,0))</f>
        <v>30cm Lacivert Koli- Bulgarca TB Etiket</v>
      </c>
      <c r="AB20" s="26" t="str">
        <f>IF(B20="","",VLOOKUP(AD20,Varsayımlar!$B:$Q,16,0))</f>
        <v>29-31 cm</v>
      </c>
      <c r="AC20" s="26" t="str">
        <f>IF(B20="","",VLOOKUP(Sayfa1!AD20,Varsayımlar!B:S,18,0))</f>
        <v>95x130cm</v>
      </c>
      <c r="AD20" s="4" t="str">
        <f t="shared" ref="AD20" si="3">IF(B20="","",CONCATENATE(B20,E20))</f>
        <v>TASTE LAND-BULGARİSTANTortillas 30cm Tam Buğday 18pcs 1620g</v>
      </c>
    </row>
    <row r="21" spans="1:30" ht="47.25" x14ac:dyDescent="0.25">
      <c r="A21" s="10" t="s">
        <v>93</v>
      </c>
      <c r="B21" s="36" t="s">
        <v>218</v>
      </c>
      <c r="C21" s="27">
        <f>IF(B21="","",VLOOKUP(AD21,Varsayımlar!$B:$Q,3,0))</f>
        <v>8698829380698</v>
      </c>
      <c r="D21" s="27" t="s">
        <v>161</v>
      </c>
      <c r="E21" s="36" t="s">
        <v>252</v>
      </c>
      <c r="F21" s="26" t="s">
        <v>341</v>
      </c>
      <c r="G21" s="43"/>
      <c r="H21" s="26" t="str">
        <f>IF(B21="","",VLOOKUP(AD21,Varsayımlar!$B:$Q,5,0))</f>
        <v xml:space="preserve">Tortillas 20cm Sade </v>
      </c>
      <c r="I21" s="26" t="str">
        <f>IF(B21="","",VLOOKUP(AD21,Varsayımlar!B:T,19,0))</f>
        <v>Barkod üzerine Barkod Etiketi (104)</v>
      </c>
      <c r="J21" s="26" t="str">
        <f>IF(B21="","",VLOOKUP(AD21,Varsayımlar!$B:$Q,6,0))</f>
        <v>SADE</v>
      </c>
      <c r="K21" s="26">
        <v>120</v>
      </c>
      <c r="L21" s="26"/>
      <c r="M21" s="26">
        <f>IFERROR(IF(B21="","",K21/VLOOKUP(AD21,Varsayımlar!B:R,17,0)),"")</f>
        <v>1</v>
      </c>
      <c r="N21" s="26"/>
      <c r="O21" s="26">
        <v>2</v>
      </c>
      <c r="P21" s="26">
        <f>IF(B21="","",VLOOKUP(AD21,Varsayımlar!$B:$Q,7,0)*K21)</f>
        <v>2160</v>
      </c>
      <c r="Q21" s="26">
        <f>IF(B21="","",VLOOKUP(AD21,Varsayımlar!$B:$Q,8,0))</f>
        <v>20</v>
      </c>
      <c r="R21" s="26" t="str">
        <f>IF(B21="","",VLOOKUP(AD21,Varsayımlar!$B:$Q,9,0))</f>
        <v>Irak Soft</v>
      </c>
      <c r="S21" s="26">
        <f>IF(B21="","",VLOOKUP(AD21,Varsayımlar!$B:$Q,10,0))</f>
        <v>6</v>
      </c>
      <c r="T21" s="26">
        <f>IF(B21="","",VLOOKUP(AD21,Varsayımlar!$B:$Q,11,0))</f>
        <v>18</v>
      </c>
      <c r="U21" s="26">
        <f>IF(B21="","",VLOOKUP(AD21,Varsayımlar!$B:$Q,12,0))</f>
        <v>270</v>
      </c>
      <c r="V21" s="26" t="str">
        <f>IF(B21="","",VLOOKUP(AD21,Varsayımlar!$B:$Q,13,0))</f>
        <v>Yurtdışı</v>
      </c>
      <c r="W21" s="26">
        <f>IF(B21="","",VLOOKUP(AD21,Varsayımlar!$B:$Q,14,0))</f>
        <v>9</v>
      </c>
      <c r="X21" s="28"/>
      <c r="Y21" s="28"/>
      <c r="Z21" s="26"/>
      <c r="AA21" s="26" t="str">
        <f>IF(B21="","",VLOOKUP(AD21,Varsayımlar!$B:$Q,15,0))</f>
        <v>20cm Lacivert-Bulgarca Etiket</v>
      </c>
      <c r="AB21" s="26" t="str">
        <f>IF(B21="","",VLOOKUP(AD21,Varsayımlar!$B:$Q,16,0))</f>
        <v>19-21 cm</v>
      </c>
      <c r="AC21" s="26" t="str">
        <f>IF(B21="","",VLOOKUP(Sayfa1!AD21,Varsayımlar!B:S,18,0))</f>
        <v>100x120cm-Epal+Epal</v>
      </c>
      <c r="AD21" s="4" t="str">
        <f t="shared" ref="AD21" si="4">IF(B21="","",CONCATENATE(B21,E21))</f>
        <v>TASTE LAND-BULGARİSTANTortillas 20cm Sade 6pcs 270g</v>
      </c>
    </row>
    <row r="22" spans="1:30" ht="47.25" x14ac:dyDescent="0.25">
      <c r="A22" s="10" t="s">
        <v>135</v>
      </c>
      <c r="B22" s="33" t="s">
        <v>268</v>
      </c>
      <c r="C22" s="30">
        <f>IF(B22="","",VLOOKUP(AD22,Varsayımlar!$B:$Q,3,0))</f>
        <v>8698829380698</v>
      </c>
      <c r="D22" s="30" t="s">
        <v>159</v>
      </c>
      <c r="E22" s="33" t="s">
        <v>342</v>
      </c>
      <c r="F22" s="29">
        <v>20250825</v>
      </c>
      <c r="G22" s="42" t="s">
        <v>68</v>
      </c>
      <c r="H22" s="29" t="str">
        <f>IF(B22="","",VLOOKUP(AD22,Varsayımlar!$B:$Q,5,0))</f>
        <v>Tortillas 25cm Sade</v>
      </c>
      <c r="I22" s="29">
        <f>IF(B22="","",VLOOKUP(AD22,Varsayımlar!B:T,19,0))</f>
        <v>0</v>
      </c>
      <c r="J22" s="29" t="str">
        <f>IF(B22="","",VLOOKUP(AD22,Varsayımlar!$B:$Q,6,0))</f>
        <v>SADE</v>
      </c>
      <c r="K22" s="29">
        <v>672</v>
      </c>
      <c r="L22" s="29"/>
      <c r="M22" s="29">
        <f>IFERROR(IF(B22="","",K22/VLOOKUP(AD22,Varsayımlar!B:R,17,0)),"")</f>
        <v>8</v>
      </c>
      <c r="N22" s="29"/>
      <c r="O22" s="29"/>
      <c r="P22" s="29">
        <f>IF(B22="","",VLOOKUP(AD22,Varsayımlar!$B:$Q,7,0)*K22)</f>
        <v>20160</v>
      </c>
      <c r="Q22" s="29">
        <f>IF(B22="","",VLOOKUP(AD22,Varsayımlar!$B:$Q,8,0))</f>
        <v>25</v>
      </c>
      <c r="R22" s="29" t="str">
        <f>IF(B22="","",VLOOKUP(AD22,Varsayımlar!$B:$Q,9,0))</f>
        <v>Soft-PA3</v>
      </c>
      <c r="S22" s="29">
        <f>IF(B22="","",VLOOKUP(AD22,Varsayımlar!$B:$Q,10,0))</f>
        <v>4</v>
      </c>
      <c r="T22" s="29">
        <f>IF(B22="","",VLOOKUP(AD22,Varsayımlar!$B:$Q,11,0))</f>
        <v>30</v>
      </c>
      <c r="U22" s="29">
        <f>IF(B22="","",VLOOKUP(AD22,Varsayımlar!$B:$Q,12,0))</f>
        <v>240</v>
      </c>
      <c r="V22" s="29" t="str">
        <f>IF(B22="","",VLOOKUP(AD22,Varsayımlar!$B:$Q,13,0))</f>
        <v>Yurtdışı</v>
      </c>
      <c r="W22" s="29">
        <f>IF(B22="","",VLOOKUP(AD22,Varsayımlar!$B:$Q,14,0))</f>
        <v>12</v>
      </c>
      <c r="X22" s="31"/>
      <c r="Y22" s="31"/>
      <c r="Z22" s="29"/>
      <c r="AA22" s="29" t="str">
        <f>IF(B22="","",VLOOKUP(AD22,Varsayımlar!$B:$Q,15,0))</f>
        <v>25cm Kolisi-Etiketli</v>
      </c>
      <c r="AB22" s="29" t="str">
        <f>IF(B22="","",VLOOKUP(AD22,Varsayımlar!$B:$Q,16,0))</f>
        <v>24-26 cm (Macca Hetto Inkjet Uzun Tarih)</v>
      </c>
      <c r="AC22" s="29" t="str">
        <f>IF(B22="","",VLOOKUP(Sayfa1!AD22,Varsayımlar!B:S,18,0))</f>
        <v>80x120cm</v>
      </c>
      <c r="AD22" s="4" t="str">
        <f t="shared" ref="AD22:AD45" si="5">IF(B22="","",CONCATENATE(B22,E22))</f>
        <v>LAIKYUZHN-BELARUSTortillas 25cm Sade 4pcs 240g</v>
      </c>
    </row>
    <row r="23" spans="1:30" ht="47.25" x14ac:dyDescent="0.25">
      <c r="A23" s="10" t="s">
        <v>136</v>
      </c>
      <c r="B23" s="33" t="s">
        <v>268</v>
      </c>
      <c r="C23" s="30">
        <f>IF(B23="","",VLOOKUP(AD23,Varsayımlar!$B:$Q,3,0))</f>
        <v>8698829380698</v>
      </c>
      <c r="D23" s="30" t="s">
        <v>159</v>
      </c>
      <c r="E23" s="33" t="s">
        <v>269</v>
      </c>
      <c r="F23" s="29">
        <v>20250825</v>
      </c>
      <c r="G23" s="42" t="s">
        <v>68</v>
      </c>
      <c r="H23" s="29" t="str">
        <f>IF(B23="","",VLOOKUP(AD23,Varsayımlar!$B:$Q,5,0))</f>
        <v>Tortillas 25cm Tam Buğday</v>
      </c>
      <c r="I23" s="29">
        <f>IF(B23="","",VLOOKUP(AD23,Varsayımlar!B:T,19,0))</f>
        <v>0</v>
      </c>
      <c r="J23" s="29" t="str">
        <f>IF(B23="","",VLOOKUP(AD23,Varsayımlar!$B:$Q,6,0))</f>
        <v>Tam Buğdaylı</v>
      </c>
      <c r="K23" s="29">
        <v>252</v>
      </c>
      <c r="L23" s="29"/>
      <c r="M23" s="29">
        <f>IFERROR(IF(B23="","",K23/VLOOKUP(AD23,Varsayımlar!B:R,17,0)),"")</f>
        <v>3</v>
      </c>
      <c r="N23" s="29"/>
      <c r="O23" s="29"/>
      <c r="P23" s="29">
        <f>IF(B23="","",VLOOKUP(AD23,Varsayımlar!$B:$Q,7,0)*K23)</f>
        <v>7560</v>
      </c>
      <c r="Q23" s="29">
        <f>IF(B23="","",VLOOKUP(AD23,Varsayımlar!$B:$Q,8,0))</f>
        <v>25</v>
      </c>
      <c r="R23" s="29" t="str">
        <f>IF(B23="","",VLOOKUP(AD23,Varsayımlar!$B:$Q,9,0))</f>
        <v>Soft-PA3</v>
      </c>
      <c r="S23" s="29">
        <f>IF(B23="","",VLOOKUP(AD23,Varsayımlar!$B:$Q,10,0))</f>
        <v>4</v>
      </c>
      <c r="T23" s="29">
        <f>IF(B23="","",VLOOKUP(AD23,Varsayımlar!$B:$Q,11,0))</f>
        <v>30</v>
      </c>
      <c r="U23" s="29">
        <f>IF(B23="","",VLOOKUP(AD23,Varsayımlar!$B:$Q,12,0))</f>
        <v>240</v>
      </c>
      <c r="V23" s="29" t="str">
        <f>IF(B23="","",VLOOKUP(AD23,Varsayımlar!$B:$Q,13,0))</f>
        <v>Yurtdışı</v>
      </c>
      <c r="W23" s="29">
        <f>IF(B23="","",VLOOKUP(AD23,Varsayımlar!$B:$Q,14,0))</f>
        <v>12</v>
      </c>
      <c r="X23" s="31"/>
      <c r="Y23" s="31"/>
      <c r="Z23" s="29"/>
      <c r="AA23" s="29" t="str">
        <f>IF(B23="","",VLOOKUP(AD23,Varsayımlar!$B:$Q,15,0))</f>
        <v>25cm Kolisi-Etiketli</v>
      </c>
      <c r="AB23" s="29" t="str">
        <f>IF(B23="","",VLOOKUP(AD23,Varsayımlar!$B:$Q,16,0))</f>
        <v>24-26 cm (Macca Hetto Inkjet Uzun Tarih)</v>
      </c>
      <c r="AC23" s="29" t="str">
        <f>IF(B23="","",VLOOKUP(Sayfa1!AD23,Varsayımlar!B:S,18,0))</f>
        <v>80x120cm</v>
      </c>
      <c r="AD23" s="4" t="str">
        <f t="shared" si="5"/>
        <v>LAIKYUZHN-BELARUSTortillas 25cm Tam buğday 4pcs 240g</v>
      </c>
    </row>
    <row r="24" spans="1:30" ht="47.25" x14ac:dyDescent="0.25">
      <c r="A24" s="10" t="s">
        <v>137</v>
      </c>
      <c r="B24" s="33" t="s">
        <v>268</v>
      </c>
      <c r="C24" s="30">
        <f>IF(B24="","",VLOOKUP(AD24,Varsayımlar!$B:$Q,3,0))</f>
        <v>8698829380698</v>
      </c>
      <c r="D24" s="30" t="s">
        <v>159</v>
      </c>
      <c r="E24" s="33" t="s">
        <v>274</v>
      </c>
      <c r="F24" s="29">
        <v>20250825</v>
      </c>
      <c r="G24" s="42" t="s">
        <v>68</v>
      </c>
      <c r="H24" s="29" t="str">
        <f>IF(B24="","",VLOOKUP(AD24,Varsayımlar!$B:$Q,5,0))</f>
        <v>Tortillas 25cm Domatesli</v>
      </c>
      <c r="I24" s="29">
        <f>IF(B24="","",VLOOKUP(AD24,Varsayımlar!B:T,19,0))</f>
        <v>0</v>
      </c>
      <c r="J24" s="29" t="str">
        <f>IF(B24="","",VLOOKUP(AD24,Varsayımlar!$B:$Q,6,0))</f>
        <v>Domatesli</v>
      </c>
      <c r="K24" s="29">
        <v>252</v>
      </c>
      <c r="L24" s="29"/>
      <c r="M24" s="29">
        <f>IFERROR(IF(B24="","",K24/VLOOKUP(AD24,Varsayımlar!B:R,17,0)),"")</f>
        <v>3</v>
      </c>
      <c r="N24" s="29"/>
      <c r="O24" s="29"/>
      <c r="P24" s="29">
        <f>IF(B24="","",VLOOKUP(AD24,Varsayımlar!$B:$Q,7,0)*K24)</f>
        <v>7560</v>
      </c>
      <c r="Q24" s="29">
        <f>IF(B24="","",VLOOKUP(AD24,Varsayımlar!$B:$Q,8,0))</f>
        <v>25</v>
      </c>
      <c r="R24" s="29" t="str">
        <f>IF(B24="","",VLOOKUP(AD24,Varsayımlar!$B:$Q,9,0))</f>
        <v>Soft-PA3</v>
      </c>
      <c r="S24" s="29">
        <f>IF(B24="","",VLOOKUP(AD24,Varsayımlar!$B:$Q,10,0))</f>
        <v>4</v>
      </c>
      <c r="T24" s="29">
        <f>IF(B24="","",VLOOKUP(AD24,Varsayımlar!$B:$Q,11,0))</f>
        <v>30</v>
      </c>
      <c r="U24" s="29">
        <f>IF(B24="","",VLOOKUP(AD24,Varsayımlar!$B:$Q,12,0))</f>
        <v>240</v>
      </c>
      <c r="V24" s="29" t="str">
        <f>IF(B24="","",VLOOKUP(AD24,Varsayımlar!$B:$Q,13,0))</f>
        <v>Yurtdışı</v>
      </c>
      <c r="W24" s="29">
        <f>IF(B24="","",VLOOKUP(AD24,Varsayımlar!$B:$Q,14,0))</f>
        <v>12</v>
      </c>
      <c r="X24" s="31"/>
      <c r="Y24" s="31"/>
      <c r="Z24" s="29"/>
      <c r="AA24" s="29" t="str">
        <f>IF(B24="","",VLOOKUP(AD24,Varsayımlar!$B:$Q,15,0))</f>
        <v>25cm Kolisi-Etiketli</v>
      </c>
      <c r="AB24" s="29" t="str">
        <f>IF(B24="","",VLOOKUP(AD24,Varsayımlar!$B:$Q,16,0))</f>
        <v>24-26 cm (Macca Hetto Inkjet Uzun Tarih)</v>
      </c>
      <c r="AC24" s="29" t="str">
        <f>IF(B24="","",VLOOKUP(Sayfa1!AD24,Varsayımlar!B:S,18,0))</f>
        <v>80x120cm</v>
      </c>
      <c r="AD24" s="4" t="str">
        <f t="shared" si="5"/>
        <v>LAIKYUZHN-BELARUSTortillas 25cm Domatesli 4pcs 240g</v>
      </c>
    </row>
    <row r="25" spans="1:30" ht="47.25" x14ac:dyDescent="0.25">
      <c r="A25" s="10" t="s">
        <v>138</v>
      </c>
      <c r="B25" s="33" t="s">
        <v>268</v>
      </c>
      <c r="C25" s="30">
        <f>IF(B25="","",VLOOKUP(AD25,Varsayımlar!$B:$Q,3,0))</f>
        <v>8698829380698</v>
      </c>
      <c r="D25" s="30" t="s">
        <v>159</v>
      </c>
      <c r="E25" s="33" t="s">
        <v>276</v>
      </c>
      <c r="F25" s="29">
        <v>20250825</v>
      </c>
      <c r="G25" s="42" t="s">
        <v>68</v>
      </c>
      <c r="H25" s="29" t="str">
        <f>IF(B25="","",VLOOKUP(AD25,Varsayımlar!$B:$Q,5,0))</f>
        <v>Tortillas 25cm Ispanaklı</v>
      </c>
      <c r="I25" s="29">
        <f>IF(B25="","",VLOOKUP(AD25,Varsayımlar!B:T,19,0))</f>
        <v>0</v>
      </c>
      <c r="J25" s="29" t="str">
        <f>IF(B25="","",VLOOKUP(AD25,Varsayımlar!$B:$Q,6,0))</f>
        <v>Ispanaklı</v>
      </c>
      <c r="K25" s="29">
        <v>420</v>
      </c>
      <c r="L25" s="29"/>
      <c r="M25" s="29">
        <f>IFERROR(IF(B25="","",K25/VLOOKUP(AD25,Varsayımlar!B:R,17,0)),"")</f>
        <v>5</v>
      </c>
      <c r="N25" s="29"/>
      <c r="O25" s="29"/>
      <c r="P25" s="29">
        <f>IF(B25="","",VLOOKUP(AD25,Varsayımlar!$B:$Q,7,0)*K25)</f>
        <v>12600</v>
      </c>
      <c r="Q25" s="29">
        <f>IF(B25="","",VLOOKUP(AD25,Varsayımlar!$B:$Q,8,0))</f>
        <v>25</v>
      </c>
      <c r="R25" s="29" t="str">
        <f>IF(B25="","",VLOOKUP(AD25,Varsayımlar!$B:$Q,9,0))</f>
        <v>Soft-PA3</v>
      </c>
      <c r="S25" s="29">
        <f>IF(B25="","",VLOOKUP(AD25,Varsayımlar!$B:$Q,10,0))</f>
        <v>4</v>
      </c>
      <c r="T25" s="29">
        <f>IF(B25="","",VLOOKUP(AD25,Varsayımlar!$B:$Q,11,0))</f>
        <v>30</v>
      </c>
      <c r="U25" s="29">
        <f>IF(B25="","",VLOOKUP(AD25,Varsayımlar!$B:$Q,12,0))</f>
        <v>240</v>
      </c>
      <c r="V25" s="29" t="str">
        <f>IF(B25="","",VLOOKUP(AD25,Varsayımlar!$B:$Q,13,0))</f>
        <v>Yurtdışı</v>
      </c>
      <c r="W25" s="29">
        <f>IF(B25="","",VLOOKUP(AD25,Varsayımlar!$B:$Q,14,0))</f>
        <v>12</v>
      </c>
      <c r="X25" s="31"/>
      <c r="Y25" s="31"/>
      <c r="Z25" s="29"/>
      <c r="AA25" s="29" t="str">
        <f>IF(B25="","",VLOOKUP(AD25,Varsayımlar!$B:$Q,15,0))</f>
        <v>25cm Kolisi-Etiketli</v>
      </c>
      <c r="AB25" s="29" t="str">
        <f>IF(B25="","",VLOOKUP(AD25,Varsayımlar!$B:$Q,16,0))</f>
        <v>24-26 cm (Macca Hetto Inkjet Uzun Tarih)</v>
      </c>
      <c r="AC25" s="29" t="str">
        <f>IF(B25="","",VLOOKUP(Sayfa1!AD25,Varsayımlar!B:S,18,0))</f>
        <v>80x120cm</v>
      </c>
      <c r="AD25" s="4" t="str">
        <f t="shared" si="5"/>
        <v>LAIKYUZHN-BELARUSTortillas 25cm Ispanaklı 4pcs 240g</v>
      </c>
    </row>
    <row r="26" spans="1:30" ht="47.25" x14ac:dyDescent="0.25">
      <c r="A26" s="10" t="s">
        <v>139</v>
      </c>
      <c r="B26" s="33" t="s">
        <v>268</v>
      </c>
      <c r="C26" s="30">
        <f>IF(B26="","",VLOOKUP(AD26,Varsayımlar!$B:$Q,3,0))</f>
        <v>8698829380698</v>
      </c>
      <c r="D26" s="30" t="s">
        <v>159</v>
      </c>
      <c r="E26" s="33" t="s">
        <v>278</v>
      </c>
      <c r="F26" s="29">
        <v>20250825</v>
      </c>
      <c r="G26" s="42" t="s">
        <v>68</v>
      </c>
      <c r="H26" s="29" t="str">
        <f>IF(B26="","",VLOOKUP(AD26,Varsayımlar!$B:$Q,5,0))</f>
        <v>Magnit Tortillas 25cm Peynirli</v>
      </c>
      <c r="I26" s="29" t="str">
        <f>IF(B26="","",VLOOKUP(AD26,Varsayımlar!B:T,19,0))</f>
        <v>Etiketli</v>
      </c>
      <c r="J26" s="29" t="str">
        <f>IF(B26="","",VLOOKUP(AD26,Varsayımlar!$B:$Q,6,0))</f>
        <v>Peynirli</v>
      </c>
      <c r="K26" s="29">
        <v>420</v>
      </c>
      <c r="L26" s="29"/>
      <c r="M26" s="29">
        <f>IFERROR(IF(B26="","",K26/VLOOKUP(AD26,Varsayımlar!B:R,17,0)),"")</f>
        <v>5</v>
      </c>
      <c r="N26" s="29"/>
      <c r="O26" s="29"/>
      <c r="P26" s="29">
        <f>IF(B26="","",VLOOKUP(AD26,Varsayımlar!$B:$Q,7,0)*K26)</f>
        <v>12600</v>
      </c>
      <c r="Q26" s="29">
        <f>IF(B26="","",VLOOKUP(AD26,Varsayımlar!$B:$Q,8,0))</f>
        <v>25</v>
      </c>
      <c r="R26" s="29" t="str">
        <f>IF(B26="","",VLOOKUP(AD26,Varsayımlar!$B:$Q,9,0))</f>
        <v>Soft-PA3-AT</v>
      </c>
      <c r="S26" s="29">
        <f>IF(B26="","",VLOOKUP(AD26,Varsayımlar!$B:$Q,10,0))</f>
        <v>4</v>
      </c>
      <c r="T26" s="29">
        <f>IF(B26="","",VLOOKUP(AD26,Varsayımlar!$B:$Q,11,0))</f>
        <v>30</v>
      </c>
      <c r="U26" s="29">
        <f>IF(B26="","",VLOOKUP(AD26,Varsayımlar!$B:$Q,12,0))</f>
        <v>250</v>
      </c>
      <c r="V26" s="29" t="str">
        <f>IF(B26="","",VLOOKUP(AD26,Varsayımlar!$B:$Q,13,0))</f>
        <v>Yurtdışı</v>
      </c>
      <c r="W26" s="29">
        <f>IF(B26="","",VLOOKUP(AD26,Varsayımlar!$B:$Q,14,0))</f>
        <v>9</v>
      </c>
      <c r="X26" s="31"/>
      <c r="Y26" s="31"/>
      <c r="Z26" s="29"/>
      <c r="AA26" s="29" t="str">
        <f>IF(B26="","",VLOOKUP(AD26,Varsayımlar!$B:$Q,15,0))</f>
        <v>25cm Kolisi-Etiketli</v>
      </c>
      <c r="AB26" s="29" t="str">
        <f>IF(B26="","",VLOOKUP(AD26,Varsayımlar!$B:$Q,16,0))</f>
        <v>24-26 cm (Macca Hetto Inkjet Uzun Tarih)</v>
      </c>
      <c r="AC26" s="29" t="str">
        <f>IF(B26="","",VLOOKUP(Sayfa1!AD26,Varsayımlar!B:S,18,0))</f>
        <v>80x120cm</v>
      </c>
      <c r="AD26" s="4" t="str">
        <f t="shared" si="5"/>
        <v>LAIKYUZHN-BELARUSMagnit Tortillas 25cm Peynirli 4pcs 240g</v>
      </c>
    </row>
    <row r="27" spans="1:30" ht="47.25" x14ac:dyDescent="0.25">
      <c r="A27" s="10" t="s">
        <v>140</v>
      </c>
      <c r="B27" s="45" t="s">
        <v>181</v>
      </c>
      <c r="C27" s="12">
        <f>IF(B27="","",VLOOKUP(AD27,Varsayımlar!$B:$Q,3,0))</f>
        <v>8698829380698</v>
      </c>
      <c r="D27" s="12"/>
      <c r="E27" s="45" t="s">
        <v>182</v>
      </c>
      <c r="F27" s="11">
        <v>26060101</v>
      </c>
      <c r="G27" s="32"/>
      <c r="H27" s="11" t="str">
        <f>IF(B27="","",VLOOKUP(AD27,Varsayımlar!$B:$Q,5,0))</f>
        <v>Tortillove 30cm</v>
      </c>
      <c r="I27" s="11" t="str">
        <f>IF(B27="","",VLOOKUP(AD27,Varsayımlar!B:T,19,0))</f>
        <v>Arka kısma Arnavutça içerik-Tortillove</v>
      </c>
      <c r="J27" s="11" t="str">
        <f>IF(B27="","",VLOOKUP(AD27,Varsayımlar!$B:$Q,6,0))</f>
        <v>SADE</v>
      </c>
      <c r="K27" s="11">
        <v>100</v>
      </c>
      <c r="L27" s="11"/>
      <c r="M27" s="11">
        <f>IFERROR(IF(B27="","",K27/VLOOKUP(AD27,Varsayımlar!B:R,17,0)),"")</f>
        <v>2</v>
      </c>
      <c r="N27" s="11"/>
      <c r="O27" s="11"/>
      <c r="P27" s="11">
        <f>IF(B27="","",VLOOKUP(AD27,Varsayımlar!$B:$Q,7,0)*K27)</f>
        <v>1200</v>
      </c>
      <c r="Q27" s="11">
        <f>IF(B27="","",VLOOKUP(AD27,Varsayımlar!$B:$Q,8,0))</f>
        <v>30</v>
      </c>
      <c r="R27" s="11" t="str">
        <f>IF(B27="","",VLOOKUP(AD27,Varsayımlar!$B:$Q,9,0))</f>
        <v>Irak Soft</v>
      </c>
      <c r="S27" s="11">
        <f>IF(B27="","",VLOOKUP(AD27,Varsayımlar!$B:$Q,10,0))</f>
        <v>10</v>
      </c>
      <c r="T27" s="11">
        <f>IF(B27="","",VLOOKUP(AD27,Varsayımlar!$B:$Q,11,0))</f>
        <v>12</v>
      </c>
      <c r="U27" s="11">
        <f>IF(B27="","",VLOOKUP(AD27,Varsayımlar!$B:$Q,12,0))</f>
        <v>900</v>
      </c>
      <c r="V27" s="11" t="str">
        <f>IF(B27="","",VLOOKUP(AD27,Varsayımlar!$B:$Q,13,0))</f>
        <v>Yurtdışı</v>
      </c>
      <c r="W27" s="11">
        <f>IF(B27="","",VLOOKUP(AD27,Varsayımlar!$B:$Q,14,0))</f>
        <v>12</v>
      </c>
      <c r="X27" s="13"/>
      <c r="Y27" s="13"/>
      <c r="Z27" s="11"/>
      <c r="AA27" s="11" t="str">
        <f>IF(B27="","",VLOOKUP(AD27,Varsayımlar!$B:$Q,15,0))</f>
        <v>30cm Koli - Tortillove 900g Etiketli</v>
      </c>
      <c r="AB27" s="11" t="str">
        <f>IF(B27="","",VLOOKUP(AD27,Varsayımlar!$B:$Q,16,0))</f>
        <v>29-31 cm</v>
      </c>
      <c r="AC27" s="11">
        <f>IF(B27="","",VLOOKUP(Sayfa1!AD27,Varsayımlar!B:S,18,0))</f>
        <v>0</v>
      </c>
      <c r="AD27" s="4" t="str">
        <f t="shared" ref="AD27:AD34" si="6">IF(B27="","",CONCATENATE(B27,E27))</f>
        <v>ALDİ - KOSOVATortillove 30cm 10pcs 900g</v>
      </c>
    </row>
    <row r="28" spans="1:30" ht="47.25" x14ac:dyDescent="0.25">
      <c r="A28" s="10" t="s">
        <v>141</v>
      </c>
      <c r="B28" s="45" t="s">
        <v>181</v>
      </c>
      <c r="C28" s="12">
        <f>IF(B28="","",VLOOKUP(AD28,Varsayımlar!$B:$Q,3,0))</f>
        <v>8698829380698</v>
      </c>
      <c r="D28" s="12"/>
      <c r="E28" s="45" t="s">
        <v>185</v>
      </c>
      <c r="F28" s="11">
        <v>26060101</v>
      </c>
      <c r="G28" s="32"/>
      <c r="H28" s="11" t="str">
        <f>IF(B28="","",VLOOKUP(AD28,Varsayımlar!$B:$Q,5,0))</f>
        <v>Tortillas 30cm</v>
      </c>
      <c r="I28" s="11" t="str">
        <f>IF(B28="","",VLOOKUP(AD28,Varsayımlar!B:T,19,0))</f>
        <v>Arka kısma Arnavutça içerik-Tortillas</v>
      </c>
      <c r="J28" s="11" t="str">
        <f>IF(B28="","",VLOOKUP(AD28,Varsayımlar!$B:$Q,6,0))</f>
        <v>SADE</v>
      </c>
      <c r="K28" s="11">
        <v>50</v>
      </c>
      <c r="L28" s="11"/>
      <c r="M28" s="11">
        <f>IFERROR(IF(B28="","",K28/VLOOKUP(AD28,Varsayımlar!B:R,17,0)),"")</f>
        <v>1</v>
      </c>
      <c r="N28" s="11"/>
      <c r="O28" s="11"/>
      <c r="P28" s="11">
        <f>IF(B28="","",VLOOKUP(AD28,Varsayımlar!$B:$Q,7,0)*K28)</f>
        <v>600</v>
      </c>
      <c r="Q28" s="11">
        <f>IF(B28="","",VLOOKUP(AD28,Varsayımlar!$B:$Q,8,0))</f>
        <v>30</v>
      </c>
      <c r="R28" s="11" t="str">
        <f>IF(B28="","",VLOOKUP(AD28,Varsayımlar!$B:$Q,9,0))</f>
        <v>Irak Soft</v>
      </c>
      <c r="S28" s="11">
        <f>IF(B28="","",VLOOKUP(AD28,Varsayımlar!$B:$Q,10,0))</f>
        <v>10</v>
      </c>
      <c r="T28" s="11">
        <f>IF(B28="","",VLOOKUP(AD28,Varsayımlar!$B:$Q,11,0))</f>
        <v>12</v>
      </c>
      <c r="U28" s="11">
        <f>IF(B28="","",VLOOKUP(AD28,Varsayımlar!$B:$Q,12,0))</f>
        <v>900</v>
      </c>
      <c r="V28" s="11" t="str">
        <f>IF(B28="","",VLOOKUP(AD28,Varsayımlar!$B:$Q,13,0))</f>
        <v>Yurtdışı</v>
      </c>
      <c r="W28" s="11">
        <f>IF(B28="","",VLOOKUP(AD28,Varsayımlar!$B:$Q,14,0))</f>
        <v>12</v>
      </c>
      <c r="X28" s="13"/>
      <c r="Y28" s="13"/>
      <c r="Z28" s="11"/>
      <c r="AA28" s="11" t="str">
        <f>IF(B28="","",VLOOKUP(AD28,Varsayımlar!$B:$Q,15,0))</f>
        <v>30cm Koli - Tortillas 900g Etiketli</v>
      </c>
      <c r="AB28" s="11" t="str">
        <f>IF(B28="","",VLOOKUP(AD28,Varsayımlar!$B:$Q,16,0))</f>
        <v>29-31 cm</v>
      </c>
      <c r="AC28" s="11">
        <f>IF(B28="","",VLOOKUP(Sayfa1!AD28,Varsayımlar!B:S,18,0))</f>
        <v>0</v>
      </c>
      <c r="AD28" s="4" t="str">
        <f t="shared" si="6"/>
        <v>ALDİ - KOSOVATortillas 30cm 10pcs 900g</v>
      </c>
    </row>
    <row r="29" spans="1:30" ht="63" x14ac:dyDescent="0.25">
      <c r="A29" s="10" t="s">
        <v>142</v>
      </c>
      <c r="B29" s="45" t="s">
        <v>181</v>
      </c>
      <c r="C29" s="12">
        <f>IF(B29="","",VLOOKUP(AD29,Varsayımlar!$B:$Q,3,0))</f>
        <v>8698829380698</v>
      </c>
      <c r="D29" s="12"/>
      <c r="E29" s="45" t="s">
        <v>187</v>
      </c>
      <c r="F29" s="11">
        <v>26060101</v>
      </c>
      <c r="G29" s="32"/>
      <c r="H29" s="11" t="str">
        <f>IF(B29="","",VLOOKUP(AD29,Varsayımlar!$B:$Q,5,0))</f>
        <v>Tortillove 25cm</v>
      </c>
      <c r="I29" s="11" t="str">
        <f>IF(B29="","",VLOOKUP(AD29,Varsayımlar!B:T,19,0))</f>
        <v>Barkod üzerine Arnavutça içerik+Barkod-Tortillove</v>
      </c>
      <c r="J29" s="11" t="str">
        <f>IF(B29="","",VLOOKUP(AD29,Varsayımlar!$B:$Q,6,0))</f>
        <v>SADE</v>
      </c>
      <c r="K29" s="11">
        <v>84</v>
      </c>
      <c r="L29" s="11"/>
      <c r="M29" s="11">
        <f>IFERROR(IF(B29="","",K29/VLOOKUP(AD29,Varsayımlar!B:R,17,0)),"")</f>
        <v>1</v>
      </c>
      <c r="N29" s="11"/>
      <c r="O29" s="11"/>
      <c r="P29" s="11">
        <f>IF(B29="","",VLOOKUP(AD29,Varsayımlar!$B:$Q,7,0)*K29)</f>
        <v>1512</v>
      </c>
      <c r="Q29" s="11">
        <f>IF(B29="","",VLOOKUP(AD29,Varsayımlar!$B:$Q,8,0))</f>
        <v>25</v>
      </c>
      <c r="R29" s="11" t="str">
        <f>IF(B29="","",VLOOKUP(AD29,Varsayımlar!$B:$Q,9,0))</f>
        <v>Irak Soft</v>
      </c>
      <c r="S29" s="11">
        <f>IF(B29="","",VLOOKUP(AD29,Varsayımlar!$B:$Q,10,0))</f>
        <v>6</v>
      </c>
      <c r="T29" s="11">
        <f>IF(B29="","",VLOOKUP(AD29,Varsayımlar!$B:$Q,11,0))</f>
        <v>18</v>
      </c>
      <c r="U29" s="11">
        <f>IF(B29="","",VLOOKUP(AD29,Varsayımlar!$B:$Q,12,0))</f>
        <v>390</v>
      </c>
      <c r="V29" s="11" t="str">
        <f>IF(B29="","",VLOOKUP(AD29,Varsayımlar!$B:$Q,13,0))</f>
        <v>Yurtdışı</v>
      </c>
      <c r="W29" s="11">
        <f>IF(B29="","",VLOOKUP(AD29,Varsayımlar!$B:$Q,14,0))</f>
        <v>12</v>
      </c>
      <c r="X29" s="13"/>
      <c r="Y29" s="13"/>
      <c r="Z29" s="11"/>
      <c r="AA29" s="11" t="str">
        <f>IF(B29="","",VLOOKUP(AD29,Varsayımlar!$B:$Q,15,0))</f>
        <v>25cm Koli - Tortillove 390g Etiketli</v>
      </c>
      <c r="AB29" s="11" t="str">
        <f>IF(B29="","",VLOOKUP(AD29,Varsayımlar!$B:$Q,16,0))</f>
        <v>24-26 cm</v>
      </c>
      <c r="AC29" s="11">
        <f>IF(B29="","",VLOOKUP(Sayfa1!AD29,Varsayımlar!B:S,18,0))</f>
        <v>0</v>
      </c>
      <c r="AD29" s="4" t="str">
        <f t="shared" si="6"/>
        <v>ALDİ - KOSOVATortillove 25cm 6pcs 390g</v>
      </c>
    </row>
    <row r="30" spans="1:30" ht="63" x14ac:dyDescent="0.25">
      <c r="A30" s="10" t="s">
        <v>143</v>
      </c>
      <c r="B30" s="45" t="s">
        <v>181</v>
      </c>
      <c r="C30" s="12">
        <f>IF(B30="","",VLOOKUP(AD30,Varsayımlar!$B:$Q,3,0))</f>
        <v>8698829380698</v>
      </c>
      <c r="D30" s="12"/>
      <c r="E30" s="45" t="s">
        <v>189</v>
      </c>
      <c r="F30" s="11">
        <v>26060101</v>
      </c>
      <c r="G30" s="32"/>
      <c r="H30" s="11" t="str">
        <f>IF(B30="","",VLOOKUP(AD30,Varsayımlar!$B:$Q,5,0))</f>
        <v>Tortillas 25cm</v>
      </c>
      <c r="I30" s="11" t="str">
        <f>IF(B30="","",VLOOKUP(AD30,Varsayımlar!B:T,19,0))</f>
        <v>Barkod üzerine Arnavutça içerik+Barkod-Tortillas</v>
      </c>
      <c r="J30" s="11" t="str">
        <f>IF(B30="","",VLOOKUP(AD30,Varsayımlar!$B:$Q,6,0))</f>
        <v>SADE</v>
      </c>
      <c r="K30" s="11">
        <v>84</v>
      </c>
      <c r="L30" s="11"/>
      <c r="M30" s="11">
        <f>IFERROR(IF(B30="","",K30/VLOOKUP(AD30,Varsayımlar!B:R,17,0)),"")</f>
        <v>1</v>
      </c>
      <c r="N30" s="11"/>
      <c r="O30" s="11"/>
      <c r="P30" s="11">
        <f>IF(B30="","",VLOOKUP(AD30,Varsayımlar!$B:$Q,7,0)*K30)</f>
        <v>1512</v>
      </c>
      <c r="Q30" s="11">
        <f>IF(B30="","",VLOOKUP(AD30,Varsayımlar!$B:$Q,8,0))</f>
        <v>25</v>
      </c>
      <c r="R30" s="11" t="str">
        <f>IF(B30="","",VLOOKUP(AD30,Varsayımlar!$B:$Q,9,0))</f>
        <v>Irak Soft</v>
      </c>
      <c r="S30" s="11">
        <f>IF(B30="","",VLOOKUP(AD30,Varsayımlar!$B:$Q,10,0))</f>
        <v>6</v>
      </c>
      <c r="T30" s="11">
        <f>IF(B30="","",VLOOKUP(AD30,Varsayımlar!$B:$Q,11,0))</f>
        <v>18</v>
      </c>
      <c r="U30" s="11">
        <f>IF(B30="","",VLOOKUP(AD30,Varsayımlar!$B:$Q,12,0))</f>
        <v>390</v>
      </c>
      <c r="V30" s="11" t="str">
        <f>IF(B30="","",VLOOKUP(AD30,Varsayımlar!$B:$Q,13,0))</f>
        <v>Yurtdışı</v>
      </c>
      <c r="W30" s="11">
        <f>IF(B30="","",VLOOKUP(AD30,Varsayımlar!$B:$Q,14,0))</f>
        <v>12</v>
      </c>
      <c r="X30" s="13"/>
      <c r="Y30" s="13"/>
      <c r="Z30" s="11"/>
      <c r="AA30" s="11" t="str">
        <f>IF(B30="","",VLOOKUP(AD30,Varsayımlar!$B:$Q,15,0))</f>
        <v>25cm Koli - Tortillas 390g Etiketli</v>
      </c>
      <c r="AB30" s="11" t="str">
        <f>IF(B30="","",VLOOKUP(AD30,Varsayımlar!$B:$Q,16,0))</f>
        <v>24-26 cm</v>
      </c>
      <c r="AC30" s="11">
        <f>IF(B30="","",VLOOKUP(Sayfa1!AD30,Varsayımlar!B:S,18,0))</f>
        <v>0</v>
      </c>
      <c r="AD30" s="4" t="str">
        <f t="shared" si="6"/>
        <v>ALDİ - KOSOVATortillas 25cm 6pcs 390g</v>
      </c>
    </row>
    <row r="31" spans="1:30" ht="63" x14ac:dyDescent="0.25">
      <c r="A31" s="10" t="s">
        <v>144</v>
      </c>
      <c r="B31" s="45" t="s">
        <v>181</v>
      </c>
      <c r="C31" s="12">
        <f>IF(B31="","",VLOOKUP(AD31,Varsayımlar!$B:$Q,3,0))</f>
        <v>8698829380698</v>
      </c>
      <c r="D31" s="12"/>
      <c r="E31" s="45" t="s">
        <v>187</v>
      </c>
      <c r="F31" s="11">
        <v>26060101</v>
      </c>
      <c r="G31" s="32"/>
      <c r="H31" s="11" t="str">
        <f>IF(B31="","",VLOOKUP(AD31,Varsayımlar!$B:$Q,5,0))</f>
        <v>Tortillove 25cm</v>
      </c>
      <c r="I31" s="11" t="str">
        <f>IF(B31="","",VLOOKUP(AD31,Varsayımlar!B:T,19,0))</f>
        <v>Barkod üzerine Arnavutça içerik+Barkod-Tortillove</v>
      </c>
      <c r="J31" s="11" t="str">
        <f>IF(B31="","",VLOOKUP(AD31,Varsayımlar!$B:$Q,6,0))</f>
        <v>SADE</v>
      </c>
      <c r="K31" s="11">
        <v>168</v>
      </c>
      <c r="L31" s="11"/>
      <c r="M31" s="11">
        <f>IFERROR(IF(B31="","",K31/VLOOKUP(AD31,Varsayımlar!B:R,17,0)),"")</f>
        <v>2</v>
      </c>
      <c r="N31" s="11"/>
      <c r="O31" s="11"/>
      <c r="P31" s="11">
        <f>IF(B31="","",VLOOKUP(AD31,Varsayımlar!$B:$Q,7,0)*K31)</f>
        <v>3024</v>
      </c>
      <c r="Q31" s="11">
        <f>IF(B31="","",VLOOKUP(AD31,Varsayımlar!$B:$Q,8,0))</f>
        <v>25</v>
      </c>
      <c r="R31" s="11" t="str">
        <f>IF(B31="","",VLOOKUP(AD31,Varsayımlar!$B:$Q,9,0))</f>
        <v>Irak Soft</v>
      </c>
      <c r="S31" s="11">
        <f>IF(B31="","",VLOOKUP(AD31,Varsayımlar!$B:$Q,10,0))</f>
        <v>6</v>
      </c>
      <c r="T31" s="11">
        <f>IF(B31="","",VLOOKUP(AD31,Varsayımlar!$B:$Q,11,0))</f>
        <v>18</v>
      </c>
      <c r="U31" s="11">
        <f>IF(B31="","",VLOOKUP(AD31,Varsayımlar!$B:$Q,12,0))</f>
        <v>390</v>
      </c>
      <c r="V31" s="11" t="str">
        <f>IF(B31="","",VLOOKUP(AD31,Varsayımlar!$B:$Q,13,0))</f>
        <v>Yurtdışı</v>
      </c>
      <c r="W31" s="11">
        <f>IF(B31="","",VLOOKUP(AD31,Varsayımlar!$B:$Q,14,0))</f>
        <v>12</v>
      </c>
      <c r="X31" s="13"/>
      <c r="Y31" s="13"/>
      <c r="Z31" s="11"/>
      <c r="AA31" s="11" t="str">
        <f>IF(B31="","",VLOOKUP(AD31,Varsayımlar!$B:$Q,15,0))</f>
        <v>25cm Koli - Tortillove 390g Etiketli</v>
      </c>
      <c r="AB31" s="11" t="str">
        <f>IF(B31="","",VLOOKUP(AD31,Varsayımlar!$B:$Q,16,0))</f>
        <v>24-26 cm</v>
      </c>
      <c r="AC31" s="11">
        <f>IF(B31="","",VLOOKUP(Sayfa1!AD31,Varsayımlar!B:S,18,0))</f>
        <v>0</v>
      </c>
      <c r="AD31" s="4" t="str">
        <f t="shared" si="6"/>
        <v>ALDİ - KOSOVATortillove 25cm 6pcs 390g</v>
      </c>
    </row>
    <row r="32" spans="1:30" ht="63" x14ac:dyDescent="0.25">
      <c r="A32" s="10" t="s">
        <v>145</v>
      </c>
      <c r="B32" s="45" t="s">
        <v>181</v>
      </c>
      <c r="C32" s="12">
        <f>IF(B32="","",VLOOKUP(AD32,Varsayımlar!$B:$Q,3,0))</f>
        <v>8698829380698</v>
      </c>
      <c r="D32" s="12"/>
      <c r="E32" s="45" t="s">
        <v>189</v>
      </c>
      <c r="F32" s="11">
        <v>26060101</v>
      </c>
      <c r="G32" s="32"/>
      <c r="H32" s="11" t="str">
        <f>IF(B32="","",VLOOKUP(AD32,Varsayımlar!$B:$Q,5,0))</f>
        <v>Tortillas 25cm</v>
      </c>
      <c r="I32" s="11" t="str">
        <f>IF(B32="","",VLOOKUP(AD32,Varsayımlar!B:T,19,0))</f>
        <v>Barkod üzerine Arnavutça içerik+Barkod-Tortillas</v>
      </c>
      <c r="J32" s="11" t="str">
        <f>IF(B32="","",VLOOKUP(AD32,Varsayımlar!$B:$Q,6,0))</f>
        <v>SADE</v>
      </c>
      <c r="K32" s="11">
        <v>84</v>
      </c>
      <c r="L32" s="11"/>
      <c r="M32" s="11">
        <f>IFERROR(IF(B32="","",K32/VLOOKUP(AD32,Varsayımlar!B:R,17,0)),"")</f>
        <v>1</v>
      </c>
      <c r="N32" s="11"/>
      <c r="O32" s="11"/>
      <c r="P32" s="11">
        <f>IF(B32="","",VLOOKUP(AD32,Varsayımlar!$B:$Q,7,0)*K32)</f>
        <v>1512</v>
      </c>
      <c r="Q32" s="11">
        <f>IF(B32="","",VLOOKUP(AD32,Varsayımlar!$B:$Q,8,0))</f>
        <v>25</v>
      </c>
      <c r="R32" s="11" t="str">
        <f>IF(B32="","",VLOOKUP(AD32,Varsayımlar!$B:$Q,9,0))</f>
        <v>Irak Soft</v>
      </c>
      <c r="S32" s="11">
        <f>IF(B32="","",VLOOKUP(AD32,Varsayımlar!$B:$Q,10,0))</f>
        <v>6</v>
      </c>
      <c r="T32" s="11">
        <f>IF(B32="","",VLOOKUP(AD32,Varsayımlar!$B:$Q,11,0))</f>
        <v>18</v>
      </c>
      <c r="U32" s="11">
        <f>IF(B32="","",VLOOKUP(AD32,Varsayımlar!$B:$Q,12,0))</f>
        <v>390</v>
      </c>
      <c r="V32" s="11" t="str">
        <f>IF(B32="","",VLOOKUP(AD32,Varsayımlar!$B:$Q,13,0))</f>
        <v>Yurtdışı</v>
      </c>
      <c r="W32" s="11">
        <f>IF(B32="","",VLOOKUP(AD32,Varsayımlar!$B:$Q,14,0))</f>
        <v>12</v>
      </c>
      <c r="X32" s="13"/>
      <c r="Y32" s="13"/>
      <c r="Z32" s="11"/>
      <c r="AA32" s="11" t="str">
        <f>IF(B32="","",VLOOKUP(AD32,Varsayımlar!$B:$Q,15,0))</f>
        <v>25cm Koli - Tortillas 390g Etiketli</v>
      </c>
      <c r="AB32" s="11" t="str">
        <f>IF(B32="","",VLOOKUP(AD32,Varsayımlar!$B:$Q,16,0))</f>
        <v>24-26 cm</v>
      </c>
      <c r="AC32" s="11">
        <f>IF(B32="","",VLOOKUP(Sayfa1!AD32,Varsayımlar!B:S,18,0))</f>
        <v>0</v>
      </c>
      <c r="AD32" s="4" t="str">
        <f t="shared" si="6"/>
        <v>ALDİ - KOSOVATortillas 25cm 6pcs 390g</v>
      </c>
    </row>
    <row r="33" spans="1:30" ht="47.25" x14ac:dyDescent="0.25">
      <c r="A33" s="10" t="s">
        <v>146</v>
      </c>
      <c r="B33" s="45" t="s">
        <v>181</v>
      </c>
      <c r="C33" s="12">
        <f>IF(B33="","",VLOOKUP(AD33,Varsayımlar!$B:$Q,3,0))</f>
        <v>8698829380698</v>
      </c>
      <c r="D33" s="12"/>
      <c r="E33" s="45" t="s">
        <v>192</v>
      </c>
      <c r="F33" s="11">
        <v>26060101</v>
      </c>
      <c r="G33" s="32"/>
      <c r="H33" s="11" t="str">
        <f>IF(B33="","",VLOOKUP(AD33,Varsayımlar!$B:$Q,5,0))</f>
        <v>Tortillove 25cm</v>
      </c>
      <c r="I33" s="11" t="str">
        <f>IF(B33="","",VLOOKUP(AD33,Varsayımlar!B:T,19,0))</f>
        <v>Arka kısma Arnavutça içerik-Tortillove</v>
      </c>
      <c r="J33" s="11" t="str">
        <f>IF(B33="","",VLOOKUP(AD33,Varsayımlar!$B:$Q,6,0))</f>
        <v>SADE</v>
      </c>
      <c r="K33" s="11">
        <v>168</v>
      </c>
      <c r="L33" s="11"/>
      <c r="M33" s="11">
        <f>IFERROR(IF(B33="","",K33/VLOOKUP(AD33,Varsayımlar!B:R,17,0)),"")</f>
        <v>2</v>
      </c>
      <c r="N33" s="11"/>
      <c r="O33" s="11"/>
      <c r="P33" s="11">
        <f>IF(B33="","",VLOOKUP(AD33,Varsayımlar!$B:$Q,7,0)*K33)</f>
        <v>2016</v>
      </c>
      <c r="Q33" s="11">
        <f>IF(B33="","",VLOOKUP(AD33,Varsayımlar!$B:$Q,8,0))</f>
        <v>25</v>
      </c>
      <c r="R33" s="11" t="str">
        <f>IF(B33="","",VLOOKUP(AD33,Varsayımlar!$B:$Q,9,0))</f>
        <v>Irak Soft</v>
      </c>
      <c r="S33" s="11">
        <f>IF(B33="","",VLOOKUP(AD33,Varsayımlar!$B:$Q,10,0))</f>
        <v>10</v>
      </c>
      <c r="T33" s="11">
        <f>IF(B33="","",VLOOKUP(AD33,Varsayımlar!$B:$Q,11,0))</f>
        <v>12</v>
      </c>
      <c r="U33" s="11">
        <f>IF(B33="","",VLOOKUP(AD33,Varsayımlar!$B:$Q,12,0))</f>
        <v>650</v>
      </c>
      <c r="V33" s="11" t="str">
        <f>IF(B33="","",VLOOKUP(AD33,Varsayımlar!$B:$Q,13,0))</f>
        <v>Yurtdışı</v>
      </c>
      <c r="W33" s="11">
        <f>IF(B33="","",VLOOKUP(AD33,Varsayımlar!$B:$Q,14,0))</f>
        <v>12</v>
      </c>
      <c r="X33" s="13"/>
      <c r="Y33" s="13"/>
      <c r="Z33" s="11"/>
      <c r="AA33" s="11" t="str">
        <f>IF(B33="","",VLOOKUP(AD33,Varsayımlar!$B:$Q,15,0))</f>
        <v>25cm Koli - Tortillove 650g Etiketli</v>
      </c>
      <c r="AB33" s="11" t="str">
        <f>IF(B33="","",VLOOKUP(AD33,Varsayımlar!$B:$Q,16,0))</f>
        <v>24-26 cm</v>
      </c>
      <c r="AC33" s="11">
        <f>IF(B33="","",VLOOKUP(Sayfa1!AD33,Varsayımlar!B:S,18,0))</f>
        <v>0</v>
      </c>
      <c r="AD33" s="4" t="str">
        <f t="shared" si="6"/>
        <v>ALDİ - KOSOVATortillove 25cm 10pcs 650g</v>
      </c>
    </row>
    <row r="34" spans="1:30" ht="47.25" x14ac:dyDescent="0.25">
      <c r="A34" s="10" t="s">
        <v>147</v>
      </c>
      <c r="B34" s="45" t="s">
        <v>181</v>
      </c>
      <c r="C34" s="12">
        <f>IF(B34="","",VLOOKUP(AD34,Varsayımlar!$B:$Q,3,0))</f>
        <v>8698829380698</v>
      </c>
      <c r="D34" s="12"/>
      <c r="E34" s="45" t="s">
        <v>193</v>
      </c>
      <c r="F34" s="11">
        <v>26060101</v>
      </c>
      <c r="G34" s="32"/>
      <c r="H34" s="11" t="str">
        <f>IF(B34="","",VLOOKUP(AD34,Varsayımlar!$B:$Q,5,0))</f>
        <v>Tortillas 25cm</v>
      </c>
      <c r="I34" s="11" t="str">
        <f>IF(B34="","",VLOOKUP(AD34,Varsayımlar!B:T,19,0))</f>
        <v>Arka kısma Arnavutça içerik-Tortillas</v>
      </c>
      <c r="J34" s="11" t="str">
        <f>IF(B34="","",VLOOKUP(AD34,Varsayımlar!$B:$Q,6,0))</f>
        <v>SADE</v>
      </c>
      <c r="K34" s="11">
        <v>84</v>
      </c>
      <c r="L34" s="11"/>
      <c r="M34" s="11">
        <f>IFERROR(IF(B34="","",K34/VLOOKUP(AD34,Varsayımlar!B:R,17,0)),"")</f>
        <v>1</v>
      </c>
      <c r="N34" s="11"/>
      <c r="O34" s="11"/>
      <c r="P34" s="11">
        <f>IF(B34="","",VLOOKUP(AD34,Varsayımlar!$B:$Q,7,0)*K34)</f>
        <v>1008</v>
      </c>
      <c r="Q34" s="11">
        <f>IF(B34="","",VLOOKUP(AD34,Varsayımlar!$B:$Q,8,0))</f>
        <v>25</v>
      </c>
      <c r="R34" s="11" t="str">
        <f>IF(B34="","",VLOOKUP(AD34,Varsayımlar!$B:$Q,9,0))</f>
        <v>Irak Soft</v>
      </c>
      <c r="S34" s="11">
        <f>IF(B34="","",VLOOKUP(AD34,Varsayımlar!$B:$Q,10,0))</f>
        <v>10</v>
      </c>
      <c r="T34" s="11">
        <f>IF(B34="","",VLOOKUP(AD34,Varsayımlar!$B:$Q,11,0))</f>
        <v>12</v>
      </c>
      <c r="U34" s="11">
        <f>IF(B34="","",VLOOKUP(AD34,Varsayımlar!$B:$Q,12,0))</f>
        <v>650</v>
      </c>
      <c r="V34" s="11" t="str">
        <f>IF(B34="","",VLOOKUP(AD34,Varsayımlar!$B:$Q,13,0))</f>
        <v>Yurtdışı</v>
      </c>
      <c r="W34" s="11">
        <f>IF(B34="","",VLOOKUP(AD34,Varsayımlar!$B:$Q,14,0))</f>
        <v>12</v>
      </c>
      <c r="X34" s="13"/>
      <c r="Y34" s="13"/>
      <c r="Z34" s="11"/>
      <c r="AA34" s="11" t="str">
        <f>IF(B34="","",VLOOKUP(AD34,Varsayımlar!$B:$Q,15,0))</f>
        <v>25cm Koli - Tortillas 650g Etiketli</v>
      </c>
      <c r="AB34" s="11" t="str">
        <f>IF(B34="","",VLOOKUP(AD34,Varsayımlar!$B:$Q,16,0))</f>
        <v>24-26 cm</v>
      </c>
      <c r="AC34" s="11">
        <f>IF(B34="","",VLOOKUP(Sayfa1!AD34,Varsayımlar!B:S,18,0))</f>
        <v>0</v>
      </c>
      <c r="AD34" s="4" t="str">
        <f t="shared" si="6"/>
        <v>ALDİ - KOSOVATortillas 25cm 10pcs 650g</v>
      </c>
    </row>
    <row r="35" spans="1:30" ht="47.25" x14ac:dyDescent="0.25">
      <c r="A35" s="10" t="s">
        <v>148</v>
      </c>
      <c r="B35" s="35" t="s">
        <v>268</v>
      </c>
      <c r="C35" s="24">
        <f>IF(B35="","",VLOOKUP(AD35,Varsayımlar!$B:$Q,3,0))</f>
        <v>8698829380698</v>
      </c>
      <c r="D35" s="24" t="s">
        <v>160</v>
      </c>
      <c r="E35" s="35" t="s">
        <v>342</v>
      </c>
      <c r="F35" s="23" t="s">
        <v>343</v>
      </c>
      <c r="G35" s="39" t="s">
        <v>68</v>
      </c>
      <c r="H35" s="23" t="str">
        <f>IF(B35="","",VLOOKUP(AD35,Varsayımlar!$B:$Q,5,0))</f>
        <v>Tortillas 25cm Sade</v>
      </c>
      <c r="I35" s="23">
        <f>IF(B35="","",VLOOKUP(AD35,Varsayımlar!B:T,19,0))</f>
        <v>0</v>
      </c>
      <c r="J35" s="23" t="str">
        <f>IF(B35="","",VLOOKUP(AD35,Varsayımlar!$B:$Q,6,0))</f>
        <v>SADE</v>
      </c>
      <c r="K35" s="23">
        <v>420</v>
      </c>
      <c r="L35" s="23"/>
      <c r="M35" s="23">
        <f>IFERROR(IF(B35="","",K35/VLOOKUP(AD35,Varsayımlar!B:R,17,0)),"")</f>
        <v>5</v>
      </c>
      <c r="N35" s="23"/>
      <c r="O35" s="23"/>
      <c r="P35" s="23">
        <f>IF(B35="","",VLOOKUP(AD35,Varsayımlar!$B:$Q,7,0)*K35)</f>
        <v>12600</v>
      </c>
      <c r="Q35" s="23">
        <f>IF(B35="","",VLOOKUP(AD35,Varsayımlar!$B:$Q,8,0))</f>
        <v>25</v>
      </c>
      <c r="R35" s="23" t="str">
        <f>IF(B35="","",VLOOKUP(AD35,Varsayımlar!$B:$Q,9,0))</f>
        <v>Soft-PA3</v>
      </c>
      <c r="S35" s="23">
        <f>IF(B35="","",VLOOKUP(AD35,Varsayımlar!$B:$Q,10,0))</f>
        <v>4</v>
      </c>
      <c r="T35" s="23">
        <f>IF(B35="","",VLOOKUP(AD35,Varsayımlar!$B:$Q,11,0))</f>
        <v>30</v>
      </c>
      <c r="U35" s="23">
        <f>IF(B35="","",VLOOKUP(AD35,Varsayımlar!$B:$Q,12,0))</f>
        <v>240</v>
      </c>
      <c r="V35" s="23" t="str">
        <f>IF(B35="","",VLOOKUP(AD35,Varsayımlar!$B:$Q,13,0))</f>
        <v>Yurtdışı</v>
      </c>
      <c r="W35" s="23">
        <f>IF(B35="","",VLOOKUP(AD35,Varsayımlar!$B:$Q,14,0))</f>
        <v>12</v>
      </c>
      <c r="X35" s="25"/>
      <c r="Y35" s="25"/>
      <c r="Z35" s="23"/>
      <c r="AA35" s="23" t="str">
        <f>IF(B35="","",VLOOKUP(AD35,Varsayımlar!$B:$Q,15,0))</f>
        <v>25cm Kolisi-Etiketli</v>
      </c>
      <c r="AB35" s="23" t="str">
        <f>IF(B35="","",VLOOKUP(AD35,Varsayımlar!$B:$Q,16,0))</f>
        <v>24-26 cm (Macca Hetto Inkjet Uzun Tarih)</v>
      </c>
      <c r="AC35" s="23" t="str">
        <f>IF(B35="","",VLOOKUP(Sayfa1!AD35,Varsayımlar!B:S,18,0))</f>
        <v>80x120cm</v>
      </c>
      <c r="AD35" s="4" t="str">
        <f t="shared" si="5"/>
        <v>LAIKYUZHN-BELARUSTortillas 25cm Sade 4pcs 240g</v>
      </c>
    </row>
    <row r="36" spans="1:30" ht="47.25" x14ac:dyDescent="0.25">
      <c r="A36" s="10" t="s">
        <v>149</v>
      </c>
      <c r="B36" s="35" t="s">
        <v>268</v>
      </c>
      <c r="C36" s="24">
        <f>IF(B36="","",VLOOKUP(AD36,Varsayımlar!$B:$Q,3,0))</f>
        <v>8698829380698</v>
      </c>
      <c r="D36" s="24" t="s">
        <v>160</v>
      </c>
      <c r="E36" s="35" t="s">
        <v>269</v>
      </c>
      <c r="F36" s="23" t="s">
        <v>343</v>
      </c>
      <c r="G36" s="39" t="s">
        <v>68</v>
      </c>
      <c r="H36" s="23" t="str">
        <f>IF(B36="","",VLOOKUP(AD36,Varsayımlar!$B:$Q,5,0))</f>
        <v>Tortillas 25cm Tam Buğday</v>
      </c>
      <c r="I36" s="23">
        <f>IF(B36="","",VLOOKUP(AD36,Varsayımlar!B:T,19,0))</f>
        <v>0</v>
      </c>
      <c r="J36" s="23" t="str">
        <f>IF(B36="","",VLOOKUP(AD36,Varsayımlar!$B:$Q,6,0))</f>
        <v>Tam Buğdaylı</v>
      </c>
      <c r="K36" s="23">
        <v>336</v>
      </c>
      <c r="L36" s="23"/>
      <c r="M36" s="23">
        <f>IFERROR(IF(B36="","",K36/VLOOKUP(AD36,Varsayımlar!B:R,17,0)),"")</f>
        <v>4</v>
      </c>
      <c r="N36" s="23"/>
      <c r="O36" s="23"/>
      <c r="P36" s="23">
        <f>IF(B36="","",VLOOKUP(AD36,Varsayımlar!$B:$Q,7,0)*K36)</f>
        <v>10080</v>
      </c>
      <c r="Q36" s="23">
        <f>IF(B36="","",VLOOKUP(AD36,Varsayımlar!$B:$Q,8,0))</f>
        <v>25</v>
      </c>
      <c r="R36" s="23" t="str">
        <f>IF(B36="","",VLOOKUP(AD36,Varsayımlar!$B:$Q,9,0))</f>
        <v>Soft-PA3</v>
      </c>
      <c r="S36" s="23">
        <f>IF(B36="","",VLOOKUP(AD36,Varsayımlar!$B:$Q,10,0))</f>
        <v>4</v>
      </c>
      <c r="T36" s="23">
        <f>IF(B36="","",VLOOKUP(AD36,Varsayımlar!$B:$Q,11,0))</f>
        <v>30</v>
      </c>
      <c r="U36" s="23">
        <f>IF(B36="","",VLOOKUP(AD36,Varsayımlar!$B:$Q,12,0))</f>
        <v>240</v>
      </c>
      <c r="V36" s="23" t="str">
        <f>IF(B36="","",VLOOKUP(AD36,Varsayımlar!$B:$Q,13,0))</f>
        <v>Yurtdışı</v>
      </c>
      <c r="W36" s="23">
        <f>IF(B36="","",VLOOKUP(AD36,Varsayımlar!$B:$Q,14,0))</f>
        <v>12</v>
      </c>
      <c r="X36" s="25"/>
      <c r="Y36" s="25"/>
      <c r="Z36" s="23"/>
      <c r="AA36" s="23" t="str">
        <f>IF(B36="","",VLOOKUP(AD36,Varsayımlar!$B:$Q,15,0))</f>
        <v>25cm Kolisi-Etiketli</v>
      </c>
      <c r="AB36" s="23" t="str">
        <f>IF(B36="","",VLOOKUP(AD36,Varsayımlar!$B:$Q,16,0))</f>
        <v>24-26 cm (Macca Hetto Inkjet Uzun Tarih)</v>
      </c>
      <c r="AC36" s="23" t="str">
        <f>IF(B36="","",VLOOKUP(Sayfa1!AD36,Varsayımlar!B:S,18,0))</f>
        <v>80x120cm</v>
      </c>
      <c r="AD36" s="4" t="str">
        <f t="shared" si="5"/>
        <v>LAIKYUZHN-BELARUSTortillas 25cm Tam buğday 4pcs 240g</v>
      </c>
    </row>
    <row r="37" spans="1:30" ht="47.25" x14ac:dyDescent="0.25">
      <c r="A37" s="10" t="s">
        <v>150</v>
      </c>
      <c r="B37" s="35" t="s">
        <v>268</v>
      </c>
      <c r="C37" s="24">
        <f>IF(B37="","",VLOOKUP(AD37,Varsayımlar!$B:$Q,3,0))</f>
        <v>8698829380698</v>
      </c>
      <c r="D37" s="24" t="s">
        <v>160</v>
      </c>
      <c r="E37" s="35" t="s">
        <v>274</v>
      </c>
      <c r="F37" s="23" t="s">
        <v>343</v>
      </c>
      <c r="G37" s="39" t="s">
        <v>68</v>
      </c>
      <c r="H37" s="23" t="str">
        <f>IF(B37="","",VLOOKUP(AD37,Varsayımlar!$B:$Q,5,0))</f>
        <v>Tortillas 25cm Domatesli</v>
      </c>
      <c r="I37" s="23">
        <f>IF(B37="","",VLOOKUP(AD37,Varsayımlar!B:T,19,0))</f>
        <v>0</v>
      </c>
      <c r="J37" s="23" t="str">
        <f>IF(B37="","",VLOOKUP(AD37,Varsayımlar!$B:$Q,6,0))</f>
        <v>Domatesli</v>
      </c>
      <c r="K37" s="23">
        <v>420</v>
      </c>
      <c r="L37" s="23"/>
      <c r="M37" s="23">
        <f>IFERROR(IF(B37="","",K37/VLOOKUP(AD37,Varsayımlar!B:R,17,0)),"")</f>
        <v>5</v>
      </c>
      <c r="N37" s="23"/>
      <c r="O37" s="23"/>
      <c r="P37" s="23">
        <f>IF(B37="","",VLOOKUP(AD37,Varsayımlar!$B:$Q,7,0)*K37)</f>
        <v>12600</v>
      </c>
      <c r="Q37" s="23">
        <f>IF(B37="","",VLOOKUP(AD37,Varsayımlar!$B:$Q,8,0))</f>
        <v>25</v>
      </c>
      <c r="R37" s="23" t="str">
        <f>IF(B37="","",VLOOKUP(AD37,Varsayımlar!$B:$Q,9,0))</f>
        <v>Soft-PA3</v>
      </c>
      <c r="S37" s="23">
        <f>IF(B37="","",VLOOKUP(AD37,Varsayımlar!$B:$Q,10,0))</f>
        <v>4</v>
      </c>
      <c r="T37" s="23">
        <f>IF(B37="","",VLOOKUP(AD37,Varsayımlar!$B:$Q,11,0))</f>
        <v>30</v>
      </c>
      <c r="U37" s="23">
        <f>IF(B37="","",VLOOKUP(AD37,Varsayımlar!$B:$Q,12,0))</f>
        <v>240</v>
      </c>
      <c r="V37" s="23" t="str">
        <f>IF(B37="","",VLOOKUP(AD37,Varsayımlar!$B:$Q,13,0))</f>
        <v>Yurtdışı</v>
      </c>
      <c r="W37" s="23">
        <f>IF(B37="","",VLOOKUP(AD37,Varsayımlar!$B:$Q,14,0))</f>
        <v>12</v>
      </c>
      <c r="X37" s="25"/>
      <c r="Y37" s="25"/>
      <c r="Z37" s="23"/>
      <c r="AA37" s="23" t="str">
        <f>IF(B37="","",VLOOKUP(AD37,Varsayımlar!$B:$Q,15,0))</f>
        <v>25cm Kolisi-Etiketli</v>
      </c>
      <c r="AB37" s="23" t="str">
        <f>IF(B37="","",VLOOKUP(AD37,Varsayımlar!$B:$Q,16,0))</f>
        <v>24-26 cm (Macca Hetto Inkjet Uzun Tarih)</v>
      </c>
      <c r="AC37" s="23" t="str">
        <f>IF(B37="","",VLOOKUP(Sayfa1!AD37,Varsayımlar!B:S,18,0))</f>
        <v>80x120cm</v>
      </c>
      <c r="AD37" s="4" t="str">
        <f t="shared" si="5"/>
        <v>LAIKYUZHN-BELARUSTortillas 25cm Domatesli 4pcs 240g</v>
      </c>
    </row>
    <row r="38" spans="1:30" ht="47.25" x14ac:dyDescent="0.25">
      <c r="A38" s="10" t="s">
        <v>151</v>
      </c>
      <c r="B38" s="35" t="s">
        <v>268</v>
      </c>
      <c r="C38" s="24">
        <f>IF(B38="","",VLOOKUP(AD38,Varsayımlar!$B:$Q,3,0))</f>
        <v>8698829380698</v>
      </c>
      <c r="D38" s="24" t="s">
        <v>160</v>
      </c>
      <c r="E38" s="35" t="s">
        <v>276</v>
      </c>
      <c r="F38" s="23" t="s">
        <v>343</v>
      </c>
      <c r="G38" s="39" t="s">
        <v>68</v>
      </c>
      <c r="H38" s="23" t="str">
        <f>IF(B38="","",VLOOKUP(AD38,Varsayımlar!$B:$Q,5,0))</f>
        <v>Tortillas 25cm Ispanaklı</v>
      </c>
      <c r="I38" s="23">
        <f>IF(B38="","",VLOOKUP(AD38,Varsayımlar!B:T,19,0))</f>
        <v>0</v>
      </c>
      <c r="J38" s="23" t="str">
        <f>IF(B38="","",VLOOKUP(AD38,Varsayımlar!$B:$Q,6,0))</f>
        <v>Ispanaklı</v>
      </c>
      <c r="K38" s="23">
        <v>336</v>
      </c>
      <c r="L38" s="23"/>
      <c r="M38" s="23">
        <f>IFERROR(IF(B38="","",K38/VLOOKUP(AD38,Varsayımlar!B:R,17,0)),"")</f>
        <v>4</v>
      </c>
      <c r="N38" s="23"/>
      <c r="O38" s="23"/>
      <c r="P38" s="23">
        <f>IF(B38="","",VLOOKUP(AD38,Varsayımlar!$B:$Q,7,0)*K38)</f>
        <v>10080</v>
      </c>
      <c r="Q38" s="23">
        <f>IF(B38="","",VLOOKUP(AD38,Varsayımlar!$B:$Q,8,0))</f>
        <v>25</v>
      </c>
      <c r="R38" s="23" t="str">
        <f>IF(B38="","",VLOOKUP(AD38,Varsayımlar!$B:$Q,9,0))</f>
        <v>Soft-PA3</v>
      </c>
      <c r="S38" s="23">
        <f>IF(B38="","",VLOOKUP(AD38,Varsayımlar!$B:$Q,10,0))</f>
        <v>4</v>
      </c>
      <c r="T38" s="23">
        <f>IF(B38="","",VLOOKUP(AD38,Varsayımlar!$B:$Q,11,0))</f>
        <v>30</v>
      </c>
      <c r="U38" s="23">
        <f>IF(B38="","",VLOOKUP(AD38,Varsayımlar!$B:$Q,12,0))</f>
        <v>240</v>
      </c>
      <c r="V38" s="23" t="str">
        <f>IF(B38="","",VLOOKUP(AD38,Varsayımlar!$B:$Q,13,0))</f>
        <v>Yurtdışı</v>
      </c>
      <c r="W38" s="23">
        <f>IF(B38="","",VLOOKUP(AD38,Varsayımlar!$B:$Q,14,0))</f>
        <v>12</v>
      </c>
      <c r="X38" s="25"/>
      <c r="Y38" s="25"/>
      <c r="Z38" s="23"/>
      <c r="AA38" s="23" t="str">
        <f>IF(B38="","",VLOOKUP(AD38,Varsayımlar!$B:$Q,15,0))</f>
        <v>25cm Kolisi-Etiketli</v>
      </c>
      <c r="AB38" s="23" t="str">
        <f>IF(B38="","",VLOOKUP(AD38,Varsayımlar!$B:$Q,16,0))</f>
        <v>24-26 cm (Macca Hetto Inkjet Uzun Tarih)</v>
      </c>
      <c r="AC38" s="23" t="str">
        <f>IF(B38="","",VLOOKUP(Sayfa1!AD38,Varsayımlar!B:S,18,0))</f>
        <v>80x120cm</v>
      </c>
      <c r="AD38" s="4" t="str">
        <f t="shared" si="5"/>
        <v>LAIKYUZHN-BELARUSTortillas 25cm Ispanaklı 4pcs 240g</v>
      </c>
    </row>
    <row r="39" spans="1:30" ht="47.25" x14ac:dyDescent="0.25">
      <c r="A39" s="10" t="s">
        <v>152</v>
      </c>
      <c r="B39" s="35" t="s">
        <v>268</v>
      </c>
      <c r="C39" s="24">
        <f>IF(B39="","",VLOOKUP(AD39,Varsayımlar!$B:$Q,3,0))</f>
        <v>8698829380698</v>
      </c>
      <c r="D39" s="24" t="s">
        <v>160</v>
      </c>
      <c r="E39" s="35" t="s">
        <v>278</v>
      </c>
      <c r="F39" s="23" t="s">
        <v>343</v>
      </c>
      <c r="G39" s="39" t="s">
        <v>68</v>
      </c>
      <c r="H39" s="23" t="str">
        <f>IF(B39="","",VLOOKUP(AD39,Varsayımlar!$B:$Q,5,0))</f>
        <v>Magnit Tortillas 25cm Peynirli</v>
      </c>
      <c r="I39" s="23" t="str">
        <f>IF(B39="","",VLOOKUP(AD39,Varsayımlar!B:T,19,0))</f>
        <v>Etiketli</v>
      </c>
      <c r="J39" s="23" t="str">
        <f>IF(B39="","",VLOOKUP(AD39,Varsayımlar!$B:$Q,6,0))</f>
        <v>Peynirli</v>
      </c>
      <c r="K39" s="23">
        <v>504</v>
      </c>
      <c r="L39" s="23"/>
      <c r="M39" s="23">
        <f>IFERROR(IF(B39="","",K39/VLOOKUP(AD39,Varsayımlar!B:R,17,0)),"")</f>
        <v>6</v>
      </c>
      <c r="N39" s="23"/>
      <c r="O39" s="23"/>
      <c r="P39" s="23">
        <f>IF(B39="","",VLOOKUP(AD39,Varsayımlar!$B:$Q,7,0)*K39)</f>
        <v>15120</v>
      </c>
      <c r="Q39" s="23">
        <f>IF(B39="","",VLOOKUP(AD39,Varsayımlar!$B:$Q,8,0))</f>
        <v>25</v>
      </c>
      <c r="R39" s="23" t="str">
        <f>IF(B39="","",VLOOKUP(AD39,Varsayımlar!$B:$Q,9,0))</f>
        <v>Soft-PA3-AT</v>
      </c>
      <c r="S39" s="23">
        <f>IF(B39="","",VLOOKUP(AD39,Varsayımlar!$B:$Q,10,0))</f>
        <v>4</v>
      </c>
      <c r="T39" s="23">
        <f>IF(B39="","",VLOOKUP(AD39,Varsayımlar!$B:$Q,11,0))</f>
        <v>30</v>
      </c>
      <c r="U39" s="23">
        <f>IF(B39="","",VLOOKUP(AD39,Varsayımlar!$B:$Q,12,0))</f>
        <v>250</v>
      </c>
      <c r="V39" s="23" t="str">
        <f>IF(B39="","",VLOOKUP(AD39,Varsayımlar!$B:$Q,13,0))</f>
        <v>Yurtdışı</v>
      </c>
      <c r="W39" s="23">
        <f>IF(B39="","",VLOOKUP(AD39,Varsayımlar!$B:$Q,14,0))</f>
        <v>9</v>
      </c>
      <c r="X39" s="25"/>
      <c r="Y39" s="25"/>
      <c r="Z39" s="23"/>
      <c r="AA39" s="23" t="str">
        <f>IF(B39="","",VLOOKUP(AD39,Varsayımlar!$B:$Q,15,0))</f>
        <v>25cm Kolisi-Etiketli</v>
      </c>
      <c r="AB39" s="23" t="str">
        <f>IF(B39="","",VLOOKUP(AD39,Varsayımlar!$B:$Q,16,0))</f>
        <v>24-26 cm (Macca Hetto Inkjet Uzun Tarih)</v>
      </c>
      <c r="AC39" s="23" t="str">
        <f>IF(B39="","",VLOOKUP(Sayfa1!AD39,Varsayımlar!B:S,18,0))</f>
        <v>80x120cm</v>
      </c>
      <c r="AD39" s="4" t="str">
        <f t="shared" si="5"/>
        <v>LAIKYUZHN-BELARUSMagnit Tortillas 25cm Peynirli 4pcs 240g</v>
      </c>
    </row>
    <row r="40" spans="1:30" ht="31.5" x14ac:dyDescent="0.25">
      <c r="A40" s="10" t="s">
        <v>153</v>
      </c>
      <c r="B40" s="46" t="s">
        <v>288</v>
      </c>
      <c r="C40" s="15">
        <f>IF(B40="","",VLOOKUP(AD40,Varsayımlar!$B:$Q,3,0))</f>
        <v>8698829380698</v>
      </c>
      <c r="D40" s="15"/>
      <c r="E40" s="46" t="s">
        <v>289</v>
      </c>
      <c r="F40" s="14">
        <v>20201016</v>
      </c>
      <c r="G40" s="3" t="s">
        <v>68</v>
      </c>
      <c r="H40" s="14" t="str">
        <f>IF(B40="","",VLOOKUP(AD40,Varsayımlar!$B:$Q,5,0))</f>
        <v>Tortillas 25cm Tam Buğday</v>
      </c>
      <c r="I40" s="14" t="str">
        <f>IF(B40="","",VLOOKUP(AD40,Varsayımlar!B:T,19,0))</f>
        <v>Arka kısma İçerik</v>
      </c>
      <c r="J40" s="14" t="str">
        <f>IF(B40="","",VLOOKUP(AD40,Varsayımlar!$B:$Q,6,0))</f>
        <v>Tam Buğdaylı</v>
      </c>
      <c r="K40" s="14">
        <v>250</v>
      </c>
      <c r="L40" s="14"/>
      <c r="M40" s="14">
        <f>IFERROR(IF(B40="","",K40/VLOOKUP(AD40,Varsayımlar!B:R,17,0)),"")</f>
        <v>5</v>
      </c>
      <c r="N40" s="14"/>
      <c r="O40" s="14"/>
      <c r="P40" s="14">
        <f>IF(B40="","",VLOOKUP(AD40,Varsayımlar!$B:$Q,7,0)*K40)</f>
        <v>4500</v>
      </c>
      <c r="Q40" s="14">
        <f>IF(B40="","",VLOOKUP(AD40,Varsayımlar!$B:$Q,8,0))</f>
        <v>25</v>
      </c>
      <c r="R40" s="14" t="str">
        <f>IF(B40="","",VLOOKUP(AD40,Varsayımlar!$B:$Q,9,0))</f>
        <v>Irak Soft</v>
      </c>
      <c r="S40" s="14">
        <f>IF(B40="","",VLOOKUP(AD40,Varsayımlar!$B:$Q,10,0))</f>
        <v>6</v>
      </c>
      <c r="T40" s="14">
        <f>IF(B40="","",VLOOKUP(AD40,Varsayımlar!$B:$Q,11,0))</f>
        <v>18</v>
      </c>
      <c r="U40" s="14">
        <f>IF(B40="","",VLOOKUP(AD40,Varsayımlar!$B:$Q,12,0))</f>
        <v>390</v>
      </c>
      <c r="V40" s="14" t="str">
        <f>IF(B40="","",VLOOKUP(AD40,Varsayımlar!$B:$Q,13,0))</f>
        <v>YURTDIŞI</v>
      </c>
      <c r="W40" s="14">
        <f>IF(B40="","",VLOOKUP(AD40,Varsayımlar!$B:$Q,14,0))</f>
        <v>9</v>
      </c>
      <c r="X40" s="16"/>
      <c r="Y40" s="16"/>
      <c r="Z40" s="14"/>
      <c r="AA40" s="14" t="str">
        <f>IF(B40="","",VLOOKUP(AD40,Varsayımlar!$B:$Q,15,0))</f>
        <v>25cm Koli-Kazakça Etiketli</v>
      </c>
      <c r="AB40" s="14" t="str">
        <f>IF(B40="","",VLOOKUP(AD40,Varsayımlar!$B:$Q,16,0))</f>
        <v>24-26 cm</v>
      </c>
      <c r="AC40" s="14" t="str">
        <f>IF(B40="","",VLOOKUP(Sayfa1!AD40,Varsayımlar!B:S,18,0))</f>
        <v>80x120cm</v>
      </c>
      <c r="AD40" s="4" t="str">
        <f t="shared" ref="AD40:AD44" si="7">IF(B40="","",CONCATENATE(B40,E40))</f>
        <v>UNITERA-KAZAKİSTANTortillas 25cm Tam Buğday 6pcs 390g</v>
      </c>
    </row>
    <row r="41" spans="1:30" ht="31.5" x14ac:dyDescent="0.25">
      <c r="A41" s="10" t="s">
        <v>154</v>
      </c>
      <c r="B41" s="46" t="s">
        <v>288</v>
      </c>
      <c r="C41" s="15">
        <f>IF(B41="","",VLOOKUP(AD41,Varsayımlar!$B:$Q,3,0))</f>
        <v>8698829380698</v>
      </c>
      <c r="D41" s="15"/>
      <c r="E41" s="46" t="s">
        <v>252</v>
      </c>
      <c r="F41" s="14">
        <v>20201016</v>
      </c>
      <c r="G41" s="3" t="s">
        <v>68</v>
      </c>
      <c r="H41" s="14" t="str">
        <f>IF(B41="","",VLOOKUP(AD41,Varsayımlar!$B:$Q,5,0))</f>
        <v>Tortillas 20cm Sade</v>
      </c>
      <c r="I41" s="14" t="str">
        <f>IF(B41="","",VLOOKUP(AD41,Varsayımlar!B:T,19,0))</f>
        <v>Arka kısma İçerik</v>
      </c>
      <c r="J41" s="14" t="str">
        <f>IF(B41="","",VLOOKUP(AD41,Varsayımlar!$B:$Q,6,0))</f>
        <v>SADE</v>
      </c>
      <c r="K41" s="14">
        <v>300</v>
      </c>
      <c r="L41" s="14"/>
      <c r="M41" s="14">
        <f>IFERROR(IF(B41="","",K41/VLOOKUP(AD41,Varsayımlar!B:R,17,0)),"")</f>
        <v>3</v>
      </c>
      <c r="N41" s="14"/>
      <c r="O41" s="14"/>
      <c r="P41" s="14">
        <f>IF(B41="","",VLOOKUP(AD41,Varsayımlar!$B:$Q,7,0)*K41)</f>
        <v>5400</v>
      </c>
      <c r="Q41" s="14">
        <f>IF(B41="","",VLOOKUP(AD41,Varsayımlar!$B:$Q,8,0))</f>
        <v>20</v>
      </c>
      <c r="R41" s="14" t="str">
        <f>IF(B41="","",VLOOKUP(AD41,Varsayımlar!$B:$Q,9,0))</f>
        <v>Irak Soft</v>
      </c>
      <c r="S41" s="14">
        <f>IF(B41="","",VLOOKUP(AD41,Varsayımlar!$B:$Q,10,0))</f>
        <v>6</v>
      </c>
      <c r="T41" s="14">
        <f>IF(B41="","",VLOOKUP(AD41,Varsayımlar!$B:$Q,11,0))</f>
        <v>18</v>
      </c>
      <c r="U41" s="14">
        <f>IF(B41="","",VLOOKUP(AD41,Varsayımlar!$B:$Q,12,0))</f>
        <v>270</v>
      </c>
      <c r="V41" s="14" t="str">
        <f>IF(B41="","",VLOOKUP(AD41,Varsayımlar!$B:$Q,13,0))</f>
        <v>YURTDIŞI</v>
      </c>
      <c r="W41" s="14">
        <f>IF(B41="","",VLOOKUP(AD41,Varsayımlar!$B:$Q,14,0))</f>
        <v>9</v>
      </c>
      <c r="X41" s="16"/>
      <c r="Y41" s="16"/>
      <c r="Z41" s="14"/>
      <c r="AA41" s="14" t="str">
        <f>IF(B41="","",VLOOKUP(AD41,Varsayımlar!$B:$Q,15,0))</f>
        <v>20cm Koli</v>
      </c>
      <c r="AB41" s="14" t="str">
        <f>IF(B41="","",VLOOKUP(AD41,Varsayımlar!$B:$Q,16,0))</f>
        <v>19-21cm</v>
      </c>
      <c r="AC41" s="14" t="str">
        <f>IF(B41="","",VLOOKUP(Sayfa1!AD41,Varsayımlar!B:S,18,0))</f>
        <v>80x120cm</v>
      </c>
      <c r="AD41" s="4" t="str">
        <f t="shared" si="7"/>
        <v>UNITERA-KAZAKİSTANTortillas 20cm Sade 6pcs 270g</v>
      </c>
    </row>
    <row r="42" spans="1:30" ht="31.5" x14ac:dyDescent="0.25">
      <c r="A42" s="10" t="s">
        <v>155</v>
      </c>
      <c r="B42" s="46" t="s">
        <v>288</v>
      </c>
      <c r="C42" s="15">
        <f>IF(B42="","",VLOOKUP(AD42,Varsayımlar!$B:$Q,3,0))</f>
        <v>8698829380698</v>
      </c>
      <c r="D42" s="15"/>
      <c r="E42" s="46" t="s">
        <v>292</v>
      </c>
      <c r="F42" s="14">
        <v>20201016</v>
      </c>
      <c r="G42" s="3" t="s">
        <v>68</v>
      </c>
      <c r="H42" s="14" t="str">
        <f>IF(B42="","",VLOOKUP(AD42,Varsayımlar!$B:$Q,5,0))</f>
        <v>Kırmızı Tortillas 25cm Sade</v>
      </c>
      <c r="I42" s="14" t="str">
        <f>IF(B42="","",VLOOKUP(AD42,Varsayımlar!B:T,19,0))</f>
        <v>Arka kısma İçerik</v>
      </c>
      <c r="J42" s="14" t="str">
        <f>IF(B42="","",VLOOKUP(AD42,Varsayımlar!$B:$Q,6,0))</f>
        <v>SADE</v>
      </c>
      <c r="K42" s="14">
        <v>250</v>
      </c>
      <c r="L42" s="14"/>
      <c r="M42" s="14">
        <f>IFERROR(IF(B42="","",K42/VLOOKUP(AD42,Varsayımlar!B:R,17,0)),"")</f>
        <v>5</v>
      </c>
      <c r="N42" s="14"/>
      <c r="O42" s="14"/>
      <c r="P42" s="14">
        <f>IF(B42="","",VLOOKUP(AD42,Varsayımlar!$B:$Q,7,0)*K42)</f>
        <v>4500</v>
      </c>
      <c r="Q42" s="14">
        <f>IF(B42="","",VLOOKUP(AD42,Varsayımlar!$B:$Q,8,0))</f>
        <v>25</v>
      </c>
      <c r="R42" s="14" t="str">
        <f>IF(B42="","",VLOOKUP(AD42,Varsayımlar!$B:$Q,9,0))</f>
        <v>Irak Soft</v>
      </c>
      <c r="S42" s="14">
        <f>IF(B42="","",VLOOKUP(AD42,Varsayımlar!$B:$Q,10,0))</f>
        <v>6</v>
      </c>
      <c r="T42" s="14">
        <f>IF(B42="","",VLOOKUP(AD42,Varsayımlar!$B:$Q,11,0))</f>
        <v>18</v>
      </c>
      <c r="U42" s="14">
        <f>IF(B42="","",VLOOKUP(AD42,Varsayımlar!$B:$Q,12,0))</f>
        <v>390</v>
      </c>
      <c r="V42" s="14" t="str">
        <f>IF(B42="","",VLOOKUP(AD42,Varsayımlar!$B:$Q,13,0))</f>
        <v>YURTDIŞI</v>
      </c>
      <c r="W42" s="14">
        <f>IF(B42="","",VLOOKUP(AD42,Varsayımlar!$B:$Q,14,0))</f>
        <v>9</v>
      </c>
      <c r="X42" s="16"/>
      <c r="Y42" s="16"/>
      <c r="Z42" s="14"/>
      <c r="AA42" s="14" t="str">
        <f>IF(B42="","",VLOOKUP(AD42,Varsayımlar!$B:$Q,15,0))</f>
        <v>25cm Koli</v>
      </c>
      <c r="AB42" s="14" t="str">
        <f>IF(B42="","",VLOOKUP(AD42,Varsayımlar!$B:$Q,16,0))</f>
        <v>24-26 cm</v>
      </c>
      <c r="AC42" s="14" t="str">
        <f>IF(B42="","",VLOOKUP(Sayfa1!AD42,Varsayımlar!B:S,18,0))</f>
        <v>80x120cm</v>
      </c>
      <c r="AD42" s="4" t="str">
        <f t="shared" si="7"/>
        <v>UNITERA-KAZAKİSTANKırmızı Tortillas 25cm Sade 6pcs 390g</v>
      </c>
    </row>
    <row r="43" spans="1:30" x14ac:dyDescent="0.25">
      <c r="A43" s="10" t="s">
        <v>156</v>
      </c>
      <c r="B43" s="14"/>
      <c r="C43" s="15" t="str">
        <f>IF(B43="","",VLOOKUP(AD43,Varsayımlar!$B:$Q,3,0))</f>
        <v/>
      </c>
      <c r="D43" s="15"/>
      <c r="E43" s="15"/>
      <c r="F43" s="14"/>
      <c r="G43" s="3"/>
      <c r="H43" s="14" t="str">
        <f>IF(B43="","",VLOOKUP(AD43,Varsayımlar!$B:$Q,5,0))</f>
        <v/>
      </c>
      <c r="I43" s="14" t="str">
        <f>IF(B43="","",VLOOKUP(AD43,Varsayımlar!B:T,19,0))</f>
        <v/>
      </c>
      <c r="J43" s="14" t="str">
        <f>IF(B43="","",VLOOKUP(AD43,Varsayımlar!$B:$Q,6,0))</f>
        <v/>
      </c>
      <c r="K43" s="14"/>
      <c r="L43" s="14"/>
      <c r="M43" s="14" t="str">
        <f>IFERROR(IF(B43="","",K43/VLOOKUP(AD43,Varsayımlar!B:R,17,0)),"")</f>
        <v/>
      </c>
      <c r="N43" s="14"/>
      <c r="O43" s="14"/>
      <c r="P43" s="14" t="str">
        <f>IF(B43="","",VLOOKUP(AD43,Varsayımlar!$B:$Q,7,0)*K43)</f>
        <v/>
      </c>
      <c r="Q43" s="14" t="str">
        <f>IF(B43="","",VLOOKUP(AD43,Varsayımlar!$B:$Q,8,0))</f>
        <v/>
      </c>
      <c r="R43" s="14" t="str">
        <f>IF(B43="","",VLOOKUP(AD43,Varsayımlar!$B:$Q,9,0))</f>
        <v/>
      </c>
      <c r="S43" s="14" t="str">
        <f>IF(B43="","",VLOOKUP(AD43,Varsayımlar!$B:$Q,10,0))</f>
        <v/>
      </c>
      <c r="T43" s="14" t="str">
        <f>IF(B43="","",VLOOKUP(AD43,Varsayımlar!$B:$Q,11,0))</f>
        <v/>
      </c>
      <c r="U43" s="14" t="str">
        <f>IF(B43="","",VLOOKUP(AD43,Varsayımlar!$B:$Q,12,0))</f>
        <v/>
      </c>
      <c r="V43" s="14" t="str">
        <f>IF(B43="","",VLOOKUP(AD43,Varsayımlar!$B:$Q,13,0))</f>
        <v/>
      </c>
      <c r="W43" s="14" t="str">
        <f>IF(B43="","",VLOOKUP(AD43,Varsayımlar!$B:$Q,14,0))</f>
        <v/>
      </c>
      <c r="X43" s="16"/>
      <c r="Y43" s="16"/>
      <c r="Z43" s="14"/>
      <c r="AA43" s="14" t="str">
        <f>IF(B43="","",VLOOKUP(AD43,Varsayımlar!$B:$Q,15,0))</f>
        <v/>
      </c>
      <c r="AB43" s="14" t="str">
        <f>IF(B43="","",VLOOKUP(AD43,Varsayımlar!$B:$Q,16,0))</f>
        <v/>
      </c>
      <c r="AC43" s="14" t="str">
        <f>IF(B43="","",VLOOKUP(Sayfa1!AD43,Varsayımlar!B:S,18,0))</f>
        <v/>
      </c>
      <c r="AD43" s="4" t="str">
        <f t="shared" si="7"/>
        <v/>
      </c>
    </row>
    <row r="44" spans="1:30" x14ac:dyDescent="0.25">
      <c r="A44" s="10" t="s">
        <v>157</v>
      </c>
      <c r="B44" s="14"/>
      <c r="C44" s="15" t="str">
        <f>IF(B44="","",VLOOKUP(AD44,Varsayımlar!$B:$Q,3,0))</f>
        <v/>
      </c>
      <c r="D44" s="15"/>
      <c r="E44" s="15"/>
      <c r="F44" s="14"/>
      <c r="G44" s="3"/>
      <c r="H44" s="14" t="str">
        <f>IF(B44="","",VLOOKUP(AD44,Varsayımlar!$B:$Q,5,0))</f>
        <v/>
      </c>
      <c r="I44" s="14" t="str">
        <f>IF(B44="","",VLOOKUP(AD44,Varsayımlar!B:T,19,0))</f>
        <v/>
      </c>
      <c r="J44" s="14" t="str">
        <f>IF(B44="","",VLOOKUP(AD44,Varsayımlar!$B:$Q,6,0))</f>
        <v/>
      </c>
      <c r="K44" s="14"/>
      <c r="L44" s="14"/>
      <c r="M44" s="14" t="str">
        <f>IFERROR(IF(B44="","",K44/VLOOKUP(AD44,Varsayımlar!B:R,17,0)),"")</f>
        <v/>
      </c>
      <c r="N44" s="14"/>
      <c r="O44" s="14"/>
      <c r="P44" s="14" t="str">
        <f>IF(B44="","",VLOOKUP(AD44,Varsayımlar!$B:$Q,7,0)*K44)</f>
        <v/>
      </c>
      <c r="Q44" s="14" t="str">
        <f>IF(B44="","",VLOOKUP(AD44,Varsayımlar!$B:$Q,8,0))</f>
        <v/>
      </c>
      <c r="R44" s="14" t="str">
        <f>IF(B44="","",VLOOKUP(AD44,Varsayımlar!$B:$Q,9,0))</f>
        <v/>
      </c>
      <c r="S44" s="14" t="str">
        <f>IF(B44="","",VLOOKUP(AD44,Varsayımlar!$B:$Q,10,0))</f>
        <v/>
      </c>
      <c r="T44" s="14" t="str">
        <f>IF(B44="","",VLOOKUP(AD44,Varsayımlar!$B:$Q,11,0))</f>
        <v/>
      </c>
      <c r="U44" s="14" t="str">
        <f>IF(B44="","",VLOOKUP(AD44,Varsayımlar!$B:$Q,12,0))</f>
        <v/>
      </c>
      <c r="V44" s="14" t="str">
        <f>IF(B44="","",VLOOKUP(AD44,Varsayımlar!$B:$Q,13,0))</f>
        <v/>
      </c>
      <c r="W44" s="14" t="str">
        <f>IF(B44="","",VLOOKUP(AD44,Varsayımlar!$B:$Q,14,0))</f>
        <v/>
      </c>
      <c r="X44" s="16"/>
      <c r="Y44" s="16"/>
      <c r="Z44" s="14"/>
      <c r="AA44" s="14" t="str">
        <f>IF(B44="","",VLOOKUP(AD44,Varsayımlar!$B:$Q,15,0))</f>
        <v/>
      </c>
      <c r="AB44" s="14" t="str">
        <f>IF(B44="","",VLOOKUP(AD44,Varsayımlar!$B:$Q,16,0))</f>
        <v/>
      </c>
      <c r="AC44" s="14" t="str">
        <f>IF(B44="","",VLOOKUP(Sayfa1!AD44,Varsayımlar!B:S,18,0))</f>
        <v/>
      </c>
      <c r="AD44" s="4" t="str">
        <f t="shared" si="7"/>
        <v/>
      </c>
    </row>
    <row r="45" spans="1:30" x14ac:dyDescent="0.25">
      <c r="A45" s="10" t="s">
        <v>158</v>
      </c>
      <c r="B45" s="14"/>
      <c r="C45" s="15" t="str">
        <f>IF(B45="","",VLOOKUP(AD45,Varsayımlar!$B:$Q,3,0))</f>
        <v/>
      </c>
      <c r="D45" s="15"/>
      <c r="E45" s="15"/>
      <c r="F45" s="14"/>
      <c r="G45" s="3"/>
      <c r="H45" s="14" t="str">
        <f>IF(B45="","",VLOOKUP(AD45,Varsayımlar!$B:$Q,5,0))</f>
        <v/>
      </c>
      <c r="I45" s="14" t="str">
        <f>IF(B45="","",VLOOKUP(AD45,Varsayımlar!B:T,19,0))</f>
        <v/>
      </c>
      <c r="J45" s="14" t="str">
        <f>IF(B45="","",VLOOKUP(AD45,Varsayımlar!$B:$Q,6,0))</f>
        <v/>
      </c>
      <c r="K45" s="14"/>
      <c r="L45" s="14"/>
      <c r="M45" s="14" t="str">
        <f>IFERROR(IF(B45="","",K45/VLOOKUP(AD45,Varsayımlar!B:R,17,0)),"")</f>
        <v/>
      </c>
      <c r="N45" s="14"/>
      <c r="O45" s="14"/>
      <c r="P45" s="14" t="str">
        <f>IF(B45="","",VLOOKUP(AD45,Varsayımlar!$B:$Q,7,0)*K45)</f>
        <v/>
      </c>
      <c r="Q45" s="14" t="str">
        <f>IF(B45="","",VLOOKUP(AD45,Varsayımlar!$B:$Q,8,0))</f>
        <v/>
      </c>
      <c r="R45" s="14" t="str">
        <f>IF(B45="","",VLOOKUP(AD45,Varsayımlar!$B:$Q,9,0))</f>
        <v/>
      </c>
      <c r="S45" s="14" t="str">
        <f>IF(B45="","",VLOOKUP(AD45,Varsayımlar!$B:$Q,10,0))</f>
        <v/>
      </c>
      <c r="T45" s="14" t="str">
        <f>IF(B45="","",VLOOKUP(AD45,Varsayımlar!$B:$Q,11,0))</f>
        <v/>
      </c>
      <c r="U45" s="14" t="str">
        <f>IF(B45="","",VLOOKUP(AD45,Varsayımlar!$B:$Q,12,0))</f>
        <v/>
      </c>
      <c r="V45" s="14" t="str">
        <f>IF(B45="","",VLOOKUP(AD45,Varsayımlar!$B:$Q,13,0))</f>
        <v/>
      </c>
      <c r="W45" s="14" t="str">
        <f>IF(B45="","",VLOOKUP(AD45,Varsayımlar!$B:$Q,14,0))</f>
        <v/>
      </c>
      <c r="X45" s="16"/>
      <c r="Y45" s="16"/>
      <c r="Z45" s="14"/>
      <c r="AA45" s="14" t="str">
        <f>IF(B45="","",VLOOKUP(AD45,Varsayımlar!$B:$Q,15,0))</f>
        <v/>
      </c>
      <c r="AB45" s="14" t="str">
        <f>IF(B45="","",VLOOKUP(AD45,Varsayımlar!$B:$Q,16,0))</f>
        <v/>
      </c>
      <c r="AC45" s="14" t="str">
        <f>IF(B45="","",VLOOKUP(Sayfa1!AD45,Varsayımlar!B:S,18,0))</f>
        <v/>
      </c>
      <c r="AD45" s="4" t="str">
        <f t="shared" si="5"/>
        <v/>
      </c>
    </row>
    <row r="46" spans="1:30" ht="44.25" customHeight="1" x14ac:dyDescent="0.25">
      <c r="A46" s="174" t="s">
        <v>344</v>
      </c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5"/>
      <c r="AC46" s="38"/>
    </row>
    <row r="47" spans="1:30" s="7" customFormat="1" ht="63" x14ac:dyDescent="0.25">
      <c r="A47" s="8" t="s">
        <v>0</v>
      </c>
      <c r="B47" s="8" t="s">
        <v>1</v>
      </c>
      <c r="C47" s="9" t="s">
        <v>31</v>
      </c>
      <c r="D47" s="9" t="s">
        <v>124</v>
      </c>
      <c r="E47" s="9" t="s">
        <v>36</v>
      </c>
      <c r="F47" s="8" t="s">
        <v>37</v>
      </c>
      <c r="G47" s="8" t="s">
        <v>13</v>
      </c>
      <c r="H47" s="8" t="s">
        <v>2</v>
      </c>
      <c r="I47" s="8" t="s">
        <v>49</v>
      </c>
      <c r="J47" s="8" t="s">
        <v>3</v>
      </c>
      <c r="K47" s="8" t="s">
        <v>21</v>
      </c>
      <c r="L47" s="8" t="s">
        <v>94</v>
      </c>
      <c r="M47" s="8" t="s">
        <v>20</v>
      </c>
      <c r="N47" s="8" t="s">
        <v>165</v>
      </c>
      <c r="O47" s="8" t="s">
        <v>123</v>
      </c>
      <c r="P47" s="8" t="s">
        <v>16</v>
      </c>
      <c r="Q47" s="8" t="s">
        <v>4</v>
      </c>
      <c r="R47" s="8" t="s">
        <v>5</v>
      </c>
      <c r="S47" s="8" t="s">
        <v>6</v>
      </c>
      <c r="T47" s="8" t="s">
        <v>28</v>
      </c>
      <c r="U47" s="8" t="s">
        <v>7</v>
      </c>
      <c r="V47" s="8" t="s">
        <v>8</v>
      </c>
      <c r="W47" s="8" t="s">
        <v>267</v>
      </c>
      <c r="X47" s="8" t="s">
        <v>10</v>
      </c>
      <c r="Y47" s="8" t="s">
        <v>11</v>
      </c>
      <c r="Z47" s="8" t="s">
        <v>12</v>
      </c>
      <c r="AA47" s="8" t="s">
        <v>14</v>
      </c>
      <c r="AB47" s="8" t="s">
        <v>15</v>
      </c>
      <c r="AC47" s="8" t="s">
        <v>208</v>
      </c>
      <c r="AD47" s="7" t="s">
        <v>41</v>
      </c>
    </row>
    <row r="48" spans="1:30" ht="41.25" customHeight="1" x14ac:dyDescent="0.25">
      <c r="A48" s="10" t="s">
        <v>26</v>
      </c>
      <c r="B48" s="14" t="s">
        <v>335</v>
      </c>
      <c r="C48" s="15">
        <f>IF(B48="","",VLOOKUP(AD48,Varsayımlar!$B:$Q,3,0))</f>
        <v>8698829380698</v>
      </c>
      <c r="D48" s="15"/>
      <c r="E48" s="37" t="s">
        <v>319</v>
      </c>
      <c r="F48" s="14"/>
      <c r="G48" s="14"/>
      <c r="H48" s="14" t="str">
        <f>IF(B48="","",VLOOKUP(AD48,Varsayımlar!$B:$Q,5,0))</f>
        <v>Lazeza 25cm</v>
      </c>
      <c r="I48" s="14"/>
      <c r="J48" s="14" t="str">
        <f>IF(B48="","",VLOOKUP(AD48,Varsayımlar!$B:$Q,6,0))</f>
        <v>SADE</v>
      </c>
      <c r="K48" s="14">
        <v>1120</v>
      </c>
      <c r="L48" s="14"/>
      <c r="M48" s="14" t="str">
        <f>IFERROR(IF(B48="","",K48/VLOOKUP(AD48,Varsayımlar!B:R,17,0)),"")</f>
        <v/>
      </c>
      <c r="N48" s="14"/>
      <c r="O48" s="14"/>
      <c r="P48" s="14">
        <f>IF(B48="","",VLOOKUP(AD48,Varsayımlar!$B:$Q,7,0)*K48)</f>
        <v>20160</v>
      </c>
      <c r="Q48" s="14">
        <f>IF(B48="","",VLOOKUP(AD48,Varsayımlar!$B:$Q,8,0))</f>
        <v>25</v>
      </c>
      <c r="R48" s="14" t="str">
        <f>IF(B48="","",VLOOKUP(AD48,Varsayımlar!$B:$Q,9,0))</f>
        <v>Irak Soft</v>
      </c>
      <c r="S48" s="14">
        <f>IF(B48="","",VLOOKUP(AD48,Varsayımlar!$B:$Q,10,0))</f>
        <v>6</v>
      </c>
      <c r="T48" s="14">
        <f>IF(B48="","",VLOOKUP(AD48,Varsayımlar!$B:$Q,11,0))</f>
        <v>18</v>
      </c>
      <c r="U48" s="14">
        <f>IF(B48="","",VLOOKUP(AD48,Varsayımlar!$B:$Q,12,0))</f>
        <v>390</v>
      </c>
      <c r="V48" s="14" t="str">
        <f>IF(B48="","",VLOOKUP(AD48,Varsayımlar!$B:$Q,13,0))</f>
        <v>Yurtdışı</v>
      </c>
      <c r="W48" s="14">
        <f>IF(B48="","",VLOOKUP(AD48,Varsayımlar!$B:$Q,14,0))</f>
        <v>6</v>
      </c>
      <c r="X48" s="16"/>
      <c r="Y48" s="16"/>
      <c r="Z48" s="14"/>
      <c r="AA48" s="14" t="str">
        <f>IF(B48="","",VLOOKUP(AD48,Varsayımlar!$B:$Q,15,0))</f>
        <v>Lazeza Kolisi</v>
      </c>
      <c r="AB48" s="14" t="str">
        <f>IF(B48="","",VLOOKUP(AD48,Varsayımlar!$B:$Q,16,0))</f>
        <v>24-26 cm</v>
      </c>
      <c r="AC48" s="14"/>
      <c r="AD48" s="4" t="str">
        <f t="shared" ref="AD48" si="8">IF(B48="","",CONCATENATE(B48,E48))</f>
        <v>AjjawiLazeza 25 cm 6pcs 390g</v>
      </c>
    </row>
    <row r="49" spans="1:30" ht="31.5" x14ac:dyDescent="0.25">
      <c r="A49" s="10" t="s">
        <v>77</v>
      </c>
      <c r="B49" s="41" t="s">
        <v>321</v>
      </c>
      <c r="C49" s="30">
        <f>IF(B49="","",VLOOKUP(AD49,Varsayımlar!$B:$Q,3,0))</f>
        <v>8698829380698</v>
      </c>
      <c r="D49" s="30"/>
      <c r="E49" s="41" t="s">
        <v>322</v>
      </c>
      <c r="F49" s="29"/>
      <c r="G49" s="29"/>
      <c r="H49" s="29" t="str">
        <f>IF(B49="","",VLOOKUP(AD49,Varsayımlar!$B:$Q,5,0))</f>
        <v>Baskısız 25 cm</v>
      </c>
      <c r="I49" s="29"/>
      <c r="J49" s="29" t="str">
        <f>IF(B49="","",VLOOKUP(AD49,Varsayımlar!$B:$Q,6,0))</f>
        <v>SADE</v>
      </c>
      <c r="K49" s="29">
        <v>750</v>
      </c>
      <c r="L49" s="29"/>
      <c r="M49" s="29" t="str">
        <f>IFERROR(IF(B49="","",K49/VLOOKUP(AD49,Varsayımlar!B:R,17,0)),"")</f>
        <v/>
      </c>
      <c r="N49" s="29"/>
      <c r="O49" s="29"/>
      <c r="P49" s="29">
        <f>IF(B49="","",VLOOKUP(AD49,Varsayımlar!$B:$Q,7,0)*K49)</f>
        <v>10500</v>
      </c>
      <c r="Q49" s="29">
        <f>IF(B49="","",VLOOKUP(AD49,Varsayımlar!$B:$Q,8,0))</f>
        <v>25</v>
      </c>
      <c r="R49" s="29" t="str">
        <f>IF(B49="","",VLOOKUP(AD49,Varsayımlar!$B:$Q,9,0))</f>
        <v>Irak Soft</v>
      </c>
      <c r="S49" s="29">
        <f>IF(B49="","",VLOOKUP(AD49,Varsayımlar!$B:$Q,10,0))</f>
        <v>8</v>
      </c>
      <c r="T49" s="29">
        <f>IF(B49="","",VLOOKUP(AD49,Varsayımlar!$B:$Q,11,0))</f>
        <v>14</v>
      </c>
      <c r="U49" s="29">
        <f>IF(B49="","",VLOOKUP(AD49,Varsayımlar!$B:$Q,12,0))</f>
        <v>480</v>
      </c>
      <c r="V49" s="29" t="str">
        <f>IF(B49="","",VLOOKUP(AD49,Varsayımlar!$B:$Q,13,0))</f>
        <v>Yurtdışı</v>
      </c>
      <c r="W49" s="29">
        <f>IF(B49="","",VLOOKUP(AD49,Varsayımlar!$B:$Q,14,0))</f>
        <v>6</v>
      </c>
      <c r="X49" s="31">
        <v>46185</v>
      </c>
      <c r="Y49" s="31">
        <v>46368</v>
      </c>
      <c r="Z49" s="29">
        <v>26061225</v>
      </c>
      <c r="AA49" s="29" t="str">
        <f>IF(B49="","",VLOOKUP(AD49,Varsayımlar!$B:$Q,15,0))</f>
        <v>Kırmızı Koli</v>
      </c>
      <c r="AB49" s="29" t="str">
        <f>IF(B49="","",VLOOKUP(AD49,Varsayımlar!$B:$Q,16,0))</f>
        <v>24-26 cm</v>
      </c>
      <c r="AC49" s="29"/>
      <c r="AD49" s="4" t="str">
        <f t="shared" ref="AD49:AD71" si="9">IF(B49="","",CONCATENATE(B49,E49))</f>
        <v>Gülbahar CompanyBaskısız 25cm Sade 8pcs 480g</v>
      </c>
    </row>
    <row r="50" spans="1:30" ht="31.5" x14ac:dyDescent="0.25">
      <c r="A50" s="10" t="s">
        <v>78</v>
      </c>
      <c r="B50" s="17" t="s">
        <v>311</v>
      </c>
      <c r="C50" s="18">
        <f>IF(B50="","",VLOOKUP(AD50,Varsayımlar!$B:$Q,3,0))</f>
        <v>8698829380698</v>
      </c>
      <c r="D50" s="18"/>
      <c r="E50" s="34" t="s">
        <v>312</v>
      </c>
      <c r="F50" s="17"/>
      <c r="G50" s="40"/>
      <c r="H50" s="17" t="str">
        <f>IF(B50="","",VLOOKUP(AD50,Varsayımlar!$B:$Q,5,0))</f>
        <v xml:space="preserve">Happylla 25cm </v>
      </c>
      <c r="I50" s="17">
        <f>IF(B50="","",VLOOKUP(AD50,Varsayımlar!B:T,19,0))</f>
        <v>0</v>
      </c>
      <c r="J50" s="17" t="str">
        <f>IF(B50="","",VLOOKUP(AD50,Varsayımlar!$B:$Q,6,0))</f>
        <v>SADE</v>
      </c>
      <c r="K50" s="17">
        <v>300</v>
      </c>
      <c r="L50" s="17"/>
      <c r="M50" s="17" t="str">
        <f>IFERROR(IF(B50="","",K50/VLOOKUP(AD50,Varsayımlar!B:R,17,0)),"")</f>
        <v/>
      </c>
      <c r="N50" s="17"/>
      <c r="O50" s="17">
        <v>5</v>
      </c>
      <c r="P50" s="17">
        <f>IF(B50="","",VLOOKUP(AD50,Varsayımlar!$B:$Q,7,0)*K50)</f>
        <v>5400</v>
      </c>
      <c r="Q50" s="17">
        <f>IF(B50="","",VLOOKUP(AD50,Varsayımlar!$B:$Q,8,0))</f>
        <v>25</v>
      </c>
      <c r="R50" s="17" t="str">
        <f>IF(B50="","",VLOOKUP(AD50,Varsayımlar!$B:$Q,9,0))</f>
        <v>Irak Soft</v>
      </c>
      <c r="S50" s="17">
        <f>IF(B50="","",VLOOKUP(AD50,Varsayımlar!$B:$Q,10,0))</f>
        <v>6</v>
      </c>
      <c r="T50" s="17">
        <f>IF(B50="","",VLOOKUP(AD50,Varsayımlar!$B:$Q,11,0))</f>
        <v>18</v>
      </c>
      <c r="U50" s="17">
        <f>IF(B50="","",VLOOKUP(AD50,Varsayımlar!$B:$Q,12,0))</f>
        <v>390</v>
      </c>
      <c r="V50" s="17" t="str">
        <f>IF(B50="","",VLOOKUP(AD50,Varsayımlar!$B:$Q,13,0))</f>
        <v>Yurtdışı</v>
      </c>
      <c r="W50" s="17">
        <f>IF(B50="","",VLOOKUP(AD50,Varsayımlar!$B:$Q,14,0))</f>
        <v>8</v>
      </c>
      <c r="X50" s="19"/>
      <c r="Y50" s="19"/>
      <c r="Z50" s="17"/>
      <c r="AA50" s="17" t="str">
        <f>IF(B50="","",VLOOKUP(AD50,Varsayımlar!$B:$Q,15,0))</f>
        <v>Kırmızı Koli</v>
      </c>
      <c r="AB50" s="17" t="str">
        <f>IF(B50="","",VLOOKUP(AD50,Varsayımlar!$B:$Q,16,0))</f>
        <v>24-26cm</v>
      </c>
      <c r="AC50" s="17">
        <f>IF(B50="","",VLOOKUP(Sayfa1!AD50,Varsayımlar!B:S,18,0))</f>
        <v>0</v>
      </c>
      <c r="AD50" s="4" t="str">
        <f>IF(B50="","",CONCATENATE(B50,E50))</f>
        <v>Sons Of HannaHappylla 25cm Sade 6pcs 390g</v>
      </c>
    </row>
    <row r="51" spans="1:30" ht="31.5" x14ac:dyDescent="0.25">
      <c r="A51" s="10" t="s">
        <v>79</v>
      </c>
      <c r="B51" s="45" t="s">
        <v>218</v>
      </c>
      <c r="C51" s="12">
        <f>IF(B51="","",VLOOKUP(AD51,Varsayımlar!$B:$Q,3,0))</f>
        <v>8698829380698</v>
      </c>
      <c r="D51" s="12" t="s">
        <v>159</v>
      </c>
      <c r="E51" s="45" t="s">
        <v>228</v>
      </c>
      <c r="F51" s="11">
        <v>26042906</v>
      </c>
      <c r="G51" s="32"/>
      <c r="H51" s="11" t="str">
        <f>IF(B51="","",VLOOKUP(AD51,Varsayımlar!$B:$Q,5,0))</f>
        <v>Tortillas Avrupa 25cm (698)</v>
      </c>
      <c r="I51" s="11">
        <f>IF(B51="","",VLOOKUP(AD51,Varsayımlar!B:T,19,0))</f>
        <v>0</v>
      </c>
      <c r="J51" s="11" t="str">
        <f>IF(B51="","",VLOOKUP(AD51,Varsayımlar!$B:$Q,6,0))</f>
        <v>SADE</v>
      </c>
      <c r="K51" s="11">
        <v>720</v>
      </c>
      <c r="L51" s="11"/>
      <c r="M51" s="11">
        <f>IFERROR(IF(B51="","",K51/VLOOKUP(AD51,Varsayımlar!B:R,17,0)),"")</f>
        <v>6</v>
      </c>
      <c r="N51" s="11"/>
      <c r="O51" s="11">
        <v>8</v>
      </c>
      <c r="P51" s="11">
        <f>IF(B51="","",VLOOKUP(AD51,Varsayımlar!$B:$Q,7,0)*K51)</f>
        <v>5760</v>
      </c>
      <c r="Q51" s="11">
        <f>IF(B51="","",VLOOKUP(AD51,Varsayımlar!$B:$Q,8,0))</f>
        <v>25</v>
      </c>
      <c r="R51" s="11" t="str">
        <f>IF(B51="","",VLOOKUP(AD51,Varsayımlar!$B:$Q,9,0))</f>
        <v>Irak Soft</v>
      </c>
      <c r="S51" s="11">
        <f>IF(B51="","",VLOOKUP(AD51,Varsayımlar!$B:$Q,10,0))</f>
        <v>10</v>
      </c>
      <c r="T51" s="11">
        <f>IF(B51="","",VLOOKUP(AD51,Varsayımlar!$B:$Q,11,0))</f>
        <v>8</v>
      </c>
      <c r="U51" s="11">
        <f>IF(B51="","",VLOOKUP(AD51,Varsayımlar!$B:$Q,12,0))</f>
        <v>650</v>
      </c>
      <c r="V51" s="11" t="str">
        <f>IF(B51="","",VLOOKUP(AD51,Varsayımlar!$B:$Q,13,0))</f>
        <v>Yurtdışı</v>
      </c>
      <c r="W51" s="11">
        <f>IF(B51="","",VLOOKUP(AD51,Varsayımlar!$B:$Q,14,0))</f>
        <v>9</v>
      </c>
      <c r="X51" s="13"/>
      <c r="Y51" s="13"/>
      <c r="Z51" s="11"/>
      <c r="AA51" s="11" t="str">
        <f>IF(B51="","",VLOOKUP(AD51,Varsayımlar!$B:$Q,15,0))</f>
        <v>25cm Perforeli-Bulgarca etiket</v>
      </c>
      <c r="AB51" s="11" t="str">
        <f>IF(B51="","",VLOOKUP(AD51,Varsayımlar!$B:$Q,16,0))</f>
        <v>24-26 cm</v>
      </c>
      <c r="AC51" s="11" t="str">
        <f>IF(B51="","",VLOOKUP(Sayfa1!AD51,Varsayımlar!B:S,18,0))</f>
        <v>80x120cm -Epal+Epal</v>
      </c>
      <c r="AD51" s="4" t="str">
        <f>IF(B51="","",CONCATENATE(B51,E51))</f>
        <v>TASTE LAND-BULGARİSTANTortillas 25cm Sade 10pcs 650g</v>
      </c>
    </row>
    <row r="52" spans="1:30" ht="31.5" x14ac:dyDescent="0.25">
      <c r="A52" s="10" t="s">
        <v>80</v>
      </c>
      <c r="B52" s="45" t="s">
        <v>218</v>
      </c>
      <c r="C52" s="12">
        <f>IF(B52="","",VLOOKUP(AD52,Varsayımlar!$B:$Q,3,0))</f>
        <v>8698829380698</v>
      </c>
      <c r="D52" s="12" t="s">
        <v>159</v>
      </c>
      <c r="E52" s="45" t="s">
        <v>229</v>
      </c>
      <c r="F52" s="11">
        <v>26042906</v>
      </c>
      <c r="G52" s="32"/>
      <c r="H52" s="11" t="str">
        <f>IF(B52="","",VLOOKUP(AD52,Varsayımlar!$B:$Q,5,0))</f>
        <v>Tortillas Avrupa 25cm Tam Buğday (711)</v>
      </c>
      <c r="I52" s="11">
        <f>IF(B52="","",VLOOKUP(AD52,Varsayımlar!B:T,19,0))</f>
        <v>0</v>
      </c>
      <c r="J52" s="11" t="str">
        <f>IF(B52="","",VLOOKUP(AD52,Varsayımlar!$B:$Q,6,0))</f>
        <v>Tam Buğdaylı</v>
      </c>
      <c r="K52" s="11">
        <v>840</v>
      </c>
      <c r="L52" s="11"/>
      <c r="M52" s="11">
        <f>IFERROR(IF(B52="","",K52/VLOOKUP(AD52,Varsayımlar!B:R,17,0)),"")</f>
        <v>7</v>
      </c>
      <c r="N52" s="11"/>
      <c r="O52" s="11">
        <v>10</v>
      </c>
      <c r="P52" s="11">
        <f>IF(B52="","",VLOOKUP(AD52,Varsayımlar!$B:$Q,7,0)*K52)</f>
        <v>6720</v>
      </c>
      <c r="Q52" s="11">
        <f>IF(B52="","",VLOOKUP(AD52,Varsayımlar!$B:$Q,8,0))</f>
        <v>25</v>
      </c>
      <c r="R52" s="11" t="str">
        <f>IF(B52="","",VLOOKUP(AD52,Varsayımlar!$B:$Q,9,0))</f>
        <v>Irak Soft</v>
      </c>
      <c r="S52" s="11">
        <f>IF(B52="","",VLOOKUP(AD52,Varsayımlar!$B:$Q,10,0))</f>
        <v>10</v>
      </c>
      <c r="T52" s="11">
        <f>IF(B52="","",VLOOKUP(AD52,Varsayımlar!$B:$Q,11,0))</f>
        <v>8</v>
      </c>
      <c r="U52" s="11">
        <f>IF(B52="","",VLOOKUP(AD52,Varsayımlar!$B:$Q,12,0))</f>
        <v>650</v>
      </c>
      <c r="V52" s="11" t="str">
        <f>IF(B52="","",VLOOKUP(AD52,Varsayımlar!$B:$Q,13,0))</f>
        <v>Yurtdışı</v>
      </c>
      <c r="W52" s="11">
        <f>IF(B52="","",VLOOKUP(AD52,Varsayımlar!$B:$Q,14,0))</f>
        <v>9</v>
      </c>
      <c r="X52" s="13"/>
      <c r="Y52" s="13"/>
      <c r="Z52" s="11"/>
      <c r="AA52" s="11" t="str">
        <f>IF(B52="","",VLOOKUP(AD52,Varsayımlar!$B:$Q,15,0))</f>
        <v>25cm Perforeli-Bulgarca TB etiket</v>
      </c>
      <c r="AB52" s="11" t="str">
        <f>IF(B52="","",VLOOKUP(AD52,Varsayımlar!$B:$Q,16,0))</f>
        <v>24-26 cm</v>
      </c>
      <c r="AC52" s="11" t="str">
        <f>IF(B52="","",VLOOKUP(Sayfa1!AD52,Varsayımlar!B:S,18,0))</f>
        <v>80x120cm -Epal+Epal</v>
      </c>
      <c r="AD52" s="4" t="str">
        <f t="shared" ref="AD52:AD54" si="10">IF(B52="","",CONCATENATE(B52,E52))</f>
        <v>TASTE LAND-BULGARİSTANTortillas 25cm Tam Buğday 10pcs 650g</v>
      </c>
    </row>
    <row r="53" spans="1:30" ht="47.25" x14ac:dyDescent="0.25">
      <c r="A53" s="10" t="s">
        <v>81</v>
      </c>
      <c r="B53" s="45" t="s">
        <v>218</v>
      </c>
      <c r="C53" s="12">
        <f>IF(B53="","",VLOOKUP(AD53,Varsayımlar!$B:$Q,3,0))</f>
        <v>8698829380698</v>
      </c>
      <c r="D53" s="12" t="s">
        <v>159</v>
      </c>
      <c r="E53" s="45" t="s">
        <v>232</v>
      </c>
      <c r="F53" s="11">
        <v>26042906</v>
      </c>
      <c r="G53" s="32"/>
      <c r="H53" s="11" t="str">
        <f>IF(B53="","",VLOOKUP(AD53,Varsayımlar!$B:$Q,5,0))</f>
        <v>Tortillas Avrupa 25cm Domatesli (074)</v>
      </c>
      <c r="I53" s="11">
        <f>IF(B53="","",VLOOKUP(AD53,Varsayımlar!B:T,19,0))</f>
        <v>0</v>
      </c>
      <c r="J53" s="11" t="str">
        <f>IF(B53="","",VLOOKUP(AD53,Varsayımlar!$B:$Q,6,0))</f>
        <v>Domatesli</v>
      </c>
      <c r="K53" s="11">
        <v>360</v>
      </c>
      <c r="L53" s="11"/>
      <c r="M53" s="11">
        <f>IFERROR(IF(B53="","",K53/VLOOKUP(AD53,Varsayımlar!B:R,17,0)),"")</f>
        <v>3</v>
      </c>
      <c r="N53" s="11"/>
      <c r="O53" s="11">
        <v>4</v>
      </c>
      <c r="P53" s="11">
        <f>IF(B53="","",VLOOKUP(AD53,Varsayımlar!$B:$Q,7,0)*K53)</f>
        <v>4320</v>
      </c>
      <c r="Q53" s="11">
        <f>IF(B53="","",VLOOKUP(AD53,Varsayımlar!$B:$Q,8,0))</f>
        <v>25</v>
      </c>
      <c r="R53" s="11" t="str">
        <f>IF(B53="","",VLOOKUP(AD53,Varsayımlar!$B:$Q,9,0))</f>
        <v>Irak Soft</v>
      </c>
      <c r="S53" s="11">
        <f>IF(B53="","",VLOOKUP(AD53,Varsayımlar!$B:$Q,10,0))</f>
        <v>6</v>
      </c>
      <c r="T53" s="11">
        <f>IF(B53="","",VLOOKUP(AD53,Varsayımlar!$B:$Q,11,0))</f>
        <v>12</v>
      </c>
      <c r="U53" s="11">
        <f>IF(B53="","",VLOOKUP(AD53,Varsayımlar!$B:$Q,12,0))</f>
        <v>390</v>
      </c>
      <c r="V53" s="11" t="str">
        <f>IF(B53="","",VLOOKUP(AD53,Varsayımlar!$B:$Q,13,0))</f>
        <v>Yurtdışı</v>
      </c>
      <c r="W53" s="11">
        <f>IF(B53="","",VLOOKUP(AD53,Varsayımlar!$B:$Q,14,0))</f>
        <v>9</v>
      </c>
      <c r="X53" s="13"/>
      <c r="Y53" s="13"/>
      <c r="Z53" s="11"/>
      <c r="AA53" s="11" t="str">
        <f>IF(B53="","",VLOOKUP(AD53,Varsayımlar!$B:$Q,15,0))</f>
        <v>25cm Perforeli-Bulgarca Domatesli etiket</v>
      </c>
      <c r="AB53" s="11" t="str">
        <f>IF(B53="","",VLOOKUP(AD53,Varsayımlar!$B:$Q,16,0))</f>
        <v>24-26 cm</v>
      </c>
      <c r="AC53" s="11" t="str">
        <f>IF(B53="","",VLOOKUP(Sayfa1!AD53,Varsayımlar!B:S,18,0))</f>
        <v>80x120cm -Epal+Epal</v>
      </c>
      <c r="AD53" s="4" t="str">
        <f t="shared" si="10"/>
        <v>TASTE LAND-BULGARİSTANTortillas 25cm Domatesli 6pcs 390g</v>
      </c>
    </row>
    <row r="54" spans="1:30" ht="47.25" x14ac:dyDescent="0.25">
      <c r="A54" s="10" t="s">
        <v>82</v>
      </c>
      <c r="B54" s="45" t="s">
        <v>218</v>
      </c>
      <c r="C54" s="12">
        <f>IF(B54="","",VLOOKUP(AD54,Varsayımlar!$B:$Q,3,0))</f>
        <v>8698829380698</v>
      </c>
      <c r="D54" s="12" t="s">
        <v>159</v>
      </c>
      <c r="E54" s="45" t="s">
        <v>235</v>
      </c>
      <c r="F54" s="11">
        <v>26042906</v>
      </c>
      <c r="G54" s="32"/>
      <c r="H54" s="11" t="str">
        <f>IF(B54="","",VLOOKUP(AD54,Varsayımlar!$B:$Q,5,0))</f>
        <v>Tortillas Avrupa 25cm Ispanaklı (081)</v>
      </c>
      <c r="I54" s="11">
        <f>IF(B54="","",VLOOKUP(AD54,Varsayımlar!B:T,19,0))</f>
        <v>0</v>
      </c>
      <c r="J54" s="11" t="str">
        <f>IF(B54="","",VLOOKUP(AD54,Varsayımlar!$B:$Q,6,0))</f>
        <v>Ispanaklı</v>
      </c>
      <c r="K54" s="11">
        <v>360</v>
      </c>
      <c r="L54" s="11"/>
      <c r="M54" s="11">
        <f>IFERROR(IF(B54="","",K54/VLOOKUP(AD54,Varsayımlar!B:R,17,0)),"")</f>
        <v>3</v>
      </c>
      <c r="N54" s="11"/>
      <c r="O54" s="11">
        <v>4</v>
      </c>
      <c r="P54" s="11">
        <f>IF(B54="","",VLOOKUP(AD54,Varsayımlar!$B:$Q,7,0)*K54)</f>
        <v>4320</v>
      </c>
      <c r="Q54" s="11">
        <f>IF(B54="","",VLOOKUP(AD54,Varsayımlar!$B:$Q,8,0))</f>
        <v>25</v>
      </c>
      <c r="R54" s="11" t="str">
        <f>IF(B54="","",VLOOKUP(AD54,Varsayımlar!$B:$Q,9,0))</f>
        <v>Irak Soft</v>
      </c>
      <c r="S54" s="11">
        <f>IF(B54="","",VLOOKUP(AD54,Varsayımlar!$B:$Q,10,0))</f>
        <v>6</v>
      </c>
      <c r="T54" s="11">
        <f>IF(B54="","",VLOOKUP(AD54,Varsayımlar!$B:$Q,11,0))</f>
        <v>12</v>
      </c>
      <c r="U54" s="11">
        <f>IF(B54="","",VLOOKUP(AD54,Varsayımlar!$B:$Q,12,0))</f>
        <v>390</v>
      </c>
      <c r="V54" s="11" t="str">
        <f>IF(B54="","",VLOOKUP(AD54,Varsayımlar!$B:$Q,13,0))</f>
        <v>Yurtdışı</v>
      </c>
      <c r="W54" s="11">
        <f>IF(B54="","",VLOOKUP(AD54,Varsayımlar!$B:$Q,14,0))</f>
        <v>9</v>
      </c>
      <c r="X54" s="13"/>
      <c r="Y54" s="13"/>
      <c r="Z54" s="11"/>
      <c r="AA54" s="11" t="str">
        <f>IF(B54="","",VLOOKUP(AD54,Varsayımlar!$B:$Q,15,0))</f>
        <v>25cm Perforeli-Bulgarca Ispanaklı etiket</v>
      </c>
      <c r="AB54" s="11" t="str">
        <f>IF(B54="","",VLOOKUP(AD54,Varsayımlar!$B:$Q,16,0))</f>
        <v>24-26 cm</v>
      </c>
      <c r="AC54" s="11" t="str">
        <f>IF(B54="","",VLOOKUP(Sayfa1!AD54,Varsayımlar!B:S,18,0))</f>
        <v>80x120cm -Epal+Epal</v>
      </c>
      <c r="AD54" s="4" t="str">
        <f t="shared" si="10"/>
        <v>TASTE LAND-BULGARİSTANTortillas 25cm Ispanaklı 6pcs 390g</v>
      </c>
    </row>
    <row r="55" spans="1:30" ht="47.25" x14ac:dyDescent="0.25">
      <c r="A55" s="10" t="s">
        <v>83</v>
      </c>
      <c r="B55" s="45" t="s">
        <v>218</v>
      </c>
      <c r="C55" s="12">
        <f>IF(B55="","",VLOOKUP(AD55,Varsayımlar!$B:$Q,3,0))</f>
        <v>8698829380698</v>
      </c>
      <c r="D55" s="12" t="s">
        <v>159</v>
      </c>
      <c r="E55" s="45" t="s">
        <v>240</v>
      </c>
      <c r="F55" s="11">
        <v>26042906</v>
      </c>
      <c r="G55" s="32"/>
      <c r="H55" s="11" t="str">
        <f>IF(B55="","",VLOOKUP(AD55,Varsayımlar!$B:$Q,5,0))</f>
        <v>Tortillas Avrupa 25cm Peynirli (098)</v>
      </c>
      <c r="I55" s="11">
        <f>IF(B55="","",VLOOKUP(AD55,Varsayımlar!B:T,19,0))</f>
        <v>0</v>
      </c>
      <c r="J55" s="11" t="str">
        <f>IF(B55="","",VLOOKUP(AD55,Varsayımlar!$B:$Q,6,0))</f>
        <v>Peynirli</v>
      </c>
      <c r="K55" s="11">
        <v>240</v>
      </c>
      <c r="L55" s="11"/>
      <c r="M55" s="11">
        <f>IFERROR(IF(B55="","",K55/VLOOKUP(AD55,Varsayımlar!B:R,17,0)),"")</f>
        <v>2</v>
      </c>
      <c r="N55" s="11"/>
      <c r="O55" s="11">
        <v>3</v>
      </c>
      <c r="P55" s="11">
        <f>IF(B55="","",VLOOKUP(AD55,Varsayımlar!$B:$Q,7,0)*K55)</f>
        <v>2880</v>
      </c>
      <c r="Q55" s="11">
        <f>IF(B55="","",VLOOKUP(AD55,Varsayımlar!$B:$Q,8,0))</f>
        <v>25</v>
      </c>
      <c r="R55" s="11" t="str">
        <f>IF(B55="","",VLOOKUP(AD55,Varsayımlar!$B:$Q,9,0))</f>
        <v>Irak Soft-AT</v>
      </c>
      <c r="S55" s="11">
        <f>IF(B55="","",VLOOKUP(AD55,Varsayımlar!$B:$Q,10,0))</f>
        <v>6</v>
      </c>
      <c r="T55" s="11">
        <f>IF(B55="","",VLOOKUP(AD55,Varsayımlar!$B:$Q,11,0))</f>
        <v>12</v>
      </c>
      <c r="U55" s="11">
        <f>IF(B55="","",VLOOKUP(AD55,Varsayımlar!$B:$Q,12,0))</f>
        <v>390</v>
      </c>
      <c r="V55" s="11" t="str">
        <f>IF(B55="","",VLOOKUP(AD55,Varsayımlar!$B:$Q,13,0))</f>
        <v>Yurtdışı</v>
      </c>
      <c r="W55" s="11">
        <f>IF(B55="","",VLOOKUP(AD55,Varsayımlar!$B:$Q,14,0))</f>
        <v>9</v>
      </c>
      <c r="X55" s="13"/>
      <c r="Y55" s="13"/>
      <c r="Z55" s="11"/>
      <c r="AA55" s="11" t="str">
        <f>IF(B55="","",VLOOKUP(AD55,Varsayımlar!$B:$Q,15,0))</f>
        <v>25cm Perforeli-Bulgarca Peynirli etiket</v>
      </c>
      <c r="AB55" s="11" t="str">
        <f>IF(B55="","",VLOOKUP(AD55,Varsayımlar!$B:$Q,16,0))</f>
        <v>24-26 cm</v>
      </c>
      <c r="AC55" s="11" t="str">
        <f>IF(B55="","",VLOOKUP(Sayfa1!AD55,Varsayımlar!B:S,18,0))</f>
        <v>80x120cm -Epal+Epal</v>
      </c>
      <c r="AD55" s="4" t="str">
        <f t="shared" ref="AD55:AD56" si="11">IF(B55="","",CONCATENATE(B55,E55))</f>
        <v>TASTE LAND-BULGARİSTANTortillas 25cm Peynirli 6pcs 390g</v>
      </c>
    </row>
    <row r="56" spans="1:30" ht="31.5" x14ac:dyDescent="0.25">
      <c r="A56" s="10" t="s">
        <v>84</v>
      </c>
      <c r="B56" s="47" t="s">
        <v>218</v>
      </c>
      <c r="C56" s="21">
        <f>IF(B56="","",VLOOKUP(AD56,Varsayımlar!$B:$Q,3,0))</f>
        <v>8698829380698</v>
      </c>
      <c r="D56" s="21" t="s">
        <v>160</v>
      </c>
      <c r="E56" s="47" t="s">
        <v>228</v>
      </c>
      <c r="F56" s="20">
        <v>26042907</v>
      </c>
      <c r="G56" s="44"/>
      <c r="H56" s="20" t="str">
        <f>IF(B56="","",VLOOKUP(AD56,Varsayımlar!$B:$Q,5,0))</f>
        <v>Tortillas Avrupa 25cm (698)</v>
      </c>
      <c r="I56" s="20">
        <f>IF(B56="","",VLOOKUP(AD56,Varsayımlar!B:T,19,0))</f>
        <v>0</v>
      </c>
      <c r="J56" s="20" t="str">
        <f>IF(B56="","",VLOOKUP(AD56,Varsayımlar!$B:$Q,6,0))</f>
        <v>SADE</v>
      </c>
      <c r="K56" s="20">
        <v>720</v>
      </c>
      <c r="L56" s="20"/>
      <c r="M56" s="20">
        <f>IFERROR(IF(B56="","",K56/VLOOKUP(AD56,Varsayımlar!B:R,17,0)),"")</f>
        <v>6</v>
      </c>
      <c r="N56" s="20"/>
      <c r="O56" s="20">
        <v>8</v>
      </c>
      <c r="P56" s="20">
        <f>IF(B56="","",VLOOKUP(AD56,Varsayımlar!$B:$Q,7,0)*K56)</f>
        <v>5760</v>
      </c>
      <c r="Q56" s="20">
        <f>IF(B56="","",VLOOKUP(AD56,Varsayımlar!$B:$Q,8,0))</f>
        <v>25</v>
      </c>
      <c r="R56" s="20" t="str">
        <f>IF(B56="","",VLOOKUP(AD56,Varsayımlar!$B:$Q,9,0))</f>
        <v>Irak Soft</v>
      </c>
      <c r="S56" s="20">
        <f>IF(B56="","",VLOOKUP(AD56,Varsayımlar!$B:$Q,10,0))</f>
        <v>10</v>
      </c>
      <c r="T56" s="20">
        <f>IF(B56="","",VLOOKUP(AD56,Varsayımlar!$B:$Q,11,0))</f>
        <v>8</v>
      </c>
      <c r="U56" s="20">
        <f>IF(B56="","",VLOOKUP(AD56,Varsayımlar!$B:$Q,12,0))</f>
        <v>650</v>
      </c>
      <c r="V56" s="20" t="str">
        <f>IF(B56="","",VLOOKUP(AD56,Varsayımlar!$B:$Q,13,0))</f>
        <v>Yurtdışı</v>
      </c>
      <c r="W56" s="20">
        <f>IF(B56="","",VLOOKUP(AD56,Varsayımlar!$B:$Q,14,0))</f>
        <v>9</v>
      </c>
      <c r="X56" s="22"/>
      <c r="Y56" s="22"/>
      <c r="Z56" s="20"/>
      <c r="AA56" s="20" t="str">
        <f>IF(B56="","",VLOOKUP(AD56,Varsayımlar!$B:$Q,15,0))</f>
        <v>25cm Perforeli-Bulgarca etiket</v>
      </c>
      <c r="AB56" s="20" t="str">
        <f>IF(B56="","",VLOOKUP(AD56,Varsayımlar!$B:$Q,16,0))</f>
        <v>24-26 cm</v>
      </c>
      <c r="AC56" s="20" t="str">
        <f>IF(B56="","",VLOOKUP(Sayfa1!AD56,Varsayımlar!B:S,18,0))</f>
        <v>80x120cm -Epal+Epal</v>
      </c>
      <c r="AD56" s="4" t="str">
        <f t="shared" si="11"/>
        <v>TASTE LAND-BULGARİSTANTortillas 25cm Sade 10pcs 650g</v>
      </c>
    </row>
    <row r="57" spans="1:30" ht="31.5" x14ac:dyDescent="0.25">
      <c r="A57" s="10" t="s">
        <v>85</v>
      </c>
      <c r="B57" s="47" t="s">
        <v>218</v>
      </c>
      <c r="C57" s="21">
        <f>IF(B57="","",VLOOKUP(AD57,Varsayımlar!$B:$Q,3,0))</f>
        <v>8698829380698</v>
      </c>
      <c r="D57" s="21" t="s">
        <v>160</v>
      </c>
      <c r="E57" s="47" t="s">
        <v>229</v>
      </c>
      <c r="F57" s="20">
        <v>26042907</v>
      </c>
      <c r="G57" s="44"/>
      <c r="H57" s="20" t="str">
        <f>IF(B57="","",VLOOKUP(AD57,Varsayımlar!$B:$Q,5,0))</f>
        <v>Tortillas Avrupa 25cm Tam Buğday (711)</v>
      </c>
      <c r="I57" s="20">
        <f>IF(B57="","",VLOOKUP(AD57,Varsayımlar!B:T,19,0))</f>
        <v>0</v>
      </c>
      <c r="J57" s="20" t="str">
        <f>IF(B57="","",VLOOKUP(AD57,Varsayımlar!$B:$Q,6,0))</f>
        <v>Tam Buğdaylı</v>
      </c>
      <c r="K57" s="20">
        <v>840</v>
      </c>
      <c r="L57" s="20"/>
      <c r="M57" s="20">
        <f>IFERROR(IF(B57="","",K57/VLOOKUP(AD57,Varsayımlar!B:R,17,0)),"")</f>
        <v>7</v>
      </c>
      <c r="N57" s="20"/>
      <c r="O57" s="20">
        <v>10</v>
      </c>
      <c r="P57" s="20">
        <f>IF(B57="","",VLOOKUP(AD57,Varsayımlar!$B:$Q,7,0)*K57)</f>
        <v>6720</v>
      </c>
      <c r="Q57" s="20">
        <f>IF(B57="","",VLOOKUP(AD57,Varsayımlar!$B:$Q,8,0))</f>
        <v>25</v>
      </c>
      <c r="R57" s="20" t="str">
        <f>IF(B57="","",VLOOKUP(AD57,Varsayımlar!$B:$Q,9,0))</f>
        <v>Irak Soft</v>
      </c>
      <c r="S57" s="20">
        <f>IF(B57="","",VLOOKUP(AD57,Varsayımlar!$B:$Q,10,0))</f>
        <v>10</v>
      </c>
      <c r="T57" s="20">
        <f>IF(B57="","",VLOOKUP(AD57,Varsayımlar!$B:$Q,11,0))</f>
        <v>8</v>
      </c>
      <c r="U57" s="20">
        <f>IF(B57="","",VLOOKUP(AD57,Varsayımlar!$B:$Q,12,0))</f>
        <v>650</v>
      </c>
      <c r="V57" s="20" t="str">
        <f>IF(B57="","",VLOOKUP(AD57,Varsayımlar!$B:$Q,13,0))</f>
        <v>Yurtdışı</v>
      </c>
      <c r="W57" s="20">
        <f>IF(B57="","",VLOOKUP(AD57,Varsayımlar!$B:$Q,14,0))</f>
        <v>9</v>
      </c>
      <c r="X57" s="22"/>
      <c r="Y57" s="22"/>
      <c r="Z57" s="20"/>
      <c r="AA57" s="20" t="str">
        <f>IF(B57="","",VLOOKUP(AD57,Varsayımlar!$B:$Q,15,0))</f>
        <v>25cm Perforeli-Bulgarca TB etiket</v>
      </c>
      <c r="AB57" s="20" t="str">
        <f>IF(B57="","",VLOOKUP(AD57,Varsayımlar!$B:$Q,16,0))</f>
        <v>24-26 cm</v>
      </c>
      <c r="AC57" s="20" t="str">
        <f>IF(B57="","",VLOOKUP(Sayfa1!AD57,Varsayımlar!B:S,18,0))</f>
        <v>80x120cm -Epal+Epal</v>
      </c>
      <c r="AD57" s="4" t="str">
        <f>IF(B57="","",CONCATENATE(B57,E57))</f>
        <v>TASTE LAND-BULGARİSTANTortillas 25cm Tam Buğday 10pcs 650g</v>
      </c>
    </row>
    <row r="58" spans="1:30" ht="47.25" x14ac:dyDescent="0.25">
      <c r="A58" s="10" t="s">
        <v>86</v>
      </c>
      <c r="B58" s="47" t="s">
        <v>218</v>
      </c>
      <c r="C58" s="21">
        <f>IF(B58="","",VLOOKUP(AD58,Varsayımlar!$B:$Q,3,0))</f>
        <v>8698829380698</v>
      </c>
      <c r="D58" s="21" t="s">
        <v>160</v>
      </c>
      <c r="E58" s="47" t="s">
        <v>232</v>
      </c>
      <c r="F58" s="20">
        <v>26042907</v>
      </c>
      <c r="G58" s="44"/>
      <c r="H58" s="20" t="str">
        <f>IF(B58="","",VLOOKUP(AD58,Varsayımlar!$B:$Q,5,0))</f>
        <v>Tortillas Avrupa 25cm Domatesli (074)</v>
      </c>
      <c r="I58" s="20">
        <f>IF(B58="","",VLOOKUP(AD58,Varsayımlar!B:T,19,0))</f>
        <v>0</v>
      </c>
      <c r="J58" s="20" t="str">
        <f>IF(B58="","",VLOOKUP(AD58,Varsayımlar!$B:$Q,6,0))</f>
        <v>Domatesli</v>
      </c>
      <c r="K58" s="20">
        <v>480</v>
      </c>
      <c r="L58" s="20"/>
      <c r="M58" s="20">
        <f>IFERROR(IF(B58="","",K58/VLOOKUP(AD58,Varsayımlar!B:R,17,0)),"")</f>
        <v>4</v>
      </c>
      <c r="N58" s="20"/>
      <c r="O58" s="20">
        <v>5</v>
      </c>
      <c r="P58" s="20">
        <f>IF(B58="","",VLOOKUP(AD58,Varsayımlar!$B:$Q,7,0)*K58)</f>
        <v>5760</v>
      </c>
      <c r="Q58" s="20">
        <f>IF(B58="","",VLOOKUP(AD58,Varsayımlar!$B:$Q,8,0))</f>
        <v>25</v>
      </c>
      <c r="R58" s="20" t="str">
        <f>IF(B58="","",VLOOKUP(AD58,Varsayımlar!$B:$Q,9,0))</f>
        <v>Irak Soft</v>
      </c>
      <c r="S58" s="20">
        <f>IF(B58="","",VLOOKUP(AD58,Varsayımlar!$B:$Q,10,0))</f>
        <v>6</v>
      </c>
      <c r="T58" s="20">
        <f>IF(B58="","",VLOOKUP(AD58,Varsayımlar!$B:$Q,11,0))</f>
        <v>12</v>
      </c>
      <c r="U58" s="20">
        <f>IF(B58="","",VLOOKUP(AD58,Varsayımlar!$B:$Q,12,0))</f>
        <v>390</v>
      </c>
      <c r="V58" s="20" t="str">
        <f>IF(B58="","",VLOOKUP(AD58,Varsayımlar!$B:$Q,13,0))</f>
        <v>Yurtdışı</v>
      </c>
      <c r="W58" s="20">
        <f>IF(B58="","",VLOOKUP(AD58,Varsayımlar!$B:$Q,14,0))</f>
        <v>9</v>
      </c>
      <c r="X58" s="22"/>
      <c r="Y58" s="22"/>
      <c r="Z58" s="20"/>
      <c r="AA58" s="20" t="str">
        <f>IF(B58="","",VLOOKUP(AD58,Varsayımlar!$B:$Q,15,0))</f>
        <v>25cm Perforeli-Bulgarca Domatesli etiket</v>
      </c>
      <c r="AB58" s="20" t="str">
        <f>IF(B58="","",VLOOKUP(AD58,Varsayımlar!$B:$Q,16,0))</f>
        <v>24-26 cm</v>
      </c>
      <c r="AC58" s="20" t="str">
        <f>IF(B58="","",VLOOKUP(Sayfa1!AD58,Varsayımlar!B:S,18,0))</f>
        <v>80x120cm -Epal+Epal</v>
      </c>
      <c r="AD58" s="4" t="str">
        <f t="shared" ref="AD58:AD60" si="12">IF(B58="","",CONCATENATE(B58,E58))</f>
        <v>TASTE LAND-BULGARİSTANTortillas 25cm Domatesli 6pcs 390g</v>
      </c>
    </row>
    <row r="59" spans="1:30" ht="47.25" x14ac:dyDescent="0.25">
      <c r="A59" s="10" t="s">
        <v>87</v>
      </c>
      <c r="B59" s="47" t="s">
        <v>218</v>
      </c>
      <c r="C59" s="21">
        <f>IF(B59="","",VLOOKUP(AD59,Varsayımlar!$B:$Q,3,0))</f>
        <v>8698829380698</v>
      </c>
      <c r="D59" s="21" t="s">
        <v>160</v>
      </c>
      <c r="E59" s="47" t="s">
        <v>235</v>
      </c>
      <c r="F59" s="20">
        <v>26042907</v>
      </c>
      <c r="G59" s="44"/>
      <c r="H59" s="20" t="str">
        <f>IF(B59="","",VLOOKUP(AD59,Varsayımlar!$B:$Q,5,0))</f>
        <v>Tortillas Avrupa 25cm Ispanaklı (081)</v>
      </c>
      <c r="I59" s="20">
        <f>IF(B59="","",VLOOKUP(AD59,Varsayımlar!B:T,19,0))</f>
        <v>0</v>
      </c>
      <c r="J59" s="20" t="str">
        <f>IF(B59="","",VLOOKUP(AD59,Varsayımlar!$B:$Q,6,0))</f>
        <v>Ispanaklı</v>
      </c>
      <c r="K59" s="20">
        <v>480</v>
      </c>
      <c r="L59" s="20"/>
      <c r="M59" s="20">
        <f>IFERROR(IF(B59="","",K59/VLOOKUP(AD59,Varsayımlar!B:R,17,0)),"")</f>
        <v>4</v>
      </c>
      <c r="N59" s="20"/>
      <c r="O59" s="20">
        <v>5</v>
      </c>
      <c r="P59" s="20">
        <f>IF(B59="","",VLOOKUP(AD59,Varsayımlar!$B:$Q,7,0)*K59)</f>
        <v>5760</v>
      </c>
      <c r="Q59" s="20">
        <f>IF(B59="","",VLOOKUP(AD59,Varsayımlar!$B:$Q,8,0))</f>
        <v>25</v>
      </c>
      <c r="R59" s="20" t="str">
        <f>IF(B59="","",VLOOKUP(AD59,Varsayımlar!$B:$Q,9,0))</f>
        <v>Irak Soft</v>
      </c>
      <c r="S59" s="20">
        <f>IF(B59="","",VLOOKUP(AD59,Varsayımlar!$B:$Q,10,0))</f>
        <v>6</v>
      </c>
      <c r="T59" s="20">
        <f>IF(B59="","",VLOOKUP(AD59,Varsayımlar!$B:$Q,11,0))</f>
        <v>12</v>
      </c>
      <c r="U59" s="20">
        <f>IF(B59="","",VLOOKUP(AD59,Varsayımlar!$B:$Q,12,0))</f>
        <v>390</v>
      </c>
      <c r="V59" s="20" t="str">
        <f>IF(B59="","",VLOOKUP(AD59,Varsayımlar!$B:$Q,13,0))</f>
        <v>Yurtdışı</v>
      </c>
      <c r="W59" s="20">
        <f>IF(B59="","",VLOOKUP(AD59,Varsayımlar!$B:$Q,14,0))</f>
        <v>9</v>
      </c>
      <c r="X59" s="22"/>
      <c r="Y59" s="22"/>
      <c r="Z59" s="20"/>
      <c r="AA59" s="20" t="str">
        <f>IF(B59="","",VLOOKUP(AD59,Varsayımlar!$B:$Q,15,0))</f>
        <v>25cm Perforeli-Bulgarca Ispanaklı etiket</v>
      </c>
      <c r="AB59" s="20" t="str">
        <f>IF(B59="","",VLOOKUP(AD59,Varsayımlar!$B:$Q,16,0))</f>
        <v>24-26 cm</v>
      </c>
      <c r="AC59" s="20" t="str">
        <f>IF(B59="","",VLOOKUP(Sayfa1!AD59,Varsayımlar!B:S,18,0))</f>
        <v>80x120cm -Epal+Epal</v>
      </c>
      <c r="AD59" s="4" t="str">
        <f t="shared" si="12"/>
        <v>TASTE LAND-BULGARİSTANTortillas 25cm Ispanaklı 6pcs 390g</v>
      </c>
    </row>
    <row r="60" spans="1:30" ht="47.25" x14ac:dyDescent="0.25">
      <c r="A60" s="10" t="s">
        <v>88</v>
      </c>
      <c r="B60" s="47" t="s">
        <v>218</v>
      </c>
      <c r="C60" s="21">
        <f>IF(B60="","",VLOOKUP(AD60,Varsayımlar!$B:$Q,3,0))</f>
        <v>8698829380698</v>
      </c>
      <c r="D60" s="21" t="s">
        <v>160</v>
      </c>
      <c r="E60" s="47" t="s">
        <v>240</v>
      </c>
      <c r="F60" s="20">
        <v>26042907</v>
      </c>
      <c r="G60" s="44"/>
      <c r="H60" s="20" t="str">
        <f>IF(B60="","",VLOOKUP(AD60,Varsayımlar!$B:$Q,5,0))</f>
        <v>Tortillas Avrupa 25cm Peynirli (098)</v>
      </c>
      <c r="I60" s="20">
        <f>IF(B60="","",VLOOKUP(AD60,Varsayımlar!B:T,19,0))</f>
        <v>0</v>
      </c>
      <c r="J60" s="20" t="str">
        <f>IF(B60="","",VLOOKUP(AD60,Varsayımlar!$B:$Q,6,0))</f>
        <v>Peynirli</v>
      </c>
      <c r="K60" s="20">
        <v>360</v>
      </c>
      <c r="L60" s="20"/>
      <c r="M60" s="20">
        <f>IFERROR(IF(B60="","",K60/VLOOKUP(AD60,Varsayımlar!B:R,17,0)),"")</f>
        <v>3</v>
      </c>
      <c r="N60" s="20"/>
      <c r="O60" s="20">
        <v>4</v>
      </c>
      <c r="P60" s="20">
        <f>IF(B60="","",VLOOKUP(AD60,Varsayımlar!$B:$Q,7,0)*K60)</f>
        <v>4320</v>
      </c>
      <c r="Q60" s="20">
        <f>IF(B60="","",VLOOKUP(AD60,Varsayımlar!$B:$Q,8,0))</f>
        <v>25</v>
      </c>
      <c r="R60" s="20" t="str">
        <f>IF(B60="","",VLOOKUP(AD60,Varsayımlar!$B:$Q,9,0))</f>
        <v>Irak Soft-AT</v>
      </c>
      <c r="S60" s="20">
        <f>IF(B60="","",VLOOKUP(AD60,Varsayımlar!$B:$Q,10,0))</f>
        <v>6</v>
      </c>
      <c r="T60" s="20">
        <f>IF(B60="","",VLOOKUP(AD60,Varsayımlar!$B:$Q,11,0))</f>
        <v>12</v>
      </c>
      <c r="U60" s="20">
        <f>IF(B60="","",VLOOKUP(AD60,Varsayımlar!$B:$Q,12,0))</f>
        <v>390</v>
      </c>
      <c r="V60" s="20" t="str">
        <f>IF(B60="","",VLOOKUP(AD60,Varsayımlar!$B:$Q,13,0))</f>
        <v>Yurtdışı</v>
      </c>
      <c r="W60" s="20">
        <f>IF(B60="","",VLOOKUP(AD60,Varsayımlar!$B:$Q,14,0))</f>
        <v>9</v>
      </c>
      <c r="X60" s="22"/>
      <c r="Y60" s="22"/>
      <c r="Z60" s="20"/>
      <c r="AA60" s="20" t="str">
        <f>IF(B60="","",VLOOKUP(AD60,Varsayımlar!$B:$Q,15,0))</f>
        <v>25cm Perforeli-Bulgarca Peynirli etiket</v>
      </c>
      <c r="AB60" s="20" t="str">
        <f>IF(B60="","",VLOOKUP(AD60,Varsayımlar!$B:$Q,16,0))</f>
        <v>24-26 cm</v>
      </c>
      <c r="AC60" s="20" t="str">
        <f>IF(B60="","",VLOOKUP(Sayfa1!AD60,Varsayımlar!B:S,18,0))</f>
        <v>80x120cm -Epal+Epal</v>
      </c>
      <c r="AD60" s="4" t="str">
        <f t="shared" si="12"/>
        <v>TASTE LAND-BULGARİSTANTortillas 25cm Peynirli 6pcs 390g</v>
      </c>
    </row>
    <row r="61" spans="1:30" ht="31.5" x14ac:dyDescent="0.25">
      <c r="A61" s="10" t="s">
        <v>89</v>
      </c>
      <c r="B61" s="36" t="s">
        <v>218</v>
      </c>
      <c r="C61" s="27">
        <f>IF(B61="","",VLOOKUP(AD61,Varsayımlar!$B:$Q,3,0))</f>
        <v>8698829380698</v>
      </c>
      <c r="D61" s="27" t="s">
        <v>161</v>
      </c>
      <c r="E61" s="36" t="s">
        <v>228</v>
      </c>
      <c r="F61" s="26" t="s">
        <v>341</v>
      </c>
      <c r="G61" s="43"/>
      <c r="H61" s="26" t="str">
        <f>IF(B61="","",VLOOKUP(AD61,Varsayımlar!$B:$Q,5,0))</f>
        <v>Tortillas Avrupa 25cm (698)</v>
      </c>
      <c r="I61" s="26">
        <f>IF(B61="","",VLOOKUP(AD61,Varsayımlar!B:T,19,0))</f>
        <v>0</v>
      </c>
      <c r="J61" s="26" t="str">
        <f>IF(B61="","",VLOOKUP(AD61,Varsayımlar!$B:$Q,6,0))</f>
        <v>SADE</v>
      </c>
      <c r="K61" s="26">
        <v>720</v>
      </c>
      <c r="L61" s="26"/>
      <c r="M61" s="26">
        <f>IFERROR(IF(B61="","",K61/VLOOKUP(AD61,Varsayımlar!B:R,17,0)),"")</f>
        <v>6</v>
      </c>
      <c r="N61" s="26"/>
      <c r="O61" s="26">
        <v>8</v>
      </c>
      <c r="P61" s="26">
        <f>IF(B61="","",VLOOKUP(AD61,Varsayımlar!$B:$Q,7,0)*K61)</f>
        <v>5760</v>
      </c>
      <c r="Q61" s="26">
        <f>IF(B61="","",VLOOKUP(AD61,Varsayımlar!$B:$Q,8,0))</f>
        <v>25</v>
      </c>
      <c r="R61" s="26" t="str">
        <f>IF(B61="","",VLOOKUP(AD61,Varsayımlar!$B:$Q,9,0))</f>
        <v>Irak Soft</v>
      </c>
      <c r="S61" s="26">
        <f>IF(B61="","",VLOOKUP(AD61,Varsayımlar!$B:$Q,10,0))</f>
        <v>10</v>
      </c>
      <c r="T61" s="26">
        <f>IF(B61="","",VLOOKUP(AD61,Varsayımlar!$B:$Q,11,0))</f>
        <v>8</v>
      </c>
      <c r="U61" s="26">
        <f>IF(B61="","",VLOOKUP(AD61,Varsayımlar!$B:$Q,12,0))</f>
        <v>650</v>
      </c>
      <c r="V61" s="26" t="str">
        <f>IF(B61="","",VLOOKUP(AD61,Varsayımlar!$B:$Q,13,0))</f>
        <v>Yurtdışı</v>
      </c>
      <c r="W61" s="26">
        <f>IF(B61="","",VLOOKUP(AD61,Varsayımlar!$B:$Q,14,0))</f>
        <v>9</v>
      </c>
      <c r="X61" s="28"/>
      <c r="Y61" s="28"/>
      <c r="Z61" s="26"/>
      <c r="AA61" s="26" t="str">
        <f>IF(B61="","",VLOOKUP(AD61,Varsayımlar!$B:$Q,15,0))</f>
        <v>25cm Perforeli-Bulgarca etiket</v>
      </c>
      <c r="AB61" s="26" t="str">
        <f>IF(B61="","",VLOOKUP(AD61,Varsayımlar!$B:$Q,16,0))</f>
        <v>24-26 cm</v>
      </c>
      <c r="AC61" s="26" t="str">
        <f>IF(B61="","",VLOOKUP(Sayfa1!AD61,Varsayımlar!B:S,18,0))</f>
        <v>80x120cm -Epal+Epal</v>
      </c>
      <c r="AD61" s="4" t="str">
        <f t="shared" ref="AD61:AD67" si="13">IF(B61="","",CONCATENATE(B61,E61))</f>
        <v>TASTE LAND-BULGARİSTANTortillas 25cm Sade 10pcs 650g</v>
      </c>
    </row>
    <row r="62" spans="1:30" ht="47.25" x14ac:dyDescent="0.25">
      <c r="A62" s="10" t="s">
        <v>90</v>
      </c>
      <c r="B62" s="36" t="s">
        <v>218</v>
      </c>
      <c r="C62" s="27">
        <f>IF(B62="","",VLOOKUP(AD62,Varsayımlar!$B:$Q,3,0))</f>
        <v>8698829380698</v>
      </c>
      <c r="D62" s="27" t="s">
        <v>161</v>
      </c>
      <c r="E62" s="36" t="s">
        <v>250</v>
      </c>
      <c r="F62" s="26" t="s">
        <v>341</v>
      </c>
      <c r="G62" s="43"/>
      <c r="H62" s="26" t="str">
        <f>IF(B62="","",VLOOKUP(AD62,Varsayımlar!$B:$Q,5,0))</f>
        <v>Tortillas Avrupa 25cm (698)</v>
      </c>
      <c r="I62" s="26" t="str">
        <f>IF(B62="","",VLOOKUP(AD62,Varsayımlar!B:T,19,0))</f>
        <v>Barkod üzerine Barkod Etiketi (050)</v>
      </c>
      <c r="J62" s="26" t="str">
        <f>IF(B62="","",VLOOKUP(AD62,Varsayımlar!$B:$Q,6,0))</f>
        <v>SADE</v>
      </c>
      <c r="K62" s="26">
        <v>168</v>
      </c>
      <c r="L62" s="26"/>
      <c r="M62" s="26">
        <f>IFERROR(IF(B62="","",K62/VLOOKUP(AD62,Varsayımlar!B:R,17,0)),"")</f>
        <v>2</v>
      </c>
      <c r="N62" s="26"/>
      <c r="O62" s="26">
        <v>3</v>
      </c>
      <c r="P62" s="26">
        <f>IF(B62="","",VLOOKUP(AD62,Varsayımlar!$B:$Q,7,0)*K62)</f>
        <v>3024</v>
      </c>
      <c r="Q62" s="26">
        <f>IF(B62="","",VLOOKUP(AD62,Varsayımlar!$B:$Q,8,0))</f>
        <v>25</v>
      </c>
      <c r="R62" s="26" t="str">
        <f>IF(B62="","",VLOOKUP(AD62,Varsayımlar!$B:$Q,9,0))</f>
        <v>Irak Soft</v>
      </c>
      <c r="S62" s="26">
        <f>IF(B62="","",VLOOKUP(AD62,Varsayımlar!$B:$Q,10,0))</f>
        <v>6</v>
      </c>
      <c r="T62" s="26">
        <f>IF(B62="","",VLOOKUP(AD62,Varsayımlar!$B:$Q,11,0))</f>
        <v>18</v>
      </c>
      <c r="U62" s="26">
        <f>IF(B62="","",VLOOKUP(AD62,Varsayımlar!$B:$Q,12,0))</f>
        <v>390</v>
      </c>
      <c r="V62" s="26" t="str">
        <f>IF(B62="","",VLOOKUP(AD62,Varsayımlar!$B:$Q,13,0))</f>
        <v>Yurtdışı</v>
      </c>
      <c r="W62" s="26">
        <f>IF(B62="","",VLOOKUP(AD62,Varsayımlar!$B:$Q,14,0))</f>
        <v>9</v>
      </c>
      <c r="X62" s="28"/>
      <c r="Y62" s="28"/>
      <c r="Z62" s="26"/>
      <c r="AA62" s="26" t="str">
        <f>IF(B62="","",VLOOKUP(AD62,Varsayımlar!$B:$Q,15,0))</f>
        <v>25cm Kırmızı koli-Bulgarca Etiket</v>
      </c>
      <c r="AB62" s="26" t="str">
        <f>IF(B62="","",VLOOKUP(AD62,Varsayımlar!$B:$Q,16,0))</f>
        <v>24-26 cm</v>
      </c>
      <c r="AC62" s="26" t="str">
        <f>IF(B62="","",VLOOKUP(Sayfa1!AD62,Varsayımlar!B:S,18,0))</f>
        <v>80x120cm -Epal+Epal</v>
      </c>
      <c r="AD62" s="4" t="str">
        <f t="shared" si="13"/>
        <v>TASTE LAND-BULGARİSTANTortillas 25cm Sade 6pcs 390g</v>
      </c>
    </row>
    <row r="63" spans="1:30" ht="31.5" x14ac:dyDescent="0.25">
      <c r="A63" s="10" t="s">
        <v>91</v>
      </c>
      <c r="B63" s="36" t="s">
        <v>218</v>
      </c>
      <c r="C63" s="27">
        <f>IF(B63="","",VLOOKUP(AD63,Varsayımlar!$B:$Q,3,0))</f>
        <v>8698829380698</v>
      </c>
      <c r="D63" s="27" t="s">
        <v>161</v>
      </c>
      <c r="E63" s="36" t="s">
        <v>229</v>
      </c>
      <c r="F63" s="26" t="s">
        <v>341</v>
      </c>
      <c r="G63" s="43"/>
      <c r="H63" s="26" t="str">
        <f>IF(B63="","",VLOOKUP(AD63,Varsayımlar!$B:$Q,5,0))</f>
        <v>Tortillas Avrupa 25cm Tam Buğday (711)</v>
      </c>
      <c r="I63" s="26">
        <f>IF(B63="","",VLOOKUP(AD63,Varsayımlar!B:T,19,0))</f>
        <v>0</v>
      </c>
      <c r="J63" s="26" t="str">
        <f>IF(B63="","",VLOOKUP(AD63,Varsayımlar!$B:$Q,6,0))</f>
        <v>Tam Buğdaylı</v>
      </c>
      <c r="K63" s="26">
        <v>840</v>
      </c>
      <c r="L63" s="26"/>
      <c r="M63" s="26">
        <f>IFERROR(IF(B63="","",K63/VLOOKUP(AD63,Varsayımlar!B:R,17,0)),"")</f>
        <v>7</v>
      </c>
      <c r="N63" s="26"/>
      <c r="O63" s="26">
        <v>10</v>
      </c>
      <c r="P63" s="26">
        <f>IF(B63="","",VLOOKUP(AD63,Varsayımlar!$B:$Q,7,0)*K63)</f>
        <v>6720</v>
      </c>
      <c r="Q63" s="26">
        <f>IF(B63="","",VLOOKUP(AD63,Varsayımlar!$B:$Q,8,0))</f>
        <v>25</v>
      </c>
      <c r="R63" s="26" t="str">
        <f>IF(B63="","",VLOOKUP(AD63,Varsayımlar!$B:$Q,9,0))</f>
        <v>Irak Soft</v>
      </c>
      <c r="S63" s="26">
        <f>IF(B63="","",VLOOKUP(AD63,Varsayımlar!$B:$Q,10,0))</f>
        <v>10</v>
      </c>
      <c r="T63" s="26">
        <f>IF(B63="","",VLOOKUP(AD63,Varsayımlar!$B:$Q,11,0))</f>
        <v>8</v>
      </c>
      <c r="U63" s="26">
        <f>IF(B63="","",VLOOKUP(AD63,Varsayımlar!$B:$Q,12,0))</f>
        <v>650</v>
      </c>
      <c r="V63" s="26" t="str">
        <f>IF(B63="","",VLOOKUP(AD63,Varsayımlar!$B:$Q,13,0))</f>
        <v>Yurtdışı</v>
      </c>
      <c r="W63" s="26">
        <f>IF(B63="","",VLOOKUP(AD63,Varsayımlar!$B:$Q,14,0))</f>
        <v>9</v>
      </c>
      <c r="X63" s="28"/>
      <c r="Y63" s="28"/>
      <c r="Z63" s="26"/>
      <c r="AA63" s="26" t="str">
        <f>IF(B63="","",VLOOKUP(AD63,Varsayımlar!$B:$Q,15,0))</f>
        <v>25cm Perforeli-Bulgarca TB etiket</v>
      </c>
      <c r="AB63" s="26" t="str">
        <f>IF(B63="","",VLOOKUP(AD63,Varsayımlar!$B:$Q,16,0))</f>
        <v>24-26 cm</v>
      </c>
      <c r="AC63" s="26" t="str">
        <f>IF(B63="","",VLOOKUP(Sayfa1!AD63,Varsayımlar!B:S,18,0))</f>
        <v>80x120cm -Epal+Epal</v>
      </c>
      <c r="AD63" s="4" t="str">
        <f t="shared" si="13"/>
        <v>TASTE LAND-BULGARİSTANTortillas 25cm Tam Buğday 10pcs 650g</v>
      </c>
    </row>
    <row r="64" spans="1:30" ht="47.25" x14ac:dyDescent="0.25">
      <c r="A64" s="10" t="s">
        <v>92</v>
      </c>
      <c r="B64" s="36" t="s">
        <v>218</v>
      </c>
      <c r="C64" s="27">
        <f>IF(B64="","",VLOOKUP(AD64,Varsayımlar!$B:$Q,3,0))</f>
        <v>8698829380698</v>
      </c>
      <c r="D64" s="27" t="s">
        <v>161</v>
      </c>
      <c r="E64" s="36" t="s">
        <v>251</v>
      </c>
      <c r="F64" s="26" t="s">
        <v>341</v>
      </c>
      <c r="G64" s="43"/>
      <c r="H64" s="26" t="str">
        <f>IF(B64="","",VLOOKUP(AD64,Varsayımlar!$B:$Q,5,0))</f>
        <v>Tortillas Avrupa 25cm TB (711)</v>
      </c>
      <c r="I64" s="26" t="str">
        <f>IF(B64="","",VLOOKUP(AD64,Varsayımlar!B:T,19,0))</f>
        <v>Barkod üzerine Barkod Etiketi (067)</v>
      </c>
      <c r="J64" s="26" t="str">
        <f>IF(B64="","",VLOOKUP(AD64,Varsayımlar!$B:$Q,6,0))</f>
        <v>Tam Buğdaylı</v>
      </c>
      <c r="K64" s="26">
        <v>84</v>
      </c>
      <c r="L64" s="26"/>
      <c r="M64" s="26">
        <f>IFERROR(IF(B64="","",K64/VLOOKUP(AD64,Varsayımlar!B:R,17,0)),"")</f>
        <v>1</v>
      </c>
      <c r="N64" s="26"/>
      <c r="O64" s="26">
        <v>2</v>
      </c>
      <c r="P64" s="26">
        <f>IF(B64="","",VLOOKUP(AD64,Varsayımlar!$B:$Q,7,0)*K64)</f>
        <v>1512</v>
      </c>
      <c r="Q64" s="26">
        <f>IF(B64="","",VLOOKUP(AD64,Varsayımlar!$B:$Q,8,0))</f>
        <v>25</v>
      </c>
      <c r="R64" s="26" t="str">
        <f>IF(B64="","",VLOOKUP(AD64,Varsayımlar!$B:$Q,9,0))</f>
        <v>Irak Soft</v>
      </c>
      <c r="S64" s="26">
        <f>IF(B64="","",VLOOKUP(AD64,Varsayımlar!$B:$Q,10,0))</f>
        <v>6</v>
      </c>
      <c r="T64" s="26">
        <f>IF(B64="","",VLOOKUP(AD64,Varsayımlar!$B:$Q,11,0))</f>
        <v>18</v>
      </c>
      <c r="U64" s="26">
        <f>IF(B64="","",VLOOKUP(AD64,Varsayımlar!$B:$Q,12,0))</f>
        <v>390</v>
      </c>
      <c r="V64" s="26" t="str">
        <f>IF(B64="","",VLOOKUP(AD64,Varsayımlar!$B:$Q,13,0))</f>
        <v>Yurtdışı</v>
      </c>
      <c r="W64" s="26">
        <f>IF(B64="","",VLOOKUP(AD64,Varsayımlar!$B:$Q,14,0))</f>
        <v>9</v>
      </c>
      <c r="X64" s="28"/>
      <c r="Y64" s="28"/>
      <c r="Z64" s="26"/>
      <c r="AA64" s="26" t="str">
        <f>IF(B64="","",VLOOKUP(AD64,Varsayımlar!$B:$Q,15,0))</f>
        <v>25cm Kırmızı koli-Bulgarca TB Etiket</v>
      </c>
      <c r="AB64" s="26" t="str">
        <f>IF(B64="","",VLOOKUP(AD64,Varsayımlar!$B:$Q,16,0))</f>
        <v>24-26 cm</v>
      </c>
      <c r="AC64" s="26" t="str">
        <f>IF(B64="","",VLOOKUP(Sayfa1!AD64,Varsayımlar!B:S,18,0))</f>
        <v>80x120cm -Epal+Epal</v>
      </c>
      <c r="AD64" s="4" t="str">
        <f t="shared" si="13"/>
        <v>TASTE LAND-BULGARİSTANTortillas 25cm TB 6pcs 390g</v>
      </c>
    </row>
    <row r="65" spans="1:30" ht="47.25" x14ac:dyDescent="0.25">
      <c r="A65" s="10" t="s">
        <v>93</v>
      </c>
      <c r="B65" s="36" t="s">
        <v>218</v>
      </c>
      <c r="C65" s="27">
        <f>IF(B65="","",VLOOKUP(AD65,Varsayımlar!$B:$Q,3,0))</f>
        <v>8698829380698</v>
      </c>
      <c r="D65" s="27" t="s">
        <v>161</v>
      </c>
      <c r="E65" s="36" t="s">
        <v>232</v>
      </c>
      <c r="F65" s="26" t="s">
        <v>341</v>
      </c>
      <c r="G65" s="43"/>
      <c r="H65" s="26" t="str">
        <f>IF(B65="","",VLOOKUP(AD65,Varsayımlar!$B:$Q,5,0))</f>
        <v>Tortillas Avrupa 25cm Domatesli (074)</v>
      </c>
      <c r="I65" s="26">
        <f>IF(B65="","",VLOOKUP(AD65,Varsayımlar!B:T,19,0))</f>
        <v>0</v>
      </c>
      <c r="J65" s="26" t="str">
        <f>IF(B65="","",VLOOKUP(AD65,Varsayımlar!$B:$Q,6,0))</f>
        <v>Domatesli</v>
      </c>
      <c r="K65" s="26">
        <v>240</v>
      </c>
      <c r="L65" s="26"/>
      <c r="M65" s="26">
        <f>IFERROR(IF(B65="","",K65/VLOOKUP(AD65,Varsayımlar!B:R,17,0)),"")</f>
        <v>2</v>
      </c>
      <c r="N65" s="26"/>
      <c r="O65" s="26">
        <v>3</v>
      </c>
      <c r="P65" s="26">
        <f>IF(B65="","",VLOOKUP(AD65,Varsayımlar!$B:$Q,7,0)*K65)</f>
        <v>2880</v>
      </c>
      <c r="Q65" s="26">
        <f>IF(B65="","",VLOOKUP(AD65,Varsayımlar!$B:$Q,8,0))</f>
        <v>25</v>
      </c>
      <c r="R65" s="26" t="str">
        <f>IF(B65="","",VLOOKUP(AD65,Varsayımlar!$B:$Q,9,0))</f>
        <v>Irak Soft</v>
      </c>
      <c r="S65" s="26">
        <f>IF(B65="","",VLOOKUP(AD65,Varsayımlar!$B:$Q,10,0))</f>
        <v>6</v>
      </c>
      <c r="T65" s="26">
        <f>IF(B65="","",VLOOKUP(AD65,Varsayımlar!$B:$Q,11,0))</f>
        <v>12</v>
      </c>
      <c r="U65" s="26">
        <f>IF(B65="","",VLOOKUP(AD65,Varsayımlar!$B:$Q,12,0))</f>
        <v>390</v>
      </c>
      <c r="V65" s="26" t="str">
        <f>IF(B65="","",VLOOKUP(AD65,Varsayımlar!$B:$Q,13,0))</f>
        <v>Yurtdışı</v>
      </c>
      <c r="W65" s="26">
        <f>IF(B65="","",VLOOKUP(AD65,Varsayımlar!$B:$Q,14,0))</f>
        <v>9</v>
      </c>
      <c r="X65" s="28"/>
      <c r="Y65" s="28"/>
      <c r="Z65" s="26"/>
      <c r="AA65" s="26" t="str">
        <f>IF(B65="","",VLOOKUP(AD65,Varsayımlar!$B:$Q,15,0))</f>
        <v>25cm Perforeli-Bulgarca Domatesli etiket</v>
      </c>
      <c r="AB65" s="26" t="str">
        <f>IF(B65="","",VLOOKUP(AD65,Varsayımlar!$B:$Q,16,0))</f>
        <v>24-26 cm</v>
      </c>
      <c r="AC65" s="26" t="str">
        <f>IF(B65="","",VLOOKUP(Sayfa1!AD65,Varsayımlar!B:S,18,0))</f>
        <v>80x120cm -Epal+Epal</v>
      </c>
      <c r="AD65" s="4" t="str">
        <f t="shared" si="13"/>
        <v>TASTE LAND-BULGARİSTANTortillas 25cm Domatesli 6pcs 390g</v>
      </c>
    </row>
    <row r="66" spans="1:30" ht="47.25" x14ac:dyDescent="0.25">
      <c r="A66" s="10" t="s">
        <v>135</v>
      </c>
      <c r="B66" s="36" t="s">
        <v>218</v>
      </c>
      <c r="C66" s="27">
        <f>IF(B66="","",VLOOKUP(AD66,Varsayımlar!$B:$Q,3,0))</f>
        <v>8698829380698</v>
      </c>
      <c r="D66" s="27" t="s">
        <v>161</v>
      </c>
      <c r="E66" s="36" t="s">
        <v>235</v>
      </c>
      <c r="F66" s="26" t="s">
        <v>341</v>
      </c>
      <c r="G66" s="43"/>
      <c r="H66" s="26" t="str">
        <f>IF(B66="","",VLOOKUP(AD66,Varsayımlar!$B:$Q,5,0))</f>
        <v>Tortillas Avrupa 25cm Ispanaklı (081)</v>
      </c>
      <c r="I66" s="26">
        <f>IF(B66="","",VLOOKUP(AD66,Varsayımlar!B:T,19,0))</f>
        <v>0</v>
      </c>
      <c r="J66" s="26" t="str">
        <f>IF(B66="","",VLOOKUP(AD66,Varsayımlar!$B:$Q,6,0))</f>
        <v>Ispanaklı</v>
      </c>
      <c r="K66" s="26">
        <v>240</v>
      </c>
      <c r="L66" s="26"/>
      <c r="M66" s="26">
        <f>IFERROR(IF(B66="","",K66/VLOOKUP(AD66,Varsayımlar!B:R,17,0)),"")</f>
        <v>2</v>
      </c>
      <c r="N66" s="26"/>
      <c r="O66" s="26">
        <v>3</v>
      </c>
      <c r="P66" s="26">
        <f>IF(B66="","",VLOOKUP(AD66,Varsayımlar!$B:$Q,7,0)*K66)</f>
        <v>2880</v>
      </c>
      <c r="Q66" s="26">
        <f>IF(B66="","",VLOOKUP(AD66,Varsayımlar!$B:$Q,8,0))</f>
        <v>25</v>
      </c>
      <c r="R66" s="26" t="str">
        <f>IF(B66="","",VLOOKUP(AD66,Varsayımlar!$B:$Q,9,0))</f>
        <v>Irak Soft</v>
      </c>
      <c r="S66" s="26">
        <f>IF(B66="","",VLOOKUP(AD66,Varsayımlar!$B:$Q,10,0))</f>
        <v>6</v>
      </c>
      <c r="T66" s="26">
        <f>IF(B66="","",VLOOKUP(AD66,Varsayımlar!$B:$Q,11,0))</f>
        <v>12</v>
      </c>
      <c r="U66" s="26">
        <f>IF(B66="","",VLOOKUP(AD66,Varsayımlar!$B:$Q,12,0))</f>
        <v>390</v>
      </c>
      <c r="V66" s="26" t="str">
        <f>IF(B66="","",VLOOKUP(AD66,Varsayımlar!$B:$Q,13,0))</f>
        <v>Yurtdışı</v>
      </c>
      <c r="W66" s="26">
        <f>IF(B66="","",VLOOKUP(AD66,Varsayımlar!$B:$Q,14,0))</f>
        <v>9</v>
      </c>
      <c r="X66" s="28"/>
      <c r="Y66" s="28"/>
      <c r="Z66" s="26"/>
      <c r="AA66" s="26" t="str">
        <f>IF(B66="","",VLOOKUP(AD66,Varsayımlar!$B:$Q,15,0))</f>
        <v>25cm Perforeli-Bulgarca Ispanaklı etiket</v>
      </c>
      <c r="AB66" s="26" t="str">
        <f>IF(B66="","",VLOOKUP(AD66,Varsayımlar!$B:$Q,16,0))</f>
        <v>24-26 cm</v>
      </c>
      <c r="AC66" s="26" t="str">
        <f>IF(B66="","",VLOOKUP(Sayfa1!AD66,Varsayımlar!B:S,18,0))</f>
        <v>80x120cm -Epal+Epal</v>
      </c>
      <c r="AD66" s="4" t="str">
        <f t="shared" si="13"/>
        <v>TASTE LAND-BULGARİSTANTortillas 25cm Ispanaklı 6pcs 390g</v>
      </c>
    </row>
    <row r="67" spans="1:30" ht="47.25" x14ac:dyDescent="0.25">
      <c r="A67" s="10" t="s">
        <v>136</v>
      </c>
      <c r="B67" s="36" t="s">
        <v>218</v>
      </c>
      <c r="C67" s="27">
        <f>IF(B67="","",VLOOKUP(AD67,Varsayımlar!$B:$Q,3,0))</f>
        <v>8698829380698</v>
      </c>
      <c r="D67" s="27" t="s">
        <v>161</v>
      </c>
      <c r="E67" s="36" t="s">
        <v>240</v>
      </c>
      <c r="F67" s="26" t="s">
        <v>341</v>
      </c>
      <c r="G67" s="43"/>
      <c r="H67" s="26" t="str">
        <f>IF(B67="","",VLOOKUP(AD67,Varsayımlar!$B:$Q,5,0))</f>
        <v>Tortillas Avrupa 25cm Peynirli (098)</v>
      </c>
      <c r="I67" s="26">
        <f>IF(B67="","",VLOOKUP(AD67,Varsayımlar!B:T,19,0))</f>
        <v>0</v>
      </c>
      <c r="J67" s="26" t="str">
        <f>IF(B67="","",VLOOKUP(AD67,Varsayımlar!$B:$Q,6,0))</f>
        <v>Peynirli</v>
      </c>
      <c r="K67" s="26">
        <v>120</v>
      </c>
      <c r="L67" s="26"/>
      <c r="M67" s="26">
        <f>IFERROR(IF(B67="","",K67/VLOOKUP(AD67,Varsayımlar!B:R,17,0)),"")</f>
        <v>1</v>
      </c>
      <c r="N67" s="26"/>
      <c r="O67" s="26">
        <v>2</v>
      </c>
      <c r="P67" s="26">
        <f>IF(B67="","",VLOOKUP(AD67,Varsayımlar!$B:$Q,7,0)*K67)</f>
        <v>1440</v>
      </c>
      <c r="Q67" s="26">
        <f>IF(B67="","",VLOOKUP(AD67,Varsayımlar!$B:$Q,8,0))</f>
        <v>25</v>
      </c>
      <c r="R67" s="26" t="str">
        <f>IF(B67="","",VLOOKUP(AD67,Varsayımlar!$B:$Q,9,0))</f>
        <v>Irak Soft-AT</v>
      </c>
      <c r="S67" s="26">
        <f>IF(B67="","",VLOOKUP(AD67,Varsayımlar!$B:$Q,10,0))</f>
        <v>6</v>
      </c>
      <c r="T67" s="26">
        <f>IF(B67="","",VLOOKUP(AD67,Varsayımlar!$B:$Q,11,0))</f>
        <v>12</v>
      </c>
      <c r="U67" s="26">
        <f>IF(B67="","",VLOOKUP(AD67,Varsayımlar!$B:$Q,12,0))</f>
        <v>390</v>
      </c>
      <c r="V67" s="26" t="str">
        <f>IF(B67="","",VLOOKUP(AD67,Varsayımlar!$B:$Q,13,0))</f>
        <v>Yurtdışı</v>
      </c>
      <c r="W67" s="26">
        <f>IF(B67="","",VLOOKUP(AD67,Varsayımlar!$B:$Q,14,0))</f>
        <v>9</v>
      </c>
      <c r="X67" s="28"/>
      <c r="Y67" s="28"/>
      <c r="Z67" s="26"/>
      <c r="AA67" s="26" t="str">
        <f>IF(B67="","",VLOOKUP(AD67,Varsayımlar!$B:$Q,15,0))</f>
        <v>25cm Perforeli-Bulgarca Peynirli etiket</v>
      </c>
      <c r="AB67" s="26" t="str">
        <f>IF(B67="","",VLOOKUP(AD67,Varsayımlar!$B:$Q,16,0))</f>
        <v>24-26 cm</v>
      </c>
      <c r="AC67" s="26" t="str">
        <f>IF(B67="","",VLOOKUP(Sayfa1!AD67,Varsayımlar!B:S,18,0))</f>
        <v>80x120cm -Epal+Epal</v>
      </c>
      <c r="AD67" s="4" t="str">
        <f t="shared" si="13"/>
        <v>TASTE LAND-BULGARİSTANTortillas 25cm Peynirli 6pcs 390g</v>
      </c>
    </row>
    <row r="68" spans="1:30" x14ac:dyDescent="0.25">
      <c r="A68" s="10" t="s">
        <v>137</v>
      </c>
      <c r="B68" s="29"/>
      <c r="C68" s="30" t="str">
        <f>IF(B68="","",VLOOKUP(AD68,Varsayımlar!$B:$Q,3,0))</f>
        <v/>
      </c>
      <c r="D68" s="30"/>
      <c r="E68" s="30"/>
      <c r="F68" s="29"/>
      <c r="G68" s="29"/>
      <c r="H68" s="29" t="str">
        <f>IF(B68="","",VLOOKUP(AD68,Varsayımlar!$B:$Q,5,0))</f>
        <v/>
      </c>
      <c r="I68" s="29"/>
      <c r="J68" s="29" t="str">
        <f>IF(B68="","",VLOOKUP(AD68,Varsayımlar!$B:$Q,6,0))</f>
        <v/>
      </c>
      <c r="K68" s="29"/>
      <c r="L68" s="29"/>
      <c r="M68" s="29" t="str">
        <f>IFERROR(IF(B68="","",K68/VLOOKUP(AD68,Varsayımlar!B:R,17,0)),"")</f>
        <v/>
      </c>
      <c r="N68" s="29"/>
      <c r="O68" s="29"/>
      <c r="P68" s="29" t="str">
        <f>IF(B68="","",VLOOKUP(AD68,Varsayımlar!$B:$Q,7,0)*K68)</f>
        <v/>
      </c>
      <c r="Q68" s="29" t="str">
        <f>IF(B68="","",VLOOKUP(AD68,Varsayımlar!$B:$Q,8,0))</f>
        <v/>
      </c>
      <c r="R68" s="29" t="str">
        <f>IF(B68="","",VLOOKUP(AD68,Varsayımlar!$B:$Q,9,0))</f>
        <v/>
      </c>
      <c r="S68" s="29" t="str">
        <f>IF(B68="","",VLOOKUP(AD68,Varsayımlar!$B:$Q,10,0))</f>
        <v/>
      </c>
      <c r="T68" s="29" t="str">
        <f>IF(B68="","",VLOOKUP(AD68,Varsayımlar!$B:$Q,11,0))</f>
        <v/>
      </c>
      <c r="U68" s="29" t="str">
        <f>IF(B68="","",VLOOKUP(AD68,Varsayımlar!$B:$Q,12,0))</f>
        <v/>
      </c>
      <c r="V68" s="29" t="str">
        <f>IF(B68="","",VLOOKUP(AD68,Varsayımlar!$B:$Q,13,0))</f>
        <v/>
      </c>
      <c r="W68" s="29" t="str">
        <f>IF(B68="","",VLOOKUP(AD68,Varsayımlar!$B:$Q,14,0))</f>
        <v/>
      </c>
      <c r="X68" s="31"/>
      <c r="Y68" s="31"/>
      <c r="Z68" s="29"/>
      <c r="AA68" s="29" t="str">
        <f>IF(B68="","",VLOOKUP(AD68,Varsayımlar!$B:$Q,15,0))</f>
        <v/>
      </c>
      <c r="AB68" s="29" t="str">
        <f>IF(B68="","",VLOOKUP(AD68,Varsayımlar!$B:$Q,16,0))</f>
        <v/>
      </c>
      <c r="AC68" s="29"/>
      <c r="AD68" s="4" t="str">
        <f t="shared" si="9"/>
        <v/>
      </c>
    </row>
    <row r="69" spans="1:30" x14ac:dyDescent="0.25">
      <c r="A69" s="10" t="s">
        <v>138</v>
      </c>
      <c r="B69" s="29"/>
      <c r="C69" s="30" t="str">
        <f>IF(B69="","",VLOOKUP(AD69,Varsayımlar!$B:$Q,3,0))</f>
        <v/>
      </c>
      <c r="D69" s="30"/>
      <c r="E69" s="30"/>
      <c r="F69" s="29"/>
      <c r="G69" s="29"/>
      <c r="H69" s="29" t="str">
        <f>IF(B69="","",VLOOKUP(AD69,Varsayımlar!$B:$Q,5,0))</f>
        <v/>
      </c>
      <c r="I69" s="29"/>
      <c r="J69" s="29" t="str">
        <f>IF(B69="","",VLOOKUP(AD69,Varsayımlar!$B:$Q,6,0))</f>
        <v/>
      </c>
      <c r="K69" s="29"/>
      <c r="L69" s="29"/>
      <c r="M69" s="29" t="str">
        <f>IFERROR(IF(B69="","",K69/VLOOKUP(AD69,Varsayımlar!B:R,17,0)),"")</f>
        <v/>
      </c>
      <c r="N69" s="29"/>
      <c r="O69" s="29"/>
      <c r="P69" s="29" t="str">
        <f>IF(B69="","",VLOOKUP(AD69,Varsayımlar!$B:$Q,7,0)*K69)</f>
        <v/>
      </c>
      <c r="Q69" s="29" t="str">
        <f>IF(B69="","",VLOOKUP(AD69,Varsayımlar!$B:$Q,8,0))</f>
        <v/>
      </c>
      <c r="R69" s="29" t="str">
        <f>IF(B69="","",VLOOKUP(AD69,Varsayımlar!$B:$Q,9,0))</f>
        <v/>
      </c>
      <c r="S69" s="29" t="str">
        <f>IF(B69="","",VLOOKUP(AD69,Varsayımlar!$B:$Q,10,0))</f>
        <v/>
      </c>
      <c r="T69" s="29" t="str">
        <f>IF(B69="","",VLOOKUP(AD69,Varsayımlar!$B:$Q,11,0))</f>
        <v/>
      </c>
      <c r="U69" s="29" t="str">
        <f>IF(B69="","",VLOOKUP(AD69,Varsayımlar!$B:$Q,12,0))</f>
        <v/>
      </c>
      <c r="V69" s="29" t="str">
        <f>IF(B69="","",VLOOKUP(AD69,Varsayımlar!$B:$Q,13,0))</f>
        <v/>
      </c>
      <c r="W69" s="29" t="str">
        <f>IF(B69="","",VLOOKUP(AD69,Varsayımlar!$B:$Q,14,0))</f>
        <v/>
      </c>
      <c r="X69" s="31"/>
      <c r="Y69" s="31"/>
      <c r="Z69" s="29"/>
      <c r="AA69" s="29" t="str">
        <f>IF(B69="","",VLOOKUP(AD69,Varsayımlar!$B:$Q,15,0))</f>
        <v/>
      </c>
      <c r="AB69" s="29" t="str">
        <f>IF(B69="","",VLOOKUP(AD69,Varsayımlar!$B:$Q,16,0))</f>
        <v/>
      </c>
      <c r="AC69" s="29"/>
      <c r="AD69" s="4" t="str">
        <f t="shared" si="9"/>
        <v/>
      </c>
    </row>
    <row r="70" spans="1:30" x14ac:dyDescent="0.25">
      <c r="A70" s="10" t="s">
        <v>139</v>
      </c>
      <c r="B70" s="29"/>
      <c r="C70" s="30" t="str">
        <f>IF(B70="","",VLOOKUP(AD70,Varsayımlar!$B:$Q,3,0))</f>
        <v/>
      </c>
      <c r="D70" s="30"/>
      <c r="E70" s="30"/>
      <c r="F70" s="29"/>
      <c r="G70" s="29"/>
      <c r="H70" s="29" t="str">
        <f>IF(B70="","",VLOOKUP(AD70,Varsayımlar!$B:$Q,5,0))</f>
        <v/>
      </c>
      <c r="I70" s="29"/>
      <c r="J70" s="29" t="str">
        <f>IF(B70="","",VLOOKUP(AD70,Varsayımlar!$B:$Q,6,0))</f>
        <v/>
      </c>
      <c r="K70" s="29"/>
      <c r="L70" s="29"/>
      <c r="M70" s="29" t="str">
        <f>IFERROR(IF(B70="","",K70/VLOOKUP(AD70,Varsayımlar!B:R,17,0)),"")</f>
        <v/>
      </c>
      <c r="N70" s="29"/>
      <c r="O70" s="29"/>
      <c r="P70" s="29" t="str">
        <f>IF(B70="","",VLOOKUP(AD70,Varsayımlar!$B:$Q,7,0)*K70)</f>
        <v/>
      </c>
      <c r="Q70" s="29" t="str">
        <f>IF(B70="","",VLOOKUP(AD70,Varsayımlar!$B:$Q,8,0))</f>
        <v/>
      </c>
      <c r="R70" s="29" t="str">
        <f>IF(B70="","",VLOOKUP(AD70,Varsayımlar!$B:$Q,9,0))</f>
        <v/>
      </c>
      <c r="S70" s="29" t="str">
        <f>IF(B70="","",VLOOKUP(AD70,Varsayımlar!$B:$Q,10,0))</f>
        <v/>
      </c>
      <c r="T70" s="29" t="str">
        <f>IF(B70="","",VLOOKUP(AD70,Varsayımlar!$B:$Q,11,0))</f>
        <v/>
      </c>
      <c r="U70" s="29" t="str">
        <f>IF(B70="","",VLOOKUP(AD70,Varsayımlar!$B:$Q,12,0))</f>
        <v/>
      </c>
      <c r="V70" s="29" t="str">
        <f>IF(B70="","",VLOOKUP(AD70,Varsayımlar!$B:$Q,13,0))</f>
        <v/>
      </c>
      <c r="W70" s="29" t="str">
        <f>IF(B70="","",VLOOKUP(AD70,Varsayımlar!$B:$Q,14,0))</f>
        <v/>
      </c>
      <c r="X70" s="31"/>
      <c r="Y70" s="31"/>
      <c r="Z70" s="29"/>
      <c r="AA70" s="29" t="str">
        <f>IF(B70="","",VLOOKUP(AD70,Varsayımlar!$B:$Q,15,0))</f>
        <v/>
      </c>
      <c r="AB70" s="29" t="str">
        <f>IF(B70="","",VLOOKUP(AD70,Varsayımlar!$B:$Q,16,0))</f>
        <v/>
      </c>
      <c r="AC70" s="29"/>
      <c r="AD70" s="4" t="str">
        <f t="shared" si="9"/>
        <v/>
      </c>
    </row>
    <row r="71" spans="1:30" x14ac:dyDescent="0.25">
      <c r="A71" s="10" t="s">
        <v>140</v>
      </c>
      <c r="B71" s="29"/>
      <c r="C71" s="30" t="str">
        <f>IF(B71="","",VLOOKUP(AD71,Varsayımlar!$B:$Q,3,0))</f>
        <v/>
      </c>
      <c r="D71" s="30"/>
      <c r="E71" s="30"/>
      <c r="F71" s="29"/>
      <c r="G71" s="29"/>
      <c r="H71" s="29" t="str">
        <f>IF(B71="","",VLOOKUP(AD71,Varsayımlar!$B:$Q,5,0))</f>
        <v/>
      </c>
      <c r="I71" s="29"/>
      <c r="J71" s="29" t="str">
        <f>IF(B71="","",VLOOKUP(AD71,Varsayımlar!$B:$Q,6,0))</f>
        <v/>
      </c>
      <c r="K71" s="29"/>
      <c r="L71" s="29"/>
      <c r="M71" s="29" t="str">
        <f>IFERROR(IF(B71="","",K71/VLOOKUP(AD71,Varsayımlar!B:R,17,0)),"")</f>
        <v/>
      </c>
      <c r="N71" s="29"/>
      <c r="O71" s="29"/>
      <c r="P71" s="29" t="str">
        <f>IF(B71="","",VLOOKUP(AD71,Varsayımlar!$B:$Q,7,0)*K71)</f>
        <v/>
      </c>
      <c r="Q71" s="29" t="str">
        <f>IF(B71="","",VLOOKUP(AD71,Varsayımlar!$B:$Q,8,0))</f>
        <v/>
      </c>
      <c r="R71" s="29" t="str">
        <f>IF(B71="","",VLOOKUP(AD71,Varsayımlar!$B:$Q,9,0))</f>
        <v/>
      </c>
      <c r="S71" s="29" t="str">
        <f>IF(B71="","",VLOOKUP(AD71,Varsayımlar!$B:$Q,10,0))</f>
        <v/>
      </c>
      <c r="T71" s="29" t="str">
        <f>IF(B71="","",VLOOKUP(AD71,Varsayımlar!$B:$Q,11,0))</f>
        <v/>
      </c>
      <c r="U71" s="29" t="str">
        <f>IF(B71="","",VLOOKUP(AD71,Varsayımlar!$B:$Q,12,0))</f>
        <v/>
      </c>
      <c r="V71" s="29" t="str">
        <f>IF(B71="","",VLOOKUP(AD71,Varsayımlar!$B:$Q,13,0))</f>
        <v/>
      </c>
      <c r="W71" s="29" t="str">
        <f>IF(B71="","",VLOOKUP(AD71,Varsayımlar!$B:$Q,14,0))</f>
        <v/>
      </c>
      <c r="X71" s="31"/>
      <c r="Y71" s="31"/>
      <c r="Z71" s="29"/>
      <c r="AA71" s="29" t="str">
        <f>IF(B71="","",VLOOKUP(AD71,Varsayımlar!$B:$Q,15,0))</f>
        <v/>
      </c>
      <c r="AB71" s="29" t="str">
        <f>IF(B71="","",VLOOKUP(AD71,Varsayımlar!$B:$Q,16,0))</f>
        <v/>
      </c>
      <c r="AC71" s="29"/>
      <c r="AD71" s="4" t="str">
        <f t="shared" si="9"/>
        <v/>
      </c>
    </row>
    <row r="72" spans="1:30" x14ac:dyDescent="0.25">
      <c r="C72" s="2" t="str">
        <f>IF(B72="","",VLOOKUP(AD72,Varsayımlar!$B:$Q,3,0))</f>
        <v/>
      </c>
      <c r="H72" s="1" t="str">
        <f>IF(B72="","",VLOOKUP(AD72,Varsayımlar!$B:$Q,5,0))</f>
        <v/>
      </c>
      <c r="J72" s="1" t="str">
        <f>IF(B72="","",VLOOKUP(AD72,Varsayımlar!$B:$Q,6,0))</f>
        <v/>
      </c>
      <c r="P72" s="1" t="str">
        <f>IF(B72="","",VLOOKUP(AD72,Varsayımlar!$B:$Q,7,0)*K72)</f>
        <v/>
      </c>
      <c r="Q72" s="1" t="str">
        <f>IF(B72="","",VLOOKUP(AD72,Varsayımlar!$B:$Q,8,0))</f>
        <v/>
      </c>
      <c r="R72" s="1" t="str">
        <f>IF(B72="","",VLOOKUP(AD72,Varsayımlar!$B:$Q,9,0))</f>
        <v/>
      </c>
      <c r="S72" s="1" t="str">
        <f>IF(B72="","",VLOOKUP(AD72,Varsayımlar!$B:$Q,10,0))</f>
        <v/>
      </c>
      <c r="T72" s="1" t="str">
        <f>IF(B72="","",VLOOKUP(AD72,Varsayımlar!$B:$Q,11,0))</f>
        <v/>
      </c>
      <c r="U72" s="1" t="str">
        <f>IF(B72="","",VLOOKUP(AD72,Varsayımlar!$B:$Q,12,0))</f>
        <v/>
      </c>
      <c r="V72" s="1" t="str">
        <f>IF(B72="","",VLOOKUP(AD72,Varsayımlar!$B:$Q,13,0))</f>
        <v/>
      </c>
      <c r="W72" s="1" t="str">
        <f>IF(B72="","",VLOOKUP(AD72,Varsayımlar!$B:$Q,14,0))</f>
        <v/>
      </c>
      <c r="AA72" s="1" t="str">
        <f>IF(B72="","",VLOOKUP(AD72,Varsayımlar!$B:$Q,15,0))</f>
        <v/>
      </c>
      <c r="AB72" s="1" t="str">
        <f>IF(B72="","",VLOOKUP(AD72,Varsayımlar!$B:$Q,16,0))</f>
        <v/>
      </c>
      <c r="AD72" s="1" t="str">
        <f t="shared" ref="AD72" si="14">IF(B72="","",CONCATENATE(B72,E72))</f>
        <v/>
      </c>
    </row>
    <row r="73" spans="1:30" ht="45" customHeight="1" x14ac:dyDescent="0.25">
      <c r="A73" s="174" t="s">
        <v>345</v>
      </c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38"/>
    </row>
    <row r="74" spans="1:30" s="7" customFormat="1" ht="63" x14ac:dyDescent="0.25">
      <c r="A74" s="8" t="s">
        <v>0</v>
      </c>
      <c r="B74" s="8" t="s">
        <v>1</v>
      </c>
      <c r="C74" s="9" t="s">
        <v>31</v>
      </c>
      <c r="D74" s="9" t="s">
        <v>124</v>
      </c>
      <c r="E74" s="9" t="s">
        <v>36</v>
      </c>
      <c r="F74" s="8" t="s">
        <v>37</v>
      </c>
      <c r="G74" s="8" t="s">
        <v>13</v>
      </c>
      <c r="H74" s="8" t="s">
        <v>2</v>
      </c>
      <c r="I74" s="8" t="s">
        <v>49</v>
      </c>
      <c r="J74" s="8" t="s">
        <v>3</v>
      </c>
      <c r="K74" s="8" t="s">
        <v>21</v>
      </c>
      <c r="L74" s="8" t="s">
        <v>94</v>
      </c>
      <c r="M74" s="8" t="s">
        <v>20</v>
      </c>
      <c r="N74" s="8" t="s">
        <v>165</v>
      </c>
      <c r="O74" s="8"/>
      <c r="P74" s="8" t="s">
        <v>16</v>
      </c>
      <c r="Q74" s="8" t="s">
        <v>4</v>
      </c>
      <c r="R74" s="8" t="s">
        <v>5</v>
      </c>
      <c r="S74" s="8" t="s">
        <v>6</v>
      </c>
      <c r="T74" s="8" t="s">
        <v>28</v>
      </c>
      <c r="U74" s="8" t="s">
        <v>7</v>
      </c>
      <c r="V74" s="8" t="s">
        <v>8</v>
      </c>
      <c r="W74" s="8" t="s">
        <v>9</v>
      </c>
      <c r="X74" s="8" t="s">
        <v>10</v>
      </c>
      <c r="Y74" s="8" t="s">
        <v>11</v>
      </c>
      <c r="Z74" s="8" t="s">
        <v>12</v>
      </c>
      <c r="AA74" s="8" t="s">
        <v>14</v>
      </c>
      <c r="AB74" s="8" t="s">
        <v>15</v>
      </c>
      <c r="AC74" s="8" t="s">
        <v>208</v>
      </c>
      <c r="AD74" s="7" t="s">
        <v>41</v>
      </c>
    </row>
    <row r="75" spans="1:30" ht="30.75" customHeight="1" x14ac:dyDescent="0.25">
      <c r="A75" s="10" t="s">
        <v>26</v>
      </c>
      <c r="B75" s="51" t="s">
        <v>119</v>
      </c>
      <c r="C75" s="48">
        <f>IF(B75="","",VLOOKUP(AD75,Varsayımlar!$B:$Q,3,0))</f>
        <v>8698829380698</v>
      </c>
      <c r="D75" s="48"/>
      <c r="E75" s="51" t="s">
        <v>120</v>
      </c>
      <c r="F75" s="49"/>
      <c r="G75" s="49"/>
      <c r="H75" s="49" t="str">
        <f>IF(B75="","",VLOOKUP(AD75,Varsayımlar!$B:$Q,5,0))</f>
        <v>Nimet 25 cm</v>
      </c>
      <c r="I75" s="49"/>
      <c r="J75" s="49" t="str">
        <f>IF(B75="","",VLOOKUP(AD75,Varsayımlar!$B:$Q,6,0))</f>
        <v>SADE</v>
      </c>
      <c r="K75" s="49" t="s">
        <v>112</v>
      </c>
      <c r="L75" s="49"/>
      <c r="M75" s="49" t="str">
        <f>IFERROR(IF(B75="","",K75/VLOOKUP(AD75,Varsayımlar!B:R,17,0)),"")</f>
        <v/>
      </c>
      <c r="N75" s="49"/>
      <c r="O75" s="49"/>
      <c r="P75" s="49" t="e">
        <f>IF(B75="","",VLOOKUP(AD75,Varsayımlar!$B:$Q,7,0)*K75)</f>
        <v>#VALUE!</v>
      </c>
      <c r="Q75" s="49">
        <f>IF(B75="","",VLOOKUP(AD75,Varsayımlar!$B:$Q,8,0))</f>
        <v>25</v>
      </c>
      <c r="R75" s="49" t="str">
        <f>IF(B75="","",VLOOKUP(AD75,Varsayımlar!$B:$Q,9,0))</f>
        <v>Standart</v>
      </c>
      <c r="S75" s="49">
        <f>IF(B75="","",VLOOKUP(AD75,Varsayımlar!$B:$Q,10,0))</f>
        <v>12</v>
      </c>
      <c r="T75" s="49">
        <f>IF(B75="","",VLOOKUP(AD75,Varsayımlar!$B:$Q,11,0))</f>
        <v>12</v>
      </c>
      <c r="U75" s="49">
        <f>IF(B75="","",VLOOKUP(AD75,Varsayımlar!$B:$Q,12,0))</f>
        <v>840</v>
      </c>
      <c r="V75" s="49" t="str">
        <f>IF(B75="","",VLOOKUP(AD75,Varsayımlar!$B:$Q,13,0))</f>
        <v>YURTİÇİ</v>
      </c>
      <c r="W75" s="49">
        <f>IF(B75="","",VLOOKUP(AD75,Varsayımlar!$B:$Q,14,0))</f>
        <v>5</v>
      </c>
      <c r="X75" s="50" t="s">
        <v>113</v>
      </c>
      <c r="Y75" s="50" t="s">
        <v>113</v>
      </c>
      <c r="Z75" s="50" t="s">
        <v>113</v>
      </c>
      <c r="AA75" s="49" t="str">
        <f>IF(B75="","",VLOOKUP(AD75,Varsayımlar!$B:$Q,15,0))</f>
        <v>Nimet Kolisi</v>
      </c>
      <c r="AB75" s="49" t="str">
        <f>IF(B75="","",VLOOKUP(AD75,Varsayımlar!$B:$Q,16,0))</f>
        <v>24-26 CM</v>
      </c>
      <c r="AC75" s="49"/>
      <c r="AD75" s="4" t="str">
        <f t="shared" ref="AD75" si="15">IF(B75="","",CONCATENATE(B75,E75))</f>
        <v>A101Nimet 25cm 12 pcs 840g</v>
      </c>
    </row>
    <row r="76" spans="1:30" ht="47.25" x14ac:dyDescent="0.25">
      <c r="A76" s="10" t="s">
        <v>77</v>
      </c>
      <c r="B76" s="14" t="s">
        <v>346</v>
      </c>
      <c r="C76" s="15">
        <f>IF(B76="","",VLOOKUP(AD76,Varsayımlar!$B:$Q,3,0))</f>
        <v>8698829380698</v>
      </c>
      <c r="D76" s="15"/>
      <c r="E76" s="15" t="s">
        <v>325</v>
      </c>
      <c r="F76" s="14">
        <v>46</v>
      </c>
      <c r="G76" s="14" t="s">
        <v>347</v>
      </c>
      <c r="H76" s="14" t="str">
        <f>IF(B76="","",VLOOKUP(AD76,Varsayımlar!$B:$Q,5,0))</f>
        <v>Hanami Tako 15cm</v>
      </c>
      <c r="I76" s="14"/>
      <c r="J76" s="14" t="str">
        <f>IF(B76="","",VLOOKUP(AD76,Varsayımlar!$B:$Q,6,0))</f>
        <v>SADE</v>
      </c>
      <c r="K76" s="14">
        <v>1560</v>
      </c>
      <c r="L76" s="14">
        <v>969</v>
      </c>
      <c r="M76" s="14" t="str">
        <f>IFERROR(IF(B76="","",K76/VLOOKUP(AD76,Varsayımlar!B:R,17,0)),"")</f>
        <v/>
      </c>
      <c r="N76" s="14"/>
      <c r="O76" s="14"/>
      <c r="P76" s="14">
        <f>IF(B76="","",VLOOKUP(AD76,Varsayımlar!$B:$Q,7,0)*K76)</f>
        <v>31200</v>
      </c>
      <c r="Q76" s="14">
        <f>IF(B76="","",VLOOKUP(AD76,Varsayımlar!$B:$Q,8,0))</f>
        <v>15</v>
      </c>
      <c r="R76" s="14" t="str">
        <f>IF(B76="","",VLOOKUP(AD76,Varsayımlar!$B:$Q,9,0))</f>
        <v>Irak Soft</v>
      </c>
      <c r="S76" s="14">
        <f>IF(B76="","",VLOOKUP(AD76,Varsayımlar!$B:$Q,10,0))</f>
        <v>6</v>
      </c>
      <c r="T76" s="14">
        <f>IF(B76="","",VLOOKUP(AD76,Varsayımlar!$B:$Q,11,0))</f>
        <v>20</v>
      </c>
      <c r="U76" s="14">
        <f>IF(B76="","",VLOOKUP(AD76,Varsayımlar!$B:$Q,12,0))</f>
        <v>150</v>
      </c>
      <c r="V76" s="14" t="str">
        <f>IF(B76="","",VLOOKUP(AD76,Varsayımlar!$B:$Q,13,0))</f>
        <v>Yurtdışı</v>
      </c>
      <c r="W76" s="14">
        <f>IF(B76="","",VLOOKUP(AD76,Varsayımlar!$B:$Q,14,0))</f>
        <v>9</v>
      </c>
      <c r="X76" s="16">
        <v>46181</v>
      </c>
      <c r="Y76" s="16">
        <v>46454</v>
      </c>
      <c r="Z76" s="14">
        <v>26060815</v>
      </c>
      <c r="AA76" s="14" t="str">
        <f>IF(B76="","",VLOOKUP(AD76,Varsayımlar!$B:$Q,15,0))</f>
        <v>Hanami Tako 15cm-Üretim Tarihi Atılacak</v>
      </c>
      <c r="AB76" s="14" t="str">
        <f>IF(B76="","",VLOOKUP(AD76,Varsayımlar!$B:$Q,16,0))</f>
        <v>14-16 cm</v>
      </c>
      <c r="AC76" s="14"/>
      <c r="AD76" s="4" t="str">
        <f t="shared" ref="AD76:AD77" si="16">IF(B76="","",CONCATENATE(B76,E76))</f>
        <v>GermesHanami Germes Tako 15cm 6pcs 150g</v>
      </c>
    </row>
    <row r="77" spans="1:30" ht="31.5" x14ac:dyDescent="0.25">
      <c r="A77" s="10" t="s">
        <v>78</v>
      </c>
      <c r="B77" s="35" t="s">
        <v>321</v>
      </c>
      <c r="C77" s="24">
        <f>IF(B77="","",VLOOKUP(AD77,Varsayımlar!$B:$Q,3,0))</f>
        <v>8698829380698</v>
      </c>
      <c r="D77" s="24"/>
      <c r="E77" s="35" t="s">
        <v>329</v>
      </c>
      <c r="F77" s="23"/>
      <c r="G77" s="23"/>
      <c r="H77" s="23" t="str">
        <f>IF(B77="","",VLOOKUP(AD77,Varsayımlar!$B:$Q,5,0))</f>
        <v>Baskısız 15 cm</v>
      </c>
      <c r="I77" s="23"/>
      <c r="J77" s="23" t="str">
        <f>IF(B77="","",VLOOKUP(AD77,Varsayımlar!$B:$Q,6,0))</f>
        <v>SADE</v>
      </c>
      <c r="K77" s="23">
        <v>250</v>
      </c>
      <c r="L77" s="23"/>
      <c r="M77" s="23" t="str">
        <f>IFERROR(IF(B77="","",K77/VLOOKUP(AD77,Varsayımlar!B:R,17,0)),"")</f>
        <v/>
      </c>
      <c r="N77" s="23"/>
      <c r="O77" s="23"/>
      <c r="P77" s="23">
        <f>IF(B77="","",VLOOKUP(AD77,Varsayımlar!$B:$Q,7,0)*K77)</f>
        <v>3500</v>
      </c>
      <c r="Q77" s="23">
        <f>IF(B77="","",VLOOKUP(AD77,Varsayımlar!$B:$Q,8,0))</f>
        <v>15</v>
      </c>
      <c r="R77" s="23" t="str">
        <f>IF(B77="","",VLOOKUP(AD77,Varsayımlar!$B:$Q,9,0))</f>
        <v>Irak Soft</v>
      </c>
      <c r="S77" s="23">
        <f>IF(B77="","",VLOOKUP(AD77,Varsayımlar!$B:$Q,10,0))</f>
        <v>8</v>
      </c>
      <c r="T77" s="23">
        <f>IF(B77="","",VLOOKUP(AD77,Varsayımlar!$B:$Q,11,0))</f>
        <v>14</v>
      </c>
      <c r="U77" s="23">
        <f>IF(B77="","",VLOOKUP(AD77,Varsayımlar!$B:$Q,12,0))</f>
        <v>220</v>
      </c>
      <c r="V77" s="23" t="str">
        <f>IF(B77="","",VLOOKUP(AD77,Varsayımlar!$B:$Q,13,0))</f>
        <v>Yurtdışı</v>
      </c>
      <c r="W77" s="23">
        <f>IF(B77="","",VLOOKUP(AD77,Varsayımlar!$B:$Q,14,0))</f>
        <v>6</v>
      </c>
      <c r="X77" s="25">
        <v>46185</v>
      </c>
      <c r="Y77" s="25">
        <v>46368</v>
      </c>
      <c r="Z77" s="23">
        <v>26061215</v>
      </c>
      <c r="AA77" s="23" t="str">
        <f>IF(B77="","",VLOOKUP(AD77,Varsayımlar!$B:$Q,15,0))</f>
        <v>15cm koli</v>
      </c>
      <c r="AB77" s="23" t="str">
        <f>IF(B77="","",VLOOKUP(AD77,Varsayımlar!$B:$Q,16,0))</f>
        <v>24-26 cm (Inkjet ile Bilgiler Atılacak)</v>
      </c>
      <c r="AC77" s="23"/>
      <c r="AD77" s="4" t="str">
        <f t="shared" si="16"/>
        <v>Gülbahar CompanyBaskısız 15cm Sade 8pcs 220g</v>
      </c>
    </row>
    <row r="78" spans="1:30" ht="94.5" x14ac:dyDescent="0.25">
      <c r="A78" s="10" t="s">
        <v>79</v>
      </c>
      <c r="B78" s="17" t="s">
        <v>256</v>
      </c>
      <c r="C78" s="18">
        <f>IF(B78="","",VLOOKUP(AD78,Varsayımlar!$B:$Q,3,0))</f>
        <v>8698829380698</v>
      </c>
      <c r="D78" s="18"/>
      <c r="E78" s="34" t="s">
        <v>257</v>
      </c>
      <c r="F78" s="17"/>
      <c r="G78" s="17"/>
      <c r="H78" s="17" t="str">
        <f>IF(B78="","",VLOOKUP(AD78,Varsayımlar!$B:$Q,5,0))</f>
        <v>Tortillas 26cm Pizza</v>
      </c>
      <c r="I78" s="17"/>
      <c r="J78" s="17" t="str">
        <f>IF(B78="","",VLOOKUP(AD78,Varsayımlar!$B:$Q,6,0))</f>
        <v>SADE</v>
      </c>
      <c r="K78" s="17">
        <v>40</v>
      </c>
      <c r="L78" s="17"/>
      <c r="M78" s="17" t="str">
        <f>IFERROR(IF(B78="","",K78/VLOOKUP(AD78,Varsayımlar!B:R,17,0)),"")</f>
        <v/>
      </c>
      <c r="N78" s="17"/>
      <c r="O78" s="17"/>
      <c r="P78" s="17">
        <f>IF(B78="","",VLOOKUP(AD78,Varsayımlar!$B:$Q,7,0)*K78)</f>
        <v>240</v>
      </c>
      <c r="Q78" s="17">
        <f>IF(B78="","",VLOOKUP(AD78,Varsayımlar!$B:$Q,8,0))</f>
        <v>26</v>
      </c>
      <c r="R78" s="17" t="str">
        <f>IF(B78="","",VLOOKUP(AD78,Varsayımlar!$B:$Q,9,0))</f>
        <v>Irak Soft</v>
      </c>
      <c r="S78" s="17">
        <f>IF(B78="","",VLOOKUP(AD78,Varsayımlar!$B:$Q,10,0))</f>
        <v>4</v>
      </c>
      <c r="T78" s="17">
        <f>IF(B78="","",VLOOKUP(AD78,Varsayımlar!$B:$Q,11,0))</f>
        <v>6</v>
      </c>
      <c r="U78" s="17">
        <f>IF(B78="","",VLOOKUP(AD78,Varsayımlar!$B:$Q,12,0))</f>
        <v>480</v>
      </c>
      <c r="V78" s="17" t="str">
        <f>IF(B78="","",VLOOKUP(AD78,Varsayımlar!$B:$Q,13,0))</f>
        <v>Yurtiçi</v>
      </c>
      <c r="W78" s="17">
        <f>IF(B78="","",VLOOKUP(AD78,Varsayımlar!$B:$Q,14,0))</f>
        <v>6</v>
      </c>
      <c r="X78" s="19" t="s">
        <v>113</v>
      </c>
      <c r="Y78" s="19" t="s">
        <v>113</v>
      </c>
      <c r="Z78" s="19" t="s">
        <v>113</v>
      </c>
      <c r="AA78" s="17" t="str">
        <f>IF(B78="","",VLOOKUP(AD78,Varsayımlar!$B:$Q,15,0))</f>
        <v>Pizza kolisi</v>
      </c>
      <c r="AB78" s="17" t="str">
        <f>IF(B78="","",VLOOKUP(AD78,Varsayımlar!$B:$Q,16,0))</f>
        <v>26 cm kesme -Beze 145-150g, Kesilmmeiş çap 27-28cm, Kesilmemiş ağı: 520-540g, Kesilmiş:475-485g</v>
      </c>
      <c r="AC78" s="17"/>
      <c r="AD78" s="4" t="str">
        <f t="shared" ref="AD78:AD92" si="17">IF(B78="","",CONCATENATE(B78,E78))</f>
        <v>Ankara KahveTortillas 26cm Pizza 4pcs 480g</v>
      </c>
    </row>
    <row r="79" spans="1:30" ht="94.5" x14ac:dyDescent="0.25">
      <c r="A79" s="10" t="s">
        <v>80</v>
      </c>
      <c r="B79" s="45" t="s">
        <v>218</v>
      </c>
      <c r="C79" s="12">
        <f>IF(B79="","",VLOOKUP(AD79,Varsayımlar!$B:$Q,3,0))</f>
        <v>8698829380698</v>
      </c>
      <c r="D79" s="12" t="s">
        <v>159</v>
      </c>
      <c r="E79" s="45" t="s">
        <v>244</v>
      </c>
      <c r="F79" s="11">
        <v>26042906</v>
      </c>
      <c r="G79" s="32"/>
      <c r="H79" s="11" t="str">
        <f>IF(B79="","",VLOOKUP(AD79,Varsayımlar!$B:$Q,5,0))</f>
        <v>Tortillas Avrupa Pizza 26cm (742)</v>
      </c>
      <c r="I79" s="11">
        <f>IF(B79="","",VLOOKUP(AD79,Varsayımlar!B:T,19,0))</f>
        <v>0</v>
      </c>
      <c r="J79" s="11" t="str">
        <f>IF(B79="","",VLOOKUP(AD79,Varsayımlar!$B:$Q,6,0))</f>
        <v>SADE</v>
      </c>
      <c r="K79" s="11">
        <v>720</v>
      </c>
      <c r="L79" s="11"/>
      <c r="M79" s="11">
        <f>IFERROR(IF(B79="","",K79/VLOOKUP(AD79,Varsayımlar!B:R,17,0)),"")</f>
        <v>6</v>
      </c>
      <c r="N79" s="11"/>
      <c r="O79" s="11"/>
      <c r="P79" s="11">
        <f>IF(B79="","",VLOOKUP(AD79,Varsayımlar!$B:$Q,7,0)*K79)</f>
        <v>5760</v>
      </c>
      <c r="Q79" s="11">
        <f>IF(B79="","",VLOOKUP(AD79,Varsayımlar!$B:$Q,8,0))</f>
        <v>26</v>
      </c>
      <c r="R79" s="11" t="str">
        <f>IF(B79="","",VLOOKUP(AD79,Varsayımlar!$B:$Q,9,0))</f>
        <v>Irak Soft</v>
      </c>
      <c r="S79" s="11">
        <f>IF(B79="","",VLOOKUP(AD79,Varsayımlar!$B:$Q,10,0))</f>
        <v>4</v>
      </c>
      <c r="T79" s="11">
        <f>IF(B79="","",VLOOKUP(AD79,Varsayımlar!$B:$Q,11,0))</f>
        <v>8</v>
      </c>
      <c r="U79" s="11">
        <f>IF(B79="","",VLOOKUP(AD79,Varsayımlar!$B:$Q,12,0))</f>
        <v>480</v>
      </c>
      <c r="V79" s="11" t="str">
        <f>IF(B79="","",VLOOKUP(AD79,Varsayımlar!$B:$Q,13,0))</f>
        <v>Yurtdışı</v>
      </c>
      <c r="W79" s="11">
        <f>IF(B79="","",VLOOKUP(AD79,Varsayımlar!$B:$Q,14,0))</f>
        <v>9</v>
      </c>
      <c r="X79" s="13"/>
      <c r="Y79" s="13"/>
      <c r="Z79" s="11"/>
      <c r="AA79" s="11" t="str">
        <f>IF(B79="","",VLOOKUP(AD79,Varsayımlar!$B:$Q,15,0))</f>
        <v>26cm Pizza Perforeli-Bulgarca Etiket</v>
      </c>
      <c r="AB79" s="11" t="str">
        <f>IF(B79="","",VLOOKUP(AD79,Varsayımlar!$B:$Q,16,0))</f>
        <v>26 cm kesme -Beze 145-150g, Kesilmmeiş çap 27-28cm, Kesilmemiş ağı: 520-540g, Kesilmiş:475-485g</v>
      </c>
      <c r="AC79" s="11" t="str">
        <f>IF(B79="","",VLOOKUP(Sayfa1!AD79,Varsayımlar!B:S,18,0))</f>
        <v>80x120cm -Epal+Epal</v>
      </c>
      <c r="AD79" s="4" t="str">
        <f t="shared" ref="AD79:AD84" si="18">IF(B79="","",CONCATENATE(B79,E79))</f>
        <v>TASTE LAND-BULGARİSTANTortillas Pizza 26cm 4pcs 480g</v>
      </c>
    </row>
    <row r="80" spans="1:30" ht="94.5" x14ac:dyDescent="0.25">
      <c r="A80" s="10" t="s">
        <v>81</v>
      </c>
      <c r="B80" s="47" t="s">
        <v>218</v>
      </c>
      <c r="C80" s="21">
        <f>IF(B80="","",VLOOKUP(AD80,Varsayımlar!$B:$Q,3,0))</f>
        <v>8698829380698</v>
      </c>
      <c r="D80" s="21" t="s">
        <v>160</v>
      </c>
      <c r="E80" s="47" t="s">
        <v>244</v>
      </c>
      <c r="F80" s="20">
        <v>26042907</v>
      </c>
      <c r="G80" s="44"/>
      <c r="H80" s="20" t="str">
        <f>IF(B80="","",VLOOKUP(AD80,Varsayımlar!$B:$Q,5,0))</f>
        <v>Tortillas Avrupa Pizza 26cm (742)</v>
      </c>
      <c r="I80" s="20">
        <f>IF(B80="","",VLOOKUP(AD80,Varsayımlar!B:T,19,0))</f>
        <v>0</v>
      </c>
      <c r="J80" s="20" t="str">
        <f>IF(B80="","",VLOOKUP(AD80,Varsayımlar!$B:$Q,6,0))</f>
        <v>SADE</v>
      </c>
      <c r="K80" s="20">
        <v>720</v>
      </c>
      <c r="L80" s="20"/>
      <c r="M80" s="20">
        <f>IFERROR(IF(B80="","",K80/VLOOKUP(AD80,Varsayımlar!B:R,17,0)),"")</f>
        <v>6</v>
      </c>
      <c r="N80" s="20"/>
      <c r="O80" s="20"/>
      <c r="P80" s="20">
        <f>IF(B80="","",VLOOKUP(AD80,Varsayımlar!$B:$Q,7,0)*K80)</f>
        <v>5760</v>
      </c>
      <c r="Q80" s="20">
        <f>IF(B80="","",VLOOKUP(AD80,Varsayımlar!$B:$Q,8,0))</f>
        <v>26</v>
      </c>
      <c r="R80" s="20" t="str">
        <f>IF(B80="","",VLOOKUP(AD80,Varsayımlar!$B:$Q,9,0))</f>
        <v>Irak Soft</v>
      </c>
      <c r="S80" s="20">
        <f>IF(B80="","",VLOOKUP(AD80,Varsayımlar!$B:$Q,10,0))</f>
        <v>4</v>
      </c>
      <c r="T80" s="20">
        <f>IF(B80="","",VLOOKUP(AD80,Varsayımlar!$B:$Q,11,0))</f>
        <v>8</v>
      </c>
      <c r="U80" s="20">
        <f>IF(B80="","",VLOOKUP(AD80,Varsayımlar!$B:$Q,12,0))</f>
        <v>480</v>
      </c>
      <c r="V80" s="20" t="str">
        <f>IF(B80="","",VLOOKUP(AD80,Varsayımlar!$B:$Q,13,0))</f>
        <v>Yurtdışı</v>
      </c>
      <c r="W80" s="20">
        <f>IF(B80="","",VLOOKUP(AD80,Varsayımlar!$B:$Q,14,0))</f>
        <v>9</v>
      </c>
      <c r="X80" s="22"/>
      <c r="Y80" s="22"/>
      <c r="Z80" s="20"/>
      <c r="AA80" s="20" t="str">
        <f>IF(B80="","",VLOOKUP(AD80,Varsayımlar!$B:$Q,15,0))</f>
        <v>26cm Pizza Perforeli-Bulgarca Etiket</v>
      </c>
      <c r="AB80" s="20" t="str">
        <f>IF(B80="","",VLOOKUP(AD80,Varsayımlar!$B:$Q,16,0))</f>
        <v>26 cm kesme -Beze 145-150g, Kesilmmeiş çap 27-28cm, Kesilmemiş ağı: 520-540g, Kesilmiş:475-485g</v>
      </c>
      <c r="AC80" s="20" t="str">
        <f>IF(B80="","",VLOOKUP(Sayfa1!AD80,Varsayımlar!B:S,18,0))</f>
        <v>80x120cm -Epal+Epal</v>
      </c>
      <c r="AD80" s="4" t="str">
        <f t="shared" si="18"/>
        <v>TASTE LAND-BULGARİSTANTortillas Pizza 26cm 4pcs 480g</v>
      </c>
    </row>
    <row r="81" spans="1:30" ht="94.5" x14ac:dyDescent="0.25">
      <c r="A81" s="10" t="s">
        <v>82</v>
      </c>
      <c r="B81" s="36" t="s">
        <v>218</v>
      </c>
      <c r="C81" s="27">
        <f>IF(B81="","",VLOOKUP(AD81,Varsayımlar!$B:$Q,3,0))</f>
        <v>8698829380698</v>
      </c>
      <c r="D81" s="27" t="s">
        <v>161</v>
      </c>
      <c r="E81" s="36" t="s">
        <v>244</v>
      </c>
      <c r="F81" s="26" t="s">
        <v>341</v>
      </c>
      <c r="G81" s="43"/>
      <c r="H81" s="26" t="str">
        <f>IF(B81="","",VLOOKUP(AD81,Varsayımlar!$B:$Q,5,0))</f>
        <v>Tortillas Avrupa Pizza 26cm (742)</v>
      </c>
      <c r="I81" s="26">
        <f>IF(B81="","",VLOOKUP(AD81,Varsayımlar!B:T,19,0))</f>
        <v>0</v>
      </c>
      <c r="J81" s="26" t="str">
        <f>IF(B81="","",VLOOKUP(AD81,Varsayımlar!$B:$Q,6,0))</f>
        <v>SADE</v>
      </c>
      <c r="K81" s="26">
        <v>840</v>
      </c>
      <c r="L81" s="26"/>
      <c r="M81" s="26">
        <f>IFERROR(IF(B81="","",K81/VLOOKUP(AD81,Varsayımlar!B:R,17,0)),"")</f>
        <v>7</v>
      </c>
      <c r="N81" s="26"/>
      <c r="O81" s="26"/>
      <c r="P81" s="26">
        <f>IF(B81="","",VLOOKUP(AD81,Varsayımlar!$B:$Q,7,0)*K81)</f>
        <v>6720</v>
      </c>
      <c r="Q81" s="26">
        <f>IF(B81="","",VLOOKUP(AD81,Varsayımlar!$B:$Q,8,0))</f>
        <v>26</v>
      </c>
      <c r="R81" s="26" t="str">
        <f>IF(B81="","",VLOOKUP(AD81,Varsayımlar!$B:$Q,9,0))</f>
        <v>Irak Soft</v>
      </c>
      <c r="S81" s="26">
        <f>IF(B81="","",VLOOKUP(AD81,Varsayımlar!$B:$Q,10,0))</f>
        <v>4</v>
      </c>
      <c r="T81" s="26">
        <f>IF(B81="","",VLOOKUP(AD81,Varsayımlar!$B:$Q,11,0))</f>
        <v>8</v>
      </c>
      <c r="U81" s="26">
        <f>IF(B81="","",VLOOKUP(AD81,Varsayımlar!$B:$Q,12,0))</f>
        <v>480</v>
      </c>
      <c r="V81" s="26" t="str">
        <f>IF(B81="","",VLOOKUP(AD81,Varsayımlar!$B:$Q,13,0))</f>
        <v>Yurtdışı</v>
      </c>
      <c r="W81" s="26">
        <f>IF(B81="","",VLOOKUP(AD81,Varsayımlar!$B:$Q,14,0))</f>
        <v>9</v>
      </c>
      <c r="X81" s="28"/>
      <c r="Y81" s="28"/>
      <c r="Z81" s="26"/>
      <c r="AA81" s="26" t="str">
        <f>IF(B81="","",VLOOKUP(AD81,Varsayımlar!$B:$Q,15,0))</f>
        <v>26cm Pizza Perforeli-Bulgarca Etiket</v>
      </c>
      <c r="AB81" s="26" t="str">
        <f>IF(B81="","",VLOOKUP(AD81,Varsayımlar!$B:$Q,16,0))</f>
        <v>26 cm kesme -Beze 145-150g, Kesilmmeiş çap 27-28cm, Kesilmemiş ağı: 520-540g, Kesilmiş:475-485g</v>
      </c>
      <c r="AC81" s="26" t="str">
        <f>IF(B81="","",VLOOKUP(Sayfa1!AD81,Varsayımlar!B:S,18,0))</f>
        <v>80x120cm -Epal+Epal</v>
      </c>
      <c r="AD81" s="4" t="str">
        <f t="shared" si="18"/>
        <v>TASTE LAND-BULGARİSTANTortillas Pizza 26cm 4pcs 480g</v>
      </c>
    </row>
    <row r="82" spans="1:30" ht="31.5" x14ac:dyDescent="0.25">
      <c r="A82" s="10" t="s">
        <v>83</v>
      </c>
      <c r="B82" s="33" t="s">
        <v>268</v>
      </c>
      <c r="C82" s="27" t="e">
        <f>IF(B82="","",VLOOKUP(AD82,Varsayımlar!$B:$Q,3,0))</f>
        <v>#N/A</v>
      </c>
      <c r="D82" s="30" t="s">
        <v>159</v>
      </c>
      <c r="E82" s="30" t="s">
        <v>348</v>
      </c>
      <c r="F82" s="29">
        <v>20250825</v>
      </c>
      <c r="G82" s="42" t="s">
        <v>68</v>
      </c>
      <c r="H82" s="26" t="e">
        <f>IF(B82="","",VLOOKUP(AD82,Varsayımlar!$B:$Q,5,0))</f>
        <v>#N/A</v>
      </c>
      <c r="I82" s="29" t="e">
        <f>IF(B82="","",VLOOKUP(AD82,Varsayımlar!B:T,19,0))</f>
        <v>#N/A</v>
      </c>
      <c r="J82" s="29" t="e">
        <f>IF(B82="","",VLOOKUP(AD82,Varsayımlar!$B:$Q,6,0))</f>
        <v>#N/A</v>
      </c>
      <c r="K82" s="29">
        <v>960</v>
      </c>
      <c r="L82" s="29"/>
      <c r="M82" s="29" t="str">
        <f>IFERROR(IF(B82="","",K82/VLOOKUP(AD82,Varsayımlar!B:R,17,0)),"")</f>
        <v/>
      </c>
      <c r="N82" s="29"/>
      <c r="O82" s="29"/>
      <c r="P82" s="26" t="e">
        <f>IF(B82="","",VLOOKUP(AD82,Varsayımlar!$B:$Q,7,0)*K82)</f>
        <v>#N/A</v>
      </c>
      <c r="Q82" s="29" t="e">
        <f>IF(B82="","",VLOOKUP(AD82,Varsayımlar!$B:$Q,8,0))</f>
        <v>#N/A</v>
      </c>
      <c r="R82" s="29" t="e">
        <f>IF(B82="","",VLOOKUP(AD82,Varsayımlar!$B:$Q,9,0))</f>
        <v>#N/A</v>
      </c>
      <c r="S82" s="29" t="e">
        <f>IF(B82="","",VLOOKUP(AD82,Varsayımlar!$B:$Q,10,0))</f>
        <v>#N/A</v>
      </c>
      <c r="T82" s="29" t="e">
        <f>IF(B82="","",VLOOKUP(AD82,Varsayımlar!$B:$Q,11,0))</f>
        <v>#N/A</v>
      </c>
      <c r="U82" s="29" t="e">
        <f>IF(B82="","",VLOOKUP(AD82,Varsayımlar!$B:$Q,12,0))</f>
        <v>#N/A</v>
      </c>
      <c r="V82" s="29" t="e">
        <f>IF(B82="","",VLOOKUP(AD82,Varsayımlar!$B:$Q,13,0))</f>
        <v>#N/A</v>
      </c>
      <c r="W82" s="29" t="e">
        <f>IF(B82="","",VLOOKUP(AD82,Varsayımlar!$B:$Q,14,0))</f>
        <v>#N/A</v>
      </c>
      <c r="X82" s="31"/>
      <c r="Y82" s="31"/>
      <c r="Z82" s="29"/>
      <c r="AA82" s="29" t="e">
        <f>IF(B82="","",VLOOKUP(AD82,Varsayımlar!$B:$Q,15,0))</f>
        <v>#N/A</v>
      </c>
      <c r="AB82" s="29" t="e">
        <f>IF(B82="","",VLOOKUP(AD82,Varsayımlar!$B:$Q,16,0))</f>
        <v>#N/A</v>
      </c>
      <c r="AC82" s="29" t="e">
        <f>IF(B82="","",VLOOKUP(Sayfa1!AD82,Varsayımlar!B:S,18,0))</f>
        <v>#N/A</v>
      </c>
      <c r="AD82" s="4" t="str">
        <f t="shared" si="18"/>
        <v>LAIKYUZHN-BELARUSTortillas Pizza 26cm 2pcs 240g</v>
      </c>
    </row>
    <row r="83" spans="1:30" ht="31.5" x14ac:dyDescent="0.25">
      <c r="A83" s="10" t="s">
        <v>84</v>
      </c>
      <c r="B83" s="35" t="s">
        <v>268</v>
      </c>
      <c r="C83" s="27" t="e">
        <f>IF(B83="","",VLOOKUP(AD83,Varsayımlar!$B:$Q,3,0))</f>
        <v>#N/A</v>
      </c>
      <c r="D83" s="24" t="s">
        <v>160</v>
      </c>
      <c r="E83" s="24" t="s">
        <v>348</v>
      </c>
      <c r="F83" s="23" t="s">
        <v>343</v>
      </c>
      <c r="G83" s="39" t="s">
        <v>68</v>
      </c>
      <c r="H83" s="26" t="e">
        <f>IF(B83="","",VLOOKUP(AD83,Varsayımlar!$B:$Q,5,0))</f>
        <v>#N/A</v>
      </c>
      <c r="I83" s="23" t="e">
        <f>IF(B83="","",VLOOKUP(AD83,Varsayımlar!B:T,19,0))</f>
        <v>#N/A</v>
      </c>
      <c r="J83" s="23" t="e">
        <f>IF(B83="","",VLOOKUP(AD83,Varsayımlar!$B:$Q,6,0))</f>
        <v>#N/A</v>
      </c>
      <c r="K83" s="23">
        <v>768</v>
      </c>
      <c r="L83" s="23"/>
      <c r="M83" s="23" t="str">
        <f>IFERROR(IF(B83="","",K83/VLOOKUP(AD83,Varsayımlar!B:R,17,0)),"")</f>
        <v/>
      </c>
      <c r="N83" s="23"/>
      <c r="O83" s="23"/>
      <c r="P83" s="26" t="e">
        <f>IF(B83="","",VLOOKUP(AD83,Varsayımlar!$B:$Q,7,0)*K83)</f>
        <v>#N/A</v>
      </c>
      <c r="Q83" s="23" t="e">
        <f>IF(B83="","",VLOOKUP(AD83,Varsayımlar!$B:$Q,8,0))</f>
        <v>#N/A</v>
      </c>
      <c r="R83" s="23" t="e">
        <f>IF(B83="","",VLOOKUP(AD83,Varsayımlar!$B:$Q,9,0))</f>
        <v>#N/A</v>
      </c>
      <c r="S83" s="23" t="e">
        <f>IF(B83="","",VLOOKUP(AD83,Varsayımlar!$B:$Q,10,0))</f>
        <v>#N/A</v>
      </c>
      <c r="T83" s="23" t="e">
        <f>IF(B83="","",VLOOKUP(AD83,Varsayımlar!$B:$Q,11,0))</f>
        <v>#N/A</v>
      </c>
      <c r="U83" s="23" t="e">
        <f>IF(B83="","",VLOOKUP(AD83,Varsayımlar!$B:$Q,12,0))</f>
        <v>#N/A</v>
      </c>
      <c r="V83" s="23" t="e">
        <f>IF(B83="","",VLOOKUP(AD83,Varsayımlar!$B:$Q,13,0))</f>
        <v>#N/A</v>
      </c>
      <c r="W83" s="23" t="e">
        <f>IF(B83="","",VLOOKUP(AD83,Varsayımlar!$B:$Q,14,0))</f>
        <v>#N/A</v>
      </c>
      <c r="X83" s="25"/>
      <c r="Y83" s="25"/>
      <c r="Z83" s="23"/>
      <c r="AA83" s="23" t="e">
        <f>IF(B83="","",VLOOKUP(AD83,Varsayımlar!$B:$Q,15,0))</f>
        <v>#N/A</v>
      </c>
      <c r="AB83" s="23" t="e">
        <f>IF(B83="","",VLOOKUP(AD83,Varsayımlar!$B:$Q,16,0))</f>
        <v>#N/A</v>
      </c>
      <c r="AC83" s="23" t="e">
        <f>IF(B83="","",VLOOKUP(Sayfa1!AD83,Varsayımlar!B:S,18,0))</f>
        <v>#N/A</v>
      </c>
      <c r="AD83" s="4" t="str">
        <f t="shared" si="18"/>
        <v>LAIKYUZHN-BELARUSTortillas Pizza 26cm 2pcs 240g</v>
      </c>
    </row>
    <row r="84" spans="1:30" ht="94.5" x14ac:dyDescent="0.25">
      <c r="A84" s="10" t="s">
        <v>85</v>
      </c>
      <c r="B84" s="45" t="s">
        <v>181</v>
      </c>
      <c r="C84" s="12">
        <f>IF(B84="","",VLOOKUP(AD84,Varsayımlar!$B:$Q,3,0))</f>
        <v>8698829380698</v>
      </c>
      <c r="D84" s="12"/>
      <c r="E84" s="45" t="s">
        <v>206</v>
      </c>
      <c r="F84" s="11">
        <v>26060101</v>
      </c>
      <c r="G84" s="32"/>
      <c r="H84" s="11" t="str">
        <f>IF(B84="","",VLOOKUP(AD84,Varsayımlar!$B:$Q,5,0))</f>
        <v>Pizza-6 26 cm</v>
      </c>
      <c r="I84" s="11" t="str">
        <f>IF(B84="","",VLOOKUP(AD84,Varsayımlar!B:T,19,0))</f>
        <v>Arka kısma Arnavutça içerik-Pizza 6</v>
      </c>
      <c r="J84" s="11" t="str">
        <f>IF(B84="","",VLOOKUP(AD84,Varsayımlar!$B:$Q,6,0))</f>
        <v>SADE</v>
      </c>
      <c r="K84" s="11">
        <v>120</v>
      </c>
      <c r="L84" s="11"/>
      <c r="M84" s="11">
        <f>IFERROR(IF(B84="","",K84/VLOOKUP(AD84,Varsayımlar!B:R,17,0)),"")</f>
        <v>1</v>
      </c>
      <c r="N84" s="11"/>
      <c r="O84" s="11"/>
      <c r="P84" s="11">
        <f>IF(B84="","",VLOOKUP(AD84,Varsayımlar!$B:$Q,7,0)*K84)</f>
        <v>720</v>
      </c>
      <c r="Q84" s="11">
        <f>IF(B84="","",VLOOKUP(AD84,Varsayımlar!$B:$Q,8,0))</f>
        <v>26</v>
      </c>
      <c r="R84" s="11" t="str">
        <f>IF(B84="","",VLOOKUP(AD84,Varsayımlar!$B:$Q,9,0))</f>
        <v>Irak Soft</v>
      </c>
      <c r="S84" s="11">
        <f>IF(B84="","",VLOOKUP(AD84,Varsayımlar!$B:$Q,10,0))</f>
        <v>4</v>
      </c>
      <c r="T84" s="11">
        <f>IF(B84="","",VLOOKUP(AD84,Varsayımlar!$B:$Q,11,0))</f>
        <v>6</v>
      </c>
      <c r="U84" s="11">
        <f>IF(B84="","",VLOOKUP(AD84,Varsayımlar!$B:$Q,12,0))</f>
        <v>480</v>
      </c>
      <c r="V84" s="11" t="str">
        <f>IF(B84="","",VLOOKUP(AD84,Varsayımlar!$B:$Q,13,0))</f>
        <v>YURTDIŞI</v>
      </c>
      <c r="W84" s="11">
        <f>IF(B84="","",VLOOKUP(AD84,Varsayımlar!$B:$Q,14,0))</f>
        <v>12</v>
      </c>
      <c r="X84" s="13"/>
      <c r="Y84" s="13"/>
      <c r="Z84" s="11"/>
      <c r="AA84" s="11" t="str">
        <f>IF(B84="","",VLOOKUP(AD84,Varsayımlar!$B:$Q,15,0))</f>
        <v>Pizza kolisi</v>
      </c>
      <c r="AB84" s="11" t="str">
        <f>IF(B84="","",VLOOKUP(AD84,Varsayımlar!$B:$Q,16,0))</f>
        <v>26 cm kesme -Beze 145-150g, Kesilmmeiş çap 27-28cm, Kesilmemiş ağı: 520-540g, Kesilmiş:475-485g</v>
      </c>
      <c r="AC84" s="11">
        <f>IF(B84="","",VLOOKUP(Sayfa1!AD84,Varsayımlar!B:S,18,0))</f>
        <v>0</v>
      </c>
      <c r="AD84" s="4" t="str">
        <f t="shared" si="18"/>
        <v>ALDİ - KOSOVAPizza-6 26cm 4pcs 480g</v>
      </c>
    </row>
    <row r="85" spans="1:30" hidden="1" x14ac:dyDescent="0.25">
      <c r="A85" s="10" t="s">
        <v>86</v>
      </c>
      <c r="B85" s="29"/>
      <c r="C85" s="30" t="str">
        <f>IF(B85="","",VLOOKUP(AD85,Varsayımlar!$B:$Q,3,0))</f>
        <v/>
      </c>
      <c r="D85" s="30"/>
      <c r="E85" s="30"/>
      <c r="F85" s="30"/>
      <c r="G85" s="30"/>
      <c r="H85" s="30" t="str">
        <f>IF(B85="","",VLOOKUP(AD85,Varsayımlar!$B:$Q,5,0))</f>
        <v/>
      </c>
      <c r="I85" s="30"/>
      <c r="J85" s="30" t="str">
        <f>IF(B85="","",VLOOKUP(AD85,Varsayımlar!$B:$Q,6,0))</f>
        <v/>
      </c>
      <c r="K85" s="30"/>
      <c r="L85" s="30"/>
      <c r="M85" s="30" t="str">
        <f>IFERROR(IF(B85="","",K85/VLOOKUP(AD85,Varsayımlar!B:R,17,0)),"")</f>
        <v/>
      </c>
      <c r="N85" s="30"/>
      <c r="O85" s="30"/>
      <c r="P85" s="30" t="str">
        <f>IF(B85="","",VLOOKUP(AD85,Varsayımlar!$B:$Q,7,0)*K85)</f>
        <v/>
      </c>
      <c r="Q85" s="30" t="str">
        <f>IF(B85="","",VLOOKUP(AD85,Varsayımlar!$B:$Q,8,0))</f>
        <v/>
      </c>
      <c r="R85" s="30" t="str">
        <f>IF(B85="","",VLOOKUP(AD85,Varsayımlar!$B:$Q,9,0))</f>
        <v/>
      </c>
      <c r="S85" s="30" t="str">
        <f>IF(B85="","",VLOOKUP(AD85,Varsayımlar!$B:$Q,10,0))</f>
        <v/>
      </c>
      <c r="T85" s="30" t="str">
        <f>IF(B85="","",VLOOKUP(AD85,Varsayımlar!$B:$Q,11,0))</f>
        <v/>
      </c>
      <c r="U85" s="30" t="str">
        <f>IF(B85="","",VLOOKUP(AD85,Varsayımlar!$B:$Q,12,0))</f>
        <v/>
      </c>
      <c r="V85" s="30" t="str">
        <f>IF(B85="","",VLOOKUP(AD85,Varsayımlar!$B:$Q,13,0))</f>
        <v/>
      </c>
      <c r="W85" s="29" t="str">
        <f>IF(B85="","",VLOOKUP(AD85,Varsayımlar!$B:$Q,14,0))</f>
        <v/>
      </c>
      <c r="X85" s="31"/>
      <c r="Y85" s="31"/>
      <c r="Z85" s="29"/>
      <c r="AA85" s="29" t="str">
        <f>IF(B85="","",VLOOKUP(AD85,Varsayımlar!$B:$Q,15,0))</f>
        <v/>
      </c>
      <c r="AB85" s="29" t="str">
        <f>IF(B85="","",VLOOKUP(AD85,Varsayımlar!$B:$Q,16,0))</f>
        <v/>
      </c>
      <c r="AC85" s="29"/>
      <c r="AD85" s="4" t="str">
        <f t="shared" si="17"/>
        <v/>
      </c>
    </row>
    <row r="86" spans="1:30" hidden="1" x14ac:dyDescent="0.25">
      <c r="A86" s="10" t="s">
        <v>87</v>
      </c>
      <c r="B86" s="29"/>
      <c r="C86" s="30" t="str">
        <f>IF(B86="","",VLOOKUP(AD86,Varsayımlar!$B:$Q,3,0))</f>
        <v/>
      </c>
      <c r="D86" s="30"/>
      <c r="E86" s="30"/>
      <c r="F86" s="30"/>
      <c r="G86" s="30"/>
      <c r="H86" s="30" t="str">
        <f>IF(B86="","",VLOOKUP(AD86,Varsayımlar!$B:$Q,5,0))</f>
        <v/>
      </c>
      <c r="I86" s="30"/>
      <c r="J86" s="30" t="str">
        <f>IF(B86="","",VLOOKUP(AD86,Varsayımlar!$B:$Q,6,0))</f>
        <v/>
      </c>
      <c r="K86" s="30"/>
      <c r="L86" s="30"/>
      <c r="M86" s="30" t="str">
        <f>IFERROR(IF(B86="","",K86/VLOOKUP(AD86,Varsayımlar!B:R,17,0)),"")</f>
        <v/>
      </c>
      <c r="N86" s="30"/>
      <c r="O86" s="30"/>
      <c r="P86" s="30" t="str">
        <f>IF(B86="","",VLOOKUP(AD86,Varsayımlar!$B:$Q,7,0)*K86)</f>
        <v/>
      </c>
      <c r="Q86" s="30" t="str">
        <f>IF(B86="","",VLOOKUP(AD86,Varsayımlar!$B:$Q,8,0))</f>
        <v/>
      </c>
      <c r="R86" s="30" t="str">
        <f>IF(B86="","",VLOOKUP(AD86,Varsayımlar!$B:$Q,9,0))</f>
        <v/>
      </c>
      <c r="S86" s="30" t="str">
        <f>IF(B86="","",VLOOKUP(AD86,Varsayımlar!$B:$Q,10,0))</f>
        <v/>
      </c>
      <c r="T86" s="30" t="str">
        <f>IF(B86="","",VLOOKUP(AD86,Varsayımlar!$B:$Q,11,0))</f>
        <v/>
      </c>
      <c r="U86" s="30" t="str">
        <f>IF(B86="","",VLOOKUP(AD86,Varsayımlar!$B:$Q,12,0))</f>
        <v/>
      </c>
      <c r="V86" s="30" t="str">
        <f>IF(B86="","",VLOOKUP(AD86,Varsayımlar!$B:$Q,13,0))</f>
        <v/>
      </c>
      <c r="W86" s="29" t="str">
        <f>IF(B86="","",VLOOKUP(AD86,Varsayımlar!$B:$Q,14,0))</f>
        <v/>
      </c>
      <c r="X86" s="31"/>
      <c r="Y86" s="31"/>
      <c r="Z86" s="29"/>
      <c r="AA86" s="29" t="str">
        <f>IF(B86="","",VLOOKUP(AD86,Varsayımlar!$B:$Q,15,0))</f>
        <v/>
      </c>
      <c r="AB86" s="29" t="str">
        <f>IF(B86="","",VLOOKUP(AD86,Varsayımlar!$B:$Q,16,0))</f>
        <v/>
      </c>
      <c r="AC86" s="29"/>
      <c r="AD86" s="4" t="str">
        <f t="shared" si="17"/>
        <v/>
      </c>
    </row>
    <row r="87" spans="1:30" hidden="1" x14ac:dyDescent="0.25">
      <c r="A87" s="10" t="s">
        <v>88</v>
      </c>
      <c r="B87" s="29"/>
      <c r="C87" s="30" t="str">
        <f>IF(B87="","",VLOOKUP(AD87,Varsayımlar!$B:$Q,3,0))</f>
        <v/>
      </c>
      <c r="D87" s="30"/>
      <c r="E87" s="30"/>
      <c r="F87" s="30"/>
      <c r="G87" s="30"/>
      <c r="H87" s="30" t="str">
        <f>IF(B87="","",VLOOKUP(AD87,Varsayımlar!$B:$Q,5,0))</f>
        <v/>
      </c>
      <c r="I87" s="30"/>
      <c r="J87" s="30" t="str">
        <f>IF(B87="","",VLOOKUP(AD87,Varsayımlar!$B:$Q,6,0))</f>
        <v/>
      </c>
      <c r="K87" s="30"/>
      <c r="L87" s="30"/>
      <c r="M87" s="30" t="str">
        <f>IFERROR(IF(B87="","",K87/VLOOKUP(AD87,Varsayımlar!B:R,17,0)),"")</f>
        <v/>
      </c>
      <c r="N87" s="30"/>
      <c r="O87" s="30"/>
      <c r="P87" s="30" t="str">
        <f>IF(B87="","",VLOOKUP(AD87,Varsayımlar!$B:$Q,7,0)*K87)</f>
        <v/>
      </c>
      <c r="Q87" s="30" t="str">
        <f>IF(B87="","",VLOOKUP(AD87,Varsayımlar!$B:$Q,8,0))</f>
        <v/>
      </c>
      <c r="R87" s="30" t="str">
        <f>IF(B87="","",VLOOKUP(AD87,Varsayımlar!$B:$Q,9,0))</f>
        <v/>
      </c>
      <c r="S87" s="30" t="str">
        <f>IF(B87="","",VLOOKUP(AD87,Varsayımlar!$B:$Q,10,0))</f>
        <v/>
      </c>
      <c r="T87" s="30" t="str">
        <f>IF(B87="","",VLOOKUP(AD87,Varsayımlar!$B:$Q,11,0))</f>
        <v/>
      </c>
      <c r="U87" s="30" t="str">
        <f>IF(B87="","",VLOOKUP(AD87,Varsayımlar!$B:$Q,12,0))</f>
        <v/>
      </c>
      <c r="V87" s="30" t="str">
        <f>IF(B87="","",VLOOKUP(AD87,Varsayımlar!$B:$Q,13,0))</f>
        <v/>
      </c>
      <c r="W87" s="29" t="str">
        <f>IF(B87="","",VLOOKUP(AD87,Varsayımlar!$B:$Q,14,0))</f>
        <v/>
      </c>
      <c r="X87" s="31"/>
      <c r="Y87" s="31"/>
      <c r="Z87" s="29"/>
      <c r="AA87" s="29" t="str">
        <f>IF(B87="","",VLOOKUP(AD87,Varsayımlar!$B:$Q,15,0))</f>
        <v/>
      </c>
      <c r="AB87" s="29" t="str">
        <f>IF(B87="","",VLOOKUP(AD87,Varsayımlar!$B:$Q,16,0))</f>
        <v/>
      </c>
      <c r="AC87" s="29"/>
      <c r="AD87" s="4" t="str">
        <f t="shared" si="17"/>
        <v/>
      </c>
    </row>
    <row r="88" spans="1:30" hidden="1" x14ac:dyDescent="0.25">
      <c r="A88" s="10" t="s">
        <v>89</v>
      </c>
      <c r="B88" s="29"/>
      <c r="C88" s="30" t="str">
        <f>IF(B88="","",VLOOKUP(AD88,Varsayımlar!$B:$Q,3,0))</f>
        <v/>
      </c>
      <c r="D88" s="30"/>
      <c r="E88" s="30"/>
      <c r="F88" s="30"/>
      <c r="G88" s="30"/>
      <c r="H88" s="30" t="str">
        <f>IF(B88="","",VLOOKUP(AD88,Varsayımlar!$B:$Q,5,0))</f>
        <v/>
      </c>
      <c r="I88" s="30"/>
      <c r="J88" s="30" t="str">
        <f>IF(B88="","",VLOOKUP(AD88,Varsayımlar!$B:$Q,6,0))</f>
        <v/>
      </c>
      <c r="K88" s="30"/>
      <c r="L88" s="30"/>
      <c r="M88" s="30" t="str">
        <f>IFERROR(IF(B88="","",K88/VLOOKUP(AD88,Varsayımlar!B:R,17,0)),"")</f>
        <v/>
      </c>
      <c r="N88" s="30"/>
      <c r="O88" s="30"/>
      <c r="P88" s="30" t="str">
        <f>IF(B88="","",VLOOKUP(AD88,Varsayımlar!$B:$Q,7,0)*K88)</f>
        <v/>
      </c>
      <c r="Q88" s="30" t="str">
        <f>IF(B88="","",VLOOKUP(AD88,Varsayımlar!$B:$Q,8,0))</f>
        <v/>
      </c>
      <c r="R88" s="30" t="str">
        <f>IF(B88="","",VLOOKUP(AD88,Varsayımlar!$B:$Q,9,0))</f>
        <v/>
      </c>
      <c r="S88" s="30" t="str">
        <f>IF(B88="","",VLOOKUP(AD88,Varsayımlar!$B:$Q,10,0))</f>
        <v/>
      </c>
      <c r="T88" s="30" t="str">
        <f>IF(B88="","",VLOOKUP(AD88,Varsayımlar!$B:$Q,11,0))</f>
        <v/>
      </c>
      <c r="U88" s="30" t="str">
        <f>IF(B88="","",VLOOKUP(AD88,Varsayımlar!$B:$Q,12,0))</f>
        <v/>
      </c>
      <c r="V88" s="30" t="str">
        <f>IF(B88="","",VLOOKUP(AD88,Varsayımlar!$B:$Q,13,0))</f>
        <v/>
      </c>
      <c r="W88" s="29" t="str">
        <f>IF(B88="","",VLOOKUP(AD88,Varsayımlar!$B:$Q,14,0))</f>
        <v/>
      </c>
      <c r="X88" s="31"/>
      <c r="Y88" s="31"/>
      <c r="Z88" s="29"/>
      <c r="AA88" s="29" t="str">
        <f>IF(B88="","",VLOOKUP(AD88,Varsayımlar!$B:$Q,15,0))</f>
        <v/>
      </c>
      <c r="AB88" s="29" t="str">
        <f>IF(B88="","",VLOOKUP(AD88,Varsayımlar!$B:$Q,16,0))</f>
        <v/>
      </c>
      <c r="AC88" s="29"/>
      <c r="AD88" s="4" t="str">
        <f t="shared" si="17"/>
        <v/>
      </c>
    </row>
    <row r="89" spans="1:30" hidden="1" x14ac:dyDescent="0.25">
      <c r="A89" s="10" t="s">
        <v>90</v>
      </c>
      <c r="B89" s="29"/>
      <c r="C89" s="30" t="str">
        <f>IF(B89="","",VLOOKUP(AD89,Varsayımlar!$B:$Q,3,0))</f>
        <v/>
      </c>
      <c r="D89" s="30"/>
      <c r="E89" s="30"/>
      <c r="F89" s="30"/>
      <c r="G89" s="30"/>
      <c r="H89" s="30" t="str">
        <f>IF(B89="","",VLOOKUP(AD89,Varsayımlar!$B:$Q,5,0))</f>
        <v/>
      </c>
      <c r="I89" s="30"/>
      <c r="J89" s="30" t="str">
        <f>IF(B89="","",VLOOKUP(AD89,Varsayımlar!$B:$Q,6,0))</f>
        <v/>
      </c>
      <c r="K89" s="30"/>
      <c r="L89" s="30"/>
      <c r="M89" s="30" t="str">
        <f>IFERROR(IF(B89="","",K89/VLOOKUP(AD89,Varsayımlar!B:R,17,0)),"")</f>
        <v/>
      </c>
      <c r="N89" s="30"/>
      <c r="O89" s="30"/>
      <c r="P89" s="30" t="str">
        <f>IF(B89="","",VLOOKUP(AD89,Varsayımlar!$B:$Q,7,0)*K89)</f>
        <v/>
      </c>
      <c r="Q89" s="30" t="str">
        <f>IF(B89="","",VLOOKUP(AD89,Varsayımlar!$B:$Q,8,0))</f>
        <v/>
      </c>
      <c r="R89" s="30" t="str">
        <f>IF(B89="","",VLOOKUP(AD89,Varsayımlar!$B:$Q,9,0))</f>
        <v/>
      </c>
      <c r="S89" s="30" t="str">
        <f>IF(B89="","",VLOOKUP(AD89,Varsayımlar!$B:$Q,10,0))</f>
        <v/>
      </c>
      <c r="T89" s="30" t="str">
        <f>IF(B89="","",VLOOKUP(AD89,Varsayımlar!$B:$Q,11,0))</f>
        <v/>
      </c>
      <c r="U89" s="30" t="str">
        <f>IF(B89="","",VLOOKUP(AD89,Varsayımlar!$B:$Q,12,0))</f>
        <v/>
      </c>
      <c r="V89" s="30" t="str">
        <f>IF(B89="","",VLOOKUP(AD89,Varsayımlar!$B:$Q,13,0))</f>
        <v/>
      </c>
      <c r="W89" s="29" t="str">
        <f>IF(B89="","",VLOOKUP(AD89,Varsayımlar!$B:$Q,14,0))</f>
        <v/>
      </c>
      <c r="X89" s="31"/>
      <c r="Y89" s="31"/>
      <c r="Z89" s="29"/>
      <c r="AA89" s="29" t="str">
        <f>IF(B89="","",VLOOKUP(AD89,Varsayımlar!$B:$Q,15,0))</f>
        <v/>
      </c>
      <c r="AB89" s="29" t="str">
        <f>IF(B89="","",VLOOKUP(AD89,Varsayımlar!$B:$Q,16,0))</f>
        <v/>
      </c>
      <c r="AC89" s="29"/>
      <c r="AD89" s="4" t="str">
        <f t="shared" si="17"/>
        <v/>
      </c>
    </row>
    <row r="90" spans="1:30" hidden="1" x14ac:dyDescent="0.25">
      <c r="A90" s="10" t="s">
        <v>91</v>
      </c>
      <c r="B90" s="29"/>
      <c r="C90" s="30" t="str">
        <f>IF(B90="","",VLOOKUP(AD90,Varsayımlar!$B:$Q,3,0))</f>
        <v/>
      </c>
      <c r="D90" s="30"/>
      <c r="E90" s="30"/>
      <c r="F90" s="30"/>
      <c r="G90" s="30"/>
      <c r="H90" s="30" t="str">
        <f>IF(B90="","",VLOOKUP(AD90,Varsayımlar!$B:$Q,5,0))</f>
        <v/>
      </c>
      <c r="I90" s="30"/>
      <c r="J90" s="30" t="str">
        <f>IF(B90="","",VLOOKUP(AD90,Varsayımlar!$B:$Q,6,0))</f>
        <v/>
      </c>
      <c r="K90" s="30"/>
      <c r="L90" s="30"/>
      <c r="M90" s="30" t="str">
        <f>IFERROR(IF(B90="","",K90/VLOOKUP(AD90,Varsayımlar!B:R,17,0)),"")</f>
        <v/>
      </c>
      <c r="N90" s="30"/>
      <c r="O90" s="30"/>
      <c r="P90" s="30" t="str">
        <f>IF(B90="","",VLOOKUP(AD90,Varsayımlar!$B:$Q,7,0)*K90)</f>
        <v/>
      </c>
      <c r="Q90" s="30" t="str">
        <f>IF(B90="","",VLOOKUP(AD90,Varsayımlar!$B:$Q,8,0))</f>
        <v/>
      </c>
      <c r="R90" s="30" t="str">
        <f>IF(B90="","",VLOOKUP(AD90,Varsayımlar!$B:$Q,9,0))</f>
        <v/>
      </c>
      <c r="S90" s="30" t="str">
        <f>IF(B90="","",VLOOKUP(AD90,Varsayımlar!$B:$Q,10,0))</f>
        <v/>
      </c>
      <c r="T90" s="30" t="str">
        <f>IF(B90="","",VLOOKUP(AD90,Varsayımlar!$B:$Q,11,0))</f>
        <v/>
      </c>
      <c r="U90" s="30" t="str">
        <f>IF(B90="","",VLOOKUP(AD90,Varsayımlar!$B:$Q,12,0))</f>
        <v/>
      </c>
      <c r="V90" s="30" t="str">
        <f>IF(B90="","",VLOOKUP(AD90,Varsayımlar!$B:$Q,13,0))</f>
        <v/>
      </c>
      <c r="W90" s="29" t="str">
        <f>IF(B90="","",VLOOKUP(AD90,Varsayımlar!$B:$Q,14,0))</f>
        <v/>
      </c>
      <c r="X90" s="31"/>
      <c r="Y90" s="31"/>
      <c r="Z90" s="29"/>
      <c r="AA90" s="29" t="str">
        <f>IF(B90="","",VLOOKUP(AD90,Varsayımlar!$B:$Q,15,0))</f>
        <v/>
      </c>
      <c r="AB90" s="29" t="str">
        <f>IF(B90="","",VLOOKUP(AD90,Varsayımlar!$B:$Q,16,0))</f>
        <v/>
      </c>
      <c r="AC90" s="29"/>
      <c r="AD90" s="4" t="str">
        <f t="shared" si="17"/>
        <v/>
      </c>
    </row>
    <row r="91" spans="1:30" hidden="1" x14ac:dyDescent="0.25">
      <c r="A91" s="10" t="s">
        <v>92</v>
      </c>
      <c r="B91" s="29"/>
      <c r="C91" s="30" t="str">
        <f>IF(B91="","",VLOOKUP(AD91,Varsayımlar!$B:$Q,3,0))</f>
        <v/>
      </c>
      <c r="D91" s="30"/>
      <c r="E91" s="30"/>
      <c r="F91" s="30"/>
      <c r="G91" s="30"/>
      <c r="H91" s="30" t="str">
        <f>IF(B91="","",VLOOKUP(AD91,Varsayımlar!$B:$Q,5,0))</f>
        <v/>
      </c>
      <c r="I91" s="30"/>
      <c r="J91" s="30" t="str">
        <f>IF(B91="","",VLOOKUP(AD91,Varsayımlar!$B:$Q,6,0))</f>
        <v/>
      </c>
      <c r="K91" s="30"/>
      <c r="L91" s="30"/>
      <c r="M91" s="30" t="str">
        <f>IFERROR(IF(B91="","",K91/VLOOKUP(AD91,Varsayımlar!B:R,17,0)),"")</f>
        <v/>
      </c>
      <c r="N91" s="30"/>
      <c r="O91" s="30"/>
      <c r="P91" s="30" t="str">
        <f>IF(B91="","",VLOOKUP(AD91,Varsayımlar!$B:$Q,7,0)*K91)</f>
        <v/>
      </c>
      <c r="Q91" s="30" t="str">
        <f>IF(B91="","",VLOOKUP(AD91,Varsayımlar!$B:$Q,8,0))</f>
        <v/>
      </c>
      <c r="R91" s="30" t="str">
        <f>IF(B91="","",VLOOKUP(AD91,Varsayımlar!$B:$Q,9,0))</f>
        <v/>
      </c>
      <c r="S91" s="30" t="str">
        <f>IF(B91="","",VLOOKUP(AD91,Varsayımlar!$B:$Q,10,0))</f>
        <v/>
      </c>
      <c r="T91" s="30" t="str">
        <f>IF(B91="","",VLOOKUP(AD91,Varsayımlar!$B:$Q,11,0))</f>
        <v/>
      </c>
      <c r="U91" s="30" t="str">
        <f>IF(B91="","",VLOOKUP(AD91,Varsayımlar!$B:$Q,12,0))</f>
        <v/>
      </c>
      <c r="V91" s="30" t="str">
        <f>IF(B91="","",VLOOKUP(AD91,Varsayımlar!$B:$Q,13,0))</f>
        <v/>
      </c>
      <c r="W91" s="29" t="str">
        <f>IF(B91="","",VLOOKUP(AD91,Varsayımlar!$B:$Q,14,0))</f>
        <v/>
      </c>
      <c r="X91" s="31"/>
      <c r="Y91" s="31"/>
      <c r="Z91" s="29"/>
      <c r="AA91" s="29" t="str">
        <f>IF(B91="","",VLOOKUP(AD91,Varsayımlar!$B:$Q,15,0))</f>
        <v/>
      </c>
      <c r="AB91" s="29" t="str">
        <f>IF(B91="","",VLOOKUP(AD91,Varsayımlar!$B:$Q,16,0))</f>
        <v/>
      </c>
      <c r="AC91" s="29"/>
      <c r="AD91" s="4" t="str">
        <f t="shared" si="17"/>
        <v/>
      </c>
    </row>
    <row r="92" spans="1:30" hidden="1" x14ac:dyDescent="0.25">
      <c r="A92" s="10" t="s">
        <v>93</v>
      </c>
      <c r="B92" s="29"/>
      <c r="C92" s="30" t="str">
        <f>IF(B92="","",VLOOKUP(AD92,Varsayımlar!$B:$Q,3,0))</f>
        <v/>
      </c>
      <c r="D92" s="30"/>
      <c r="E92" s="30"/>
      <c r="F92" s="30"/>
      <c r="G92" s="30"/>
      <c r="H92" s="30" t="str">
        <f>IF(B92="","",VLOOKUP(AD92,Varsayımlar!$B:$Q,5,0))</f>
        <v/>
      </c>
      <c r="I92" s="30"/>
      <c r="J92" s="30" t="str">
        <f>IF(B92="","",VLOOKUP(AD92,Varsayımlar!$B:$Q,6,0))</f>
        <v/>
      </c>
      <c r="K92" s="30"/>
      <c r="L92" s="30"/>
      <c r="M92" s="30" t="str">
        <f>IFERROR(IF(B92="","",K92/VLOOKUP(AD92,Varsayımlar!B:R,17,0)),"")</f>
        <v/>
      </c>
      <c r="N92" s="30"/>
      <c r="O92" s="30"/>
      <c r="P92" s="30" t="str">
        <f>IF(B92="","",VLOOKUP(AD92,Varsayımlar!$B:$Q,7,0)*K92)</f>
        <v/>
      </c>
      <c r="Q92" s="30" t="str">
        <f>IF(B92="","",VLOOKUP(AD92,Varsayımlar!$B:$Q,8,0))</f>
        <v/>
      </c>
      <c r="R92" s="30" t="str">
        <f>IF(B92="","",VLOOKUP(AD92,Varsayımlar!$B:$Q,9,0))</f>
        <v/>
      </c>
      <c r="S92" s="30" t="str">
        <f>IF(B92="","",VLOOKUP(AD92,Varsayımlar!$B:$Q,10,0))</f>
        <v/>
      </c>
      <c r="T92" s="30" t="str">
        <f>IF(B92="","",VLOOKUP(AD92,Varsayımlar!$B:$Q,11,0))</f>
        <v/>
      </c>
      <c r="U92" s="30" t="str">
        <f>IF(B92="","",VLOOKUP(AD92,Varsayımlar!$B:$Q,12,0))</f>
        <v/>
      </c>
      <c r="V92" s="30" t="str">
        <f>IF(B92="","",VLOOKUP(AD92,Varsayımlar!$B:$Q,13,0))</f>
        <v/>
      </c>
      <c r="W92" s="29" t="str">
        <f>IF(B92="","",VLOOKUP(AD92,Varsayımlar!$B:$Q,14,0))</f>
        <v/>
      </c>
      <c r="X92" s="31"/>
      <c r="Y92" s="31"/>
      <c r="Z92" s="29"/>
      <c r="AA92" s="29" t="str">
        <f>IF(B92="","",VLOOKUP(AD92,Varsayımlar!$B:$Q,15,0))</f>
        <v/>
      </c>
      <c r="AB92" s="29" t="str">
        <f>IF(B92="","",VLOOKUP(AD92,Varsayımlar!$B:$Q,16,0))</f>
        <v/>
      </c>
      <c r="AC92" s="29"/>
      <c r="AD92" s="4" t="str">
        <f t="shared" si="17"/>
        <v/>
      </c>
    </row>
    <row r="93" spans="1:30" hidden="1" x14ac:dyDescent="0.25">
      <c r="B93" s="5"/>
      <c r="C93" s="6" t="str">
        <f>IF(B93="","",VLOOKUP(AD93,Varsayımlar!$B:$Q,3,0))</f>
        <v/>
      </c>
      <c r="D93" s="6"/>
      <c r="H93" s="4" t="str">
        <f>IF(B93="","",VLOOKUP(AD93,Varsayımlar!$B:$Q,5,0))</f>
        <v/>
      </c>
      <c r="I93" s="4"/>
      <c r="J93" s="4" t="str">
        <f>IF(B93="","",VLOOKUP(AD93,Varsayımlar!$B:$Q,6,0))</f>
        <v/>
      </c>
      <c r="P93" s="4" t="str">
        <f>IF(B93="","",VLOOKUP(AD93,Varsayımlar!$B:$Q,7,0)*K93)</f>
        <v/>
      </c>
      <c r="Q93" s="4" t="str">
        <f>IF(B93="","",VLOOKUP(AD93,Varsayımlar!$B:$Q,8,0))</f>
        <v/>
      </c>
      <c r="R93" s="4" t="str">
        <f>IF(B93="","",VLOOKUP(AD93,Varsayımlar!$B:$Q,9,0))</f>
        <v/>
      </c>
      <c r="S93" s="4" t="str">
        <f>IF(B93="","",VLOOKUP(AD93,Varsayımlar!$B:$Q,10,0))</f>
        <v/>
      </c>
      <c r="T93" s="4" t="str">
        <f>IF(B93="","",VLOOKUP(AD93,Varsayımlar!$B:$Q,11,0))</f>
        <v/>
      </c>
      <c r="U93" s="4" t="str">
        <f>IF(B93="","",VLOOKUP(AD93,Varsayımlar!$B:$Q,12,0))</f>
        <v/>
      </c>
      <c r="V93" s="4" t="str">
        <f>IF(B93="","",VLOOKUP(AD93,Varsayımlar!$B:$Q,13,0))</f>
        <v/>
      </c>
      <c r="W93" s="4" t="str">
        <f>IF(B93="","",VLOOKUP(AD93,Varsayımlar!$B:$Q,14,0))</f>
        <v/>
      </c>
      <c r="AA93" s="4" t="str">
        <f>IF(B93="","",VLOOKUP(AD93,Varsayımlar!$B:$Q,15,0))</f>
        <v/>
      </c>
      <c r="AB93" s="4" t="str">
        <f>IF(B93="","",VLOOKUP(AD93,Varsayımlar!$B:$Q,16,0))</f>
        <v/>
      </c>
      <c r="AC93" s="4" t="str">
        <f>IF(B93="","",VLOOKUP(Sayfa1!AD93,Varsayımlar!B:S,18,0))</f>
        <v/>
      </c>
      <c r="AD93" s="4" t="str">
        <f t="shared" ref="AD93:AD94" si="19">IF(B93="","",CONCATENATE(B93,E93))</f>
        <v/>
      </c>
    </row>
    <row r="94" spans="1:30" x14ac:dyDescent="0.25">
      <c r="C94" s="2" t="str">
        <f>IF(B94="","",VLOOKUP(AD94,Varsayımlar!$B:$Q,3,0))</f>
        <v/>
      </c>
      <c r="H94" s="1" t="str">
        <f>IF(B94="","",VLOOKUP(AD94,Varsayımlar!$B:$Q,5,0))</f>
        <v/>
      </c>
      <c r="J94" s="1" t="str">
        <f>IF(B94="","",VLOOKUP(AD94,Varsayımlar!$B:$Q,6,0))</f>
        <v/>
      </c>
      <c r="P94" s="1" t="str">
        <f>IF(B94="","",VLOOKUP(AD94,Varsayımlar!$B:$Q,7,0)*K94)</f>
        <v/>
      </c>
      <c r="Q94" s="1" t="str">
        <f>IF(B94="","",VLOOKUP(AD94,Varsayımlar!$B:$Q,8,0))</f>
        <v/>
      </c>
      <c r="R94" s="1" t="str">
        <f>IF(B94="","",VLOOKUP(AD94,Varsayımlar!$B:$Q,9,0))</f>
        <v/>
      </c>
      <c r="S94" s="1" t="str">
        <f>IF(B94="","",VLOOKUP(AD94,Varsayımlar!$B:$Q,10,0))</f>
        <v/>
      </c>
      <c r="T94" s="1" t="str">
        <f>IF(B94="","",VLOOKUP(AD94,Varsayımlar!$B:$Q,11,0))</f>
        <v/>
      </c>
      <c r="U94" s="1" t="str">
        <f>IF(B94="","",VLOOKUP(AD94,Varsayımlar!$B:$Q,12,0))</f>
        <v/>
      </c>
      <c r="V94" s="1" t="str">
        <f>IF(B94="","",VLOOKUP(AD94,Varsayımlar!$B:$Q,13,0))</f>
        <v/>
      </c>
      <c r="W94" s="1" t="str">
        <f>IF(B94="","",VLOOKUP(AD94,Varsayımlar!$B:$Q,14,0))</f>
        <v/>
      </c>
      <c r="AA94" s="1" t="str">
        <f>IF(B94="","",VLOOKUP(AD94,Varsayımlar!$B:$Q,15,0))</f>
        <v/>
      </c>
      <c r="AB94" s="1" t="str">
        <f>IF(B94="","",VLOOKUP(AD94,Varsayımlar!$B:$Q,16,0))</f>
        <v/>
      </c>
      <c r="AC94" s="1" t="str">
        <f>IF(B94="","",VLOOKUP(Sayfa1!AD94,Varsayımlar!B:S,18,0))</f>
        <v/>
      </c>
      <c r="AD94" s="1" t="str">
        <f t="shared" si="19"/>
        <v/>
      </c>
    </row>
  </sheetData>
  <mergeCells count="5">
    <mergeCell ref="A2:Z2"/>
    <mergeCell ref="A46:AB46"/>
    <mergeCell ref="A73:AB73"/>
    <mergeCell ref="AB2:AC2"/>
    <mergeCell ref="A1:AC1"/>
  </mergeCells>
  <pageMargins left="0.39370078740157483" right="0.39370078740157483" top="0.35433070866141736" bottom="0.35433070866141736" header="0.31496062992125984" footer="0.31496062992125984"/>
  <pageSetup paperSize="9" scale="30" fitToHeight="2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6"/>
  <sheetViews>
    <sheetView zoomScale="60" zoomScaleNormal="60" workbookViewId="0">
      <selection activeCell="A79" sqref="A79:XFD79"/>
    </sheetView>
  </sheetViews>
  <sheetFormatPr defaultRowHeight="15.75" x14ac:dyDescent="0.25"/>
  <cols>
    <col min="1" max="1" width="5.42578125" style="7" bestFit="1" customWidth="1"/>
    <col min="2" max="2" width="29.7109375" style="7" bestFit="1" customWidth="1"/>
    <col min="3" max="3" width="17.28515625" style="53" customWidth="1"/>
    <col min="4" max="4" width="10.28515625" style="53" customWidth="1"/>
    <col min="5" max="5" width="39.7109375" style="53" bestFit="1" customWidth="1"/>
    <col min="6" max="6" width="14" style="7" customWidth="1"/>
    <col min="7" max="7" width="22.42578125" style="7" customWidth="1"/>
    <col min="8" max="8" width="30.7109375" style="7" customWidth="1"/>
    <col min="9" max="9" width="16.28515625" style="7" customWidth="1"/>
    <col min="10" max="10" width="10.28515625" style="7" bestFit="1" customWidth="1"/>
    <col min="11" max="11" width="14" style="7" bestFit="1" customWidth="1"/>
    <col min="12" max="12" width="11" style="7" customWidth="1"/>
    <col min="13" max="15" width="12.85546875" style="7" customWidth="1"/>
    <col min="16" max="16" width="11.7109375" style="7" customWidth="1"/>
    <col min="17" max="17" width="6.42578125" style="7" bestFit="1" customWidth="1"/>
    <col min="18" max="18" width="12.5703125" style="7" customWidth="1"/>
    <col min="19" max="19" width="7" style="7" bestFit="1" customWidth="1"/>
    <col min="20" max="20" width="8.42578125" style="7" bestFit="1" customWidth="1"/>
    <col min="21" max="21" width="9.5703125" style="7" bestFit="1" customWidth="1"/>
    <col min="22" max="22" width="10.85546875" style="7" bestFit="1" customWidth="1"/>
    <col min="23" max="23" width="7.28515625" style="7" customWidth="1"/>
    <col min="24" max="25" width="12.28515625" style="7" bestFit="1" customWidth="1"/>
    <col min="26" max="26" width="14" style="7" customWidth="1"/>
    <col min="27" max="27" width="20.140625" style="7" customWidth="1"/>
    <col min="28" max="29" width="20.85546875" style="7" customWidth="1"/>
    <col min="30" max="30" width="42.28515625" style="7" hidden="1" customWidth="1"/>
    <col min="31" max="31" width="7" style="7" customWidth="1"/>
    <col min="32" max="16384" width="9.140625" style="7"/>
  </cols>
  <sheetData>
    <row r="1" spans="1:30" ht="45" customHeight="1" x14ac:dyDescent="0.25">
      <c r="A1" s="178" t="s">
        <v>349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spans="1:30" ht="38.25" customHeight="1" x14ac:dyDescent="0.25">
      <c r="A2" s="174" t="s">
        <v>35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52">
        <v>46177</v>
      </c>
      <c r="AB2" s="176">
        <v>0.40625</v>
      </c>
      <c r="AC2" s="176"/>
    </row>
    <row r="3" spans="1:30" ht="63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x14ac:dyDescent="0.25">
      <c r="A4" s="8" t="s">
        <v>26</v>
      </c>
      <c r="B4" s="54" t="s">
        <v>64</v>
      </c>
      <c r="C4" s="39">
        <f>IF(B4="","",VLOOKUP(AD4,Varsayımlar!$B:$Q,3,0))</f>
        <v>8698829380698</v>
      </c>
      <c r="D4" s="39"/>
      <c r="E4" s="55" t="s">
        <v>176</v>
      </c>
      <c r="F4" s="54"/>
      <c r="G4" s="39" t="s">
        <v>68</v>
      </c>
      <c r="H4" s="54" t="str">
        <f>IF(B4="","",VLOOKUP(AD4,Varsayımlar!$B:$Q,5,0))</f>
        <v>Tortillas 20cm (Samakat Bilgileri Ekli)</v>
      </c>
      <c r="I4" s="54">
        <f>IF(B4="","",VLOOKUP(AD4,Varsayımlar!B:T,19,0))</f>
        <v>0</v>
      </c>
      <c r="J4" s="54" t="str">
        <f>IF(B4="","",VLOOKUP(AD4,Varsayımlar!$B:$Q,6,0))</f>
        <v>PEYNİRLİ</v>
      </c>
      <c r="K4" s="54">
        <v>7200</v>
      </c>
      <c r="L4" s="54"/>
      <c r="M4" s="54">
        <f>IFERROR(IF(B4="","",K4/VLOOKUP(AD4,Varsayımlar!B:R,17,0)),"")</f>
        <v>32</v>
      </c>
      <c r="N4" s="54">
        <v>225</v>
      </c>
      <c r="O4" s="54">
        <v>26</v>
      </c>
      <c r="P4" s="54">
        <f>IF(B4="","",VLOOKUP(AD4,Varsayımlar!$B:$Q,7,0)*K4)</f>
        <v>100800</v>
      </c>
      <c r="Q4" s="54">
        <f>IF(B4="","",VLOOKUP(AD4,Varsayımlar!$B:$Q,8,0))</f>
        <v>20</v>
      </c>
      <c r="R4" s="54" t="str">
        <f>IF(B4="","",VLOOKUP(AD4,Varsayımlar!$B:$Q,9,0))</f>
        <v>IRAK SOFT-AT</v>
      </c>
      <c r="S4" s="54">
        <f>IF(B4="","",VLOOKUP(AD4,Varsayımlar!$B:$Q,10,0))</f>
        <v>4</v>
      </c>
      <c r="T4" s="54">
        <f>IF(B4="","",VLOOKUP(AD4,Varsayımlar!$B:$Q,11,0))</f>
        <v>14</v>
      </c>
      <c r="U4" s="54">
        <f>IF(B4="","",VLOOKUP(AD4,Varsayımlar!$B:$Q,12,0))</f>
        <v>166</v>
      </c>
      <c r="V4" s="54" t="str">
        <f>IF(B4="","",VLOOKUP(AD4,Varsayımlar!$B:$Q,13,0))</f>
        <v>YURTDIŞI</v>
      </c>
      <c r="W4" s="54">
        <f>IF(B4="","",VLOOKUP(AD4,Varsayımlar!$B:$Q,14,0))</f>
        <v>9</v>
      </c>
      <c r="X4" s="56">
        <v>46184</v>
      </c>
      <c r="Y4" s="56">
        <v>46457</v>
      </c>
      <c r="Z4" s="54" t="s">
        <v>333</v>
      </c>
      <c r="AA4" s="54" t="str">
        <f>IF(B4="","",VLOOKUP(AD4,Varsayımlar!$B:$Q,15,0))</f>
        <v>Kare Koli-Üretim Tarihli Etiket</v>
      </c>
      <c r="AB4" s="54" t="str">
        <f>IF(B4="","",VLOOKUP(AD4,Varsayımlar!$B:$Q,16,0))</f>
        <v>19-21 cm</v>
      </c>
      <c r="AC4" s="54">
        <f>IF(B4="","",VLOOKUP(Sayfa1!AD5,Varsayımlar!B:S,18,0))</f>
        <v>0</v>
      </c>
      <c r="AD4" s="57" t="str">
        <f t="shared" ref="AD4:AD45" si="0">IF(B4="","",CONCATENATE(B4,E4))</f>
        <v>SMART LLCTortillas 20cm Peynirli 4pcs 166g</v>
      </c>
    </row>
    <row r="5" spans="1:30" ht="31.5" x14ac:dyDescent="0.25">
      <c r="A5" s="8" t="s">
        <v>77</v>
      </c>
      <c r="B5" s="58" t="s">
        <v>311</v>
      </c>
      <c r="C5" s="40">
        <f>IF(B5="","",VLOOKUP(AD5,Varsayımlar!$B:$Q,3,0))</f>
        <v>8698829380698</v>
      </c>
      <c r="D5" s="40"/>
      <c r="E5" s="59" t="s">
        <v>315</v>
      </c>
      <c r="F5" s="58"/>
      <c r="G5" s="40"/>
      <c r="H5" s="58" t="str">
        <f>IF(B5="","",VLOOKUP(AD5,Varsayımlar!$B:$Q,5,0))</f>
        <v xml:space="preserve">Happylla 30cm </v>
      </c>
      <c r="I5" s="58">
        <f>IF(B5="","",VLOOKUP(AD5,Varsayımlar!B:T,19,0))</f>
        <v>0</v>
      </c>
      <c r="J5" s="58" t="str">
        <f>IF(B5="","",VLOOKUP(AD5,Varsayımlar!$B:$Q,6,0))</f>
        <v>SADE</v>
      </c>
      <c r="K5" s="58">
        <v>1000</v>
      </c>
      <c r="L5" s="58"/>
      <c r="M5" s="58" t="str">
        <f>IFERROR(IF(B5="","",K5/VLOOKUP(AD5,Varsayımlar!B:R,17,0)),"")</f>
        <v/>
      </c>
      <c r="N5" s="58"/>
      <c r="O5" s="58">
        <v>16</v>
      </c>
      <c r="P5" s="58">
        <f>IF(B5="","",VLOOKUP(AD5,Varsayımlar!$B:$Q,7,0)*K5)</f>
        <v>18000</v>
      </c>
      <c r="Q5" s="58">
        <f>IF(B5="","",VLOOKUP(AD5,Varsayımlar!$B:$Q,8,0))</f>
        <v>30</v>
      </c>
      <c r="R5" s="58" t="str">
        <f>IF(B5="","",VLOOKUP(AD5,Varsayımlar!$B:$Q,9,0))</f>
        <v>Irak Soft</v>
      </c>
      <c r="S5" s="58">
        <f>IF(B5="","",VLOOKUP(AD5,Varsayımlar!$B:$Q,10,0))</f>
        <v>6</v>
      </c>
      <c r="T5" s="58">
        <f>IF(B5="","",VLOOKUP(AD5,Varsayımlar!$B:$Q,11,0))</f>
        <v>18</v>
      </c>
      <c r="U5" s="58">
        <f>IF(B5="","",VLOOKUP(AD5,Varsayımlar!$B:$Q,12,0))</f>
        <v>510</v>
      </c>
      <c r="V5" s="58" t="str">
        <f>IF(B5="","",VLOOKUP(AD5,Varsayımlar!$B:$Q,13,0))</f>
        <v>Yurtdışı</v>
      </c>
      <c r="W5" s="58">
        <f>IF(B5="","",VLOOKUP(AD5,Varsayımlar!$B:$Q,14,0))</f>
        <v>8</v>
      </c>
      <c r="X5" s="60">
        <v>46181</v>
      </c>
      <c r="Y5" s="60">
        <v>46426</v>
      </c>
      <c r="Z5" s="58">
        <v>26060230</v>
      </c>
      <c r="AA5" s="58" t="str">
        <f>IF(B5="","",VLOOKUP(AD5,Varsayımlar!$B:$Q,15,0))</f>
        <v>30cm Koli</v>
      </c>
      <c r="AB5" s="58" t="str">
        <f>IF(B5="","",VLOOKUP(AD5,Varsayımlar!$B:$Q,16,0))</f>
        <v>29-31 cm</v>
      </c>
      <c r="AC5" s="58">
        <f>IF(B5="","",VLOOKUP(Sayfa1!AD6,Varsayımlar!B:S,18,0))</f>
        <v>0</v>
      </c>
      <c r="AD5" s="57" t="str">
        <f>IF(B5="","",CONCATENATE(B5,E5))</f>
        <v>Sons Of HannaHappylla 30cm Sade 6pcs 510g</v>
      </c>
    </row>
    <row r="6" spans="1:30" ht="31.5" x14ac:dyDescent="0.25">
      <c r="A6" s="8" t="s">
        <v>78</v>
      </c>
      <c r="B6" s="58" t="s">
        <v>311</v>
      </c>
      <c r="C6" s="40">
        <f>IF(B6="","",VLOOKUP(AD6,Varsayımlar!$B:$Q,3,0))</f>
        <v>8698829380698</v>
      </c>
      <c r="D6" s="40"/>
      <c r="E6" s="59" t="s">
        <v>318</v>
      </c>
      <c r="F6" s="58"/>
      <c r="G6" s="40"/>
      <c r="H6" s="58" t="str">
        <f>IF(B6="","",VLOOKUP(AD6,Varsayımlar!$B:$Q,5,0))</f>
        <v xml:space="preserve">Tortillas 30cm Tam Buğday </v>
      </c>
      <c r="I6" s="58">
        <f>IF(B6="","",VLOOKUP(AD6,Varsayımlar!B:T,19,0))</f>
        <v>0</v>
      </c>
      <c r="J6" s="58" t="str">
        <f>IF(B6="","",VLOOKUP(AD6,Varsayımlar!$B:$Q,6,0))</f>
        <v>Tam Buğdaylı</v>
      </c>
      <c r="K6" s="58">
        <v>100</v>
      </c>
      <c r="L6" s="58"/>
      <c r="M6" s="58" t="str">
        <f>IFERROR(IF(B6="","",K6/VLOOKUP(AD6,Varsayımlar!B:R,17,0)),"")</f>
        <v/>
      </c>
      <c r="N6" s="58"/>
      <c r="O6" s="58">
        <v>2</v>
      </c>
      <c r="P6" s="58">
        <f>IF(B6="","",VLOOKUP(AD6,Varsayımlar!$B:$Q,7,0)*K6)</f>
        <v>1800</v>
      </c>
      <c r="Q6" s="58">
        <f>IF(B6="","",VLOOKUP(AD6,Varsayımlar!$B:$Q,8,0))</f>
        <v>30</v>
      </c>
      <c r="R6" s="58" t="str">
        <f>IF(B6="","",VLOOKUP(AD6,Varsayımlar!$B:$Q,9,0))</f>
        <v>Irak Soft</v>
      </c>
      <c r="S6" s="58">
        <f>IF(B6="","",VLOOKUP(AD6,Varsayımlar!$B:$Q,10,0))</f>
        <v>6</v>
      </c>
      <c r="T6" s="58">
        <f>IF(B6="","",VLOOKUP(AD6,Varsayımlar!$B:$Q,11,0))</f>
        <v>18</v>
      </c>
      <c r="U6" s="58">
        <f>IF(B6="","",VLOOKUP(AD6,Varsayımlar!$B:$Q,12,0))</f>
        <v>510</v>
      </c>
      <c r="V6" s="58" t="str">
        <f>IF(B6="","",VLOOKUP(AD6,Varsayımlar!$B:$Q,13,0))</f>
        <v>Yurtdışı</v>
      </c>
      <c r="W6" s="58">
        <f>IF(B6="","",VLOOKUP(AD6,Varsayımlar!$B:$Q,14,0))</f>
        <v>8</v>
      </c>
      <c r="X6" s="60">
        <v>46181</v>
      </c>
      <c r="Y6" s="60">
        <v>46426</v>
      </c>
      <c r="Z6" s="58" t="s">
        <v>352</v>
      </c>
      <c r="AA6" s="58" t="str">
        <f>IF(B6="","",VLOOKUP(AD6,Varsayımlar!$B:$Q,15,0))</f>
        <v>30cm Koli - TB Etiketli</v>
      </c>
      <c r="AB6" s="58" t="str">
        <f>IF(B6="","",VLOOKUP(AD6,Varsayımlar!$B:$Q,16,0))</f>
        <v>29-31 cm</v>
      </c>
      <c r="AC6" s="58">
        <f>IF(B6="","",VLOOKUP(Sayfa1!AD7,Varsayımlar!B:S,18,0))</f>
        <v>0</v>
      </c>
      <c r="AD6" s="57" t="str">
        <f>IF(B6="","",CONCATENATE(B6,E6))</f>
        <v>Sons Of HannaTortillas 30cm Tam Buğday6pcs 510g</v>
      </c>
    </row>
    <row r="7" spans="1:30" ht="47.25" x14ac:dyDescent="0.25">
      <c r="A7" s="8" t="s">
        <v>79</v>
      </c>
      <c r="B7" s="58" t="s">
        <v>64</v>
      </c>
      <c r="C7" s="40">
        <f>IF(B7="","",VLOOKUP(AD7,Varsayımlar!$B:$Q,3,0))</f>
        <v>8698829380698</v>
      </c>
      <c r="D7" s="40"/>
      <c r="E7" s="59" t="s">
        <v>296</v>
      </c>
      <c r="F7" s="58"/>
      <c r="G7" s="40" t="s">
        <v>68</v>
      </c>
      <c r="H7" s="58" t="str">
        <f>IF(B7="","",VLOOKUP(AD7,Varsayımlar!$B:$Q,5,0))</f>
        <v>Tortillas 20cm Çok Tahıllı</v>
      </c>
      <c r="I7" s="58">
        <f>IF(B7="","",VLOOKUP(AD7,Varsayımlar!B:T,19,0))</f>
        <v>0</v>
      </c>
      <c r="J7" s="58" t="str">
        <f>IF(B7="","",VLOOKUP(AD7,Varsayımlar!$B:$Q,6,0))</f>
        <v>Çok Tahıllı</v>
      </c>
      <c r="K7" s="58">
        <v>5625</v>
      </c>
      <c r="L7" s="58"/>
      <c r="M7" s="58">
        <f>IFERROR(IF(B7="","",K7/VLOOKUP(AD7,Varsayımlar!B:R,17,0)),"")</f>
        <v>25</v>
      </c>
      <c r="N7" s="58">
        <v>225</v>
      </c>
      <c r="O7" s="58">
        <v>45</v>
      </c>
      <c r="P7" s="58">
        <f>IF(B7="","",VLOOKUP(AD7,Varsayımlar!$B:$Q,7,0)*K7)</f>
        <v>78750</v>
      </c>
      <c r="Q7" s="58">
        <f>IF(B7="","",VLOOKUP(AD7,Varsayımlar!$B:$Q,8,0))</f>
        <v>20</v>
      </c>
      <c r="R7" s="58" t="str">
        <f>IF(B7="","",VLOOKUP(AD7,Varsayımlar!$B:$Q,9,0))</f>
        <v>Irak Soft</v>
      </c>
      <c r="S7" s="58">
        <f>IF(B7="","",VLOOKUP(AD7,Varsayımlar!$B:$Q,10,0))</f>
        <v>4</v>
      </c>
      <c r="T7" s="58">
        <f>IF(B7="","",VLOOKUP(AD7,Varsayımlar!$B:$Q,11,0))</f>
        <v>14</v>
      </c>
      <c r="U7" s="58">
        <f>IF(B7="","",VLOOKUP(AD7,Varsayımlar!$B:$Q,12,0))</f>
        <v>166</v>
      </c>
      <c r="V7" s="58" t="str">
        <f>IF(B7="","",VLOOKUP(AD7,Varsayımlar!$B:$Q,13,0))</f>
        <v>Yurtdışı</v>
      </c>
      <c r="W7" s="58">
        <f>IF(B7="","",VLOOKUP(AD7,Varsayımlar!$B:$Q,14,0))</f>
        <v>9</v>
      </c>
      <c r="X7" s="60">
        <v>46183</v>
      </c>
      <c r="Y7" s="60">
        <v>46456</v>
      </c>
      <c r="Z7" s="58" t="s">
        <v>334</v>
      </c>
      <c r="AA7" s="58" t="str">
        <f>IF(B7="","",VLOOKUP(AD7,Varsayımlar!$B:$Q,15,0))</f>
        <v>SİYAH KARE KOLİ-Üretim Tarihi Etiketli</v>
      </c>
      <c r="AB7" s="58" t="str">
        <f>IF(B7="","",VLOOKUP(AD7,Varsayımlar!$B:$Q,16,0))</f>
        <v>19-21 cm</v>
      </c>
      <c r="AC7" s="58">
        <f>IF(B7="","",VLOOKUP(Sayfa1!AD8,Varsayımlar!B:S,18,0))</f>
        <v>0</v>
      </c>
      <c r="AD7" s="57" t="str">
        <f>IF(B7="","",CONCATENATE(B7,E7))</f>
        <v>SMART LLCTortillas 20cm Çok Tahıllı 4pcs 166g</v>
      </c>
    </row>
    <row r="8" spans="1:30" ht="63" x14ac:dyDescent="0.25">
      <c r="A8" s="8" t="s">
        <v>80</v>
      </c>
      <c r="B8" s="61" t="s">
        <v>218</v>
      </c>
      <c r="C8" s="32">
        <f>IF(B8="","",VLOOKUP(AD8,Varsayımlar!$B:$Q,3,0))</f>
        <v>8698829380698</v>
      </c>
      <c r="D8" s="32" t="s">
        <v>159</v>
      </c>
      <c r="E8" s="61" t="s">
        <v>219</v>
      </c>
      <c r="F8" s="62">
        <v>26042906</v>
      </c>
      <c r="G8" s="32"/>
      <c r="H8" s="62" t="str">
        <f>IF(B8="","",VLOOKUP(AD8,Varsayımlar!$B:$Q,5,0))</f>
        <v xml:space="preserve">Tortillas 30cm Sade </v>
      </c>
      <c r="I8" s="62" t="str">
        <f>IF(B8="","",VLOOKUP(AD8,Varsayımlar!B:T,19,0))</f>
        <v>Barkod üzerine-Bulgarca Barkodlu içerik etiketi (012)</v>
      </c>
      <c r="J8" s="62" t="str">
        <f>IF(B8="","",VLOOKUP(AD8,Varsayımlar!$B:$Q,6,0))</f>
        <v>SADE</v>
      </c>
      <c r="K8" s="62">
        <v>120</v>
      </c>
      <c r="L8" s="62"/>
      <c r="M8" s="62">
        <f>IFERROR(IF(B8="","",K8/VLOOKUP(AD8,Varsayımlar!B:R,17,0)),"")</f>
        <v>2</v>
      </c>
      <c r="N8" s="62"/>
      <c r="O8" s="62">
        <v>2</v>
      </c>
      <c r="P8" s="62">
        <f>IF(B8="","",VLOOKUP(AD8,Varsayımlar!$B:$Q,7,0)*K8)</f>
        <v>720</v>
      </c>
      <c r="Q8" s="62">
        <f>IF(B8="","",VLOOKUP(AD8,Varsayımlar!$B:$Q,8,0))</f>
        <v>30</v>
      </c>
      <c r="R8" s="62" t="str">
        <f>IF(B8="","",VLOOKUP(AD8,Varsayımlar!$B:$Q,9,0))</f>
        <v>Irak Soft</v>
      </c>
      <c r="S8" s="62">
        <f>IF(B8="","",VLOOKUP(AD8,Varsayımlar!$B:$Q,10,0))</f>
        <v>18</v>
      </c>
      <c r="T8" s="62">
        <f>IF(B8="","",VLOOKUP(AD8,Varsayımlar!$B:$Q,11,0))</f>
        <v>6</v>
      </c>
      <c r="U8" s="62">
        <f>IF(B8="","",VLOOKUP(AD8,Varsayımlar!$B:$Q,12,0))</f>
        <v>1620</v>
      </c>
      <c r="V8" s="62" t="str">
        <f>IF(B8="","",VLOOKUP(AD8,Varsayımlar!$B:$Q,13,0))</f>
        <v>Yurtdışı</v>
      </c>
      <c r="W8" s="62">
        <f>IF(B8="","",VLOOKUP(AD8,Varsayımlar!$B:$Q,14,0))</f>
        <v>9</v>
      </c>
      <c r="X8" s="63">
        <v>46183</v>
      </c>
      <c r="Y8" s="63">
        <v>46456</v>
      </c>
      <c r="Z8" s="62">
        <v>26061030</v>
      </c>
      <c r="AA8" s="62" t="str">
        <f>IF(B8="","",VLOOKUP(AD8,Varsayımlar!$B:$Q,15,0))</f>
        <v>30cm Lacivert Koli- Bulgarca Etiket</v>
      </c>
      <c r="AB8" s="62" t="str">
        <f>IF(B8="","",VLOOKUP(AD8,Varsayımlar!$B:$Q,16,0))</f>
        <v>29-31 cm</v>
      </c>
      <c r="AC8" s="62" t="str">
        <f>IF(B8="","",VLOOKUP(Sayfa1!AD18,Varsayımlar!B:S,18,0))</f>
        <v>95x130cm</v>
      </c>
      <c r="AD8" s="57" t="str">
        <f>IF(B8="","",CONCATENATE(B8,E8))</f>
        <v>TASTE LAND-BULGARİSTANTortillas 30cm Sade 18pcs 1620g</v>
      </c>
    </row>
    <row r="9" spans="1:30" ht="78.75" x14ac:dyDescent="0.25">
      <c r="A9" s="8" t="s">
        <v>81</v>
      </c>
      <c r="B9" s="61" t="s">
        <v>218</v>
      </c>
      <c r="C9" s="32">
        <f>IF(B9="","",VLOOKUP(AD9,Varsayımlar!$B:$Q,3,0))</f>
        <v>8698829380698</v>
      </c>
      <c r="D9" s="32" t="s">
        <v>159</v>
      </c>
      <c r="E9" s="61" t="s">
        <v>222</v>
      </c>
      <c r="F9" s="62">
        <v>26042906</v>
      </c>
      <c r="G9" s="32"/>
      <c r="H9" s="62" t="str">
        <f>IF(B9="","",VLOOKUP(AD9,Varsayımlar!$B:$Q,5,0))</f>
        <v xml:space="preserve">Tortillas 30cm Tam Buğday </v>
      </c>
      <c r="I9" s="62" t="str">
        <f>IF(B9="","",VLOOKUP(AD9,Varsayımlar!B:T,19,0))</f>
        <v>Barkod üzerine-Bulgarca Barkodlu TB içerik etiketi (029)</v>
      </c>
      <c r="J9" s="62" t="str">
        <f>IF(B9="","",VLOOKUP(AD9,Varsayımlar!$B:$Q,6,0))</f>
        <v>Tam Buğdaylı</v>
      </c>
      <c r="K9" s="62">
        <v>60</v>
      </c>
      <c r="L9" s="62"/>
      <c r="M9" s="62">
        <f>IFERROR(IF(B9="","",K9/VLOOKUP(AD9,Varsayımlar!B:R,17,0)),"")</f>
        <v>1</v>
      </c>
      <c r="N9" s="62"/>
      <c r="O9" s="62">
        <v>1</v>
      </c>
      <c r="P9" s="62">
        <f>IF(B9="","",VLOOKUP(AD9,Varsayımlar!$B:$Q,7,0)*K9)</f>
        <v>360</v>
      </c>
      <c r="Q9" s="62">
        <f>IF(B9="","",VLOOKUP(AD9,Varsayımlar!$B:$Q,8,0))</f>
        <v>30</v>
      </c>
      <c r="R9" s="62" t="str">
        <f>IF(B9="","",VLOOKUP(AD9,Varsayımlar!$B:$Q,9,0))</f>
        <v>Irak Soft</v>
      </c>
      <c r="S9" s="62">
        <f>IF(B9="","",VLOOKUP(AD9,Varsayımlar!$B:$Q,10,0))</f>
        <v>18</v>
      </c>
      <c r="T9" s="62">
        <f>IF(B9="","",VLOOKUP(AD9,Varsayımlar!$B:$Q,11,0))</f>
        <v>6</v>
      </c>
      <c r="U9" s="62">
        <f>IF(B9="","",VLOOKUP(AD9,Varsayımlar!$B:$Q,12,0))</f>
        <v>1620</v>
      </c>
      <c r="V9" s="62" t="str">
        <f>IF(B9="","",VLOOKUP(AD9,Varsayımlar!$B:$Q,13,0))</f>
        <v>Yurtdışı</v>
      </c>
      <c r="W9" s="62">
        <f>IF(B9="","",VLOOKUP(AD9,Varsayımlar!$B:$Q,14,0))</f>
        <v>9</v>
      </c>
      <c r="X9" s="63">
        <v>46183</v>
      </c>
      <c r="Y9" s="63">
        <v>46456</v>
      </c>
      <c r="Z9" s="62" t="s">
        <v>354</v>
      </c>
      <c r="AA9" s="62" t="str">
        <f>IF(B9="","",VLOOKUP(AD9,Varsayımlar!$B:$Q,15,0))</f>
        <v>30cm Lacivert Koli- Bulgarca TB Etiket</v>
      </c>
      <c r="AB9" s="62" t="str">
        <f>IF(B9="","",VLOOKUP(AD9,Varsayımlar!$B:$Q,16,0))</f>
        <v>29-31 cm</v>
      </c>
      <c r="AC9" s="62" t="str">
        <f>IF(B9="","",VLOOKUP(Sayfa1!AD19,Varsayımlar!B:S,18,0))</f>
        <v>95x130cm</v>
      </c>
      <c r="AD9" s="57" t="str">
        <f>IF(B9="","",CONCATENATE(B9,E9))</f>
        <v>TASTE LAND-BULGARİSTANTortillas 30cm Tam Buğday 18pcs 1620g</v>
      </c>
    </row>
    <row r="10" spans="1:30" ht="30" customHeight="1" x14ac:dyDescent="0.25">
      <c r="A10" s="8" t="s">
        <v>82</v>
      </c>
      <c r="B10" s="64" t="s">
        <v>335</v>
      </c>
      <c r="C10" s="3">
        <f>IF(B10="","",VLOOKUP(AD10,Varsayımlar!$B:$Q,3,0))</f>
        <v>8698829380698</v>
      </c>
      <c r="D10" s="3"/>
      <c r="E10" s="65" t="s">
        <v>299</v>
      </c>
      <c r="F10" s="64"/>
      <c r="G10" s="3"/>
      <c r="H10" s="64" t="str">
        <f>IF(B10="","",VLOOKUP(AD10,Varsayımlar!$B:$Q,5,0))</f>
        <v>Lazeza 30cm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1700</v>
      </c>
      <c r="L10" s="64"/>
      <c r="M10" s="64" t="str">
        <f>IFERROR(IF(B10="","",K10/VLOOKUP(AD10,Varsayımlar!B:R,17,0)),"")</f>
        <v/>
      </c>
      <c r="N10" s="64"/>
      <c r="O10" s="64">
        <v>25</v>
      </c>
      <c r="P10" s="64">
        <f>IF(B10="","",VLOOKUP(AD10,Varsayımlar!$B:$Q,7,0)*K10)</f>
        <v>30600</v>
      </c>
      <c r="Q10" s="64">
        <f>IF(B10="","",VLOOKUP(AD10,Varsayımlar!$B:$Q,8,0))</f>
        <v>30</v>
      </c>
      <c r="R10" s="64" t="str">
        <f>IF(B10="","",VLOOKUP(AD10,Varsayımlar!$B:$Q,9,0))</f>
        <v>Irak Soft</v>
      </c>
      <c r="S10" s="64">
        <f>IF(B10="","",VLOOKUP(AD10,Varsayımlar!$B:$Q,10,0))</f>
        <v>6</v>
      </c>
      <c r="T10" s="64">
        <f>IF(B10="","",VLOOKUP(AD10,Varsayımlar!$B:$Q,11,0))</f>
        <v>18</v>
      </c>
      <c r="U10" s="64">
        <f>IF(B10="","",VLOOKUP(AD10,Varsayımlar!$B:$Q,12,0))</f>
        <v>510</v>
      </c>
      <c r="V10" s="64" t="str">
        <f>IF(B10="","",VLOOKUP(AD10,Varsayımlar!$B:$Q,13,0))</f>
        <v>Yurtdışı</v>
      </c>
      <c r="W10" s="64">
        <f>IF(B10="","",VLOOKUP(AD10,Varsayımlar!$B:$Q,14,0))</f>
        <v>6</v>
      </c>
      <c r="X10" s="66"/>
      <c r="Y10" s="66"/>
      <c r="Z10" s="64"/>
      <c r="AA10" s="64" t="str">
        <f>IF(B10="","",VLOOKUP(AD10,Varsayımlar!$B:$Q,15,0))</f>
        <v>Lazeza Kolisi</v>
      </c>
      <c r="AB10" s="64" t="str">
        <f>IF(B10="","",VLOOKUP(AD10,Varsayımlar!$B:$Q,16,0))</f>
        <v>29-31 cm</v>
      </c>
      <c r="AC10" s="64">
        <f>IF(B10="","",VLOOKUP(Sayfa1!AD10,Varsayımlar!B:S,18,0))</f>
        <v>0</v>
      </c>
      <c r="AD10" s="57" t="str">
        <f t="shared" si="0"/>
        <v>AjjawiLazeza 30 cm 6pcs 510g</v>
      </c>
    </row>
    <row r="11" spans="1:30" ht="31.5" x14ac:dyDescent="0.25">
      <c r="A11" s="8" t="s">
        <v>83</v>
      </c>
      <c r="B11" s="67" t="s">
        <v>64</v>
      </c>
      <c r="C11" s="42">
        <f>IF(B11="","",VLOOKUP(AD11,Varsayımlar!$B:$Q,3,0))</f>
        <v>8698829380698</v>
      </c>
      <c r="D11" s="42"/>
      <c r="E11" s="68" t="s">
        <v>176</v>
      </c>
      <c r="F11" s="67"/>
      <c r="G11" s="42" t="s">
        <v>68</v>
      </c>
      <c r="H11" s="67" t="str">
        <f>IF(B11="","",VLOOKUP(AD11,Varsayımlar!$B:$Q,5,0))</f>
        <v>Tortillas 20cm (Samakat Bilgileri Ekli)</v>
      </c>
      <c r="I11" s="67">
        <f>IF(B11="","",VLOOKUP(AD11,Varsayımlar!B:T,19,0))</f>
        <v>0</v>
      </c>
      <c r="J11" s="67" t="str">
        <f>IF(B11="","",VLOOKUP(AD11,Varsayımlar!$B:$Q,6,0))</f>
        <v>PEYNİRLİ</v>
      </c>
      <c r="K11" s="67">
        <v>1350</v>
      </c>
      <c r="L11" s="67"/>
      <c r="M11" s="67">
        <f>IFERROR(IF(B11="","",K11/VLOOKUP(AD11,Varsayımlar!B:R,17,0)),"")</f>
        <v>6</v>
      </c>
      <c r="N11" s="67">
        <v>225</v>
      </c>
      <c r="O11" s="67">
        <v>11</v>
      </c>
      <c r="P11" s="67">
        <f>IF(B11="","",VLOOKUP(AD11,Varsayımlar!$B:$Q,7,0)*K11)</f>
        <v>18900</v>
      </c>
      <c r="Q11" s="67">
        <f>IF(B11="","",VLOOKUP(AD11,Varsayımlar!$B:$Q,8,0))</f>
        <v>20</v>
      </c>
      <c r="R11" s="67" t="str">
        <f>IF(B11="","",VLOOKUP(AD11,Varsayımlar!$B:$Q,9,0))</f>
        <v>IRAK SOFT-AT</v>
      </c>
      <c r="S11" s="67">
        <f>IF(B11="","",VLOOKUP(AD11,Varsayımlar!$B:$Q,10,0))</f>
        <v>4</v>
      </c>
      <c r="T11" s="67">
        <f>IF(B11="","",VLOOKUP(AD11,Varsayımlar!$B:$Q,11,0))</f>
        <v>14</v>
      </c>
      <c r="U11" s="67">
        <f>IF(B11="","",VLOOKUP(AD11,Varsayımlar!$B:$Q,12,0))</f>
        <v>166</v>
      </c>
      <c r="V11" s="67" t="str">
        <f>IF(B11="","",VLOOKUP(AD11,Varsayımlar!$B:$Q,13,0))</f>
        <v>YURTDIŞI</v>
      </c>
      <c r="W11" s="67">
        <f>IF(B11="","",VLOOKUP(AD11,Varsayımlar!$B:$Q,14,0))</f>
        <v>9</v>
      </c>
      <c r="X11" s="69">
        <v>46188</v>
      </c>
      <c r="Y11" s="69">
        <v>46461</v>
      </c>
      <c r="Z11" s="67" t="s">
        <v>172</v>
      </c>
      <c r="AA11" s="67" t="str">
        <f>IF(B11="","",VLOOKUP(AD11,Varsayımlar!$B:$Q,15,0))</f>
        <v>Kare Koli-Üretim Tarihli Etiket</v>
      </c>
      <c r="AB11" s="67" t="str">
        <f>IF(B11="","",VLOOKUP(AD11,Varsayımlar!$B:$Q,16,0))</f>
        <v>19-21 cm</v>
      </c>
      <c r="AC11" s="67">
        <f>IF(B11="","",VLOOKUP(Sayfa1!AD9,Varsayımlar!B:S,18,0))</f>
        <v>0</v>
      </c>
      <c r="AD11" s="57" t="str">
        <f>IF(B11="","",CONCATENATE(B11,E11))</f>
        <v>SMART LLCTortillas 20cm Peynirli 4pcs 166g</v>
      </c>
    </row>
    <row r="12" spans="1:30" ht="30" customHeight="1" x14ac:dyDescent="0.25">
      <c r="A12" s="8" t="s">
        <v>84</v>
      </c>
      <c r="B12" s="70" t="s">
        <v>130</v>
      </c>
      <c r="C12" s="71" t="e">
        <f>IF(B12="","",VLOOKUP(AD12,#REF!,3,0))</f>
        <v>#REF!</v>
      </c>
      <c r="D12" s="71"/>
      <c r="E12" s="72" t="s">
        <v>131</v>
      </c>
      <c r="F12" s="8"/>
      <c r="G12" s="8"/>
      <c r="H12" s="73" t="e">
        <f>IF(B12="","",VLOOKUP(AD12,#REF!,5,0))</f>
        <v>#REF!</v>
      </c>
      <c r="I12" s="73" t="e">
        <f>IF(B12="","",VLOOKUP(AD12,#REF!,19,0))</f>
        <v>#REF!</v>
      </c>
      <c r="J12" s="73" t="e">
        <f>IF(B12="","",VLOOKUP(AD12,#REF!,6,0))</f>
        <v>#REF!</v>
      </c>
      <c r="K12" s="8">
        <v>50</v>
      </c>
      <c r="L12" s="8"/>
      <c r="M12" s="8" t="str">
        <f>IFERROR(IF(B12="","",K12/VLOOKUP(AD12,#REF!,17,0)),"")</f>
        <v/>
      </c>
      <c r="N12" s="8"/>
      <c r="O12" s="8">
        <v>1</v>
      </c>
      <c r="P12" s="73" t="e">
        <f>IF(B12="","",VLOOKUP(AD12,#REF!,7,0)*K12)</f>
        <v>#REF!</v>
      </c>
      <c r="Q12" s="73" t="e">
        <f>IF(B12="","",VLOOKUP(AD12,#REF!,8,0))</f>
        <v>#REF!</v>
      </c>
      <c r="R12" s="73" t="e">
        <f>IF(B12="","",VLOOKUP(AD12,#REF!,9,0))</f>
        <v>#REF!</v>
      </c>
      <c r="S12" s="73" t="e">
        <f>IF(B12="","",VLOOKUP(AD12,#REF!,10,0))</f>
        <v>#REF!</v>
      </c>
      <c r="T12" s="73" t="e">
        <f>IF(B12="","",VLOOKUP(AD12,#REF!,11,0))</f>
        <v>#REF!</v>
      </c>
      <c r="U12" s="73" t="e">
        <f>IF(B12="","",VLOOKUP(AD12,#REF!,12,0))</f>
        <v>#REF!</v>
      </c>
      <c r="V12" s="73" t="e">
        <f>IF(B12="","",VLOOKUP(AD12,#REF!,13,0))</f>
        <v>#REF!</v>
      </c>
      <c r="W12" s="73" t="e">
        <f>IF(B12="","",VLOOKUP(AD12,#REF!,14,0))</f>
        <v>#REF!</v>
      </c>
      <c r="X12" s="8" t="s">
        <v>113</v>
      </c>
      <c r="Y12" s="8" t="s">
        <v>113</v>
      </c>
      <c r="Z12" s="8" t="s">
        <v>113</v>
      </c>
      <c r="AA12" s="73" t="e">
        <f>IF(B12="","",VLOOKUP(AD12,#REF!,15,0))</f>
        <v>#REF!</v>
      </c>
      <c r="AB12" s="73" t="e">
        <f>IF(B12="","",VLOOKUP(AD12,#REF!,16,0))</f>
        <v>#REF!</v>
      </c>
      <c r="AC12" s="73" t="e">
        <f>IF(B12="","",VLOOKUP(#REF!,#REF!,18,0))</f>
        <v>#REF!</v>
      </c>
      <c r="AD12" s="73" t="str">
        <f>IF(B12="","",CONCATENATE(B12,E12))</f>
        <v>KopuzMutlukal Tortillas 30cm 950g</v>
      </c>
    </row>
    <row r="13" spans="1:30" ht="31.5" x14ac:dyDescent="0.25">
      <c r="A13" s="8" t="s">
        <v>85</v>
      </c>
      <c r="B13" s="62" t="s">
        <v>302</v>
      </c>
      <c r="C13" s="32">
        <f>IF(B13="","",VLOOKUP(AD13,Varsayımlar!$B:$Q,3,0))</f>
        <v>8698829380698</v>
      </c>
      <c r="D13" s="32"/>
      <c r="E13" s="61" t="s">
        <v>281</v>
      </c>
      <c r="F13" s="62"/>
      <c r="G13" s="32" t="s">
        <v>68</v>
      </c>
      <c r="H13" s="62" t="str">
        <f>IF(B13="","",VLOOKUP(AD13,Varsayımlar!$B:$Q,5,0))</f>
        <v>Baskısız 30cm</v>
      </c>
      <c r="I13" s="62" t="str">
        <f>IF(B13="","",VLOOKUP(AD13,Varsayımlar!B:T,19,0))</f>
        <v>Tüm Bilgiler Sade</v>
      </c>
      <c r="J13" s="62" t="str">
        <f>IF(B13="","",VLOOKUP(AD13,Varsayımlar!$B:$Q,6,0))</f>
        <v>SADE</v>
      </c>
      <c r="K13" s="62">
        <v>792</v>
      </c>
      <c r="L13" s="62"/>
      <c r="M13" s="62" t="str">
        <f>IFERROR(IF(B13="","",K13/VLOOKUP(AD13,Varsayımlar!B:R,17,0)),"")</f>
        <v/>
      </c>
      <c r="N13" s="62"/>
      <c r="O13" s="62">
        <v>13</v>
      </c>
      <c r="P13" s="62">
        <f>IF(B13="","",VLOOKUP(AD13,Varsayımlar!$B:$Q,7,0)*K13)</f>
        <v>7920</v>
      </c>
      <c r="Q13" s="62">
        <f>IF(B13="","",VLOOKUP(AD13,Varsayımlar!$B:$Q,8,0))</f>
        <v>30</v>
      </c>
      <c r="R13" s="62" t="str">
        <f>IF(B13="","",VLOOKUP(AD13,Varsayımlar!$B:$Q,9,0))</f>
        <v>Irak soft</v>
      </c>
      <c r="S13" s="62">
        <f>IF(B13="","",VLOOKUP(AD13,Varsayımlar!$B:$Q,10,0))</f>
        <v>12</v>
      </c>
      <c r="T13" s="62">
        <f>IF(B13="","",VLOOKUP(AD13,Varsayımlar!$B:$Q,11,0))</f>
        <v>10</v>
      </c>
      <c r="U13" s="62">
        <f>IF(B13="","",VLOOKUP(AD13,Varsayımlar!$B:$Q,12,0))</f>
        <v>1020</v>
      </c>
      <c r="V13" s="62" t="str">
        <f>IF(B13="","",VLOOKUP(AD13,Varsayımlar!$B:$Q,13,0))</f>
        <v>Yurtdışı</v>
      </c>
      <c r="W13" s="62">
        <f>IF(B13="","",VLOOKUP(AD13,Varsayımlar!$B:$Q,14,0))</f>
        <v>6</v>
      </c>
      <c r="X13" s="63">
        <v>46190</v>
      </c>
      <c r="Y13" s="63">
        <v>46373</v>
      </c>
      <c r="Z13" s="62">
        <v>26061730</v>
      </c>
      <c r="AA13" s="62" t="str">
        <f>IF(B13="","",VLOOKUP(AD13,Varsayımlar!$B:$Q,15,0))</f>
        <v>30cm Kolisi</v>
      </c>
      <c r="AB13" s="62" t="str">
        <f>IF(B13="","",VLOOKUP(AD13,Varsayımlar!$B:$Q,16,0))</f>
        <v>29-31 cm</v>
      </c>
      <c r="AC13" s="62">
        <f>IF(B13="","",VLOOKUP(Sayfa1!AD11,Varsayımlar!B:S,18,0))</f>
        <v>0</v>
      </c>
      <c r="AD13" s="57" t="str">
        <f t="shared" si="0"/>
        <v>TVK ImportBaskısız 30cm 12pcs 1020g</v>
      </c>
    </row>
    <row r="14" spans="1:30" ht="31.5" x14ac:dyDescent="0.25">
      <c r="A14" s="8" t="s">
        <v>86</v>
      </c>
      <c r="B14" s="62" t="s">
        <v>302</v>
      </c>
      <c r="C14" s="32">
        <f>IF(B14="","",VLOOKUP(AD14,Varsayımlar!$B:$Q,3,0))</f>
        <v>8698829380698</v>
      </c>
      <c r="D14" s="32"/>
      <c r="E14" s="61" t="s">
        <v>309</v>
      </c>
      <c r="F14" s="62"/>
      <c r="G14" s="32" t="s">
        <v>68</v>
      </c>
      <c r="H14" s="62" t="str">
        <f>IF(B14="","",VLOOKUP(AD14,Varsayımlar!$B:$Q,5,0))</f>
        <v>Baskısız 30cm</v>
      </c>
      <c r="I14" s="62" t="str">
        <f>IF(B14="","",VLOOKUP(AD14,Varsayımlar!B:T,19,0))</f>
        <v>Tüm Bilgiler TB</v>
      </c>
      <c r="J14" s="62" t="str">
        <f>IF(B14="","",VLOOKUP(AD14,Varsayımlar!$B:$Q,6,0))</f>
        <v>Tam Buğdaylı</v>
      </c>
      <c r="K14" s="62">
        <v>576</v>
      </c>
      <c r="L14" s="62"/>
      <c r="M14" s="62" t="str">
        <f>IFERROR(IF(B14="","",K14/VLOOKUP(AD14,Varsayımlar!B:R,17,0)),"")</f>
        <v/>
      </c>
      <c r="N14" s="62"/>
      <c r="O14" s="62">
        <v>10</v>
      </c>
      <c r="P14" s="62">
        <f>IF(B14="","",VLOOKUP(AD14,Varsayımlar!$B:$Q,7,0)*K14)</f>
        <v>5760</v>
      </c>
      <c r="Q14" s="62">
        <f>IF(B14="","",VLOOKUP(AD14,Varsayımlar!$B:$Q,8,0))</f>
        <v>30</v>
      </c>
      <c r="R14" s="62" t="str">
        <f>IF(B14="","",VLOOKUP(AD14,Varsayımlar!$B:$Q,9,0))</f>
        <v>Irak soft</v>
      </c>
      <c r="S14" s="62">
        <f>IF(B14="","",VLOOKUP(AD14,Varsayımlar!$B:$Q,10,0))</f>
        <v>12</v>
      </c>
      <c r="T14" s="62">
        <f>IF(B14="","",VLOOKUP(AD14,Varsayımlar!$B:$Q,11,0))</f>
        <v>10</v>
      </c>
      <c r="U14" s="62">
        <f>IF(B14="","",VLOOKUP(AD14,Varsayımlar!$B:$Q,12,0))</f>
        <v>1020</v>
      </c>
      <c r="V14" s="62" t="str">
        <f>IF(B14="","",VLOOKUP(AD14,Varsayımlar!$B:$Q,13,0))</f>
        <v>Yurtdışı</v>
      </c>
      <c r="W14" s="62">
        <f>IF(B14="","",VLOOKUP(AD14,Varsayımlar!$B:$Q,14,0))</f>
        <v>6</v>
      </c>
      <c r="X14" s="63">
        <v>46190</v>
      </c>
      <c r="Y14" s="63">
        <v>46373</v>
      </c>
      <c r="Z14" s="62" t="s">
        <v>336</v>
      </c>
      <c r="AA14" s="62" t="str">
        <f>IF(B14="","",VLOOKUP(AD14,Varsayımlar!$B:$Q,15,0))</f>
        <v>30cm Kolisi-Etiketli</v>
      </c>
      <c r="AB14" s="62" t="str">
        <f>IF(B14="","",VLOOKUP(AD14,Varsayımlar!$B:$Q,16,0))</f>
        <v>29-31 cm</v>
      </c>
      <c r="AC14" s="62">
        <f>IF(B14="","",VLOOKUP(Sayfa1!AD12,Varsayımlar!B:S,18,0))</f>
        <v>0</v>
      </c>
      <c r="AD14" s="57" t="str">
        <f t="shared" si="0"/>
        <v>TVK ImportBaskısız 30cm TB 12pcs 1020g</v>
      </c>
    </row>
    <row r="15" spans="1:30" ht="31.5" x14ac:dyDescent="0.25">
      <c r="A15" s="8" t="s">
        <v>87</v>
      </c>
      <c r="B15" s="62" t="s">
        <v>302</v>
      </c>
      <c r="C15" s="32">
        <f>IF(B15="","",VLOOKUP(AD15,Varsayımlar!$B:$Q,3,0))</f>
        <v>8698829380698</v>
      </c>
      <c r="D15" s="32"/>
      <c r="E15" s="61" t="s">
        <v>310</v>
      </c>
      <c r="F15" s="62"/>
      <c r="G15" s="32" t="s">
        <v>68</v>
      </c>
      <c r="H15" s="62" t="str">
        <f>IF(B15="","",VLOOKUP(AD15,Varsayımlar!$B:$Q,5,0))</f>
        <v>Baskısız 30cm</v>
      </c>
      <c r="I15" s="62" t="str">
        <f>IF(B15="","",VLOOKUP(AD15,Varsayımlar!B:T,19,0))</f>
        <v>Tüm Bilgiler Ispanaklı</v>
      </c>
      <c r="J15" s="62" t="str">
        <f>IF(B15="","",VLOOKUP(AD15,Varsayımlar!$B:$Q,6,0))</f>
        <v>Ispanaklı</v>
      </c>
      <c r="K15" s="62">
        <v>144</v>
      </c>
      <c r="L15" s="62"/>
      <c r="M15" s="62" t="str">
        <f>IFERROR(IF(B15="","",K15/VLOOKUP(AD15,Varsayımlar!B:R,17,0)),"")</f>
        <v/>
      </c>
      <c r="N15" s="62"/>
      <c r="O15" s="62">
        <v>3</v>
      </c>
      <c r="P15" s="62">
        <f>IF(B15="","",VLOOKUP(AD15,Varsayımlar!$B:$Q,7,0)*K15)</f>
        <v>1440</v>
      </c>
      <c r="Q15" s="62">
        <f>IF(B15="","",VLOOKUP(AD15,Varsayımlar!$B:$Q,8,0))</f>
        <v>30</v>
      </c>
      <c r="R15" s="62" t="str">
        <f>IF(B15="","",VLOOKUP(AD15,Varsayımlar!$B:$Q,9,0))</f>
        <v>Irak soft</v>
      </c>
      <c r="S15" s="62">
        <f>IF(B15="","",VLOOKUP(AD15,Varsayımlar!$B:$Q,10,0))</f>
        <v>12</v>
      </c>
      <c r="T15" s="62">
        <f>IF(B15="","",VLOOKUP(AD15,Varsayımlar!$B:$Q,11,0))</f>
        <v>10</v>
      </c>
      <c r="U15" s="62">
        <f>IF(B15="","",VLOOKUP(AD15,Varsayımlar!$B:$Q,12,0))</f>
        <v>1020</v>
      </c>
      <c r="V15" s="62" t="str">
        <f>IF(B15="","",VLOOKUP(AD15,Varsayımlar!$B:$Q,13,0))</f>
        <v>Yurtdışı</v>
      </c>
      <c r="W15" s="62">
        <f>IF(B15="","",VLOOKUP(AD15,Varsayımlar!$B:$Q,14,0))</f>
        <v>6</v>
      </c>
      <c r="X15" s="63">
        <v>46190</v>
      </c>
      <c r="Y15" s="63">
        <v>46373</v>
      </c>
      <c r="Z15" s="62" t="s">
        <v>337</v>
      </c>
      <c r="AA15" s="62" t="str">
        <f>IF(B15="","",VLOOKUP(AD15,Varsayımlar!$B:$Q,15,0))</f>
        <v>30cm Kolisi-Etiketli</v>
      </c>
      <c r="AB15" s="62" t="str">
        <f>IF(B15="","",VLOOKUP(AD15,Varsayımlar!$B:$Q,16,0))</f>
        <v>29-31 cm</v>
      </c>
      <c r="AC15" s="62">
        <f>IF(B15="","",VLOOKUP(Sayfa1!AD13,Varsayımlar!B:S,18,0))</f>
        <v>0</v>
      </c>
      <c r="AD15" s="57" t="str">
        <f t="shared" si="0"/>
        <v>TVK ImportBaskısız 30cm Ispanaklı 12pcs 1020g</v>
      </c>
    </row>
    <row r="16" spans="1:30" ht="47.25" x14ac:dyDescent="0.25">
      <c r="A16" s="8" t="s">
        <v>88</v>
      </c>
      <c r="B16" s="67" t="s">
        <v>64</v>
      </c>
      <c r="C16" s="42">
        <f>IF(B16="","",VLOOKUP(AD16,Varsayımlar!$B:$Q,3,0))</f>
        <v>8698829380698</v>
      </c>
      <c r="D16" s="42"/>
      <c r="E16" s="68" t="s">
        <v>296</v>
      </c>
      <c r="F16" s="67"/>
      <c r="G16" s="42" t="s">
        <v>68</v>
      </c>
      <c r="H16" s="67" t="str">
        <f>IF(B16="","",VLOOKUP(AD16,Varsayımlar!$B:$Q,5,0))</f>
        <v>Tortillas 20cm Çok Tahıllı</v>
      </c>
      <c r="I16" s="67">
        <f>IF(B16="","",VLOOKUP(AD16,Varsayımlar!B:T,19,0))</f>
        <v>0</v>
      </c>
      <c r="J16" s="67" t="str">
        <f>IF(B16="","",VLOOKUP(AD16,Varsayımlar!$B:$Q,6,0))</f>
        <v>Çok Tahıllı</v>
      </c>
      <c r="K16" s="67">
        <v>225</v>
      </c>
      <c r="L16" s="67"/>
      <c r="M16" s="67">
        <f>IFERROR(IF(B16="","",K16/VLOOKUP(AD16,Varsayımlar!B:R,17,0)),"")</f>
        <v>1</v>
      </c>
      <c r="N16" s="67"/>
      <c r="O16" s="67">
        <v>26</v>
      </c>
      <c r="P16" s="67">
        <f>IF(B16="","",VLOOKUP(AD16,Varsayımlar!$B:$Q,7,0)*K16)</f>
        <v>3150</v>
      </c>
      <c r="Q16" s="67">
        <f>IF(B16="","",VLOOKUP(AD16,Varsayımlar!$B:$Q,8,0))</f>
        <v>20</v>
      </c>
      <c r="R16" s="67" t="str">
        <f>IF(B16="","",VLOOKUP(AD16,Varsayımlar!$B:$Q,9,0))</f>
        <v>Irak Soft</v>
      </c>
      <c r="S16" s="67">
        <f>IF(B16="","",VLOOKUP(AD16,Varsayımlar!$B:$Q,10,0))</f>
        <v>4</v>
      </c>
      <c r="T16" s="67">
        <f>IF(B16="","",VLOOKUP(AD16,Varsayımlar!$B:$Q,11,0))</f>
        <v>14</v>
      </c>
      <c r="U16" s="67">
        <f>IF(B16="","",VLOOKUP(AD16,Varsayımlar!$B:$Q,12,0))</f>
        <v>166</v>
      </c>
      <c r="V16" s="67" t="str">
        <f>IF(B16="","",VLOOKUP(AD16,Varsayımlar!$B:$Q,13,0))</f>
        <v>Yurtdışı</v>
      </c>
      <c r="W16" s="67">
        <f>IF(B16="","",VLOOKUP(AD16,Varsayımlar!$B:$Q,14,0))</f>
        <v>9</v>
      </c>
      <c r="X16" s="69">
        <v>46195</v>
      </c>
      <c r="Y16" s="69">
        <v>46468</v>
      </c>
      <c r="Z16" s="67" t="s">
        <v>338</v>
      </c>
      <c r="AA16" s="67" t="str">
        <f>IF(B16="","",VLOOKUP(AD16,Varsayımlar!$B:$Q,15,0))</f>
        <v>SİYAH KARE KOLİ-Üretim Tarihi Etiketli</v>
      </c>
      <c r="AB16" s="67" t="str">
        <f>IF(B16="","",VLOOKUP(AD16,Varsayımlar!$B:$Q,16,0))</f>
        <v>19-21 cm</v>
      </c>
      <c r="AC16" s="67">
        <f>IF(B16="","",VLOOKUP(Sayfa1!AD14,Varsayımlar!B:S,18,0))</f>
        <v>0</v>
      </c>
      <c r="AD16" s="57" t="str">
        <f t="shared" si="0"/>
        <v>SMART LLCTortillas 20cm Çok Tahıllı 4pcs 166g</v>
      </c>
    </row>
    <row r="17" spans="1:30" ht="47.25" x14ac:dyDescent="0.25">
      <c r="A17" s="8" t="s">
        <v>89</v>
      </c>
      <c r="B17" s="64" t="s">
        <v>64</v>
      </c>
      <c r="C17" s="3">
        <f>IF(B17="","",VLOOKUP(AD17,Varsayımlar!$B:$Q,3,0))</f>
        <v>8698829380698</v>
      </c>
      <c r="D17" s="3"/>
      <c r="E17" s="65" t="s">
        <v>296</v>
      </c>
      <c r="F17" s="64"/>
      <c r="G17" s="3" t="s">
        <v>68</v>
      </c>
      <c r="H17" s="64" t="str">
        <f>IF(B17="","",VLOOKUP(AD17,Varsayımlar!$B:$Q,5,0))</f>
        <v>Tortillas 20cm Çok Tahıllı</v>
      </c>
      <c r="I17" s="64">
        <f>IF(B17="","",VLOOKUP(AD17,Varsayımlar!B:T,19,0))</f>
        <v>0</v>
      </c>
      <c r="J17" s="64" t="str">
        <f>IF(B17="","",VLOOKUP(AD17,Varsayımlar!$B:$Q,6,0))</f>
        <v>Çok Tahıllı</v>
      </c>
      <c r="K17" s="64">
        <v>1800</v>
      </c>
      <c r="L17" s="64"/>
      <c r="M17" s="64">
        <f>IFERROR(IF(B17="","",K17/VLOOKUP(AD17,Varsayımlar!B:R,17,0)),"")</f>
        <v>8</v>
      </c>
      <c r="N17" s="64"/>
      <c r="O17" s="64">
        <v>15</v>
      </c>
      <c r="P17" s="64">
        <f>IF(B17="","",VLOOKUP(AD17,Varsayımlar!$B:$Q,7,0)*K17)</f>
        <v>25200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4</v>
      </c>
      <c r="T17" s="64">
        <f>IF(B17="","",VLOOKUP(AD17,Varsayımlar!$B:$Q,11,0))</f>
        <v>14</v>
      </c>
      <c r="U17" s="64">
        <f>IF(B17="","",VLOOKUP(AD17,Varsayımlar!$B:$Q,12,0))</f>
        <v>166</v>
      </c>
      <c r="V17" s="64" t="str">
        <f>IF(B17="","",VLOOKUP(AD17,Varsayımlar!$B:$Q,13,0))</f>
        <v>Yurtdışı</v>
      </c>
      <c r="W17" s="64">
        <f>IF(B17="","",VLOOKUP(AD17,Varsayımlar!$B:$Q,14,0))</f>
        <v>9</v>
      </c>
      <c r="X17" s="66">
        <v>46196</v>
      </c>
      <c r="Y17" s="66">
        <v>46469</v>
      </c>
      <c r="Z17" s="64" t="s">
        <v>339</v>
      </c>
      <c r="AA17" s="64" t="str">
        <f>IF(B17="","",VLOOKUP(AD17,Varsayımlar!$B:$Q,15,0))</f>
        <v>SİYAH KARE KOLİ-Üretim Tarihi Etiketli</v>
      </c>
      <c r="AB17" s="64" t="str">
        <f>IF(B17="","",VLOOKUP(AD17,Varsayımlar!$B:$Q,16,0))</f>
        <v>19-21 cm</v>
      </c>
      <c r="AC17" s="64">
        <f>IF(B17="","",VLOOKUP(Sayfa1!AD15,Varsayımlar!B:S,18,0))</f>
        <v>0</v>
      </c>
      <c r="AD17" s="57" t="str">
        <f t="shared" si="0"/>
        <v>SMART LLCTortillas 20cm Çok Tahıllı 4pcs 166g</v>
      </c>
    </row>
    <row r="18" spans="1:30" ht="47.25" x14ac:dyDescent="0.25">
      <c r="A18" s="8" t="s">
        <v>90</v>
      </c>
      <c r="B18" s="67" t="s">
        <v>64</v>
      </c>
      <c r="C18" s="42">
        <f>IF(B18="","",VLOOKUP(AD18,Varsayımlar!$B:$Q,3,0))</f>
        <v>8698829380698</v>
      </c>
      <c r="D18" s="42"/>
      <c r="E18" s="68" t="s">
        <v>65</v>
      </c>
      <c r="F18" s="67"/>
      <c r="G18" s="42" t="s">
        <v>68</v>
      </c>
      <c r="H18" s="67" t="str">
        <f>IF(B18="","",VLOOKUP(AD18,Varsayımlar!$B:$Q,5,0))</f>
        <v>TORTİLLAS 20CM (SAMAKAT BİLGİLERİ EKLİ)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6975</v>
      </c>
      <c r="L18" s="67"/>
      <c r="M18" s="67">
        <f>IFERROR(IF(B18="","",K18/VLOOKUP(AD18,Varsayımlar!B:R,17,0)),"")</f>
        <v>31</v>
      </c>
      <c r="N18" s="67"/>
      <c r="O18" s="67">
        <v>56</v>
      </c>
      <c r="P18" s="67">
        <f>IF(B18="","",VLOOKUP(AD18,Varsayımlar!$B:$Q,7,0)*K18)</f>
        <v>97650</v>
      </c>
      <c r="Q18" s="67">
        <f>IF(B18="","",VLOOKUP(AD18,Varsayımlar!$B:$Q,8,0))</f>
        <v>20</v>
      </c>
      <c r="R18" s="67" t="str">
        <f>IF(B18="","",VLOOKUP(AD18,Varsayımlar!$B:$Q,9,0))</f>
        <v>IRAK SOFT</v>
      </c>
      <c r="S18" s="67">
        <f>IF(B18="","",VLOOKUP(AD18,Varsayımlar!$B:$Q,10,0))</f>
        <v>4</v>
      </c>
      <c r="T18" s="67">
        <f>IF(B18="","",VLOOKUP(AD18,Varsayımlar!$B:$Q,11,0))</f>
        <v>14</v>
      </c>
      <c r="U18" s="67">
        <f>IF(B18="","",VLOOKUP(AD18,Varsayımlar!$B:$Q,12,0))</f>
        <v>166</v>
      </c>
      <c r="V18" s="67" t="str">
        <f>IF(B18="","",VLOOKUP(AD18,Varsayımlar!$B:$Q,13,0))</f>
        <v>YURTDIŞI</v>
      </c>
      <c r="W18" s="67">
        <f>IF(B18="","",VLOOKUP(AD18,Varsayımlar!$B:$Q,14,0))</f>
        <v>9</v>
      </c>
      <c r="X18" s="69">
        <v>46195</v>
      </c>
      <c r="Y18" s="69">
        <v>46468</v>
      </c>
      <c r="Z18" s="67">
        <v>26062220</v>
      </c>
      <c r="AA18" s="67" t="str">
        <f>IF(B18="","",VLOOKUP(AD18,Varsayımlar!$B:$Q,15,0))</f>
        <v>SİYAH KARE KOLİ- Üretim Tarihi Etiketli</v>
      </c>
      <c r="AB18" s="67" t="str">
        <f>IF(B18="","",VLOOKUP(AD18,Varsayımlar!$B:$Q,16,0))</f>
        <v>19-21 CM</v>
      </c>
      <c r="AC18" s="67">
        <f>IF(B18="","",VLOOKUP(Sayfa1!AD16,Varsayımlar!B:S,18,0))</f>
        <v>0</v>
      </c>
      <c r="AD18" s="57" t="str">
        <f t="shared" si="0"/>
        <v>SMART LLCTORTİLLAS SAMAKAT 20CM 166G</v>
      </c>
    </row>
    <row r="19" spans="1:30" ht="31.5" x14ac:dyDescent="0.25">
      <c r="A19" s="8" t="s">
        <v>91</v>
      </c>
      <c r="B19" s="64" t="s">
        <v>64</v>
      </c>
      <c r="C19" s="3">
        <f>IF(B19="","",VLOOKUP(AD19,Varsayımlar!$B:$Q,3,0))</f>
        <v>8698829380698</v>
      </c>
      <c r="D19" s="3"/>
      <c r="E19" s="65" t="s">
        <v>176</v>
      </c>
      <c r="F19" s="64"/>
      <c r="G19" s="3" t="s">
        <v>68</v>
      </c>
      <c r="H19" s="64" t="str">
        <f>IF(B19="","",VLOOKUP(AD19,Varsayımlar!$B:$Q,5,0))</f>
        <v>Tortillas 20cm (Samakat Bilgileri Ekli)</v>
      </c>
      <c r="I19" s="64">
        <f>IF(B19="","",VLOOKUP(AD19,Varsayımlar!B:T,19,0))</f>
        <v>0</v>
      </c>
      <c r="J19" s="64" t="str">
        <f>IF(B19="","",VLOOKUP(AD19,Varsayımlar!$B:$Q,6,0))</f>
        <v>PEYNİRLİ</v>
      </c>
      <c r="K19" s="64">
        <v>2925</v>
      </c>
      <c r="L19" s="64"/>
      <c r="M19" s="64">
        <f>IFERROR(IF(B19="","",K19/VLOOKUP(AD19,Varsayımlar!B:R,17,0)),"")</f>
        <v>13</v>
      </c>
      <c r="N19" s="64"/>
      <c r="O19" s="64">
        <v>24</v>
      </c>
      <c r="P19" s="64">
        <f>IF(B19="","",VLOOKUP(AD19,Varsayımlar!$B:$Q,7,0)*K19)</f>
        <v>40950</v>
      </c>
      <c r="Q19" s="64">
        <f>IF(B19="","",VLOOKUP(AD19,Varsayımlar!$B:$Q,8,0))</f>
        <v>20</v>
      </c>
      <c r="R19" s="64" t="str">
        <f>IF(B19="","",VLOOKUP(AD19,Varsayımlar!$B:$Q,9,0))</f>
        <v>IRAK SOFT-AT</v>
      </c>
      <c r="S19" s="64">
        <f>IF(B19="","",VLOOKUP(AD19,Varsayımlar!$B:$Q,10,0))</f>
        <v>4</v>
      </c>
      <c r="T19" s="64">
        <f>IF(B19="","",VLOOKUP(AD19,Varsayımlar!$B:$Q,11,0))</f>
        <v>14</v>
      </c>
      <c r="U19" s="64">
        <f>IF(B19="","",VLOOKUP(AD19,Varsayımlar!$B:$Q,12,0))</f>
        <v>166</v>
      </c>
      <c r="V19" s="64" t="str">
        <f>IF(B19="","",VLOOKUP(AD19,Varsayımlar!$B:$Q,13,0))</f>
        <v>YURTDIŞI</v>
      </c>
      <c r="W19" s="64">
        <f>IF(B19="","",VLOOKUP(AD19,Varsayımlar!$B:$Q,14,0))</f>
        <v>9</v>
      </c>
      <c r="X19" s="66">
        <v>46196</v>
      </c>
      <c r="Y19" s="66">
        <v>46469</v>
      </c>
      <c r="Z19" s="64" t="s">
        <v>340</v>
      </c>
      <c r="AA19" s="64" t="str">
        <f>IF(B19="","",VLOOKUP(AD19,Varsayımlar!$B:$Q,15,0))</f>
        <v>Kare Koli-Üretim Tarihli Etiket</v>
      </c>
      <c r="AB19" s="64" t="str">
        <f>IF(B19="","",VLOOKUP(AD19,Varsayımlar!$B:$Q,16,0))</f>
        <v>19-21 cm</v>
      </c>
      <c r="AC19" s="64">
        <f>IF(B19="","",VLOOKUP(Sayfa1!AD17,Varsayımlar!B:S,18,0))</f>
        <v>0</v>
      </c>
      <c r="AD19" s="57" t="str">
        <f t="shared" si="0"/>
        <v>SMART LLCTortillas 20cm Peynirli 4pcs 166g</v>
      </c>
    </row>
    <row r="20" spans="1:30" ht="47.25" x14ac:dyDescent="0.25">
      <c r="A20" s="8" t="s">
        <v>92</v>
      </c>
      <c r="B20" s="68" t="s">
        <v>268</v>
      </c>
      <c r="C20" s="42">
        <f>IF(B20="","",VLOOKUP(AD20,Varsayımlar!$B:$Q,3,0))</f>
        <v>8698829380698</v>
      </c>
      <c r="D20" s="42" t="s">
        <v>159</v>
      </c>
      <c r="E20" s="68" t="s">
        <v>342</v>
      </c>
      <c r="F20" s="67">
        <v>20250825</v>
      </c>
      <c r="G20" s="42" t="s">
        <v>68</v>
      </c>
      <c r="H20" s="67" t="str">
        <f>IF(B20="","",VLOOKUP(AD20,Varsayımlar!$B:$Q,5,0))</f>
        <v>Tortillas 25cm Sade</v>
      </c>
      <c r="I20" s="67">
        <f>IF(B20="","",VLOOKUP(AD20,Varsayımlar!B:T,19,0))</f>
        <v>0</v>
      </c>
      <c r="J20" s="67" t="str">
        <f>IF(B20="","",VLOOKUP(AD20,Varsayımlar!$B:$Q,6,0))</f>
        <v>SADE</v>
      </c>
      <c r="K20" s="67">
        <v>672</v>
      </c>
      <c r="L20" s="67"/>
      <c r="M20" s="67">
        <f>IFERROR(IF(B20="","",K20/VLOOKUP(AD20,Varsayımlar!B:R,17,0)),"")</f>
        <v>8</v>
      </c>
      <c r="N20" s="67"/>
      <c r="O20" s="67">
        <v>11</v>
      </c>
      <c r="P20" s="67">
        <f>IF(B20="","",VLOOKUP(AD20,Varsayımlar!$B:$Q,7,0)*K20)</f>
        <v>20160</v>
      </c>
      <c r="Q20" s="67">
        <f>IF(B20="","",VLOOKUP(AD20,Varsayımlar!$B:$Q,8,0))</f>
        <v>25</v>
      </c>
      <c r="R20" s="67" t="str">
        <f>IF(B20="","",VLOOKUP(AD20,Varsayımlar!$B:$Q,9,0))</f>
        <v>Soft-PA3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240</v>
      </c>
      <c r="V20" s="67" t="str">
        <f>IF(B20="","",VLOOKUP(AD20,Varsayımlar!$B:$Q,13,0))</f>
        <v>Yurtdışı</v>
      </c>
      <c r="W20" s="67">
        <f>IF(B20="","",VLOOKUP(AD20,Varsayımlar!$B:$Q,14,0))</f>
        <v>12</v>
      </c>
      <c r="X20" s="69"/>
      <c r="Y20" s="69"/>
      <c r="Z20" s="67"/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IF(B20="","",VLOOKUP(Sayfa1!AD22,Varsayımlar!B:S,18,0))</f>
        <v>80x120cm</v>
      </c>
      <c r="AD20" s="57" t="str">
        <f t="shared" ref="AD20:AD32" si="1">IF(B20="","",CONCATENATE(B20,E20))</f>
        <v>LAIKYUZHN-BELARUSTortillas 25cm Sade 4pcs 240g</v>
      </c>
    </row>
    <row r="21" spans="1:30" ht="47.25" x14ac:dyDescent="0.25">
      <c r="A21" s="8" t="s">
        <v>93</v>
      </c>
      <c r="B21" s="68" t="s">
        <v>268</v>
      </c>
      <c r="C21" s="42">
        <f>IF(B21="","",VLOOKUP(AD21,Varsayımlar!$B:$Q,3,0))</f>
        <v>8698829380698</v>
      </c>
      <c r="D21" s="42" t="s">
        <v>159</v>
      </c>
      <c r="E21" s="68" t="s">
        <v>269</v>
      </c>
      <c r="F21" s="67">
        <v>20250825</v>
      </c>
      <c r="G21" s="42" t="s">
        <v>68</v>
      </c>
      <c r="H21" s="67" t="str">
        <f>IF(B21="","",VLOOKUP(AD21,Varsayımlar!$B:$Q,5,0))</f>
        <v>Tortillas 25cm Tam Buğday</v>
      </c>
      <c r="I21" s="67">
        <f>IF(B21="","",VLOOKUP(AD21,Varsayımlar!B:T,19,0))</f>
        <v>0</v>
      </c>
      <c r="J21" s="67" t="str">
        <f>IF(B21="","",VLOOKUP(AD21,Varsayımlar!$B:$Q,6,0))</f>
        <v>Tam Buğdaylı</v>
      </c>
      <c r="K21" s="67">
        <v>252</v>
      </c>
      <c r="L21" s="67"/>
      <c r="M21" s="67">
        <f>IFERROR(IF(B21="","",K21/VLOOKUP(AD21,Varsayımlar!B:R,17,0)),"")</f>
        <v>3</v>
      </c>
      <c r="N21" s="67"/>
      <c r="O21" s="67">
        <v>5</v>
      </c>
      <c r="P21" s="67">
        <f>IF(B21="","",VLOOKUP(AD21,Varsayımlar!$B:$Q,7,0)*K21)</f>
        <v>7560</v>
      </c>
      <c r="Q21" s="67">
        <f>IF(B21="","",VLOOKUP(AD21,Varsayımlar!$B:$Q,8,0))</f>
        <v>25</v>
      </c>
      <c r="R21" s="67" t="str">
        <f>IF(B21="","",VLOOKUP(AD21,Varsayımlar!$B:$Q,9,0))</f>
        <v>Soft-PA3</v>
      </c>
      <c r="S21" s="67">
        <f>IF(B21="","",VLOOKUP(AD21,Varsayımlar!$B:$Q,10,0))</f>
        <v>4</v>
      </c>
      <c r="T21" s="67">
        <f>IF(B21="","",VLOOKUP(AD21,Varsayımlar!$B:$Q,11,0))</f>
        <v>30</v>
      </c>
      <c r="U21" s="67">
        <f>IF(B21="","",VLOOKUP(AD21,Varsayımlar!$B:$Q,12,0))</f>
        <v>240</v>
      </c>
      <c r="V21" s="67" t="str">
        <f>IF(B21="","",VLOOKUP(AD21,Varsayımlar!$B:$Q,13,0))</f>
        <v>Yurtdışı</v>
      </c>
      <c r="W21" s="67">
        <f>IF(B21="","",VLOOKUP(AD21,Varsayımlar!$B:$Q,14,0))</f>
        <v>12</v>
      </c>
      <c r="X21" s="69"/>
      <c r="Y21" s="69"/>
      <c r="Z21" s="67"/>
      <c r="AA21" s="67" t="str">
        <f>IF(B21="","",VLOOKUP(AD21,Varsayımlar!$B:$Q,15,0))</f>
        <v>25cm Kolisi-Etiketli</v>
      </c>
      <c r="AB21" s="67" t="str">
        <f>IF(B21="","",VLOOKUP(AD21,Varsayımlar!$B:$Q,16,0))</f>
        <v>24-26 cm (Macca Hetto Inkjet Uzun Tarih)</v>
      </c>
      <c r="AC21" s="67" t="str">
        <f>IF(B21="","",VLOOKUP(Sayfa1!AD23,Varsayımlar!B:S,18,0))</f>
        <v>80x120cm</v>
      </c>
      <c r="AD21" s="57" t="str">
        <f t="shared" si="1"/>
        <v>LAIKYUZHN-BELARUSTortillas 25cm Tam buğday 4pcs 240g</v>
      </c>
    </row>
    <row r="22" spans="1:30" ht="47.25" x14ac:dyDescent="0.25">
      <c r="A22" s="8" t="s">
        <v>135</v>
      </c>
      <c r="B22" s="68" t="s">
        <v>268</v>
      </c>
      <c r="C22" s="42">
        <f>IF(B22="","",VLOOKUP(AD22,Varsayımlar!$B:$Q,3,0))</f>
        <v>8698829380698</v>
      </c>
      <c r="D22" s="42" t="s">
        <v>159</v>
      </c>
      <c r="E22" s="68" t="s">
        <v>274</v>
      </c>
      <c r="F22" s="67">
        <v>20250825</v>
      </c>
      <c r="G22" s="42" t="s">
        <v>68</v>
      </c>
      <c r="H22" s="67" t="str">
        <f>IF(B22="","",VLOOKUP(AD22,Varsayımlar!$B:$Q,5,0))</f>
        <v>Tortillas 25cm Domatesli</v>
      </c>
      <c r="I22" s="67">
        <f>IF(B22="","",VLOOKUP(AD22,Varsayımlar!B:T,19,0))</f>
        <v>0</v>
      </c>
      <c r="J22" s="67" t="str">
        <f>IF(B22="","",VLOOKUP(AD22,Varsayımlar!$B:$Q,6,0))</f>
        <v>Domatesli</v>
      </c>
      <c r="K22" s="67">
        <v>252</v>
      </c>
      <c r="L22" s="67"/>
      <c r="M22" s="67">
        <f>IFERROR(IF(B22="","",K22/VLOOKUP(AD22,Varsayımlar!B:R,17,0)),"")</f>
        <v>3</v>
      </c>
      <c r="N22" s="67"/>
      <c r="O22" s="67">
        <v>5</v>
      </c>
      <c r="P22" s="67">
        <f>IF(B22="","",VLOOKUP(AD22,Varsayımlar!$B:$Q,7,0)*K22)</f>
        <v>7560</v>
      </c>
      <c r="Q22" s="67">
        <f>IF(B22="","",VLOOKUP(AD22,Varsayımlar!$B:$Q,8,0))</f>
        <v>25</v>
      </c>
      <c r="R22" s="67" t="str">
        <f>IF(B22="","",VLOOKUP(AD22,Varsayımlar!$B:$Q,9,0))</f>
        <v>Soft-PA3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240</v>
      </c>
      <c r="V22" s="67" t="str">
        <f>IF(B22="","",VLOOKUP(AD22,Varsayımlar!$B:$Q,13,0))</f>
        <v>Yurtdışı</v>
      </c>
      <c r="W22" s="67">
        <f>IF(B22="","",VLOOKUP(AD22,Varsayımlar!$B:$Q,14,0))</f>
        <v>12</v>
      </c>
      <c r="X22" s="69"/>
      <c r="Y22" s="69"/>
      <c r="Z22" s="67"/>
      <c r="AA22" s="67" t="str">
        <f>IF(B22="","",VLOOKUP(AD22,Varsayımlar!$B:$Q,15,0))</f>
        <v>25cm Kolisi-Etiketli</v>
      </c>
      <c r="AB22" s="67" t="str">
        <f>IF(B22="","",VLOOKUP(AD22,Varsayımlar!$B:$Q,16,0))</f>
        <v>24-26 cm (Macca Hetto Inkjet Uzun Tarih)</v>
      </c>
      <c r="AC22" s="67" t="str">
        <f>IF(B22="","",VLOOKUP(Sayfa1!AD24,Varsayımlar!B:S,18,0))</f>
        <v>80x120cm</v>
      </c>
      <c r="AD22" s="57" t="str">
        <f t="shared" si="1"/>
        <v>LAIKYUZHN-BELARUSTortillas 25cm Domatesli 4pcs 240g</v>
      </c>
    </row>
    <row r="23" spans="1:30" ht="47.25" x14ac:dyDescent="0.25">
      <c r="A23" s="8" t="s">
        <v>136</v>
      </c>
      <c r="B23" s="68" t="s">
        <v>268</v>
      </c>
      <c r="C23" s="42">
        <f>IF(B23="","",VLOOKUP(AD23,Varsayımlar!$B:$Q,3,0))</f>
        <v>8698829380698</v>
      </c>
      <c r="D23" s="42" t="s">
        <v>159</v>
      </c>
      <c r="E23" s="68" t="s">
        <v>276</v>
      </c>
      <c r="F23" s="67">
        <v>20250825</v>
      </c>
      <c r="G23" s="42" t="s">
        <v>68</v>
      </c>
      <c r="H23" s="67" t="str">
        <f>IF(B23="","",VLOOKUP(AD23,Varsayımlar!$B:$Q,5,0))</f>
        <v>Tortillas 25cm Ispanaklı</v>
      </c>
      <c r="I23" s="67">
        <f>IF(B23="","",VLOOKUP(AD23,Varsayımlar!B:T,19,0))</f>
        <v>0</v>
      </c>
      <c r="J23" s="67" t="str">
        <f>IF(B23="","",VLOOKUP(AD23,Varsayımlar!$B:$Q,6,0))</f>
        <v>Ispanaklı</v>
      </c>
      <c r="K23" s="67">
        <v>420</v>
      </c>
      <c r="L23" s="67"/>
      <c r="M23" s="67">
        <f>IFERROR(IF(B23="","",K23/VLOOKUP(AD23,Varsayımlar!B:R,17,0)),"")</f>
        <v>5</v>
      </c>
      <c r="N23" s="67"/>
      <c r="O23" s="67">
        <v>7</v>
      </c>
      <c r="P23" s="67">
        <f>IF(B23="","",VLOOKUP(AD23,Varsayımlar!$B:$Q,7,0)*K23)</f>
        <v>12600</v>
      </c>
      <c r="Q23" s="67">
        <f>IF(B23="","",VLOOKUP(AD23,Varsayımlar!$B:$Q,8,0))</f>
        <v>25</v>
      </c>
      <c r="R23" s="67" t="str">
        <f>IF(B23="","",VLOOKUP(AD23,Varsayımlar!$B:$Q,9,0))</f>
        <v>Soft-PA3</v>
      </c>
      <c r="S23" s="67">
        <f>IF(B23="","",VLOOKUP(AD23,Varsayımlar!$B:$Q,10,0))</f>
        <v>4</v>
      </c>
      <c r="T23" s="67">
        <f>IF(B23="","",VLOOKUP(AD23,Varsayımlar!$B:$Q,11,0))</f>
        <v>30</v>
      </c>
      <c r="U23" s="67">
        <f>IF(B23="","",VLOOKUP(AD23,Varsayımlar!$B:$Q,12,0))</f>
        <v>240</v>
      </c>
      <c r="V23" s="67" t="str">
        <f>IF(B23="","",VLOOKUP(AD23,Varsayımlar!$B:$Q,13,0))</f>
        <v>Yurtdışı</v>
      </c>
      <c r="W23" s="67">
        <f>IF(B23="","",VLOOKUP(AD23,Varsayımlar!$B:$Q,14,0))</f>
        <v>12</v>
      </c>
      <c r="X23" s="69"/>
      <c r="Y23" s="69"/>
      <c r="Z23" s="67"/>
      <c r="AA23" s="67" t="str">
        <f>IF(B23="","",VLOOKUP(AD23,Varsayımlar!$B:$Q,15,0))</f>
        <v>25cm Kolisi-Etiketli</v>
      </c>
      <c r="AB23" s="67" t="str">
        <f>IF(B23="","",VLOOKUP(AD23,Varsayımlar!$B:$Q,16,0))</f>
        <v>24-26 cm (Macca Hetto Inkjet Uzun Tarih)</v>
      </c>
      <c r="AC23" s="67" t="str">
        <f>IF(B23="","",VLOOKUP(Sayfa1!AD25,Varsayımlar!B:S,18,0))</f>
        <v>80x120cm</v>
      </c>
      <c r="AD23" s="57" t="str">
        <f t="shared" si="1"/>
        <v>LAIKYUZHN-BELARUSTortillas 25cm Ispanaklı 4pcs 240g</v>
      </c>
    </row>
    <row r="24" spans="1:30" ht="47.25" x14ac:dyDescent="0.25">
      <c r="A24" s="8" t="s">
        <v>137</v>
      </c>
      <c r="B24" s="68" t="s">
        <v>268</v>
      </c>
      <c r="C24" s="42">
        <f>IF(B24="","",VLOOKUP(AD24,Varsayımlar!$B:$Q,3,0))</f>
        <v>8698829380698</v>
      </c>
      <c r="D24" s="42" t="s">
        <v>159</v>
      </c>
      <c r="E24" s="68" t="s">
        <v>278</v>
      </c>
      <c r="F24" s="67">
        <v>20250825</v>
      </c>
      <c r="G24" s="42" t="s">
        <v>68</v>
      </c>
      <c r="H24" s="67" t="str">
        <f>IF(B24="","",VLOOKUP(AD24,Varsayımlar!$B:$Q,5,0))</f>
        <v>Magnit Tortillas 25cm Peynirli</v>
      </c>
      <c r="I24" s="67" t="str">
        <f>IF(B24="","",VLOOKUP(AD24,Varsayımlar!B:T,19,0))</f>
        <v>Etiketli</v>
      </c>
      <c r="J24" s="67" t="str">
        <f>IF(B24="","",VLOOKUP(AD24,Varsayımlar!$B:$Q,6,0))</f>
        <v>Peynirli</v>
      </c>
      <c r="K24" s="67">
        <v>420</v>
      </c>
      <c r="L24" s="67"/>
      <c r="M24" s="67">
        <f>IFERROR(IF(B24="","",K24/VLOOKUP(AD24,Varsayımlar!B:R,17,0)),"")</f>
        <v>5</v>
      </c>
      <c r="N24" s="67"/>
      <c r="O24" s="67">
        <v>7</v>
      </c>
      <c r="P24" s="67">
        <f>IF(B24="","",VLOOKUP(AD24,Varsayımlar!$B:$Q,7,0)*K24)</f>
        <v>12600</v>
      </c>
      <c r="Q24" s="67">
        <f>IF(B24="","",VLOOKUP(AD24,Varsayımlar!$B:$Q,8,0))</f>
        <v>25</v>
      </c>
      <c r="R24" s="67" t="str">
        <f>IF(B24="","",VLOOKUP(AD24,Varsayımlar!$B:$Q,9,0))</f>
        <v>Soft-PA3-AT</v>
      </c>
      <c r="S24" s="67">
        <f>IF(B24="","",VLOOKUP(AD24,Varsayımlar!$B:$Q,10,0))</f>
        <v>4</v>
      </c>
      <c r="T24" s="67">
        <f>IF(B24="","",VLOOKUP(AD24,Varsayımlar!$B:$Q,11,0))</f>
        <v>30</v>
      </c>
      <c r="U24" s="67">
        <f>IF(B24="","",VLOOKUP(AD24,Varsayımlar!$B:$Q,12,0))</f>
        <v>250</v>
      </c>
      <c r="V24" s="67" t="str">
        <f>IF(B24="","",VLOOKUP(AD24,Varsayımlar!$B:$Q,13,0))</f>
        <v>Yurtdışı</v>
      </c>
      <c r="W24" s="67">
        <f>IF(B24="","",VLOOKUP(AD24,Varsayımlar!$B:$Q,14,0))</f>
        <v>9</v>
      </c>
      <c r="X24" s="69"/>
      <c r="Y24" s="69"/>
      <c r="Z24" s="67"/>
      <c r="AA24" s="67" t="str">
        <f>IF(B24="","",VLOOKUP(AD24,Varsayımlar!$B:$Q,15,0))</f>
        <v>25cm Kolisi-Etiketli</v>
      </c>
      <c r="AB24" s="67" t="str">
        <f>IF(B24="","",VLOOKUP(AD24,Varsayımlar!$B:$Q,16,0))</f>
        <v>24-26 cm (Macca Hetto Inkjet Uzun Tarih)</v>
      </c>
      <c r="AC24" s="67" t="str">
        <f>IF(B24="","",VLOOKUP(Sayfa1!AD26,Varsayımlar!B:S,18,0))</f>
        <v>80x120cm</v>
      </c>
      <c r="AD24" s="57" t="str">
        <f t="shared" si="1"/>
        <v>LAIKYUZHN-BELARUSMagnit Tortillas 25cm Peynirli 4pcs 240g</v>
      </c>
    </row>
    <row r="25" spans="1:30" ht="63" x14ac:dyDescent="0.25">
      <c r="A25" s="8" t="s">
        <v>138</v>
      </c>
      <c r="B25" s="61" t="s">
        <v>181</v>
      </c>
      <c r="C25" s="32">
        <f>IF(B25="","",VLOOKUP(AD25,Varsayımlar!$B:$Q,3,0))</f>
        <v>8698829380698</v>
      </c>
      <c r="D25" s="32"/>
      <c r="E25" s="61" t="s">
        <v>182</v>
      </c>
      <c r="F25" s="62">
        <v>26060101</v>
      </c>
      <c r="G25" s="32"/>
      <c r="H25" s="62" t="str">
        <f>IF(B25="","",VLOOKUP(AD25,Varsayımlar!$B:$Q,5,0))</f>
        <v>Tortillove 30cm</v>
      </c>
      <c r="I25" s="62" t="str">
        <f>IF(B25="","",VLOOKUP(AD25,Varsayımlar!B:T,19,0))</f>
        <v>Arka kısma Arnavutça içerik-Tortillove</v>
      </c>
      <c r="J25" s="62" t="str">
        <f>IF(B25="","",VLOOKUP(AD25,Varsayımlar!$B:$Q,6,0))</f>
        <v>SADE</v>
      </c>
      <c r="K25" s="62">
        <v>100</v>
      </c>
      <c r="L25" s="62"/>
      <c r="M25" s="62">
        <f>IFERROR(IF(B25="","",K25/VLOOKUP(AD25,Varsayımlar!B:R,17,0)),"")</f>
        <v>2</v>
      </c>
      <c r="N25" s="62"/>
      <c r="O25" s="62">
        <v>2</v>
      </c>
      <c r="P25" s="62">
        <f>IF(B25="","",VLOOKUP(AD25,Varsayımlar!$B:$Q,7,0)*K25)</f>
        <v>1200</v>
      </c>
      <c r="Q25" s="62">
        <f>IF(B25="","",VLOOKUP(AD25,Varsayımlar!$B:$Q,8,0))</f>
        <v>30</v>
      </c>
      <c r="R25" s="62" t="str">
        <f>IF(B25="","",VLOOKUP(AD25,Varsayımlar!$B:$Q,9,0))</f>
        <v>Irak Soft</v>
      </c>
      <c r="S25" s="62">
        <f>IF(B25="","",VLOOKUP(AD25,Varsayımlar!$B:$Q,10,0))</f>
        <v>10</v>
      </c>
      <c r="T25" s="62">
        <f>IF(B25="","",VLOOKUP(AD25,Varsayımlar!$B:$Q,11,0))</f>
        <v>12</v>
      </c>
      <c r="U25" s="62">
        <f>IF(B25="","",VLOOKUP(AD25,Varsayımlar!$B:$Q,12,0))</f>
        <v>900</v>
      </c>
      <c r="V25" s="62" t="str">
        <f>IF(B25="","",VLOOKUP(AD25,Varsayımlar!$B:$Q,13,0))</f>
        <v>Yurtdışı</v>
      </c>
      <c r="W25" s="62">
        <f>IF(B25="","",VLOOKUP(AD25,Varsayımlar!$B:$Q,14,0))</f>
        <v>12</v>
      </c>
      <c r="X25" s="63"/>
      <c r="Y25" s="63"/>
      <c r="Z25" s="62"/>
      <c r="AA25" s="62" t="str">
        <f>IF(B25="","",VLOOKUP(AD25,Varsayımlar!$B:$Q,15,0))</f>
        <v>30cm Koli - Tortillove 900g Etiketli</v>
      </c>
      <c r="AB25" s="62" t="str">
        <f>IF(B25="","",VLOOKUP(AD25,Varsayımlar!$B:$Q,16,0))</f>
        <v>29-31 cm</v>
      </c>
      <c r="AC25" s="62">
        <f>IF(B25="","",VLOOKUP(Sayfa1!AD27,Varsayımlar!B:S,18,0))</f>
        <v>0</v>
      </c>
      <c r="AD25" s="57" t="str">
        <f t="shared" si="1"/>
        <v>ALDİ - KOSOVATortillove 30cm 10pcs 900g</v>
      </c>
    </row>
    <row r="26" spans="1:30" ht="47.25" x14ac:dyDescent="0.25">
      <c r="A26" s="8" t="s">
        <v>139</v>
      </c>
      <c r="B26" s="61" t="s">
        <v>181</v>
      </c>
      <c r="C26" s="32">
        <f>IF(B26="","",VLOOKUP(AD26,Varsayımlar!$B:$Q,3,0))</f>
        <v>8698829380698</v>
      </c>
      <c r="D26" s="32"/>
      <c r="E26" s="61" t="s">
        <v>185</v>
      </c>
      <c r="F26" s="62">
        <v>26060101</v>
      </c>
      <c r="G26" s="32"/>
      <c r="H26" s="62" t="str">
        <f>IF(B26="","",VLOOKUP(AD26,Varsayımlar!$B:$Q,5,0))</f>
        <v>Tortillas 30cm</v>
      </c>
      <c r="I26" s="62" t="str">
        <f>IF(B26="","",VLOOKUP(AD26,Varsayımlar!B:T,19,0))</f>
        <v>Arka kısma Arnavutça içerik-Tortillas</v>
      </c>
      <c r="J26" s="62" t="str">
        <f>IF(B26="","",VLOOKUP(AD26,Varsayımlar!$B:$Q,6,0))</f>
        <v>SADE</v>
      </c>
      <c r="K26" s="62">
        <v>50</v>
      </c>
      <c r="L26" s="62"/>
      <c r="M26" s="62">
        <f>IFERROR(IF(B26="","",K26/VLOOKUP(AD26,Varsayımlar!B:R,17,0)),"")</f>
        <v>1</v>
      </c>
      <c r="N26" s="62"/>
      <c r="O26" s="62">
        <v>1</v>
      </c>
      <c r="P26" s="62">
        <f>IF(B26="","",VLOOKUP(AD26,Varsayımlar!$B:$Q,7,0)*K26)</f>
        <v>600</v>
      </c>
      <c r="Q26" s="62">
        <f>IF(B26="","",VLOOKUP(AD26,Varsayımlar!$B:$Q,8,0))</f>
        <v>30</v>
      </c>
      <c r="R26" s="62" t="str">
        <f>IF(B26="","",VLOOKUP(AD26,Varsayımlar!$B:$Q,9,0))</f>
        <v>Irak Soft</v>
      </c>
      <c r="S26" s="62">
        <f>IF(B26="","",VLOOKUP(AD26,Varsayımlar!$B:$Q,10,0))</f>
        <v>10</v>
      </c>
      <c r="T26" s="62">
        <f>IF(B26="","",VLOOKUP(AD26,Varsayımlar!$B:$Q,11,0))</f>
        <v>12</v>
      </c>
      <c r="U26" s="62">
        <f>IF(B26="","",VLOOKUP(AD26,Varsayımlar!$B:$Q,12,0))</f>
        <v>900</v>
      </c>
      <c r="V26" s="62" t="str">
        <f>IF(B26="","",VLOOKUP(AD26,Varsayımlar!$B:$Q,13,0))</f>
        <v>Yurtdışı</v>
      </c>
      <c r="W26" s="62">
        <f>IF(B26="","",VLOOKUP(AD26,Varsayımlar!$B:$Q,14,0))</f>
        <v>12</v>
      </c>
      <c r="X26" s="63"/>
      <c r="Y26" s="63"/>
      <c r="Z26" s="62"/>
      <c r="AA26" s="62" t="str">
        <f>IF(B26="","",VLOOKUP(AD26,Varsayımlar!$B:$Q,15,0))</f>
        <v>30cm Koli - Tortillas 900g Etiketli</v>
      </c>
      <c r="AB26" s="62" t="str">
        <f>IF(B26="","",VLOOKUP(AD26,Varsayımlar!$B:$Q,16,0))</f>
        <v>29-31 cm</v>
      </c>
      <c r="AC26" s="62">
        <f>IF(B26="","",VLOOKUP(Sayfa1!AD28,Varsayımlar!B:S,18,0))</f>
        <v>0</v>
      </c>
      <c r="AD26" s="57" t="str">
        <f t="shared" si="1"/>
        <v>ALDİ - KOSOVATortillas 30cm 10pcs 900g</v>
      </c>
    </row>
    <row r="27" spans="1:30" ht="63" x14ac:dyDescent="0.25">
      <c r="A27" s="8" t="s">
        <v>140</v>
      </c>
      <c r="B27" s="61" t="s">
        <v>181</v>
      </c>
      <c r="C27" s="32">
        <f>IF(B27="","",VLOOKUP(AD27,Varsayımlar!$B:$Q,3,0))</f>
        <v>8698829380698</v>
      </c>
      <c r="D27" s="32"/>
      <c r="E27" s="61" t="s">
        <v>187</v>
      </c>
      <c r="F27" s="62">
        <v>26060101</v>
      </c>
      <c r="G27" s="32"/>
      <c r="H27" s="62" t="str">
        <f>IF(B27="","",VLOOKUP(AD27,Varsayımlar!$B:$Q,5,0))</f>
        <v>Tortillove 25cm</v>
      </c>
      <c r="I27" s="62" t="str">
        <f>IF(B27="","",VLOOKUP(AD27,Varsayımlar!B:T,19,0))</f>
        <v>Barkod üzerine Arnavutça içerik+Barkod-Tortillove</v>
      </c>
      <c r="J27" s="62" t="str">
        <f>IF(B27="","",VLOOKUP(AD27,Varsayımlar!$B:$Q,6,0))</f>
        <v>SADE</v>
      </c>
      <c r="K27" s="62">
        <v>84</v>
      </c>
      <c r="L27" s="62"/>
      <c r="M27" s="62">
        <f>IFERROR(IF(B27="","",K27/VLOOKUP(AD27,Varsayımlar!B:R,17,0)),"")</f>
        <v>1</v>
      </c>
      <c r="N27" s="62"/>
      <c r="O27" s="62">
        <v>2</v>
      </c>
      <c r="P27" s="62">
        <f>IF(B27="","",VLOOKUP(AD27,Varsayımlar!$B:$Q,7,0)*K27)</f>
        <v>1512</v>
      </c>
      <c r="Q27" s="62">
        <f>IF(B27="","",VLOOKUP(AD27,Varsayımlar!$B:$Q,8,0))</f>
        <v>25</v>
      </c>
      <c r="R27" s="62" t="str">
        <f>IF(B27="","",VLOOKUP(AD27,Varsayımlar!$B:$Q,9,0))</f>
        <v>Irak Soft</v>
      </c>
      <c r="S27" s="62">
        <f>IF(B27="","",VLOOKUP(AD27,Varsayımlar!$B:$Q,10,0))</f>
        <v>6</v>
      </c>
      <c r="T27" s="62">
        <f>IF(B27="","",VLOOKUP(AD27,Varsayımlar!$B:$Q,11,0))</f>
        <v>18</v>
      </c>
      <c r="U27" s="62">
        <f>IF(B27="","",VLOOKUP(AD27,Varsayımlar!$B:$Q,12,0))</f>
        <v>390</v>
      </c>
      <c r="V27" s="62" t="str">
        <f>IF(B27="","",VLOOKUP(AD27,Varsayımlar!$B:$Q,13,0))</f>
        <v>Yurtdışı</v>
      </c>
      <c r="W27" s="62">
        <f>IF(B27="","",VLOOKUP(AD27,Varsayımlar!$B:$Q,14,0))</f>
        <v>12</v>
      </c>
      <c r="X27" s="63"/>
      <c r="Y27" s="63"/>
      <c r="Z27" s="62"/>
      <c r="AA27" s="62" t="str">
        <f>IF(B27="","",VLOOKUP(AD27,Varsayımlar!$B:$Q,15,0))</f>
        <v>25cm Koli - Tortillove 390g Etiketli</v>
      </c>
      <c r="AB27" s="62" t="str">
        <f>IF(B27="","",VLOOKUP(AD27,Varsayımlar!$B:$Q,16,0))</f>
        <v>24-26 cm</v>
      </c>
      <c r="AC27" s="62">
        <f>IF(B27="","",VLOOKUP(Sayfa1!AD29,Varsayımlar!B:S,18,0))</f>
        <v>0</v>
      </c>
      <c r="AD27" s="57" t="str">
        <f t="shared" si="1"/>
        <v>ALDİ - KOSOVATortillove 25cm 6pcs 390g</v>
      </c>
    </row>
    <row r="28" spans="1:30" ht="63" x14ac:dyDescent="0.25">
      <c r="A28" s="8" t="s">
        <v>141</v>
      </c>
      <c r="B28" s="61" t="s">
        <v>181</v>
      </c>
      <c r="C28" s="32">
        <f>IF(B28="","",VLOOKUP(AD28,Varsayımlar!$B:$Q,3,0))</f>
        <v>8698829380698</v>
      </c>
      <c r="D28" s="32"/>
      <c r="E28" s="61" t="s">
        <v>189</v>
      </c>
      <c r="F28" s="62">
        <v>26060101</v>
      </c>
      <c r="G28" s="32"/>
      <c r="H28" s="62" t="str">
        <f>IF(B28="","",VLOOKUP(AD28,Varsayımlar!$B:$Q,5,0))</f>
        <v>Tortillas 25cm</v>
      </c>
      <c r="I28" s="62" t="str">
        <f>IF(B28="","",VLOOKUP(AD28,Varsayımlar!B:T,19,0))</f>
        <v>Barkod üzerine Arnavutça içerik+Barkod-Tortillas</v>
      </c>
      <c r="J28" s="62" t="str">
        <f>IF(B28="","",VLOOKUP(AD28,Varsayımlar!$B:$Q,6,0))</f>
        <v>SADE</v>
      </c>
      <c r="K28" s="62">
        <v>84</v>
      </c>
      <c r="L28" s="62"/>
      <c r="M28" s="62">
        <f>IFERROR(IF(B28="","",K28/VLOOKUP(AD28,Varsayımlar!B:R,17,0)),"")</f>
        <v>1</v>
      </c>
      <c r="N28" s="62"/>
      <c r="O28" s="62">
        <v>2</v>
      </c>
      <c r="P28" s="62">
        <f>IF(B28="","",VLOOKUP(AD28,Varsayımlar!$B:$Q,7,0)*K28)</f>
        <v>1512</v>
      </c>
      <c r="Q28" s="62">
        <f>IF(B28="","",VLOOKUP(AD28,Varsayımlar!$B:$Q,8,0))</f>
        <v>25</v>
      </c>
      <c r="R28" s="62" t="str">
        <f>IF(B28="","",VLOOKUP(AD28,Varsayımlar!$B:$Q,9,0))</f>
        <v>Irak Soft</v>
      </c>
      <c r="S28" s="62">
        <f>IF(B28="","",VLOOKUP(AD28,Varsayımlar!$B:$Q,10,0))</f>
        <v>6</v>
      </c>
      <c r="T28" s="62">
        <f>IF(B28="","",VLOOKUP(AD28,Varsayımlar!$B:$Q,11,0))</f>
        <v>18</v>
      </c>
      <c r="U28" s="62">
        <f>IF(B28="","",VLOOKUP(AD28,Varsayımlar!$B:$Q,12,0))</f>
        <v>390</v>
      </c>
      <c r="V28" s="62" t="str">
        <f>IF(B28="","",VLOOKUP(AD28,Varsayımlar!$B:$Q,13,0))</f>
        <v>Yurtdışı</v>
      </c>
      <c r="W28" s="62">
        <f>IF(B28="","",VLOOKUP(AD28,Varsayımlar!$B:$Q,14,0))</f>
        <v>12</v>
      </c>
      <c r="X28" s="63"/>
      <c r="Y28" s="63"/>
      <c r="Z28" s="62"/>
      <c r="AA28" s="62" t="str">
        <f>IF(B28="","",VLOOKUP(AD28,Varsayımlar!$B:$Q,15,0))</f>
        <v>25cm Koli - Tortillas 390g Etiketli</v>
      </c>
      <c r="AB28" s="62" t="str">
        <f>IF(B28="","",VLOOKUP(AD28,Varsayımlar!$B:$Q,16,0))</f>
        <v>24-26 cm</v>
      </c>
      <c r="AC28" s="62">
        <f>IF(B28="","",VLOOKUP(Sayfa1!AD30,Varsayımlar!B:S,18,0))</f>
        <v>0</v>
      </c>
      <c r="AD28" s="57" t="str">
        <f t="shared" si="1"/>
        <v>ALDİ - KOSOVATortillas 25cm 6pcs 390g</v>
      </c>
    </row>
    <row r="29" spans="1:30" ht="63" x14ac:dyDescent="0.25">
      <c r="A29" s="8" t="s">
        <v>142</v>
      </c>
      <c r="B29" s="61" t="s">
        <v>181</v>
      </c>
      <c r="C29" s="32">
        <f>IF(B29="","",VLOOKUP(AD29,Varsayımlar!$B:$Q,3,0))</f>
        <v>8698829380698</v>
      </c>
      <c r="D29" s="32"/>
      <c r="E29" s="61" t="s">
        <v>187</v>
      </c>
      <c r="F29" s="62">
        <v>26060101</v>
      </c>
      <c r="G29" s="32"/>
      <c r="H29" s="62" t="str">
        <f>IF(B29="","",VLOOKUP(AD29,Varsayımlar!$B:$Q,5,0))</f>
        <v>Tortillove 25cm</v>
      </c>
      <c r="I29" s="62" t="str">
        <f>IF(B29="","",VLOOKUP(AD29,Varsayımlar!B:T,19,0))</f>
        <v>Barkod üzerine Arnavutça içerik+Barkod-Tortillove</v>
      </c>
      <c r="J29" s="62" t="str">
        <f>IF(B29="","",VLOOKUP(AD29,Varsayımlar!$B:$Q,6,0))</f>
        <v>SADE</v>
      </c>
      <c r="K29" s="62">
        <v>168</v>
      </c>
      <c r="L29" s="62"/>
      <c r="M29" s="62">
        <f>IFERROR(IF(B29="","",K29/VLOOKUP(AD29,Varsayımlar!B:R,17,0)),"")</f>
        <v>2</v>
      </c>
      <c r="N29" s="62"/>
      <c r="O29" s="62">
        <v>3</v>
      </c>
      <c r="P29" s="62">
        <f>IF(B29="","",VLOOKUP(AD29,Varsayımlar!$B:$Q,7,0)*K29)</f>
        <v>3024</v>
      </c>
      <c r="Q29" s="62">
        <f>IF(B29="","",VLOOKUP(AD29,Varsayımlar!$B:$Q,8,0))</f>
        <v>25</v>
      </c>
      <c r="R29" s="62" t="str">
        <f>IF(B29="","",VLOOKUP(AD29,Varsayımlar!$B:$Q,9,0))</f>
        <v>Irak Soft</v>
      </c>
      <c r="S29" s="62">
        <f>IF(B29="","",VLOOKUP(AD29,Varsayımlar!$B:$Q,10,0))</f>
        <v>6</v>
      </c>
      <c r="T29" s="62">
        <f>IF(B29="","",VLOOKUP(AD29,Varsayımlar!$B:$Q,11,0))</f>
        <v>18</v>
      </c>
      <c r="U29" s="62">
        <f>IF(B29="","",VLOOKUP(AD29,Varsayımlar!$B:$Q,12,0))</f>
        <v>390</v>
      </c>
      <c r="V29" s="62" t="str">
        <f>IF(B29="","",VLOOKUP(AD29,Varsayımlar!$B:$Q,13,0))</f>
        <v>Yurtdışı</v>
      </c>
      <c r="W29" s="62">
        <f>IF(B29="","",VLOOKUP(AD29,Varsayımlar!$B:$Q,14,0))</f>
        <v>12</v>
      </c>
      <c r="X29" s="63"/>
      <c r="Y29" s="63"/>
      <c r="Z29" s="62"/>
      <c r="AA29" s="62" t="str">
        <f>IF(B29="","",VLOOKUP(AD29,Varsayımlar!$B:$Q,15,0))</f>
        <v>25cm Koli - Tortillove 390g Etiketli</v>
      </c>
      <c r="AB29" s="62" t="str">
        <f>IF(B29="","",VLOOKUP(AD29,Varsayımlar!$B:$Q,16,0))</f>
        <v>24-26 cm</v>
      </c>
      <c r="AC29" s="62">
        <f>IF(B29="","",VLOOKUP(Sayfa1!AD31,Varsayımlar!B:S,18,0))</f>
        <v>0</v>
      </c>
      <c r="AD29" s="57" t="str">
        <f t="shared" si="1"/>
        <v>ALDİ - KOSOVATortillove 25cm 6pcs 390g</v>
      </c>
    </row>
    <row r="30" spans="1:30" ht="63" x14ac:dyDescent="0.25">
      <c r="A30" s="8" t="s">
        <v>143</v>
      </c>
      <c r="B30" s="61" t="s">
        <v>181</v>
      </c>
      <c r="C30" s="32">
        <f>IF(B30="","",VLOOKUP(AD30,Varsayımlar!$B:$Q,3,0))</f>
        <v>8698829380698</v>
      </c>
      <c r="D30" s="32"/>
      <c r="E30" s="61" t="s">
        <v>189</v>
      </c>
      <c r="F30" s="62">
        <v>26060101</v>
      </c>
      <c r="G30" s="32"/>
      <c r="H30" s="62" t="str">
        <f>IF(B30="","",VLOOKUP(AD30,Varsayımlar!$B:$Q,5,0))</f>
        <v>Tortillas 25cm</v>
      </c>
      <c r="I30" s="62" t="str">
        <f>IF(B30="","",VLOOKUP(AD30,Varsayımlar!B:T,19,0))</f>
        <v>Barkod üzerine Arnavutça içerik+Barkod-Tortillas</v>
      </c>
      <c r="J30" s="62" t="str">
        <f>IF(B30="","",VLOOKUP(AD30,Varsayımlar!$B:$Q,6,0))</f>
        <v>SADE</v>
      </c>
      <c r="K30" s="62">
        <v>84</v>
      </c>
      <c r="L30" s="62"/>
      <c r="M30" s="62">
        <f>IFERROR(IF(B30="","",K30/VLOOKUP(AD30,Varsayımlar!B:R,17,0)),"")</f>
        <v>1</v>
      </c>
      <c r="N30" s="62"/>
      <c r="O30" s="62">
        <v>2</v>
      </c>
      <c r="P30" s="62">
        <f>IF(B30="","",VLOOKUP(AD30,Varsayımlar!$B:$Q,7,0)*K30)</f>
        <v>1512</v>
      </c>
      <c r="Q30" s="62">
        <f>IF(B30="","",VLOOKUP(AD30,Varsayımlar!$B:$Q,8,0))</f>
        <v>25</v>
      </c>
      <c r="R30" s="62" t="str">
        <f>IF(B30="","",VLOOKUP(AD30,Varsayımlar!$B:$Q,9,0))</f>
        <v>Irak Soft</v>
      </c>
      <c r="S30" s="62">
        <f>IF(B30="","",VLOOKUP(AD30,Varsayımlar!$B:$Q,10,0))</f>
        <v>6</v>
      </c>
      <c r="T30" s="62">
        <f>IF(B30="","",VLOOKUP(AD30,Varsayımlar!$B:$Q,11,0))</f>
        <v>18</v>
      </c>
      <c r="U30" s="62">
        <f>IF(B30="","",VLOOKUP(AD30,Varsayımlar!$B:$Q,12,0))</f>
        <v>390</v>
      </c>
      <c r="V30" s="62" t="str">
        <f>IF(B30="","",VLOOKUP(AD30,Varsayımlar!$B:$Q,13,0))</f>
        <v>Yurtdışı</v>
      </c>
      <c r="W30" s="62">
        <f>IF(B30="","",VLOOKUP(AD30,Varsayımlar!$B:$Q,14,0))</f>
        <v>12</v>
      </c>
      <c r="X30" s="63"/>
      <c r="Y30" s="63"/>
      <c r="Z30" s="62"/>
      <c r="AA30" s="62" t="str">
        <f>IF(B30="","",VLOOKUP(AD30,Varsayımlar!$B:$Q,15,0))</f>
        <v>25cm Koli - Tortillas 390g Etiketli</v>
      </c>
      <c r="AB30" s="62" t="str">
        <f>IF(B30="","",VLOOKUP(AD30,Varsayımlar!$B:$Q,16,0))</f>
        <v>24-26 cm</v>
      </c>
      <c r="AC30" s="62">
        <f>IF(B30="","",VLOOKUP(Sayfa1!AD32,Varsayımlar!B:S,18,0))</f>
        <v>0</v>
      </c>
      <c r="AD30" s="57" t="str">
        <f t="shared" si="1"/>
        <v>ALDİ - KOSOVATortillas 25cm 6pcs 390g</v>
      </c>
    </row>
    <row r="31" spans="1:30" ht="63" x14ac:dyDescent="0.25">
      <c r="A31" s="8" t="s">
        <v>144</v>
      </c>
      <c r="B31" s="61" t="s">
        <v>181</v>
      </c>
      <c r="C31" s="32">
        <f>IF(B31="","",VLOOKUP(AD31,Varsayımlar!$B:$Q,3,0))</f>
        <v>8698829380698</v>
      </c>
      <c r="D31" s="32"/>
      <c r="E31" s="61" t="s">
        <v>192</v>
      </c>
      <c r="F31" s="62">
        <v>26060101</v>
      </c>
      <c r="G31" s="32"/>
      <c r="H31" s="62" t="str">
        <f>IF(B31="","",VLOOKUP(AD31,Varsayımlar!$B:$Q,5,0))</f>
        <v>Tortillove 25cm</v>
      </c>
      <c r="I31" s="62" t="str">
        <f>IF(B31="","",VLOOKUP(AD31,Varsayımlar!B:T,19,0))</f>
        <v>Arka kısma Arnavutça içerik-Tortillove</v>
      </c>
      <c r="J31" s="62" t="str">
        <f>IF(B31="","",VLOOKUP(AD31,Varsayımlar!$B:$Q,6,0))</f>
        <v>SADE</v>
      </c>
      <c r="K31" s="62">
        <v>168</v>
      </c>
      <c r="L31" s="62"/>
      <c r="M31" s="62">
        <f>IFERROR(IF(B31="","",K31/VLOOKUP(AD31,Varsayımlar!B:R,17,0)),"")</f>
        <v>2</v>
      </c>
      <c r="N31" s="62"/>
      <c r="O31" s="62">
        <v>3</v>
      </c>
      <c r="P31" s="62">
        <f>IF(B31="","",VLOOKUP(AD31,Varsayımlar!$B:$Q,7,0)*K31)</f>
        <v>2016</v>
      </c>
      <c r="Q31" s="62">
        <f>IF(B31="","",VLOOKUP(AD31,Varsayımlar!$B:$Q,8,0))</f>
        <v>25</v>
      </c>
      <c r="R31" s="62" t="str">
        <f>IF(B31="","",VLOOKUP(AD31,Varsayımlar!$B:$Q,9,0))</f>
        <v>Irak Soft</v>
      </c>
      <c r="S31" s="62">
        <f>IF(B31="","",VLOOKUP(AD31,Varsayımlar!$B:$Q,10,0))</f>
        <v>10</v>
      </c>
      <c r="T31" s="62">
        <f>IF(B31="","",VLOOKUP(AD31,Varsayımlar!$B:$Q,11,0))</f>
        <v>12</v>
      </c>
      <c r="U31" s="62">
        <f>IF(B31="","",VLOOKUP(AD31,Varsayımlar!$B:$Q,12,0))</f>
        <v>650</v>
      </c>
      <c r="V31" s="62" t="str">
        <f>IF(B31="","",VLOOKUP(AD31,Varsayımlar!$B:$Q,13,0))</f>
        <v>Yurtdışı</v>
      </c>
      <c r="W31" s="62">
        <f>IF(B31="","",VLOOKUP(AD31,Varsayımlar!$B:$Q,14,0))</f>
        <v>12</v>
      </c>
      <c r="X31" s="63"/>
      <c r="Y31" s="63"/>
      <c r="Z31" s="62"/>
      <c r="AA31" s="62" t="str">
        <f>IF(B31="","",VLOOKUP(AD31,Varsayımlar!$B:$Q,15,0))</f>
        <v>25cm Koli - Tortillove 650g Etiketli</v>
      </c>
      <c r="AB31" s="62" t="str">
        <f>IF(B31="","",VLOOKUP(AD31,Varsayımlar!$B:$Q,16,0))</f>
        <v>24-26 cm</v>
      </c>
      <c r="AC31" s="62">
        <f>IF(B31="","",VLOOKUP(Sayfa1!AD33,Varsayımlar!B:S,18,0))</f>
        <v>0</v>
      </c>
      <c r="AD31" s="57" t="str">
        <f t="shared" si="1"/>
        <v>ALDİ - KOSOVATortillove 25cm 10pcs 650g</v>
      </c>
    </row>
    <row r="32" spans="1:30" ht="47.25" x14ac:dyDescent="0.25">
      <c r="A32" s="8" t="s">
        <v>145</v>
      </c>
      <c r="B32" s="61" t="s">
        <v>181</v>
      </c>
      <c r="C32" s="32">
        <f>IF(B32="","",VLOOKUP(AD32,Varsayımlar!$B:$Q,3,0))</f>
        <v>8698829380698</v>
      </c>
      <c r="D32" s="32"/>
      <c r="E32" s="61" t="s">
        <v>193</v>
      </c>
      <c r="F32" s="62">
        <v>26060101</v>
      </c>
      <c r="G32" s="32"/>
      <c r="H32" s="62" t="str">
        <f>IF(B32="","",VLOOKUP(AD32,Varsayımlar!$B:$Q,5,0))</f>
        <v>Tortillas 25cm</v>
      </c>
      <c r="I32" s="62" t="str">
        <f>IF(B32="","",VLOOKUP(AD32,Varsayımlar!B:T,19,0))</f>
        <v>Arka kısma Arnavutça içerik-Tortillas</v>
      </c>
      <c r="J32" s="62" t="str">
        <f>IF(B32="","",VLOOKUP(AD32,Varsayımlar!$B:$Q,6,0))</f>
        <v>SADE</v>
      </c>
      <c r="K32" s="62">
        <v>84</v>
      </c>
      <c r="L32" s="62"/>
      <c r="M32" s="62">
        <f>IFERROR(IF(B32="","",K32/VLOOKUP(AD32,Varsayımlar!B:R,17,0)),"")</f>
        <v>1</v>
      </c>
      <c r="N32" s="62"/>
      <c r="O32" s="62">
        <v>2</v>
      </c>
      <c r="P32" s="62">
        <f>IF(B32="","",VLOOKUP(AD32,Varsayımlar!$B:$Q,7,0)*K32)</f>
        <v>1008</v>
      </c>
      <c r="Q32" s="62">
        <f>IF(B32="","",VLOOKUP(AD32,Varsayımlar!$B:$Q,8,0))</f>
        <v>25</v>
      </c>
      <c r="R32" s="62" t="str">
        <f>IF(B32="","",VLOOKUP(AD32,Varsayımlar!$B:$Q,9,0))</f>
        <v>Irak Soft</v>
      </c>
      <c r="S32" s="62">
        <f>IF(B32="","",VLOOKUP(AD32,Varsayımlar!$B:$Q,10,0))</f>
        <v>10</v>
      </c>
      <c r="T32" s="62">
        <f>IF(B32="","",VLOOKUP(AD32,Varsayımlar!$B:$Q,11,0))</f>
        <v>12</v>
      </c>
      <c r="U32" s="62">
        <f>IF(B32="","",VLOOKUP(AD32,Varsayımlar!$B:$Q,12,0))</f>
        <v>650</v>
      </c>
      <c r="V32" s="62" t="str">
        <f>IF(B32="","",VLOOKUP(AD32,Varsayımlar!$B:$Q,13,0))</f>
        <v>Yurtdışı</v>
      </c>
      <c r="W32" s="62">
        <f>IF(B32="","",VLOOKUP(AD32,Varsayımlar!$B:$Q,14,0))</f>
        <v>12</v>
      </c>
      <c r="X32" s="63"/>
      <c r="Y32" s="63"/>
      <c r="Z32" s="62"/>
      <c r="AA32" s="62" t="str">
        <f>IF(B32="","",VLOOKUP(AD32,Varsayımlar!$B:$Q,15,0))</f>
        <v>25cm Koli - Tortillas 650g Etiketli</v>
      </c>
      <c r="AB32" s="62" t="str">
        <f>IF(B32="","",VLOOKUP(AD32,Varsayımlar!$B:$Q,16,0))</f>
        <v>24-26 cm</v>
      </c>
      <c r="AC32" s="62">
        <f>IF(B32="","",VLOOKUP(Sayfa1!AD34,Varsayımlar!B:S,18,0))</f>
        <v>0</v>
      </c>
      <c r="AD32" s="57" t="str">
        <f t="shared" si="1"/>
        <v>ALDİ - KOSOVATortillas 25cm 10pcs 650g</v>
      </c>
    </row>
    <row r="33" spans="1:30" ht="31.5" x14ac:dyDescent="0.25">
      <c r="A33" s="8" t="s">
        <v>146</v>
      </c>
      <c r="B33" s="65" t="s">
        <v>288</v>
      </c>
      <c r="C33" s="3">
        <f>IF(B33="","",VLOOKUP(AD33,Varsayımlar!$B:$Q,3,0))</f>
        <v>8698829380698</v>
      </c>
      <c r="D33" s="3"/>
      <c r="E33" s="65" t="s">
        <v>289</v>
      </c>
      <c r="F33" s="64">
        <v>20201016</v>
      </c>
      <c r="G33" s="3" t="s">
        <v>68</v>
      </c>
      <c r="H33" s="64" t="str">
        <f>IF(B33="","",VLOOKUP(AD33,Varsayımlar!$B:$Q,5,0))</f>
        <v>Tortillas 25cm Tam Buğday</v>
      </c>
      <c r="I33" s="64" t="str">
        <f>IF(B33="","",VLOOKUP(AD33,Varsayımlar!B:T,19,0))</f>
        <v>Arka kısma İçerik</v>
      </c>
      <c r="J33" s="64" t="str">
        <f>IF(B33="","",VLOOKUP(AD33,Varsayımlar!$B:$Q,6,0))</f>
        <v>Tam Buğdaylı</v>
      </c>
      <c r="K33" s="64">
        <v>250</v>
      </c>
      <c r="L33" s="64"/>
      <c r="M33" s="64">
        <f>IFERROR(IF(B33="","",K33/VLOOKUP(AD33,Varsayımlar!B:R,17,0)),"")</f>
        <v>5</v>
      </c>
      <c r="N33" s="64"/>
      <c r="O33" s="64">
        <v>4</v>
      </c>
      <c r="P33" s="64">
        <f>IF(B33="","",VLOOKUP(AD33,Varsayımlar!$B:$Q,7,0)*K33)</f>
        <v>4500</v>
      </c>
      <c r="Q33" s="64">
        <f>IF(B33="","",VLOOKUP(AD33,Varsayımlar!$B:$Q,8,0))</f>
        <v>25</v>
      </c>
      <c r="R33" s="64" t="str">
        <f>IF(B33="","",VLOOKUP(AD33,Varsayımlar!$B:$Q,9,0))</f>
        <v>Irak Soft</v>
      </c>
      <c r="S33" s="64">
        <f>IF(B33="","",VLOOKUP(AD33,Varsayımlar!$B:$Q,10,0))</f>
        <v>6</v>
      </c>
      <c r="T33" s="64">
        <f>IF(B33="","",VLOOKUP(AD33,Varsayımlar!$B:$Q,11,0))</f>
        <v>18</v>
      </c>
      <c r="U33" s="64">
        <f>IF(B33="","",VLOOKUP(AD33,Varsayımlar!$B:$Q,12,0))</f>
        <v>390</v>
      </c>
      <c r="V33" s="64" t="str">
        <f>IF(B33="","",VLOOKUP(AD33,Varsayımlar!$B:$Q,13,0))</f>
        <v>YURTDIŞI</v>
      </c>
      <c r="W33" s="64">
        <f>IF(B33="","",VLOOKUP(AD33,Varsayımlar!$B:$Q,14,0))</f>
        <v>9</v>
      </c>
      <c r="X33" s="66"/>
      <c r="Y33" s="66"/>
      <c r="Z33" s="64"/>
      <c r="AA33" s="64" t="str">
        <f>IF(B33="","",VLOOKUP(AD33,Varsayımlar!$B:$Q,15,0))</f>
        <v>25cm Koli-Kazakça Etiketli</v>
      </c>
      <c r="AB33" s="64" t="str">
        <f>IF(B33="","",VLOOKUP(AD33,Varsayımlar!$B:$Q,16,0))</f>
        <v>24-26 cm</v>
      </c>
      <c r="AC33" s="64" t="str">
        <f>IF(B33="","",VLOOKUP(Sayfa1!AD40,Varsayımlar!B:S,18,0))</f>
        <v>80x120cm</v>
      </c>
      <c r="AD33" s="57" t="str">
        <f>IF(B33="","",CONCATENATE(B33,E33))</f>
        <v>UNITERA-KAZAKİSTANTortillas 25cm Tam Buğday 6pcs 390g</v>
      </c>
    </row>
    <row r="34" spans="1:30" ht="31.5" x14ac:dyDescent="0.25">
      <c r="A34" s="8" t="s">
        <v>147</v>
      </c>
      <c r="B34" s="65" t="s">
        <v>288</v>
      </c>
      <c r="C34" s="3">
        <f>IF(B34="","",VLOOKUP(AD34,Varsayımlar!$B:$Q,3,0))</f>
        <v>8698829380698</v>
      </c>
      <c r="D34" s="3"/>
      <c r="E34" s="65" t="s">
        <v>252</v>
      </c>
      <c r="F34" s="64">
        <v>20201016</v>
      </c>
      <c r="G34" s="3" t="s">
        <v>68</v>
      </c>
      <c r="H34" s="64" t="str">
        <f>IF(B34="","",VLOOKUP(AD34,Varsayımlar!$B:$Q,5,0))</f>
        <v>Tortillas 20cm Sade</v>
      </c>
      <c r="I34" s="64" t="str">
        <f>IF(B34="","",VLOOKUP(AD34,Varsayımlar!B:T,19,0))</f>
        <v>Arka kısma İçerik</v>
      </c>
      <c r="J34" s="64" t="str">
        <f>IF(B34="","",VLOOKUP(AD34,Varsayımlar!$B:$Q,6,0))</f>
        <v>SADE</v>
      </c>
      <c r="K34" s="64">
        <v>300</v>
      </c>
      <c r="L34" s="64"/>
      <c r="M34" s="64">
        <f>IFERROR(IF(B34="","",K34/VLOOKUP(AD34,Varsayımlar!B:R,17,0)),"")</f>
        <v>3</v>
      </c>
      <c r="N34" s="64"/>
      <c r="O34" s="64">
        <v>5</v>
      </c>
      <c r="P34" s="64">
        <f>IF(B34="","",VLOOKUP(AD34,Varsayımlar!$B:$Q,7,0)*K34)</f>
        <v>5400</v>
      </c>
      <c r="Q34" s="64">
        <f>IF(B34="","",VLOOKUP(AD34,Varsayımlar!$B:$Q,8,0))</f>
        <v>20</v>
      </c>
      <c r="R34" s="64" t="str">
        <f>IF(B34="","",VLOOKUP(AD34,Varsayımlar!$B:$Q,9,0))</f>
        <v>Irak Soft</v>
      </c>
      <c r="S34" s="64">
        <f>IF(B34="","",VLOOKUP(AD34,Varsayımlar!$B:$Q,10,0))</f>
        <v>6</v>
      </c>
      <c r="T34" s="64">
        <f>IF(B34="","",VLOOKUP(AD34,Varsayımlar!$B:$Q,11,0))</f>
        <v>18</v>
      </c>
      <c r="U34" s="64">
        <f>IF(B34="","",VLOOKUP(AD34,Varsayımlar!$B:$Q,12,0))</f>
        <v>270</v>
      </c>
      <c r="V34" s="64" t="str">
        <f>IF(B34="","",VLOOKUP(AD34,Varsayımlar!$B:$Q,13,0))</f>
        <v>YURTDIŞI</v>
      </c>
      <c r="W34" s="64">
        <f>IF(B34="","",VLOOKUP(AD34,Varsayımlar!$B:$Q,14,0))</f>
        <v>9</v>
      </c>
      <c r="X34" s="66"/>
      <c r="Y34" s="66"/>
      <c r="Z34" s="64"/>
      <c r="AA34" s="64" t="str">
        <f>IF(B34="","",VLOOKUP(AD34,Varsayımlar!$B:$Q,15,0))</f>
        <v>20cm Koli</v>
      </c>
      <c r="AB34" s="64" t="str">
        <f>IF(B34="","",VLOOKUP(AD34,Varsayımlar!$B:$Q,16,0))</f>
        <v>19-21cm</v>
      </c>
      <c r="AC34" s="64" t="str">
        <f>IF(B34="","",VLOOKUP(Sayfa1!AD41,Varsayımlar!B:S,18,0))</f>
        <v>80x120cm</v>
      </c>
      <c r="AD34" s="57" t="str">
        <f>IF(B34="","",CONCATENATE(B34,E34))</f>
        <v>UNITERA-KAZAKİSTANTortillas 20cm Sade 6pcs 270g</v>
      </c>
    </row>
    <row r="35" spans="1:30" ht="31.5" x14ac:dyDescent="0.25">
      <c r="A35" s="8" t="s">
        <v>148</v>
      </c>
      <c r="B35" s="65" t="s">
        <v>288</v>
      </c>
      <c r="C35" s="3">
        <f>IF(B35="","",VLOOKUP(AD35,Varsayımlar!$B:$Q,3,0))</f>
        <v>8698829380698</v>
      </c>
      <c r="D35" s="3"/>
      <c r="E35" s="65" t="s">
        <v>292</v>
      </c>
      <c r="F35" s="64">
        <v>20201016</v>
      </c>
      <c r="G35" s="3" t="s">
        <v>68</v>
      </c>
      <c r="H35" s="64" t="str">
        <f>IF(B35="","",VLOOKUP(AD35,Varsayımlar!$B:$Q,5,0))</f>
        <v>Kırmızı Tortillas 25cm Sade</v>
      </c>
      <c r="I35" s="64" t="str">
        <f>IF(B35="","",VLOOKUP(AD35,Varsayımlar!B:T,19,0))</f>
        <v>Arka kısma İçerik</v>
      </c>
      <c r="J35" s="64" t="str">
        <f>IF(B35="","",VLOOKUP(AD35,Varsayımlar!$B:$Q,6,0))</f>
        <v>SADE</v>
      </c>
      <c r="K35" s="64">
        <v>250</v>
      </c>
      <c r="L35" s="64"/>
      <c r="M35" s="64">
        <f>IFERROR(IF(B35="","",K35/VLOOKUP(AD35,Varsayımlar!B:R,17,0)),"")</f>
        <v>5</v>
      </c>
      <c r="N35" s="64"/>
      <c r="O35" s="64">
        <v>4</v>
      </c>
      <c r="P35" s="64">
        <f>IF(B35="","",VLOOKUP(AD35,Varsayımlar!$B:$Q,7,0)*K35)</f>
        <v>4500</v>
      </c>
      <c r="Q35" s="64">
        <f>IF(B35="","",VLOOKUP(AD35,Varsayımlar!$B:$Q,8,0))</f>
        <v>25</v>
      </c>
      <c r="R35" s="64" t="str">
        <f>IF(B35="","",VLOOKUP(AD35,Varsayımlar!$B:$Q,9,0))</f>
        <v>Irak Soft</v>
      </c>
      <c r="S35" s="64">
        <f>IF(B35="","",VLOOKUP(AD35,Varsayımlar!$B:$Q,10,0))</f>
        <v>6</v>
      </c>
      <c r="T35" s="64">
        <f>IF(B35="","",VLOOKUP(AD35,Varsayımlar!$B:$Q,11,0))</f>
        <v>18</v>
      </c>
      <c r="U35" s="64">
        <f>IF(B35="","",VLOOKUP(AD35,Varsayımlar!$B:$Q,12,0))</f>
        <v>390</v>
      </c>
      <c r="V35" s="64" t="str">
        <f>IF(B35="","",VLOOKUP(AD35,Varsayımlar!$B:$Q,13,0))</f>
        <v>YURTDIŞI</v>
      </c>
      <c r="W35" s="64">
        <f>IF(B35="","",VLOOKUP(AD35,Varsayımlar!$B:$Q,14,0))</f>
        <v>9</v>
      </c>
      <c r="X35" s="66"/>
      <c r="Y35" s="66"/>
      <c r="Z35" s="64"/>
      <c r="AA35" s="64" t="str">
        <f>IF(B35="","",VLOOKUP(AD35,Varsayımlar!$B:$Q,15,0))</f>
        <v>25cm Koli</v>
      </c>
      <c r="AB35" s="64" t="str">
        <f>IF(B35="","",VLOOKUP(AD35,Varsayımlar!$B:$Q,16,0))</f>
        <v>24-26 cm</v>
      </c>
      <c r="AC35" s="64" t="str">
        <f>IF(B35="","",VLOOKUP(Sayfa1!AD42,Varsayımlar!B:S,18,0))</f>
        <v>80x120cm</v>
      </c>
      <c r="AD35" s="57" t="str">
        <f>IF(B35="","",CONCATENATE(B35,E35))</f>
        <v>UNITERA-KAZAKİSTANKırmızı Tortillas 25cm Sade 6pcs 390g</v>
      </c>
    </row>
    <row r="36" spans="1:30" ht="78.75" x14ac:dyDescent="0.25">
      <c r="A36" s="8" t="s">
        <v>149</v>
      </c>
      <c r="B36" s="74" t="s">
        <v>218</v>
      </c>
      <c r="C36" s="43">
        <f>IF(B36="","",VLOOKUP(AD36,Varsayımlar!$B:$Q,3,0))</f>
        <v>8698829380698</v>
      </c>
      <c r="D36" s="43" t="s">
        <v>161</v>
      </c>
      <c r="E36" s="74" t="s">
        <v>222</v>
      </c>
      <c r="F36" s="75" t="s">
        <v>341</v>
      </c>
      <c r="G36" s="43"/>
      <c r="H36" s="75" t="str">
        <f>IF(B36="","",VLOOKUP(AD36,Varsayımlar!$B:$Q,5,0))</f>
        <v xml:space="preserve">Tortillas 30cm Tam Buğday </v>
      </c>
      <c r="I36" s="75" t="str">
        <f>IF(B36="","",VLOOKUP(AD36,Varsayımlar!B:T,19,0))</f>
        <v>Barkod üzerine-Bulgarca Barkodlu TB içerik etiketi (029)</v>
      </c>
      <c r="J36" s="75" t="str">
        <f>IF(B36="","",VLOOKUP(AD36,Varsayımlar!$B:$Q,6,0))</f>
        <v>Tam Buğdaylı</v>
      </c>
      <c r="K36" s="75">
        <v>60</v>
      </c>
      <c r="L36" s="75"/>
      <c r="M36" s="75">
        <f>IFERROR(IF(B36="","",K36/VLOOKUP(AD36,Varsayımlar!B:R,17,0)),"")</f>
        <v>1</v>
      </c>
      <c r="N36" s="75"/>
      <c r="O36" s="75">
        <v>1</v>
      </c>
      <c r="P36" s="75">
        <f>IF(B36="","",VLOOKUP(AD36,Varsayımlar!$B:$Q,7,0)*K36)</f>
        <v>360</v>
      </c>
      <c r="Q36" s="75">
        <f>IF(B36="","",VLOOKUP(AD36,Varsayımlar!$B:$Q,8,0))</f>
        <v>30</v>
      </c>
      <c r="R36" s="75" t="str">
        <f>IF(B36="","",VLOOKUP(AD36,Varsayımlar!$B:$Q,9,0))</f>
        <v>Irak Soft</v>
      </c>
      <c r="S36" s="75">
        <f>IF(B36="","",VLOOKUP(AD36,Varsayımlar!$B:$Q,10,0))</f>
        <v>18</v>
      </c>
      <c r="T36" s="75">
        <f>IF(B36="","",VLOOKUP(AD36,Varsayımlar!$B:$Q,11,0))</f>
        <v>6</v>
      </c>
      <c r="U36" s="75">
        <f>IF(B36="","",VLOOKUP(AD36,Varsayımlar!$B:$Q,12,0))</f>
        <v>1620</v>
      </c>
      <c r="V36" s="75" t="str">
        <f>IF(B36="","",VLOOKUP(AD36,Varsayımlar!$B:$Q,13,0))</f>
        <v>Yurtdışı</v>
      </c>
      <c r="W36" s="75">
        <f>IF(B36="","",VLOOKUP(AD36,Varsayımlar!$B:$Q,14,0))</f>
        <v>9</v>
      </c>
      <c r="X36" s="76"/>
      <c r="Y36" s="76"/>
      <c r="Z36" s="75"/>
      <c r="AA36" s="75" t="str">
        <f>IF(B36="","",VLOOKUP(AD36,Varsayımlar!$B:$Q,15,0))</f>
        <v>30cm Lacivert Koli- Bulgarca TB Etiket</v>
      </c>
      <c r="AB36" s="75" t="str">
        <f>IF(B36="","",VLOOKUP(AD36,Varsayımlar!$B:$Q,16,0))</f>
        <v>29-31 cm</v>
      </c>
      <c r="AC36" s="75" t="str">
        <f>IF(B36="","",VLOOKUP(Sayfa1!AD20,Varsayımlar!B:S,18,0))</f>
        <v>95x130cm</v>
      </c>
      <c r="AD36" s="57" t="str">
        <f t="shared" si="0"/>
        <v>TASTE LAND-BULGARİSTANTortillas 30cm Tam Buğday 18pcs 1620g</v>
      </c>
    </row>
    <row r="37" spans="1:30" ht="47.25" x14ac:dyDescent="0.25">
      <c r="A37" s="8" t="s">
        <v>150</v>
      </c>
      <c r="B37" s="74" t="s">
        <v>218</v>
      </c>
      <c r="C37" s="43">
        <f>IF(B37="","",VLOOKUP(AD37,Varsayımlar!$B:$Q,3,0))</f>
        <v>8698829380698</v>
      </c>
      <c r="D37" s="43" t="s">
        <v>161</v>
      </c>
      <c r="E37" s="74" t="s">
        <v>252</v>
      </c>
      <c r="F37" s="75" t="s">
        <v>341</v>
      </c>
      <c r="G37" s="43"/>
      <c r="H37" s="75" t="str">
        <f>IF(B37="","",VLOOKUP(AD37,Varsayımlar!$B:$Q,5,0))</f>
        <v xml:space="preserve">Tortillas 20cm Sade </v>
      </c>
      <c r="I37" s="75" t="str">
        <f>IF(B37="","",VLOOKUP(AD37,Varsayımlar!B:T,19,0))</f>
        <v>Barkod üzerine Barkod Etiketi (104)</v>
      </c>
      <c r="J37" s="75" t="str">
        <f>IF(B37="","",VLOOKUP(AD37,Varsayımlar!$B:$Q,6,0))</f>
        <v>SADE</v>
      </c>
      <c r="K37" s="75">
        <v>120</v>
      </c>
      <c r="L37" s="75"/>
      <c r="M37" s="75">
        <f>IFERROR(IF(B37="","",K37/VLOOKUP(AD37,Varsayımlar!B:R,17,0)),"")</f>
        <v>1</v>
      </c>
      <c r="N37" s="75"/>
      <c r="O37" s="75">
        <v>2</v>
      </c>
      <c r="P37" s="75">
        <f>IF(B37="","",VLOOKUP(AD37,Varsayımlar!$B:$Q,7,0)*K37)</f>
        <v>2160</v>
      </c>
      <c r="Q37" s="75">
        <f>IF(B37="","",VLOOKUP(AD37,Varsayımlar!$B:$Q,8,0))</f>
        <v>20</v>
      </c>
      <c r="R37" s="75" t="str">
        <f>IF(B37="","",VLOOKUP(AD37,Varsayımlar!$B:$Q,9,0))</f>
        <v>Irak Soft</v>
      </c>
      <c r="S37" s="75">
        <f>IF(B37="","",VLOOKUP(AD37,Varsayımlar!$B:$Q,10,0))</f>
        <v>6</v>
      </c>
      <c r="T37" s="75">
        <f>IF(B37="","",VLOOKUP(AD37,Varsayımlar!$B:$Q,11,0))</f>
        <v>18</v>
      </c>
      <c r="U37" s="75">
        <f>IF(B37="","",VLOOKUP(AD37,Varsayımlar!$B:$Q,12,0))</f>
        <v>270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/>
      <c r="Y37" s="76"/>
      <c r="Z37" s="75"/>
      <c r="AA37" s="75" t="str">
        <f>IF(B37="","",VLOOKUP(AD37,Varsayımlar!$B:$Q,15,0))</f>
        <v>20cm Lacivert-Bulgarca Etiket</v>
      </c>
      <c r="AB37" s="75" t="str">
        <f>IF(B37="","",VLOOKUP(AD37,Varsayımlar!$B:$Q,16,0))</f>
        <v>19-21 cm</v>
      </c>
      <c r="AC37" s="75" t="str">
        <f>IF(B37="","",VLOOKUP(Sayfa1!AD21,Varsayımlar!B:S,18,0))</f>
        <v>100x120cm-Epal+Epal</v>
      </c>
      <c r="AD37" s="57" t="str">
        <f t="shared" si="0"/>
        <v>TASTE LAND-BULGARİSTANTortillas 20cm Sade 6pcs 270g</v>
      </c>
    </row>
    <row r="38" spans="1:30" ht="47.25" x14ac:dyDescent="0.25">
      <c r="A38" s="8" t="s">
        <v>151</v>
      </c>
      <c r="B38" s="55" t="s">
        <v>268</v>
      </c>
      <c r="C38" s="39">
        <f>IF(B38="","",VLOOKUP(AD38,Varsayımlar!$B:$Q,3,0))</f>
        <v>8698829380698</v>
      </c>
      <c r="D38" s="39" t="s">
        <v>160</v>
      </c>
      <c r="E38" s="55" t="s">
        <v>342</v>
      </c>
      <c r="F38" s="54" t="s">
        <v>343</v>
      </c>
      <c r="G38" s="39" t="s">
        <v>68</v>
      </c>
      <c r="H38" s="54" t="str">
        <f>IF(B38="","",VLOOKUP(AD38,Varsayımlar!$B:$Q,5,0))</f>
        <v>Tortillas 25cm Sade</v>
      </c>
      <c r="I38" s="54">
        <f>IF(B38="","",VLOOKUP(AD38,Varsayımlar!B:T,19,0))</f>
        <v>0</v>
      </c>
      <c r="J38" s="54" t="str">
        <f>IF(B38="","",VLOOKUP(AD38,Varsayımlar!$B:$Q,6,0))</f>
        <v>SADE</v>
      </c>
      <c r="K38" s="54">
        <v>420</v>
      </c>
      <c r="L38" s="54"/>
      <c r="M38" s="54">
        <f>IFERROR(IF(B38="","",K38/VLOOKUP(AD38,Varsayımlar!B:R,17,0)),"")</f>
        <v>5</v>
      </c>
      <c r="N38" s="54"/>
      <c r="O38" s="54">
        <v>7</v>
      </c>
      <c r="P38" s="54">
        <f>IF(B38="","",VLOOKUP(AD38,Varsayımlar!$B:$Q,7,0)*K38)</f>
        <v>12600</v>
      </c>
      <c r="Q38" s="54">
        <f>IF(B38="","",VLOOKUP(AD38,Varsayımlar!$B:$Q,8,0))</f>
        <v>25</v>
      </c>
      <c r="R38" s="54" t="str">
        <f>IF(B38="","",VLOOKUP(AD38,Varsayımlar!$B:$Q,9,0))</f>
        <v>Soft-PA3</v>
      </c>
      <c r="S38" s="54">
        <f>IF(B38="","",VLOOKUP(AD38,Varsayımlar!$B:$Q,10,0))</f>
        <v>4</v>
      </c>
      <c r="T38" s="54">
        <f>IF(B38="","",VLOOKUP(AD38,Varsayımlar!$B:$Q,11,0))</f>
        <v>30</v>
      </c>
      <c r="U38" s="54">
        <f>IF(B38="","",VLOOKUP(AD38,Varsayımlar!$B:$Q,12,0))</f>
        <v>240</v>
      </c>
      <c r="V38" s="54" t="str">
        <f>IF(B38="","",VLOOKUP(AD38,Varsayımlar!$B:$Q,13,0))</f>
        <v>Yurtdışı</v>
      </c>
      <c r="W38" s="54">
        <f>IF(B38="","",VLOOKUP(AD38,Varsayımlar!$B:$Q,14,0))</f>
        <v>12</v>
      </c>
      <c r="X38" s="56"/>
      <c r="Y38" s="56"/>
      <c r="Z38" s="54"/>
      <c r="AA38" s="54" t="str">
        <f>IF(B38="","",VLOOKUP(AD38,Varsayımlar!$B:$Q,15,0))</f>
        <v>25cm Kolisi-Etiketli</v>
      </c>
      <c r="AB38" s="54" t="str">
        <f>IF(B38="","",VLOOKUP(AD38,Varsayımlar!$B:$Q,16,0))</f>
        <v>24-26 cm (Macca Hetto Inkjet Uzun Tarih)</v>
      </c>
      <c r="AC38" s="54" t="str">
        <f>IF(B38="","",VLOOKUP(Sayfa1!AD35,Varsayımlar!B:S,18,0))</f>
        <v>80x120cm</v>
      </c>
      <c r="AD38" s="57" t="str">
        <f t="shared" si="0"/>
        <v>LAIKYUZHN-BELARUSTortillas 25cm Sade 4pcs 240g</v>
      </c>
    </row>
    <row r="39" spans="1:30" ht="47.25" x14ac:dyDescent="0.25">
      <c r="A39" s="8" t="s">
        <v>152</v>
      </c>
      <c r="B39" s="55" t="s">
        <v>268</v>
      </c>
      <c r="C39" s="39">
        <f>IF(B39="","",VLOOKUP(AD39,Varsayımlar!$B:$Q,3,0))</f>
        <v>8698829380698</v>
      </c>
      <c r="D39" s="39" t="s">
        <v>160</v>
      </c>
      <c r="E39" s="55" t="s">
        <v>269</v>
      </c>
      <c r="F39" s="54" t="s">
        <v>343</v>
      </c>
      <c r="G39" s="39" t="s">
        <v>68</v>
      </c>
      <c r="H39" s="54" t="str">
        <f>IF(B39="","",VLOOKUP(AD39,Varsayımlar!$B:$Q,5,0))</f>
        <v>Tortillas 25cm Tam Buğday</v>
      </c>
      <c r="I39" s="54">
        <f>IF(B39="","",VLOOKUP(AD39,Varsayımlar!B:T,19,0))</f>
        <v>0</v>
      </c>
      <c r="J39" s="54" t="str">
        <f>IF(B39="","",VLOOKUP(AD39,Varsayımlar!$B:$Q,6,0))</f>
        <v>Tam Buğdaylı</v>
      </c>
      <c r="K39" s="54">
        <v>336</v>
      </c>
      <c r="L39" s="54"/>
      <c r="M39" s="54">
        <f>IFERROR(IF(B39="","",K39/VLOOKUP(AD39,Varsayımlar!B:R,17,0)),"")</f>
        <v>4</v>
      </c>
      <c r="N39" s="54"/>
      <c r="O39" s="54">
        <v>6</v>
      </c>
      <c r="P39" s="54">
        <f>IF(B39="","",VLOOKUP(AD39,Varsayımlar!$B:$Q,7,0)*K39)</f>
        <v>10080</v>
      </c>
      <c r="Q39" s="54">
        <f>IF(B39="","",VLOOKUP(AD39,Varsayımlar!$B:$Q,8,0))</f>
        <v>25</v>
      </c>
      <c r="R39" s="54" t="str">
        <f>IF(B39="","",VLOOKUP(AD39,Varsayımlar!$B:$Q,9,0))</f>
        <v>Soft-PA3</v>
      </c>
      <c r="S39" s="54">
        <f>IF(B39="","",VLOOKUP(AD39,Varsayımlar!$B:$Q,10,0))</f>
        <v>4</v>
      </c>
      <c r="T39" s="54">
        <f>IF(B39="","",VLOOKUP(AD39,Varsayımlar!$B:$Q,11,0))</f>
        <v>30</v>
      </c>
      <c r="U39" s="54">
        <f>IF(B39="","",VLOOKUP(AD39,Varsayımlar!$B:$Q,12,0))</f>
        <v>240</v>
      </c>
      <c r="V39" s="54" t="str">
        <f>IF(B39="","",VLOOKUP(AD39,Varsayımlar!$B:$Q,13,0))</f>
        <v>Yurtdışı</v>
      </c>
      <c r="W39" s="54">
        <f>IF(B39="","",VLOOKUP(AD39,Varsayımlar!$B:$Q,14,0))</f>
        <v>12</v>
      </c>
      <c r="X39" s="56"/>
      <c r="Y39" s="56"/>
      <c r="Z39" s="54"/>
      <c r="AA39" s="54" t="str">
        <f>IF(B39="","",VLOOKUP(AD39,Varsayımlar!$B:$Q,15,0))</f>
        <v>25cm Kolisi-Etiketli</v>
      </c>
      <c r="AB39" s="54" t="str">
        <f>IF(B39="","",VLOOKUP(AD39,Varsayımlar!$B:$Q,16,0))</f>
        <v>24-26 cm (Macca Hetto Inkjet Uzun Tarih)</v>
      </c>
      <c r="AC39" s="54" t="str">
        <f>IF(B39="","",VLOOKUP(Sayfa1!AD36,Varsayımlar!B:S,18,0))</f>
        <v>80x120cm</v>
      </c>
      <c r="AD39" s="57" t="str">
        <f t="shared" si="0"/>
        <v>LAIKYUZHN-BELARUSTortillas 25cm Tam buğday 4pcs 240g</v>
      </c>
    </row>
    <row r="40" spans="1:30" ht="47.25" x14ac:dyDescent="0.25">
      <c r="A40" s="8" t="s">
        <v>153</v>
      </c>
      <c r="B40" s="55" t="s">
        <v>268</v>
      </c>
      <c r="C40" s="39">
        <f>IF(B40="","",VLOOKUP(AD40,Varsayımlar!$B:$Q,3,0))</f>
        <v>8698829380698</v>
      </c>
      <c r="D40" s="39" t="s">
        <v>160</v>
      </c>
      <c r="E40" s="55" t="s">
        <v>274</v>
      </c>
      <c r="F40" s="54" t="s">
        <v>343</v>
      </c>
      <c r="G40" s="39" t="s">
        <v>68</v>
      </c>
      <c r="H40" s="54" t="str">
        <f>IF(B40="","",VLOOKUP(AD40,Varsayımlar!$B:$Q,5,0))</f>
        <v>Tortillas 25cm Domatesli</v>
      </c>
      <c r="I40" s="54">
        <f>IF(B40="","",VLOOKUP(AD40,Varsayımlar!B:T,19,0))</f>
        <v>0</v>
      </c>
      <c r="J40" s="54" t="str">
        <f>IF(B40="","",VLOOKUP(AD40,Varsayımlar!$B:$Q,6,0))</f>
        <v>Domatesli</v>
      </c>
      <c r="K40" s="54">
        <v>420</v>
      </c>
      <c r="L40" s="54"/>
      <c r="M40" s="54">
        <f>IFERROR(IF(B40="","",K40/VLOOKUP(AD40,Varsayımlar!B:R,17,0)),"")</f>
        <v>5</v>
      </c>
      <c r="N40" s="54"/>
      <c r="O40" s="54">
        <v>7</v>
      </c>
      <c r="P40" s="54">
        <f>IF(B40="","",VLOOKUP(AD40,Varsayımlar!$B:$Q,7,0)*K40)</f>
        <v>12600</v>
      </c>
      <c r="Q40" s="54">
        <f>IF(B40="","",VLOOKUP(AD40,Varsayımlar!$B:$Q,8,0))</f>
        <v>25</v>
      </c>
      <c r="R40" s="54" t="str">
        <f>IF(B40="","",VLOOKUP(AD40,Varsayımlar!$B:$Q,9,0))</f>
        <v>Soft-PA3</v>
      </c>
      <c r="S40" s="54">
        <f>IF(B40="","",VLOOKUP(AD40,Varsayımlar!$B:$Q,10,0))</f>
        <v>4</v>
      </c>
      <c r="T40" s="54">
        <f>IF(B40="","",VLOOKUP(AD40,Varsayımlar!$B:$Q,11,0))</f>
        <v>30</v>
      </c>
      <c r="U40" s="54">
        <f>IF(B40="","",VLOOKUP(AD40,Varsayımlar!$B:$Q,12,0))</f>
        <v>240</v>
      </c>
      <c r="V40" s="54" t="str">
        <f>IF(B40="","",VLOOKUP(AD40,Varsayımlar!$B:$Q,13,0))</f>
        <v>Yurtdışı</v>
      </c>
      <c r="W40" s="54">
        <f>IF(B40="","",VLOOKUP(AD40,Varsayımlar!$B:$Q,14,0))</f>
        <v>12</v>
      </c>
      <c r="X40" s="56"/>
      <c r="Y40" s="56"/>
      <c r="Z40" s="54"/>
      <c r="AA40" s="54" t="str">
        <f>IF(B40="","",VLOOKUP(AD40,Varsayımlar!$B:$Q,15,0))</f>
        <v>25cm Kolisi-Etiketli</v>
      </c>
      <c r="AB40" s="54" t="str">
        <f>IF(B40="","",VLOOKUP(AD40,Varsayımlar!$B:$Q,16,0))</f>
        <v>24-26 cm (Macca Hetto Inkjet Uzun Tarih)</v>
      </c>
      <c r="AC40" s="54" t="str">
        <f>IF(B40="","",VLOOKUP(Sayfa1!AD37,Varsayımlar!B:S,18,0))</f>
        <v>80x120cm</v>
      </c>
      <c r="AD40" s="57" t="str">
        <f t="shared" si="0"/>
        <v>LAIKYUZHN-BELARUSTortillas 25cm Domatesli 4pcs 240g</v>
      </c>
    </row>
    <row r="41" spans="1:30" ht="47.25" x14ac:dyDescent="0.25">
      <c r="A41" s="8" t="s">
        <v>154</v>
      </c>
      <c r="B41" s="55" t="s">
        <v>268</v>
      </c>
      <c r="C41" s="39">
        <f>IF(B41="","",VLOOKUP(AD41,Varsayımlar!$B:$Q,3,0))</f>
        <v>8698829380698</v>
      </c>
      <c r="D41" s="39" t="s">
        <v>160</v>
      </c>
      <c r="E41" s="55" t="s">
        <v>276</v>
      </c>
      <c r="F41" s="54" t="s">
        <v>343</v>
      </c>
      <c r="G41" s="39" t="s">
        <v>68</v>
      </c>
      <c r="H41" s="54" t="str">
        <f>IF(B41="","",VLOOKUP(AD41,Varsayımlar!$B:$Q,5,0))</f>
        <v>Tortillas 25cm Ispanaklı</v>
      </c>
      <c r="I41" s="54">
        <f>IF(B41="","",VLOOKUP(AD41,Varsayımlar!B:T,19,0))</f>
        <v>0</v>
      </c>
      <c r="J41" s="54" t="str">
        <f>IF(B41="","",VLOOKUP(AD41,Varsayımlar!$B:$Q,6,0))</f>
        <v>Ispanaklı</v>
      </c>
      <c r="K41" s="54">
        <v>336</v>
      </c>
      <c r="L41" s="54"/>
      <c r="M41" s="54">
        <f>IFERROR(IF(B41="","",K41/VLOOKUP(AD41,Varsayımlar!B:R,17,0)),"")</f>
        <v>4</v>
      </c>
      <c r="N41" s="54"/>
      <c r="O41" s="54">
        <v>6</v>
      </c>
      <c r="P41" s="54">
        <f>IF(B41="","",VLOOKUP(AD41,Varsayımlar!$B:$Q,7,0)*K41)</f>
        <v>10080</v>
      </c>
      <c r="Q41" s="54">
        <f>IF(B41="","",VLOOKUP(AD41,Varsayımlar!$B:$Q,8,0))</f>
        <v>25</v>
      </c>
      <c r="R41" s="54" t="str">
        <f>IF(B41="","",VLOOKUP(AD41,Varsayımlar!$B:$Q,9,0))</f>
        <v>Soft-PA3</v>
      </c>
      <c r="S41" s="54">
        <f>IF(B41="","",VLOOKUP(AD41,Varsayımlar!$B:$Q,10,0))</f>
        <v>4</v>
      </c>
      <c r="T41" s="54">
        <f>IF(B41="","",VLOOKUP(AD41,Varsayımlar!$B:$Q,11,0))</f>
        <v>30</v>
      </c>
      <c r="U41" s="54">
        <f>IF(B41="","",VLOOKUP(AD41,Varsayımlar!$B:$Q,12,0))</f>
        <v>240</v>
      </c>
      <c r="V41" s="54" t="str">
        <f>IF(B41="","",VLOOKUP(AD41,Varsayımlar!$B:$Q,13,0))</f>
        <v>Yurtdışı</v>
      </c>
      <c r="W41" s="54">
        <f>IF(B41="","",VLOOKUP(AD41,Varsayımlar!$B:$Q,14,0))</f>
        <v>12</v>
      </c>
      <c r="X41" s="56"/>
      <c r="Y41" s="56"/>
      <c r="Z41" s="54"/>
      <c r="AA41" s="54" t="str">
        <f>IF(B41="","",VLOOKUP(AD41,Varsayımlar!$B:$Q,15,0))</f>
        <v>25cm Kolisi-Etiketli</v>
      </c>
      <c r="AB41" s="54" t="str">
        <f>IF(B41="","",VLOOKUP(AD41,Varsayımlar!$B:$Q,16,0))</f>
        <v>24-26 cm (Macca Hetto Inkjet Uzun Tarih)</v>
      </c>
      <c r="AC41" s="54" t="str">
        <f>IF(B41="","",VLOOKUP(Sayfa1!AD38,Varsayımlar!B:S,18,0))</f>
        <v>80x120cm</v>
      </c>
      <c r="AD41" s="57" t="str">
        <f t="shared" si="0"/>
        <v>LAIKYUZHN-BELARUSTortillas 25cm Ispanaklı 4pcs 240g</v>
      </c>
    </row>
    <row r="42" spans="1:30" ht="47.25" x14ac:dyDescent="0.25">
      <c r="A42" s="8" t="s">
        <v>155</v>
      </c>
      <c r="B42" s="55" t="s">
        <v>268</v>
      </c>
      <c r="C42" s="39">
        <f>IF(B42="","",VLOOKUP(AD42,Varsayımlar!$B:$Q,3,0))</f>
        <v>8698829380698</v>
      </c>
      <c r="D42" s="39" t="s">
        <v>160</v>
      </c>
      <c r="E42" s="55" t="s">
        <v>278</v>
      </c>
      <c r="F42" s="54" t="s">
        <v>343</v>
      </c>
      <c r="G42" s="39" t="s">
        <v>68</v>
      </c>
      <c r="H42" s="54" t="str">
        <f>IF(B42="","",VLOOKUP(AD42,Varsayımlar!$B:$Q,5,0))</f>
        <v>Magnit Tortillas 25cm Peynirli</v>
      </c>
      <c r="I42" s="54" t="str">
        <f>IF(B42="","",VLOOKUP(AD42,Varsayımlar!B:T,19,0))</f>
        <v>Etiketli</v>
      </c>
      <c r="J42" s="54" t="str">
        <f>IF(B42="","",VLOOKUP(AD42,Varsayımlar!$B:$Q,6,0))</f>
        <v>Peynirli</v>
      </c>
      <c r="K42" s="54">
        <v>504</v>
      </c>
      <c r="L42" s="54"/>
      <c r="M42" s="54">
        <f>IFERROR(IF(B42="","",K42/VLOOKUP(AD42,Varsayımlar!B:R,17,0)),"")</f>
        <v>6</v>
      </c>
      <c r="N42" s="54"/>
      <c r="O42" s="54">
        <v>9</v>
      </c>
      <c r="P42" s="54">
        <f>IF(B42="","",VLOOKUP(AD42,Varsayımlar!$B:$Q,7,0)*K42)</f>
        <v>15120</v>
      </c>
      <c r="Q42" s="54">
        <f>IF(B42="","",VLOOKUP(AD42,Varsayımlar!$B:$Q,8,0))</f>
        <v>25</v>
      </c>
      <c r="R42" s="54" t="str">
        <f>IF(B42="","",VLOOKUP(AD42,Varsayımlar!$B:$Q,9,0))</f>
        <v>Soft-PA3-AT</v>
      </c>
      <c r="S42" s="54">
        <f>IF(B42="","",VLOOKUP(AD42,Varsayımlar!$B:$Q,10,0))</f>
        <v>4</v>
      </c>
      <c r="T42" s="54">
        <f>IF(B42="","",VLOOKUP(AD42,Varsayımlar!$B:$Q,11,0))</f>
        <v>30</v>
      </c>
      <c r="U42" s="54">
        <f>IF(B42="","",VLOOKUP(AD42,Varsayımlar!$B:$Q,12,0))</f>
        <v>250</v>
      </c>
      <c r="V42" s="54" t="str">
        <f>IF(B42="","",VLOOKUP(AD42,Varsayımlar!$B:$Q,13,0))</f>
        <v>Yurtdışı</v>
      </c>
      <c r="W42" s="54">
        <f>IF(B42="","",VLOOKUP(AD42,Varsayımlar!$B:$Q,14,0))</f>
        <v>9</v>
      </c>
      <c r="X42" s="56"/>
      <c r="Y42" s="56"/>
      <c r="Z42" s="54"/>
      <c r="AA42" s="54" t="str">
        <f>IF(B42="","",VLOOKUP(AD42,Varsayımlar!$B:$Q,15,0))</f>
        <v>25cm Kolisi-Etiketli</v>
      </c>
      <c r="AB42" s="54" t="str">
        <f>IF(B42="","",VLOOKUP(AD42,Varsayımlar!$B:$Q,16,0))</f>
        <v>24-26 cm (Macca Hetto Inkjet Uzun Tarih)</v>
      </c>
      <c r="AC42" s="54" t="str">
        <f>IF(B42="","",VLOOKUP(Sayfa1!AD39,Varsayımlar!B:S,18,0))</f>
        <v>80x120cm</v>
      </c>
      <c r="AD42" s="57" t="str">
        <f t="shared" si="0"/>
        <v>LAIKYUZHN-BELARUSMagnit Tortillas 25cm Peynirli 4pcs 240g</v>
      </c>
    </row>
    <row r="43" spans="1:30" x14ac:dyDescent="0.25">
      <c r="A43" s="8" t="s">
        <v>156</v>
      </c>
      <c r="B43" s="64"/>
      <c r="C43" s="3" t="str">
        <f>IF(B43="","",VLOOKUP(AD43,Varsayımlar!$B:$Q,3,0))</f>
        <v/>
      </c>
      <c r="D43" s="3"/>
      <c r="E43" s="3"/>
      <c r="F43" s="64"/>
      <c r="G43" s="3"/>
      <c r="H43" s="64" t="str">
        <f>IF(B43="","",VLOOKUP(AD43,Varsayımlar!$B:$Q,5,0))</f>
        <v/>
      </c>
      <c r="I43" s="64" t="str">
        <f>IF(B43="","",VLOOKUP(AD43,Varsayımlar!B:T,19,0))</f>
        <v/>
      </c>
      <c r="J43" s="64" t="str">
        <f>IF(B43="","",VLOOKUP(AD43,Varsayımlar!$B:$Q,6,0))</f>
        <v/>
      </c>
      <c r="K43" s="64"/>
      <c r="L43" s="64"/>
      <c r="M43" s="64" t="str">
        <f>IFERROR(IF(B43="","",K43/VLOOKUP(AD43,Varsayımlar!B:R,17,0)),"")</f>
        <v/>
      </c>
      <c r="N43" s="64"/>
      <c r="O43" s="64"/>
      <c r="P43" s="64" t="str">
        <f>IF(B43="","",VLOOKUP(AD43,Varsayımlar!$B:$Q,7,0)*K43)</f>
        <v/>
      </c>
      <c r="Q43" s="64" t="str">
        <f>IF(B43="","",VLOOKUP(AD43,Varsayımlar!$B:$Q,8,0))</f>
        <v/>
      </c>
      <c r="R43" s="64" t="str">
        <f>IF(B43="","",VLOOKUP(AD43,Varsayımlar!$B:$Q,9,0))</f>
        <v/>
      </c>
      <c r="S43" s="64" t="str">
        <f>IF(B43="","",VLOOKUP(AD43,Varsayımlar!$B:$Q,10,0))</f>
        <v/>
      </c>
      <c r="T43" s="64" t="str">
        <f>IF(B43="","",VLOOKUP(AD43,Varsayımlar!$B:$Q,11,0))</f>
        <v/>
      </c>
      <c r="U43" s="64" t="str">
        <f>IF(B43="","",VLOOKUP(AD43,Varsayımlar!$B:$Q,12,0))</f>
        <v/>
      </c>
      <c r="V43" s="64" t="str">
        <f>IF(B43="","",VLOOKUP(AD43,Varsayımlar!$B:$Q,13,0))</f>
        <v/>
      </c>
      <c r="W43" s="64" t="str">
        <f>IF(B43="","",VLOOKUP(AD43,Varsayımlar!$B:$Q,14,0))</f>
        <v/>
      </c>
      <c r="X43" s="66"/>
      <c r="Y43" s="66"/>
      <c r="Z43" s="64"/>
      <c r="AA43" s="64" t="str">
        <f>IF(B43="","",VLOOKUP(AD43,Varsayımlar!$B:$Q,15,0))</f>
        <v/>
      </c>
      <c r="AB43" s="64" t="str">
        <f>IF(B43="","",VLOOKUP(AD43,Varsayımlar!$B:$Q,16,0))</f>
        <v/>
      </c>
      <c r="AC43" s="64" t="str">
        <f>IF(B43="","",VLOOKUP(Sayfa1!AD43,Varsayımlar!B:S,18,0))</f>
        <v/>
      </c>
      <c r="AD43" s="57" t="str">
        <f t="shared" si="0"/>
        <v/>
      </c>
    </row>
    <row r="44" spans="1:30" x14ac:dyDescent="0.25">
      <c r="A44" s="8" t="s">
        <v>157</v>
      </c>
      <c r="B44" s="64"/>
      <c r="C44" s="3" t="str">
        <f>IF(B44="","",VLOOKUP(AD44,Varsayımlar!$B:$Q,3,0))</f>
        <v/>
      </c>
      <c r="D44" s="3"/>
      <c r="E44" s="3"/>
      <c r="F44" s="64"/>
      <c r="G44" s="3"/>
      <c r="H44" s="64" t="str">
        <f>IF(B44="","",VLOOKUP(AD44,Varsayımlar!$B:$Q,5,0))</f>
        <v/>
      </c>
      <c r="I44" s="64" t="str">
        <f>IF(B44="","",VLOOKUP(AD44,Varsayımlar!B:T,19,0))</f>
        <v/>
      </c>
      <c r="J44" s="64" t="str">
        <f>IF(B44="","",VLOOKUP(AD44,Varsayımlar!$B:$Q,6,0))</f>
        <v/>
      </c>
      <c r="K44" s="64"/>
      <c r="L44" s="64"/>
      <c r="M44" s="64" t="str">
        <f>IFERROR(IF(B44="","",K44/VLOOKUP(AD44,Varsayımlar!B:R,17,0)),"")</f>
        <v/>
      </c>
      <c r="N44" s="64"/>
      <c r="O44" s="64"/>
      <c r="P44" s="64" t="str">
        <f>IF(B44="","",VLOOKUP(AD44,Varsayımlar!$B:$Q,7,0)*K44)</f>
        <v/>
      </c>
      <c r="Q44" s="64" t="str">
        <f>IF(B44="","",VLOOKUP(AD44,Varsayımlar!$B:$Q,8,0))</f>
        <v/>
      </c>
      <c r="R44" s="64" t="str">
        <f>IF(B44="","",VLOOKUP(AD44,Varsayımlar!$B:$Q,9,0))</f>
        <v/>
      </c>
      <c r="S44" s="64" t="str">
        <f>IF(B44="","",VLOOKUP(AD44,Varsayımlar!$B:$Q,10,0))</f>
        <v/>
      </c>
      <c r="T44" s="64" t="str">
        <f>IF(B44="","",VLOOKUP(AD44,Varsayımlar!$B:$Q,11,0))</f>
        <v/>
      </c>
      <c r="U44" s="64" t="str">
        <f>IF(B44="","",VLOOKUP(AD44,Varsayımlar!$B:$Q,12,0))</f>
        <v/>
      </c>
      <c r="V44" s="64" t="str">
        <f>IF(B44="","",VLOOKUP(AD44,Varsayımlar!$B:$Q,13,0))</f>
        <v/>
      </c>
      <c r="W44" s="64" t="str">
        <f>IF(B44="","",VLOOKUP(AD44,Varsayımlar!$B:$Q,14,0))</f>
        <v/>
      </c>
      <c r="X44" s="66"/>
      <c r="Y44" s="66"/>
      <c r="Z44" s="64"/>
      <c r="AA44" s="64" t="str">
        <f>IF(B44="","",VLOOKUP(AD44,Varsayımlar!$B:$Q,15,0))</f>
        <v/>
      </c>
      <c r="AB44" s="64" t="str">
        <f>IF(B44="","",VLOOKUP(AD44,Varsayımlar!$B:$Q,16,0))</f>
        <v/>
      </c>
      <c r="AC44" s="64" t="str">
        <f>IF(B44="","",VLOOKUP(Sayfa1!AD44,Varsayımlar!B:S,18,0))</f>
        <v/>
      </c>
      <c r="AD44" s="57" t="str">
        <f t="shared" si="0"/>
        <v/>
      </c>
    </row>
    <row r="45" spans="1:30" x14ac:dyDescent="0.25">
      <c r="A45" s="8" t="s">
        <v>158</v>
      </c>
      <c r="B45" s="64"/>
      <c r="C45" s="3" t="str">
        <f>IF(B45="","",VLOOKUP(AD45,Varsayımlar!$B:$Q,3,0))</f>
        <v/>
      </c>
      <c r="D45" s="3"/>
      <c r="E45" s="3"/>
      <c r="F45" s="64"/>
      <c r="G45" s="3"/>
      <c r="H45" s="64" t="str">
        <f>IF(B45="","",VLOOKUP(AD45,Varsayımlar!$B:$Q,5,0))</f>
        <v/>
      </c>
      <c r="I45" s="64" t="str">
        <f>IF(B45="","",VLOOKUP(AD45,Varsayımlar!B:T,19,0))</f>
        <v/>
      </c>
      <c r="J45" s="64" t="str">
        <f>IF(B45="","",VLOOKUP(AD45,Varsayımlar!$B:$Q,6,0))</f>
        <v/>
      </c>
      <c r="K45" s="64"/>
      <c r="L45" s="64"/>
      <c r="M45" s="64" t="str">
        <f>IFERROR(IF(B45="","",K45/VLOOKUP(AD45,Varsayımlar!B:R,17,0)),"")</f>
        <v/>
      </c>
      <c r="N45" s="64"/>
      <c r="O45" s="64"/>
      <c r="P45" s="64" t="str">
        <f>IF(B45="","",VLOOKUP(AD45,Varsayımlar!$B:$Q,7,0)*K45)</f>
        <v/>
      </c>
      <c r="Q45" s="64" t="str">
        <f>IF(B45="","",VLOOKUP(AD45,Varsayımlar!$B:$Q,8,0))</f>
        <v/>
      </c>
      <c r="R45" s="64" t="str">
        <f>IF(B45="","",VLOOKUP(AD45,Varsayımlar!$B:$Q,9,0))</f>
        <v/>
      </c>
      <c r="S45" s="64" t="str">
        <f>IF(B45="","",VLOOKUP(AD45,Varsayımlar!$B:$Q,10,0))</f>
        <v/>
      </c>
      <c r="T45" s="64" t="str">
        <f>IF(B45="","",VLOOKUP(AD45,Varsayımlar!$B:$Q,11,0))</f>
        <v/>
      </c>
      <c r="U45" s="64" t="str">
        <f>IF(B45="","",VLOOKUP(AD45,Varsayımlar!$B:$Q,12,0))</f>
        <v/>
      </c>
      <c r="V45" s="64" t="str">
        <f>IF(B45="","",VLOOKUP(AD45,Varsayımlar!$B:$Q,13,0))</f>
        <v/>
      </c>
      <c r="W45" s="64" t="str">
        <f>IF(B45="","",VLOOKUP(AD45,Varsayımlar!$B:$Q,14,0))</f>
        <v/>
      </c>
      <c r="X45" s="66"/>
      <c r="Y45" s="66"/>
      <c r="Z45" s="64"/>
      <c r="AA45" s="64" t="str">
        <f>IF(B45="","",VLOOKUP(AD45,Varsayımlar!$B:$Q,15,0))</f>
        <v/>
      </c>
      <c r="AB45" s="64" t="str">
        <f>IF(B45="","",VLOOKUP(AD45,Varsayımlar!$B:$Q,16,0))</f>
        <v/>
      </c>
      <c r="AC45" s="64" t="str">
        <f>IF(B45="","",VLOOKUP(Sayfa1!AD45,Varsayımlar!B:S,18,0))</f>
        <v/>
      </c>
      <c r="AD45" s="57" t="str">
        <f t="shared" si="0"/>
        <v/>
      </c>
    </row>
    <row r="46" spans="1:30" ht="44.25" customHeight="1" x14ac:dyDescent="0.25">
      <c r="A46" s="174" t="s">
        <v>344</v>
      </c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5"/>
      <c r="AC46" s="38"/>
    </row>
    <row r="47" spans="1:30" ht="63" x14ac:dyDescent="0.25">
      <c r="A47" s="8" t="s">
        <v>0</v>
      </c>
      <c r="B47" s="8" t="s">
        <v>1</v>
      </c>
      <c r="C47" s="9" t="s">
        <v>31</v>
      </c>
      <c r="D47" s="9" t="s">
        <v>124</v>
      </c>
      <c r="E47" s="9" t="s">
        <v>36</v>
      </c>
      <c r="F47" s="8" t="s">
        <v>37</v>
      </c>
      <c r="G47" s="8" t="s">
        <v>13</v>
      </c>
      <c r="H47" s="8" t="s">
        <v>2</v>
      </c>
      <c r="I47" s="8" t="s">
        <v>49</v>
      </c>
      <c r="J47" s="8" t="s">
        <v>3</v>
      </c>
      <c r="K47" s="8" t="s">
        <v>21</v>
      </c>
      <c r="L47" s="8" t="s">
        <v>94</v>
      </c>
      <c r="M47" s="8" t="s">
        <v>20</v>
      </c>
      <c r="N47" s="8" t="s">
        <v>165</v>
      </c>
      <c r="O47" s="8" t="s">
        <v>123</v>
      </c>
      <c r="P47" s="8" t="s">
        <v>16</v>
      </c>
      <c r="Q47" s="8" t="s">
        <v>4</v>
      </c>
      <c r="R47" s="8" t="s">
        <v>5</v>
      </c>
      <c r="S47" s="8" t="s">
        <v>6</v>
      </c>
      <c r="T47" s="8" t="s">
        <v>28</v>
      </c>
      <c r="U47" s="8" t="s">
        <v>7</v>
      </c>
      <c r="V47" s="8" t="s">
        <v>8</v>
      </c>
      <c r="W47" s="8" t="s">
        <v>267</v>
      </c>
      <c r="X47" s="8" t="s">
        <v>10</v>
      </c>
      <c r="Y47" s="8" t="s">
        <v>11</v>
      </c>
      <c r="Z47" s="8" t="s">
        <v>12</v>
      </c>
      <c r="AA47" s="8" t="s">
        <v>14</v>
      </c>
      <c r="AB47" s="8" t="s">
        <v>15</v>
      </c>
      <c r="AC47" s="8" t="s">
        <v>208</v>
      </c>
      <c r="AD47" s="7" t="s">
        <v>41</v>
      </c>
    </row>
    <row r="48" spans="1:30" ht="31.5" x14ac:dyDescent="0.25">
      <c r="A48" s="8" t="s">
        <v>26</v>
      </c>
      <c r="B48" s="58" t="s">
        <v>311</v>
      </c>
      <c r="C48" s="40">
        <f>IF(B48="","",VLOOKUP(AD48,Varsayımlar!$B:$Q,3,0))</f>
        <v>8698829380698</v>
      </c>
      <c r="D48" s="40"/>
      <c r="E48" s="59" t="s">
        <v>312</v>
      </c>
      <c r="F48" s="58"/>
      <c r="G48" s="40"/>
      <c r="H48" s="58" t="str">
        <f>IF(B48="","",VLOOKUP(AD48,Varsayımlar!$B:$Q,5,0))</f>
        <v xml:space="preserve">Happylla 25cm </v>
      </c>
      <c r="I48" s="58">
        <f>IF(B48="","",VLOOKUP(AD48,Varsayımlar!B:T,19,0))</f>
        <v>0</v>
      </c>
      <c r="J48" s="58" t="str">
        <f>IF(B48="","",VLOOKUP(AD48,Varsayımlar!$B:$Q,6,0))</f>
        <v>SADE</v>
      </c>
      <c r="K48" s="58">
        <v>300</v>
      </c>
      <c r="L48" s="58"/>
      <c r="M48" s="58" t="str">
        <f>IFERROR(IF(B48="","",K48/VLOOKUP(AD48,Varsayımlar!B:R,17,0)),"")</f>
        <v/>
      </c>
      <c r="N48" s="58"/>
      <c r="O48" s="58">
        <v>4</v>
      </c>
      <c r="P48" s="58">
        <f>IF(B48="","",VLOOKUP(AD48,Varsayımlar!$B:$Q,7,0)*K48)</f>
        <v>5400</v>
      </c>
      <c r="Q48" s="58">
        <f>IF(B48="","",VLOOKUP(AD48,Varsayımlar!$B:$Q,8,0))</f>
        <v>25</v>
      </c>
      <c r="R48" s="58" t="str">
        <f>IF(B48="","",VLOOKUP(AD48,Varsayımlar!$B:$Q,9,0))</f>
        <v>Irak Soft</v>
      </c>
      <c r="S48" s="58">
        <f>IF(B48="","",VLOOKUP(AD48,Varsayımlar!$B:$Q,10,0))</f>
        <v>6</v>
      </c>
      <c r="T48" s="58">
        <f>IF(B48="","",VLOOKUP(AD48,Varsayımlar!$B:$Q,11,0))</f>
        <v>18</v>
      </c>
      <c r="U48" s="58">
        <f>IF(B48="","",VLOOKUP(AD48,Varsayımlar!$B:$Q,12,0))</f>
        <v>390</v>
      </c>
      <c r="V48" s="58" t="str">
        <f>IF(B48="","",VLOOKUP(AD48,Varsayımlar!$B:$Q,13,0))</f>
        <v>Yurtdışı</v>
      </c>
      <c r="W48" s="58">
        <f>IF(B48="","",VLOOKUP(AD48,Varsayımlar!$B:$Q,14,0))</f>
        <v>8</v>
      </c>
      <c r="X48" s="60">
        <v>46181</v>
      </c>
      <c r="Y48" s="60">
        <v>46426</v>
      </c>
      <c r="Z48" s="58" t="s">
        <v>353</v>
      </c>
      <c r="AA48" s="58" t="str">
        <f>IF(B48="","",VLOOKUP(AD48,Varsayımlar!$B:$Q,15,0))</f>
        <v>Kırmızı Koli</v>
      </c>
      <c r="AB48" s="58" t="str">
        <f>IF(B48="","",VLOOKUP(AD48,Varsayımlar!$B:$Q,16,0))</f>
        <v>24-26cm</v>
      </c>
      <c r="AC48" s="58">
        <f>IF(B48="","",VLOOKUP(Sayfa1!AD50,Varsayımlar!B:S,18,0))</f>
        <v>0</v>
      </c>
      <c r="AD48" s="57" t="str">
        <f>IF(B48="","",CONCATENATE(B48,E48))</f>
        <v>Sons Of HannaHappylla 25cm Sade 6pcs 390g</v>
      </c>
    </row>
    <row r="49" spans="1:30" ht="41.25" customHeight="1" x14ac:dyDescent="0.25">
      <c r="A49" s="8" t="s">
        <v>77</v>
      </c>
      <c r="B49" s="64" t="s">
        <v>335</v>
      </c>
      <c r="C49" s="3">
        <f>IF(B49="","",VLOOKUP(AD49,Varsayımlar!$B:$Q,3,0))</f>
        <v>8698829380698</v>
      </c>
      <c r="D49" s="3"/>
      <c r="E49" s="77" t="s">
        <v>319</v>
      </c>
      <c r="F49" s="64"/>
      <c r="G49" s="64"/>
      <c r="H49" s="64" t="str">
        <f>IF(B49="","",VLOOKUP(AD49,Varsayımlar!$B:$Q,5,0))</f>
        <v>Lazeza 25cm</v>
      </c>
      <c r="I49" s="64"/>
      <c r="J49" s="64" t="str">
        <f>IF(B49="","",VLOOKUP(AD49,Varsayımlar!$B:$Q,6,0))</f>
        <v>SADE</v>
      </c>
      <c r="K49" s="64">
        <v>1120</v>
      </c>
      <c r="L49" s="64"/>
      <c r="M49" s="64" t="str">
        <f>IFERROR(IF(B49="","",K49/VLOOKUP(AD49,Varsayımlar!B:R,17,0)),"")</f>
        <v/>
      </c>
      <c r="N49" s="64"/>
      <c r="O49" s="64">
        <v>15</v>
      </c>
      <c r="P49" s="64">
        <f>IF(B49="","",VLOOKUP(AD49,Varsayımlar!$B:$Q,7,0)*K49)</f>
        <v>20160</v>
      </c>
      <c r="Q49" s="64">
        <f>IF(B49="","",VLOOKUP(AD49,Varsayımlar!$B:$Q,8,0))</f>
        <v>25</v>
      </c>
      <c r="R49" s="64" t="str">
        <f>IF(B49="","",VLOOKUP(AD49,Varsayımlar!$B:$Q,9,0))</f>
        <v>Irak Soft</v>
      </c>
      <c r="S49" s="64">
        <f>IF(B49="","",VLOOKUP(AD49,Varsayımlar!$B:$Q,10,0))</f>
        <v>6</v>
      </c>
      <c r="T49" s="64">
        <f>IF(B49="","",VLOOKUP(AD49,Varsayımlar!$B:$Q,11,0))</f>
        <v>18</v>
      </c>
      <c r="U49" s="64">
        <f>IF(B49="","",VLOOKUP(AD49,Varsayımlar!$B:$Q,12,0))</f>
        <v>390</v>
      </c>
      <c r="V49" s="64" t="str">
        <f>IF(B49="","",VLOOKUP(AD49,Varsayımlar!$B:$Q,13,0))</f>
        <v>Yurtdışı</v>
      </c>
      <c r="W49" s="64">
        <f>IF(B49="","",VLOOKUP(AD49,Varsayımlar!$B:$Q,14,0))</f>
        <v>6</v>
      </c>
      <c r="X49" s="66"/>
      <c r="Y49" s="66"/>
      <c r="Z49" s="64"/>
      <c r="AA49" s="64" t="str">
        <f>IF(B49="","",VLOOKUP(AD49,Varsayımlar!$B:$Q,15,0))</f>
        <v>Lazeza Kolisi</v>
      </c>
      <c r="AB49" s="64" t="str">
        <f>IF(B49="","",VLOOKUP(AD49,Varsayımlar!$B:$Q,16,0))</f>
        <v>24-26 cm</v>
      </c>
      <c r="AC49" s="64"/>
      <c r="AD49" s="57" t="str">
        <f t="shared" ref="AD49:AD73" si="2">IF(B49="","",CONCATENATE(B49,E49))</f>
        <v>AjjawiLazeza 25 cm 6pcs 390g</v>
      </c>
    </row>
    <row r="50" spans="1:30" ht="31.5" x14ac:dyDescent="0.25">
      <c r="A50" s="8" t="s">
        <v>78</v>
      </c>
      <c r="B50" s="78" t="s">
        <v>321</v>
      </c>
      <c r="C50" s="42">
        <f>IF(B50="","",VLOOKUP(AD50,Varsayımlar!$B:$Q,3,0))</f>
        <v>8698829380698</v>
      </c>
      <c r="D50" s="42"/>
      <c r="E50" s="78" t="s">
        <v>322</v>
      </c>
      <c r="F50" s="67"/>
      <c r="G50" s="67"/>
      <c r="H50" s="67" t="str">
        <f>IF(B50="","",VLOOKUP(AD50,Varsayımlar!$B:$Q,5,0))</f>
        <v>Baskısız 25 cm</v>
      </c>
      <c r="I50" s="67"/>
      <c r="J50" s="67" t="str">
        <f>IF(B50="","",VLOOKUP(AD50,Varsayımlar!$B:$Q,6,0))</f>
        <v>SADE</v>
      </c>
      <c r="K50" s="67">
        <v>750</v>
      </c>
      <c r="L50" s="67"/>
      <c r="M50" s="67" t="str">
        <f>IFERROR(IF(B50="","",K50/VLOOKUP(AD50,Varsayımlar!B:R,17,0)),"")</f>
        <v/>
      </c>
      <c r="N50" s="67"/>
      <c r="O50" s="67">
        <v>10</v>
      </c>
      <c r="P50" s="67">
        <f>IF(B50="","",VLOOKUP(AD50,Varsayımlar!$B:$Q,7,0)*K50)</f>
        <v>10500</v>
      </c>
      <c r="Q50" s="67">
        <f>IF(B50="","",VLOOKUP(AD50,Varsayımlar!$B:$Q,8,0))</f>
        <v>25</v>
      </c>
      <c r="R50" s="67" t="str">
        <f>IF(B50="","",VLOOKUP(AD50,Varsayımlar!$B:$Q,9,0))</f>
        <v>Irak Soft</v>
      </c>
      <c r="S50" s="67">
        <f>IF(B50="","",VLOOKUP(AD50,Varsayımlar!$B:$Q,10,0))</f>
        <v>8</v>
      </c>
      <c r="T50" s="67">
        <f>IF(B50="","",VLOOKUP(AD50,Varsayımlar!$B:$Q,11,0))</f>
        <v>14</v>
      </c>
      <c r="U50" s="67">
        <f>IF(B50="","",VLOOKUP(AD50,Varsayımlar!$B:$Q,12,0))</f>
        <v>480</v>
      </c>
      <c r="V50" s="67" t="str">
        <f>IF(B50="","",VLOOKUP(AD50,Varsayımlar!$B:$Q,13,0))</f>
        <v>Yurtdışı</v>
      </c>
      <c r="W50" s="67">
        <f>IF(B50="","",VLOOKUP(AD50,Varsayımlar!$B:$Q,14,0))</f>
        <v>6</v>
      </c>
      <c r="X50" s="69">
        <v>46185</v>
      </c>
      <c r="Y50" s="69">
        <v>46368</v>
      </c>
      <c r="Z50" s="67">
        <v>26061225</v>
      </c>
      <c r="AA50" s="67" t="str">
        <f>IF(B50="","",VLOOKUP(AD50,Varsayımlar!$B:$Q,15,0))</f>
        <v>Kırmızı Koli</v>
      </c>
      <c r="AB50" s="67" t="str">
        <f>IF(B50="","",VLOOKUP(AD50,Varsayımlar!$B:$Q,16,0))</f>
        <v>24-26 cm</v>
      </c>
      <c r="AC50" s="67"/>
      <c r="AD50" s="57" t="str">
        <f t="shared" si="2"/>
        <v>Gülbahar CompanyBaskısız 25cm Sade 8pcs 480g</v>
      </c>
    </row>
    <row r="51" spans="1:30" ht="31.5" x14ac:dyDescent="0.25">
      <c r="A51" s="8" t="s">
        <v>79</v>
      </c>
      <c r="B51" s="61" t="s">
        <v>218</v>
      </c>
      <c r="C51" s="32">
        <f>IF(B51="","",VLOOKUP(AD51,Varsayımlar!$B:$Q,3,0))</f>
        <v>8698829380698</v>
      </c>
      <c r="D51" s="32" t="s">
        <v>159</v>
      </c>
      <c r="E51" s="61" t="s">
        <v>228</v>
      </c>
      <c r="F51" s="62">
        <v>26042906</v>
      </c>
      <c r="G51" s="32"/>
      <c r="H51" s="62" t="str">
        <f>IF(B51="","",VLOOKUP(AD51,Varsayımlar!$B:$Q,5,0))</f>
        <v>Tortillas Avrupa 25cm (698)</v>
      </c>
      <c r="I51" s="62">
        <f>IF(B51="","",VLOOKUP(AD51,Varsayımlar!B:T,19,0))</f>
        <v>0</v>
      </c>
      <c r="J51" s="62" t="str">
        <f>IF(B51="","",VLOOKUP(AD51,Varsayımlar!$B:$Q,6,0))</f>
        <v>SADE</v>
      </c>
      <c r="K51" s="62">
        <v>720</v>
      </c>
      <c r="L51" s="62"/>
      <c r="M51" s="62">
        <f>IFERROR(IF(B51="","",K51/VLOOKUP(AD51,Varsayımlar!B:R,17,0)),"")</f>
        <v>6</v>
      </c>
      <c r="N51" s="62"/>
      <c r="O51" s="62">
        <v>7</v>
      </c>
      <c r="P51" s="62">
        <f>IF(B51="","",VLOOKUP(AD51,Varsayımlar!$B:$Q,7,0)*K51)</f>
        <v>5760</v>
      </c>
      <c r="Q51" s="62">
        <f>IF(B51="","",VLOOKUP(AD51,Varsayımlar!$B:$Q,8,0))</f>
        <v>25</v>
      </c>
      <c r="R51" s="62" t="str">
        <f>IF(B51="","",VLOOKUP(AD51,Varsayımlar!$B:$Q,9,0))</f>
        <v>Irak Soft</v>
      </c>
      <c r="S51" s="62">
        <f>IF(B51="","",VLOOKUP(AD51,Varsayımlar!$B:$Q,10,0))</f>
        <v>10</v>
      </c>
      <c r="T51" s="62">
        <f>IF(B51="","",VLOOKUP(AD51,Varsayımlar!$B:$Q,11,0))</f>
        <v>8</v>
      </c>
      <c r="U51" s="62">
        <f>IF(B51="","",VLOOKUP(AD51,Varsayımlar!$B:$Q,12,0))</f>
        <v>650</v>
      </c>
      <c r="V51" s="62" t="str">
        <f>IF(B51="","",VLOOKUP(AD51,Varsayımlar!$B:$Q,13,0))</f>
        <v>Yurtdışı</v>
      </c>
      <c r="W51" s="62">
        <f>IF(B51="","",VLOOKUP(AD51,Varsayımlar!$B:$Q,14,0))</f>
        <v>9</v>
      </c>
      <c r="X51" s="63">
        <v>46183</v>
      </c>
      <c r="Y51" s="63">
        <v>46456</v>
      </c>
      <c r="Z51" s="62">
        <v>26061025</v>
      </c>
      <c r="AA51" s="62" t="str">
        <f>IF(B51="","",VLOOKUP(AD51,Varsayımlar!$B:$Q,15,0))</f>
        <v>25cm Perforeli-Bulgarca etiket</v>
      </c>
      <c r="AB51" s="62" t="str">
        <f>IF(B51="","",VLOOKUP(AD51,Varsayımlar!$B:$Q,16,0))</f>
        <v>24-26 cm</v>
      </c>
      <c r="AC51" s="62" t="str">
        <f>IF(B51="","",VLOOKUP(Sayfa1!AD51,Varsayımlar!B:S,18,0))</f>
        <v>80x120cm -Epal+Epal</v>
      </c>
      <c r="AD51" s="57" t="str">
        <f>IF(B51="","",CONCATENATE(B51,E51))</f>
        <v>TASTE LAND-BULGARİSTANTortillas 25cm Sade 10pcs 650g</v>
      </c>
    </row>
    <row r="52" spans="1:30" ht="31.5" x14ac:dyDescent="0.25">
      <c r="A52" s="8" t="s">
        <v>80</v>
      </c>
      <c r="B52" s="61" t="s">
        <v>218</v>
      </c>
      <c r="C52" s="32">
        <f>IF(B52="","",VLOOKUP(AD52,Varsayımlar!$B:$Q,3,0))</f>
        <v>8698829380698</v>
      </c>
      <c r="D52" s="32" t="s">
        <v>159</v>
      </c>
      <c r="E52" s="61" t="s">
        <v>229</v>
      </c>
      <c r="F52" s="62">
        <v>26042906</v>
      </c>
      <c r="G52" s="32"/>
      <c r="H52" s="62" t="str">
        <f>IF(B52="","",VLOOKUP(AD52,Varsayımlar!$B:$Q,5,0))</f>
        <v>Tortillas Avrupa 25cm Tam Buğday (711)</v>
      </c>
      <c r="I52" s="62">
        <f>IF(B52="","",VLOOKUP(AD52,Varsayımlar!B:T,19,0))</f>
        <v>0</v>
      </c>
      <c r="J52" s="62" t="str">
        <f>IF(B52="","",VLOOKUP(AD52,Varsayımlar!$B:$Q,6,0))</f>
        <v>Tam Buğdaylı</v>
      </c>
      <c r="K52" s="62">
        <v>840</v>
      </c>
      <c r="L52" s="62"/>
      <c r="M52" s="62">
        <f>IFERROR(IF(B52="","",K52/VLOOKUP(AD52,Varsayımlar!B:R,17,0)),"")</f>
        <v>7</v>
      </c>
      <c r="N52" s="62"/>
      <c r="O52" s="62">
        <v>9</v>
      </c>
      <c r="P52" s="62">
        <f>IF(B52="","",VLOOKUP(AD52,Varsayımlar!$B:$Q,7,0)*K52)</f>
        <v>6720</v>
      </c>
      <c r="Q52" s="62">
        <f>IF(B52="","",VLOOKUP(AD52,Varsayımlar!$B:$Q,8,0))</f>
        <v>25</v>
      </c>
      <c r="R52" s="62" t="str">
        <f>IF(B52="","",VLOOKUP(AD52,Varsayımlar!$B:$Q,9,0))</f>
        <v>Irak Soft</v>
      </c>
      <c r="S52" s="62">
        <f>IF(B52="","",VLOOKUP(AD52,Varsayımlar!$B:$Q,10,0))</f>
        <v>10</v>
      </c>
      <c r="T52" s="62">
        <f>IF(B52="","",VLOOKUP(AD52,Varsayımlar!$B:$Q,11,0))</f>
        <v>8</v>
      </c>
      <c r="U52" s="62">
        <f>IF(B52="","",VLOOKUP(AD52,Varsayımlar!$B:$Q,12,0))</f>
        <v>650</v>
      </c>
      <c r="V52" s="62" t="str">
        <f>IF(B52="","",VLOOKUP(AD52,Varsayımlar!$B:$Q,13,0))</f>
        <v>Yurtdışı</v>
      </c>
      <c r="W52" s="62">
        <f>IF(B52="","",VLOOKUP(AD52,Varsayımlar!$B:$Q,14,0))</f>
        <v>9</v>
      </c>
      <c r="X52" s="63">
        <v>46183</v>
      </c>
      <c r="Y52" s="63">
        <v>46456</v>
      </c>
      <c r="Z52" s="62" t="s">
        <v>355</v>
      </c>
      <c r="AA52" s="62" t="str">
        <f>IF(B52="","",VLOOKUP(AD52,Varsayımlar!$B:$Q,15,0))</f>
        <v>25cm Perforeli-Bulgarca TB etiket</v>
      </c>
      <c r="AB52" s="62" t="str">
        <f>IF(B52="","",VLOOKUP(AD52,Varsayımlar!$B:$Q,16,0))</f>
        <v>24-26 cm</v>
      </c>
      <c r="AC52" s="62" t="str">
        <f>IF(B52="","",VLOOKUP(Sayfa1!AD52,Varsayımlar!B:S,18,0))</f>
        <v>80x120cm -Epal+Epal</v>
      </c>
      <c r="AD52" s="57" t="str">
        <f t="shared" ref="AD52:AD57" si="3">IF(B52="","",CONCATENATE(B52,E52))</f>
        <v>TASTE LAND-BULGARİSTANTortillas 25cm Tam Buğday 10pcs 650g</v>
      </c>
    </row>
    <row r="53" spans="1:30" ht="47.25" x14ac:dyDescent="0.25">
      <c r="A53" s="8" t="s">
        <v>81</v>
      </c>
      <c r="B53" s="61" t="s">
        <v>218</v>
      </c>
      <c r="C53" s="32">
        <f>IF(B53="","",VLOOKUP(AD53,Varsayımlar!$B:$Q,3,0))</f>
        <v>8698829380698</v>
      </c>
      <c r="D53" s="32" t="s">
        <v>159</v>
      </c>
      <c r="E53" s="61" t="s">
        <v>232</v>
      </c>
      <c r="F53" s="62">
        <v>26042906</v>
      </c>
      <c r="G53" s="32"/>
      <c r="H53" s="62" t="str">
        <f>IF(B53="","",VLOOKUP(AD53,Varsayımlar!$B:$Q,5,0))</f>
        <v>Tortillas Avrupa 25cm Domatesli (074)</v>
      </c>
      <c r="I53" s="62">
        <f>IF(B53="","",VLOOKUP(AD53,Varsayımlar!B:T,19,0))</f>
        <v>0</v>
      </c>
      <c r="J53" s="62" t="str">
        <f>IF(B53="","",VLOOKUP(AD53,Varsayımlar!$B:$Q,6,0))</f>
        <v>Domatesli</v>
      </c>
      <c r="K53" s="62">
        <v>360</v>
      </c>
      <c r="L53" s="62"/>
      <c r="M53" s="62">
        <f>IFERROR(IF(B53="","",K53/VLOOKUP(AD53,Varsayımlar!B:R,17,0)),"")</f>
        <v>3</v>
      </c>
      <c r="N53" s="62"/>
      <c r="O53" s="62">
        <v>4</v>
      </c>
      <c r="P53" s="62">
        <f>IF(B53="","",VLOOKUP(AD53,Varsayımlar!$B:$Q,7,0)*K53)</f>
        <v>4320</v>
      </c>
      <c r="Q53" s="62">
        <f>IF(B53="","",VLOOKUP(AD53,Varsayımlar!$B:$Q,8,0))</f>
        <v>25</v>
      </c>
      <c r="R53" s="62" t="str">
        <f>IF(B53="","",VLOOKUP(AD53,Varsayımlar!$B:$Q,9,0))</f>
        <v>Irak Soft</v>
      </c>
      <c r="S53" s="62">
        <f>IF(B53="","",VLOOKUP(AD53,Varsayımlar!$B:$Q,10,0))</f>
        <v>6</v>
      </c>
      <c r="T53" s="62">
        <f>IF(B53="","",VLOOKUP(AD53,Varsayımlar!$B:$Q,11,0))</f>
        <v>12</v>
      </c>
      <c r="U53" s="62">
        <f>IF(B53="","",VLOOKUP(AD53,Varsayımlar!$B:$Q,12,0))</f>
        <v>390</v>
      </c>
      <c r="V53" s="62" t="str">
        <f>IF(B53="","",VLOOKUP(AD53,Varsayımlar!$B:$Q,13,0))</f>
        <v>Yurtdışı</v>
      </c>
      <c r="W53" s="62">
        <f>IF(B53="","",VLOOKUP(AD53,Varsayımlar!$B:$Q,14,0))</f>
        <v>9</v>
      </c>
      <c r="X53" s="63">
        <v>46183</v>
      </c>
      <c r="Y53" s="63">
        <v>46456</v>
      </c>
      <c r="Z53" s="62" t="s">
        <v>356</v>
      </c>
      <c r="AA53" s="62" t="str">
        <f>IF(B53="","",VLOOKUP(AD53,Varsayımlar!$B:$Q,15,0))</f>
        <v>25cm Perforeli-Bulgarca Domatesli etiket</v>
      </c>
      <c r="AB53" s="62" t="str">
        <f>IF(B53="","",VLOOKUP(AD53,Varsayımlar!$B:$Q,16,0))</f>
        <v>24-26 cm</v>
      </c>
      <c r="AC53" s="62" t="str">
        <f>IF(B53="","",VLOOKUP(Sayfa1!AD53,Varsayımlar!B:S,18,0))</f>
        <v>80x120cm -Epal+Epal</v>
      </c>
      <c r="AD53" s="57" t="str">
        <f t="shared" si="3"/>
        <v>TASTE LAND-BULGARİSTANTortillas 25cm Domatesli 6pcs 390g</v>
      </c>
    </row>
    <row r="54" spans="1:30" ht="47.25" x14ac:dyDescent="0.25">
      <c r="A54" s="8" t="s">
        <v>82</v>
      </c>
      <c r="B54" s="61" t="s">
        <v>218</v>
      </c>
      <c r="C54" s="32">
        <f>IF(B54="","",VLOOKUP(AD54,Varsayımlar!$B:$Q,3,0))</f>
        <v>8698829380698</v>
      </c>
      <c r="D54" s="32" t="s">
        <v>159</v>
      </c>
      <c r="E54" s="61" t="s">
        <v>235</v>
      </c>
      <c r="F54" s="62">
        <v>26042906</v>
      </c>
      <c r="G54" s="32"/>
      <c r="H54" s="62" t="str">
        <f>IF(B54="","",VLOOKUP(AD54,Varsayımlar!$B:$Q,5,0))</f>
        <v>Tortillas Avrupa 25cm Ispanaklı (081)</v>
      </c>
      <c r="I54" s="62">
        <f>IF(B54="","",VLOOKUP(AD54,Varsayımlar!B:T,19,0))</f>
        <v>0</v>
      </c>
      <c r="J54" s="62" t="str">
        <f>IF(B54="","",VLOOKUP(AD54,Varsayımlar!$B:$Q,6,0))</f>
        <v>Ispanaklı</v>
      </c>
      <c r="K54" s="62">
        <v>360</v>
      </c>
      <c r="L54" s="62"/>
      <c r="M54" s="62">
        <f>IFERROR(IF(B54="","",K54/VLOOKUP(AD54,Varsayımlar!B:R,17,0)),"")</f>
        <v>3</v>
      </c>
      <c r="N54" s="62"/>
      <c r="O54" s="62">
        <v>4</v>
      </c>
      <c r="P54" s="62">
        <f>IF(B54="","",VLOOKUP(AD54,Varsayımlar!$B:$Q,7,0)*K54)</f>
        <v>4320</v>
      </c>
      <c r="Q54" s="62">
        <f>IF(B54="","",VLOOKUP(AD54,Varsayımlar!$B:$Q,8,0))</f>
        <v>25</v>
      </c>
      <c r="R54" s="62" t="str">
        <f>IF(B54="","",VLOOKUP(AD54,Varsayımlar!$B:$Q,9,0))</f>
        <v>Irak Soft</v>
      </c>
      <c r="S54" s="62">
        <f>IF(B54="","",VLOOKUP(AD54,Varsayımlar!$B:$Q,10,0))</f>
        <v>6</v>
      </c>
      <c r="T54" s="62">
        <f>IF(B54="","",VLOOKUP(AD54,Varsayımlar!$B:$Q,11,0))</f>
        <v>12</v>
      </c>
      <c r="U54" s="62">
        <f>IF(B54="","",VLOOKUP(AD54,Varsayımlar!$B:$Q,12,0))</f>
        <v>390</v>
      </c>
      <c r="V54" s="62" t="str">
        <f>IF(B54="","",VLOOKUP(AD54,Varsayımlar!$B:$Q,13,0))</f>
        <v>Yurtdışı</v>
      </c>
      <c r="W54" s="62">
        <f>IF(B54="","",VLOOKUP(AD54,Varsayımlar!$B:$Q,14,0))</f>
        <v>9</v>
      </c>
      <c r="X54" s="63">
        <v>46183</v>
      </c>
      <c r="Y54" s="63">
        <v>46456</v>
      </c>
      <c r="Z54" s="62" t="s">
        <v>357</v>
      </c>
      <c r="AA54" s="62" t="str">
        <f>IF(B54="","",VLOOKUP(AD54,Varsayımlar!$B:$Q,15,0))</f>
        <v>25cm Perforeli-Bulgarca Ispanaklı etiket</v>
      </c>
      <c r="AB54" s="62" t="str">
        <f>IF(B54="","",VLOOKUP(AD54,Varsayımlar!$B:$Q,16,0))</f>
        <v>24-26 cm</v>
      </c>
      <c r="AC54" s="62" t="str">
        <f>IF(B54="","",VLOOKUP(Sayfa1!AD54,Varsayımlar!B:S,18,0))</f>
        <v>80x120cm -Epal+Epal</v>
      </c>
      <c r="AD54" s="57" t="str">
        <f t="shared" si="3"/>
        <v>TASTE LAND-BULGARİSTANTortillas 25cm Ispanaklı 6pcs 390g</v>
      </c>
    </row>
    <row r="55" spans="1:30" ht="47.25" x14ac:dyDescent="0.25">
      <c r="A55" s="8" t="s">
        <v>83</v>
      </c>
      <c r="B55" s="61" t="s">
        <v>218</v>
      </c>
      <c r="C55" s="32">
        <f>IF(B55="","",VLOOKUP(AD55,Varsayımlar!$B:$Q,3,0))</f>
        <v>8698829380698</v>
      </c>
      <c r="D55" s="32" t="s">
        <v>159</v>
      </c>
      <c r="E55" s="61" t="s">
        <v>240</v>
      </c>
      <c r="F55" s="62">
        <v>26042906</v>
      </c>
      <c r="G55" s="32"/>
      <c r="H55" s="62" t="str">
        <f>IF(B55="","",VLOOKUP(AD55,Varsayımlar!$B:$Q,5,0))</f>
        <v>Tortillas Avrupa 25cm Peynirli (098)</v>
      </c>
      <c r="I55" s="62">
        <f>IF(B55="","",VLOOKUP(AD55,Varsayımlar!B:T,19,0))</f>
        <v>0</v>
      </c>
      <c r="J55" s="62" t="str">
        <f>IF(B55="","",VLOOKUP(AD55,Varsayımlar!$B:$Q,6,0))</f>
        <v>Peynirli</v>
      </c>
      <c r="K55" s="62">
        <v>240</v>
      </c>
      <c r="L55" s="62"/>
      <c r="M55" s="62">
        <f>IFERROR(IF(B55="","",K55/VLOOKUP(AD55,Varsayımlar!B:R,17,0)),"")</f>
        <v>2</v>
      </c>
      <c r="N55" s="62"/>
      <c r="O55" s="62">
        <v>3</v>
      </c>
      <c r="P55" s="62">
        <f>IF(B55="","",VLOOKUP(AD55,Varsayımlar!$B:$Q,7,0)*K55)</f>
        <v>2880</v>
      </c>
      <c r="Q55" s="62">
        <f>IF(B55="","",VLOOKUP(AD55,Varsayımlar!$B:$Q,8,0))</f>
        <v>25</v>
      </c>
      <c r="R55" s="62" t="str">
        <f>IF(B55="","",VLOOKUP(AD55,Varsayımlar!$B:$Q,9,0))</f>
        <v>Irak Soft-AT</v>
      </c>
      <c r="S55" s="62">
        <f>IF(B55="","",VLOOKUP(AD55,Varsayımlar!$B:$Q,10,0))</f>
        <v>6</v>
      </c>
      <c r="T55" s="62">
        <f>IF(B55="","",VLOOKUP(AD55,Varsayımlar!$B:$Q,11,0))</f>
        <v>12</v>
      </c>
      <c r="U55" s="62">
        <f>IF(B55="","",VLOOKUP(AD55,Varsayımlar!$B:$Q,12,0))</f>
        <v>390</v>
      </c>
      <c r="V55" s="62" t="str">
        <f>IF(B55="","",VLOOKUP(AD55,Varsayımlar!$B:$Q,13,0))</f>
        <v>Yurtdışı</v>
      </c>
      <c r="W55" s="62">
        <f>IF(B55="","",VLOOKUP(AD55,Varsayımlar!$B:$Q,14,0))</f>
        <v>9</v>
      </c>
      <c r="X55" s="63">
        <v>46183</v>
      </c>
      <c r="Y55" s="63">
        <v>46456</v>
      </c>
      <c r="Z55" s="62" t="s">
        <v>358</v>
      </c>
      <c r="AA55" s="62" t="str">
        <f>IF(B55="","",VLOOKUP(AD55,Varsayımlar!$B:$Q,15,0))</f>
        <v>25cm Perforeli-Bulgarca Peynirli etiket</v>
      </c>
      <c r="AB55" s="62" t="str">
        <f>IF(B55="","",VLOOKUP(AD55,Varsayımlar!$B:$Q,16,0))</f>
        <v>24-26 cm</v>
      </c>
      <c r="AC55" s="62" t="str">
        <f>IF(B55="","",VLOOKUP(Sayfa1!AD55,Varsayımlar!B:S,18,0))</f>
        <v>80x120cm -Epal+Epal</v>
      </c>
      <c r="AD55" s="57" t="str">
        <f t="shared" si="3"/>
        <v>TASTE LAND-BULGARİSTANTortillas 25cm Peynirli 6pcs 390g</v>
      </c>
    </row>
    <row r="56" spans="1:30" ht="44.25" customHeight="1" x14ac:dyDescent="0.25">
      <c r="A56" s="8" t="s">
        <v>84</v>
      </c>
      <c r="B56" s="64" t="s">
        <v>64</v>
      </c>
      <c r="C56" s="3" t="e">
        <f>IF(B56="","",VLOOKUP(AD56,#REF!,3,0))</f>
        <v>#REF!</v>
      </c>
      <c r="D56" s="3"/>
      <c r="E56" s="65" t="s">
        <v>108</v>
      </c>
      <c r="F56" s="64"/>
      <c r="G56" s="64" t="s">
        <v>68</v>
      </c>
      <c r="H56" s="64" t="e">
        <f>IF(B56="","",VLOOKUP(AD56,#REF!,5,0))</f>
        <v>#REF!</v>
      </c>
      <c r="I56" s="64"/>
      <c r="J56" s="64" t="e">
        <f>IF(B56="","",VLOOKUP(AD56,#REF!,6,0))</f>
        <v>#REF!</v>
      </c>
      <c r="K56" s="64">
        <v>924</v>
      </c>
      <c r="L56" s="64"/>
      <c r="M56" s="64" t="str">
        <f>IFERROR(IF(B56="","",K56/VLOOKUP(AD56,#REF!,17,0)),"")</f>
        <v/>
      </c>
      <c r="N56" s="64">
        <v>84</v>
      </c>
      <c r="O56" s="64"/>
      <c r="P56" s="64" t="e">
        <f>IF(B56="","",VLOOKUP(AD56,#REF!,7,0)*K56)</f>
        <v>#REF!</v>
      </c>
      <c r="Q56" s="64" t="e">
        <f>IF(B56="","",VLOOKUP(AD56,#REF!,8,0))</f>
        <v>#REF!</v>
      </c>
      <c r="R56" s="64" t="e">
        <f>IF(B56="","",VLOOKUP(AD56,#REF!,9,0))</f>
        <v>#REF!</v>
      </c>
      <c r="S56" s="64" t="e">
        <f>IF(B56="","",VLOOKUP(AD56,#REF!,10,0))</f>
        <v>#REF!</v>
      </c>
      <c r="T56" s="64" t="e">
        <f>IF(B56="","",VLOOKUP(AD56,#REF!,11,0))</f>
        <v>#REF!</v>
      </c>
      <c r="U56" s="64" t="e">
        <f>IF(B56="","",VLOOKUP(AD56,#REF!,12,0))</f>
        <v>#REF!</v>
      </c>
      <c r="V56" s="64" t="e">
        <f>IF(B56="","",VLOOKUP(AD56,#REF!,13,0))</f>
        <v>#REF!</v>
      </c>
      <c r="W56" s="64" t="e">
        <f>IF(B56="","",VLOOKUP(AD56,#REF!,14,0))</f>
        <v>#REF!</v>
      </c>
      <c r="X56" s="66">
        <v>46195</v>
      </c>
      <c r="Y56" s="66">
        <v>46468</v>
      </c>
      <c r="Z56" s="64">
        <v>26062225</v>
      </c>
      <c r="AA56" s="64" t="e">
        <f>IF(B56="","",VLOOKUP(AD56,#REF!,15,0))</f>
        <v>#REF!</v>
      </c>
      <c r="AB56" s="64" t="e">
        <f>IF(B56="","",VLOOKUP(AD56,#REF!,16,0))</f>
        <v>#REF!</v>
      </c>
      <c r="AC56" s="64" t="e">
        <f>IF(B56="","",VLOOKUP(#REF!,#REF!,18,0))</f>
        <v>#REF!</v>
      </c>
      <c r="AD56" s="57" t="str">
        <f>IF(B56="","",CONCATENATE(B56,E56))</f>
        <v>SMART LLCKırmızı tortillas 25cm 4 lü 250g</v>
      </c>
    </row>
    <row r="57" spans="1:30" ht="31.5" x14ac:dyDescent="0.25">
      <c r="A57" s="8" t="s">
        <v>85</v>
      </c>
      <c r="B57" s="79" t="s">
        <v>218</v>
      </c>
      <c r="C57" s="44">
        <f>IF(B57="","",VLOOKUP(AD57,Varsayımlar!$B:$Q,3,0))</f>
        <v>8698829380698</v>
      </c>
      <c r="D57" s="44" t="s">
        <v>160</v>
      </c>
      <c r="E57" s="79" t="s">
        <v>228</v>
      </c>
      <c r="F57" s="80">
        <v>26042907</v>
      </c>
      <c r="G57" s="44"/>
      <c r="H57" s="80" t="str">
        <f>IF(B57="","",VLOOKUP(AD57,Varsayımlar!$B:$Q,5,0))</f>
        <v>Tortillas Avrupa 25cm (698)</v>
      </c>
      <c r="I57" s="80">
        <f>IF(B57="","",VLOOKUP(AD57,Varsayımlar!B:T,19,0))</f>
        <v>0</v>
      </c>
      <c r="J57" s="80" t="str">
        <f>IF(B57="","",VLOOKUP(AD57,Varsayımlar!$B:$Q,6,0))</f>
        <v>SADE</v>
      </c>
      <c r="K57" s="80">
        <v>720</v>
      </c>
      <c r="L57" s="80"/>
      <c r="M57" s="80">
        <f>IFERROR(IF(B57="","",K57/VLOOKUP(AD57,Varsayımlar!B:R,17,0)),"")</f>
        <v>6</v>
      </c>
      <c r="N57" s="80"/>
      <c r="O57" s="80">
        <v>7</v>
      </c>
      <c r="P57" s="80">
        <f>IF(B57="","",VLOOKUP(AD57,Varsayımlar!$B:$Q,7,0)*K57)</f>
        <v>5760</v>
      </c>
      <c r="Q57" s="80">
        <f>IF(B57="","",VLOOKUP(AD57,Varsayımlar!$B:$Q,8,0))</f>
        <v>25</v>
      </c>
      <c r="R57" s="80" t="str">
        <f>IF(B57="","",VLOOKUP(AD57,Varsayımlar!$B:$Q,9,0))</f>
        <v>Irak Soft</v>
      </c>
      <c r="S57" s="80">
        <f>IF(B57="","",VLOOKUP(AD57,Varsayımlar!$B:$Q,10,0))</f>
        <v>10</v>
      </c>
      <c r="T57" s="80">
        <f>IF(B57="","",VLOOKUP(AD57,Varsayımlar!$B:$Q,11,0))</f>
        <v>8</v>
      </c>
      <c r="U57" s="80">
        <f>IF(B57="","",VLOOKUP(AD57,Varsayımlar!$B:$Q,12,0))</f>
        <v>650</v>
      </c>
      <c r="V57" s="80" t="str">
        <f>IF(B57="","",VLOOKUP(AD57,Varsayımlar!$B:$Q,13,0))</f>
        <v>Yurtdışı</v>
      </c>
      <c r="W57" s="80">
        <f>IF(B57="","",VLOOKUP(AD57,Varsayımlar!$B:$Q,14,0))</f>
        <v>9</v>
      </c>
      <c r="X57" s="81"/>
      <c r="Y57" s="81"/>
      <c r="Z57" s="80"/>
      <c r="AA57" s="80" t="str">
        <f>IF(B57="","",VLOOKUP(AD57,Varsayımlar!$B:$Q,15,0))</f>
        <v>25cm Perforeli-Bulgarca etiket</v>
      </c>
      <c r="AB57" s="80" t="str">
        <f>IF(B57="","",VLOOKUP(AD57,Varsayımlar!$B:$Q,16,0))</f>
        <v>24-26 cm</v>
      </c>
      <c r="AC57" s="80" t="str">
        <f>IF(B57="","",VLOOKUP(Sayfa1!AD56,Varsayımlar!B:S,18,0))</f>
        <v>80x120cm -Epal+Epal</v>
      </c>
      <c r="AD57" s="57" t="str">
        <f t="shared" si="3"/>
        <v>TASTE LAND-BULGARİSTANTortillas 25cm Sade 10pcs 650g</v>
      </c>
    </row>
    <row r="58" spans="1:30" ht="31.5" x14ac:dyDescent="0.25">
      <c r="A58" s="8" t="s">
        <v>86</v>
      </c>
      <c r="B58" s="79" t="s">
        <v>218</v>
      </c>
      <c r="C58" s="44">
        <f>IF(B58="","",VLOOKUP(AD58,Varsayımlar!$B:$Q,3,0))</f>
        <v>8698829380698</v>
      </c>
      <c r="D58" s="44" t="s">
        <v>160</v>
      </c>
      <c r="E58" s="79" t="s">
        <v>229</v>
      </c>
      <c r="F58" s="80">
        <v>26042907</v>
      </c>
      <c r="G58" s="44"/>
      <c r="H58" s="80" t="str">
        <f>IF(B58="","",VLOOKUP(AD58,Varsayımlar!$B:$Q,5,0))</f>
        <v>Tortillas Avrupa 25cm Tam Buğday (711)</v>
      </c>
      <c r="I58" s="80">
        <f>IF(B58="","",VLOOKUP(AD58,Varsayımlar!B:T,19,0))</f>
        <v>0</v>
      </c>
      <c r="J58" s="80" t="str">
        <f>IF(B58="","",VLOOKUP(AD58,Varsayımlar!$B:$Q,6,0))</f>
        <v>Tam Buğdaylı</v>
      </c>
      <c r="K58" s="80">
        <v>840</v>
      </c>
      <c r="L58" s="80"/>
      <c r="M58" s="80">
        <f>IFERROR(IF(B58="","",K58/VLOOKUP(AD58,Varsayımlar!B:R,17,0)),"")</f>
        <v>7</v>
      </c>
      <c r="N58" s="80"/>
      <c r="O58" s="80">
        <v>9</v>
      </c>
      <c r="P58" s="80">
        <f>IF(B58="","",VLOOKUP(AD58,Varsayımlar!$B:$Q,7,0)*K58)</f>
        <v>6720</v>
      </c>
      <c r="Q58" s="80">
        <f>IF(B58="","",VLOOKUP(AD58,Varsayımlar!$B:$Q,8,0))</f>
        <v>25</v>
      </c>
      <c r="R58" s="80" t="str">
        <f>IF(B58="","",VLOOKUP(AD58,Varsayımlar!$B:$Q,9,0))</f>
        <v>Irak Soft</v>
      </c>
      <c r="S58" s="80">
        <f>IF(B58="","",VLOOKUP(AD58,Varsayımlar!$B:$Q,10,0))</f>
        <v>10</v>
      </c>
      <c r="T58" s="80">
        <f>IF(B58="","",VLOOKUP(AD58,Varsayımlar!$B:$Q,11,0))</f>
        <v>8</v>
      </c>
      <c r="U58" s="80">
        <f>IF(B58="","",VLOOKUP(AD58,Varsayımlar!$B:$Q,12,0))</f>
        <v>650</v>
      </c>
      <c r="V58" s="80" t="str">
        <f>IF(B58="","",VLOOKUP(AD58,Varsayımlar!$B:$Q,13,0))</f>
        <v>Yurtdışı</v>
      </c>
      <c r="W58" s="80">
        <f>IF(B58="","",VLOOKUP(AD58,Varsayımlar!$B:$Q,14,0))</f>
        <v>9</v>
      </c>
      <c r="X58" s="81"/>
      <c r="Y58" s="81"/>
      <c r="Z58" s="80"/>
      <c r="AA58" s="80" t="str">
        <f>IF(B58="","",VLOOKUP(AD58,Varsayımlar!$B:$Q,15,0))</f>
        <v>25cm Perforeli-Bulgarca TB etiket</v>
      </c>
      <c r="AB58" s="80" t="str">
        <f>IF(B58="","",VLOOKUP(AD58,Varsayımlar!$B:$Q,16,0))</f>
        <v>24-26 cm</v>
      </c>
      <c r="AC58" s="80" t="str">
        <f>IF(B58="","",VLOOKUP(Sayfa1!AD57,Varsayımlar!B:S,18,0))</f>
        <v>80x120cm -Epal+Epal</v>
      </c>
      <c r="AD58" s="57" t="str">
        <f>IF(B58="","",CONCATENATE(B58,E58))</f>
        <v>TASTE LAND-BULGARİSTANTortillas 25cm Tam Buğday 10pcs 650g</v>
      </c>
    </row>
    <row r="59" spans="1:30" ht="47.25" x14ac:dyDescent="0.25">
      <c r="A59" s="8" t="s">
        <v>87</v>
      </c>
      <c r="B59" s="79" t="s">
        <v>218</v>
      </c>
      <c r="C59" s="44">
        <f>IF(B59="","",VLOOKUP(AD59,Varsayımlar!$B:$Q,3,0))</f>
        <v>8698829380698</v>
      </c>
      <c r="D59" s="44" t="s">
        <v>160</v>
      </c>
      <c r="E59" s="79" t="s">
        <v>232</v>
      </c>
      <c r="F59" s="80">
        <v>26042907</v>
      </c>
      <c r="G59" s="44"/>
      <c r="H59" s="80" t="str">
        <f>IF(B59="","",VLOOKUP(AD59,Varsayımlar!$B:$Q,5,0))</f>
        <v>Tortillas Avrupa 25cm Domatesli (074)</v>
      </c>
      <c r="I59" s="80">
        <f>IF(B59="","",VLOOKUP(AD59,Varsayımlar!B:T,19,0))</f>
        <v>0</v>
      </c>
      <c r="J59" s="80" t="str">
        <f>IF(B59="","",VLOOKUP(AD59,Varsayımlar!$B:$Q,6,0))</f>
        <v>Domatesli</v>
      </c>
      <c r="K59" s="80">
        <v>480</v>
      </c>
      <c r="L59" s="80"/>
      <c r="M59" s="80">
        <f>IFERROR(IF(B59="","",K59/VLOOKUP(AD59,Varsayımlar!B:R,17,0)),"")</f>
        <v>4</v>
      </c>
      <c r="N59" s="80"/>
      <c r="O59" s="80">
        <v>5</v>
      </c>
      <c r="P59" s="80">
        <f>IF(B59="","",VLOOKUP(AD59,Varsayımlar!$B:$Q,7,0)*K59)</f>
        <v>5760</v>
      </c>
      <c r="Q59" s="80">
        <f>IF(B59="","",VLOOKUP(AD59,Varsayımlar!$B:$Q,8,0))</f>
        <v>25</v>
      </c>
      <c r="R59" s="80" t="str">
        <f>IF(B59="","",VLOOKUP(AD59,Varsayımlar!$B:$Q,9,0))</f>
        <v>Irak Soft</v>
      </c>
      <c r="S59" s="80">
        <f>IF(B59="","",VLOOKUP(AD59,Varsayımlar!$B:$Q,10,0))</f>
        <v>6</v>
      </c>
      <c r="T59" s="80">
        <f>IF(B59="","",VLOOKUP(AD59,Varsayımlar!$B:$Q,11,0))</f>
        <v>12</v>
      </c>
      <c r="U59" s="80">
        <f>IF(B59="","",VLOOKUP(AD59,Varsayımlar!$B:$Q,12,0))</f>
        <v>390</v>
      </c>
      <c r="V59" s="80" t="str">
        <f>IF(B59="","",VLOOKUP(AD59,Varsayımlar!$B:$Q,13,0))</f>
        <v>Yurtdışı</v>
      </c>
      <c r="W59" s="80">
        <f>IF(B59="","",VLOOKUP(AD59,Varsayımlar!$B:$Q,14,0))</f>
        <v>9</v>
      </c>
      <c r="X59" s="81"/>
      <c r="Y59" s="81"/>
      <c r="Z59" s="80"/>
      <c r="AA59" s="80" t="str">
        <f>IF(B59="","",VLOOKUP(AD59,Varsayımlar!$B:$Q,15,0))</f>
        <v>25cm Perforeli-Bulgarca Domatesli etiket</v>
      </c>
      <c r="AB59" s="80" t="str">
        <f>IF(B59="","",VLOOKUP(AD59,Varsayımlar!$B:$Q,16,0))</f>
        <v>24-26 cm</v>
      </c>
      <c r="AC59" s="80" t="str">
        <f>IF(B59="","",VLOOKUP(Sayfa1!AD58,Varsayımlar!B:S,18,0))</f>
        <v>80x120cm -Epal+Epal</v>
      </c>
      <c r="AD59" s="57" t="str">
        <f t="shared" ref="AD59:AD68" si="4">IF(B59="","",CONCATENATE(B59,E59))</f>
        <v>TASTE LAND-BULGARİSTANTortillas 25cm Domatesli 6pcs 390g</v>
      </c>
    </row>
    <row r="60" spans="1:30" ht="47.25" x14ac:dyDescent="0.25">
      <c r="A60" s="8" t="s">
        <v>88</v>
      </c>
      <c r="B60" s="79" t="s">
        <v>218</v>
      </c>
      <c r="C60" s="44">
        <f>IF(B60="","",VLOOKUP(AD60,Varsayımlar!$B:$Q,3,0))</f>
        <v>8698829380698</v>
      </c>
      <c r="D60" s="44" t="s">
        <v>160</v>
      </c>
      <c r="E60" s="79" t="s">
        <v>235</v>
      </c>
      <c r="F60" s="80">
        <v>26042907</v>
      </c>
      <c r="G60" s="44"/>
      <c r="H60" s="80" t="str">
        <f>IF(B60="","",VLOOKUP(AD60,Varsayımlar!$B:$Q,5,0))</f>
        <v>Tortillas Avrupa 25cm Ispanaklı (081)</v>
      </c>
      <c r="I60" s="80">
        <f>IF(B60="","",VLOOKUP(AD60,Varsayımlar!B:T,19,0))</f>
        <v>0</v>
      </c>
      <c r="J60" s="80" t="str">
        <f>IF(B60="","",VLOOKUP(AD60,Varsayımlar!$B:$Q,6,0))</f>
        <v>Ispanaklı</v>
      </c>
      <c r="K60" s="80">
        <v>480</v>
      </c>
      <c r="L60" s="80"/>
      <c r="M60" s="80">
        <f>IFERROR(IF(B60="","",K60/VLOOKUP(AD60,Varsayımlar!B:R,17,0)),"")</f>
        <v>4</v>
      </c>
      <c r="N60" s="80"/>
      <c r="O60" s="80">
        <v>5</v>
      </c>
      <c r="P60" s="80">
        <f>IF(B60="","",VLOOKUP(AD60,Varsayımlar!$B:$Q,7,0)*K60)</f>
        <v>5760</v>
      </c>
      <c r="Q60" s="80">
        <f>IF(B60="","",VLOOKUP(AD60,Varsayımlar!$B:$Q,8,0))</f>
        <v>25</v>
      </c>
      <c r="R60" s="80" t="str">
        <f>IF(B60="","",VLOOKUP(AD60,Varsayımlar!$B:$Q,9,0))</f>
        <v>Irak Soft</v>
      </c>
      <c r="S60" s="80">
        <f>IF(B60="","",VLOOKUP(AD60,Varsayımlar!$B:$Q,10,0))</f>
        <v>6</v>
      </c>
      <c r="T60" s="80">
        <f>IF(B60="","",VLOOKUP(AD60,Varsayımlar!$B:$Q,11,0))</f>
        <v>12</v>
      </c>
      <c r="U60" s="80">
        <f>IF(B60="","",VLOOKUP(AD60,Varsayımlar!$B:$Q,12,0))</f>
        <v>390</v>
      </c>
      <c r="V60" s="80" t="str">
        <f>IF(B60="","",VLOOKUP(AD60,Varsayımlar!$B:$Q,13,0))</f>
        <v>Yurtdışı</v>
      </c>
      <c r="W60" s="80">
        <f>IF(B60="","",VLOOKUP(AD60,Varsayımlar!$B:$Q,14,0))</f>
        <v>9</v>
      </c>
      <c r="X60" s="81"/>
      <c r="Y60" s="81"/>
      <c r="Z60" s="80"/>
      <c r="AA60" s="80" t="str">
        <f>IF(B60="","",VLOOKUP(AD60,Varsayımlar!$B:$Q,15,0))</f>
        <v>25cm Perforeli-Bulgarca Ispanaklı etiket</v>
      </c>
      <c r="AB60" s="80" t="str">
        <f>IF(B60="","",VLOOKUP(AD60,Varsayımlar!$B:$Q,16,0))</f>
        <v>24-26 cm</v>
      </c>
      <c r="AC60" s="80" t="str">
        <f>IF(B60="","",VLOOKUP(Sayfa1!AD59,Varsayımlar!B:S,18,0))</f>
        <v>80x120cm -Epal+Epal</v>
      </c>
      <c r="AD60" s="57" t="str">
        <f t="shared" si="4"/>
        <v>TASTE LAND-BULGARİSTANTortillas 25cm Ispanaklı 6pcs 390g</v>
      </c>
    </row>
    <row r="61" spans="1:30" ht="47.25" x14ac:dyDescent="0.25">
      <c r="A61" s="8" t="s">
        <v>89</v>
      </c>
      <c r="B61" s="79" t="s">
        <v>218</v>
      </c>
      <c r="C61" s="44">
        <f>IF(B61="","",VLOOKUP(AD61,Varsayımlar!$B:$Q,3,0))</f>
        <v>8698829380698</v>
      </c>
      <c r="D61" s="44" t="s">
        <v>160</v>
      </c>
      <c r="E61" s="79" t="s">
        <v>240</v>
      </c>
      <c r="F61" s="80">
        <v>26042907</v>
      </c>
      <c r="G61" s="44"/>
      <c r="H61" s="80" t="str">
        <f>IF(B61="","",VLOOKUP(AD61,Varsayımlar!$B:$Q,5,0))</f>
        <v>Tortillas Avrupa 25cm Peynirli (098)</v>
      </c>
      <c r="I61" s="80">
        <f>IF(B61="","",VLOOKUP(AD61,Varsayımlar!B:T,19,0))</f>
        <v>0</v>
      </c>
      <c r="J61" s="80" t="str">
        <f>IF(B61="","",VLOOKUP(AD61,Varsayımlar!$B:$Q,6,0))</f>
        <v>Peynirli</v>
      </c>
      <c r="K61" s="80">
        <v>360</v>
      </c>
      <c r="L61" s="80"/>
      <c r="M61" s="80">
        <f>IFERROR(IF(B61="","",K61/VLOOKUP(AD61,Varsayımlar!B:R,17,0)),"")</f>
        <v>3</v>
      </c>
      <c r="N61" s="80"/>
      <c r="O61" s="80">
        <v>4</v>
      </c>
      <c r="P61" s="80">
        <f>IF(B61="","",VLOOKUP(AD61,Varsayımlar!$B:$Q,7,0)*K61)</f>
        <v>4320</v>
      </c>
      <c r="Q61" s="80">
        <f>IF(B61="","",VLOOKUP(AD61,Varsayımlar!$B:$Q,8,0))</f>
        <v>25</v>
      </c>
      <c r="R61" s="80" t="str">
        <f>IF(B61="","",VLOOKUP(AD61,Varsayımlar!$B:$Q,9,0))</f>
        <v>Irak Soft-AT</v>
      </c>
      <c r="S61" s="80">
        <f>IF(B61="","",VLOOKUP(AD61,Varsayımlar!$B:$Q,10,0))</f>
        <v>6</v>
      </c>
      <c r="T61" s="80">
        <f>IF(B61="","",VLOOKUP(AD61,Varsayımlar!$B:$Q,11,0))</f>
        <v>12</v>
      </c>
      <c r="U61" s="80">
        <f>IF(B61="","",VLOOKUP(AD61,Varsayımlar!$B:$Q,12,0))</f>
        <v>390</v>
      </c>
      <c r="V61" s="80" t="str">
        <f>IF(B61="","",VLOOKUP(AD61,Varsayımlar!$B:$Q,13,0))</f>
        <v>Yurtdışı</v>
      </c>
      <c r="W61" s="80">
        <f>IF(B61="","",VLOOKUP(AD61,Varsayımlar!$B:$Q,14,0))</f>
        <v>9</v>
      </c>
      <c r="X61" s="81"/>
      <c r="Y61" s="81"/>
      <c r="Z61" s="80"/>
      <c r="AA61" s="80" t="str">
        <f>IF(B61="","",VLOOKUP(AD61,Varsayımlar!$B:$Q,15,0))</f>
        <v>25cm Perforeli-Bulgarca Peynirli etiket</v>
      </c>
      <c r="AB61" s="80" t="str">
        <f>IF(B61="","",VLOOKUP(AD61,Varsayımlar!$B:$Q,16,0))</f>
        <v>24-26 cm</v>
      </c>
      <c r="AC61" s="80" t="str">
        <f>IF(B61="","",VLOOKUP(Sayfa1!AD60,Varsayımlar!B:S,18,0))</f>
        <v>80x120cm -Epal+Epal</v>
      </c>
      <c r="AD61" s="57" t="str">
        <f t="shared" si="4"/>
        <v>TASTE LAND-BULGARİSTANTortillas 25cm Peynirli 6pcs 390g</v>
      </c>
    </row>
    <row r="62" spans="1:30" ht="31.5" x14ac:dyDescent="0.25">
      <c r="A62" s="8" t="s">
        <v>90</v>
      </c>
      <c r="B62" s="74" t="s">
        <v>218</v>
      </c>
      <c r="C62" s="43">
        <f>IF(B62="","",VLOOKUP(AD62,Varsayımlar!$B:$Q,3,0))</f>
        <v>8698829380698</v>
      </c>
      <c r="D62" s="43" t="s">
        <v>161</v>
      </c>
      <c r="E62" s="74" t="s">
        <v>228</v>
      </c>
      <c r="F62" s="75" t="s">
        <v>341</v>
      </c>
      <c r="G62" s="43"/>
      <c r="H62" s="75" t="str">
        <f>IF(B62="","",VLOOKUP(AD62,Varsayımlar!$B:$Q,5,0))</f>
        <v>Tortillas Avrupa 25cm (698)</v>
      </c>
      <c r="I62" s="75">
        <f>IF(B62="","",VLOOKUP(AD62,Varsayımlar!B:T,19,0))</f>
        <v>0</v>
      </c>
      <c r="J62" s="75" t="str">
        <f>IF(B62="","",VLOOKUP(AD62,Varsayımlar!$B:$Q,6,0))</f>
        <v>SADE</v>
      </c>
      <c r="K62" s="75">
        <v>720</v>
      </c>
      <c r="L62" s="75"/>
      <c r="M62" s="75">
        <f>IFERROR(IF(B62="","",K62/VLOOKUP(AD62,Varsayımlar!B:R,17,0)),"")</f>
        <v>6</v>
      </c>
      <c r="N62" s="75"/>
      <c r="O62" s="75">
        <v>7</v>
      </c>
      <c r="P62" s="75">
        <f>IF(B62="","",VLOOKUP(AD62,Varsayımlar!$B:$Q,7,0)*K62)</f>
        <v>5760</v>
      </c>
      <c r="Q62" s="75">
        <f>IF(B62="","",VLOOKUP(AD62,Varsayımlar!$B:$Q,8,0))</f>
        <v>25</v>
      </c>
      <c r="R62" s="75" t="str">
        <f>IF(B62="","",VLOOKUP(AD62,Varsayımlar!$B:$Q,9,0))</f>
        <v>Irak Soft</v>
      </c>
      <c r="S62" s="75">
        <f>IF(B62="","",VLOOKUP(AD62,Varsayımlar!$B:$Q,10,0))</f>
        <v>10</v>
      </c>
      <c r="T62" s="75">
        <f>IF(B62="","",VLOOKUP(AD62,Varsayımlar!$B:$Q,11,0))</f>
        <v>8</v>
      </c>
      <c r="U62" s="75">
        <f>IF(B62="","",VLOOKUP(AD62,Varsayımlar!$B:$Q,12,0))</f>
        <v>650</v>
      </c>
      <c r="V62" s="75" t="str">
        <f>IF(B62="","",VLOOKUP(AD62,Varsayımlar!$B:$Q,13,0))</f>
        <v>Yurtdışı</v>
      </c>
      <c r="W62" s="75">
        <f>IF(B62="","",VLOOKUP(AD62,Varsayımlar!$B:$Q,14,0))</f>
        <v>9</v>
      </c>
      <c r="X62" s="76"/>
      <c r="Y62" s="76"/>
      <c r="Z62" s="75"/>
      <c r="AA62" s="75" t="str">
        <f>IF(B62="","",VLOOKUP(AD62,Varsayımlar!$B:$Q,15,0))</f>
        <v>25cm Perforeli-Bulgarca etiket</v>
      </c>
      <c r="AB62" s="75" t="str">
        <f>IF(B62="","",VLOOKUP(AD62,Varsayımlar!$B:$Q,16,0))</f>
        <v>24-26 cm</v>
      </c>
      <c r="AC62" s="75" t="str">
        <f>IF(B62="","",VLOOKUP(Sayfa1!AD61,Varsayımlar!B:S,18,0))</f>
        <v>80x120cm -Epal+Epal</v>
      </c>
      <c r="AD62" s="57" t="str">
        <f t="shared" si="4"/>
        <v>TASTE LAND-BULGARİSTANTortillas 25cm Sade 10pcs 650g</v>
      </c>
    </row>
    <row r="63" spans="1:30" ht="47.25" x14ac:dyDescent="0.25">
      <c r="A63" s="8" t="s">
        <v>91</v>
      </c>
      <c r="B63" s="74" t="s">
        <v>218</v>
      </c>
      <c r="C63" s="43">
        <f>IF(B63="","",VLOOKUP(AD63,Varsayımlar!$B:$Q,3,0))</f>
        <v>8698829380698</v>
      </c>
      <c r="D63" s="43" t="s">
        <v>161</v>
      </c>
      <c r="E63" s="74" t="s">
        <v>250</v>
      </c>
      <c r="F63" s="75" t="s">
        <v>341</v>
      </c>
      <c r="G63" s="43"/>
      <c r="H63" s="75" t="str">
        <f>IF(B63="","",VLOOKUP(AD63,Varsayımlar!$B:$Q,5,0))</f>
        <v>Tortillas Avrupa 25cm (698)</v>
      </c>
      <c r="I63" s="75" t="str">
        <f>IF(B63="","",VLOOKUP(AD63,Varsayımlar!B:T,19,0))</f>
        <v>Barkod üzerine Barkod Etiketi (050)</v>
      </c>
      <c r="J63" s="75" t="str">
        <f>IF(B63="","",VLOOKUP(AD63,Varsayımlar!$B:$Q,6,0))</f>
        <v>SADE</v>
      </c>
      <c r="K63" s="75">
        <v>168</v>
      </c>
      <c r="L63" s="75"/>
      <c r="M63" s="75">
        <f>IFERROR(IF(B63="","",K63/VLOOKUP(AD63,Varsayımlar!B:R,17,0)),"")</f>
        <v>2</v>
      </c>
      <c r="N63" s="75"/>
      <c r="O63" s="75">
        <v>3</v>
      </c>
      <c r="P63" s="75">
        <f>IF(B63="","",VLOOKUP(AD63,Varsayımlar!$B:$Q,7,0)*K63)</f>
        <v>3024</v>
      </c>
      <c r="Q63" s="75">
        <f>IF(B63="","",VLOOKUP(AD63,Varsayımlar!$B:$Q,8,0))</f>
        <v>25</v>
      </c>
      <c r="R63" s="75" t="str">
        <f>IF(B63="","",VLOOKUP(AD63,Varsayımlar!$B:$Q,9,0))</f>
        <v>Irak Soft</v>
      </c>
      <c r="S63" s="75">
        <f>IF(B63="","",VLOOKUP(AD63,Varsayımlar!$B:$Q,10,0))</f>
        <v>6</v>
      </c>
      <c r="T63" s="75">
        <f>IF(B63="","",VLOOKUP(AD63,Varsayımlar!$B:$Q,11,0))</f>
        <v>18</v>
      </c>
      <c r="U63" s="75">
        <f>IF(B63="","",VLOOKUP(AD63,Varsayımlar!$B:$Q,12,0))</f>
        <v>390</v>
      </c>
      <c r="V63" s="75" t="str">
        <f>IF(B63="","",VLOOKUP(AD63,Varsayımlar!$B:$Q,13,0))</f>
        <v>Yurtdışı</v>
      </c>
      <c r="W63" s="75">
        <f>IF(B63="","",VLOOKUP(AD63,Varsayımlar!$B:$Q,14,0))</f>
        <v>9</v>
      </c>
      <c r="X63" s="76"/>
      <c r="Y63" s="76"/>
      <c r="Z63" s="75"/>
      <c r="AA63" s="75" t="str">
        <f>IF(B63="","",VLOOKUP(AD63,Varsayımlar!$B:$Q,15,0))</f>
        <v>25cm Kırmızı koli-Bulgarca Etiket</v>
      </c>
      <c r="AB63" s="75" t="str">
        <f>IF(B63="","",VLOOKUP(AD63,Varsayımlar!$B:$Q,16,0))</f>
        <v>24-26 cm</v>
      </c>
      <c r="AC63" s="75" t="str">
        <f>IF(B63="","",VLOOKUP(Sayfa1!AD62,Varsayımlar!B:S,18,0))</f>
        <v>80x120cm -Epal+Epal</v>
      </c>
      <c r="AD63" s="57" t="str">
        <f t="shared" si="4"/>
        <v>TASTE LAND-BULGARİSTANTortillas 25cm Sade 6pcs 390g</v>
      </c>
    </row>
    <row r="64" spans="1:30" ht="31.5" x14ac:dyDescent="0.25">
      <c r="A64" s="8" t="s">
        <v>92</v>
      </c>
      <c r="B64" s="74" t="s">
        <v>218</v>
      </c>
      <c r="C64" s="43">
        <f>IF(B64="","",VLOOKUP(AD64,Varsayımlar!$B:$Q,3,0))</f>
        <v>8698829380698</v>
      </c>
      <c r="D64" s="43" t="s">
        <v>161</v>
      </c>
      <c r="E64" s="74" t="s">
        <v>229</v>
      </c>
      <c r="F64" s="75" t="s">
        <v>341</v>
      </c>
      <c r="G64" s="43"/>
      <c r="H64" s="75" t="str">
        <f>IF(B64="","",VLOOKUP(AD64,Varsayımlar!$B:$Q,5,0))</f>
        <v>Tortillas Avrupa 25cm Tam Buğday (711)</v>
      </c>
      <c r="I64" s="75">
        <f>IF(B64="","",VLOOKUP(AD64,Varsayımlar!B:T,19,0))</f>
        <v>0</v>
      </c>
      <c r="J64" s="75" t="str">
        <f>IF(B64="","",VLOOKUP(AD64,Varsayımlar!$B:$Q,6,0))</f>
        <v>Tam Buğdaylı</v>
      </c>
      <c r="K64" s="75">
        <v>840</v>
      </c>
      <c r="L64" s="75"/>
      <c r="M64" s="75">
        <f>IFERROR(IF(B64="","",K64/VLOOKUP(AD64,Varsayımlar!B:R,17,0)),"")</f>
        <v>7</v>
      </c>
      <c r="N64" s="75"/>
      <c r="O64" s="75">
        <v>9</v>
      </c>
      <c r="P64" s="75">
        <f>IF(B64="","",VLOOKUP(AD64,Varsayımlar!$B:$Q,7,0)*K64)</f>
        <v>6720</v>
      </c>
      <c r="Q64" s="75">
        <f>IF(B64="","",VLOOKUP(AD64,Varsayımlar!$B:$Q,8,0))</f>
        <v>25</v>
      </c>
      <c r="R64" s="75" t="str">
        <f>IF(B64="","",VLOOKUP(AD64,Varsayımlar!$B:$Q,9,0))</f>
        <v>Irak Soft</v>
      </c>
      <c r="S64" s="75">
        <f>IF(B64="","",VLOOKUP(AD64,Varsayımlar!$B:$Q,10,0))</f>
        <v>10</v>
      </c>
      <c r="T64" s="75">
        <f>IF(B64="","",VLOOKUP(AD64,Varsayımlar!$B:$Q,11,0))</f>
        <v>8</v>
      </c>
      <c r="U64" s="75">
        <f>IF(B64="","",VLOOKUP(AD64,Varsayımlar!$B:$Q,12,0))</f>
        <v>650</v>
      </c>
      <c r="V64" s="75" t="str">
        <f>IF(B64="","",VLOOKUP(AD64,Varsayımlar!$B:$Q,13,0))</f>
        <v>Yurtdışı</v>
      </c>
      <c r="W64" s="75">
        <f>IF(B64="","",VLOOKUP(AD64,Varsayımlar!$B:$Q,14,0))</f>
        <v>9</v>
      </c>
      <c r="X64" s="76"/>
      <c r="Y64" s="76"/>
      <c r="Z64" s="75"/>
      <c r="AA64" s="75" t="str">
        <f>IF(B64="","",VLOOKUP(AD64,Varsayımlar!$B:$Q,15,0))</f>
        <v>25cm Perforeli-Bulgarca TB etiket</v>
      </c>
      <c r="AB64" s="75" t="str">
        <f>IF(B64="","",VLOOKUP(AD64,Varsayımlar!$B:$Q,16,0))</f>
        <v>24-26 cm</v>
      </c>
      <c r="AC64" s="75" t="str">
        <f>IF(B64="","",VLOOKUP(Sayfa1!AD63,Varsayımlar!B:S,18,0))</f>
        <v>80x120cm -Epal+Epal</v>
      </c>
      <c r="AD64" s="57" t="str">
        <f t="shared" si="4"/>
        <v>TASTE LAND-BULGARİSTANTortillas 25cm Tam Buğday 10pcs 650g</v>
      </c>
    </row>
    <row r="65" spans="1:30" ht="47.25" x14ac:dyDescent="0.25">
      <c r="A65" s="8" t="s">
        <v>93</v>
      </c>
      <c r="B65" s="74" t="s">
        <v>218</v>
      </c>
      <c r="C65" s="43">
        <f>IF(B65="","",VLOOKUP(AD65,Varsayımlar!$B:$Q,3,0))</f>
        <v>8698829380698</v>
      </c>
      <c r="D65" s="43" t="s">
        <v>161</v>
      </c>
      <c r="E65" s="74" t="s">
        <v>251</v>
      </c>
      <c r="F65" s="75" t="s">
        <v>341</v>
      </c>
      <c r="G65" s="43"/>
      <c r="H65" s="75" t="str">
        <f>IF(B65="","",VLOOKUP(AD65,Varsayımlar!$B:$Q,5,0))</f>
        <v>Tortillas Avrupa 25cm TB (711)</v>
      </c>
      <c r="I65" s="75" t="str">
        <f>IF(B65="","",VLOOKUP(AD65,Varsayımlar!B:T,19,0))</f>
        <v>Barkod üzerine Barkod Etiketi (067)</v>
      </c>
      <c r="J65" s="75" t="str">
        <f>IF(B65="","",VLOOKUP(AD65,Varsayımlar!$B:$Q,6,0))</f>
        <v>Tam Buğdaylı</v>
      </c>
      <c r="K65" s="75">
        <v>84</v>
      </c>
      <c r="L65" s="75"/>
      <c r="M65" s="75">
        <f>IFERROR(IF(B65="","",K65/VLOOKUP(AD65,Varsayımlar!B:R,17,0)),"")</f>
        <v>1</v>
      </c>
      <c r="N65" s="75"/>
      <c r="O65" s="75">
        <v>2</v>
      </c>
      <c r="P65" s="75">
        <f>IF(B65="","",VLOOKUP(AD65,Varsayımlar!$B:$Q,7,0)*K65)</f>
        <v>1512</v>
      </c>
      <c r="Q65" s="75">
        <f>IF(B65="","",VLOOKUP(AD65,Varsayımlar!$B:$Q,8,0))</f>
        <v>25</v>
      </c>
      <c r="R65" s="75" t="str">
        <f>IF(B65="","",VLOOKUP(AD65,Varsayımlar!$B:$Q,9,0))</f>
        <v>Irak Soft</v>
      </c>
      <c r="S65" s="75">
        <f>IF(B65="","",VLOOKUP(AD65,Varsayımlar!$B:$Q,10,0))</f>
        <v>6</v>
      </c>
      <c r="T65" s="75">
        <f>IF(B65="","",VLOOKUP(AD65,Varsayımlar!$B:$Q,11,0))</f>
        <v>18</v>
      </c>
      <c r="U65" s="75">
        <f>IF(B65="","",VLOOKUP(AD65,Varsayımlar!$B:$Q,12,0))</f>
        <v>390</v>
      </c>
      <c r="V65" s="75" t="str">
        <f>IF(B65="","",VLOOKUP(AD65,Varsayımlar!$B:$Q,13,0))</f>
        <v>Yurtdışı</v>
      </c>
      <c r="W65" s="75">
        <f>IF(B65="","",VLOOKUP(AD65,Varsayımlar!$B:$Q,14,0))</f>
        <v>9</v>
      </c>
      <c r="X65" s="76"/>
      <c r="Y65" s="76"/>
      <c r="Z65" s="75"/>
      <c r="AA65" s="75" t="str">
        <f>IF(B65="","",VLOOKUP(AD65,Varsayımlar!$B:$Q,15,0))</f>
        <v>25cm Kırmızı koli-Bulgarca TB Etiket</v>
      </c>
      <c r="AB65" s="75" t="str">
        <f>IF(B65="","",VLOOKUP(AD65,Varsayımlar!$B:$Q,16,0))</f>
        <v>24-26 cm</v>
      </c>
      <c r="AC65" s="75" t="str">
        <f>IF(B65="","",VLOOKUP(Sayfa1!AD64,Varsayımlar!B:S,18,0))</f>
        <v>80x120cm -Epal+Epal</v>
      </c>
      <c r="AD65" s="57" t="str">
        <f t="shared" si="4"/>
        <v>TASTE LAND-BULGARİSTANTortillas 25cm TB 6pcs 390g</v>
      </c>
    </row>
    <row r="66" spans="1:30" ht="47.25" x14ac:dyDescent="0.25">
      <c r="A66" s="8" t="s">
        <v>135</v>
      </c>
      <c r="B66" s="74" t="s">
        <v>218</v>
      </c>
      <c r="C66" s="43">
        <f>IF(B66="","",VLOOKUP(AD66,Varsayımlar!$B:$Q,3,0))</f>
        <v>8698829380698</v>
      </c>
      <c r="D66" s="43" t="s">
        <v>161</v>
      </c>
      <c r="E66" s="74" t="s">
        <v>232</v>
      </c>
      <c r="F66" s="75" t="s">
        <v>341</v>
      </c>
      <c r="G66" s="43"/>
      <c r="H66" s="75" t="str">
        <f>IF(B66="","",VLOOKUP(AD66,Varsayımlar!$B:$Q,5,0))</f>
        <v>Tortillas Avrupa 25cm Domatesli (074)</v>
      </c>
      <c r="I66" s="75">
        <f>IF(B66="","",VLOOKUP(AD66,Varsayımlar!B:T,19,0))</f>
        <v>0</v>
      </c>
      <c r="J66" s="75" t="str">
        <f>IF(B66="","",VLOOKUP(AD66,Varsayımlar!$B:$Q,6,0))</f>
        <v>Domatesli</v>
      </c>
      <c r="K66" s="75">
        <v>240</v>
      </c>
      <c r="L66" s="75"/>
      <c r="M66" s="75">
        <f>IFERROR(IF(B66="","",K66/VLOOKUP(AD66,Varsayımlar!B:R,17,0)),"")</f>
        <v>2</v>
      </c>
      <c r="N66" s="75"/>
      <c r="O66" s="75">
        <v>3</v>
      </c>
      <c r="P66" s="75">
        <f>IF(B66="","",VLOOKUP(AD66,Varsayımlar!$B:$Q,7,0)*K66)</f>
        <v>2880</v>
      </c>
      <c r="Q66" s="75">
        <f>IF(B66="","",VLOOKUP(AD66,Varsayımlar!$B:$Q,8,0))</f>
        <v>25</v>
      </c>
      <c r="R66" s="75" t="str">
        <f>IF(B66="","",VLOOKUP(AD66,Varsayımlar!$B:$Q,9,0))</f>
        <v>Irak Soft</v>
      </c>
      <c r="S66" s="75">
        <f>IF(B66="","",VLOOKUP(AD66,Varsayımlar!$B:$Q,10,0))</f>
        <v>6</v>
      </c>
      <c r="T66" s="75">
        <f>IF(B66="","",VLOOKUP(AD66,Varsayımlar!$B:$Q,11,0))</f>
        <v>12</v>
      </c>
      <c r="U66" s="75">
        <f>IF(B66="","",VLOOKUP(AD66,Varsayımlar!$B:$Q,12,0))</f>
        <v>390</v>
      </c>
      <c r="V66" s="75" t="str">
        <f>IF(B66="","",VLOOKUP(AD66,Varsayımlar!$B:$Q,13,0))</f>
        <v>Yurtdışı</v>
      </c>
      <c r="W66" s="75">
        <f>IF(B66="","",VLOOKUP(AD66,Varsayımlar!$B:$Q,14,0))</f>
        <v>9</v>
      </c>
      <c r="X66" s="76"/>
      <c r="Y66" s="76"/>
      <c r="Z66" s="75"/>
      <c r="AA66" s="75" t="str">
        <f>IF(B66="","",VLOOKUP(AD66,Varsayımlar!$B:$Q,15,0))</f>
        <v>25cm Perforeli-Bulgarca Domatesli etiket</v>
      </c>
      <c r="AB66" s="75" t="str">
        <f>IF(B66="","",VLOOKUP(AD66,Varsayımlar!$B:$Q,16,0))</f>
        <v>24-26 cm</v>
      </c>
      <c r="AC66" s="75" t="str">
        <f>IF(B66="","",VLOOKUP(Sayfa1!AD65,Varsayımlar!B:S,18,0))</f>
        <v>80x120cm -Epal+Epal</v>
      </c>
      <c r="AD66" s="57" t="str">
        <f t="shared" si="4"/>
        <v>TASTE LAND-BULGARİSTANTortillas 25cm Domatesli 6pcs 390g</v>
      </c>
    </row>
    <row r="67" spans="1:30" ht="47.25" x14ac:dyDescent="0.25">
      <c r="A67" s="8" t="s">
        <v>136</v>
      </c>
      <c r="B67" s="74" t="s">
        <v>218</v>
      </c>
      <c r="C67" s="43">
        <f>IF(B67="","",VLOOKUP(AD67,Varsayımlar!$B:$Q,3,0))</f>
        <v>8698829380698</v>
      </c>
      <c r="D67" s="43" t="s">
        <v>161</v>
      </c>
      <c r="E67" s="74" t="s">
        <v>235</v>
      </c>
      <c r="F67" s="75" t="s">
        <v>341</v>
      </c>
      <c r="G67" s="43"/>
      <c r="H67" s="75" t="str">
        <f>IF(B67="","",VLOOKUP(AD67,Varsayımlar!$B:$Q,5,0))</f>
        <v>Tortillas Avrupa 25cm Ispanaklı (081)</v>
      </c>
      <c r="I67" s="75">
        <f>IF(B67="","",VLOOKUP(AD67,Varsayımlar!B:T,19,0))</f>
        <v>0</v>
      </c>
      <c r="J67" s="75" t="str">
        <f>IF(B67="","",VLOOKUP(AD67,Varsayımlar!$B:$Q,6,0))</f>
        <v>Ispanaklı</v>
      </c>
      <c r="K67" s="75">
        <v>240</v>
      </c>
      <c r="L67" s="75"/>
      <c r="M67" s="75">
        <f>IFERROR(IF(B67="","",K67/VLOOKUP(AD67,Varsayımlar!B:R,17,0)),"")</f>
        <v>2</v>
      </c>
      <c r="N67" s="75"/>
      <c r="O67" s="75">
        <v>3</v>
      </c>
      <c r="P67" s="75">
        <f>IF(B67="","",VLOOKUP(AD67,Varsayımlar!$B:$Q,7,0)*K67)</f>
        <v>2880</v>
      </c>
      <c r="Q67" s="75">
        <f>IF(B67="","",VLOOKUP(AD67,Varsayımlar!$B:$Q,8,0))</f>
        <v>25</v>
      </c>
      <c r="R67" s="75" t="str">
        <f>IF(B67="","",VLOOKUP(AD67,Varsayımlar!$B:$Q,9,0))</f>
        <v>Irak Soft</v>
      </c>
      <c r="S67" s="75">
        <f>IF(B67="","",VLOOKUP(AD67,Varsayımlar!$B:$Q,10,0))</f>
        <v>6</v>
      </c>
      <c r="T67" s="75">
        <f>IF(B67="","",VLOOKUP(AD67,Varsayımlar!$B:$Q,11,0))</f>
        <v>12</v>
      </c>
      <c r="U67" s="75">
        <f>IF(B67="","",VLOOKUP(AD67,Varsayımlar!$B:$Q,12,0))</f>
        <v>390</v>
      </c>
      <c r="V67" s="75" t="str">
        <f>IF(B67="","",VLOOKUP(AD67,Varsayımlar!$B:$Q,13,0))</f>
        <v>Yurtdışı</v>
      </c>
      <c r="W67" s="75">
        <f>IF(B67="","",VLOOKUP(AD67,Varsayımlar!$B:$Q,14,0))</f>
        <v>9</v>
      </c>
      <c r="X67" s="76"/>
      <c r="Y67" s="76"/>
      <c r="Z67" s="75"/>
      <c r="AA67" s="75" t="str">
        <f>IF(B67="","",VLOOKUP(AD67,Varsayımlar!$B:$Q,15,0))</f>
        <v>25cm Perforeli-Bulgarca Ispanaklı etiket</v>
      </c>
      <c r="AB67" s="75" t="str">
        <f>IF(B67="","",VLOOKUP(AD67,Varsayımlar!$B:$Q,16,0))</f>
        <v>24-26 cm</v>
      </c>
      <c r="AC67" s="75" t="str">
        <f>IF(B67="","",VLOOKUP(Sayfa1!AD66,Varsayımlar!B:S,18,0))</f>
        <v>80x120cm -Epal+Epal</v>
      </c>
      <c r="AD67" s="57" t="str">
        <f t="shared" si="4"/>
        <v>TASTE LAND-BULGARİSTANTortillas 25cm Ispanaklı 6pcs 390g</v>
      </c>
    </row>
    <row r="68" spans="1:30" ht="47.25" x14ac:dyDescent="0.25">
      <c r="A68" s="8" t="s">
        <v>137</v>
      </c>
      <c r="B68" s="74" t="s">
        <v>218</v>
      </c>
      <c r="C68" s="43">
        <f>IF(B68="","",VLOOKUP(AD68,Varsayımlar!$B:$Q,3,0))</f>
        <v>8698829380698</v>
      </c>
      <c r="D68" s="43" t="s">
        <v>161</v>
      </c>
      <c r="E68" s="74" t="s">
        <v>240</v>
      </c>
      <c r="F68" s="75" t="s">
        <v>341</v>
      </c>
      <c r="G68" s="43"/>
      <c r="H68" s="75" t="str">
        <f>IF(B68="","",VLOOKUP(AD68,Varsayımlar!$B:$Q,5,0))</f>
        <v>Tortillas Avrupa 25cm Peynirli (098)</v>
      </c>
      <c r="I68" s="75">
        <f>IF(B68="","",VLOOKUP(AD68,Varsayımlar!B:T,19,0))</f>
        <v>0</v>
      </c>
      <c r="J68" s="75" t="str">
        <f>IF(B68="","",VLOOKUP(AD68,Varsayımlar!$B:$Q,6,0))</f>
        <v>Peynirli</v>
      </c>
      <c r="K68" s="75">
        <v>120</v>
      </c>
      <c r="L68" s="75"/>
      <c r="M68" s="75">
        <f>IFERROR(IF(B68="","",K68/VLOOKUP(AD68,Varsayımlar!B:R,17,0)),"")</f>
        <v>1</v>
      </c>
      <c r="N68" s="75"/>
      <c r="O68" s="75">
        <v>2</v>
      </c>
      <c r="P68" s="75">
        <f>IF(B68="","",VLOOKUP(AD68,Varsayımlar!$B:$Q,7,0)*K68)</f>
        <v>1440</v>
      </c>
      <c r="Q68" s="75">
        <f>IF(B68="","",VLOOKUP(AD68,Varsayımlar!$B:$Q,8,0))</f>
        <v>25</v>
      </c>
      <c r="R68" s="75" t="str">
        <f>IF(B68="","",VLOOKUP(AD68,Varsayımlar!$B:$Q,9,0))</f>
        <v>Irak Soft-AT</v>
      </c>
      <c r="S68" s="75">
        <f>IF(B68="","",VLOOKUP(AD68,Varsayımlar!$B:$Q,10,0))</f>
        <v>6</v>
      </c>
      <c r="T68" s="75">
        <f>IF(B68="","",VLOOKUP(AD68,Varsayımlar!$B:$Q,11,0))</f>
        <v>12</v>
      </c>
      <c r="U68" s="75">
        <f>IF(B68="","",VLOOKUP(AD68,Varsayımlar!$B:$Q,12,0))</f>
        <v>390</v>
      </c>
      <c r="V68" s="75" t="str">
        <f>IF(B68="","",VLOOKUP(AD68,Varsayımlar!$B:$Q,13,0))</f>
        <v>Yurtdışı</v>
      </c>
      <c r="W68" s="75">
        <f>IF(B68="","",VLOOKUP(AD68,Varsayımlar!$B:$Q,14,0))</f>
        <v>9</v>
      </c>
      <c r="X68" s="76"/>
      <c r="Y68" s="76"/>
      <c r="Z68" s="75"/>
      <c r="AA68" s="75" t="str">
        <f>IF(B68="","",VLOOKUP(AD68,Varsayımlar!$B:$Q,15,0))</f>
        <v>25cm Perforeli-Bulgarca Peynirli etiket</v>
      </c>
      <c r="AB68" s="75" t="str">
        <f>IF(B68="","",VLOOKUP(AD68,Varsayımlar!$B:$Q,16,0))</f>
        <v>24-26 cm</v>
      </c>
      <c r="AC68" s="75" t="str">
        <f>IF(B68="","",VLOOKUP(Sayfa1!AD67,Varsayımlar!B:S,18,0))</f>
        <v>80x120cm -Epal+Epal</v>
      </c>
      <c r="AD68" s="57" t="str">
        <f t="shared" si="4"/>
        <v>TASTE LAND-BULGARİSTANTortillas 25cm Peynirli 6pcs 390g</v>
      </c>
    </row>
    <row r="69" spans="1:30" x14ac:dyDescent="0.25">
      <c r="A69" s="8" t="s">
        <v>138</v>
      </c>
      <c r="B69" s="67"/>
      <c r="C69" s="42" t="str">
        <f>IF(B69="","",VLOOKUP(AD69,Varsayımlar!$B:$Q,3,0))</f>
        <v/>
      </c>
      <c r="D69" s="42"/>
      <c r="E69" s="42"/>
      <c r="F69" s="67"/>
      <c r="G69" s="67"/>
      <c r="H69" s="67" t="str">
        <f>IF(B69="","",VLOOKUP(AD69,Varsayımlar!$B:$Q,5,0))</f>
        <v/>
      </c>
      <c r="I69" s="67"/>
      <c r="J69" s="67" t="str">
        <f>IF(B69="","",VLOOKUP(AD69,Varsayımlar!$B:$Q,6,0))</f>
        <v/>
      </c>
      <c r="K69" s="67"/>
      <c r="L69" s="67"/>
      <c r="M69" s="67" t="str">
        <f>IFERROR(IF(B69="","",K69/VLOOKUP(AD69,Varsayımlar!B:R,17,0)),"")</f>
        <v/>
      </c>
      <c r="N69" s="67"/>
      <c r="O69" s="67"/>
      <c r="P69" s="67" t="str">
        <f>IF(B69="","",VLOOKUP(AD69,Varsayımlar!$B:$Q,7,0)*K69)</f>
        <v/>
      </c>
      <c r="Q69" s="67" t="str">
        <f>IF(B69="","",VLOOKUP(AD69,Varsayımlar!$B:$Q,8,0))</f>
        <v/>
      </c>
      <c r="R69" s="67" t="str">
        <f>IF(B69="","",VLOOKUP(AD69,Varsayımlar!$B:$Q,9,0))</f>
        <v/>
      </c>
      <c r="S69" s="67" t="str">
        <f>IF(B69="","",VLOOKUP(AD69,Varsayımlar!$B:$Q,10,0))</f>
        <v/>
      </c>
      <c r="T69" s="67" t="str">
        <f>IF(B69="","",VLOOKUP(AD69,Varsayımlar!$B:$Q,11,0))</f>
        <v/>
      </c>
      <c r="U69" s="67" t="str">
        <f>IF(B69="","",VLOOKUP(AD69,Varsayımlar!$B:$Q,12,0))</f>
        <v/>
      </c>
      <c r="V69" s="67" t="str">
        <f>IF(B69="","",VLOOKUP(AD69,Varsayımlar!$B:$Q,13,0))</f>
        <v/>
      </c>
      <c r="W69" s="67" t="str">
        <f>IF(B69="","",VLOOKUP(AD69,Varsayımlar!$B:$Q,14,0))</f>
        <v/>
      </c>
      <c r="X69" s="69"/>
      <c r="Y69" s="69"/>
      <c r="Z69" s="67"/>
      <c r="AA69" s="67" t="str">
        <f>IF(B69="","",VLOOKUP(AD69,Varsayımlar!$B:$Q,15,0))</f>
        <v/>
      </c>
      <c r="AB69" s="67" t="str">
        <f>IF(B69="","",VLOOKUP(AD69,Varsayımlar!$B:$Q,16,0))</f>
        <v/>
      </c>
      <c r="AC69" s="67"/>
      <c r="AD69" s="57" t="str">
        <f t="shared" si="2"/>
        <v/>
      </c>
    </row>
    <row r="70" spans="1:30" x14ac:dyDescent="0.25">
      <c r="A70" s="8" t="s">
        <v>139</v>
      </c>
      <c r="B70" s="67"/>
      <c r="C70" s="42" t="str">
        <f>IF(B70="","",VLOOKUP(AD70,Varsayımlar!$B:$Q,3,0))</f>
        <v/>
      </c>
      <c r="D70" s="42"/>
      <c r="E70" s="42"/>
      <c r="F70" s="67"/>
      <c r="G70" s="67"/>
      <c r="H70" s="67" t="str">
        <f>IF(B70="","",VLOOKUP(AD70,Varsayımlar!$B:$Q,5,0))</f>
        <v/>
      </c>
      <c r="I70" s="67"/>
      <c r="J70" s="67" t="str">
        <f>IF(B70="","",VLOOKUP(AD70,Varsayımlar!$B:$Q,6,0))</f>
        <v/>
      </c>
      <c r="K70" s="67"/>
      <c r="L70" s="67"/>
      <c r="M70" s="67" t="str">
        <f>IFERROR(IF(B70="","",K70/VLOOKUP(AD70,Varsayımlar!B:R,17,0)),"")</f>
        <v/>
      </c>
      <c r="N70" s="67"/>
      <c r="O70" s="67"/>
      <c r="P70" s="67" t="str">
        <f>IF(B70="","",VLOOKUP(AD70,Varsayımlar!$B:$Q,7,0)*K70)</f>
        <v/>
      </c>
      <c r="Q70" s="67" t="str">
        <f>IF(B70="","",VLOOKUP(AD70,Varsayımlar!$B:$Q,8,0))</f>
        <v/>
      </c>
      <c r="R70" s="67" t="str">
        <f>IF(B70="","",VLOOKUP(AD70,Varsayımlar!$B:$Q,9,0))</f>
        <v/>
      </c>
      <c r="S70" s="67" t="str">
        <f>IF(B70="","",VLOOKUP(AD70,Varsayımlar!$B:$Q,10,0))</f>
        <v/>
      </c>
      <c r="T70" s="67" t="str">
        <f>IF(B70="","",VLOOKUP(AD70,Varsayımlar!$B:$Q,11,0))</f>
        <v/>
      </c>
      <c r="U70" s="67" t="str">
        <f>IF(B70="","",VLOOKUP(AD70,Varsayımlar!$B:$Q,12,0))</f>
        <v/>
      </c>
      <c r="V70" s="67" t="str">
        <f>IF(B70="","",VLOOKUP(AD70,Varsayımlar!$B:$Q,13,0))</f>
        <v/>
      </c>
      <c r="W70" s="67" t="str">
        <f>IF(B70="","",VLOOKUP(AD70,Varsayımlar!$B:$Q,14,0))</f>
        <v/>
      </c>
      <c r="X70" s="69"/>
      <c r="Y70" s="69"/>
      <c r="Z70" s="67"/>
      <c r="AA70" s="67" t="str">
        <f>IF(B70="","",VLOOKUP(AD70,Varsayımlar!$B:$Q,15,0))</f>
        <v/>
      </c>
      <c r="AB70" s="67" t="str">
        <f>IF(B70="","",VLOOKUP(AD70,Varsayımlar!$B:$Q,16,0))</f>
        <v/>
      </c>
      <c r="AC70" s="67"/>
      <c r="AD70" s="57" t="str">
        <f t="shared" si="2"/>
        <v/>
      </c>
    </row>
    <row r="71" spans="1:30" x14ac:dyDescent="0.25">
      <c r="A71" s="8" t="s">
        <v>140</v>
      </c>
      <c r="B71" s="67"/>
      <c r="C71" s="42" t="str">
        <f>IF(B71="","",VLOOKUP(AD71,Varsayımlar!$B:$Q,3,0))</f>
        <v/>
      </c>
      <c r="D71" s="42"/>
      <c r="E71" s="42"/>
      <c r="F71" s="67"/>
      <c r="G71" s="67"/>
      <c r="H71" s="67" t="str">
        <f>IF(B71="","",VLOOKUP(AD71,Varsayımlar!$B:$Q,5,0))</f>
        <v/>
      </c>
      <c r="I71" s="67"/>
      <c r="J71" s="67" t="str">
        <f>IF(B71="","",VLOOKUP(AD71,Varsayımlar!$B:$Q,6,0))</f>
        <v/>
      </c>
      <c r="K71" s="67"/>
      <c r="L71" s="67"/>
      <c r="M71" s="67" t="str">
        <f>IFERROR(IF(B71="","",K71/VLOOKUP(AD71,Varsayımlar!B:R,17,0)),"")</f>
        <v/>
      </c>
      <c r="N71" s="67"/>
      <c r="O71" s="67"/>
      <c r="P71" s="67" t="str">
        <f>IF(B71="","",VLOOKUP(AD71,Varsayımlar!$B:$Q,7,0)*K71)</f>
        <v/>
      </c>
      <c r="Q71" s="67" t="str">
        <f>IF(B71="","",VLOOKUP(AD71,Varsayımlar!$B:$Q,8,0))</f>
        <v/>
      </c>
      <c r="R71" s="67" t="str">
        <f>IF(B71="","",VLOOKUP(AD71,Varsayımlar!$B:$Q,9,0))</f>
        <v/>
      </c>
      <c r="S71" s="67" t="str">
        <f>IF(B71="","",VLOOKUP(AD71,Varsayımlar!$B:$Q,10,0))</f>
        <v/>
      </c>
      <c r="T71" s="67" t="str">
        <f>IF(B71="","",VLOOKUP(AD71,Varsayımlar!$B:$Q,11,0))</f>
        <v/>
      </c>
      <c r="U71" s="67" t="str">
        <f>IF(B71="","",VLOOKUP(AD71,Varsayımlar!$B:$Q,12,0))</f>
        <v/>
      </c>
      <c r="V71" s="67" t="str">
        <f>IF(B71="","",VLOOKUP(AD71,Varsayımlar!$B:$Q,13,0))</f>
        <v/>
      </c>
      <c r="W71" s="67" t="str">
        <f>IF(B71="","",VLOOKUP(AD71,Varsayımlar!$B:$Q,14,0))</f>
        <v/>
      </c>
      <c r="X71" s="69"/>
      <c r="Y71" s="69"/>
      <c r="Z71" s="67"/>
      <c r="AA71" s="67" t="str">
        <f>IF(B71="","",VLOOKUP(AD71,Varsayımlar!$B:$Q,15,0))</f>
        <v/>
      </c>
      <c r="AB71" s="67" t="str">
        <f>IF(B71="","",VLOOKUP(AD71,Varsayımlar!$B:$Q,16,0))</f>
        <v/>
      </c>
      <c r="AC71" s="67"/>
      <c r="AD71" s="57" t="str">
        <f t="shared" si="2"/>
        <v/>
      </c>
    </row>
    <row r="72" spans="1:30" x14ac:dyDescent="0.25">
      <c r="A72" s="8" t="s">
        <v>141</v>
      </c>
      <c r="B72" s="67"/>
      <c r="C72" s="42" t="str">
        <f>IF(B72="","",VLOOKUP(AD72,Varsayımlar!$B:$Q,3,0))</f>
        <v/>
      </c>
      <c r="D72" s="42"/>
      <c r="E72" s="42"/>
      <c r="F72" s="67"/>
      <c r="G72" s="67"/>
      <c r="H72" s="67" t="str">
        <f>IF(B72="","",VLOOKUP(AD72,Varsayımlar!$B:$Q,5,0))</f>
        <v/>
      </c>
      <c r="I72" s="67"/>
      <c r="J72" s="67" t="str">
        <f>IF(B72="","",VLOOKUP(AD72,Varsayımlar!$B:$Q,6,0))</f>
        <v/>
      </c>
      <c r="K72" s="67"/>
      <c r="L72" s="67"/>
      <c r="M72" s="67" t="str">
        <f>IFERROR(IF(B72="","",K72/VLOOKUP(AD72,Varsayımlar!B:R,17,0)),"")</f>
        <v/>
      </c>
      <c r="N72" s="67"/>
      <c r="O72" s="67"/>
      <c r="P72" s="67" t="str">
        <f>IF(B72="","",VLOOKUP(AD72,Varsayımlar!$B:$Q,7,0)*K72)</f>
        <v/>
      </c>
      <c r="Q72" s="67" t="str">
        <f>IF(B72="","",VLOOKUP(AD72,Varsayımlar!$B:$Q,8,0))</f>
        <v/>
      </c>
      <c r="R72" s="67" t="str">
        <f>IF(B72="","",VLOOKUP(AD72,Varsayımlar!$B:$Q,9,0))</f>
        <v/>
      </c>
      <c r="S72" s="67" t="str">
        <f>IF(B72="","",VLOOKUP(AD72,Varsayımlar!$B:$Q,10,0))</f>
        <v/>
      </c>
      <c r="T72" s="67" t="str">
        <f>IF(B72="","",VLOOKUP(AD72,Varsayımlar!$B:$Q,11,0))</f>
        <v/>
      </c>
      <c r="U72" s="67" t="str">
        <f>IF(B72="","",VLOOKUP(AD72,Varsayımlar!$B:$Q,12,0))</f>
        <v/>
      </c>
      <c r="V72" s="67" t="str">
        <f>IF(B72="","",VLOOKUP(AD72,Varsayımlar!$B:$Q,13,0))</f>
        <v/>
      </c>
      <c r="W72" s="67" t="str">
        <f>IF(B72="","",VLOOKUP(AD72,Varsayımlar!$B:$Q,14,0))</f>
        <v/>
      </c>
      <c r="X72" s="69"/>
      <c r="Y72" s="69"/>
      <c r="Z72" s="67"/>
      <c r="AA72" s="67" t="str">
        <f>IF(B72="","",VLOOKUP(AD72,Varsayımlar!$B:$Q,15,0))</f>
        <v/>
      </c>
      <c r="AB72" s="67" t="str">
        <f>IF(B72="","",VLOOKUP(AD72,Varsayımlar!$B:$Q,16,0))</f>
        <v/>
      </c>
      <c r="AC72" s="67"/>
      <c r="AD72" s="57" t="str">
        <f t="shared" si="2"/>
        <v/>
      </c>
    </row>
    <row r="73" spans="1:30" x14ac:dyDescent="0.25">
      <c r="C73" s="53" t="str">
        <f>IF(B73="","",VLOOKUP(AD73,Varsayımlar!$B:$Q,3,0))</f>
        <v/>
      </c>
      <c r="H73" s="7" t="str">
        <f>IF(B73="","",VLOOKUP(AD73,Varsayımlar!$B:$Q,5,0))</f>
        <v/>
      </c>
      <c r="J73" s="7" t="str">
        <f>IF(B73="","",VLOOKUP(AD73,Varsayımlar!$B:$Q,6,0))</f>
        <v/>
      </c>
      <c r="P73" s="7" t="str">
        <f>IF(B73="","",VLOOKUP(AD73,Varsayımlar!$B:$Q,7,0)*K73)</f>
        <v/>
      </c>
      <c r="Q73" s="7" t="str">
        <f>IF(B73="","",VLOOKUP(AD73,Varsayımlar!$B:$Q,8,0))</f>
        <v/>
      </c>
      <c r="R73" s="7" t="str">
        <f>IF(B73="","",VLOOKUP(AD73,Varsayımlar!$B:$Q,9,0))</f>
        <v/>
      </c>
      <c r="S73" s="7" t="str">
        <f>IF(B73="","",VLOOKUP(AD73,Varsayımlar!$B:$Q,10,0))</f>
        <v/>
      </c>
      <c r="T73" s="7" t="str">
        <f>IF(B73="","",VLOOKUP(AD73,Varsayımlar!$B:$Q,11,0))</f>
        <v/>
      </c>
      <c r="U73" s="7" t="str">
        <f>IF(B73="","",VLOOKUP(AD73,Varsayımlar!$B:$Q,12,0))</f>
        <v/>
      </c>
      <c r="V73" s="7" t="str">
        <f>IF(B73="","",VLOOKUP(AD73,Varsayımlar!$B:$Q,13,0))</f>
        <v/>
      </c>
      <c r="W73" s="7" t="str">
        <f>IF(B73="","",VLOOKUP(AD73,Varsayımlar!$B:$Q,14,0))</f>
        <v/>
      </c>
      <c r="AA73" s="7" t="str">
        <f>IF(B73="","",VLOOKUP(AD73,Varsayımlar!$B:$Q,15,0))</f>
        <v/>
      </c>
      <c r="AB73" s="7" t="str">
        <f>IF(B73="","",VLOOKUP(AD73,Varsayımlar!$B:$Q,16,0))</f>
        <v/>
      </c>
      <c r="AD73" s="7" t="str">
        <f t="shared" si="2"/>
        <v/>
      </c>
    </row>
    <row r="74" spans="1:30" ht="45" customHeight="1" x14ac:dyDescent="0.25">
      <c r="A74" s="174" t="s">
        <v>345</v>
      </c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38"/>
    </row>
    <row r="75" spans="1:30" ht="63" x14ac:dyDescent="0.25">
      <c r="A75" s="8" t="s">
        <v>0</v>
      </c>
      <c r="B75" s="8" t="s">
        <v>1</v>
      </c>
      <c r="C75" s="9" t="s">
        <v>31</v>
      </c>
      <c r="D75" s="9" t="s">
        <v>124</v>
      </c>
      <c r="E75" s="9" t="s">
        <v>36</v>
      </c>
      <c r="F75" s="8" t="s">
        <v>37</v>
      </c>
      <c r="G75" s="8" t="s">
        <v>13</v>
      </c>
      <c r="H75" s="8" t="s">
        <v>2</v>
      </c>
      <c r="I75" s="8" t="s">
        <v>49</v>
      </c>
      <c r="J75" s="8" t="s">
        <v>3</v>
      </c>
      <c r="K75" s="8" t="s">
        <v>21</v>
      </c>
      <c r="L75" s="8" t="s">
        <v>94</v>
      </c>
      <c r="M75" s="8" t="s">
        <v>20</v>
      </c>
      <c r="N75" s="8" t="s">
        <v>165</v>
      </c>
      <c r="O75" s="8" t="s">
        <v>123</v>
      </c>
      <c r="P75" s="8" t="s">
        <v>16</v>
      </c>
      <c r="Q75" s="8" t="s">
        <v>4</v>
      </c>
      <c r="R75" s="8" t="s">
        <v>5</v>
      </c>
      <c r="S75" s="8" t="s">
        <v>6</v>
      </c>
      <c r="T75" s="8" t="s">
        <v>28</v>
      </c>
      <c r="U75" s="8" t="s">
        <v>7</v>
      </c>
      <c r="V75" s="8" t="s">
        <v>8</v>
      </c>
      <c r="W75" s="8" t="s">
        <v>9</v>
      </c>
      <c r="X75" s="8" t="s">
        <v>10</v>
      </c>
      <c r="Y75" s="8" t="s">
        <v>11</v>
      </c>
      <c r="Z75" s="8" t="s">
        <v>12</v>
      </c>
      <c r="AA75" s="8" t="s">
        <v>14</v>
      </c>
      <c r="AB75" s="8" t="s">
        <v>15</v>
      </c>
      <c r="AC75" s="8" t="s">
        <v>208</v>
      </c>
      <c r="AD75" s="7" t="s">
        <v>41</v>
      </c>
    </row>
    <row r="76" spans="1:30" ht="30.75" customHeight="1" x14ac:dyDescent="0.25">
      <c r="A76" s="8" t="s">
        <v>26</v>
      </c>
      <c r="B76" s="82" t="s">
        <v>95</v>
      </c>
      <c r="C76" s="83">
        <f>IF(B76="","",VLOOKUP(AD76,Varsayımlar!$B:$Q,3,0))</f>
        <v>8698829380698</v>
      </c>
      <c r="D76" s="83"/>
      <c r="E76" s="82" t="s">
        <v>114</v>
      </c>
      <c r="F76" s="84"/>
      <c r="G76" s="84"/>
      <c r="H76" s="84" t="str">
        <f>IF(B76="","",VLOOKUP(AD76,Varsayımlar!$B:$Q,5,0))</f>
        <v>Bisto 25 cm</v>
      </c>
      <c r="I76" s="84"/>
      <c r="J76" s="84" t="str">
        <f>IF(B76="","",VLOOKUP(AD76,Varsayımlar!$B:$Q,6,0))</f>
        <v>SADE</v>
      </c>
      <c r="K76" s="84">
        <v>240</v>
      </c>
      <c r="L76" s="84"/>
      <c r="M76" s="84">
        <f>IFERROR(IF(B76="","",K76/VLOOKUP(AD76,Varsayımlar!B:R,17,0)),"")</f>
        <v>5</v>
      </c>
      <c r="N76" s="84"/>
      <c r="O76" s="84">
        <v>9</v>
      </c>
      <c r="P76" s="84">
        <f>IF(B76="","",VLOOKUP(AD76,Varsayımlar!$B:$Q,7,0)*K76)</f>
        <v>2880</v>
      </c>
      <c r="Q76" s="84">
        <f>IF(B76="","",VLOOKUP(AD76,Varsayımlar!$B:$Q,8,0))</f>
        <v>25</v>
      </c>
      <c r="R76" s="84" t="str">
        <f>IF(B76="","",VLOOKUP(AD76,Varsayımlar!$B:$Q,9,0))</f>
        <v>Standart</v>
      </c>
      <c r="S76" s="84">
        <f>IF(B76="","",VLOOKUP(AD76,Varsayımlar!$B:$Q,10,0))</f>
        <v>12</v>
      </c>
      <c r="T76" s="84">
        <f>IF(B76="","",VLOOKUP(AD76,Varsayımlar!$B:$Q,11,0))</f>
        <v>12</v>
      </c>
      <c r="U76" s="84">
        <f>IF(B76="","",VLOOKUP(AD76,Varsayımlar!$B:$Q,12,0))</f>
        <v>840</v>
      </c>
      <c r="V76" s="84" t="str">
        <f>IF(B76="","",VLOOKUP(AD76,Varsayımlar!$B:$Q,13,0))</f>
        <v>Yurtiçi</v>
      </c>
      <c r="W76" s="84">
        <f>IF(B76="","",VLOOKUP(AD76,Varsayımlar!$B:$Q,14,0))</f>
        <v>6</v>
      </c>
      <c r="X76" s="85" t="s">
        <v>113</v>
      </c>
      <c r="Y76" s="85" t="s">
        <v>113</v>
      </c>
      <c r="Z76" s="85" t="s">
        <v>113</v>
      </c>
      <c r="AA76" s="84" t="str">
        <f>IF(B76="","",VLOOKUP(AD76,Varsayımlar!$B:$Q,15,0))</f>
        <v>Bisto Kolisi</v>
      </c>
      <c r="AB76" s="84" t="str">
        <f>IF(B76="","",VLOOKUP(AD76,Varsayımlar!$B:$Q,16,0))</f>
        <v>24-26 Cm</v>
      </c>
      <c r="AC76" s="84"/>
      <c r="AD76" s="57" t="str">
        <f t="shared" ref="AD76:AD96" si="5">IF(B76="","",CONCATENATE(B76,E76))</f>
        <v>Şok MarketBisto 25 cm 12 pcs 840g</v>
      </c>
    </row>
    <row r="77" spans="1:30" ht="47.25" x14ac:dyDescent="0.25">
      <c r="A77" s="8" t="s">
        <v>77</v>
      </c>
      <c r="B77" s="64" t="s">
        <v>346</v>
      </c>
      <c r="C77" s="3">
        <f>IF(B77="","",VLOOKUP(AD77,Varsayımlar!$B:$Q,3,0))</f>
        <v>8698829380698</v>
      </c>
      <c r="D77" s="3"/>
      <c r="E77" s="3" t="s">
        <v>325</v>
      </c>
      <c r="F77" s="64">
        <v>46</v>
      </c>
      <c r="G77" s="64" t="s">
        <v>347</v>
      </c>
      <c r="H77" s="64" t="str">
        <f>IF(B77="","",VLOOKUP(AD77,Varsayımlar!$B:$Q,5,0))</f>
        <v>Hanami Tako 15cm</v>
      </c>
      <c r="I77" s="64"/>
      <c r="J77" s="64" t="str">
        <f>IF(B77="","",VLOOKUP(AD77,Varsayımlar!$B:$Q,6,0))</f>
        <v>SADE</v>
      </c>
      <c r="K77" s="64">
        <v>1560</v>
      </c>
      <c r="L77" s="64">
        <v>969</v>
      </c>
      <c r="M77" s="64" t="str">
        <f>IFERROR(IF(B77="","",K77/VLOOKUP(AD77,Varsayımlar!B:R,17,0)),"")</f>
        <v/>
      </c>
      <c r="N77" s="64"/>
      <c r="O77" s="64">
        <v>18</v>
      </c>
      <c r="P77" s="64">
        <f>IF(B77="","",VLOOKUP(AD77,Varsayımlar!$B:$Q,7,0)*K77)</f>
        <v>31200</v>
      </c>
      <c r="Q77" s="64">
        <f>IF(B77="","",VLOOKUP(AD77,Varsayımlar!$B:$Q,8,0))</f>
        <v>15</v>
      </c>
      <c r="R77" s="64" t="str">
        <f>IF(B77="","",VLOOKUP(AD77,Varsayımlar!$B:$Q,9,0))</f>
        <v>Irak Soft</v>
      </c>
      <c r="S77" s="64">
        <f>IF(B77="","",VLOOKUP(AD77,Varsayımlar!$B:$Q,10,0))</f>
        <v>6</v>
      </c>
      <c r="T77" s="64">
        <f>IF(B77="","",VLOOKUP(AD77,Varsayımlar!$B:$Q,11,0))</f>
        <v>20</v>
      </c>
      <c r="U77" s="64">
        <f>IF(B77="","",VLOOKUP(AD77,Varsayımlar!$B:$Q,12,0))</f>
        <v>150</v>
      </c>
      <c r="V77" s="64" t="str">
        <f>IF(B77="","",VLOOKUP(AD77,Varsayımlar!$B:$Q,13,0))</f>
        <v>Yurtdışı</v>
      </c>
      <c r="W77" s="64">
        <f>IF(B77="","",VLOOKUP(AD77,Varsayımlar!$B:$Q,14,0))</f>
        <v>9</v>
      </c>
      <c r="X77" s="66">
        <v>46181</v>
      </c>
      <c r="Y77" s="66">
        <v>46454</v>
      </c>
      <c r="Z77" s="64">
        <v>26060815</v>
      </c>
      <c r="AA77" s="64" t="str">
        <f>IF(B77="","",VLOOKUP(AD77,Varsayımlar!$B:$Q,15,0))</f>
        <v>Hanami Tako 15cm-Üretim Tarihi Atılacak</v>
      </c>
      <c r="AB77" s="64" t="str">
        <f>IF(B77="","",VLOOKUP(AD77,Varsayımlar!$B:$Q,16,0))</f>
        <v>14-16 cm</v>
      </c>
      <c r="AC77" s="64"/>
      <c r="AD77" s="57" t="str">
        <f t="shared" si="5"/>
        <v>GermesHanami Germes Tako 15cm 6pcs 150g</v>
      </c>
    </row>
    <row r="78" spans="1:30" ht="30.75" customHeight="1" x14ac:dyDescent="0.25">
      <c r="A78" s="8" t="s">
        <v>78</v>
      </c>
      <c r="B78" s="82" t="s">
        <v>119</v>
      </c>
      <c r="C78" s="83">
        <f>IF(B78="","",VLOOKUP(AD78,Varsayımlar!$B:$Q,3,0))</f>
        <v>8698829380698</v>
      </c>
      <c r="D78" s="83"/>
      <c r="E78" s="82" t="s">
        <v>120</v>
      </c>
      <c r="F78" s="84"/>
      <c r="G78" s="84"/>
      <c r="H78" s="84" t="str">
        <f>IF(B78="","",VLOOKUP(AD78,Varsayımlar!$B:$Q,5,0))</f>
        <v>Nimet 25 cm</v>
      </c>
      <c r="I78" s="84"/>
      <c r="J78" s="84" t="str">
        <f>IF(B78="","",VLOOKUP(AD78,Varsayımlar!$B:$Q,6,0))</f>
        <v>SADE</v>
      </c>
      <c r="K78" s="84">
        <v>1000</v>
      </c>
      <c r="L78" s="84"/>
      <c r="M78" s="84">
        <f>IFERROR(IF(B78="","",K78/VLOOKUP(AD78,Varsayımlar!B:R,17,0)),"")</f>
        <v>20</v>
      </c>
      <c r="N78" s="84"/>
      <c r="O78" s="84">
        <v>36</v>
      </c>
      <c r="P78" s="84">
        <f>IF(B78="","",VLOOKUP(AD78,Varsayımlar!$B:$Q,7,0)*K78)</f>
        <v>12000</v>
      </c>
      <c r="Q78" s="84">
        <f>IF(B78="","",VLOOKUP(AD78,Varsayımlar!$B:$Q,8,0))</f>
        <v>25</v>
      </c>
      <c r="R78" s="84" t="str">
        <f>IF(B78="","",VLOOKUP(AD78,Varsayımlar!$B:$Q,9,0))</f>
        <v>Standart</v>
      </c>
      <c r="S78" s="84">
        <f>IF(B78="","",VLOOKUP(AD78,Varsayımlar!$B:$Q,10,0))</f>
        <v>12</v>
      </c>
      <c r="T78" s="84">
        <f>IF(B78="","",VLOOKUP(AD78,Varsayımlar!$B:$Q,11,0))</f>
        <v>12</v>
      </c>
      <c r="U78" s="84">
        <f>IF(B78="","",VLOOKUP(AD78,Varsayımlar!$B:$Q,12,0))</f>
        <v>840</v>
      </c>
      <c r="V78" s="84" t="str">
        <f>IF(B78="","",VLOOKUP(AD78,Varsayımlar!$B:$Q,13,0))</f>
        <v>YURTİÇİ</v>
      </c>
      <c r="W78" s="84">
        <f>IF(B78="","",VLOOKUP(AD78,Varsayımlar!$B:$Q,14,0))</f>
        <v>5</v>
      </c>
      <c r="X78" s="85" t="s">
        <v>113</v>
      </c>
      <c r="Y78" s="85" t="s">
        <v>113</v>
      </c>
      <c r="Z78" s="85" t="s">
        <v>113</v>
      </c>
      <c r="AA78" s="84" t="str">
        <f>IF(B78="","",VLOOKUP(AD78,Varsayımlar!$B:$Q,15,0))</f>
        <v>Nimet Kolisi</v>
      </c>
      <c r="AB78" s="84" t="str">
        <f>IF(B78="","",VLOOKUP(AD78,Varsayımlar!$B:$Q,16,0))</f>
        <v>24-26 CM</v>
      </c>
      <c r="AC78" s="84"/>
      <c r="AD78" s="57" t="str">
        <f t="shared" ref="AD78" si="6">IF(B78="","",CONCATENATE(B78,E78))</f>
        <v>A101Nimet 25cm 12 pcs 840g</v>
      </c>
    </row>
    <row r="79" spans="1:30" ht="31.5" x14ac:dyDescent="0.25">
      <c r="A79" s="8" t="s">
        <v>79</v>
      </c>
      <c r="B79" s="55" t="s">
        <v>321</v>
      </c>
      <c r="C79" s="39">
        <f>IF(B79="","",VLOOKUP(AD79,Varsayımlar!$B:$Q,3,0))</f>
        <v>8698829380698</v>
      </c>
      <c r="D79" s="39"/>
      <c r="E79" s="55" t="s">
        <v>329</v>
      </c>
      <c r="F79" s="54"/>
      <c r="G79" s="54"/>
      <c r="H79" s="54" t="str">
        <f>IF(B79="","",VLOOKUP(AD79,Varsayımlar!$B:$Q,5,0))</f>
        <v>Baskısız 15 cm</v>
      </c>
      <c r="I79" s="54"/>
      <c r="J79" s="54" t="str">
        <f>IF(B79="","",VLOOKUP(AD79,Varsayımlar!$B:$Q,6,0))</f>
        <v>SADE</v>
      </c>
      <c r="K79" s="54">
        <v>250</v>
      </c>
      <c r="L79" s="54"/>
      <c r="M79" s="54" t="str">
        <f>IFERROR(IF(B79="","",K79/VLOOKUP(AD79,Varsayımlar!B:R,17,0)),"")</f>
        <v/>
      </c>
      <c r="N79" s="54"/>
      <c r="O79" s="54">
        <v>8</v>
      </c>
      <c r="P79" s="54">
        <f>IF(B79="","",VLOOKUP(AD79,Varsayımlar!$B:$Q,7,0)*K79)</f>
        <v>3500</v>
      </c>
      <c r="Q79" s="54">
        <f>IF(B79="","",VLOOKUP(AD79,Varsayımlar!$B:$Q,8,0))</f>
        <v>15</v>
      </c>
      <c r="R79" s="54" t="str">
        <f>IF(B79="","",VLOOKUP(AD79,Varsayımlar!$B:$Q,9,0))</f>
        <v>Irak Soft</v>
      </c>
      <c r="S79" s="54">
        <f>IF(B79="","",VLOOKUP(AD79,Varsayımlar!$B:$Q,10,0))</f>
        <v>8</v>
      </c>
      <c r="T79" s="54">
        <f>IF(B79="","",VLOOKUP(AD79,Varsayımlar!$B:$Q,11,0))</f>
        <v>14</v>
      </c>
      <c r="U79" s="54">
        <f>IF(B79="","",VLOOKUP(AD79,Varsayımlar!$B:$Q,12,0))</f>
        <v>220</v>
      </c>
      <c r="V79" s="54" t="str">
        <f>IF(B79="","",VLOOKUP(AD79,Varsayımlar!$B:$Q,13,0))</f>
        <v>Yurtdışı</v>
      </c>
      <c r="W79" s="54">
        <f>IF(B79="","",VLOOKUP(AD79,Varsayımlar!$B:$Q,14,0))</f>
        <v>6</v>
      </c>
      <c r="X79" s="56">
        <v>46185</v>
      </c>
      <c r="Y79" s="56">
        <v>46368</v>
      </c>
      <c r="Z79" s="54">
        <v>26061215</v>
      </c>
      <c r="AA79" s="54" t="str">
        <f>IF(B79="","",VLOOKUP(AD79,Varsayımlar!$B:$Q,15,0))</f>
        <v>15cm koli</v>
      </c>
      <c r="AB79" s="54" t="str">
        <f>IF(B79="","",VLOOKUP(AD79,Varsayımlar!$B:$Q,16,0))</f>
        <v>24-26 cm (Inkjet ile Bilgiler Atılacak)</v>
      </c>
      <c r="AC79" s="54"/>
      <c r="AD79" s="57" t="str">
        <f t="shared" si="5"/>
        <v>Gülbahar CompanyBaskısız 15cm Sade 8pcs 220g</v>
      </c>
    </row>
    <row r="80" spans="1:30" ht="94.5" x14ac:dyDescent="0.25">
      <c r="A80" s="8" t="s">
        <v>80</v>
      </c>
      <c r="B80" s="58" t="s">
        <v>256</v>
      </c>
      <c r="C80" s="40">
        <f>IF(B80="","",VLOOKUP(AD80,Varsayımlar!$B:$Q,3,0))</f>
        <v>8698829380698</v>
      </c>
      <c r="D80" s="40"/>
      <c r="E80" s="59" t="s">
        <v>257</v>
      </c>
      <c r="F80" s="58"/>
      <c r="G80" s="58"/>
      <c r="H80" s="58" t="str">
        <f>IF(B80="","",VLOOKUP(AD80,Varsayımlar!$B:$Q,5,0))</f>
        <v>Tortillas 26cm Pizza</v>
      </c>
      <c r="I80" s="58"/>
      <c r="J80" s="58" t="str">
        <f>IF(B80="","",VLOOKUP(AD80,Varsayımlar!$B:$Q,6,0))</f>
        <v>SADE</v>
      </c>
      <c r="K80" s="58">
        <v>40</v>
      </c>
      <c r="L80" s="58"/>
      <c r="M80" s="58" t="str">
        <f>IFERROR(IF(B80="","",K80/VLOOKUP(AD80,Varsayımlar!B:R,17,0)),"")</f>
        <v/>
      </c>
      <c r="N80" s="58"/>
      <c r="O80" s="58">
        <v>1</v>
      </c>
      <c r="P80" s="58">
        <f>IF(B80="","",VLOOKUP(AD80,Varsayımlar!$B:$Q,7,0)*K80)</f>
        <v>240</v>
      </c>
      <c r="Q80" s="58">
        <f>IF(B80="","",VLOOKUP(AD80,Varsayımlar!$B:$Q,8,0))</f>
        <v>26</v>
      </c>
      <c r="R80" s="58" t="str">
        <f>IF(B80="","",VLOOKUP(AD80,Varsayımlar!$B:$Q,9,0))</f>
        <v>Irak Soft</v>
      </c>
      <c r="S80" s="58">
        <f>IF(B80="","",VLOOKUP(AD80,Varsayımlar!$B:$Q,10,0))</f>
        <v>4</v>
      </c>
      <c r="T80" s="58">
        <f>IF(B80="","",VLOOKUP(AD80,Varsayımlar!$B:$Q,11,0))</f>
        <v>6</v>
      </c>
      <c r="U80" s="58">
        <f>IF(B80="","",VLOOKUP(AD80,Varsayımlar!$B:$Q,12,0))</f>
        <v>480</v>
      </c>
      <c r="V80" s="58" t="str">
        <f>IF(B80="","",VLOOKUP(AD80,Varsayımlar!$B:$Q,13,0))</f>
        <v>Yurtiçi</v>
      </c>
      <c r="W80" s="58">
        <f>IF(B80="","",VLOOKUP(AD80,Varsayımlar!$B:$Q,14,0))</f>
        <v>6</v>
      </c>
      <c r="X80" s="60" t="s">
        <v>113</v>
      </c>
      <c r="Y80" s="60" t="s">
        <v>113</v>
      </c>
      <c r="Z80" s="60" t="s">
        <v>113</v>
      </c>
      <c r="AA80" s="58" t="str">
        <f>IF(B80="","",VLOOKUP(AD80,Varsayımlar!$B:$Q,15,0))</f>
        <v>Pizza kolisi</v>
      </c>
      <c r="AB80" s="58" t="str">
        <f>IF(B80="","",VLOOKUP(AD80,Varsayımlar!$B:$Q,16,0))</f>
        <v>26 cm kesme -Beze 145-150g, Kesilmmeiş çap 27-28cm, Kesilmemiş ağı: 520-540g, Kesilmiş:475-485g</v>
      </c>
      <c r="AC80" s="58"/>
      <c r="AD80" s="57" t="str">
        <f t="shared" si="5"/>
        <v>Ankara KahveTortillas 26cm Pizza 4pcs 480g</v>
      </c>
    </row>
    <row r="81" spans="1:30" ht="94.5" x14ac:dyDescent="0.25">
      <c r="A81" s="8" t="s">
        <v>81</v>
      </c>
      <c r="B81" s="61" t="s">
        <v>218</v>
      </c>
      <c r="C81" s="32">
        <f>IF(B81="","",VLOOKUP(AD81,Varsayımlar!$B:$Q,3,0))</f>
        <v>8698829380698</v>
      </c>
      <c r="D81" s="32" t="s">
        <v>159</v>
      </c>
      <c r="E81" s="61" t="s">
        <v>244</v>
      </c>
      <c r="F81" s="62">
        <v>26042906</v>
      </c>
      <c r="G81" s="32"/>
      <c r="H81" s="62" t="str">
        <f>IF(B81="","",VLOOKUP(AD81,Varsayımlar!$B:$Q,5,0))</f>
        <v>Tortillas Avrupa Pizza 26cm (742)</v>
      </c>
      <c r="I81" s="62">
        <f>IF(B81="","",VLOOKUP(AD81,Varsayımlar!B:T,19,0))</f>
        <v>0</v>
      </c>
      <c r="J81" s="62" t="str">
        <f>IF(B81="","",VLOOKUP(AD81,Varsayımlar!$B:$Q,6,0))</f>
        <v>SADE</v>
      </c>
      <c r="K81" s="62">
        <v>720</v>
      </c>
      <c r="L81" s="62"/>
      <c r="M81" s="62">
        <f>IFERROR(IF(B81="","",K81/VLOOKUP(AD81,Varsayımlar!B:R,17,0)),"")</f>
        <v>6</v>
      </c>
      <c r="N81" s="62"/>
      <c r="O81" s="62">
        <v>9</v>
      </c>
      <c r="P81" s="62">
        <f>IF(B81="","",VLOOKUP(AD81,Varsayımlar!$B:$Q,7,0)*K81)</f>
        <v>5760</v>
      </c>
      <c r="Q81" s="62">
        <f>IF(B81="","",VLOOKUP(AD81,Varsayımlar!$B:$Q,8,0))</f>
        <v>26</v>
      </c>
      <c r="R81" s="62" t="str">
        <f>IF(B81="","",VLOOKUP(AD81,Varsayımlar!$B:$Q,9,0))</f>
        <v>Irak Soft</v>
      </c>
      <c r="S81" s="62">
        <f>IF(B81="","",VLOOKUP(AD81,Varsayımlar!$B:$Q,10,0))</f>
        <v>4</v>
      </c>
      <c r="T81" s="62">
        <f>IF(B81="","",VLOOKUP(AD81,Varsayımlar!$B:$Q,11,0))</f>
        <v>8</v>
      </c>
      <c r="U81" s="62">
        <f>IF(B81="","",VLOOKUP(AD81,Varsayımlar!$B:$Q,12,0))</f>
        <v>480</v>
      </c>
      <c r="V81" s="62" t="str">
        <f>IF(B81="","",VLOOKUP(AD81,Varsayımlar!$B:$Q,13,0))</f>
        <v>Yurtdışı</v>
      </c>
      <c r="W81" s="62">
        <f>IF(B81="","",VLOOKUP(AD81,Varsayımlar!$B:$Q,14,0))</f>
        <v>9</v>
      </c>
      <c r="X81" s="63">
        <v>46183</v>
      </c>
      <c r="Y81" s="63">
        <v>46456</v>
      </c>
      <c r="Z81" s="62">
        <v>26061026</v>
      </c>
      <c r="AA81" s="62" t="str">
        <f>IF(B81="","",VLOOKUP(AD81,Varsayımlar!$B:$Q,15,0))</f>
        <v>26cm Pizza Perforeli-Bulgarca Etiket</v>
      </c>
      <c r="AB81" s="62" t="str">
        <f>IF(B81="","",VLOOKUP(AD81,Varsayımlar!$B:$Q,16,0))</f>
        <v>26 cm kesme -Beze 145-150g, Kesilmmeiş çap 27-28cm, Kesilmemiş ağı: 520-540g, Kesilmiş:475-485g</v>
      </c>
      <c r="AC81" s="62" t="str">
        <f>IF(B81="","",VLOOKUP(Sayfa1!AD79,Varsayımlar!B:S,18,0))</f>
        <v>80x120cm -Epal+Epal</v>
      </c>
      <c r="AD81" s="57" t="str">
        <f t="shared" si="5"/>
        <v>TASTE LAND-BULGARİSTANTortillas Pizza 26cm 4pcs 480g</v>
      </c>
    </row>
    <row r="82" spans="1:30" ht="94.5" x14ac:dyDescent="0.25">
      <c r="A82" s="8" t="s">
        <v>82</v>
      </c>
      <c r="B82" s="79" t="s">
        <v>218</v>
      </c>
      <c r="C82" s="44">
        <f>IF(B82="","",VLOOKUP(AD82,Varsayımlar!$B:$Q,3,0))</f>
        <v>8698829380698</v>
      </c>
      <c r="D82" s="44" t="s">
        <v>160</v>
      </c>
      <c r="E82" s="79" t="s">
        <v>244</v>
      </c>
      <c r="F82" s="80">
        <v>26042907</v>
      </c>
      <c r="G82" s="44"/>
      <c r="H82" s="80" t="str">
        <f>IF(B82="","",VLOOKUP(AD82,Varsayımlar!$B:$Q,5,0))</f>
        <v>Tortillas Avrupa Pizza 26cm (742)</v>
      </c>
      <c r="I82" s="80">
        <f>IF(B82="","",VLOOKUP(AD82,Varsayımlar!B:T,19,0))</f>
        <v>0</v>
      </c>
      <c r="J82" s="80" t="str">
        <f>IF(B82="","",VLOOKUP(AD82,Varsayımlar!$B:$Q,6,0))</f>
        <v>SADE</v>
      </c>
      <c r="K82" s="80">
        <v>720</v>
      </c>
      <c r="L82" s="80"/>
      <c r="M82" s="80">
        <f>IFERROR(IF(B82="","",K82/VLOOKUP(AD82,Varsayımlar!B:R,17,0)),"")</f>
        <v>6</v>
      </c>
      <c r="N82" s="80"/>
      <c r="O82" s="80">
        <v>9</v>
      </c>
      <c r="P82" s="80">
        <f>IF(B82="","",VLOOKUP(AD82,Varsayımlar!$B:$Q,7,0)*K82)</f>
        <v>5760</v>
      </c>
      <c r="Q82" s="80">
        <f>IF(B82="","",VLOOKUP(AD82,Varsayımlar!$B:$Q,8,0))</f>
        <v>26</v>
      </c>
      <c r="R82" s="80" t="str">
        <f>IF(B82="","",VLOOKUP(AD82,Varsayımlar!$B:$Q,9,0))</f>
        <v>Irak Soft</v>
      </c>
      <c r="S82" s="80">
        <f>IF(B82="","",VLOOKUP(AD82,Varsayımlar!$B:$Q,10,0))</f>
        <v>4</v>
      </c>
      <c r="T82" s="80">
        <f>IF(B82="","",VLOOKUP(AD82,Varsayımlar!$B:$Q,11,0))</f>
        <v>8</v>
      </c>
      <c r="U82" s="80">
        <f>IF(B82="","",VLOOKUP(AD82,Varsayımlar!$B:$Q,12,0))</f>
        <v>480</v>
      </c>
      <c r="V82" s="80" t="str">
        <f>IF(B82="","",VLOOKUP(AD82,Varsayımlar!$B:$Q,13,0))</f>
        <v>Yurtdışı</v>
      </c>
      <c r="W82" s="80">
        <f>IF(B82="","",VLOOKUP(AD82,Varsayımlar!$B:$Q,14,0))</f>
        <v>9</v>
      </c>
      <c r="X82" s="81"/>
      <c r="Y82" s="81"/>
      <c r="Z82" s="80"/>
      <c r="AA82" s="80" t="str">
        <f>IF(B82="","",VLOOKUP(AD82,Varsayımlar!$B:$Q,15,0))</f>
        <v>26cm Pizza Perforeli-Bulgarca Etiket</v>
      </c>
      <c r="AB82" s="80" t="str">
        <f>IF(B82="","",VLOOKUP(AD82,Varsayımlar!$B:$Q,16,0))</f>
        <v>26 cm kesme -Beze 145-150g, Kesilmmeiş çap 27-28cm, Kesilmemiş ağı: 520-540g, Kesilmiş:475-485g</v>
      </c>
      <c r="AC82" s="80" t="str">
        <f>IF(B82="","",VLOOKUP(Sayfa1!AD80,Varsayımlar!B:S,18,0))</f>
        <v>80x120cm -Epal+Epal</v>
      </c>
      <c r="AD82" s="57" t="str">
        <f t="shared" si="5"/>
        <v>TASTE LAND-BULGARİSTANTortillas Pizza 26cm 4pcs 480g</v>
      </c>
    </row>
    <row r="83" spans="1:30" ht="94.5" x14ac:dyDescent="0.25">
      <c r="A83" s="8" t="s">
        <v>83</v>
      </c>
      <c r="B83" s="74" t="s">
        <v>218</v>
      </c>
      <c r="C83" s="43">
        <f>IF(B83="","",VLOOKUP(AD83,Varsayımlar!$B:$Q,3,0))</f>
        <v>8698829380698</v>
      </c>
      <c r="D83" s="43" t="s">
        <v>161</v>
      </c>
      <c r="E83" s="74" t="s">
        <v>244</v>
      </c>
      <c r="F83" s="75" t="s">
        <v>341</v>
      </c>
      <c r="G83" s="43"/>
      <c r="H83" s="75" t="str">
        <f>IF(B83="","",VLOOKUP(AD83,Varsayımlar!$B:$Q,5,0))</f>
        <v>Tortillas Avrupa Pizza 26cm (742)</v>
      </c>
      <c r="I83" s="75">
        <f>IF(B83="","",VLOOKUP(AD83,Varsayımlar!B:T,19,0))</f>
        <v>0</v>
      </c>
      <c r="J83" s="75" t="str">
        <f>IF(B83="","",VLOOKUP(AD83,Varsayımlar!$B:$Q,6,0))</f>
        <v>SADE</v>
      </c>
      <c r="K83" s="75">
        <v>840</v>
      </c>
      <c r="L83" s="75"/>
      <c r="M83" s="75">
        <f>IFERROR(IF(B83="","",K83/VLOOKUP(AD83,Varsayımlar!B:R,17,0)),"")</f>
        <v>7</v>
      </c>
      <c r="N83" s="75"/>
      <c r="O83" s="75">
        <v>11</v>
      </c>
      <c r="P83" s="75">
        <f>IF(B83="","",VLOOKUP(AD83,Varsayımlar!$B:$Q,7,0)*K83)</f>
        <v>6720</v>
      </c>
      <c r="Q83" s="75">
        <f>IF(B83="","",VLOOKUP(AD83,Varsayımlar!$B:$Q,8,0))</f>
        <v>26</v>
      </c>
      <c r="R83" s="75" t="str">
        <f>IF(B83="","",VLOOKUP(AD83,Varsayımlar!$B:$Q,9,0))</f>
        <v>Irak Soft</v>
      </c>
      <c r="S83" s="75">
        <f>IF(B83="","",VLOOKUP(AD83,Varsayımlar!$B:$Q,10,0))</f>
        <v>4</v>
      </c>
      <c r="T83" s="75">
        <f>IF(B83="","",VLOOKUP(AD83,Varsayımlar!$B:$Q,11,0))</f>
        <v>8</v>
      </c>
      <c r="U83" s="75">
        <f>IF(B83="","",VLOOKUP(AD83,Varsayımlar!$B:$Q,12,0))</f>
        <v>480</v>
      </c>
      <c r="V83" s="75" t="str">
        <f>IF(B83="","",VLOOKUP(AD83,Varsayımlar!$B:$Q,13,0))</f>
        <v>Yurtdışı</v>
      </c>
      <c r="W83" s="75">
        <f>IF(B83="","",VLOOKUP(AD83,Varsayımlar!$B:$Q,14,0))</f>
        <v>9</v>
      </c>
      <c r="X83" s="76"/>
      <c r="Y83" s="76"/>
      <c r="Z83" s="75"/>
      <c r="AA83" s="75" t="str">
        <f>IF(B83="","",VLOOKUP(AD83,Varsayımlar!$B:$Q,15,0))</f>
        <v>26cm Pizza Perforeli-Bulgarca Etiket</v>
      </c>
      <c r="AB83" s="75" t="str">
        <f>IF(B83="","",VLOOKUP(AD83,Varsayımlar!$B:$Q,16,0))</f>
        <v>26 cm kesme -Beze 145-150g, Kesilmmeiş çap 27-28cm, Kesilmemiş ağı: 520-540g, Kesilmiş:475-485g</v>
      </c>
      <c r="AC83" s="75" t="str">
        <f>IF(B83="","",VLOOKUP(Sayfa1!AD81,Varsayımlar!B:S,18,0))</f>
        <v>80x120cm -Epal+Epal</v>
      </c>
      <c r="AD83" s="57" t="str">
        <f t="shared" si="5"/>
        <v>TASTE LAND-BULGARİSTANTortillas Pizza 26cm 4pcs 480g</v>
      </c>
    </row>
    <row r="84" spans="1:30" ht="31.5" x14ac:dyDescent="0.25">
      <c r="A84" s="8" t="s">
        <v>84</v>
      </c>
      <c r="B84" s="68" t="s">
        <v>268</v>
      </c>
      <c r="C84" s="42" t="e">
        <f>IF(B84="","",VLOOKUP(AD84,Varsayımlar!$B:$Q,3,0))</f>
        <v>#N/A</v>
      </c>
      <c r="D84" s="42" t="s">
        <v>159</v>
      </c>
      <c r="E84" s="42" t="s">
        <v>348</v>
      </c>
      <c r="F84" s="67">
        <v>20250825</v>
      </c>
      <c r="G84" s="42" t="s">
        <v>68</v>
      </c>
      <c r="H84" s="67" t="e">
        <f>IF(B84="","",VLOOKUP(AD84,Varsayımlar!$B:$Q,5,0))</f>
        <v>#N/A</v>
      </c>
      <c r="I84" s="67" t="e">
        <f>IF(B84="","",VLOOKUP(AD84,Varsayımlar!B:T,19,0))</f>
        <v>#N/A</v>
      </c>
      <c r="J84" s="67" t="e">
        <f>IF(B84="","",VLOOKUP(AD84,Varsayımlar!$B:$Q,6,0))</f>
        <v>#N/A</v>
      </c>
      <c r="K84" s="67">
        <v>960</v>
      </c>
      <c r="L84" s="67"/>
      <c r="M84" s="67" t="str">
        <f>IFERROR(IF(B84="","",K84/VLOOKUP(AD84,Varsayımlar!B:R,17,0)),"")</f>
        <v/>
      </c>
      <c r="N84" s="67"/>
      <c r="O84" s="67">
        <v>11</v>
      </c>
      <c r="P84" s="67" t="e">
        <f>IF(B84="","",VLOOKUP(AD84,Varsayımlar!$B:$Q,7,0)*K84)</f>
        <v>#N/A</v>
      </c>
      <c r="Q84" s="67" t="e">
        <f>IF(B84="","",VLOOKUP(AD84,Varsayımlar!$B:$Q,8,0))</f>
        <v>#N/A</v>
      </c>
      <c r="R84" s="67" t="e">
        <f>IF(B84="","",VLOOKUP(AD84,Varsayımlar!$B:$Q,9,0))</f>
        <v>#N/A</v>
      </c>
      <c r="S84" s="67" t="e">
        <f>IF(B84="","",VLOOKUP(AD84,Varsayımlar!$B:$Q,10,0))</f>
        <v>#N/A</v>
      </c>
      <c r="T84" s="67" t="e">
        <f>IF(B84="","",VLOOKUP(AD84,Varsayımlar!$B:$Q,11,0))</f>
        <v>#N/A</v>
      </c>
      <c r="U84" s="67" t="e">
        <f>IF(B84="","",VLOOKUP(AD84,Varsayımlar!$B:$Q,12,0))</f>
        <v>#N/A</v>
      </c>
      <c r="V84" s="67" t="e">
        <f>IF(B84="","",VLOOKUP(AD84,Varsayımlar!$B:$Q,13,0))</f>
        <v>#N/A</v>
      </c>
      <c r="W84" s="67" t="e">
        <f>IF(B84="","",VLOOKUP(AD84,Varsayımlar!$B:$Q,14,0))</f>
        <v>#N/A</v>
      </c>
      <c r="X84" s="69"/>
      <c r="Y84" s="69"/>
      <c r="Z84" s="67"/>
      <c r="AA84" s="67" t="e">
        <f>IF(B84="","",VLOOKUP(AD84,Varsayımlar!$B:$Q,15,0))</f>
        <v>#N/A</v>
      </c>
      <c r="AB84" s="67" t="e">
        <f>IF(B84="","",VLOOKUP(AD84,Varsayımlar!$B:$Q,16,0))</f>
        <v>#N/A</v>
      </c>
      <c r="AC84" s="67" t="e">
        <f>IF(B84="","",VLOOKUP(Sayfa1!AD82,Varsayımlar!B:S,18,0))</f>
        <v>#N/A</v>
      </c>
      <c r="AD84" s="57" t="str">
        <f t="shared" si="5"/>
        <v>LAIKYUZHN-BELARUSTortillas Pizza 26cm 2pcs 240g</v>
      </c>
    </row>
    <row r="85" spans="1:30" ht="31.5" x14ac:dyDescent="0.25">
      <c r="A85" s="8" t="s">
        <v>85</v>
      </c>
      <c r="B85" s="55" t="s">
        <v>268</v>
      </c>
      <c r="C85" s="39" t="e">
        <f>IF(B85="","",VLOOKUP(AD85,Varsayımlar!$B:$Q,3,0))</f>
        <v>#N/A</v>
      </c>
      <c r="D85" s="39" t="s">
        <v>160</v>
      </c>
      <c r="E85" s="39" t="s">
        <v>348</v>
      </c>
      <c r="F85" s="54" t="s">
        <v>343</v>
      </c>
      <c r="G85" s="39" t="s">
        <v>68</v>
      </c>
      <c r="H85" s="54" t="e">
        <f>IF(B85="","",VLOOKUP(AD85,Varsayımlar!$B:$Q,5,0))</f>
        <v>#N/A</v>
      </c>
      <c r="I85" s="54" t="e">
        <f>IF(B85="","",VLOOKUP(AD85,Varsayımlar!B:T,19,0))</f>
        <v>#N/A</v>
      </c>
      <c r="J85" s="54" t="e">
        <f>IF(B85="","",VLOOKUP(AD85,Varsayımlar!$B:$Q,6,0))</f>
        <v>#N/A</v>
      </c>
      <c r="K85" s="54">
        <v>768</v>
      </c>
      <c r="L85" s="54"/>
      <c r="M85" s="54" t="str">
        <f>IFERROR(IF(B85="","",K85/VLOOKUP(AD85,Varsayımlar!B:R,17,0)),"")</f>
        <v/>
      </c>
      <c r="N85" s="54"/>
      <c r="O85" s="54">
        <v>9</v>
      </c>
      <c r="P85" s="54" t="e">
        <f>IF(B85="","",VLOOKUP(AD85,Varsayımlar!$B:$Q,7,0)*K85)</f>
        <v>#N/A</v>
      </c>
      <c r="Q85" s="54" t="e">
        <f>IF(B85="","",VLOOKUP(AD85,Varsayımlar!$B:$Q,8,0))</f>
        <v>#N/A</v>
      </c>
      <c r="R85" s="54" t="e">
        <f>IF(B85="","",VLOOKUP(AD85,Varsayımlar!$B:$Q,9,0))</f>
        <v>#N/A</v>
      </c>
      <c r="S85" s="54" t="e">
        <f>IF(B85="","",VLOOKUP(AD85,Varsayımlar!$B:$Q,10,0))</f>
        <v>#N/A</v>
      </c>
      <c r="T85" s="54" t="e">
        <f>IF(B85="","",VLOOKUP(AD85,Varsayımlar!$B:$Q,11,0))</f>
        <v>#N/A</v>
      </c>
      <c r="U85" s="54" t="e">
        <f>IF(B85="","",VLOOKUP(AD85,Varsayımlar!$B:$Q,12,0))</f>
        <v>#N/A</v>
      </c>
      <c r="V85" s="54" t="e">
        <f>IF(B85="","",VLOOKUP(AD85,Varsayımlar!$B:$Q,13,0))</f>
        <v>#N/A</v>
      </c>
      <c r="W85" s="54" t="e">
        <f>IF(B85="","",VLOOKUP(AD85,Varsayımlar!$B:$Q,14,0))</f>
        <v>#N/A</v>
      </c>
      <c r="X85" s="56"/>
      <c r="Y85" s="56"/>
      <c r="Z85" s="54"/>
      <c r="AA85" s="54" t="e">
        <f>IF(B85="","",VLOOKUP(AD85,Varsayımlar!$B:$Q,15,0))</f>
        <v>#N/A</v>
      </c>
      <c r="AB85" s="54" t="e">
        <f>IF(B85="","",VLOOKUP(AD85,Varsayımlar!$B:$Q,16,0))</f>
        <v>#N/A</v>
      </c>
      <c r="AC85" s="54" t="e">
        <f>IF(B85="","",VLOOKUP(Sayfa1!AD83,Varsayımlar!B:S,18,0))</f>
        <v>#N/A</v>
      </c>
      <c r="AD85" s="57" t="str">
        <f t="shared" si="5"/>
        <v>LAIKYUZHN-BELARUSTortillas Pizza 26cm 2pcs 240g</v>
      </c>
    </row>
    <row r="86" spans="1:30" ht="94.5" x14ac:dyDescent="0.25">
      <c r="A86" s="8" t="s">
        <v>86</v>
      </c>
      <c r="B86" s="61" t="s">
        <v>181</v>
      </c>
      <c r="C86" s="32">
        <f>IF(B86="","",VLOOKUP(AD86,Varsayımlar!$B:$Q,3,0))</f>
        <v>8698829380698</v>
      </c>
      <c r="D86" s="32"/>
      <c r="E86" s="61" t="s">
        <v>206</v>
      </c>
      <c r="F86" s="62">
        <v>26060101</v>
      </c>
      <c r="G86" s="32"/>
      <c r="H86" s="62" t="str">
        <f>IF(B86="","",VLOOKUP(AD86,Varsayımlar!$B:$Q,5,0))</f>
        <v>Pizza-6 26 cm</v>
      </c>
      <c r="I86" s="62" t="str">
        <f>IF(B86="","",VLOOKUP(AD86,Varsayımlar!B:T,19,0))</f>
        <v>Arka kısma Arnavutça içerik-Pizza 6</v>
      </c>
      <c r="J86" s="62" t="str">
        <f>IF(B86="","",VLOOKUP(AD86,Varsayımlar!$B:$Q,6,0))</f>
        <v>SADE</v>
      </c>
      <c r="K86" s="62">
        <v>120</v>
      </c>
      <c r="L86" s="62"/>
      <c r="M86" s="62">
        <f>IFERROR(IF(B86="","",K86/VLOOKUP(AD86,Varsayımlar!B:R,17,0)),"")</f>
        <v>1</v>
      </c>
      <c r="N86" s="62"/>
      <c r="O86" s="62">
        <v>2</v>
      </c>
      <c r="P86" s="62">
        <f>IF(B86="","",VLOOKUP(AD86,Varsayımlar!$B:$Q,7,0)*K86)</f>
        <v>720</v>
      </c>
      <c r="Q86" s="62">
        <f>IF(B86="","",VLOOKUP(AD86,Varsayımlar!$B:$Q,8,0))</f>
        <v>26</v>
      </c>
      <c r="R86" s="62" t="str">
        <f>IF(B86="","",VLOOKUP(AD86,Varsayımlar!$B:$Q,9,0))</f>
        <v>Irak Soft</v>
      </c>
      <c r="S86" s="62">
        <f>IF(B86="","",VLOOKUP(AD86,Varsayımlar!$B:$Q,10,0))</f>
        <v>4</v>
      </c>
      <c r="T86" s="62">
        <f>IF(B86="","",VLOOKUP(AD86,Varsayımlar!$B:$Q,11,0))</f>
        <v>6</v>
      </c>
      <c r="U86" s="62">
        <f>IF(B86="","",VLOOKUP(AD86,Varsayımlar!$B:$Q,12,0))</f>
        <v>480</v>
      </c>
      <c r="V86" s="62" t="str">
        <f>IF(B86="","",VLOOKUP(AD86,Varsayımlar!$B:$Q,13,0))</f>
        <v>YURTDIŞI</v>
      </c>
      <c r="W86" s="62">
        <f>IF(B86="","",VLOOKUP(AD86,Varsayımlar!$B:$Q,14,0))</f>
        <v>12</v>
      </c>
      <c r="X86" s="63"/>
      <c r="Y86" s="63"/>
      <c r="Z86" s="62"/>
      <c r="AA86" s="62" t="str">
        <f>IF(B86="","",VLOOKUP(AD86,Varsayımlar!$B:$Q,15,0))</f>
        <v>Pizza kolisi</v>
      </c>
      <c r="AB86" s="62" t="str">
        <f>IF(B86="","",VLOOKUP(AD86,Varsayımlar!$B:$Q,16,0))</f>
        <v>26 cm kesme -Beze 145-150g, Kesilmmeiş çap 27-28cm, Kesilmemiş ağı: 520-540g, Kesilmiş:475-485g</v>
      </c>
      <c r="AC86" s="62">
        <f>IF(B86="","",VLOOKUP(Sayfa1!AD84,Varsayımlar!B:S,18,0))</f>
        <v>0</v>
      </c>
      <c r="AD86" s="57" t="str">
        <f t="shared" si="5"/>
        <v>ALDİ - KOSOVAPizza-6 26cm 4pcs 480g</v>
      </c>
    </row>
    <row r="87" spans="1:30" hidden="1" x14ac:dyDescent="0.25">
      <c r="A87" s="8" t="s">
        <v>87</v>
      </c>
      <c r="B87" s="67"/>
      <c r="C87" s="42" t="str">
        <f>IF(B87="","",VLOOKUP(AD87,Varsayımlar!$B:$Q,3,0))</f>
        <v/>
      </c>
      <c r="D87" s="42"/>
      <c r="E87" s="42"/>
      <c r="F87" s="42"/>
      <c r="G87" s="42"/>
      <c r="H87" s="42" t="str">
        <f>IF(B87="","",VLOOKUP(AD87,Varsayımlar!$B:$Q,5,0))</f>
        <v/>
      </c>
      <c r="I87" s="42"/>
      <c r="J87" s="42" t="str">
        <f>IF(B87="","",VLOOKUP(AD87,Varsayımlar!$B:$Q,6,0))</f>
        <v/>
      </c>
      <c r="K87" s="42"/>
      <c r="L87" s="42"/>
      <c r="M87" s="42" t="str">
        <f>IFERROR(IF(B87="","",K87/VLOOKUP(AD87,Varsayımlar!B:R,17,0)),"")</f>
        <v/>
      </c>
      <c r="N87" s="42"/>
      <c r="O87" s="42"/>
      <c r="P87" s="42" t="str">
        <f>IF(B87="","",VLOOKUP(AD87,Varsayımlar!$B:$Q,7,0)*K87)</f>
        <v/>
      </c>
      <c r="Q87" s="42" t="str">
        <f>IF(B87="","",VLOOKUP(AD87,Varsayımlar!$B:$Q,8,0))</f>
        <v/>
      </c>
      <c r="R87" s="42" t="str">
        <f>IF(B87="","",VLOOKUP(AD87,Varsayımlar!$B:$Q,9,0))</f>
        <v/>
      </c>
      <c r="S87" s="42" t="str">
        <f>IF(B87="","",VLOOKUP(AD87,Varsayımlar!$B:$Q,10,0))</f>
        <v/>
      </c>
      <c r="T87" s="42" t="str">
        <f>IF(B87="","",VLOOKUP(AD87,Varsayımlar!$B:$Q,11,0))</f>
        <v/>
      </c>
      <c r="U87" s="42" t="str">
        <f>IF(B87="","",VLOOKUP(AD87,Varsayımlar!$B:$Q,12,0))</f>
        <v/>
      </c>
      <c r="V87" s="42" t="str">
        <f>IF(B87="","",VLOOKUP(AD87,Varsayımlar!$B:$Q,13,0))</f>
        <v/>
      </c>
      <c r="W87" s="67" t="str">
        <f>IF(B87="","",VLOOKUP(AD87,Varsayımlar!$B:$Q,14,0))</f>
        <v/>
      </c>
      <c r="X87" s="69"/>
      <c r="Y87" s="69"/>
      <c r="Z87" s="67"/>
      <c r="AA87" s="67" t="str">
        <f>IF(B87="","",VLOOKUP(AD87,Varsayımlar!$B:$Q,15,0))</f>
        <v/>
      </c>
      <c r="AB87" s="67" t="str">
        <f>IF(B87="","",VLOOKUP(AD87,Varsayımlar!$B:$Q,16,0))</f>
        <v/>
      </c>
      <c r="AC87" s="67"/>
      <c r="AD87" s="57" t="str">
        <f t="shared" si="5"/>
        <v/>
      </c>
    </row>
    <row r="88" spans="1:30" hidden="1" x14ac:dyDescent="0.25">
      <c r="A88" s="8" t="s">
        <v>88</v>
      </c>
      <c r="B88" s="67"/>
      <c r="C88" s="42" t="str">
        <f>IF(B88="","",VLOOKUP(AD88,Varsayımlar!$B:$Q,3,0))</f>
        <v/>
      </c>
      <c r="D88" s="42"/>
      <c r="E88" s="42"/>
      <c r="F88" s="42"/>
      <c r="G88" s="42"/>
      <c r="H88" s="42" t="str">
        <f>IF(B88="","",VLOOKUP(AD88,Varsayımlar!$B:$Q,5,0))</f>
        <v/>
      </c>
      <c r="I88" s="42"/>
      <c r="J88" s="42" t="str">
        <f>IF(B88="","",VLOOKUP(AD88,Varsayımlar!$B:$Q,6,0))</f>
        <v/>
      </c>
      <c r="K88" s="42"/>
      <c r="L88" s="42"/>
      <c r="M88" s="42" t="str">
        <f>IFERROR(IF(B88="","",K88/VLOOKUP(AD88,Varsayımlar!B:R,17,0)),"")</f>
        <v/>
      </c>
      <c r="N88" s="42"/>
      <c r="O88" s="42"/>
      <c r="P88" s="42" t="str">
        <f>IF(B88="","",VLOOKUP(AD88,Varsayımlar!$B:$Q,7,0)*K88)</f>
        <v/>
      </c>
      <c r="Q88" s="42" t="str">
        <f>IF(B88="","",VLOOKUP(AD88,Varsayımlar!$B:$Q,8,0))</f>
        <v/>
      </c>
      <c r="R88" s="42" t="str">
        <f>IF(B88="","",VLOOKUP(AD88,Varsayımlar!$B:$Q,9,0))</f>
        <v/>
      </c>
      <c r="S88" s="42" t="str">
        <f>IF(B88="","",VLOOKUP(AD88,Varsayımlar!$B:$Q,10,0))</f>
        <v/>
      </c>
      <c r="T88" s="42" t="str">
        <f>IF(B88="","",VLOOKUP(AD88,Varsayımlar!$B:$Q,11,0))</f>
        <v/>
      </c>
      <c r="U88" s="42" t="str">
        <f>IF(B88="","",VLOOKUP(AD88,Varsayımlar!$B:$Q,12,0))</f>
        <v/>
      </c>
      <c r="V88" s="42" t="str">
        <f>IF(B88="","",VLOOKUP(AD88,Varsayımlar!$B:$Q,13,0))</f>
        <v/>
      </c>
      <c r="W88" s="67" t="str">
        <f>IF(B88="","",VLOOKUP(AD88,Varsayımlar!$B:$Q,14,0))</f>
        <v/>
      </c>
      <c r="X88" s="69"/>
      <c r="Y88" s="69"/>
      <c r="Z88" s="67"/>
      <c r="AA88" s="67" t="str">
        <f>IF(B88="","",VLOOKUP(AD88,Varsayımlar!$B:$Q,15,0))</f>
        <v/>
      </c>
      <c r="AB88" s="67" t="str">
        <f>IF(B88="","",VLOOKUP(AD88,Varsayımlar!$B:$Q,16,0))</f>
        <v/>
      </c>
      <c r="AC88" s="67"/>
      <c r="AD88" s="57" t="str">
        <f t="shared" si="5"/>
        <v/>
      </c>
    </row>
    <row r="89" spans="1:30" hidden="1" x14ac:dyDescent="0.25">
      <c r="A89" s="8" t="s">
        <v>89</v>
      </c>
      <c r="B89" s="67"/>
      <c r="C89" s="42" t="str">
        <f>IF(B89="","",VLOOKUP(AD89,Varsayımlar!$B:$Q,3,0))</f>
        <v/>
      </c>
      <c r="D89" s="42"/>
      <c r="E89" s="42"/>
      <c r="F89" s="42"/>
      <c r="G89" s="42"/>
      <c r="H89" s="42" t="str">
        <f>IF(B89="","",VLOOKUP(AD89,Varsayımlar!$B:$Q,5,0))</f>
        <v/>
      </c>
      <c r="I89" s="42"/>
      <c r="J89" s="42" t="str">
        <f>IF(B89="","",VLOOKUP(AD89,Varsayımlar!$B:$Q,6,0))</f>
        <v/>
      </c>
      <c r="K89" s="42"/>
      <c r="L89" s="42"/>
      <c r="M89" s="42" t="str">
        <f>IFERROR(IF(B89="","",K89/VLOOKUP(AD89,Varsayımlar!B:R,17,0)),"")</f>
        <v/>
      </c>
      <c r="N89" s="42"/>
      <c r="O89" s="42"/>
      <c r="P89" s="42" t="str">
        <f>IF(B89="","",VLOOKUP(AD89,Varsayımlar!$B:$Q,7,0)*K89)</f>
        <v/>
      </c>
      <c r="Q89" s="42" t="str">
        <f>IF(B89="","",VLOOKUP(AD89,Varsayımlar!$B:$Q,8,0))</f>
        <v/>
      </c>
      <c r="R89" s="42" t="str">
        <f>IF(B89="","",VLOOKUP(AD89,Varsayımlar!$B:$Q,9,0))</f>
        <v/>
      </c>
      <c r="S89" s="42" t="str">
        <f>IF(B89="","",VLOOKUP(AD89,Varsayımlar!$B:$Q,10,0))</f>
        <v/>
      </c>
      <c r="T89" s="42" t="str">
        <f>IF(B89="","",VLOOKUP(AD89,Varsayımlar!$B:$Q,11,0))</f>
        <v/>
      </c>
      <c r="U89" s="42" t="str">
        <f>IF(B89="","",VLOOKUP(AD89,Varsayımlar!$B:$Q,12,0))</f>
        <v/>
      </c>
      <c r="V89" s="42" t="str">
        <f>IF(B89="","",VLOOKUP(AD89,Varsayımlar!$B:$Q,13,0))</f>
        <v/>
      </c>
      <c r="W89" s="67" t="str">
        <f>IF(B89="","",VLOOKUP(AD89,Varsayımlar!$B:$Q,14,0))</f>
        <v/>
      </c>
      <c r="X89" s="69"/>
      <c r="Y89" s="69"/>
      <c r="Z89" s="67"/>
      <c r="AA89" s="67" t="str">
        <f>IF(B89="","",VLOOKUP(AD89,Varsayımlar!$B:$Q,15,0))</f>
        <v/>
      </c>
      <c r="AB89" s="67" t="str">
        <f>IF(B89="","",VLOOKUP(AD89,Varsayımlar!$B:$Q,16,0))</f>
        <v/>
      </c>
      <c r="AC89" s="67"/>
      <c r="AD89" s="57" t="str">
        <f t="shared" si="5"/>
        <v/>
      </c>
    </row>
    <row r="90" spans="1:30" hidden="1" x14ac:dyDescent="0.25">
      <c r="A90" s="8" t="s">
        <v>90</v>
      </c>
      <c r="B90" s="67"/>
      <c r="C90" s="42" t="str">
        <f>IF(B90="","",VLOOKUP(AD90,Varsayımlar!$B:$Q,3,0))</f>
        <v/>
      </c>
      <c r="D90" s="42"/>
      <c r="E90" s="42"/>
      <c r="F90" s="42"/>
      <c r="G90" s="42"/>
      <c r="H90" s="42" t="str">
        <f>IF(B90="","",VLOOKUP(AD90,Varsayımlar!$B:$Q,5,0))</f>
        <v/>
      </c>
      <c r="I90" s="42"/>
      <c r="J90" s="42" t="str">
        <f>IF(B90="","",VLOOKUP(AD90,Varsayımlar!$B:$Q,6,0))</f>
        <v/>
      </c>
      <c r="K90" s="42"/>
      <c r="L90" s="42"/>
      <c r="M90" s="42" t="str">
        <f>IFERROR(IF(B90="","",K90/VLOOKUP(AD90,Varsayımlar!B:R,17,0)),"")</f>
        <v/>
      </c>
      <c r="N90" s="42"/>
      <c r="O90" s="42"/>
      <c r="P90" s="42" t="str">
        <f>IF(B90="","",VLOOKUP(AD90,Varsayımlar!$B:$Q,7,0)*K90)</f>
        <v/>
      </c>
      <c r="Q90" s="42" t="str">
        <f>IF(B90="","",VLOOKUP(AD90,Varsayımlar!$B:$Q,8,0))</f>
        <v/>
      </c>
      <c r="R90" s="42" t="str">
        <f>IF(B90="","",VLOOKUP(AD90,Varsayımlar!$B:$Q,9,0))</f>
        <v/>
      </c>
      <c r="S90" s="42" t="str">
        <f>IF(B90="","",VLOOKUP(AD90,Varsayımlar!$B:$Q,10,0))</f>
        <v/>
      </c>
      <c r="T90" s="42" t="str">
        <f>IF(B90="","",VLOOKUP(AD90,Varsayımlar!$B:$Q,11,0))</f>
        <v/>
      </c>
      <c r="U90" s="42" t="str">
        <f>IF(B90="","",VLOOKUP(AD90,Varsayımlar!$B:$Q,12,0))</f>
        <v/>
      </c>
      <c r="V90" s="42" t="str">
        <f>IF(B90="","",VLOOKUP(AD90,Varsayımlar!$B:$Q,13,0))</f>
        <v/>
      </c>
      <c r="W90" s="67" t="str">
        <f>IF(B90="","",VLOOKUP(AD90,Varsayımlar!$B:$Q,14,0))</f>
        <v/>
      </c>
      <c r="X90" s="69"/>
      <c r="Y90" s="69"/>
      <c r="Z90" s="67"/>
      <c r="AA90" s="67" t="str">
        <f>IF(B90="","",VLOOKUP(AD90,Varsayımlar!$B:$Q,15,0))</f>
        <v/>
      </c>
      <c r="AB90" s="67" t="str">
        <f>IF(B90="","",VLOOKUP(AD90,Varsayımlar!$B:$Q,16,0))</f>
        <v/>
      </c>
      <c r="AC90" s="67"/>
      <c r="AD90" s="57" t="str">
        <f t="shared" si="5"/>
        <v/>
      </c>
    </row>
    <row r="91" spans="1:30" hidden="1" x14ac:dyDescent="0.25">
      <c r="A91" s="8" t="s">
        <v>91</v>
      </c>
      <c r="B91" s="67"/>
      <c r="C91" s="42" t="str">
        <f>IF(B91="","",VLOOKUP(AD91,Varsayımlar!$B:$Q,3,0))</f>
        <v/>
      </c>
      <c r="D91" s="42"/>
      <c r="E91" s="42"/>
      <c r="F91" s="42"/>
      <c r="G91" s="42"/>
      <c r="H91" s="42" t="str">
        <f>IF(B91="","",VLOOKUP(AD91,Varsayımlar!$B:$Q,5,0))</f>
        <v/>
      </c>
      <c r="I91" s="42"/>
      <c r="J91" s="42" t="str">
        <f>IF(B91="","",VLOOKUP(AD91,Varsayımlar!$B:$Q,6,0))</f>
        <v/>
      </c>
      <c r="K91" s="42"/>
      <c r="L91" s="42"/>
      <c r="M91" s="42" t="str">
        <f>IFERROR(IF(B91="","",K91/VLOOKUP(AD91,Varsayımlar!B:R,17,0)),"")</f>
        <v/>
      </c>
      <c r="N91" s="42"/>
      <c r="O91" s="42"/>
      <c r="P91" s="42" t="str">
        <f>IF(B91="","",VLOOKUP(AD91,Varsayımlar!$B:$Q,7,0)*K91)</f>
        <v/>
      </c>
      <c r="Q91" s="42" t="str">
        <f>IF(B91="","",VLOOKUP(AD91,Varsayımlar!$B:$Q,8,0))</f>
        <v/>
      </c>
      <c r="R91" s="42" t="str">
        <f>IF(B91="","",VLOOKUP(AD91,Varsayımlar!$B:$Q,9,0))</f>
        <v/>
      </c>
      <c r="S91" s="42" t="str">
        <f>IF(B91="","",VLOOKUP(AD91,Varsayımlar!$B:$Q,10,0))</f>
        <v/>
      </c>
      <c r="T91" s="42" t="str">
        <f>IF(B91="","",VLOOKUP(AD91,Varsayımlar!$B:$Q,11,0))</f>
        <v/>
      </c>
      <c r="U91" s="42" t="str">
        <f>IF(B91="","",VLOOKUP(AD91,Varsayımlar!$B:$Q,12,0))</f>
        <v/>
      </c>
      <c r="V91" s="42" t="str">
        <f>IF(B91="","",VLOOKUP(AD91,Varsayımlar!$B:$Q,13,0))</f>
        <v/>
      </c>
      <c r="W91" s="67" t="str">
        <f>IF(B91="","",VLOOKUP(AD91,Varsayımlar!$B:$Q,14,0))</f>
        <v/>
      </c>
      <c r="X91" s="69"/>
      <c r="Y91" s="69"/>
      <c r="Z91" s="67"/>
      <c r="AA91" s="67" t="str">
        <f>IF(B91="","",VLOOKUP(AD91,Varsayımlar!$B:$Q,15,0))</f>
        <v/>
      </c>
      <c r="AB91" s="67" t="str">
        <f>IF(B91="","",VLOOKUP(AD91,Varsayımlar!$B:$Q,16,0))</f>
        <v/>
      </c>
      <c r="AC91" s="67"/>
      <c r="AD91" s="57" t="str">
        <f t="shared" si="5"/>
        <v/>
      </c>
    </row>
    <row r="92" spans="1:30" hidden="1" x14ac:dyDescent="0.25">
      <c r="A92" s="8" t="s">
        <v>92</v>
      </c>
      <c r="B92" s="67"/>
      <c r="C92" s="42" t="str">
        <f>IF(B92="","",VLOOKUP(AD92,Varsayımlar!$B:$Q,3,0))</f>
        <v/>
      </c>
      <c r="D92" s="42"/>
      <c r="E92" s="42"/>
      <c r="F92" s="42"/>
      <c r="G92" s="42"/>
      <c r="H92" s="42" t="str">
        <f>IF(B92="","",VLOOKUP(AD92,Varsayımlar!$B:$Q,5,0))</f>
        <v/>
      </c>
      <c r="I92" s="42"/>
      <c r="J92" s="42" t="str">
        <f>IF(B92="","",VLOOKUP(AD92,Varsayımlar!$B:$Q,6,0))</f>
        <v/>
      </c>
      <c r="K92" s="42"/>
      <c r="L92" s="42"/>
      <c r="M92" s="42" t="str">
        <f>IFERROR(IF(B92="","",K92/VLOOKUP(AD92,Varsayımlar!B:R,17,0)),"")</f>
        <v/>
      </c>
      <c r="N92" s="42"/>
      <c r="O92" s="42"/>
      <c r="P92" s="42" t="str">
        <f>IF(B92="","",VLOOKUP(AD92,Varsayımlar!$B:$Q,7,0)*K92)</f>
        <v/>
      </c>
      <c r="Q92" s="42" t="str">
        <f>IF(B92="","",VLOOKUP(AD92,Varsayımlar!$B:$Q,8,0))</f>
        <v/>
      </c>
      <c r="R92" s="42" t="str">
        <f>IF(B92="","",VLOOKUP(AD92,Varsayımlar!$B:$Q,9,0))</f>
        <v/>
      </c>
      <c r="S92" s="42" t="str">
        <f>IF(B92="","",VLOOKUP(AD92,Varsayımlar!$B:$Q,10,0))</f>
        <v/>
      </c>
      <c r="T92" s="42" t="str">
        <f>IF(B92="","",VLOOKUP(AD92,Varsayımlar!$B:$Q,11,0))</f>
        <v/>
      </c>
      <c r="U92" s="42" t="str">
        <f>IF(B92="","",VLOOKUP(AD92,Varsayımlar!$B:$Q,12,0))</f>
        <v/>
      </c>
      <c r="V92" s="42" t="str">
        <f>IF(B92="","",VLOOKUP(AD92,Varsayımlar!$B:$Q,13,0))</f>
        <v/>
      </c>
      <c r="W92" s="67" t="str">
        <f>IF(B92="","",VLOOKUP(AD92,Varsayımlar!$B:$Q,14,0))</f>
        <v/>
      </c>
      <c r="X92" s="69"/>
      <c r="Y92" s="69"/>
      <c r="Z92" s="67"/>
      <c r="AA92" s="67" t="str">
        <f>IF(B92="","",VLOOKUP(AD92,Varsayımlar!$B:$Q,15,0))</f>
        <v/>
      </c>
      <c r="AB92" s="67" t="str">
        <f>IF(B92="","",VLOOKUP(AD92,Varsayımlar!$B:$Q,16,0))</f>
        <v/>
      </c>
      <c r="AC92" s="67"/>
      <c r="AD92" s="57" t="str">
        <f t="shared" si="5"/>
        <v/>
      </c>
    </row>
    <row r="93" spans="1:30" hidden="1" x14ac:dyDescent="0.25">
      <c r="A93" s="8" t="s">
        <v>93</v>
      </c>
      <c r="B93" s="67"/>
      <c r="C93" s="42" t="str">
        <f>IF(B93="","",VLOOKUP(AD93,Varsayımlar!$B:$Q,3,0))</f>
        <v/>
      </c>
      <c r="D93" s="42"/>
      <c r="E93" s="42"/>
      <c r="F93" s="42"/>
      <c r="G93" s="42"/>
      <c r="H93" s="42" t="str">
        <f>IF(B93="","",VLOOKUP(AD93,Varsayımlar!$B:$Q,5,0))</f>
        <v/>
      </c>
      <c r="I93" s="42"/>
      <c r="J93" s="42" t="str">
        <f>IF(B93="","",VLOOKUP(AD93,Varsayımlar!$B:$Q,6,0))</f>
        <v/>
      </c>
      <c r="K93" s="42"/>
      <c r="L93" s="42"/>
      <c r="M93" s="42" t="str">
        <f>IFERROR(IF(B93="","",K93/VLOOKUP(AD93,Varsayımlar!B:R,17,0)),"")</f>
        <v/>
      </c>
      <c r="N93" s="42"/>
      <c r="O93" s="42"/>
      <c r="P93" s="42" t="str">
        <f>IF(B93="","",VLOOKUP(AD93,Varsayımlar!$B:$Q,7,0)*K93)</f>
        <v/>
      </c>
      <c r="Q93" s="42" t="str">
        <f>IF(B93="","",VLOOKUP(AD93,Varsayımlar!$B:$Q,8,0))</f>
        <v/>
      </c>
      <c r="R93" s="42" t="str">
        <f>IF(B93="","",VLOOKUP(AD93,Varsayımlar!$B:$Q,9,0))</f>
        <v/>
      </c>
      <c r="S93" s="42" t="str">
        <f>IF(B93="","",VLOOKUP(AD93,Varsayımlar!$B:$Q,10,0))</f>
        <v/>
      </c>
      <c r="T93" s="42" t="str">
        <f>IF(B93="","",VLOOKUP(AD93,Varsayımlar!$B:$Q,11,0))</f>
        <v/>
      </c>
      <c r="U93" s="42" t="str">
        <f>IF(B93="","",VLOOKUP(AD93,Varsayımlar!$B:$Q,12,0))</f>
        <v/>
      </c>
      <c r="V93" s="42" t="str">
        <f>IF(B93="","",VLOOKUP(AD93,Varsayımlar!$B:$Q,13,0))</f>
        <v/>
      </c>
      <c r="W93" s="67" t="str">
        <f>IF(B93="","",VLOOKUP(AD93,Varsayımlar!$B:$Q,14,0))</f>
        <v/>
      </c>
      <c r="X93" s="69"/>
      <c r="Y93" s="69"/>
      <c r="Z93" s="67"/>
      <c r="AA93" s="67" t="str">
        <f>IF(B93="","",VLOOKUP(AD93,Varsayımlar!$B:$Q,15,0))</f>
        <v/>
      </c>
      <c r="AB93" s="67" t="str">
        <f>IF(B93="","",VLOOKUP(AD93,Varsayımlar!$B:$Q,16,0))</f>
        <v/>
      </c>
      <c r="AC93" s="67"/>
      <c r="AD93" s="57" t="str">
        <f t="shared" si="5"/>
        <v/>
      </c>
    </row>
    <row r="94" spans="1:30" hidden="1" x14ac:dyDescent="0.25">
      <c r="A94" s="8" t="s">
        <v>135</v>
      </c>
      <c r="B94" s="67"/>
      <c r="C94" s="42" t="str">
        <f>IF(B94="","",VLOOKUP(AD94,Varsayımlar!$B:$Q,3,0))</f>
        <v/>
      </c>
      <c r="D94" s="42"/>
      <c r="E94" s="42"/>
      <c r="F94" s="42"/>
      <c r="G94" s="42"/>
      <c r="H94" s="42" t="str">
        <f>IF(B94="","",VLOOKUP(AD94,Varsayımlar!$B:$Q,5,0))</f>
        <v/>
      </c>
      <c r="I94" s="42"/>
      <c r="J94" s="42" t="str">
        <f>IF(B94="","",VLOOKUP(AD94,Varsayımlar!$B:$Q,6,0))</f>
        <v/>
      </c>
      <c r="K94" s="42"/>
      <c r="L94" s="42"/>
      <c r="M94" s="42" t="str">
        <f>IFERROR(IF(B94="","",K94/VLOOKUP(AD94,Varsayımlar!B:R,17,0)),"")</f>
        <v/>
      </c>
      <c r="N94" s="42"/>
      <c r="O94" s="42"/>
      <c r="P94" s="42" t="str">
        <f>IF(B94="","",VLOOKUP(AD94,Varsayımlar!$B:$Q,7,0)*K94)</f>
        <v/>
      </c>
      <c r="Q94" s="42" t="str">
        <f>IF(B94="","",VLOOKUP(AD94,Varsayımlar!$B:$Q,8,0))</f>
        <v/>
      </c>
      <c r="R94" s="42" t="str">
        <f>IF(B94="","",VLOOKUP(AD94,Varsayımlar!$B:$Q,9,0))</f>
        <v/>
      </c>
      <c r="S94" s="42" t="str">
        <f>IF(B94="","",VLOOKUP(AD94,Varsayımlar!$B:$Q,10,0))</f>
        <v/>
      </c>
      <c r="T94" s="42" t="str">
        <f>IF(B94="","",VLOOKUP(AD94,Varsayımlar!$B:$Q,11,0))</f>
        <v/>
      </c>
      <c r="U94" s="42" t="str">
        <f>IF(B94="","",VLOOKUP(AD94,Varsayımlar!$B:$Q,12,0))</f>
        <v/>
      </c>
      <c r="V94" s="42" t="str">
        <f>IF(B94="","",VLOOKUP(AD94,Varsayımlar!$B:$Q,13,0))</f>
        <v/>
      </c>
      <c r="W94" s="67" t="str">
        <f>IF(B94="","",VLOOKUP(AD94,Varsayımlar!$B:$Q,14,0))</f>
        <v/>
      </c>
      <c r="X94" s="69"/>
      <c r="Y94" s="69"/>
      <c r="Z94" s="67"/>
      <c r="AA94" s="67" t="str">
        <f>IF(B94="","",VLOOKUP(AD94,Varsayımlar!$B:$Q,15,0))</f>
        <v/>
      </c>
      <c r="AB94" s="67" t="str">
        <f>IF(B94="","",VLOOKUP(AD94,Varsayımlar!$B:$Q,16,0))</f>
        <v/>
      </c>
      <c r="AC94" s="67"/>
      <c r="AD94" s="57" t="str">
        <f t="shared" si="5"/>
        <v/>
      </c>
    </row>
    <row r="95" spans="1:30" hidden="1" x14ac:dyDescent="0.25">
      <c r="B95" s="86"/>
      <c r="C95" s="87" t="str">
        <f>IF(B95="","",VLOOKUP(AD95,Varsayımlar!$B:$Q,3,0))</f>
        <v/>
      </c>
      <c r="D95" s="87"/>
      <c r="H95" s="57" t="str">
        <f>IF(B95="","",VLOOKUP(AD95,Varsayımlar!$B:$Q,5,0))</f>
        <v/>
      </c>
      <c r="I95" s="57"/>
      <c r="J95" s="57" t="str">
        <f>IF(B95="","",VLOOKUP(AD95,Varsayımlar!$B:$Q,6,0))</f>
        <v/>
      </c>
      <c r="P95" s="57" t="str">
        <f>IF(B95="","",VLOOKUP(AD95,Varsayımlar!$B:$Q,7,0)*K95)</f>
        <v/>
      </c>
      <c r="Q95" s="57" t="str">
        <f>IF(B95="","",VLOOKUP(AD95,Varsayımlar!$B:$Q,8,0))</f>
        <v/>
      </c>
      <c r="R95" s="57" t="str">
        <f>IF(B95="","",VLOOKUP(AD95,Varsayımlar!$B:$Q,9,0))</f>
        <v/>
      </c>
      <c r="S95" s="57" t="str">
        <f>IF(B95="","",VLOOKUP(AD95,Varsayımlar!$B:$Q,10,0))</f>
        <v/>
      </c>
      <c r="T95" s="57" t="str">
        <f>IF(B95="","",VLOOKUP(AD95,Varsayımlar!$B:$Q,11,0))</f>
        <v/>
      </c>
      <c r="U95" s="57" t="str">
        <f>IF(B95="","",VLOOKUP(AD95,Varsayımlar!$B:$Q,12,0))</f>
        <v/>
      </c>
      <c r="V95" s="57" t="str">
        <f>IF(B95="","",VLOOKUP(AD95,Varsayımlar!$B:$Q,13,0))</f>
        <v/>
      </c>
      <c r="W95" s="57" t="str">
        <f>IF(B95="","",VLOOKUP(AD95,Varsayımlar!$B:$Q,14,0))</f>
        <v/>
      </c>
      <c r="AA95" s="57" t="str">
        <f>IF(B95="","",VLOOKUP(AD95,Varsayımlar!$B:$Q,15,0))</f>
        <v/>
      </c>
      <c r="AB95" s="57" t="str">
        <f>IF(B95="","",VLOOKUP(AD95,Varsayımlar!$B:$Q,16,0))</f>
        <v/>
      </c>
      <c r="AC95" s="57" t="str">
        <f>IF(B95="","",VLOOKUP(Sayfa1!AD93,Varsayımlar!B:S,18,0))</f>
        <v/>
      </c>
      <c r="AD95" s="57" t="str">
        <f t="shared" si="5"/>
        <v/>
      </c>
    </row>
    <row r="96" spans="1:30" x14ac:dyDescent="0.25">
      <c r="C96" s="53" t="str">
        <f>IF(B96="","",VLOOKUP(AD96,Varsayımlar!$B:$Q,3,0))</f>
        <v/>
      </c>
      <c r="H96" s="7" t="str">
        <f>IF(B96="","",VLOOKUP(AD96,Varsayımlar!$B:$Q,5,0))</f>
        <v/>
      </c>
      <c r="J96" s="7" t="str">
        <f>IF(B96="","",VLOOKUP(AD96,Varsayımlar!$B:$Q,6,0))</f>
        <v/>
      </c>
      <c r="P96" s="7" t="str">
        <f>IF(B96="","",VLOOKUP(AD96,Varsayımlar!$B:$Q,7,0)*K96)</f>
        <v/>
      </c>
      <c r="Q96" s="7" t="str">
        <f>IF(B96="","",VLOOKUP(AD96,Varsayımlar!$B:$Q,8,0))</f>
        <v/>
      </c>
      <c r="R96" s="7" t="str">
        <f>IF(B96="","",VLOOKUP(AD96,Varsayımlar!$B:$Q,9,0))</f>
        <v/>
      </c>
      <c r="S96" s="7" t="str">
        <f>IF(B96="","",VLOOKUP(AD96,Varsayımlar!$B:$Q,10,0))</f>
        <v/>
      </c>
      <c r="T96" s="7" t="str">
        <f>IF(B96="","",VLOOKUP(AD96,Varsayımlar!$B:$Q,11,0))</f>
        <v/>
      </c>
      <c r="U96" s="7" t="str">
        <f>IF(B96="","",VLOOKUP(AD96,Varsayımlar!$B:$Q,12,0))</f>
        <v/>
      </c>
      <c r="V96" s="7" t="str">
        <f>IF(B96="","",VLOOKUP(AD96,Varsayımlar!$B:$Q,13,0))</f>
        <v/>
      </c>
      <c r="W96" s="7" t="str">
        <f>IF(B96="","",VLOOKUP(AD96,Varsayımlar!$B:$Q,14,0))</f>
        <v/>
      </c>
      <c r="AA96" s="7" t="str">
        <f>IF(B96="","",VLOOKUP(AD96,Varsayımlar!$B:$Q,15,0))</f>
        <v/>
      </c>
      <c r="AB96" s="7" t="str">
        <f>IF(B96="","",VLOOKUP(AD96,Varsayımlar!$B:$Q,16,0))</f>
        <v/>
      </c>
      <c r="AC96" s="7" t="str">
        <f>IF(B96="","",VLOOKUP(Sayfa1!AD94,Varsayımlar!B:S,18,0))</f>
        <v/>
      </c>
      <c r="AD96" s="7" t="str">
        <f t="shared" si="5"/>
        <v/>
      </c>
    </row>
  </sheetData>
  <mergeCells count="5">
    <mergeCell ref="A1:AC1"/>
    <mergeCell ref="A2:Z2"/>
    <mergeCell ref="AB2:AC2"/>
    <mergeCell ref="A46:AB46"/>
    <mergeCell ref="A74:AB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8"/>
  <sheetViews>
    <sheetView zoomScale="60" zoomScaleNormal="60" workbookViewId="0">
      <selection activeCell="A48" sqref="A48:XFD48"/>
    </sheetView>
  </sheetViews>
  <sheetFormatPr defaultRowHeight="15.75" x14ac:dyDescent="0.25"/>
  <cols>
    <col min="1" max="1" width="5.85546875" style="7" bestFit="1" customWidth="1"/>
    <col min="2" max="2" width="28.140625" style="7" bestFit="1" customWidth="1"/>
    <col min="3" max="3" width="24" style="53" bestFit="1" customWidth="1"/>
    <col min="4" max="4" width="13.42578125" style="53" bestFit="1" customWidth="1"/>
    <col min="5" max="5" width="42" style="53" customWidth="1"/>
    <col min="6" max="6" width="20.140625" style="7" customWidth="1"/>
    <col min="7" max="7" width="26.7109375" style="7" customWidth="1"/>
    <col min="8" max="8" width="28.28515625" style="7" customWidth="1"/>
    <col min="9" max="9" width="24.140625" style="7" bestFit="1" customWidth="1"/>
    <col min="10" max="10" width="14.28515625" style="7" bestFit="1" customWidth="1"/>
    <col min="11" max="11" width="15.7109375" style="7" bestFit="1" customWidth="1"/>
    <col min="12" max="12" width="13.42578125" style="7" bestFit="1" customWidth="1"/>
    <col min="13" max="13" width="10.42578125" style="7" customWidth="1"/>
    <col min="14" max="14" width="13.140625" style="7" bestFit="1" customWidth="1"/>
    <col min="15" max="15" width="6.28515625" style="7" customWidth="1"/>
    <col min="16" max="16" width="11.5703125" style="7" bestFit="1" customWidth="1"/>
    <col min="17" max="17" width="5.85546875" style="7" bestFit="1" customWidth="1"/>
    <col min="18" max="18" width="14.42578125" style="7" bestFit="1" customWidth="1"/>
    <col min="19" max="19" width="7.85546875" style="7" bestFit="1" customWidth="1"/>
    <col min="20" max="20" width="9.140625" style="7" bestFit="1" customWidth="1"/>
    <col min="21" max="21" width="11.140625" style="7" bestFit="1" customWidth="1"/>
    <col min="22" max="22" width="10.28515625" style="7" bestFit="1" customWidth="1"/>
    <col min="23" max="23" width="9.42578125" style="7" bestFit="1" customWidth="1"/>
    <col min="24" max="25" width="16.85546875" style="7" bestFit="1" customWidth="1"/>
    <col min="26" max="26" width="16.7109375" style="7" bestFit="1" customWidth="1"/>
    <col min="27" max="27" width="29.28515625" style="7" bestFit="1" customWidth="1"/>
    <col min="28" max="29" width="23.28515625" style="7" customWidth="1"/>
    <col min="30" max="30" width="62.140625" style="7" customWidth="1"/>
    <col min="31" max="31" width="7" style="7" customWidth="1"/>
    <col min="32" max="16384" width="9.140625" style="7"/>
  </cols>
  <sheetData>
    <row r="1" spans="1:30" ht="31.5" x14ac:dyDescent="0.25">
      <c r="A1" s="178" t="s">
        <v>349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spans="1:30" ht="31.5" x14ac:dyDescent="0.25">
      <c r="A2" s="174" t="s">
        <v>35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52">
        <v>46178</v>
      </c>
      <c r="AB2" s="176">
        <v>0.71875</v>
      </c>
      <c r="AC2" s="176"/>
    </row>
    <row r="3" spans="1:30" ht="63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s="94" customFormat="1" ht="95.25" customHeight="1" x14ac:dyDescent="0.25">
      <c r="A4" s="88" t="s">
        <v>26</v>
      </c>
      <c r="B4" s="89" t="s">
        <v>64</v>
      </c>
      <c r="C4" s="90">
        <f>IF(B4="","",VLOOKUP(AD4,Varsayımlar!$B:$Q,3,0))</f>
        <v>8698829380698</v>
      </c>
      <c r="D4" s="90"/>
      <c r="E4" s="91" t="s">
        <v>176</v>
      </c>
      <c r="F4" s="89"/>
      <c r="G4" s="90" t="s">
        <v>68</v>
      </c>
      <c r="H4" s="89" t="str">
        <f>IF(B4="","",VLOOKUP(AD4,Varsayımlar!$B:$Q,5,0))</f>
        <v>Tortillas 20cm (Samakat Bilgileri Ekli)</v>
      </c>
      <c r="I4" s="89">
        <f>IF(B4="","",VLOOKUP(AD4,Varsayımlar!B:T,19,0))</f>
        <v>0</v>
      </c>
      <c r="J4" s="89" t="str">
        <f>IF(B4="","",VLOOKUP(AD4,Varsayımlar!$B:$Q,6,0))</f>
        <v>PEYNİRLİ</v>
      </c>
      <c r="K4" s="89">
        <v>7200</v>
      </c>
      <c r="L4" s="89"/>
      <c r="M4" s="89">
        <f>IFERROR(IF(B4="","",K4/VLOOKUP(AD4,Varsayımlar!B:R,17,0)),"")</f>
        <v>32</v>
      </c>
      <c r="N4" s="89">
        <v>225</v>
      </c>
      <c r="O4" s="89">
        <v>11</v>
      </c>
      <c r="P4" s="89">
        <f>IF(B4="","",VLOOKUP(AD4,Varsayımlar!$B:$Q,7,0)*K4)</f>
        <v>100800</v>
      </c>
      <c r="Q4" s="89">
        <f>IF(B4="","",VLOOKUP(AD4,Varsayımlar!$B:$Q,8,0))</f>
        <v>20</v>
      </c>
      <c r="R4" s="89" t="str">
        <f>IF(B4="","",VLOOKUP(AD4,Varsayımlar!$B:$Q,9,0))</f>
        <v>IRAK SOFT-AT</v>
      </c>
      <c r="S4" s="89">
        <f>IF(B4="","",VLOOKUP(AD4,Varsayımlar!$B:$Q,10,0))</f>
        <v>4</v>
      </c>
      <c r="T4" s="89">
        <f>IF(B4="","",VLOOKUP(AD4,Varsayımlar!$B:$Q,11,0))</f>
        <v>14</v>
      </c>
      <c r="U4" s="89">
        <f>IF(B4="","",VLOOKUP(AD4,Varsayımlar!$B:$Q,12,0))</f>
        <v>166</v>
      </c>
      <c r="V4" s="89" t="str">
        <f>IF(B4="","",VLOOKUP(AD4,Varsayımlar!$B:$Q,13,0))</f>
        <v>YURTDIŞI</v>
      </c>
      <c r="W4" s="89">
        <f>IF(B4="","",VLOOKUP(AD4,Varsayımlar!$B:$Q,14,0))</f>
        <v>9</v>
      </c>
      <c r="X4" s="92">
        <v>46184</v>
      </c>
      <c r="Y4" s="92">
        <v>46457</v>
      </c>
      <c r="Z4" s="89" t="s">
        <v>333</v>
      </c>
      <c r="AA4" s="89" t="str">
        <f>IF(B4="","",VLOOKUP(AD4,Varsayımlar!$B:$Q,15,0))</f>
        <v>Kare Koli-Üretim Tarihli Etiket</v>
      </c>
      <c r="AB4" s="89" t="str">
        <f>IF(B4="","",VLOOKUP(AD4,Varsayımlar!$B:$Q,16,0))</f>
        <v>19-21 cm</v>
      </c>
      <c r="AC4" s="89">
        <f>IF(B4="","",VLOOKUP(Sayfa1!AD5,Varsayımlar!B:S,18,0))</f>
        <v>0</v>
      </c>
      <c r="AD4" s="93" t="str">
        <f t="shared" ref="AD4:AD45" si="0">IF(B4="","",CONCATENATE(B4,E4))</f>
        <v>SMART LLCTortillas 20cm Peynirli 4pcs 166g</v>
      </c>
    </row>
    <row r="5" spans="1:30" s="94" customFormat="1" ht="95.25" customHeight="1" x14ac:dyDescent="0.25">
      <c r="A5" s="88" t="s">
        <v>77</v>
      </c>
      <c r="B5" s="95" t="s">
        <v>311</v>
      </c>
      <c r="C5" s="96">
        <f>IF(B5="","",VLOOKUP(AD5,Varsayımlar!$B:$Q,3,0))</f>
        <v>8698829380698</v>
      </c>
      <c r="D5" s="96"/>
      <c r="E5" s="97" t="s">
        <v>315</v>
      </c>
      <c r="F5" s="95"/>
      <c r="G5" s="96"/>
      <c r="H5" s="95" t="str">
        <f>IF(B5="","",VLOOKUP(AD5,Varsayımlar!$B:$Q,5,0))</f>
        <v xml:space="preserve">Happylla 30cm </v>
      </c>
      <c r="I5" s="95">
        <f>IF(B5="","",VLOOKUP(AD5,Varsayımlar!B:T,19,0))</f>
        <v>0</v>
      </c>
      <c r="J5" s="95" t="str">
        <f>IF(B5="","",VLOOKUP(AD5,Varsayımlar!$B:$Q,6,0))</f>
        <v>SADE</v>
      </c>
      <c r="K5" s="95">
        <v>1000</v>
      </c>
      <c r="L5" s="95"/>
      <c r="M5" s="95" t="str">
        <f>IFERROR(IF(B5="","",K5/VLOOKUP(AD5,Varsayımlar!B:R,17,0)),"")</f>
        <v/>
      </c>
      <c r="N5" s="95"/>
      <c r="O5" s="95">
        <v>16</v>
      </c>
      <c r="P5" s="95">
        <f>IF(B5="","",VLOOKUP(AD5,Varsayımlar!$B:$Q,7,0)*K5)</f>
        <v>18000</v>
      </c>
      <c r="Q5" s="95">
        <f>IF(B5="","",VLOOKUP(AD5,Varsayımlar!$B:$Q,8,0))</f>
        <v>30</v>
      </c>
      <c r="R5" s="95" t="str">
        <f>IF(B5="","",VLOOKUP(AD5,Varsayımlar!$B:$Q,9,0))</f>
        <v>Irak Soft</v>
      </c>
      <c r="S5" s="95">
        <f>IF(B5="","",VLOOKUP(AD5,Varsayımlar!$B:$Q,10,0))</f>
        <v>6</v>
      </c>
      <c r="T5" s="95">
        <f>IF(B5="","",VLOOKUP(AD5,Varsayımlar!$B:$Q,11,0))</f>
        <v>18</v>
      </c>
      <c r="U5" s="95">
        <f>IF(B5="","",VLOOKUP(AD5,Varsayımlar!$B:$Q,12,0))</f>
        <v>510</v>
      </c>
      <c r="V5" s="95" t="str">
        <f>IF(B5="","",VLOOKUP(AD5,Varsayımlar!$B:$Q,13,0))</f>
        <v>Yurtdışı</v>
      </c>
      <c r="W5" s="95">
        <f>IF(B5="","",VLOOKUP(AD5,Varsayımlar!$B:$Q,14,0))</f>
        <v>8</v>
      </c>
      <c r="X5" s="98">
        <v>46181</v>
      </c>
      <c r="Y5" s="98">
        <v>46426</v>
      </c>
      <c r="Z5" s="95">
        <v>26060830</v>
      </c>
      <c r="AA5" s="95" t="str">
        <f>IF(B5="","",VLOOKUP(AD5,Varsayımlar!$B:$Q,15,0))</f>
        <v>30cm Koli</v>
      </c>
      <c r="AB5" s="95" t="str">
        <f>IF(B5="","",VLOOKUP(AD5,Varsayımlar!$B:$Q,16,0))</f>
        <v>29-31 cm</v>
      </c>
      <c r="AC5" s="95">
        <f>IF(B5="","",VLOOKUP(Sayfa1!AD6,Varsayımlar!B:S,18,0))</f>
        <v>0</v>
      </c>
      <c r="AD5" s="93" t="str">
        <f t="shared" ref="AD5:AD12" si="1">IF(B5="","",CONCATENATE(B5,E5))</f>
        <v>Sons Of HannaHappylla 30cm Sade 6pcs 510g</v>
      </c>
    </row>
    <row r="6" spans="1:30" s="94" customFormat="1" ht="95.25" customHeight="1" x14ac:dyDescent="0.25">
      <c r="A6" s="88" t="s">
        <v>78</v>
      </c>
      <c r="B6" s="89" t="s">
        <v>130</v>
      </c>
      <c r="C6" s="90" t="e">
        <f>IF(B6="","",VLOOKUP(AD6,#REF!,3,0))</f>
        <v>#REF!</v>
      </c>
      <c r="D6" s="90"/>
      <c r="E6" s="91" t="s">
        <v>131</v>
      </c>
      <c r="F6" s="89"/>
      <c r="G6" s="89"/>
      <c r="H6" s="89" t="e">
        <f>IF(B6="","",VLOOKUP(AD6,#REF!,5,0))</f>
        <v>#REF!</v>
      </c>
      <c r="I6" s="89" t="e">
        <f>IF(B6="","",VLOOKUP(AD6,#REF!,19,0))</f>
        <v>#REF!</v>
      </c>
      <c r="J6" s="89" t="e">
        <f>IF(B6="","",VLOOKUP(AD6,#REF!,6,0))</f>
        <v>#REF!</v>
      </c>
      <c r="K6" s="89">
        <v>50</v>
      </c>
      <c r="L6" s="89"/>
      <c r="M6" s="89" t="str">
        <f>IFERROR(IF(B6="","",K6/VLOOKUP(AD6,#REF!,17,0)),"")</f>
        <v/>
      </c>
      <c r="N6" s="89"/>
      <c r="O6" s="89">
        <v>1</v>
      </c>
      <c r="P6" s="89" t="e">
        <f>IF(B6="","",VLOOKUP(AD6,#REF!,7,0)*K6)</f>
        <v>#REF!</v>
      </c>
      <c r="Q6" s="89" t="e">
        <f>IF(B6="","",VLOOKUP(AD6,#REF!,8,0))</f>
        <v>#REF!</v>
      </c>
      <c r="R6" s="89" t="e">
        <f>IF(B6="","",VLOOKUP(AD6,#REF!,9,0))</f>
        <v>#REF!</v>
      </c>
      <c r="S6" s="89" t="e">
        <f>IF(B6="","",VLOOKUP(AD6,#REF!,10,0))</f>
        <v>#REF!</v>
      </c>
      <c r="T6" s="89" t="e">
        <f>IF(B6="","",VLOOKUP(AD6,#REF!,11,0))</f>
        <v>#REF!</v>
      </c>
      <c r="U6" s="89" t="e">
        <f>IF(B6="","",VLOOKUP(AD6,#REF!,12,0))</f>
        <v>#REF!</v>
      </c>
      <c r="V6" s="89" t="e">
        <f>IF(B6="","",VLOOKUP(AD6,#REF!,13,0))</f>
        <v>#REF!</v>
      </c>
      <c r="W6" s="89" t="e">
        <f>IF(B6="","",VLOOKUP(AD6,#REF!,14,0))</f>
        <v>#REF!</v>
      </c>
      <c r="X6" s="89" t="s">
        <v>113</v>
      </c>
      <c r="Y6" s="89" t="s">
        <v>113</v>
      </c>
      <c r="Z6" s="89" t="s">
        <v>113</v>
      </c>
      <c r="AA6" s="89" t="e">
        <f>IF(B6="","",VLOOKUP(AD6,#REF!,15,0))</f>
        <v>#REF!</v>
      </c>
      <c r="AB6" s="89" t="e">
        <f>IF(B6="","",VLOOKUP(AD6,#REF!,16,0))</f>
        <v>#REF!</v>
      </c>
      <c r="AC6" s="89" t="e">
        <f>IF(B6="","",VLOOKUP(#REF!,#REF!,18,0))</f>
        <v>#REF!</v>
      </c>
      <c r="AD6" s="99" t="str">
        <f t="shared" si="1"/>
        <v>KopuzMutlukal Tortillas 30cm 950g</v>
      </c>
    </row>
    <row r="7" spans="1:30" s="94" customFormat="1" ht="95.25" customHeight="1" x14ac:dyDescent="0.25">
      <c r="A7" s="88" t="s">
        <v>79</v>
      </c>
      <c r="B7" s="100" t="s">
        <v>302</v>
      </c>
      <c r="C7" s="101">
        <f>IF(B7="","",VLOOKUP(AD7,Varsayımlar!$B:$Q,3,0))</f>
        <v>8698829380698</v>
      </c>
      <c r="D7" s="101"/>
      <c r="E7" s="102" t="s">
        <v>281</v>
      </c>
      <c r="F7" s="100"/>
      <c r="G7" s="101" t="s">
        <v>68</v>
      </c>
      <c r="H7" s="100" t="str">
        <f>IF(B7="","",VLOOKUP(AD7,Varsayımlar!$B:$Q,5,0))</f>
        <v>Baskısız 30cm</v>
      </c>
      <c r="I7" s="100" t="str">
        <f>IF(B7="","",VLOOKUP(AD7,Varsayımlar!B:T,19,0))</f>
        <v>Tüm Bilgiler Sade</v>
      </c>
      <c r="J7" s="100" t="str">
        <f>IF(B7="","",VLOOKUP(AD7,Varsayımlar!$B:$Q,6,0))</f>
        <v>SADE</v>
      </c>
      <c r="K7" s="100">
        <v>792</v>
      </c>
      <c r="L7" s="100"/>
      <c r="M7" s="100" t="str">
        <f>IFERROR(IF(B7="","",K7/VLOOKUP(AD7,Varsayımlar!B:R,17,0)),"")</f>
        <v/>
      </c>
      <c r="N7" s="100"/>
      <c r="O7" s="100">
        <v>13</v>
      </c>
      <c r="P7" s="100">
        <f>IF(B7="","",VLOOKUP(AD7,Varsayımlar!$B:$Q,7,0)*K7)</f>
        <v>7920</v>
      </c>
      <c r="Q7" s="100">
        <f>IF(B7="","",VLOOKUP(AD7,Varsayımlar!$B:$Q,8,0))</f>
        <v>30</v>
      </c>
      <c r="R7" s="100" t="str">
        <f>IF(B7="","",VLOOKUP(AD7,Varsayımlar!$B:$Q,9,0))</f>
        <v>Irak soft</v>
      </c>
      <c r="S7" s="100">
        <f>IF(B7="","",VLOOKUP(AD7,Varsayımlar!$B:$Q,10,0))</f>
        <v>12</v>
      </c>
      <c r="T7" s="100">
        <f>IF(B7="","",VLOOKUP(AD7,Varsayımlar!$B:$Q,11,0))</f>
        <v>10</v>
      </c>
      <c r="U7" s="100">
        <f>IF(B7="","",VLOOKUP(AD7,Varsayımlar!$B:$Q,12,0))</f>
        <v>1020</v>
      </c>
      <c r="V7" s="100" t="str">
        <f>IF(B7="","",VLOOKUP(AD7,Varsayımlar!$B:$Q,13,0))</f>
        <v>Yurtdışı</v>
      </c>
      <c r="W7" s="100">
        <f>IF(B7="","",VLOOKUP(AD7,Varsayımlar!$B:$Q,14,0))</f>
        <v>6</v>
      </c>
      <c r="X7" s="103">
        <v>46190</v>
      </c>
      <c r="Y7" s="103">
        <v>46373</v>
      </c>
      <c r="Z7" s="100">
        <v>26061730</v>
      </c>
      <c r="AA7" s="100" t="str">
        <f>IF(B7="","",VLOOKUP(AD7,Varsayımlar!$B:$Q,15,0))</f>
        <v>30cm Kolisi</v>
      </c>
      <c r="AB7" s="100" t="str">
        <f>IF(B7="","",VLOOKUP(AD7,Varsayımlar!$B:$Q,16,0))</f>
        <v>29-31 cm</v>
      </c>
      <c r="AC7" s="100">
        <f>IF(B7="","",VLOOKUP(Sayfa1!AD11,Varsayımlar!B:S,18,0))</f>
        <v>0</v>
      </c>
      <c r="AD7" s="93" t="str">
        <f t="shared" si="1"/>
        <v>TVK ImportBaskısız 30cm 12pcs 1020g</v>
      </c>
    </row>
    <row r="8" spans="1:30" s="94" customFormat="1" ht="95.25" customHeight="1" x14ac:dyDescent="0.25">
      <c r="A8" s="88" t="s">
        <v>80</v>
      </c>
      <c r="B8" s="100" t="s">
        <v>302</v>
      </c>
      <c r="C8" s="101">
        <f>IF(B8="","",VLOOKUP(AD8,Varsayımlar!$B:$Q,3,0))</f>
        <v>8698829380698</v>
      </c>
      <c r="D8" s="101"/>
      <c r="E8" s="102" t="s">
        <v>309</v>
      </c>
      <c r="F8" s="100"/>
      <c r="G8" s="101" t="s">
        <v>68</v>
      </c>
      <c r="H8" s="100" t="str">
        <f>IF(B8="","",VLOOKUP(AD8,Varsayımlar!$B:$Q,5,0))</f>
        <v>Baskısız 30cm</v>
      </c>
      <c r="I8" s="100" t="str">
        <f>IF(B8="","",VLOOKUP(AD8,Varsayımlar!B:T,19,0))</f>
        <v>Tüm Bilgiler TB</v>
      </c>
      <c r="J8" s="100" t="str">
        <f>IF(B8="","",VLOOKUP(AD8,Varsayımlar!$B:$Q,6,0))</f>
        <v>Tam Buğdaylı</v>
      </c>
      <c r="K8" s="100">
        <v>576</v>
      </c>
      <c r="L8" s="100"/>
      <c r="M8" s="100" t="str">
        <f>IFERROR(IF(B8="","",K8/VLOOKUP(AD8,Varsayımlar!B:R,17,0)),"")</f>
        <v/>
      </c>
      <c r="N8" s="100"/>
      <c r="O8" s="100">
        <v>10</v>
      </c>
      <c r="P8" s="100">
        <f>IF(B8="","",VLOOKUP(AD8,Varsayımlar!$B:$Q,7,0)*K8)</f>
        <v>5760</v>
      </c>
      <c r="Q8" s="100">
        <f>IF(B8="","",VLOOKUP(AD8,Varsayımlar!$B:$Q,8,0))</f>
        <v>30</v>
      </c>
      <c r="R8" s="100" t="str">
        <f>IF(B8="","",VLOOKUP(AD8,Varsayımlar!$B:$Q,9,0))</f>
        <v>Irak soft</v>
      </c>
      <c r="S8" s="100">
        <f>IF(B8="","",VLOOKUP(AD8,Varsayımlar!$B:$Q,10,0))</f>
        <v>12</v>
      </c>
      <c r="T8" s="100">
        <f>IF(B8="","",VLOOKUP(AD8,Varsayımlar!$B:$Q,11,0))</f>
        <v>10</v>
      </c>
      <c r="U8" s="100">
        <f>IF(B8="","",VLOOKUP(AD8,Varsayımlar!$B:$Q,12,0))</f>
        <v>1020</v>
      </c>
      <c r="V8" s="100" t="str">
        <f>IF(B8="","",VLOOKUP(AD8,Varsayımlar!$B:$Q,13,0))</f>
        <v>Yurtdışı</v>
      </c>
      <c r="W8" s="100">
        <f>IF(B8="","",VLOOKUP(AD8,Varsayımlar!$B:$Q,14,0))</f>
        <v>6</v>
      </c>
      <c r="X8" s="103">
        <v>46190</v>
      </c>
      <c r="Y8" s="103">
        <v>46373</v>
      </c>
      <c r="Z8" s="100" t="s">
        <v>336</v>
      </c>
      <c r="AA8" s="100" t="str">
        <f>IF(B8="","",VLOOKUP(AD8,Varsayımlar!$B:$Q,15,0))</f>
        <v>30cm Kolisi-Etiketli</v>
      </c>
      <c r="AB8" s="100" t="str">
        <f>IF(B8="","",VLOOKUP(AD8,Varsayımlar!$B:$Q,16,0))</f>
        <v>29-31 cm</v>
      </c>
      <c r="AC8" s="100">
        <f>IF(B8="","",VLOOKUP(Sayfa1!AD12,Varsayımlar!B:S,18,0))</f>
        <v>0</v>
      </c>
      <c r="AD8" s="93" t="str">
        <f t="shared" si="1"/>
        <v>TVK ImportBaskısız 30cm TB 12pcs 1020g</v>
      </c>
    </row>
    <row r="9" spans="1:30" s="94" customFormat="1" ht="95.25" customHeight="1" x14ac:dyDescent="0.25">
      <c r="A9" s="88" t="s">
        <v>81</v>
      </c>
      <c r="B9" s="100" t="s">
        <v>218</v>
      </c>
      <c r="C9" s="101">
        <f>IF(B9="","",VLOOKUP(AD9,Varsayımlar!$B:$Q,3,0))</f>
        <v>8698829380698</v>
      </c>
      <c r="D9" s="101" t="s">
        <v>159</v>
      </c>
      <c r="E9" s="102" t="s">
        <v>219</v>
      </c>
      <c r="F9" s="100">
        <v>26042906</v>
      </c>
      <c r="G9" s="101"/>
      <c r="H9" s="100" t="str">
        <f>IF(B9="","",VLOOKUP(AD9,Varsayımlar!$B:$Q,5,0))</f>
        <v xml:space="preserve">Tortillas 30cm Sade </v>
      </c>
      <c r="I9" s="100" t="str">
        <f>IF(B9="","",VLOOKUP(AD9,Varsayımlar!B:T,19,0))</f>
        <v>Barkod üzerine-Bulgarca Barkodlu içerik etiketi (012)</v>
      </c>
      <c r="J9" s="100" t="str">
        <f>IF(B9="","",VLOOKUP(AD9,Varsayımlar!$B:$Q,6,0))</f>
        <v>SADE</v>
      </c>
      <c r="K9" s="100">
        <v>120</v>
      </c>
      <c r="L9" s="100"/>
      <c r="M9" s="100">
        <f>IFERROR(IF(B9="","",K9/VLOOKUP(AD9,Varsayımlar!B:R,17,0)),"")</f>
        <v>2</v>
      </c>
      <c r="N9" s="100"/>
      <c r="O9" s="100">
        <v>2</v>
      </c>
      <c r="P9" s="100">
        <f>IF(B9="","",VLOOKUP(AD9,Varsayımlar!$B:$Q,7,0)*K9)</f>
        <v>720</v>
      </c>
      <c r="Q9" s="100">
        <f>IF(B9="","",VLOOKUP(AD9,Varsayımlar!$B:$Q,8,0))</f>
        <v>30</v>
      </c>
      <c r="R9" s="100" t="str">
        <f>IF(B9="","",VLOOKUP(AD9,Varsayımlar!$B:$Q,9,0))</f>
        <v>Irak Soft</v>
      </c>
      <c r="S9" s="100">
        <f>IF(B9="","",VLOOKUP(AD9,Varsayımlar!$B:$Q,10,0))</f>
        <v>18</v>
      </c>
      <c r="T9" s="100">
        <f>IF(B9="","",VLOOKUP(AD9,Varsayımlar!$B:$Q,11,0))</f>
        <v>6</v>
      </c>
      <c r="U9" s="100">
        <f>IF(B9="","",VLOOKUP(AD9,Varsayımlar!$B:$Q,12,0))</f>
        <v>1620</v>
      </c>
      <c r="V9" s="100" t="str">
        <f>IF(B9="","",VLOOKUP(AD9,Varsayımlar!$B:$Q,13,0))</f>
        <v>Yurtdışı</v>
      </c>
      <c r="W9" s="100">
        <f>IF(B9="","",VLOOKUP(AD9,Varsayımlar!$B:$Q,14,0))</f>
        <v>9</v>
      </c>
      <c r="X9" s="103">
        <v>46183</v>
      </c>
      <c r="Y9" s="103">
        <v>46456</v>
      </c>
      <c r="Z9" s="100">
        <v>26061030</v>
      </c>
      <c r="AA9" s="100" t="str">
        <f>IF(B9="","",VLOOKUP(AD9,Varsayımlar!$B:$Q,15,0))</f>
        <v>30cm Lacivert Koli- Bulgarca Etiket</v>
      </c>
      <c r="AB9" s="100" t="str">
        <f>IF(B9="","",VLOOKUP(AD9,Varsayımlar!$B:$Q,16,0))</f>
        <v>29-31 cm</v>
      </c>
      <c r="AC9" s="100" t="str">
        <f>IF(B9="","",VLOOKUP(Sayfa1!AD18,Varsayımlar!B:S,18,0))</f>
        <v>95x130cm</v>
      </c>
      <c r="AD9" s="93" t="str">
        <f t="shared" si="1"/>
        <v>TASTE LAND-BULGARİSTANTortillas 30cm Sade 18pcs 1620g</v>
      </c>
    </row>
    <row r="10" spans="1:30" s="94" customFormat="1" ht="95.25" customHeight="1" x14ac:dyDescent="0.25">
      <c r="A10" s="88" t="s">
        <v>82</v>
      </c>
      <c r="B10" s="95" t="s">
        <v>311</v>
      </c>
      <c r="C10" s="96">
        <f>IF(B10="","",VLOOKUP(AD10,Varsayımlar!$B:$Q,3,0))</f>
        <v>8698829380698</v>
      </c>
      <c r="D10" s="96"/>
      <c r="E10" s="97" t="s">
        <v>318</v>
      </c>
      <c r="F10" s="95"/>
      <c r="G10" s="96"/>
      <c r="H10" s="95" t="str">
        <f>IF(B10="","",VLOOKUP(AD10,Varsayımlar!$B:$Q,5,0))</f>
        <v xml:space="preserve">Tortillas 30cm Tam Buğday </v>
      </c>
      <c r="I10" s="95">
        <f>IF(B10="","",VLOOKUP(AD10,Varsayımlar!B:T,19,0))</f>
        <v>0</v>
      </c>
      <c r="J10" s="95" t="str">
        <f>IF(B10="","",VLOOKUP(AD10,Varsayımlar!$B:$Q,6,0))</f>
        <v>Tam Buğdaylı</v>
      </c>
      <c r="K10" s="95">
        <v>100</v>
      </c>
      <c r="L10" s="95"/>
      <c r="M10" s="95" t="str">
        <f>IFERROR(IF(B10="","",K10/VLOOKUP(AD10,Varsayımlar!B:R,17,0)),"")</f>
        <v/>
      </c>
      <c r="N10" s="95"/>
      <c r="O10" s="95">
        <v>2</v>
      </c>
      <c r="P10" s="95">
        <f>IF(B10="","",VLOOKUP(AD10,Varsayımlar!$B:$Q,7,0)*K10)</f>
        <v>1800</v>
      </c>
      <c r="Q10" s="95">
        <f>IF(B10="","",VLOOKUP(AD10,Varsayımlar!$B:$Q,8,0))</f>
        <v>30</v>
      </c>
      <c r="R10" s="95" t="str">
        <f>IF(B10="","",VLOOKUP(AD10,Varsayımlar!$B:$Q,9,0))</f>
        <v>Irak Soft</v>
      </c>
      <c r="S10" s="95">
        <f>IF(B10="","",VLOOKUP(AD10,Varsayımlar!$B:$Q,10,0))</f>
        <v>6</v>
      </c>
      <c r="T10" s="95">
        <f>IF(B10="","",VLOOKUP(AD10,Varsayımlar!$B:$Q,11,0))</f>
        <v>18</v>
      </c>
      <c r="U10" s="95">
        <f>IF(B10="","",VLOOKUP(AD10,Varsayımlar!$B:$Q,12,0))</f>
        <v>510</v>
      </c>
      <c r="V10" s="95" t="str">
        <f>IF(B10="","",VLOOKUP(AD10,Varsayımlar!$B:$Q,13,0))</f>
        <v>Yurtdışı</v>
      </c>
      <c r="W10" s="95">
        <f>IF(B10="","",VLOOKUP(AD10,Varsayımlar!$B:$Q,14,0))</f>
        <v>8</v>
      </c>
      <c r="X10" s="98">
        <v>46181</v>
      </c>
      <c r="Y10" s="98">
        <v>46426</v>
      </c>
      <c r="Z10" s="95" t="s">
        <v>359</v>
      </c>
      <c r="AA10" s="95" t="str">
        <f>IF(B10="","",VLOOKUP(AD10,Varsayımlar!$B:$Q,15,0))</f>
        <v>30cm Koli - TB Etiketli</v>
      </c>
      <c r="AB10" s="95" t="str">
        <f>IF(B10="","",VLOOKUP(AD10,Varsayımlar!$B:$Q,16,0))</f>
        <v>29-31 cm</v>
      </c>
      <c r="AC10" s="95">
        <f>IF(B10="","",VLOOKUP(Sayfa1!AD7,Varsayımlar!B:S,18,0))</f>
        <v>0</v>
      </c>
      <c r="AD10" s="93" t="str">
        <f t="shared" si="1"/>
        <v>Sons Of HannaTortillas 30cm Tam Buğday6pcs 510g</v>
      </c>
    </row>
    <row r="11" spans="1:30" s="94" customFormat="1" ht="95.25" customHeight="1" x14ac:dyDescent="0.25">
      <c r="A11" s="88" t="s">
        <v>83</v>
      </c>
      <c r="B11" s="100" t="s">
        <v>218</v>
      </c>
      <c r="C11" s="101">
        <f>IF(B11="","",VLOOKUP(AD11,Varsayımlar!$B:$Q,3,0))</f>
        <v>8698829380698</v>
      </c>
      <c r="D11" s="101" t="s">
        <v>159</v>
      </c>
      <c r="E11" s="102" t="s">
        <v>222</v>
      </c>
      <c r="F11" s="100">
        <v>26042906</v>
      </c>
      <c r="G11" s="101"/>
      <c r="H11" s="100" t="str">
        <f>IF(B11="","",VLOOKUP(AD11,Varsayımlar!$B:$Q,5,0))</f>
        <v xml:space="preserve">Tortillas 30cm Tam Buğday </v>
      </c>
      <c r="I11" s="100" t="str">
        <f>IF(B11="","",VLOOKUP(AD11,Varsayımlar!B:T,19,0))</f>
        <v>Barkod üzerine-Bulgarca Barkodlu TB içerik etiketi (029)</v>
      </c>
      <c r="J11" s="100" t="str">
        <f>IF(B11="","",VLOOKUP(AD11,Varsayımlar!$B:$Q,6,0))</f>
        <v>Tam Buğdaylı</v>
      </c>
      <c r="K11" s="100">
        <v>60</v>
      </c>
      <c r="L11" s="100"/>
      <c r="M11" s="100">
        <f>IFERROR(IF(B11="","",K11/VLOOKUP(AD11,Varsayımlar!B:R,17,0)),"")</f>
        <v>1</v>
      </c>
      <c r="N11" s="100"/>
      <c r="O11" s="100">
        <v>1</v>
      </c>
      <c r="P11" s="100">
        <f>IF(B11="","",VLOOKUP(AD11,Varsayımlar!$B:$Q,7,0)*K11)</f>
        <v>360</v>
      </c>
      <c r="Q11" s="100">
        <f>IF(B11="","",VLOOKUP(AD11,Varsayımlar!$B:$Q,8,0))</f>
        <v>30</v>
      </c>
      <c r="R11" s="100" t="str">
        <f>IF(B11="","",VLOOKUP(AD11,Varsayımlar!$B:$Q,9,0))</f>
        <v>Irak Soft</v>
      </c>
      <c r="S11" s="100">
        <f>IF(B11="","",VLOOKUP(AD11,Varsayımlar!$B:$Q,10,0))</f>
        <v>18</v>
      </c>
      <c r="T11" s="100">
        <f>IF(B11="","",VLOOKUP(AD11,Varsayımlar!$B:$Q,11,0))</f>
        <v>6</v>
      </c>
      <c r="U11" s="100">
        <f>IF(B11="","",VLOOKUP(AD11,Varsayımlar!$B:$Q,12,0))</f>
        <v>1620</v>
      </c>
      <c r="V11" s="100" t="str">
        <f>IF(B11="","",VLOOKUP(AD11,Varsayımlar!$B:$Q,13,0))</f>
        <v>Yurtdışı</v>
      </c>
      <c r="W11" s="100">
        <f>IF(B11="","",VLOOKUP(AD11,Varsayımlar!$B:$Q,14,0))</f>
        <v>9</v>
      </c>
      <c r="X11" s="103">
        <v>46183</v>
      </c>
      <c r="Y11" s="103">
        <v>46456</v>
      </c>
      <c r="Z11" s="100" t="s">
        <v>354</v>
      </c>
      <c r="AA11" s="100" t="str">
        <f>IF(B11="","",VLOOKUP(AD11,Varsayımlar!$B:$Q,15,0))</f>
        <v>30cm Lacivert Koli- Bulgarca TB Etiket</v>
      </c>
      <c r="AB11" s="100" t="str">
        <f>IF(B11="","",VLOOKUP(AD11,Varsayımlar!$B:$Q,16,0))</f>
        <v>29-31 cm</v>
      </c>
      <c r="AC11" s="100" t="str">
        <f>IF(B11="","",VLOOKUP(Sayfa1!AD19,Varsayımlar!B:S,18,0))</f>
        <v>95x130cm</v>
      </c>
      <c r="AD11" s="93" t="str">
        <f t="shared" si="1"/>
        <v>TASTE LAND-BULGARİSTANTortillas 30cm Tam Buğday 18pcs 1620g</v>
      </c>
    </row>
    <row r="12" spans="1:30" s="94" customFormat="1" ht="95.25" customHeight="1" x14ac:dyDescent="0.25">
      <c r="A12" s="88" t="s">
        <v>84</v>
      </c>
      <c r="B12" s="95" t="s">
        <v>64</v>
      </c>
      <c r="C12" s="96">
        <f>IF(B12="","",VLOOKUP(AD12,Varsayımlar!$B:$Q,3,0))</f>
        <v>8698829380698</v>
      </c>
      <c r="D12" s="96"/>
      <c r="E12" s="97" t="s">
        <v>296</v>
      </c>
      <c r="F12" s="95"/>
      <c r="G12" s="96" t="s">
        <v>68</v>
      </c>
      <c r="H12" s="95" t="str">
        <f>IF(B12="","",VLOOKUP(AD12,Varsayımlar!$B:$Q,5,0))</f>
        <v>Tortillas 20cm Çok Tahıllı</v>
      </c>
      <c r="I12" s="95">
        <f>IF(B12="","",VLOOKUP(AD12,Varsayımlar!B:T,19,0))</f>
        <v>0</v>
      </c>
      <c r="J12" s="95" t="str">
        <f>IF(B12="","",VLOOKUP(AD12,Varsayımlar!$B:$Q,6,0))</f>
        <v>Çok Tahıllı</v>
      </c>
      <c r="K12" s="95">
        <v>5625</v>
      </c>
      <c r="L12" s="95"/>
      <c r="M12" s="95">
        <f>IFERROR(IF(B12="","",K12/VLOOKUP(AD12,Varsayımlar!B:R,17,0)),"")</f>
        <v>25</v>
      </c>
      <c r="N12" s="95">
        <v>225</v>
      </c>
      <c r="O12" s="95">
        <v>45</v>
      </c>
      <c r="P12" s="95">
        <f>IF(B12="","",VLOOKUP(AD12,Varsayımlar!$B:$Q,7,0)*K12)</f>
        <v>78750</v>
      </c>
      <c r="Q12" s="95">
        <f>IF(B12="","",VLOOKUP(AD12,Varsayımlar!$B:$Q,8,0))</f>
        <v>20</v>
      </c>
      <c r="R12" s="95" t="str">
        <f>IF(B12="","",VLOOKUP(AD12,Varsayımlar!$B:$Q,9,0))</f>
        <v>Irak Soft</v>
      </c>
      <c r="S12" s="95">
        <f>IF(B12="","",VLOOKUP(AD12,Varsayımlar!$B:$Q,10,0))</f>
        <v>4</v>
      </c>
      <c r="T12" s="95">
        <f>IF(B12="","",VLOOKUP(AD12,Varsayımlar!$B:$Q,11,0))</f>
        <v>14</v>
      </c>
      <c r="U12" s="95">
        <f>IF(B12="","",VLOOKUP(AD12,Varsayımlar!$B:$Q,12,0))</f>
        <v>166</v>
      </c>
      <c r="V12" s="95" t="str">
        <f>IF(B12="","",VLOOKUP(AD12,Varsayımlar!$B:$Q,13,0))</f>
        <v>Yurtdışı</v>
      </c>
      <c r="W12" s="95">
        <f>IF(B12="","",VLOOKUP(AD12,Varsayımlar!$B:$Q,14,0))</f>
        <v>9</v>
      </c>
      <c r="X12" s="98">
        <v>46183</v>
      </c>
      <c r="Y12" s="98">
        <v>46456</v>
      </c>
      <c r="Z12" s="95" t="s">
        <v>334</v>
      </c>
      <c r="AA12" s="95" t="str">
        <f>IF(B12="","",VLOOKUP(AD12,Varsayımlar!$B:$Q,15,0))</f>
        <v>SİYAH KARE KOLİ-Üretim Tarihi Etiketli</v>
      </c>
      <c r="AB12" s="95" t="str">
        <f>IF(B12="","",VLOOKUP(AD12,Varsayımlar!$B:$Q,16,0))</f>
        <v>19-21 cm</v>
      </c>
      <c r="AC12" s="95">
        <f>IF(B12="","",VLOOKUP(Sayfa1!AD8,Varsayımlar!B:S,18,0))</f>
        <v>0</v>
      </c>
      <c r="AD12" s="93" t="str">
        <f t="shared" si="1"/>
        <v>SMART LLCTortillas 20cm Çok Tahıllı 4pcs 166g</v>
      </c>
    </row>
    <row r="13" spans="1:30" s="94" customFormat="1" ht="95.25" customHeight="1" x14ac:dyDescent="0.25">
      <c r="A13" s="88" t="s">
        <v>85</v>
      </c>
      <c r="B13" s="104" t="s">
        <v>335</v>
      </c>
      <c r="C13" s="105">
        <f>IF(B13="","",VLOOKUP(AD13,Varsayımlar!$B:$Q,3,0))</f>
        <v>8698829380698</v>
      </c>
      <c r="D13" s="105"/>
      <c r="E13" s="106" t="s">
        <v>299</v>
      </c>
      <c r="F13" s="104"/>
      <c r="G13" s="105"/>
      <c r="H13" s="104" t="str">
        <f>IF(B13="","",VLOOKUP(AD13,Varsayımlar!$B:$Q,5,0))</f>
        <v>Lazeza 30cm</v>
      </c>
      <c r="I13" s="104">
        <f>IF(B13="","",VLOOKUP(AD13,Varsayımlar!B:T,19,0))</f>
        <v>0</v>
      </c>
      <c r="J13" s="104" t="str">
        <f>IF(B13="","",VLOOKUP(AD13,Varsayımlar!$B:$Q,6,0))</f>
        <v>SADE</v>
      </c>
      <c r="K13" s="104">
        <v>1700</v>
      </c>
      <c r="L13" s="104"/>
      <c r="M13" s="104" t="str">
        <f>IFERROR(IF(B13="","",K13/VLOOKUP(AD13,Varsayımlar!B:R,17,0)),"")</f>
        <v/>
      </c>
      <c r="N13" s="104"/>
      <c r="O13" s="104">
        <v>25</v>
      </c>
      <c r="P13" s="104">
        <f>IF(B13="","",VLOOKUP(AD13,Varsayımlar!$B:$Q,7,0)*K13)</f>
        <v>30600</v>
      </c>
      <c r="Q13" s="104">
        <f>IF(B13="","",VLOOKUP(AD13,Varsayımlar!$B:$Q,8,0))</f>
        <v>30</v>
      </c>
      <c r="R13" s="104" t="str">
        <f>IF(B13="","",VLOOKUP(AD13,Varsayımlar!$B:$Q,9,0))</f>
        <v>Irak Soft</v>
      </c>
      <c r="S13" s="104">
        <f>IF(B13="","",VLOOKUP(AD13,Varsayımlar!$B:$Q,10,0))</f>
        <v>6</v>
      </c>
      <c r="T13" s="104">
        <f>IF(B13="","",VLOOKUP(AD13,Varsayımlar!$B:$Q,11,0))</f>
        <v>18</v>
      </c>
      <c r="U13" s="104">
        <f>IF(B13="","",VLOOKUP(AD13,Varsayımlar!$B:$Q,12,0))</f>
        <v>510</v>
      </c>
      <c r="V13" s="104" t="str">
        <f>IF(B13="","",VLOOKUP(AD13,Varsayımlar!$B:$Q,13,0))</f>
        <v>Yurtdışı</v>
      </c>
      <c r="W13" s="104">
        <f>IF(B13="","",VLOOKUP(AD13,Varsayımlar!$B:$Q,14,0))</f>
        <v>6</v>
      </c>
      <c r="X13" s="107"/>
      <c r="Y13" s="107"/>
      <c r="Z13" s="104"/>
      <c r="AA13" s="104" t="str">
        <f>IF(B13="","",VLOOKUP(AD13,Varsayımlar!$B:$Q,15,0))</f>
        <v>Lazeza Kolisi</v>
      </c>
      <c r="AB13" s="104" t="str">
        <f>IF(B13="","",VLOOKUP(AD13,Varsayımlar!$B:$Q,16,0))</f>
        <v>29-31 cm</v>
      </c>
      <c r="AC13" s="104">
        <f>IF(B13="","",VLOOKUP(Sayfa1!AD10,Varsayımlar!B:S,18,0))</f>
        <v>0</v>
      </c>
      <c r="AD13" s="93" t="str">
        <f t="shared" si="0"/>
        <v>AjjawiLazeza 30 cm 6pcs 510g</v>
      </c>
    </row>
    <row r="14" spans="1:30" s="94" customFormat="1" ht="95.25" customHeight="1" x14ac:dyDescent="0.25">
      <c r="A14" s="88" t="s">
        <v>86</v>
      </c>
      <c r="B14" s="108" t="s">
        <v>64</v>
      </c>
      <c r="C14" s="109">
        <f>IF(B14="","",VLOOKUP(AD14,Varsayımlar!$B:$Q,3,0))</f>
        <v>8698829380698</v>
      </c>
      <c r="D14" s="109"/>
      <c r="E14" s="110" t="s">
        <v>176</v>
      </c>
      <c r="F14" s="108"/>
      <c r="G14" s="109" t="s">
        <v>68</v>
      </c>
      <c r="H14" s="108" t="str">
        <f>IF(B14="","",VLOOKUP(AD14,Varsayımlar!$B:$Q,5,0))</f>
        <v>Tortillas 20cm (Samakat Bilgileri Ekli)</v>
      </c>
      <c r="I14" s="108">
        <f>IF(B14="","",VLOOKUP(AD14,Varsayımlar!B:T,19,0))</f>
        <v>0</v>
      </c>
      <c r="J14" s="108" t="str">
        <f>IF(B14="","",VLOOKUP(AD14,Varsayımlar!$B:$Q,6,0))</f>
        <v>PEYNİRLİ</v>
      </c>
      <c r="K14" s="108">
        <v>1350</v>
      </c>
      <c r="L14" s="108"/>
      <c r="M14" s="108">
        <f>IFERROR(IF(B14="","",K14/VLOOKUP(AD14,Varsayımlar!B:R,17,0)),"")</f>
        <v>6</v>
      </c>
      <c r="N14" s="108">
        <v>225</v>
      </c>
      <c r="O14" s="108">
        <v>11</v>
      </c>
      <c r="P14" s="108">
        <f>IF(B14="","",VLOOKUP(AD14,Varsayımlar!$B:$Q,7,0)*K14)</f>
        <v>18900</v>
      </c>
      <c r="Q14" s="108">
        <f>IF(B14="","",VLOOKUP(AD14,Varsayımlar!$B:$Q,8,0))</f>
        <v>20</v>
      </c>
      <c r="R14" s="108" t="str">
        <f>IF(B14="","",VLOOKUP(AD14,Varsayımlar!$B:$Q,9,0))</f>
        <v>IRAK SOFT-AT</v>
      </c>
      <c r="S14" s="108">
        <f>IF(B14="","",VLOOKUP(AD14,Varsayımlar!$B:$Q,10,0))</f>
        <v>4</v>
      </c>
      <c r="T14" s="108">
        <f>IF(B14="","",VLOOKUP(AD14,Varsayımlar!$B:$Q,11,0))</f>
        <v>14</v>
      </c>
      <c r="U14" s="108">
        <f>IF(B14="","",VLOOKUP(AD14,Varsayımlar!$B:$Q,12,0))</f>
        <v>166</v>
      </c>
      <c r="V14" s="108" t="str">
        <f>IF(B14="","",VLOOKUP(AD14,Varsayımlar!$B:$Q,13,0))</f>
        <v>YURTDIŞI</v>
      </c>
      <c r="W14" s="108">
        <f>IF(B14="","",VLOOKUP(AD14,Varsayımlar!$B:$Q,14,0))</f>
        <v>9</v>
      </c>
      <c r="X14" s="111">
        <v>46188</v>
      </c>
      <c r="Y14" s="111">
        <v>46461</v>
      </c>
      <c r="Z14" s="108" t="s">
        <v>172</v>
      </c>
      <c r="AA14" s="108" t="str">
        <f>IF(B14="","",VLOOKUP(AD14,Varsayımlar!$B:$Q,15,0))</f>
        <v>Kare Koli-Üretim Tarihli Etiket</v>
      </c>
      <c r="AB14" s="108" t="str">
        <f>IF(B14="","",VLOOKUP(AD14,Varsayımlar!$B:$Q,16,0))</f>
        <v>19-21 cm</v>
      </c>
      <c r="AC14" s="108">
        <f>IF(B14="","",VLOOKUP(Sayfa1!AD9,Varsayımlar!B:S,18,0))</f>
        <v>0</v>
      </c>
      <c r="AD14" s="93" t="str">
        <f>IF(B14="","",CONCATENATE(B14,E14))</f>
        <v>SMART LLCTortillas 20cm Peynirli 4pcs 166g</v>
      </c>
    </row>
    <row r="15" spans="1:30" s="94" customFormat="1" ht="95.25" customHeight="1" x14ac:dyDescent="0.25">
      <c r="A15" s="88" t="s">
        <v>87</v>
      </c>
      <c r="B15" s="100" t="s">
        <v>302</v>
      </c>
      <c r="C15" s="101">
        <f>IF(B15="","",VLOOKUP(AD15,Varsayımlar!$B:$Q,3,0))</f>
        <v>8698829380698</v>
      </c>
      <c r="D15" s="101"/>
      <c r="E15" s="102" t="s">
        <v>310</v>
      </c>
      <c r="F15" s="100"/>
      <c r="G15" s="101" t="s">
        <v>68</v>
      </c>
      <c r="H15" s="100" t="str">
        <f>IF(B15="","",VLOOKUP(AD15,Varsayımlar!$B:$Q,5,0))</f>
        <v>Baskısız 30cm</v>
      </c>
      <c r="I15" s="100" t="str">
        <f>IF(B15="","",VLOOKUP(AD15,Varsayımlar!B:T,19,0))</f>
        <v>Tüm Bilgiler Ispanaklı</v>
      </c>
      <c r="J15" s="100" t="str">
        <f>IF(B15="","",VLOOKUP(AD15,Varsayımlar!$B:$Q,6,0))</f>
        <v>Ispanaklı</v>
      </c>
      <c r="K15" s="100">
        <v>144</v>
      </c>
      <c r="L15" s="100"/>
      <c r="M15" s="100" t="str">
        <f>IFERROR(IF(B15="","",K15/VLOOKUP(AD15,Varsayımlar!B:R,17,0)),"")</f>
        <v/>
      </c>
      <c r="N15" s="100"/>
      <c r="O15" s="100">
        <v>3</v>
      </c>
      <c r="P15" s="100">
        <f>IF(B15="","",VLOOKUP(AD15,Varsayımlar!$B:$Q,7,0)*K15)</f>
        <v>1440</v>
      </c>
      <c r="Q15" s="100">
        <f>IF(B15="","",VLOOKUP(AD15,Varsayımlar!$B:$Q,8,0))</f>
        <v>30</v>
      </c>
      <c r="R15" s="100" t="str">
        <f>IF(B15="","",VLOOKUP(AD15,Varsayımlar!$B:$Q,9,0))</f>
        <v>Irak soft</v>
      </c>
      <c r="S15" s="100">
        <f>IF(B15="","",VLOOKUP(AD15,Varsayımlar!$B:$Q,10,0))</f>
        <v>12</v>
      </c>
      <c r="T15" s="100">
        <f>IF(B15="","",VLOOKUP(AD15,Varsayımlar!$B:$Q,11,0))</f>
        <v>10</v>
      </c>
      <c r="U15" s="100">
        <f>IF(B15="","",VLOOKUP(AD15,Varsayımlar!$B:$Q,12,0))</f>
        <v>1020</v>
      </c>
      <c r="V15" s="100" t="str">
        <f>IF(B15="","",VLOOKUP(AD15,Varsayımlar!$B:$Q,13,0))</f>
        <v>Yurtdışı</v>
      </c>
      <c r="W15" s="100">
        <f>IF(B15="","",VLOOKUP(AD15,Varsayımlar!$B:$Q,14,0))</f>
        <v>6</v>
      </c>
      <c r="X15" s="103">
        <v>46190</v>
      </c>
      <c r="Y15" s="103">
        <v>46373</v>
      </c>
      <c r="Z15" s="100" t="s">
        <v>337</v>
      </c>
      <c r="AA15" s="100" t="str">
        <f>IF(B15="","",VLOOKUP(AD15,Varsayımlar!$B:$Q,15,0))</f>
        <v>30cm Kolisi-Etiketli</v>
      </c>
      <c r="AB15" s="100" t="str">
        <f>IF(B15="","",VLOOKUP(AD15,Varsayımlar!$B:$Q,16,0))</f>
        <v>29-31 cm</v>
      </c>
      <c r="AC15" s="100">
        <f>IF(B15="","",VLOOKUP(Sayfa1!AD13,Varsayımlar!B:S,18,0))</f>
        <v>0</v>
      </c>
      <c r="AD15" s="93" t="str">
        <f t="shared" si="0"/>
        <v>TVK ImportBaskısız 30cm Ispanaklı 12pcs 1020g</v>
      </c>
    </row>
    <row r="16" spans="1:30" ht="31.5" hidden="1" x14ac:dyDescent="0.25">
      <c r="A16" s="8" t="s">
        <v>88</v>
      </c>
      <c r="B16" s="67" t="s">
        <v>64</v>
      </c>
      <c r="C16" s="42">
        <f>IF(B16="","",VLOOKUP(AD16,Varsayımlar!$B:$Q,3,0))</f>
        <v>8698829380698</v>
      </c>
      <c r="D16" s="42"/>
      <c r="E16" s="68" t="s">
        <v>296</v>
      </c>
      <c r="F16" s="67"/>
      <c r="G16" s="42" t="s">
        <v>68</v>
      </c>
      <c r="H16" s="67" t="str">
        <f>IF(B16="","",VLOOKUP(AD16,Varsayımlar!$B:$Q,5,0))</f>
        <v>Tortillas 20cm Çok Tahıllı</v>
      </c>
      <c r="I16" s="67">
        <f>IF(B16="","",VLOOKUP(AD16,Varsayımlar!B:T,19,0))</f>
        <v>0</v>
      </c>
      <c r="J16" s="67" t="str">
        <f>IF(B16="","",VLOOKUP(AD16,Varsayımlar!$B:$Q,6,0))</f>
        <v>Çok Tahıllı</v>
      </c>
      <c r="K16" s="67">
        <v>225</v>
      </c>
      <c r="L16" s="67"/>
      <c r="M16" s="67">
        <f>IFERROR(IF(B16="","",K16/VLOOKUP(AD16,Varsayımlar!B:R,17,0)),"")</f>
        <v>1</v>
      </c>
      <c r="N16" s="67"/>
      <c r="O16" s="67">
        <v>26</v>
      </c>
      <c r="P16" s="67">
        <f>IF(B16="","",VLOOKUP(AD16,Varsayımlar!$B:$Q,7,0)*K16)</f>
        <v>3150</v>
      </c>
      <c r="Q16" s="67">
        <f>IF(B16="","",VLOOKUP(AD16,Varsayımlar!$B:$Q,8,0))</f>
        <v>20</v>
      </c>
      <c r="R16" s="67" t="str">
        <f>IF(B16="","",VLOOKUP(AD16,Varsayımlar!$B:$Q,9,0))</f>
        <v>Irak Soft</v>
      </c>
      <c r="S16" s="67">
        <f>IF(B16="","",VLOOKUP(AD16,Varsayımlar!$B:$Q,10,0))</f>
        <v>4</v>
      </c>
      <c r="T16" s="67">
        <f>IF(B16="","",VLOOKUP(AD16,Varsayımlar!$B:$Q,11,0))</f>
        <v>14</v>
      </c>
      <c r="U16" s="67">
        <f>IF(B16="","",VLOOKUP(AD16,Varsayımlar!$B:$Q,12,0))</f>
        <v>166</v>
      </c>
      <c r="V16" s="67" t="str">
        <f>IF(B16="","",VLOOKUP(AD16,Varsayımlar!$B:$Q,13,0))</f>
        <v>Yurtdışı</v>
      </c>
      <c r="W16" s="67">
        <f>IF(B16="","",VLOOKUP(AD16,Varsayımlar!$B:$Q,14,0))</f>
        <v>9</v>
      </c>
      <c r="X16" s="69">
        <v>46195</v>
      </c>
      <c r="Y16" s="69">
        <v>46468</v>
      </c>
      <c r="Z16" s="67" t="s">
        <v>338</v>
      </c>
      <c r="AA16" s="67" t="str">
        <f>IF(B16="","",VLOOKUP(AD16,Varsayımlar!$B:$Q,15,0))</f>
        <v>SİYAH KARE KOLİ-Üretim Tarihi Etiketli</v>
      </c>
      <c r="AB16" s="67" t="str">
        <f>IF(B16="","",VLOOKUP(AD16,Varsayımlar!$B:$Q,16,0))</f>
        <v>19-21 cm</v>
      </c>
      <c r="AC16" s="67">
        <f>IF(B16="","",VLOOKUP(Sayfa1!AD14,Varsayımlar!B:S,18,0))</f>
        <v>0</v>
      </c>
      <c r="AD16" s="57" t="str">
        <f t="shared" si="0"/>
        <v>SMART LLCTortillas 20cm Çok Tahıllı 4pcs 166g</v>
      </c>
    </row>
    <row r="17" spans="1:30" ht="31.5" hidden="1" x14ac:dyDescent="0.25">
      <c r="A17" s="8" t="s">
        <v>89</v>
      </c>
      <c r="B17" s="64" t="s">
        <v>64</v>
      </c>
      <c r="C17" s="3">
        <f>IF(B17="","",VLOOKUP(AD17,Varsayımlar!$B:$Q,3,0))</f>
        <v>8698829380698</v>
      </c>
      <c r="D17" s="3"/>
      <c r="E17" s="65" t="s">
        <v>296</v>
      </c>
      <c r="F17" s="64"/>
      <c r="G17" s="3" t="s">
        <v>68</v>
      </c>
      <c r="H17" s="64" t="str">
        <f>IF(B17="","",VLOOKUP(AD17,Varsayımlar!$B:$Q,5,0))</f>
        <v>Tortillas 20cm Çok Tahıllı</v>
      </c>
      <c r="I17" s="64">
        <f>IF(B17="","",VLOOKUP(AD17,Varsayımlar!B:T,19,0))</f>
        <v>0</v>
      </c>
      <c r="J17" s="64" t="str">
        <f>IF(B17="","",VLOOKUP(AD17,Varsayımlar!$B:$Q,6,0))</f>
        <v>Çok Tahıllı</v>
      </c>
      <c r="K17" s="64">
        <v>1800</v>
      </c>
      <c r="L17" s="64"/>
      <c r="M17" s="64">
        <f>IFERROR(IF(B17="","",K17/VLOOKUP(AD17,Varsayımlar!B:R,17,0)),"")</f>
        <v>8</v>
      </c>
      <c r="N17" s="64"/>
      <c r="O17" s="64">
        <v>15</v>
      </c>
      <c r="P17" s="64">
        <f>IF(B17="","",VLOOKUP(AD17,Varsayımlar!$B:$Q,7,0)*K17)</f>
        <v>25200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4</v>
      </c>
      <c r="T17" s="64">
        <f>IF(B17="","",VLOOKUP(AD17,Varsayımlar!$B:$Q,11,0))</f>
        <v>14</v>
      </c>
      <c r="U17" s="64">
        <f>IF(B17="","",VLOOKUP(AD17,Varsayımlar!$B:$Q,12,0))</f>
        <v>166</v>
      </c>
      <c r="V17" s="64" t="str">
        <f>IF(B17="","",VLOOKUP(AD17,Varsayımlar!$B:$Q,13,0))</f>
        <v>Yurtdışı</v>
      </c>
      <c r="W17" s="64">
        <f>IF(B17="","",VLOOKUP(AD17,Varsayımlar!$B:$Q,14,0))</f>
        <v>9</v>
      </c>
      <c r="X17" s="66">
        <v>46196</v>
      </c>
      <c r="Y17" s="66">
        <v>46469</v>
      </c>
      <c r="Z17" s="64" t="s">
        <v>339</v>
      </c>
      <c r="AA17" s="64" t="str">
        <f>IF(B17="","",VLOOKUP(AD17,Varsayımlar!$B:$Q,15,0))</f>
        <v>SİYAH KARE KOLİ-Üretim Tarihi Etiketli</v>
      </c>
      <c r="AB17" s="64" t="str">
        <f>IF(B17="","",VLOOKUP(AD17,Varsayımlar!$B:$Q,16,0))</f>
        <v>19-21 cm</v>
      </c>
      <c r="AC17" s="64">
        <f>IF(B17="","",VLOOKUP(Sayfa1!AD15,Varsayımlar!B:S,18,0))</f>
        <v>0</v>
      </c>
      <c r="AD17" s="57" t="str">
        <f t="shared" si="0"/>
        <v>SMART LLCTortillas 20cm Çok Tahıllı 4pcs 166g</v>
      </c>
    </row>
    <row r="18" spans="1:30" ht="31.5" hidden="1" x14ac:dyDescent="0.25">
      <c r="A18" s="8" t="s">
        <v>90</v>
      </c>
      <c r="B18" s="67" t="s">
        <v>64</v>
      </c>
      <c r="C18" s="42">
        <f>IF(B18="","",VLOOKUP(AD18,Varsayımlar!$B:$Q,3,0))</f>
        <v>8698829380698</v>
      </c>
      <c r="D18" s="42"/>
      <c r="E18" s="68" t="s">
        <v>65</v>
      </c>
      <c r="F18" s="67"/>
      <c r="G18" s="42" t="s">
        <v>68</v>
      </c>
      <c r="H18" s="67" t="str">
        <f>IF(B18="","",VLOOKUP(AD18,Varsayımlar!$B:$Q,5,0))</f>
        <v>TORTİLLAS 20CM (SAMAKAT BİLGİLERİ EKLİ)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6975</v>
      </c>
      <c r="L18" s="67"/>
      <c r="M18" s="67">
        <f>IFERROR(IF(B18="","",K18/VLOOKUP(AD18,Varsayımlar!B:R,17,0)),"")</f>
        <v>31</v>
      </c>
      <c r="N18" s="67"/>
      <c r="O18" s="67">
        <v>56</v>
      </c>
      <c r="P18" s="67">
        <f>IF(B18="","",VLOOKUP(AD18,Varsayımlar!$B:$Q,7,0)*K18)</f>
        <v>97650</v>
      </c>
      <c r="Q18" s="67">
        <f>IF(B18="","",VLOOKUP(AD18,Varsayımlar!$B:$Q,8,0))</f>
        <v>20</v>
      </c>
      <c r="R18" s="67" t="str">
        <f>IF(B18="","",VLOOKUP(AD18,Varsayımlar!$B:$Q,9,0))</f>
        <v>IRAK SOFT</v>
      </c>
      <c r="S18" s="67">
        <f>IF(B18="","",VLOOKUP(AD18,Varsayımlar!$B:$Q,10,0))</f>
        <v>4</v>
      </c>
      <c r="T18" s="67">
        <f>IF(B18="","",VLOOKUP(AD18,Varsayımlar!$B:$Q,11,0))</f>
        <v>14</v>
      </c>
      <c r="U18" s="67">
        <f>IF(B18="","",VLOOKUP(AD18,Varsayımlar!$B:$Q,12,0))</f>
        <v>166</v>
      </c>
      <c r="V18" s="67" t="str">
        <f>IF(B18="","",VLOOKUP(AD18,Varsayımlar!$B:$Q,13,0))</f>
        <v>YURTDIŞI</v>
      </c>
      <c r="W18" s="67">
        <f>IF(B18="","",VLOOKUP(AD18,Varsayımlar!$B:$Q,14,0))</f>
        <v>9</v>
      </c>
      <c r="X18" s="69">
        <v>46195</v>
      </c>
      <c r="Y18" s="69">
        <v>46468</v>
      </c>
      <c r="Z18" s="67">
        <v>26062220</v>
      </c>
      <c r="AA18" s="67" t="str">
        <f>IF(B18="","",VLOOKUP(AD18,Varsayımlar!$B:$Q,15,0))</f>
        <v>SİYAH KARE KOLİ- Üretim Tarihi Etiketli</v>
      </c>
      <c r="AB18" s="67" t="str">
        <f>IF(B18="","",VLOOKUP(AD18,Varsayımlar!$B:$Q,16,0))</f>
        <v>19-21 CM</v>
      </c>
      <c r="AC18" s="67">
        <f>IF(B18="","",VLOOKUP(Sayfa1!AD16,Varsayımlar!B:S,18,0))</f>
        <v>0</v>
      </c>
      <c r="AD18" s="57" t="str">
        <f t="shared" si="0"/>
        <v>SMART LLCTORTİLLAS SAMAKAT 20CM 166G</v>
      </c>
    </row>
    <row r="19" spans="1:30" ht="31.5" hidden="1" x14ac:dyDescent="0.25">
      <c r="A19" s="8" t="s">
        <v>91</v>
      </c>
      <c r="B19" s="64" t="s">
        <v>64</v>
      </c>
      <c r="C19" s="3">
        <f>IF(B19="","",VLOOKUP(AD19,Varsayımlar!$B:$Q,3,0))</f>
        <v>8698829380698</v>
      </c>
      <c r="D19" s="3"/>
      <c r="E19" s="65" t="s">
        <v>176</v>
      </c>
      <c r="F19" s="64"/>
      <c r="G19" s="3" t="s">
        <v>68</v>
      </c>
      <c r="H19" s="64" t="str">
        <f>IF(B19="","",VLOOKUP(AD19,Varsayımlar!$B:$Q,5,0))</f>
        <v>Tortillas 20cm (Samakat Bilgileri Ekli)</v>
      </c>
      <c r="I19" s="64">
        <f>IF(B19="","",VLOOKUP(AD19,Varsayımlar!B:T,19,0))</f>
        <v>0</v>
      </c>
      <c r="J19" s="64" t="str">
        <f>IF(B19="","",VLOOKUP(AD19,Varsayımlar!$B:$Q,6,0))</f>
        <v>PEYNİRLİ</v>
      </c>
      <c r="K19" s="64">
        <v>2925</v>
      </c>
      <c r="L19" s="64"/>
      <c r="M19" s="64">
        <f>IFERROR(IF(B19="","",K19/VLOOKUP(AD19,Varsayımlar!B:R,17,0)),"")</f>
        <v>13</v>
      </c>
      <c r="N19" s="64"/>
      <c r="O19" s="64">
        <v>24</v>
      </c>
      <c r="P19" s="64">
        <f>IF(B19="","",VLOOKUP(AD19,Varsayımlar!$B:$Q,7,0)*K19)</f>
        <v>40950</v>
      </c>
      <c r="Q19" s="64">
        <f>IF(B19="","",VLOOKUP(AD19,Varsayımlar!$B:$Q,8,0))</f>
        <v>20</v>
      </c>
      <c r="R19" s="64" t="str">
        <f>IF(B19="","",VLOOKUP(AD19,Varsayımlar!$B:$Q,9,0))</f>
        <v>IRAK SOFT-AT</v>
      </c>
      <c r="S19" s="64">
        <f>IF(B19="","",VLOOKUP(AD19,Varsayımlar!$B:$Q,10,0))</f>
        <v>4</v>
      </c>
      <c r="T19" s="64">
        <f>IF(B19="","",VLOOKUP(AD19,Varsayımlar!$B:$Q,11,0))</f>
        <v>14</v>
      </c>
      <c r="U19" s="64">
        <f>IF(B19="","",VLOOKUP(AD19,Varsayımlar!$B:$Q,12,0))</f>
        <v>166</v>
      </c>
      <c r="V19" s="64" t="str">
        <f>IF(B19="","",VLOOKUP(AD19,Varsayımlar!$B:$Q,13,0))</f>
        <v>YURTDIŞI</v>
      </c>
      <c r="W19" s="64">
        <f>IF(B19="","",VLOOKUP(AD19,Varsayımlar!$B:$Q,14,0))</f>
        <v>9</v>
      </c>
      <c r="X19" s="66">
        <v>46196</v>
      </c>
      <c r="Y19" s="66">
        <v>46469</v>
      </c>
      <c r="Z19" s="64" t="s">
        <v>340</v>
      </c>
      <c r="AA19" s="64" t="str">
        <f>IF(B19="","",VLOOKUP(AD19,Varsayımlar!$B:$Q,15,0))</f>
        <v>Kare Koli-Üretim Tarihli Etiket</v>
      </c>
      <c r="AB19" s="64" t="str">
        <f>IF(B19="","",VLOOKUP(AD19,Varsayımlar!$B:$Q,16,0))</f>
        <v>19-21 cm</v>
      </c>
      <c r="AC19" s="64">
        <f>IF(B19="","",VLOOKUP(Sayfa1!AD17,Varsayımlar!B:S,18,0))</f>
        <v>0</v>
      </c>
      <c r="AD19" s="57" t="str">
        <f t="shared" si="0"/>
        <v>SMART LLCTortillas 20cm Peynirli 4pcs 166g</v>
      </c>
    </row>
    <row r="20" spans="1:30" ht="47.25" hidden="1" x14ac:dyDescent="0.25">
      <c r="A20" s="8" t="s">
        <v>92</v>
      </c>
      <c r="B20" s="68" t="s">
        <v>268</v>
      </c>
      <c r="C20" s="42">
        <f>IF(B20="","",VLOOKUP(AD20,Varsayımlar!$B:$Q,3,0))</f>
        <v>8698829380698</v>
      </c>
      <c r="D20" s="42" t="s">
        <v>159</v>
      </c>
      <c r="E20" s="68" t="s">
        <v>342</v>
      </c>
      <c r="F20" s="67">
        <v>20250825</v>
      </c>
      <c r="G20" s="42" t="s">
        <v>68</v>
      </c>
      <c r="H20" s="67" t="str">
        <f>IF(B20="","",VLOOKUP(AD20,Varsayımlar!$B:$Q,5,0))</f>
        <v>Tortillas 25cm Sade</v>
      </c>
      <c r="I20" s="67">
        <f>IF(B20="","",VLOOKUP(AD20,Varsayımlar!B:T,19,0))</f>
        <v>0</v>
      </c>
      <c r="J20" s="67" t="str">
        <f>IF(B20="","",VLOOKUP(AD20,Varsayımlar!$B:$Q,6,0))</f>
        <v>SADE</v>
      </c>
      <c r="K20" s="67">
        <v>672</v>
      </c>
      <c r="L20" s="67"/>
      <c r="M20" s="67">
        <f>IFERROR(IF(B20="","",K20/VLOOKUP(AD20,Varsayımlar!B:R,17,0)),"")</f>
        <v>8</v>
      </c>
      <c r="N20" s="67"/>
      <c r="O20" s="67">
        <v>11</v>
      </c>
      <c r="P20" s="67">
        <f>IF(B20="","",VLOOKUP(AD20,Varsayımlar!$B:$Q,7,0)*K20)</f>
        <v>20160</v>
      </c>
      <c r="Q20" s="67">
        <f>IF(B20="","",VLOOKUP(AD20,Varsayımlar!$B:$Q,8,0))</f>
        <v>25</v>
      </c>
      <c r="R20" s="67" t="str">
        <f>IF(B20="","",VLOOKUP(AD20,Varsayımlar!$B:$Q,9,0))</f>
        <v>Soft-PA3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240</v>
      </c>
      <c r="V20" s="67" t="str">
        <f>IF(B20="","",VLOOKUP(AD20,Varsayımlar!$B:$Q,13,0))</f>
        <v>Yurtdışı</v>
      </c>
      <c r="W20" s="67">
        <f>IF(B20="","",VLOOKUP(AD20,Varsayımlar!$B:$Q,14,0))</f>
        <v>12</v>
      </c>
      <c r="X20" s="69"/>
      <c r="Y20" s="69"/>
      <c r="Z20" s="67"/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IF(B20="","",VLOOKUP(Sayfa1!AD22,Varsayımlar!B:S,18,0))</f>
        <v>80x120cm</v>
      </c>
      <c r="AD20" s="57" t="str">
        <f t="shared" si="0"/>
        <v>LAIKYUZHN-BELARUSTortillas 25cm Sade 4pcs 240g</v>
      </c>
    </row>
    <row r="21" spans="1:30" ht="47.25" hidden="1" x14ac:dyDescent="0.25">
      <c r="A21" s="8" t="s">
        <v>93</v>
      </c>
      <c r="B21" s="68" t="s">
        <v>268</v>
      </c>
      <c r="C21" s="42">
        <f>IF(B21="","",VLOOKUP(AD21,Varsayımlar!$B:$Q,3,0))</f>
        <v>8698829380698</v>
      </c>
      <c r="D21" s="42" t="s">
        <v>159</v>
      </c>
      <c r="E21" s="68" t="s">
        <v>269</v>
      </c>
      <c r="F21" s="67">
        <v>20250825</v>
      </c>
      <c r="G21" s="42" t="s">
        <v>68</v>
      </c>
      <c r="H21" s="67" t="str">
        <f>IF(B21="","",VLOOKUP(AD21,Varsayımlar!$B:$Q,5,0))</f>
        <v>Tortillas 25cm Tam Buğday</v>
      </c>
      <c r="I21" s="67">
        <f>IF(B21="","",VLOOKUP(AD21,Varsayımlar!B:T,19,0))</f>
        <v>0</v>
      </c>
      <c r="J21" s="67" t="str">
        <f>IF(B21="","",VLOOKUP(AD21,Varsayımlar!$B:$Q,6,0))</f>
        <v>Tam Buğdaylı</v>
      </c>
      <c r="K21" s="67">
        <v>252</v>
      </c>
      <c r="L21" s="67"/>
      <c r="M21" s="67">
        <f>IFERROR(IF(B21="","",K21/VLOOKUP(AD21,Varsayımlar!B:R,17,0)),"")</f>
        <v>3</v>
      </c>
      <c r="N21" s="67"/>
      <c r="O21" s="67">
        <v>5</v>
      </c>
      <c r="P21" s="67">
        <f>IF(B21="","",VLOOKUP(AD21,Varsayımlar!$B:$Q,7,0)*K21)</f>
        <v>7560</v>
      </c>
      <c r="Q21" s="67">
        <f>IF(B21="","",VLOOKUP(AD21,Varsayımlar!$B:$Q,8,0))</f>
        <v>25</v>
      </c>
      <c r="R21" s="67" t="str">
        <f>IF(B21="","",VLOOKUP(AD21,Varsayımlar!$B:$Q,9,0))</f>
        <v>Soft-PA3</v>
      </c>
      <c r="S21" s="67">
        <f>IF(B21="","",VLOOKUP(AD21,Varsayımlar!$B:$Q,10,0))</f>
        <v>4</v>
      </c>
      <c r="T21" s="67">
        <f>IF(B21="","",VLOOKUP(AD21,Varsayımlar!$B:$Q,11,0))</f>
        <v>30</v>
      </c>
      <c r="U21" s="67">
        <f>IF(B21="","",VLOOKUP(AD21,Varsayımlar!$B:$Q,12,0))</f>
        <v>240</v>
      </c>
      <c r="V21" s="67" t="str">
        <f>IF(B21="","",VLOOKUP(AD21,Varsayımlar!$B:$Q,13,0))</f>
        <v>Yurtdışı</v>
      </c>
      <c r="W21" s="67">
        <f>IF(B21="","",VLOOKUP(AD21,Varsayımlar!$B:$Q,14,0))</f>
        <v>12</v>
      </c>
      <c r="X21" s="69"/>
      <c r="Y21" s="69"/>
      <c r="Z21" s="67"/>
      <c r="AA21" s="67" t="str">
        <f>IF(B21="","",VLOOKUP(AD21,Varsayımlar!$B:$Q,15,0))</f>
        <v>25cm Kolisi-Etiketli</v>
      </c>
      <c r="AB21" s="67" t="str">
        <f>IF(B21="","",VLOOKUP(AD21,Varsayımlar!$B:$Q,16,0))</f>
        <v>24-26 cm (Macca Hetto Inkjet Uzun Tarih)</v>
      </c>
      <c r="AC21" s="67" t="str">
        <f>IF(B21="","",VLOOKUP(Sayfa1!AD23,Varsayımlar!B:S,18,0))</f>
        <v>80x120cm</v>
      </c>
      <c r="AD21" s="57" t="str">
        <f t="shared" si="0"/>
        <v>LAIKYUZHN-BELARUSTortillas 25cm Tam buğday 4pcs 240g</v>
      </c>
    </row>
    <row r="22" spans="1:30" ht="47.25" hidden="1" x14ac:dyDescent="0.25">
      <c r="A22" s="8" t="s">
        <v>135</v>
      </c>
      <c r="B22" s="68" t="s">
        <v>268</v>
      </c>
      <c r="C22" s="42">
        <f>IF(B22="","",VLOOKUP(AD22,Varsayımlar!$B:$Q,3,0))</f>
        <v>8698829380698</v>
      </c>
      <c r="D22" s="42" t="s">
        <v>159</v>
      </c>
      <c r="E22" s="68" t="s">
        <v>274</v>
      </c>
      <c r="F22" s="67">
        <v>20250825</v>
      </c>
      <c r="G22" s="42" t="s">
        <v>68</v>
      </c>
      <c r="H22" s="67" t="str">
        <f>IF(B22="","",VLOOKUP(AD22,Varsayımlar!$B:$Q,5,0))</f>
        <v>Tortillas 25cm Domatesli</v>
      </c>
      <c r="I22" s="67">
        <f>IF(B22="","",VLOOKUP(AD22,Varsayımlar!B:T,19,0))</f>
        <v>0</v>
      </c>
      <c r="J22" s="67" t="str">
        <f>IF(B22="","",VLOOKUP(AD22,Varsayımlar!$B:$Q,6,0))</f>
        <v>Domatesli</v>
      </c>
      <c r="K22" s="67">
        <v>252</v>
      </c>
      <c r="L22" s="67"/>
      <c r="M22" s="67">
        <f>IFERROR(IF(B22="","",K22/VLOOKUP(AD22,Varsayımlar!B:R,17,0)),"")</f>
        <v>3</v>
      </c>
      <c r="N22" s="67"/>
      <c r="O22" s="67">
        <v>5</v>
      </c>
      <c r="P22" s="67">
        <f>IF(B22="","",VLOOKUP(AD22,Varsayımlar!$B:$Q,7,0)*K22)</f>
        <v>7560</v>
      </c>
      <c r="Q22" s="67">
        <f>IF(B22="","",VLOOKUP(AD22,Varsayımlar!$B:$Q,8,0))</f>
        <v>25</v>
      </c>
      <c r="R22" s="67" t="str">
        <f>IF(B22="","",VLOOKUP(AD22,Varsayımlar!$B:$Q,9,0))</f>
        <v>Soft-PA3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240</v>
      </c>
      <c r="V22" s="67" t="str">
        <f>IF(B22="","",VLOOKUP(AD22,Varsayımlar!$B:$Q,13,0))</f>
        <v>Yurtdışı</v>
      </c>
      <c r="W22" s="67">
        <f>IF(B22="","",VLOOKUP(AD22,Varsayımlar!$B:$Q,14,0))</f>
        <v>12</v>
      </c>
      <c r="X22" s="69"/>
      <c r="Y22" s="69"/>
      <c r="Z22" s="67"/>
      <c r="AA22" s="67" t="str">
        <f>IF(B22="","",VLOOKUP(AD22,Varsayımlar!$B:$Q,15,0))</f>
        <v>25cm Kolisi-Etiketli</v>
      </c>
      <c r="AB22" s="67" t="str">
        <f>IF(B22="","",VLOOKUP(AD22,Varsayımlar!$B:$Q,16,0))</f>
        <v>24-26 cm (Macca Hetto Inkjet Uzun Tarih)</v>
      </c>
      <c r="AC22" s="67" t="str">
        <f>IF(B22="","",VLOOKUP(Sayfa1!AD24,Varsayımlar!B:S,18,0))</f>
        <v>80x120cm</v>
      </c>
      <c r="AD22" s="57" t="str">
        <f t="shared" si="0"/>
        <v>LAIKYUZHN-BELARUSTortillas 25cm Domatesli 4pcs 240g</v>
      </c>
    </row>
    <row r="23" spans="1:30" ht="47.25" hidden="1" x14ac:dyDescent="0.25">
      <c r="A23" s="8" t="s">
        <v>136</v>
      </c>
      <c r="B23" s="68" t="s">
        <v>268</v>
      </c>
      <c r="C23" s="42">
        <f>IF(B23="","",VLOOKUP(AD23,Varsayımlar!$B:$Q,3,0))</f>
        <v>8698829380698</v>
      </c>
      <c r="D23" s="42" t="s">
        <v>159</v>
      </c>
      <c r="E23" s="68" t="s">
        <v>276</v>
      </c>
      <c r="F23" s="67">
        <v>20250825</v>
      </c>
      <c r="G23" s="42" t="s">
        <v>68</v>
      </c>
      <c r="H23" s="67" t="str">
        <f>IF(B23="","",VLOOKUP(AD23,Varsayımlar!$B:$Q,5,0))</f>
        <v>Tortillas 25cm Ispanaklı</v>
      </c>
      <c r="I23" s="67">
        <f>IF(B23="","",VLOOKUP(AD23,Varsayımlar!B:T,19,0))</f>
        <v>0</v>
      </c>
      <c r="J23" s="67" t="str">
        <f>IF(B23="","",VLOOKUP(AD23,Varsayımlar!$B:$Q,6,0))</f>
        <v>Ispanaklı</v>
      </c>
      <c r="K23" s="67">
        <v>420</v>
      </c>
      <c r="L23" s="67"/>
      <c r="M23" s="67">
        <f>IFERROR(IF(B23="","",K23/VLOOKUP(AD23,Varsayımlar!B:R,17,0)),"")</f>
        <v>5</v>
      </c>
      <c r="N23" s="67"/>
      <c r="O23" s="67">
        <v>7</v>
      </c>
      <c r="P23" s="67">
        <f>IF(B23="","",VLOOKUP(AD23,Varsayımlar!$B:$Q,7,0)*K23)</f>
        <v>12600</v>
      </c>
      <c r="Q23" s="67">
        <f>IF(B23="","",VLOOKUP(AD23,Varsayımlar!$B:$Q,8,0))</f>
        <v>25</v>
      </c>
      <c r="R23" s="67" t="str">
        <f>IF(B23="","",VLOOKUP(AD23,Varsayımlar!$B:$Q,9,0))</f>
        <v>Soft-PA3</v>
      </c>
      <c r="S23" s="67">
        <f>IF(B23="","",VLOOKUP(AD23,Varsayımlar!$B:$Q,10,0))</f>
        <v>4</v>
      </c>
      <c r="T23" s="67">
        <f>IF(B23="","",VLOOKUP(AD23,Varsayımlar!$B:$Q,11,0))</f>
        <v>30</v>
      </c>
      <c r="U23" s="67">
        <f>IF(B23="","",VLOOKUP(AD23,Varsayımlar!$B:$Q,12,0))</f>
        <v>240</v>
      </c>
      <c r="V23" s="67" t="str">
        <f>IF(B23="","",VLOOKUP(AD23,Varsayımlar!$B:$Q,13,0))</f>
        <v>Yurtdışı</v>
      </c>
      <c r="W23" s="67">
        <f>IF(B23="","",VLOOKUP(AD23,Varsayımlar!$B:$Q,14,0))</f>
        <v>12</v>
      </c>
      <c r="X23" s="69"/>
      <c r="Y23" s="69"/>
      <c r="Z23" s="67"/>
      <c r="AA23" s="67" t="str">
        <f>IF(B23="","",VLOOKUP(AD23,Varsayımlar!$B:$Q,15,0))</f>
        <v>25cm Kolisi-Etiketli</v>
      </c>
      <c r="AB23" s="67" t="str">
        <f>IF(B23="","",VLOOKUP(AD23,Varsayımlar!$B:$Q,16,0))</f>
        <v>24-26 cm (Macca Hetto Inkjet Uzun Tarih)</v>
      </c>
      <c r="AC23" s="67" t="str">
        <f>IF(B23="","",VLOOKUP(Sayfa1!AD25,Varsayımlar!B:S,18,0))</f>
        <v>80x120cm</v>
      </c>
      <c r="AD23" s="57" t="str">
        <f t="shared" si="0"/>
        <v>LAIKYUZHN-BELARUSTortillas 25cm Ispanaklı 4pcs 240g</v>
      </c>
    </row>
    <row r="24" spans="1:30" ht="47.25" hidden="1" x14ac:dyDescent="0.25">
      <c r="A24" s="8" t="s">
        <v>137</v>
      </c>
      <c r="B24" s="68" t="s">
        <v>268</v>
      </c>
      <c r="C24" s="42">
        <f>IF(B24="","",VLOOKUP(AD24,Varsayımlar!$B:$Q,3,0))</f>
        <v>8698829380698</v>
      </c>
      <c r="D24" s="42" t="s">
        <v>159</v>
      </c>
      <c r="E24" s="68" t="s">
        <v>278</v>
      </c>
      <c r="F24" s="67">
        <v>20250825</v>
      </c>
      <c r="G24" s="42" t="s">
        <v>68</v>
      </c>
      <c r="H24" s="67" t="str">
        <f>IF(B24="","",VLOOKUP(AD24,Varsayımlar!$B:$Q,5,0))</f>
        <v>Magnit Tortillas 25cm Peynirli</v>
      </c>
      <c r="I24" s="67" t="str">
        <f>IF(B24="","",VLOOKUP(AD24,Varsayımlar!B:T,19,0))</f>
        <v>Etiketli</v>
      </c>
      <c r="J24" s="67" t="str">
        <f>IF(B24="","",VLOOKUP(AD24,Varsayımlar!$B:$Q,6,0))</f>
        <v>Peynirli</v>
      </c>
      <c r="K24" s="67">
        <v>420</v>
      </c>
      <c r="L24" s="67"/>
      <c r="M24" s="67">
        <f>IFERROR(IF(B24="","",K24/VLOOKUP(AD24,Varsayımlar!B:R,17,0)),"")</f>
        <v>5</v>
      </c>
      <c r="N24" s="67"/>
      <c r="O24" s="67">
        <v>7</v>
      </c>
      <c r="P24" s="67">
        <f>IF(B24="","",VLOOKUP(AD24,Varsayımlar!$B:$Q,7,0)*K24)</f>
        <v>12600</v>
      </c>
      <c r="Q24" s="67">
        <f>IF(B24="","",VLOOKUP(AD24,Varsayımlar!$B:$Q,8,0))</f>
        <v>25</v>
      </c>
      <c r="R24" s="67" t="str">
        <f>IF(B24="","",VLOOKUP(AD24,Varsayımlar!$B:$Q,9,0))</f>
        <v>Soft-PA3-AT</v>
      </c>
      <c r="S24" s="67">
        <f>IF(B24="","",VLOOKUP(AD24,Varsayımlar!$B:$Q,10,0))</f>
        <v>4</v>
      </c>
      <c r="T24" s="67">
        <f>IF(B24="","",VLOOKUP(AD24,Varsayımlar!$B:$Q,11,0))</f>
        <v>30</v>
      </c>
      <c r="U24" s="67">
        <f>IF(B24="","",VLOOKUP(AD24,Varsayımlar!$B:$Q,12,0))</f>
        <v>250</v>
      </c>
      <c r="V24" s="67" t="str">
        <f>IF(B24="","",VLOOKUP(AD24,Varsayımlar!$B:$Q,13,0))</f>
        <v>Yurtdışı</v>
      </c>
      <c r="W24" s="67">
        <f>IF(B24="","",VLOOKUP(AD24,Varsayımlar!$B:$Q,14,0))</f>
        <v>9</v>
      </c>
      <c r="X24" s="69"/>
      <c r="Y24" s="69"/>
      <c r="Z24" s="67"/>
      <c r="AA24" s="67" t="str">
        <f>IF(B24="","",VLOOKUP(AD24,Varsayımlar!$B:$Q,15,0))</f>
        <v>25cm Kolisi-Etiketli</v>
      </c>
      <c r="AB24" s="67" t="str">
        <f>IF(B24="","",VLOOKUP(AD24,Varsayımlar!$B:$Q,16,0))</f>
        <v>24-26 cm (Macca Hetto Inkjet Uzun Tarih)</v>
      </c>
      <c r="AC24" s="67" t="str">
        <f>IF(B24="","",VLOOKUP(Sayfa1!AD26,Varsayımlar!B:S,18,0))</f>
        <v>80x120cm</v>
      </c>
      <c r="AD24" s="57" t="str">
        <f t="shared" si="0"/>
        <v>LAIKYUZHN-BELARUSMagnit Tortillas 25cm Peynirli 4pcs 240g</v>
      </c>
    </row>
    <row r="25" spans="1:30" ht="31.5" hidden="1" x14ac:dyDescent="0.25">
      <c r="A25" s="8" t="s">
        <v>138</v>
      </c>
      <c r="B25" s="61" t="s">
        <v>181</v>
      </c>
      <c r="C25" s="32">
        <f>IF(B25="","",VLOOKUP(AD25,Varsayımlar!$B:$Q,3,0))</f>
        <v>8698829380698</v>
      </c>
      <c r="D25" s="32"/>
      <c r="E25" s="61" t="s">
        <v>182</v>
      </c>
      <c r="F25" s="62">
        <v>26060101</v>
      </c>
      <c r="G25" s="32"/>
      <c r="H25" s="62" t="str">
        <f>IF(B25="","",VLOOKUP(AD25,Varsayımlar!$B:$Q,5,0))</f>
        <v>Tortillove 30cm</v>
      </c>
      <c r="I25" s="62" t="str">
        <f>IF(B25="","",VLOOKUP(AD25,Varsayımlar!B:T,19,0))</f>
        <v>Arka kısma Arnavutça içerik-Tortillove</v>
      </c>
      <c r="J25" s="62" t="str">
        <f>IF(B25="","",VLOOKUP(AD25,Varsayımlar!$B:$Q,6,0))</f>
        <v>SADE</v>
      </c>
      <c r="K25" s="62">
        <v>100</v>
      </c>
      <c r="L25" s="62"/>
      <c r="M25" s="62">
        <f>IFERROR(IF(B25="","",K25/VLOOKUP(AD25,Varsayımlar!B:R,17,0)),"")</f>
        <v>2</v>
      </c>
      <c r="N25" s="62"/>
      <c r="O25" s="62">
        <v>2</v>
      </c>
      <c r="P25" s="62">
        <f>IF(B25="","",VLOOKUP(AD25,Varsayımlar!$B:$Q,7,0)*K25)</f>
        <v>1200</v>
      </c>
      <c r="Q25" s="62">
        <f>IF(B25="","",VLOOKUP(AD25,Varsayımlar!$B:$Q,8,0))</f>
        <v>30</v>
      </c>
      <c r="R25" s="62" t="str">
        <f>IF(B25="","",VLOOKUP(AD25,Varsayımlar!$B:$Q,9,0))</f>
        <v>Irak Soft</v>
      </c>
      <c r="S25" s="62">
        <f>IF(B25="","",VLOOKUP(AD25,Varsayımlar!$B:$Q,10,0))</f>
        <v>10</v>
      </c>
      <c r="T25" s="62">
        <f>IF(B25="","",VLOOKUP(AD25,Varsayımlar!$B:$Q,11,0))</f>
        <v>12</v>
      </c>
      <c r="U25" s="62">
        <f>IF(B25="","",VLOOKUP(AD25,Varsayımlar!$B:$Q,12,0))</f>
        <v>900</v>
      </c>
      <c r="V25" s="62" t="str">
        <f>IF(B25="","",VLOOKUP(AD25,Varsayımlar!$B:$Q,13,0))</f>
        <v>Yurtdışı</v>
      </c>
      <c r="W25" s="62">
        <f>IF(B25="","",VLOOKUP(AD25,Varsayımlar!$B:$Q,14,0))</f>
        <v>12</v>
      </c>
      <c r="X25" s="63"/>
      <c r="Y25" s="63"/>
      <c r="Z25" s="62"/>
      <c r="AA25" s="62" t="str">
        <f>IF(B25="","",VLOOKUP(AD25,Varsayımlar!$B:$Q,15,0))</f>
        <v>30cm Koli - Tortillove 900g Etiketli</v>
      </c>
      <c r="AB25" s="62" t="str">
        <f>IF(B25="","",VLOOKUP(AD25,Varsayımlar!$B:$Q,16,0))</f>
        <v>29-31 cm</v>
      </c>
      <c r="AC25" s="62">
        <f>IF(B25="","",VLOOKUP(Sayfa1!AD27,Varsayımlar!B:S,18,0))</f>
        <v>0</v>
      </c>
      <c r="AD25" s="57" t="str">
        <f t="shared" si="0"/>
        <v>ALDİ - KOSOVATortillove 30cm 10pcs 900g</v>
      </c>
    </row>
    <row r="26" spans="1:30" ht="31.5" hidden="1" x14ac:dyDescent="0.25">
      <c r="A26" s="8" t="s">
        <v>139</v>
      </c>
      <c r="B26" s="61" t="s">
        <v>181</v>
      </c>
      <c r="C26" s="32">
        <f>IF(B26="","",VLOOKUP(AD26,Varsayımlar!$B:$Q,3,0))</f>
        <v>8698829380698</v>
      </c>
      <c r="D26" s="32"/>
      <c r="E26" s="61" t="s">
        <v>185</v>
      </c>
      <c r="F26" s="62">
        <v>26060101</v>
      </c>
      <c r="G26" s="32"/>
      <c r="H26" s="62" t="str">
        <f>IF(B26="","",VLOOKUP(AD26,Varsayımlar!$B:$Q,5,0))</f>
        <v>Tortillas 30cm</v>
      </c>
      <c r="I26" s="62" t="str">
        <f>IF(B26="","",VLOOKUP(AD26,Varsayımlar!B:T,19,0))</f>
        <v>Arka kısma Arnavutça içerik-Tortillas</v>
      </c>
      <c r="J26" s="62" t="str">
        <f>IF(B26="","",VLOOKUP(AD26,Varsayımlar!$B:$Q,6,0))</f>
        <v>SADE</v>
      </c>
      <c r="K26" s="62">
        <v>50</v>
      </c>
      <c r="L26" s="62"/>
      <c r="M26" s="62">
        <f>IFERROR(IF(B26="","",K26/VLOOKUP(AD26,Varsayımlar!B:R,17,0)),"")</f>
        <v>1</v>
      </c>
      <c r="N26" s="62"/>
      <c r="O26" s="62">
        <v>1</v>
      </c>
      <c r="P26" s="62">
        <f>IF(B26="","",VLOOKUP(AD26,Varsayımlar!$B:$Q,7,0)*K26)</f>
        <v>600</v>
      </c>
      <c r="Q26" s="62">
        <f>IF(B26="","",VLOOKUP(AD26,Varsayımlar!$B:$Q,8,0))</f>
        <v>30</v>
      </c>
      <c r="R26" s="62" t="str">
        <f>IF(B26="","",VLOOKUP(AD26,Varsayımlar!$B:$Q,9,0))</f>
        <v>Irak Soft</v>
      </c>
      <c r="S26" s="62">
        <f>IF(B26="","",VLOOKUP(AD26,Varsayımlar!$B:$Q,10,0))</f>
        <v>10</v>
      </c>
      <c r="T26" s="62">
        <f>IF(B26="","",VLOOKUP(AD26,Varsayımlar!$B:$Q,11,0))</f>
        <v>12</v>
      </c>
      <c r="U26" s="62">
        <f>IF(B26="","",VLOOKUP(AD26,Varsayımlar!$B:$Q,12,0))</f>
        <v>900</v>
      </c>
      <c r="V26" s="62" t="str">
        <f>IF(B26="","",VLOOKUP(AD26,Varsayımlar!$B:$Q,13,0))</f>
        <v>Yurtdışı</v>
      </c>
      <c r="W26" s="62">
        <f>IF(B26="","",VLOOKUP(AD26,Varsayımlar!$B:$Q,14,0))</f>
        <v>12</v>
      </c>
      <c r="X26" s="63"/>
      <c r="Y26" s="63"/>
      <c r="Z26" s="62"/>
      <c r="AA26" s="62" t="str">
        <f>IF(B26="","",VLOOKUP(AD26,Varsayımlar!$B:$Q,15,0))</f>
        <v>30cm Koli - Tortillas 900g Etiketli</v>
      </c>
      <c r="AB26" s="62" t="str">
        <f>IF(B26="","",VLOOKUP(AD26,Varsayımlar!$B:$Q,16,0))</f>
        <v>29-31 cm</v>
      </c>
      <c r="AC26" s="62">
        <f>IF(B26="","",VLOOKUP(Sayfa1!AD28,Varsayımlar!B:S,18,0))</f>
        <v>0</v>
      </c>
      <c r="AD26" s="57" t="str">
        <f t="shared" si="0"/>
        <v>ALDİ - KOSOVATortillas 30cm 10pcs 900g</v>
      </c>
    </row>
    <row r="27" spans="1:30" ht="63" hidden="1" x14ac:dyDescent="0.25">
      <c r="A27" s="8" t="s">
        <v>140</v>
      </c>
      <c r="B27" s="61" t="s">
        <v>181</v>
      </c>
      <c r="C27" s="32">
        <f>IF(B27="","",VLOOKUP(AD27,Varsayımlar!$B:$Q,3,0))</f>
        <v>8698829380698</v>
      </c>
      <c r="D27" s="32"/>
      <c r="E27" s="61" t="s">
        <v>187</v>
      </c>
      <c r="F27" s="62">
        <v>26060101</v>
      </c>
      <c r="G27" s="32"/>
      <c r="H27" s="62" t="str">
        <f>IF(B27="","",VLOOKUP(AD27,Varsayımlar!$B:$Q,5,0))</f>
        <v>Tortillove 25cm</v>
      </c>
      <c r="I27" s="62" t="str">
        <f>IF(B27="","",VLOOKUP(AD27,Varsayımlar!B:T,19,0))</f>
        <v>Barkod üzerine Arnavutça içerik+Barkod-Tortillove</v>
      </c>
      <c r="J27" s="62" t="str">
        <f>IF(B27="","",VLOOKUP(AD27,Varsayımlar!$B:$Q,6,0))</f>
        <v>SADE</v>
      </c>
      <c r="K27" s="62">
        <v>84</v>
      </c>
      <c r="L27" s="62"/>
      <c r="M27" s="62">
        <f>IFERROR(IF(B27="","",K27/VLOOKUP(AD27,Varsayımlar!B:R,17,0)),"")</f>
        <v>1</v>
      </c>
      <c r="N27" s="62"/>
      <c r="O27" s="62">
        <v>2</v>
      </c>
      <c r="P27" s="62">
        <f>IF(B27="","",VLOOKUP(AD27,Varsayımlar!$B:$Q,7,0)*K27)</f>
        <v>1512</v>
      </c>
      <c r="Q27" s="62">
        <f>IF(B27="","",VLOOKUP(AD27,Varsayımlar!$B:$Q,8,0))</f>
        <v>25</v>
      </c>
      <c r="R27" s="62" t="str">
        <f>IF(B27="","",VLOOKUP(AD27,Varsayımlar!$B:$Q,9,0))</f>
        <v>Irak Soft</v>
      </c>
      <c r="S27" s="62">
        <f>IF(B27="","",VLOOKUP(AD27,Varsayımlar!$B:$Q,10,0))</f>
        <v>6</v>
      </c>
      <c r="T27" s="62">
        <f>IF(B27="","",VLOOKUP(AD27,Varsayımlar!$B:$Q,11,0))</f>
        <v>18</v>
      </c>
      <c r="U27" s="62">
        <f>IF(B27="","",VLOOKUP(AD27,Varsayımlar!$B:$Q,12,0))</f>
        <v>390</v>
      </c>
      <c r="V27" s="62" t="str">
        <f>IF(B27="","",VLOOKUP(AD27,Varsayımlar!$B:$Q,13,0))</f>
        <v>Yurtdışı</v>
      </c>
      <c r="W27" s="62">
        <f>IF(B27="","",VLOOKUP(AD27,Varsayımlar!$B:$Q,14,0))</f>
        <v>12</v>
      </c>
      <c r="X27" s="63"/>
      <c r="Y27" s="63"/>
      <c r="Z27" s="62"/>
      <c r="AA27" s="62" t="str">
        <f>IF(B27="","",VLOOKUP(AD27,Varsayımlar!$B:$Q,15,0))</f>
        <v>25cm Koli - Tortillove 390g Etiketli</v>
      </c>
      <c r="AB27" s="62" t="str">
        <f>IF(B27="","",VLOOKUP(AD27,Varsayımlar!$B:$Q,16,0))</f>
        <v>24-26 cm</v>
      </c>
      <c r="AC27" s="62">
        <f>IF(B27="","",VLOOKUP(Sayfa1!AD29,Varsayımlar!B:S,18,0))</f>
        <v>0</v>
      </c>
      <c r="AD27" s="57" t="str">
        <f t="shared" si="0"/>
        <v>ALDİ - KOSOVATortillove 25cm 6pcs 390g</v>
      </c>
    </row>
    <row r="28" spans="1:30" ht="47.25" hidden="1" x14ac:dyDescent="0.25">
      <c r="A28" s="8" t="s">
        <v>141</v>
      </c>
      <c r="B28" s="61" t="s">
        <v>181</v>
      </c>
      <c r="C28" s="32">
        <f>IF(B28="","",VLOOKUP(AD28,Varsayımlar!$B:$Q,3,0))</f>
        <v>8698829380698</v>
      </c>
      <c r="D28" s="32"/>
      <c r="E28" s="61" t="s">
        <v>189</v>
      </c>
      <c r="F28" s="62">
        <v>26060101</v>
      </c>
      <c r="G28" s="32"/>
      <c r="H28" s="62" t="str">
        <f>IF(B28="","",VLOOKUP(AD28,Varsayımlar!$B:$Q,5,0))</f>
        <v>Tortillas 25cm</v>
      </c>
      <c r="I28" s="62" t="str">
        <f>IF(B28="","",VLOOKUP(AD28,Varsayımlar!B:T,19,0))</f>
        <v>Barkod üzerine Arnavutça içerik+Barkod-Tortillas</v>
      </c>
      <c r="J28" s="62" t="str">
        <f>IF(B28="","",VLOOKUP(AD28,Varsayımlar!$B:$Q,6,0))</f>
        <v>SADE</v>
      </c>
      <c r="K28" s="62">
        <v>84</v>
      </c>
      <c r="L28" s="62"/>
      <c r="M28" s="62">
        <f>IFERROR(IF(B28="","",K28/VLOOKUP(AD28,Varsayımlar!B:R,17,0)),"")</f>
        <v>1</v>
      </c>
      <c r="N28" s="62"/>
      <c r="O28" s="62">
        <v>2</v>
      </c>
      <c r="P28" s="62">
        <f>IF(B28="","",VLOOKUP(AD28,Varsayımlar!$B:$Q,7,0)*K28)</f>
        <v>1512</v>
      </c>
      <c r="Q28" s="62">
        <f>IF(B28="","",VLOOKUP(AD28,Varsayımlar!$B:$Q,8,0))</f>
        <v>25</v>
      </c>
      <c r="R28" s="62" t="str">
        <f>IF(B28="","",VLOOKUP(AD28,Varsayımlar!$B:$Q,9,0))</f>
        <v>Irak Soft</v>
      </c>
      <c r="S28" s="62">
        <f>IF(B28="","",VLOOKUP(AD28,Varsayımlar!$B:$Q,10,0))</f>
        <v>6</v>
      </c>
      <c r="T28" s="62">
        <f>IF(B28="","",VLOOKUP(AD28,Varsayımlar!$B:$Q,11,0))</f>
        <v>18</v>
      </c>
      <c r="U28" s="62">
        <f>IF(B28="","",VLOOKUP(AD28,Varsayımlar!$B:$Q,12,0))</f>
        <v>390</v>
      </c>
      <c r="V28" s="62" t="str">
        <f>IF(B28="","",VLOOKUP(AD28,Varsayımlar!$B:$Q,13,0))</f>
        <v>Yurtdışı</v>
      </c>
      <c r="W28" s="62">
        <f>IF(B28="","",VLOOKUP(AD28,Varsayımlar!$B:$Q,14,0))</f>
        <v>12</v>
      </c>
      <c r="X28" s="63"/>
      <c r="Y28" s="63"/>
      <c r="Z28" s="62"/>
      <c r="AA28" s="62" t="str">
        <f>IF(B28="","",VLOOKUP(AD28,Varsayımlar!$B:$Q,15,0))</f>
        <v>25cm Koli - Tortillas 390g Etiketli</v>
      </c>
      <c r="AB28" s="62" t="str">
        <f>IF(B28="","",VLOOKUP(AD28,Varsayımlar!$B:$Q,16,0))</f>
        <v>24-26 cm</v>
      </c>
      <c r="AC28" s="62">
        <f>IF(B28="","",VLOOKUP(Sayfa1!AD30,Varsayımlar!B:S,18,0))</f>
        <v>0</v>
      </c>
      <c r="AD28" s="57" t="str">
        <f t="shared" si="0"/>
        <v>ALDİ - KOSOVATortillas 25cm 6pcs 390g</v>
      </c>
    </row>
    <row r="29" spans="1:30" ht="63" hidden="1" x14ac:dyDescent="0.25">
      <c r="A29" s="8" t="s">
        <v>142</v>
      </c>
      <c r="B29" s="61" t="s">
        <v>181</v>
      </c>
      <c r="C29" s="32">
        <f>IF(B29="","",VLOOKUP(AD29,Varsayımlar!$B:$Q,3,0))</f>
        <v>8698829380698</v>
      </c>
      <c r="D29" s="32"/>
      <c r="E29" s="61" t="s">
        <v>187</v>
      </c>
      <c r="F29" s="62">
        <v>26060101</v>
      </c>
      <c r="G29" s="32"/>
      <c r="H29" s="62" t="str">
        <f>IF(B29="","",VLOOKUP(AD29,Varsayımlar!$B:$Q,5,0))</f>
        <v>Tortillove 25cm</v>
      </c>
      <c r="I29" s="62" t="str">
        <f>IF(B29="","",VLOOKUP(AD29,Varsayımlar!B:T,19,0))</f>
        <v>Barkod üzerine Arnavutça içerik+Barkod-Tortillove</v>
      </c>
      <c r="J29" s="62" t="str">
        <f>IF(B29="","",VLOOKUP(AD29,Varsayımlar!$B:$Q,6,0))</f>
        <v>SADE</v>
      </c>
      <c r="K29" s="62">
        <v>168</v>
      </c>
      <c r="L29" s="62"/>
      <c r="M29" s="62">
        <f>IFERROR(IF(B29="","",K29/VLOOKUP(AD29,Varsayımlar!B:R,17,0)),"")</f>
        <v>2</v>
      </c>
      <c r="N29" s="62"/>
      <c r="O29" s="62">
        <v>3</v>
      </c>
      <c r="P29" s="62">
        <f>IF(B29="","",VLOOKUP(AD29,Varsayımlar!$B:$Q,7,0)*K29)</f>
        <v>3024</v>
      </c>
      <c r="Q29" s="62">
        <f>IF(B29="","",VLOOKUP(AD29,Varsayımlar!$B:$Q,8,0))</f>
        <v>25</v>
      </c>
      <c r="R29" s="62" t="str">
        <f>IF(B29="","",VLOOKUP(AD29,Varsayımlar!$B:$Q,9,0))</f>
        <v>Irak Soft</v>
      </c>
      <c r="S29" s="62">
        <f>IF(B29="","",VLOOKUP(AD29,Varsayımlar!$B:$Q,10,0))</f>
        <v>6</v>
      </c>
      <c r="T29" s="62">
        <f>IF(B29="","",VLOOKUP(AD29,Varsayımlar!$B:$Q,11,0))</f>
        <v>18</v>
      </c>
      <c r="U29" s="62">
        <f>IF(B29="","",VLOOKUP(AD29,Varsayımlar!$B:$Q,12,0))</f>
        <v>390</v>
      </c>
      <c r="V29" s="62" t="str">
        <f>IF(B29="","",VLOOKUP(AD29,Varsayımlar!$B:$Q,13,0))</f>
        <v>Yurtdışı</v>
      </c>
      <c r="W29" s="62">
        <f>IF(B29="","",VLOOKUP(AD29,Varsayımlar!$B:$Q,14,0))</f>
        <v>12</v>
      </c>
      <c r="X29" s="63"/>
      <c r="Y29" s="63"/>
      <c r="Z29" s="62"/>
      <c r="AA29" s="62" t="str">
        <f>IF(B29="","",VLOOKUP(AD29,Varsayımlar!$B:$Q,15,0))</f>
        <v>25cm Koli - Tortillove 390g Etiketli</v>
      </c>
      <c r="AB29" s="62" t="str">
        <f>IF(B29="","",VLOOKUP(AD29,Varsayımlar!$B:$Q,16,0))</f>
        <v>24-26 cm</v>
      </c>
      <c r="AC29" s="62">
        <f>IF(B29="","",VLOOKUP(Sayfa1!AD31,Varsayımlar!B:S,18,0))</f>
        <v>0</v>
      </c>
      <c r="AD29" s="57" t="str">
        <f t="shared" si="0"/>
        <v>ALDİ - KOSOVATortillove 25cm 6pcs 390g</v>
      </c>
    </row>
    <row r="30" spans="1:30" ht="47.25" hidden="1" x14ac:dyDescent="0.25">
      <c r="A30" s="8" t="s">
        <v>143</v>
      </c>
      <c r="B30" s="61" t="s">
        <v>181</v>
      </c>
      <c r="C30" s="32">
        <f>IF(B30="","",VLOOKUP(AD30,Varsayımlar!$B:$Q,3,0))</f>
        <v>8698829380698</v>
      </c>
      <c r="D30" s="32"/>
      <c r="E30" s="61" t="s">
        <v>189</v>
      </c>
      <c r="F30" s="62">
        <v>26060101</v>
      </c>
      <c r="G30" s="32"/>
      <c r="H30" s="62" t="str">
        <f>IF(B30="","",VLOOKUP(AD30,Varsayımlar!$B:$Q,5,0))</f>
        <v>Tortillas 25cm</v>
      </c>
      <c r="I30" s="62" t="str">
        <f>IF(B30="","",VLOOKUP(AD30,Varsayımlar!B:T,19,0))</f>
        <v>Barkod üzerine Arnavutça içerik+Barkod-Tortillas</v>
      </c>
      <c r="J30" s="62" t="str">
        <f>IF(B30="","",VLOOKUP(AD30,Varsayımlar!$B:$Q,6,0))</f>
        <v>SADE</v>
      </c>
      <c r="K30" s="62">
        <v>84</v>
      </c>
      <c r="L30" s="62"/>
      <c r="M30" s="62">
        <f>IFERROR(IF(B30="","",K30/VLOOKUP(AD30,Varsayımlar!B:R,17,0)),"")</f>
        <v>1</v>
      </c>
      <c r="N30" s="62"/>
      <c r="O30" s="62">
        <v>2</v>
      </c>
      <c r="P30" s="62">
        <f>IF(B30="","",VLOOKUP(AD30,Varsayımlar!$B:$Q,7,0)*K30)</f>
        <v>1512</v>
      </c>
      <c r="Q30" s="62">
        <f>IF(B30="","",VLOOKUP(AD30,Varsayımlar!$B:$Q,8,0))</f>
        <v>25</v>
      </c>
      <c r="R30" s="62" t="str">
        <f>IF(B30="","",VLOOKUP(AD30,Varsayımlar!$B:$Q,9,0))</f>
        <v>Irak Soft</v>
      </c>
      <c r="S30" s="62">
        <f>IF(B30="","",VLOOKUP(AD30,Varsayımlar!$B:$Q,10,0))</f>
        <v>6</v>
      </c>
      <c r="T30" s="62">
        <f>IF(B30="","",VLOOKUP(AD30,Varsayımlar!$B:$Q,11,0))</f>
        <v>18</v>
      </c>
      <c r="U30" s="62">
        <f>IF(B30="","",VLOOKUP(AD30,Varsayımlar!$B:$Q,12,0))</f>
        <v>390</v>
      </c>
      <c r="V30" s="62" t="str">
        <f>IF(B30="","",VLOOKUP(AD30,Varsayımlar!$B:$Q,13,0))</f>
        <v>Yurtdışı</v>
      </c>
      <c r="W30" s="62">
        <f>IF(B30="","",VLOOKUP(AD30,Varsayımlar!$B:$Q,14,0))</f>
        <v>12</v>
      </c>
      <c r="X30" s="63"/>
      <c r="Y30" s="63"/>
      <c r="Z30" s="62"/>
      <c r="AA30" s="62" t="str">
        <f>IF(B30="","",VLOOKUP(AD30,Varsayımlar!$B:$Q,15,0))</f>
        <v>25cm Koli - Tortillas 390g Etiketli</v>
      </c>
      <c r="AB30" s="62" t="str">
        <f>IF(B30="","",VLOOKUP(AD30,Varsayımlar!$B:$Q,16,0))</f>
        <v>24-26 cm</v>
      </c>
      <c r="AC30" s="62">
        <f>IF(B30="","",VLOOKUP(Sayfa1!AD32,Varsayımlar!B:S,18,0))</f>
        <v>0</v>
      </c>
      <c r="AD30" s="57" t="str">
        <f t="shared" si="0"/>
        <v>ALDİ - KOSOVATortillas 25cm 6pcs 390g</v>
      </c>
    </row>
    <row r="31" spans="1:30" ht="31.5" hidden="1" x14ac:dyDescent="0.25">
      <c r="A31" s="8" t="s">
        <v>144</v>
      </c>
      <c r="B31" s="61" t="s">
        <v>181</v>
      </c>
      <c r="C31" s="32">
        <f>IF(B31="","",VLOOKUP(AD31,Varsayımlar!$B:$Q,3,0))</f>
        <v>8698829380698</v>
      </c>
      <c r="D31" s="32"/>
      <c r="E31" s="61" t="s">
        <v>192</v>
      </c>
      <c r="F31" s="62">
        <v>26060101</v>
      </c>
      <c r="G31" s="32"/>
      <c r="H31" s="62" t="str">
        <f>IF(B31="","",VLOOKUP(AD31,Varsayımlar!$B:$Q,5,0))</f>
        <v>Tortillove 25cm</v>
      </c>
      <c r="I31" s="62" t="str">
        <f>IF(B31="","",VLOOKUP(AD31,Varsayımlar!B:T,19,0))</f>
        <v>Arka kısma Arnavutça içerik-Tortillove</v>
      </c>
      <c r="J31" s="62" t="str">
        <f>IF(B31="","",VLOOKUP(AD31,Varsayımlar!$B:$Q,6,0))</f>
        <v>SADE</v>
      </c>
      <c r="K31" s="62">
        <v>168</v>
      </c>
      <c r="L31" s="62"/>
      <c r="M31" s="62">
        <f>IFERROR(IF(B31="","",K31/VLOOKUP(AD31,Varsayımlar!B:R,17,0)),"")</f>
        <v>2</v>
      </c>
      <c r="N31" s="62"/>
      <c r="O31" s="62">
        <v>3</v>
      </c>
      <c r="P31" s="62">
        <f>IF(B31="","",VLOOKUP(AD31,Varsayımlar!$B:$Q,7,0)*K31)</f>
        <v>2016</v>
      </c>
      <c r="Q31" s="62">
        <f>IF(B31="","",VLOOKUP(AD31,Varsayımlar!$B:$Q,8,0))</f>
        <v>25</v>
      </c>
      <c r="R31" s="62" t="str">
        <f>IF(B31="","",VLOOKUP(AD31,Varsayımlar!$B:$Q,9,0))</f>
        <v>Irak Soft</v>
      </c>
      <c r="S31" s="62">
        <f>IF(B31="","",VLOOKUP(AD31,Varsayımlar!$B:$Q,10,0))</f>
        <v>10</v>
      </c>
      <c r="T31" s="62">
        <f>IF(B31="","",VLOOKUP(AD31,Varsayımlar!$B:$Q,11,0))</f>
        <v>12</v>
      </c>
      <c r="U31" s="62">
        <f>IF(B31="","",VLOOKUP(AD31,Varsayımlar!$B:$Q,12,0))</f>
        <v>650</v>
      </c>
      <c r="V31" s="62" t="str">
        <f>IF(B31="","",VLOOKUP(AD31,Varsayımlar!$B:$Q,13,0))</f>
        <v>Yurtdışı</v>
      </c>
      <c r="W31" s="62">
        <f>IF(B31="","",VLOOKUP(AD31,Varsayımlar!$B:$Q,14,0))</f>
        <v>12</v>
      </c>
      <c r="X31" s="63"/>
      <c r="Y31" s="63"/>
      <c r="Z31" s="62"/>
      <c r="AA31" s="62" t="str">
        <f>IF(B31="","",VLOOKUP(AD31,Varsayımlar!$B:$Q,15,0))</f>
        <v>25cm Koli - Tortillove 650g Etiketli</v>
      </c>
      <c r="AB31" s="62" t="str">
        <f>IF(B31="","",VLOOKUP(AD31,Varsayımlar!$B:$Q,16,0))</f>
        <v>24-26 cm</v>
      </c>
      <c r="AC31" s="62">
        <f>IF(B31="","",VLOOKUP(Sayfa1!AD33,Varsayımlar!B:S,18,0))</f>
        <v>0</v>
      </c>
      <c r="AD31" s="57" t="str">
        <f t="shared" si="0"/>
        <v>ALDİ - KOSOVATortillove 25cm 10pcs 650g</v>
      </c>
    </row>
    <row r="32" spans="1:30" ht="31.5" hidden="1" x14ac:dyDescent="0.25">
      <c r="A32" s="8" t="s">
        <v>145</v>
      </c>
      <c r="B32" s="61" t="s">
        <v>181</v>
      </c>
      <c r="C32" s="32">
        <f>IF(B32="","",VLOOKUP(AD32,Varsayımlar!$B:$Q,3,0))</f>
        <v>8698829380698</v>
      </c>
      <c r="D32" s="32"/>
      <c r="E32" s="61" t="s">
        <v>193</v>
      </c>
      <c r="F32" s="62">
        <v>26060101</v>
      </c>
      <c r="G32" s="32"/>
      <c r="H32" s="62" t="str">
        <f>IF(B32="","",VLOOKUP(AD32,Varsayımlar!$B:$Q,5,0))</f>
        <v>Tortillas 25cm</v>
      </c>
      <c r="I32" s="62" t="str">
        <f>IF(B32="","",VLOOKUP(AD32,Varsayımlar!B:T,19,0))</f>
        <v>Arka kısma Arnavutça içerik-Tortillas</v>
      </c>
      <c r="J32" s="62" t="str">
        <f>IF(B32="","",VLOOKUP(AD32,Varsayımlar!$B:$Q,6,0))</f>
        <v>SADE</v>
      </c>
      <c r="K32" s="62">
        <v>84</v>
      </c>
      <c r="L32" s="62"/>
      <c r="M32" s="62">
        <f>IFERROR(IF(B32="","",K32/VLOOKUP(AD32,Varsayımlar!B:R,17,0)),"")</f>
        <v>1</v>
      </c>
      <c r="N32" s="62"/>
      <c r="O32" s="62">
        <v>2</v>
      </c>
      <c r="P32" s="62">
        <f>IF(B32="","",VLOOKUP(AD32,Varsayımlar!$B:$Q,7,0)*K32)</f>
        <v>1008</v>
      </c>
      <c r="Q32" s="62">
        <f>IF(B32="","",VLOOKUP(AD32,Varsayımlar!$B:$Q,8,0))</f>
        <v>25</v>
      </c>
      <c r="R32" s="62" t="str">
        <f>IF(B32="","",VLOOKUP(AD32,Varsayımlar!$B:$Q,9,0))</f>
        <v>Irak Soft</v>
      </c>
      <c r="S32" s="62">
        <f>IF(B32="","",VLOOKUP(AD32,Varsayımlar!$B:$Q,10,0))</f>
        <v>10</v>
      </c>
      <c r="T32" s="62">
        <f>IF(B32="","",VLOOKUP(AD32,Varsayımlar!$B:$Q,11,0))</f>
        <v>12</v>
      </c>
      <c r="U32" s="62">
        <f>IF(B32="","",VLOOKUP(AD32,Varsayımlar!$B:$Q,12,0))</f>
        <v>650</v>
      </c>
      <c r="V32" s="62" t="str">
        <f>IF(B32="","",VLOOKUP(AD32,Varsayımlar!$B:$Q,13,0))</f>
        <v>Yurtdışı</v>
      </c>
      <c r="W32" s="62">
        <f>IF(B32="","",VLOOKUP(AD32,Varsayımlar!$B:$Q,14,0))</f>
        <v>12</v>
      </c>
      <c r="X32" s="63"/>
      <c r="Y32" s="63"/>
      <c r="Z32" s="62"/>
      <c r="AA32" s="62" t="str">
        <f>IF(B32="","",VLOOKUP(AD32,Varsayımlar!$B:$Q,15,0))</f>
        <v>25cm Koli - Tortillas 650g Etiketli</v>
      </c>
      <c r="AB32" s="62" t="str">
        <f>IF(B32="","",VLOOKUP(AD32,Varsayımlar!$B:$Q,16,0))</f>
        <v>24-26 cm</v>
      </c>
      <c r="AC32" s="62">
        <f>IF(B32="","",VLOOKUP(Sayfa1!AD34,Varsayımlar!B:S,18,0))</f>
        <v>0</v>
      </c>
      <c r="AD32" s="57" t="str">
        <f t="shared" si="0"/>
        <v>ALDİ - KOSOVATortillas 25cm 10pcs 650g</v>
      </c>
    </row>
    <row r="33" spans="1:30" ht="31.5" hidden="1" x14ac:dyDescent="0.25">
      <c r="A33" s="8" t="s">
        <v>146</v>
      </c>
      <c r="B33" s="65" t="s">
        <v>288</v>
      </c>
      <c r="C33" s="3">
        <f>IF(B33="","",VLOOKUP(AD33,Varsayımlar!$B:$Q,3,0))</f>
        <v>8698829380698</v>
      </c>
      <c r="D33" s="3"/>
      <c r="E33" s="65" t="s">
        <v>289</v>
      </c>
      <c r="F33" s="64">
        <v>20201016</v>
      </c>
      <c r="G33" s="3" t="s">
        <v>68</v>
      </c>
      <c r="H33" s="64" t="str">
        <f>IF(B33="","",VLOOKUP(AD33,Varsayımlar!$B:$Q,5,0))</f>
        <v>Tortillas 25cm Tam Buğday</v>
      </c>
      <c r="I33" s="64" t="str">
        <f>IF(B33="","",VLOOKUP(AD33,Varsayımlar!B:T,19,0))</f>
        <v>Arka kısma İçerik</v>
      </c>
      <c r="J33" s="64" t="str">
        <f>IF(B33="","",VLOOKUP(AD33,Varsayımlar!$B:$Q,6,0))</f>
        <v>Tam Buğdaylı</v>
      </c>
      <c r="K33" s="64">
        <v>250</v>
      </c>
      <c r="L33" s="64"/>
      <c r="M33" s="64">
        <f>IFERROR(IF(B33="","",K33/VLOOKUP(AD33,Varsayımlar!B:R,17,0)),"")</f>
        <v>5</v>
      </c>
      <c r="N33" s="64"/>
      <c r="O33" s="64">
        <v>4</v>
      </c>
      <c r="P33" s="64">
        <f>IF(B33="","",VLOOKUP(AD33,Varsayımlar!$B:$Q,7,0)*K33)</f>
        <v>4500</v>
      </c>
      <c r="Q33" s="64">
        <f>IF(B33="","",VLOOKUP(AD33,Varsayımlar!$B:$Q,8,0))</f>
        <v>25</v>
      </c>
      <c r="R33" s="64" t="str">
        <f>IF(B33="","",VLOOKUP(AD33,Varsayımlar!$B:$Q,9,0))</f>
        <v>Irak Soft</v>
      </c>
      <c r="S33" s="64">
        <f>IF(B33="","",VLOOKUP(AD33,Varsayımlar!$B:$Q,10,0))</f>
        <v>6</v>
      </c>
      <c r="T33" s="64">
        <f>IF(B33="","",VLOOKUP(AD33,Varsayımlar!$B:$Q,11,0))</f>
        <v>18</v>
      </c>
      <c r="U33" s="64">
        <f>IF(B33="","",VLOOKUP(AD33,Varsayımlar!$B:$Q,12,0))</f>
        <v>390</v>
      </c>
      <c r="V33" s="64" t="str">
        <f>IF(B33="","",VLOOKUP(AD33,Varsayımlar!$B:$Q,13,0))</f>
        <v>YURTDIŞI</v>
      </c>
      <c r="W33" s="64">
        <f>IF(B33="","",VLOOKUP(AD33,Varsayımlar!$B:$Q,14,0))</f>
        <v>9</v>
      </c>
      <c r="X33" s="66"/>
      <c r="Y33" s="66"/>
      <c r="Z33" s="64"/>
      <c r="AA33" s="64" t="str">
        <f>IF(B33="","",VLOOKUP(AD33,Varsayımlar!$B:$Q,15,0))</f>
        <v>25cm Koli-Kazakça Etiketli</v>
      </c>
      <c r="AB33" s="64" t="str">
        <f>IF(B33="","",VLOOKUP(AD33,Varsayımlar!$B:$Q,16,0))</f>
        <v>24-26 cm</v>
      </c>
      <c r="AC33" s="64" t="str">
        <f>IF(B33="","",VLOOKUP(Sayfa1!AD40,Varsayımlar!B:S,18,0))</f>
        <v>80x120cm</v>
      </c>
      <c r="AD33" s="57" t="str">
        <f>IF(B33="","",CONCATENATE(B33,E33))</f>
        <v>UNITERA-KAZAKİSTANTortillas 25cm Tam Buğday 6pcs 390g</v>
      </c>
    </row>
    <row r="34" spans="1:30" ht="31.5" hidden="1" x14ac:dyDescent="0.25">
      <c r="A34" s="8" t="s">
        <v>147</v>
      </c>
      <c r="B34" s="65" t="s">
        <v>288</v>
      </c>
      <c r="C34" s="3">
        <f>IF(B34="","",VLOOKUP(AD34,Varsayımlar!$B:$Q,3,0))</f>
        <v>8698829380698</v>
      </c>
      <c r="D34" s="3"/>
      <c r="E34" s="65" t="s">
        <v>252</v>
      </c>
      <c r="F34" s="64">
        <v>20201016</v>
      </c>
      <c r="G34" s="3" t="s">
        <v>68</v>
      </c>
      <c r="H34" s="64" t="str">
        <f>IF(B34="","",VLOOKUP(AD34,Varsayımlar!$B:$Q,5,0))</f>
        <v>Tortillas 20cm Sade</v>
      </c>
      <c r="I34" s="64" t="str">
        <f>IF(B34="","",VLOOKUP(AD34,Varsayımlar!B:T,19,0))</f>
        <v>Arka kısma İçerik</v>
      </c>
      <c r="J34" s="64" t="str">
        <f>IF(B34="","",VLOOKUP(AD34,Varsayımlar!$B:$Q,6,0))</f>
        <v>SADE</v>
      </c>
      <c r="K34" s="64">
        <v>300</v>
      </c>
      <c r="L34" s="64"/>
      <c r="M34" s="64">
        <f>IFERROR(IF(B34="","",K34/VLOOKUP(AD34,Varsayımlar!B:R,17,0)),"")</f>
        <v>3</v>
      </c>
      <c r="N34" s="64"/>
      <c r="O34" s="64">
        <v>5</v>
      </c>
      <c r="P34" s="64">
        <f>IF(B34="","",VLOOKUP(AD34,Varsayımlar!$B:$Q,7,0)*K34)</f>
        <v>5400</v>
      </c>
      <c r="Q34" s="64">
        <f>IF(B34="","",VLOOKUP(AD34,Varsayımlar!$B:$Q,8,0))</f>
        <v>20</v>
      </c>
      <c r="R34" s="64" t="str">
        <f>IF(B34="","",VLOOKUP(AD34,Varsayımlar!$B:$Q,9,0))</f>
        <v>Irak Soft</v>
      </c>
      <c r="S34" s="64">
        <f>IF(B34="","",VLOOKUP(AD34,Varsayımlar!$B:$Q,10,0))</f>
        <v>6</v>
      </c>
      <c r="T34" s="64">
        <f>IF(B34="","",VLOOKUP(AD34,Varsayımlar!$B:$Q,11,0))</f>
        <v>18</v>
      </c>
      <c r="U34" s="64">
        <f>IF(B34="","",VLOOKUP(AD34,Varsayımlar!$B:$Q,12,0))</f>
        <v>270</v>
      </c>
      <c r="V34" s="64" t="str">
        <f>IF(B34="","",VLOOKUP(AD34,Varsayımlar!$B:$Q,13,0))</f>
        <v>YURTDIŞI</v>
      </c>
      <c r="W34" s="64">
        <f>IF(B34="","",VLOOKUP(AD34,Varsayımlar!$B:$Q,14,0))</f>
        <v>9</v>
      </c>
      <c r="X34" s="66"/>
      <c r="Y34" s="66"/>
      <c r="Z34" s="64"/>
      <c r="AA34" s="64" t="str">
        <f>IF(B34="","",VLOOKUP(AD34,Varsayımlar!$B:$Q,15,0))</f>
        <v>20cm Koli</v>
      </c>
      <c r="AB34" s="64" t="str">
        <f>IF(B34="","",VLOOKUP(AD34,Varsayımlar!$B:$Q,16,0))</f>
        <v>19-21cm</v>
      </c>
      <c r="AC34" s="64" t="str">
        <f>IF(B34="","",VLOOKUP(Sayfa1!AD41,Varsayımlar!B:S,18,0))</f>
        <v>80x120cm</v>
      </c>
      <c r="AD34" s="57" t="str">
        <f>IF(B34="","",CONCATENATE(B34,E34))</f>
        <v>UNITERA-KAZAKİSTANTortillas 20cm Sade 6pcs 270g</v>
      </c>
    </row>
    <row r="35" spans="1:30" ht="31.5" hidden="1" x14ac:dyDescent="0.25">
      <c r="A35" s="8" t="s">
        <v>148</v>
      </c>
      <c r="B35" s="65" t="s">
        <v>288</v>
      </c>
      <c r="C35" s="3">
        <f>IF(B35="","",VLOOKUP(AD35,Varsayımlar!$B:$Q,3,0))</f>
        <v>8698829380698</v>
      </c>
      <c r="D35" s="3"/>
      <c r="E35" s="65" t="s">
        <v>292</v>
      </c>
      <c r="F35" s="64">
        <v>20201016</v>
      </c>
      <c r="G35" s="3" t="s">
        <v>68</v>
      </c>
      <c r="H35" s="64" t="str">
        <f>IF(B35="","",VLOOKUP(AD35,Varsayımlar!$B:$Q,5,0))</f>
        <v>Kırmızı Tortillas 25cm Sade</v>
      </c>
      <c r="I35" s="64" t="str">
        <f>IF(B35="","",VLOOKUP(AD35,Varsayımlar!B:T,19,0))</f>
        <v>Arka kısma İçerik</v>
      </c>
      <c r="J35" s="64" t="str">
        <f>IF(B35="","",VLOOKUP(AD35,Varsayımlar!$B:$Q,6,0))</f>
        <v>SADE</v>
      </c>
      <c r="K35" s="64">
        <v>250</v>
      </c>
      <c r="L35" s="64"/>
      <c r="M35" s="64">
        <f>IFERROR(IF(B35="","",K35/VLOOKUP(AD35,Varsayımlar!B:R,17,0)),"")</f>
        <v>5</v>
      </c>
      <c r="N35" s="64"/>
      <c r="O35" s="64">
        <v>4</v>
      </c>
      <c r="P35" s="64">
        <f>IF(B35="","",VLOOKUP(AD35,Varsayımlar!$B:$Q,7,0)*K35)</f>
        <v>4500</v>
      </c>
      <c r="Q35" s="64">
        <f>IF(B35="","",VLOOKUP(AD35,Varsayımlar!$B:$Q,8,0))</f>
        <v>25</v>
      </c>
      <c r="R35" s="64" t="str">
        <f>IF(B35="","",VLOOKUP(AD35,Varsayımlar!$B:$Q,9,0))</f>
        <v>Irak Soft</v>
      </c>
      <c r="S35" s="64">
        <f>IF(B35="","",VLOOKUP(AD35,Varsayımlar!$B:$Q,10,0))</f>
        <v>6</v>
      </c>
      <c r="T35" s="64">
        <f>IF(B35="","",VLOOKUP(AD35,Varsayımlar!$B:$Q,11,0))</f>
        <v>18</v>
      </c>
      <c r="U35" s="64">
        <f>IF(B35="","",VLOOKUP(AD35,Varsayımlar!$B:$Q,12,0))</f>
        <v>390</v>
      </c>
      <c r="V35" s="64" t="str">
        <f>IF(B35="","",VLOOKUP(AD35,Varsayımlar!$B:$Q,13,0))</f>
        <v>YURTDIŞI</v>
      </c>
      <c r="W35" s="64">
        <f>IF(B35="","",VLOOKUP(AD35,Varsayımlar!$B:$Q,14,0))</f>
        <v>9</v>
      </c>
      <c r="X35" s="66"/>
      <c r="Y35" s="66"/>
      <c r="Z35" s="64"/>
      <c r="AA35" s="64" t="str">
        <f>IF(B35="","",VLOOKUP(AD35,Varsayımlar!$B:$Q,15,0))</f>
        <v>25cm Koli</v>
      </c>
      <c r="AB35" s="64" t="str">
        <f>IF(B35="","",VLOOKUP(AD35,Varsayımlar!$B:$Q,16,0))</f>
        <v>24-26 cm</v>
      </c>
      <c r="AC35" s="64" t="str">
        <f>IF(B35="","",VLOOKUP(Sayfa1!AD42,Varsayımlar!B:S,18,0))</f>
        <v>80x120cm</v>
      </c>
      <c r="AD35" s="57" t="str">
        <f>IF(B35="","",CONCATENATE(B35,E35))</f>
        <v>UNITERA-KAZAKİSTANKırmızı Tortillas 25cm Sade 6pcs 390g</v>
      </c>
    </row>
    <row r="36" spans="1:30" ht="47.25" hidden="1" x14ac:dyDescent="0.25">
      <c r="A36" s="8" t="s">
        <v>149</v>
      </c>
      <c r="B36" s="74" t="s">
        <v>218</v>
      </c>
      <c r="C36" s="43">
        <f>IF(B36="","",VLOOKUP(AD36,Varsayımlar!$B:$Q,3,0))</f>
        <v>8698829380698</v>
      </c>
      <c r="D36" s="43" t="s">
        <v>161</v>
      </c>
      <c r="E36" s="74" t="s">
        <v>222</v>
      </c>
      <c r="F36" s="75" t="s">
        <v>341</v>
      </c>
      <c r="G36" s="43"/>
      <c r="H36" s="75" t="str">
        <f>IF(B36="","",VLOOKUP(AD36,Varsayımlar!$B:$Q,5,0))</f>
        <v xml:space="preserve">Tortillas 30cm Tam Buğday </v>
      </c>
      <c r="I36" s="75" t="str">
        <f>IF(B36="","",VLOOKUP(AD36,Varsayımlar!B:T,19,0))</f>
        <v>Barkod üzerine-Bulgarca Barkodlu TB içerik etiketi (029)</v>
      </c>
      <c r="J36" s="75" t="str">
        <f>IF(B36="","",VLOOKUP(AD36,Varsayımlar!$B:$Q,6,0))</f>
        <v>Tam Buğdaylı</v>
      </c>
      <c r="K36" s="75">
        <v>60</v>
      </c>
      <c r="L36" s="75"/>
      <c r="M36" s="75">
        <f>IFERROR(IF(B36="","",K36/VLOOKUP(AD36,Varsayımlar!B:R,17,0)),"")</f>
        <v>1</v>
      </c>
      <c r="N36" s="75"/>
      <c r="O36" s="75">
        <v>1</v>
      </c>
      <c r="P36" s="75">
        <f>IF(B36="","",VLOOKUP(AD36,Varsayımlar!$B:$Q,7,0)*K36)</f>
        <v>360</v>
      </c>
      <c r="Q36" s="75">
        <f>IF(B36="","",VLOOKUP(AD36,Varsayımlar!$B:$Q,8,0))</f>
        <v>30</v>
      </c>
      <c r="R36" s="75" t="str">
        <f>IF(B36="","",VLOOKUP(AD36,Varsayımlar!$B:$Q,9,0))</f>
        <v>Irak Soft</v>
      </c>
      <c r="S36" s="75">
        <f>IF(B36="","",VLOOKUP(AD36,Varsayımlar!$B:$Q,10,0))</f>
        <v>18</v>
      </c>
      <c r="T36" s="75">
        <f>IF(B36="","",VLOOKUP(AD36,Varsayımlar!$B:$Q,11,0))</f>
        <v>6</v>
      </c>
      <c r="U36" s="75">
        <f>IF(B36="","",VLOOKUP(AD36,Varsayımlar!$B:$Q,12,0))</f>
        <v>1620</v>
      </c>
      <c r="V36" s="75" t="str">
        <f>IF(B36="","",VLOOKUP(AD36,Varsayımlar!$B:$Q,13,0))</f>
        <v>Yurtdışı</v>
      </c>
      <c r="W36" s="75">
        <f>IF(B36="","",VLOOKUP(AD36,Varsayımlar!$B:$Q,14,0))</f>
        <v>9</v>
      </c>
      <c r="X36" s="76"/>
      <c r="Y36" s="76"/>
      <c r="Z36" s="75"/>
      <c r="AA36" s="75" t="str">
        <f>IF(B36="","",VLOOKUP(AD36,Varsayımlar!$B:$Q,15,0))</f>
        <v>30cm Lacivert Koli- Bulgarca TB Etiket</v>
      </c>
      <c r="AB36" s="75" t="str">
        <f>IF(B36="","",VLOOKUP(AD36,Varsayımlar!$B:$Q,16,0))</f>
        <v>29-31 cm</v>
      </c>
      <c r="AC36" s="75" t="str">
        <f>IF(B36="","",VLOOKUP(Sayfa1!AD20,Varsayımlar!B:S,18,0))</f>
        <v>95x130cm</v>
      </c>
      <c r="AD36" s="57" t="str">
        <f t="shared" si="0"/>
        <v>TASTE LAND-BULGARİSTANTortillas 30cm Tam Buğday 18pcs 1620g</v>
      </c>
    </row>
    <row r="37" spans="1:30" ht="31.5" hidden="1" x14ac:dyDescent="0.25">
      <c r="A37" s="8" t="s">
        <v>150</v>
      </c>
      <c r="B37" s="74" t="s">
        <v>218</v>
      </c>
      <c r="C37" s="43">
        <f>IF(B37="","",VLOOKUP(AD37,Varsayımlar!$B:$Q,3,0))</f>
        <v>8698829380698</v>
      </c>
      <c r="D37" s="43" t="s">
        <v>161</v>
      </c>
      <c r="E37" s="74" t="s">
        <v>252</v>
      </c>
      <c r="F37" s="75" t="s">
        <v>341</v>
      </c>
      <c r="G37" s="43"/>
      <c r="H37" s="75" t="str">
        <f>IF(B37="","",VLOOKUP(AD37,Varsayımlar!$B:$Q,5,0))</f>
        <v xml:space="preserve">Tortillas 20cm Sade </v>
      </c>
      <c r="I37" s="75" t="str">
        <f>IF(B37="","",VLOOKUP(AD37,Varsayımlar!B:T,19,0))</f>
        <v>Barkod üzerine Barkod Etiketi (104)</v>
      </c>
      <c r="J37" s="75" t="str">
        <f>IF(B37="","",VLOOKUP(AD37,Varsayımlar!$B:$Q,6,0))</f>
        <v>SADE</v>
      </c>
      <c r="K37" s="75">
        <v>120</v>
      </c>
      <c r="L37" s="75"/>
      <c r="M37" s="75">
        <f>IFERROR(IF(B37="","",K37/VLOOKUP(AD37,Varsayımlar!B:R,17,0)),"")</f>
        <v>1</v>
      </c>
      <c r="N37" s="75"/>
      <c r="O37" s="75">
        <v>2</v>
      </c>
      <c r="P37" s="75">
        <f>IF(B37="","",VLOOKUP(AD37,Varsayımlar!$B:$Q,7,0)*K37)</f>
        <v>2160</v>
      </c>
      <c r="Q37" s="75">
        <f>IF(B37="","",VLOOKUP(AD37,Varsayımlar!$B:$Q,8,0))</f>
        <v>20</v>
      </c>
      <c r="R37" s="75" t="str">
        <f>IF(B37="","",VLOOKUP(AD37,Varsayımlar!$B:$Q,9,0))</f>
        <v>Irak Soft</v>
      </c>
      <c r="S37" s="75">
        <f>IF(B37="","",VLOOKUP(AD37,Varsayımlar!$B:$Q,10,0))</f>
        <v>6</v>
      </c>
      <c r="T37" s="75">
        <f>IF(B37="","",VLOOKUP(AD37,Varsayımlar!$B:$Q,11,0))</f>
        <v>18</v>
      </c>
      <c r="U37" s="75">
        <f>IF(B37="","",VLOOKUP(AD37,Varsayımlar!$B:$Q,12,0))</f>
        <v>270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/>
      <c r="Y37" s="76"/>
      <c r="Z37" s="75"/>
      <c r="AA37" s="75" t="str">
        <f>IF(B37="","",VLOOKUP(AD37,Varsayımlar!$B:$Q,15,0))</f>
        <v>20cm Lacivert-Bulgarca Etiket</v>
      </c>
      <c r="AB37" s="75" t="str">
        <f>IF(B37="","",VLOOKUP(AD37,Varsayımlar!$B:$Q,16,0))</f>
        <v>19-21 cm</v>
      </c>
      <c r="AC37" s="75" t="str">
        <f>IF(B37="","",VLOOKUP(Sayfa1!AD21,Varsayımlar!B:S,18,0))</f>
        <v>100x120cm-Epal+Epal</v>
      </c>
      <c r="AD37" s="57" t="str">
        <f t="shared" si="0"/>
        <v>TASTE LAND-BULGARİSTANTortillas 20cm Sade 6pcs 270g</v>
      </c>
    </row>
    <row r="38" spans="1:30" ht="47.25" hidden="1" x14ac:dyDescent="0.25">
      <c r="A38" s="8" t="s">
        <v>151</v>
      </c>
      <c r="B38" s="55" t="s">
        <v>268</v>
      </c>
      <c r="C38" s="39">
        <f>IF(B38="","",VLOOKUP(AD38,Varsayımlar!$B:$Q,3,0))</f>
        <v>8698829380698</v>
      </c>
      <c r="D38" s="39" t="s">
        <v>160</v>
      </c>
      <c r="E38" s="55" t="s">
        <v>342</v>
      </c>
      <c r="F38" s="54" t="s">
        <v>343</v>
      </c>
      <c r="G38" s="39" t="s">
        <v>68</v>
      </c>
      <c r="H38" s="54" t="str">
        <f>IF(B38="","",VLOOKUP(AD38,Varsayımlar!$B:$Q,5,0))</f>
        <v>Tortillas 25cm Sade</v>
      </c>
      <c r="I38" s="54">
        <f>IF(B38="","",VLOOKUP(AD38,Varsayımlar!B:T,19,0))</f>
        <v>0</v>
      </c>
      <c r="J38" s="54" t="str">
        <f>IF(B38="","",VLOOKUP(AD38,Varsayımlar!$B:$Q,6,0))</f>
        <v>SADE</v>
      </c>
      <c r="K38" s="54">
        <v>420</v>
      </c>
      <c r="L38" s="54"/>
      <c r="M38" s="54">
        <f>IFERROR(IF(B38="","",K38/VLOOKUP(AD38,Varsayımlar!B:R,17,0)),"")</f>
        <v>5</v>
      </c>
      <c r="N38" s="54"/>
      <c r="O38" s="54">
        <v>7</v>
      </c>
      <c r="P38" s="54">
        <f>IF(B38="","",VLOOKUP(AD38,Varsayımlar!$B:$Q,7,0)*K38)</f>
        <v>12600</v>
      </c>
      <c r="Q38" s="54">
        <f>IF(B38="","",VLOOKUP(AD38,Varsayımlar!$B:$Q,8,0))</f>
        <v>25</v>
      </c>
      <c r="R38" s="54" t="str">
        <f>IF(B38="","",VLOOKUP(AD38,Varsayımlar!$B:$Q,9,0))</f>
        <v>Soft-PA3</v>
      </c>
      <c r="S38" s="54">
        <f>IF(B38="","",VLOOKUP(AD38,Varsayımlar!$B:$Q,10,0))</f>
        <v>4</v>
      </c>
      <c r="T38" s="54">
        <f>IF(B38="","",VLOOKUP(AD38,Varsayımlar!$B:$Q,11,0))</f>
        <v>30</v>
      </c>
      <c r="U38" s="54">
        <f>IF(B38="","",VLOOKUP(AD38,Varsayımlar!$B:$Q,12,0))</f>
        <v>240</v>
      </c>
      <c r="V38" s="54" t="str">
        <f>IF(B38="","",VLOOKUP(AD38,Varsayımlar!$B:$Q,13,0))</f>
        <v>Yurtdışı</v>
      </c>
      <c r="W38" s="54">
        <f>IF(B38="","",VLOOKUP(AD38,Varsayımlar!$B:$Q,14,0))</f>
        <v>12</v>
      </c>
      <c r="X38" s="56"/>
      <c r="Y38" s="56"/>
      <c r="Z38" s="54"/>
      <c r="AA38" s="54" t="str">
        <f>IF(B38="","",VLOOKUP(AD38,Varsayımlar!$B:$Q,15,0))</f>
        <v>25cm Kolisi-Etiketli</v>
      </c>
      <c r="AB38" s="54" t="str">
        <f>IF(B38="","",VLOOKUP(AD38,Varsayımlar!$B:$Q,16,0))</f>
        <v>24-26 cm (Macca Hetto Inkjet Uzun Tarih)</v>
      </c>
      <c r="AC38" s="54" t="str">
        <f>IF(B38="","",VLOOKUP(Sayfa1!AD35,Varsayımlar!B:S,18,0))</f>
        <v>80x120cm</v>
      </c>
      <c r="AD38" s="57" t="str">
        <f t="shared" si="0"/>
        <v>LAIKYUZHN-BELARUSTortillas 25cm Sade 4pcs 240g</v>
      </c>
    </row>
    <row r="39" spans="1:30" ht="47.25" hidden="1" x14ac:dyDescent="0.25">
      <c r="A39" s="8" t="s">
        <v>152</v>
      </c>
      <c r="B39" s="55" t="s">
        <v>268</v>
      </c>
      <c r="C39" s="39">
        <f>IF(B39="","",VLOOKUP(AD39,Varsayımlar!$B:$Q,3,0))</f>
        <v>8698829380698</v>
      </c>
      <c r="D39" s="39" t="s">
        <v>160</v>
      </c>
      <c r="E39" s="55" t="s">
        <v>269</v>
      </c>
      <c r="F39" s="54" t="s">
        <v>343</v>
      </c>
      <c r="G39" s="39" t="s">
        <v>68</v>
      </c>
      <c r="H39" s="54" t="str">
        <f>IF(B39="","",VLOOKUP(AD39,Varsayımlar!$B:$Q,5,0))</f>
        <v>Tortillas 25cm Tam Buğday</v>
      </c>
      <c r="I39" s="54">
        <f>IF(B39="","",VLOOKUP(AD39,Varsayımlar!B:T,19,0))</f>
        <v>0</v>
      </c>
      <c r="J39" s="54" t="str">
        <f>IF(B39="","",VLOOKUP(AD39,Varsayımlar!$B:$Q,6,0))</f>
        <v>Tam Buğdaylı</v>
      </c>
      <c r="K39" s="54">
        <v>336</v>
      </c>
      <c r="L39" s="54"/>
      <c r="M39" s="54">
        <f>IFERROR(IF(B39="","",K39/VLOOKUP(AD39,Varsayımlar!B:R,17,0)),"")</f>
        <v>4</v>
      </c>
      <c r="N39" s="54"/>
      <c r="O39" s="54">
        <v>6</v>
      </c>
      <c r="P39" s="54">
        <f>IF(B39="","",VLOOKUP(AD39,Varsayımlar!$B:$Q,7,0)*K39)</f>
        <v>10080</v>
      </c>
      <c r="Q39" s="54">
        <f>IF(B39="","",VLOOKUP(AD39,Varsayımlar!$B:$Q,8,0))</f>
        <v>25</v>
      </c>
      <c r="R39" s="54" t="str">
        <f>IF(B39="","",VLOOKUP(AD39,Varsayımlar!$B:$Q,9,0))</f>
        <v>Soft-PA3</v>
      </c>
      <c r="S39" s="54">
        <f>IF(B39="","",VLOOKUP(AD39,Varsayımlar!$B:$Q,10,0))</f>
        <v>4</v>
      </c>
      <c r="T39" s="54">
        <f>IF(B39="","",VLOOKUP(AD39,Varsayımlar!$B:$Q,11,0))</f>
        <v>30</v>
      </c>
      <c r="U39" s="54">
        <f>IF(B39="","",VLOOKUP(AD39,Varsayımlar!$B:$Q,12,0))</f>
        <v>240</v>
      </c>
      <c r="V39" s="54" t="str">
        <f>IF(B39="","",VLOOKUP(AD39,Varsayımlar!$B:$Q,13,0))</f>
        <v>Yurtdışı</v>
      </c>
      <c r="W39" s="54">
        <f>IF(B39="","",VLOOKUP(AD39,Varsayımlar!$B:$Q,14,0))</f>
        <v>12</v>
      </c>
      <c r="X39" s="56"/>
      <c r="Y39" s="56"/>
      <c r="Z39" s="54"/>
      <c r="AA39" s="54" t="str">
        <f>IF(B39="","",VLOOKUP(AD39,Varsayımlar!$B:$Q,15,0))</f>
        <v>25cm Kolisi-Etiketli</v>
      </c>
      <c r="AB39" s="54" t="str">
        <f>IF(B39="","",VLOOKUP(AD39,Varsayımlar!$B:$Q,16,0))</f>
        <v>24-26 cm (Macca Hetto Inkjet Uzun Tarih)</v>
      </c>
      <c r="AC39" s="54" t="str">
        <f>IF(B39="","",VLOOKUP(Sayfa1!AD36,Varsayımlar!B:S,18,0))</f>
        <v>80x120cm</v>
      </c>
      <c r="AD39" s="57" t="str">
        <f t="shared" si="0"/>
        <v>LAIKYUZHN-BELARUSTortillas 25cm Tam buğday 4pcs 240g</v>
      </c>
    </row>
    <row r="40" spans="1:30" ht="47.25" hidden="1" x14ac:dyDescent="0.25">
      <c r="A40" s="8" t="s">
        <v>153</v>
      </c>
      <c r="B40" s="55" t="s">
        <v>268</v>
      </c>
      <c r="C40" s="39">
        <f>IF(B40="","",VLOOKUP(AD40,Varsayımlar!$B:$Q,3,0))</f>
        <v>8698829380698</v>
      </c>
      <c r="D40" s="39" t="s">
        <v>160</v>
      </c>
      <c r="E40" s="55" t="s">
        <v>274</v>
      </c>
      <c r="F40" s="54" t="s">
        <v>343</v>
      </c>
      <c r="G40" s="39" t="s">
        <v>68</v>
      </c>
      <c r="H40" s="54" t="str">
        <f>IF(B40="","",VLOOKUP(AD40,Varsayımlar!$B:$Q,5,0))</f>
        <v>Tortillas 25cm Domatesli</v>
      </c>
      <c r="I40" s="54">
        <f>IF(B40="","",VLOOKUP(AD40,Varsayımlar!B:T,19,0))</f>
        <v>0</v>
      </c>
      <c r="J40" s="54" t="str">
        <f>IF(B40="","",VLOOKUP(AD40,Varsayımlar!$B:$Q,6,0))</f>
        <v>Domatesli</v>
      </c>
      <c r="K40" s="54">
        <v>420</v>
      </c>
      <c r="L40" s="54"/>
      <c r="M40" s="54">
        <f>IFERROR(IF(B40="","",K40/VLOOKUP(AD40,Varsayımlar!B:R,17,0)),"")</f>
        <v>5</v>
      </c>
      <c r="N40" s="54"/>
      <c r="O40" s="54">
        <v>7</v>
      </c>
      <c r="P40" s="54">
        <f>IF(B40="","",VLOOKUP(AD40,Varsayımlar!$B:$Q,7,0)*K40)</f>
        <v>12600</v>
      </c>
      <c r="Q40" s="54">
        <f>IF(B40="","",VLOOKUP(AD40,Varsayımlar!$B:$Q,8,0))</f>
        <v>25</v>
      </c>
      <c r="R40" s="54" t="str">
        <f>IF(B40="","",VLOOKUP(AD40,Varsayımlar!$B:$Q,9,0))</f>
        <v>Soft-PA3</v>
      </c>
      <c r="S40" s="54">
        <f>IF(B40="","",VLOOKUP(AD40,Varsayımlar!$B:$Q,10,0))</f>
        <v>4</v>
      </c>
      <c r="T40" s="54">
        <f>IF(B40="","",VLOOKUP(AD40,Varsayımlar!$B:$Q,11,0))</f>
        <v>30</v>
      </c>
      <c r="U40" s="54">
        <f>IF(B40="","",VLOOKUP(AD40,Varsayımlar!$B:$Q,12,0))</f>
        <v>240</v>
      </c>
      <c r="V40" s="54" t="str">
        <f>IF(B40="","",VLOOKUP(AD40,Varsayımlar!$B:$Q,13,0))</f>
        <v>Yurtdışı</v>
      </c>
      <c r="W40" s="54">
        <f>IF(B40="","",VLOOKUP(AD40,Varsayımlar!$B:$Q,14,0))</f>
        <v>12</v>
      </c>
      <c r="X40" s="56"/>
      <c r="Y40" s="56"/>
      <c r="Z40" s="54"/>
      <c r="AA40" s="54" t="str">
        <f>IF(B40="","",VLOOKUP(AD40,Varsayımlar!$B:$Q,15,0))</f>
        <v>25cm Kolisi-Etiketli</v>
      </c>
      <c r="AB40" s="54" t="str">
        <f>IF(B40="","",VLOOKUP(AD40,Varsayımlar!$B:$Q,16,0))</f>
        <v>24-26 cm (Macca Hetto Inkjet Uzun Tarih)</v>
      </c>
      <c r="AC40" s="54" t="str">
        <f>IF(B40="","",VLOOKUP(Sayfa1!AD37,Varsayımlar!B:S,18,0))</f>
        <v>80x120cm</v>
      </c>
      <c r="AD40" s="57" t="str">
        <f t="shared" si="0"/>
        <v>LAIKYUZHN-BELARUSTortillas 25cm Domatesli 4pcs 240g</v>
      </c>
    </row>
    <row r="41" spans="1:30" ht="47.25" hidden="1" x14ac:dyDescent="0.25">
      <c r="A41" s="8" t="s">
        <v>154</v>
      </c>
      <c r="B41" s="55" t="s">
        <v>268</v>
      </c>
      <c r="C41" s="39">
        <f>IF(B41="","",VLOOKUP(AD41,Varsayımlar!$B:$Q,3,0))</f>
        <v>8698829380698</v>
      </c>
      <c r="D41" s="39" t="s">
        <v>160</v>
      </c>
      <c r="E41" s="55" t="s">
        <v>276</v>
      </c>
      <c r="F41" s="54" t="s">
        <v>343</v>
      </c>
      <c r="G41" s="39" t="s">
        <v>68</v>
      </c>
      <c r="H41" s="54" t="str">
        <f>IF(B41="","",VLOOKUP(AD41,Varsayımlar!$B:$Q,5,0))</f>
        <v>Tortillas 25cm Ispanaklı</v>
      </c>
      <c r="I41" s="54">
        <f>IF(B41="","",VLOOKUP(AD41,Varsayımlar!B:T,19,0))</f>
        <v>0</v>
      </c>
      <c r="J41" s="54" t="str">
        <f>IF(B41="","",VLOOKUP(AD41,Varsayımlar!$B:$Q,6,0))</f>
        <v>Ispanaklı</v>
      </c>
      <c r="K41" s="54">
        <v>336</v>
      </c>
      <c r="L41" s="54"/>
      <c r="M41" s="54">
        <f>IFERROR(IF(B41="","",K41/VLOOKUP(AD41,Varsayımlar!B:R,17,0)),"")</f>
        <v>4</v>
      </c>
      <c r="N41" s="54"/>
      <c r="O41" s="54">
        <v>6</v>
      </c>
      <c r="P41" s="54">
        <f>IF(B41="","",VLOOKUP(AD41,Varsayımlar!$B:$Q,7,0)*K41)</f>
        <v>10080</v>
      </c>
      <c r="Q41" s="54">
        <f>IF(B41="","",VLOOKUP(AD41,Varsayımlar!$B:$Q,8,0))</f>
        <v>25</v>
      </c>
      <c r="R41" s="54" t="str">
        <f>IF(B41="","",VLOOKUP(AD41,Varsayımlar!$B:$Q,9,0))</f>
        <v>Soft-PA3</v>
      </c>
      <c r="S41" s="54">
        <f>IF(B41="","",VLOOKUP(AD41,Varsayımlar!$B:$Q,10,0))</f>
        <v>4</v>
      </c>
      <c r="T41" s="54">
        <f>IF(B41="","",VLOOKUP(AD41,Varsayımlar!$B:$Q,11,0))</f>
        <v>30</v>
      </c>
      <c r="U41" s="54">
        <f>IF(B41="","",VLOOKUP(AD41,Varsayımlar!$B:$Q,12,0))</f>
        <v>240</v>
      </c>
      <c r="V41" s="54" t="str">
        <f>IF(B41="","",VLOOKUP(AD41,Varsayımlar!$B:$Q,13,0))</f>
        <v>Yurtdışı</v>
      </c>
      <c r="W41" s="54">
        <f>IF(B41="","",VLOOKUP(AD41,Varsayımlar!$B:$Q,14,0))</f>
        <v>12</v>
      </c>
      <c r="X41" s="56"/>
      <c r="Y41" s="56"/>
      <c r="Z41" s="54"/>
      <c r="AA41" s="54" t="str">
        <f>IF(B41="","",VLOOKUP(AD41,Varsayımlar!$B:$Q,15,0))</f>
        <v>25cm Kolisi-Etiketli</v>
      </c>
      <c r="AB41" s="54" t="str">
        <f>IF(B41="","",VLOOKUP(AD41,Varsayımlar!$B:$Q,16,0))</f>
        <v>24-26 cm (Macca Hetto Inkjet Uzun Tarih)</v>
      </c>
      <c r="AC41" s="54" t="str">
        <f>IF(B41="","",VLOOKUP(Sayfa1!AD38,Varsayımlar!B:S,18,0))</f>
        <v>80x120cm</v>
      </c>
      <c r="AD41" s="57" t="str">
        <f t="shared" si="0"/>
        <v>LAIKYUZHN-BELARUSTortillas 25cm Ispanaklı 4pcs 240g</v>
      </c>
    </row>
    <row r="42" spans="1:30" ht="47.25" hidden="1" x14ac:dyDescent="0.25">
      <c r="A42" s="8" t="s">
        <v>155</v>
      </c>
      <c r="B42" s="55" t="s">
        <v>268</v>
      </c>
      <c r="C42" s="39">
        <f>IF(B42="","",VLOOKUP(AD42,Varsayımlar!$B:$Q,3,0))</f>
        <v>8698829380698</v>
      </c>
      <c r="D42" s="39" t="s">
        <v>160</v>
      </c>
      <c r="E42" s="55" t="s">
        <v>278</v>
      </c>
      <c r="F42" s="54" t="s">
        <v>343</v>
      </c>
      <c r="G42" s="39" t="s">
        <v>68</v>
      </c>
      <c r="H42" s="54" t="str">
        <f>IF(B42="","",VLOOKUP(AD42,Varsayımlar!$B:$Q,5,0))</f>
        <v>Magnit Tortillas 25cm Peynirli</v>
      </c>
      <c r="I42" s="54" t="str">
        <f>IF(B42="","",VLOOKUP(AD42,Varsayımlar!B:T,19,0))</f>
        <v>Etiketli</v>
      </c>
      <c r="J42" s="54" t="str">
        <f>IF(B42="","",VLOOKUP(AD42,Varsayımlar!$B:$Q,6,0))</f>
        <v>Peynirli</v>
      </c>
      <c r="K42" s="54">
        <v>504</v>
      </c>
      <c r="L42" s="54"/>
      <c r="M42" s="54">
        <f>IFERROR(IF(B42="","",K42/VLOOKUP(AD42,Varsayımlar!B:R,17,0)),"")</f>
        <v>6</v>
      </c>
      <c r="N42" s="54"/>
      <c r="O42" s="54">
        <v>9</v>
      </c>
      <c r="P42" s="54">
        <f>IF(B42="","",VLOOKUP(AD42,Varsayımlar!$B:$Q,7,0)*K42)</f>
        <v>15120</v>
      </c>
      <c r="Q42" s="54">
        <f>IF(B42="","",VLOOKUP(AD42,Varsayımlar!$B:$Q,8,0))</f>
        <v>25</v>
      </c>
      <c r="R42" s="54" t="str">
        <f>IF(B42="","",VLOOKUP(AD42,Varsayımlar!$B:$Q,9,0))</f>
        <v>Soft-PA3-AT</v>
      </c>
      <c r="S42" s="54">
        <f>IF(B42="","",VLOOKUP(AD42,Varsayımlar!$B:$Q,10,0))</f>
        <v>4</v>
      </c>
      <c r="T42" s="54">
        <f>IF(B42="","",VLOOKUP(AD42,Varsayımlar!$B:$Q,11,0))</f>
        <v>30</v>
      </c>
      <c r="U42" s="54">
        <f>IF(B42="","",VLOOKUP(AD42,Varsayımlar!$B:$Q,12,0))</f>
        <v>250</v>
      </c>
      <c r="V42" s="54" t="str">
        <f>IF(B42="","",VLOOKUP(AD42,Varsayımlar!$B:$Q,13,0))</f>
        <v>Yurtdışı</v>
      </c>
      <c r="W42" s="54">
        <f>IF(B42="","",VLOOKUP(AD42,Varsayımlar!$B:$Q,14,0))</f>
        <v>9</v>
      </c>
      <c r="X42" s="56"/>
      <c r="Y42" s="56"/>
      <c r="Z42" s="54"/>
      <c r="AA42" s="54" t="str">
        <f>IF(B42="","",VLOOKUP(AD42,Varsayımlar!$B:$Q,15,0))</f>
        <v>25cm Kolisi-Etiketli</v>
      </c>
      <c r="AB42" s="54" t="str">
        <f>IF(B42="","",VLOOKUP(AD42,Varsayımlar!$B:$Q,16,0))</f>
        <v>24-26 cm (Macca Hetto Inkjet Uzun Tarih)</v>
      </c>
      <c r="AC42" s="54" t="str">
        <f>IF(B42="","",VLOOKUP(Sayfa1!AD39,Varsayımlar!B:S,18,0))</f>
        <v>80x120cm</v>
      </c>
      <c r="AD42" s="57" t="str">
        <f t="shared" si="0"/>
        <v>LAIKYUZHN-BELARUSMagnit Tortillas 25cm Peynirli 4pcs 240g</v>
      </c>
    </row>
    <row r="43" spans="1:30" hidden="1" x14ac:dyDescent="0.25">
      <c r="A43" s="8" t="s">
        <v>156</v>
      </c>
      <c r="B43" s="64"/>
      <c r="C43" s="3" t="str">
        <f>IF(B43="","",VLOOKUP(AD43,Varsayımlar!$B:$Q,3,0))</f>
        <v/>
      </c>
      <c r="D43" s="3"/>
      <c r="E43" s="3"/>
      <c r="F43" s="64"/>
      <c r="G43" s="3"/>
      <c r="H43" s="64" t="str">
        <f>IF(B43="","",VLOOKUP(AD43,Varsayımlar!$B:$Q,5,0))</f>
        <v/>
      </c>
      <c r="I43" s="64" t="str">
        <f>IF(B43="","",VLOOKUP(AD43,Varsayımlar!B:T,19,0))</f>
        <v/>
      </c>
      <c r="J43" s="64" t="str">
        <f>IF(B43="","",VLOOKUP(AD43,Varsayımlar!$B:$Q,6,0))</f>
        <v/>
      </c>
      <c r="K43" s="64"/>
      <c r="L43" s="64"/>
      <c r="M43" s="64" t="str">
        <f>IFERROR(IF(B43="","",K43/VLOOKUP(AD43,Varsayımlar!B:R,17,0)),"")</f>
        <v/>
      </c>
      <c r="N43" s="64"/>
      <c r="O43" s="64"/>
      <c r="P43" s="64" t="str">
        <f>IF(B43="","",VLOOKUP(AD43,Varsayımlar!$B:$Q,7,0)*K43)</f>
        <v/>
      </c>
      <c r="Q43" s="64" t="str">
        <f>IF(B43="","",VLOOKUP(AD43,Varsayımlar!$B:$Q,8,0))</f>
        <v/>
      </c>
      <c r="R43" s="64" t="str">
        <f>IF(B43="","",VLOOKUP(AD43,Varsayımlar!$B:$Q,9,0))</f>
        <v/>
      </c>
      <c r="S43" s="64" t="str">
        <f>IF(B43="","",VLOOKUP(AD43,Varsayımlar!$B:$Q,10,0))</f>
        <v/>
      </c>
      <c r="T43" s="64" t="str">
        <f>IF(B43="","",VLOOKUP(AD43,Varsayımlar!$B:$Q,11,0))</f>
        <v/>
      </c>
      <c r="U43" s="64" t="str">
        <f>IF(B43="","",VLOOKUP(AD43,Varsayımlar!$B:$Q,12,0))</f>
        <v/>
      </c>
      <c r="V43" s="64" t="str">
        <f>IF(B43="","",VLOOKUP(AD43,Varsayımlar!$B:$Q,13,0))</f>
        <v/>
      </c>
      <c r="W43" s="64" t="str">
        <f>IF(B43="","",VLOOKUP(AD43,Varsayımlar!$B:$Q,14,0))</f>
        <v/>
      </c>
      <c r="X43" s="66"/>
      <c r="Y43" s="66"/>
      <c r="Z43" s="64"/>
      <c r="AA43" s="64" t="str">
        <f>IF(B43="","",VLOOKUP(AD43,Varsayımlar!$B:$Q,15,0))</f>
        <v/>
      </c>
      <c r="AB43" s="64" t="str">
        <f>IF(B43="","",VLOOKUP(AD43,Varsayımlar!$B:$Q,16,0))</f>
        <v/>
      </c>
      <c r="AC43" s="64" t="str">
        <f>IF(B43="","",VLOOKUP(Sayfa1!AD43,Varsayımlar!B:S,18,0))</f>
        <v/>
      </c>
      <c r="AD43" s="57" t="str">
        <f t="shared" si="0"/>
        <v/>
      </c>
    </row>
    <row r="44" spans="1:30" hidden="1" x14ac:dyDescent="0.25">
      <c r="A44" s="8" t="s">
        <v>157</v>
      </c>
      <c r="B44" s="64"/>
      <c r="C44" s="3" t="str">
        <f>IF(B44="","",VLOOKUP(AD44,Varsayımlar!$B:$Q,3,0))</f>
        <v/>
      </c>
      <c r="D44" s="3"/>
      <c r="E44" s="3"/>
      <c r="F44" s="64"/>
      <c r="G44" s="3"/>
      <c r="H44" s="64" t="str">
        <f>IF(B44="","",VLOOKUP(AD44,Varsayımlar!$B:$Q,5,0))</f>
        <v/>
      </c>
      <c r="I44" s="64" t="str">
        <f>IF(B44="","",VLOOKUP(AD44,Varsayımlar!B:T,19,0))</f>
        <v/>
      </c>
      <c r="J44" s="64" t="str">
        <f>IF(B44="","",VLOOKUP(AD44,Varsayımlar!$B:$Q,6,0))</f>
        <v/>
      </c>
      <c r="K44" s="64"/>
      <c r="L44" s="64"/>
      <c r="M44" s="64" t="str">
        <f>IFERROR(IF(B44="","",K44/VLOOKUP(AD44,Varsayımlar!B:R,17,0)),"")</f>
        <v/>
      </c>
      <c r="N44" s="64"/>
      <c r="O44" s="64"/>
      <c r="P44" s="64" t="str">
        <f>IF(B44="","",VLOOKUP(AD44,Varsayımlar!$B:$Q,7,0)*K44)</f>
        <v/>
      </c>
      <c r="Q44" s="64" t="str">
        <f>IF(B44="","",VLOOKUP(AD44,Varsayımlar!$B:$Q,8,0))</f>
        <v/>
      </c>
      <c r="R44" s="64" t="str">
        <f>IF(B44="","",VLOOKUP(AD44,Varsayımlar!$B:$Q,9,0))</f>
        <v/>
      </c>
      <c r="S44" s="64" t="str">
        <f>IF(B44="","",VLOOKUP(AD44,Varsayımlar!$B:$Q,10,0))</f>
        <v/>
      </c>
      <c r="T44" s="64" t="str">
        <f>IF(B44="","",VLOOKUP(AD44,Varsayımlar!$B:$Q,11,0))</f>
        <v/>
      </c>
      <c r="U44" s="64" t="str">
        <f>IF(B44="","",VLOOKUP(AD44,Varsayımlar!$B:$Q,12,0))</f>
        <v/>
      </c>
      <c r="V44" s="64" t="str">
        <f>IF(B44="","",VLOOKUP(AD44,Varsayımlar!$B:$Q,13,0))</f>
        <v/>
      </c>
      <c r="W44" s="64" t="str">
        <f>IF(B44="","",VLOOKUP(AD44,Varsayımlar!$B:$Q,14,0))</f>
        <v/>
      </c>
      <c r="X44" s="66"/>
      <c r="Y44" s="66"/>
      <c r="Z44" s="64"/>
      <c r="AA44" s="64" t="str">
        <f>IF(B44="","",VLOOKUP(AD44,Varsayımlar!$B:$Q,15,0))</f>
        <v/>
      </c>
      <c r="AB44" s="64" t="str">
        <f>IF(B44="","",VLOOKUP(AD44,Varsayımlar!$B:$Q,16,0))</f>
        <v/>
      </c>
      <c r="AC44" s="64" t="str">
        <f>IF(B44="","",VLOOKUP(Sayfa1!AD44,Varsayımlar!B:S,18,0))</f>
        <v/>
      </c>
      <c r="AD44" s="57" t="str">
        <f t="shared" si="0"/>
        <v/>
      </c>
    </row>
    <row r="45" spans="1:30" hidden="1" x14ac:dyDescent="0.25">
      <c r="A45" s="8" t="s">
        <v>158</v>
      </c>
      <c r="B45" s="64"/>
      <c r="C45" s="3" t="str">
        <f>IF(B45="","",VLOOKUP(AD45,Varsayımlar!$B:$Q,3,0))</f>
        <v/>
      </c>
      <c r="D45" s="3"/>
      <c r="E45" s="3"/>
      <c r="F45" s="64"/>
      <c r="G45" s="3"/>
      <c r="H45" s="64" t="str">
        <f>IF(B45="","",VLOOKUP(AD45,Varsayımlar!$B:$Q,5,0))</f>
        <v/>
      </c>
      <c r="I45" s="64" t="str">
        <f>IF(B45="","",VLOOKUP(AD45,Varsayımlar!B:T,19,0))</f>
        <v/>
      </c>
      <c r="J45" s="64" t="str">
        <f>IF(B45="","",VLOOKUP(AD45,Varsayımlar!$B:$Q,6,0))</f>
        <v/>
      </c>
      <c r="K45" s="64"/>
      <c r="L45" s="64"/>
      <c r="M45" s="64" t="str">
        <f>IFERROR(IF(B45="","",K45/VLOOKUP(AD45,Varsayımlar!B:R,17,0)),"")</f>
        <v/>
      </c>
      <c r="N45" s="64"/>
      <c r="O45" s="64"/>
      <c r="P45" s="64" t="str">
        <f>IF(B45="","",VLOOKUP(AD45,Varsayımlar!$B:$Q,7,0)*K45)</f>
        <v/>
      </c>
      <c r="Q45" s="64" t="str">
        <f>IF(B45="","",VLOOKUP(AD45,Varsayımlar!$B:$Q,8,0))</f>
        <v/>
      </c>
      <c r="R45" s="64" t="str">
        <f>IF(B45="","",VLOOKUP(AD45,Varsayımlar!$B:$Q,9,0))</f>
        <v/>
      </c>
      <c r="S45" s="64" t="str">
        <f>IF(B45="","",VLOOKUP(AD45,Varsayımlar!$B:$Q,10,0))</f>
        <v/>
      </c>
      <c r="T45" s="64" t="str">
        <f>IF(B45="","",VLOOKUP(AD45,Varsayımlar!$B:$Q,11,0))</f>
        <v/>
      </c>
      <c r="U45" s="64" t="str">
        <f>IF(B45="","",VLOOKUP(AD45,Varsayımlar!$B:$Q,12,0))</f>
        <v/>
      </c>
      <c r="V45" s="64" t="str">
        <f>IF(B45="","",VLOOKUP(AD45,Varsayımlar!$B:$Q,13,0))</f>
        <v/>
      </c>
      <c r="W45" s="64" t="str">
        <f>IF(B45="","",VLOOKUP(AD45,Varsayımlar!$B:$Q,14,0))</f>
        <v/>
      </c>
      <c r="X45" s="66"/>
      <c r="Y45" s="66"/>
      <c r="Z45" s="64"/>
      <c r="AA45" s="64" t="str">
        <f>IF(B45="","",VLOOKUP(AD45,Varsayımlar!$B:$Q,15,0))</f>
        <v/>
      </c>
      <c r="AB45" s="64" t="str">
        <f>IF(B45="","",VLOOKUP(AD45,Varsayımlar!$B:$Q,16,0))</f>
        <v/>
      </c>
      <c r="AC45" s="64" t="str">
        <f>IF(B45="","",VLOOKUP(Sayfa1!AD45,Varsayımlar!B:S,18,0))</f>
        <v/>
      </c>
      <c r="AD45" s="57" t="str">
        <f t="shared" si="0"/>
        <v/>
      </c>
    </row>
    <row r="46" spans="1:30" ht="31.5" x14ac:dyDescent="0.25">
      <c r="A46" s="174" t="s">
        <v>344</v>
      </c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5"/>
      <c r="AC46" s="38"/>
    </row>
    <row r="47" spans="1:30" ht="63" x14ac:dyDescent="0.25">
      <c r="A47" s="8" t="s">
        <v>0</v>
      </c>
      <c r="B47" s="8" t="s">
        <v>1</v>
      </c>
      <c r="C47" s="9" t="s">
        <v>31</v>
      </c>
      <c r="D47" s="9" t="s">
        <v>124</v>
      </c>
      <c r="E47" s="9" t="s">
        <v>36</v>
      </c>
      <c r="F47" s="8" t="s">
        <v>37</v>
      </c>
      <c r="G47" s="8" t="s">
        <v>13</v>
      </c>
      <c r="H47" s="8" t="s">
        <v>2</v>
      </c>
      <c r="I47" s="8" t="s">
        <v>49</v>
      </c>
      <c r="J47" s="8" t="s">
        <v>3</v>
      </c>
      <c r="K47" s="8" t="s">
        <v>21</v>
      </c>
      <c r="L47" s="8" t="s">
        <v>94</v>
      </c>
      <c r="M47" s="8" t="s">
        <v>20</v>
      </c>
      <c r="N47" s="8" t="s">
        <v>165</v>
      </c>
      <c r="O47" s="8" t="s">
        <v>123</v>
      </c>
      <c r="P47" s="8" t="s">
        <v>16</v>
      </c>
      <c r="Q47" s="8" t="s">
        <v>4</v>
      </c>
      <c r="R47" s="8" t="s">
        <v>5</v>
      </c>
      <c r="S47" s="8" t="s">
        <v>6</v>
      </c>
      <c r="T47" s="8" t="s">
        <v>28</v>
      </c>
      <c r="U47" s="8" t="s">
        <v>7</v>
      </c>
      <c r="V47" s="8" t="s">
        <v>8</v>
      </c>
      <c r="W47" s="8" t="s">
        <v>267</v>
      </c>
      <c r="X47" s="8" t="s">
        <v>10</v>
      </c>
      <c r="Y47" s="8" t="s">
        <v>11</v>
      </c>
      <c r="Z47" s="8" t="s">
        <v>12</v>
      </c>
      <c r="AA47" s="8" t="s">
        <v>14</v>
      </c>
      <c r="AB47" s="8" t="s">
        <v>15</v>
      </c>
      <c r="AC47" s="8" t="s">
        <v>208</v>
      </c>
      <c r="AD47" s="7" t="s">
        <v>41</v>
      </c>
    </row>
    <row r="48" spans="1:30" s="94" customFormat="1" ht="95.25" customHeight="1" x14ac:dyDescent="0.25">
      <c r="A48" s="88" t="s">
        <v>26</v>
      </c>
      <c r="B48" s="104" t="s">
        <v>95</v>
      </c>
      <c r="C48" s="105">
        <f>IF(B48="","",VLOOKUP(AD48,Varsayımlar!$B:$Q,3,0))</f>
        <v>8698829380698</v>
      </c>
      <c r="D48" s="105"/>
      <c r="E48" s="106" t="s">
        <v>114</v>
      </c>
      <c r="F48" s="104"/>
      <c r="G48" s="104"/>
      <c r="H48" s="104" t="str">
        <f>IF(B48="","",VLOOKUP(AD48,Varsayımlar!$B:$Q,5,0))</f>
        <v>Bisto 25 cm</v>
      </c>
      <c r="I48" s="104"/>
      <c r="J48" s="104" t="str">
        <f>IF(B48="","",VLOOKUP(AD48,Varsayımlar!$B:$Q,6,0))</f>
        <v>SADE</v>
      </c>
      <c r="K48" s="104">
        <v>1200</v>
      </c>
      <c r="L48" s="104"/>
      <c r="M48" s="104">
        <f>IFERROR(IF(B48="","",K48/VLOOKUP(AD48,Varsayımlar!B:R,17,0)),"")</f>
        <v>25</v>
      </c>
      <c r="N48" s="104"/>
      <c r="O48" s="104">
        <v>15</v>
      </c>
      <c r="P48" s="104">
        <f>IF(B48="","",VLOOKUP(AD48,Varsayımlar!$B:$Q,7,0)*K48)</f>
        <v>14400</v>
      </c>
      <c r="Q48" s="104">
        <f>IF(B48="","",VLOOKUP(AD48,Varsayımlar!$B:$Q,8,0))</f>
        <v>25</v>
      </c>
      <c r="R48" s="104" t="str">
        <f>IF(B48="","",VLOOKUP(AD48,Varsayımlar!$B:$Q,9,0))</f>
        <v>Standart</v>
      </c>
      <c r="S48" s="104">
        <f>IF(B48="","",VLOOKUP(AD48,Varsayımlar!$B:$Q,10,0))</f>
        <v>12</v>
      </c>
      <c r="T48" s="104">
        <f>IF(B48="","",VLOOKUP(AD48,Varsayımlar!$B:$Q,11,0))</f>
        <v>12</v>
      </c>
      <c r="U48" s="104">
        <f>IF(B48="","",VLOOKUP(AD48,Varsayımlar!$B:$Q,12,0))</f>
        <v>840</v>
      </c>
      <c r="V48" s="104" t="str">
        <f>IF(B48="","",VLOOKUP(AD48,Varsayımlar!$B:$Q,13,0))</f>
        <v>Yurtiçi</v>
      </c>
      <c r="W48" s="104">
        <f>IF(B48="","",VLOOKUP(AD48,Varsayımlar!$B:$Q,14,0))</f>
        <v>6</v>
      </c>
      <c r="X48" s="107" t="s">
        <v>113</v>
      </c>
      <c r="Y48" s="107" t="s">
        <v>113</v>
      </c>
      <c r="Z48" s="104" t="s">
        <v>113</v>
      </c>
      <c r="AA48" s="104" t="str">
        <f>IF(B48="","",VLOOKUP(AD48,Varsayımlar!$B:$Q,15,0))</f>
        <v>Bisto Kolisi</v>
      </c>
      <c r="AB48" s="104" t="str">
        <f>IF(B48="","",VLOOKUP(AD48,Varsayımlar!$B:$Q,16,0))</f>
        <v>24-26 Cm</v>
      </c>
      <c r="AC48" s="104" t="s">
        <v>362</v>
      </c>
      <c r="AD48" s="93" t="str">
        <f t="shared" ref="AD48:AD49" si="2">IF(B48="","",CONCATENATE(B48,E48))</f>
        <v>Şok MarketBisto 25 cm 12 pcs 840g</v>
      </c>
    </row>
    <row r="49" spans="1:30" s="94" customFormat="1" ht="95.25" customHeight="1" x14ac:dyDescent="0.25">
      <c r="A49" s="88" t="s">
        <v>77</v>
      </c>
      <c r="B49" s="104" t="s">
        <v>119</v>
      </c>
      <c r="C49" s="105">
        <f>IF(B49="","",VLOOKUP(AD49,Varsayımlar!$B:$Q,3,0))</f>
        <v>8698829380698</v>
      </c>
      <c r="D49" s="105"/>
      <c r="E49" s="106" t="s">
        <v>120</v>
      </c>
      <c r="F49" s="104"/>
      <c r="G49" s="104"/>
      <c r="H49" s="104" t="str">
        <f>IF(B49="","",VLOOKUP(AD49,Varsayımlar!$B:$Q,5,0))</f>
        <v>Nimet 25 cm</v>
      </c>
      <c r="I49" s="104"/>
      <c r="J49" s="104" t="str">
        <f>IF(B49="","",VLOOKUP(AD49,Varsayımlar!$B:$Q,6,0))</f>
        <v>SADE</v>
      </c>
      <c r="K49" s="104">
        <v>1000</v>
      </c>
      <c r="L49" s="104"/>
      <c r="M49" s="104">
        <f>IFERROR(IF(B49="","",K49/VLOOKUP(AD49,Varsayımlar!B:R,17,0)),"")</f>
        <v>20</v>
      </c>
      <c r="N49" s="104"/>
      <c r="O49" s="104">
        <v>15</v>
      </c>
      <c r="P49" s="104">
        <f>IF(B49="","",VLOOKUP(AD49,Varsayımlar!$B:$Q,7,0)*K49)</f>
        <v>12000</v>
      </c>
      <c r="Q49" s="104">
        <f>IF(B49="","",VLOOKUP(AD49,Varsayımlar!$B:$Q,8,0))</f>
        <v>25</v>
      </c>
      <c r="R49" s="104" t="str">
        <f>IF(B49="","",VLOOKUP(AD49,Varsayımlar!$B:$Q,9,0))</f>
        <v>Standart</v>
      </c>
      <c r="S49" s="104">
        <f>IF(B49="","",VLOOKUP(AD49,Varsayımlar!$B:$Q,10,0))</f>
        <v>12</v>
      </c>
      <c r="T49" s="104">
        <f>IF(B49="","",VLOOKUP(AD49,Varsayımlar!$B:$Q,11,0))</f>
        <v>12</v>
      </c>
      <c r="U49" s="104">
        <f>IF(B49="","",VLOOKUP(AD49,Varsayımlar!$B:$Q,12,0))</f>
        <v>840</v>
      </c>
      <c r="V49" s="104" t="str">
        <f>IF(B49="","",VLOOKUP(AD49,Varsayımlar!$B:$Q,13,0))</f>
        <v>YURTİÇİ</v>
      </c>
      <c r="W49" s="104">
        <f>IF(B49="","",VLOOKUP(AD49,Varsayımlar!$B:$Q,14,0))</f>
        <v>5</v>
      </c>
      <c r="X49" s="107" t="s">
        <v>113</v>
      </c>
      <c r="Y49" s="107" t="s">
        <v>113</v>
      </c>
      <c r="Z49" s="104" t="s">
        <v>113</v>
      </c>
      <c r="AA49" s="104" t="str">
        <f>IF(B49="","",VLOOKUP(AD49,Varsayımlar!$B:$Q,15,0))</f>
        <v>Nimet Kolisi</v>
      </c>
      <c r="AB49" s="104" t="str">
        <f>IF(B49="","",VLOOKUP(AD49,Varsayımlar!$B:$Q,16,0))</f>
        <v>24-26 CM</v>
      </c>
      <c r="AC49" s="104" t="s">
        <v>360</v>
      </c>
      <c r="AD49" s="93" t="str">
        <f t="shared" si="2"/>
        <v>A101Nimet 25cm 12 pcs 840g</v>
      </c>
    </row>
    <row r="50" spans="1:30" s="94" customFormat="1" ht="95.25" customHeight="1" x14ac:dyDescent="0.25">
      <c r="A50" s="88" t="s">
        <v>78</v>
      </c>
      <c r="B50" s="95" t="s">
        <v>311</v>
      </c>
      <c r="C50" s="96">
        <f>IF(B50="","",VLOOKUP(AD50,Varsayımlar!$B:$Q,3,0))</f>
        <v>8698829380698</v>
      </c>
      <c r="D50" s="96"/>
      <c r="E50" s="97" t="s">
        <v>312</v>
      </c>
      <c r="F50" s="95"/>
      <c r="G50" s="96"/>
      <c r="H50" s="95" t="str">
        <f>IF(B50="","",VLOOKUP(AD50,Varsayımlar!$B:$Q,5,0))</f>
        <v xml:space="preserve">Happylla 25cm </v>
      </c>
      <c r="I50" s="95">
        <f>IF(B50="","",VLOOKUP(AD50,Varsayımlar!B:T,19,0))</f>
        <v>0</v>
      </c>
      <c r="J50" s="95" t="str">
        <f>IF(B50="","",VLOOKUP(AD50,Varsayımlar!$B:$Q,6,0))</f>
        <v>SADE</v>
      </c>
      <c r="K50" s="95">
        <v>300</v>
      </c>
      <c r="L50" s="95"/>
      <c r="M50" s="95" t="str">
        <f>IFERROR(IF(B50="","",K50/VLOOKUP(AD50,Varsayımlar!B:R,17,0)),"")</f>
        <v/>
      </c>
      <c r="N50" s="95"/>
      <c r="O50" s="95">
        <v>4</v>
      </c>
      <c r="P50" s="95">
        <f>IF(B50="","",VLOOKUP(AD50,Varsayımlar!$B:$Q,7,0)*K50)</f>
        <v>5400</v>
      </c>
      <c r="Q50" s="95">
        <f>IF(B50="","",VLOOKUP(AD50,Varsayımlar!$B:$Q,8,0))</f>
        <v>25</v>
      </c>
      <c r="R50" s="95" t="str">
        <f>IF(B50="","",VLOOKUP(AD50,Varsayımlar!$B:$Q,9,0))</f>
        <v>Irak Soft</v>
      </c>
      <c r="S50" s="95">
        <f>IF(B50="","",VLOOKUP(AD50,Varsayımlar!$B:$Q,10,0))</f>
        <v>6</v>
      </c>
      <c r="T50" s="95">
        <f>IF(B50="","",VLOOKUP(AD50,Varsayımlar!$B:$Q,11,0))</f>
        <v>18</v>
      </c>
      <c r="U50" s="95">
        <f>IF(B50="","",VLOOKUP(AD50,Varsayımlar!$B:$Q,12,0))</f>
        <v>390</v>
      </c>
      <c r="V50" s="95" t="str">
        <f>IF(B50="","",VLOOKUP(AD50,Varsayımlar!$B:$Q,13,0))</f>
        <v>Yurtdışı</v>
      </c>
      <c r="W50" s="95">
        <f>IF(B50="","",VLOOKUP(AD50,Varsayımlar!$B:$Q,14,0))</f>
        <v>8</v>
      </c>
      <c r="X50" s="98">
        <v>46181</v>
      </c>
      <c r="Y50" s="98">
        <v>46426</v>
      </c>
      <c r="Z50" s="95">
        <v>26060825</v>
      </c>
      <c r="AA50" s="95" t="str">
        <f>IF(B50="","",VLOOKUP(AD50,Varsayımlar!$B:$Q,15,0))</f>
        <v>Kırmızı Koli</v>
      </c>
      <c r="AB50" s="95" t="str">
        <f>IF(B50="","",VLOOKUP(AD50,Varsayımlar!$B:$Q,16,0))</f>
        <v>24-26cm</v>
      </c>
      <c r="AC50" s="95">
        <f>IF(B50="","",VLOOKUP(Sayfa1!AD50,Varsayımlar!B:S,18,0))</f>
        <v>0</v>
      </c>
      <c r="AD50" s="93" t="str">
        <f>IF(B50="","",CONCATENATE(B50,E50))</f>
        <v>Sons Of HannaHappylla 25cm Sade 6pcs 390g</v>
      </c>
    </row>
    <row r="51" spans="1:30" s="94" customFormat="1" ht="95.25" customHeight="1" x14ac:dyDescent="0.25">
      <c r="A51" s="88" t="s">
        <v>79</v>
      </c>
      <c r="B51" s="104" t="s">
        <v>335</v>
      </c>
      <c r="C51" s="105">
        <f>IF(B51="","",VLOOKUP(AD51,Varsayımlar!$B:$Q,3,0))</f>
        <v>8698829380698</v>
      </c>
      <c r="D51" s="105"/>
      <c r="E51" s="106" t="s">
        <v>319</v>
      </c>
      <c r="F51" s="104"/>
      <c r="G51" s="104"/>
      <c r="H51" s="104" t="str">
        <f>IF(B51="","",VLOOKUP(AD51,Varsayımlar!$B:$Q,5,0))</f>
        <v>Lazeza 25cm</v>
      </c>
      <c r="I51" s="104"/>
      <c r="J51" s="104" t="str">
        <f>IF(B51="","",VLOOKUP(AD51,Varsayımlar!$B:$Q,6,0))</f>
        <v>SADE</v>
      </c>
      <c r="K51" s="104">
        <v>1120</v>
      </c>
      <c r="L51" s="104"/>
      <c r="M51" s="104" t="str">
        <f>IFERROR(IF(B51="","",K51/VLOOKUP(AD51,Varsayımlar!B:R,17,0)),"")</f>
        <v/>
      </c>
      <c r="N51" s="104"/>
      <c r="O51" s="104">
        <v>15</v>
      </c>
      <c r="P51" s="104">
        <f>IF(B51="","",VLOOKUP(AD51,Varsayımlar!$B:$Q,7,0)*K51)</f>
        <v>20160</v>
      </c>
      <c r="Q51" s="104">
        <f>IF(B51="","",VLOOKUP(AD51,Varsayımlar!$B:$Q,8,0))</f>
        <v>25</v>
      </c>
      <c r="R51" s="104" t="str">
        <f>IF(B51="","",VLOOKUP(AD51,Varsayımlar!$B:$Q,9,0))</f>
        <v>Irak Soft</v>
      </c>
      <c r="S51" s="104">
        <f>IF(B51="","",VLOOKUP(AD51,Varsayımlar!$B:$Q,10,0))</f>
        <v>6</v>
      </c>
      <c r="T51" s="104">
        <f>IF(B51="","",VLOOKUP(AD51,Varsayımlar!$B:$Q,11,0))</f>
        <v>18</v>
      </c>
      <c r="U51" s="104">
        <f>IF(B51="","",VLOOKUP(AD51,Varsayımlar!$B:$Q,12,0))</f>
        <v>390</v>
      </c>
      <c r="V51" s="104" t="str">
        <f>IF(B51="","",VLOOKUP(AD51,Varsayımlar!$B:$Q,13,0))</f>
        <v>Yurtdışı</v>
      </c>
      <c r="W51" s="104">
        <f>IF(B51="","",VLOOKUP(AD51,Varsayımlar!$B:$Q,14,0))</f>
        <v>6</v>
      </c>
      <c r="X51" s="107">
        <v>46181</v>
      </c>
      <c r="Y51" s="107">
        <v>46364</v>
      </c>
      <c r="Z51" s="104">
        <v>26060825</v>
      </c>
      <c r="AA51" s="104" t="str">
        <f>IF(B51="","",VLOOKUP(AD51,Varsayımlar!$B:$Q,15,0))</f>
        <v>Lazeza Kolisi</v>
      </c>
      <c r="AB51" s="104" t="str">
        <f>IF(B51="","",VLOOKUP(AD51,Varsayımlar!$B:$Q,16,0))</f>
        <v>24-26 cm</v>
      </c>
      <c r="AC51" s="104"/>
      <c r="AD51" s="93" t="str">
        <f t="shared" ref="AD51:AD75" si="3">IF(B51="","",CONCATENATE(B51,E51))</f>
        <v>AjjawiLazeza 25 cm 6pcs 390g</v>
      </c>
    </row>
    <row r="52" spans="1:30" s="94" customFormat="1" ht="95.25" customHeight="1" x14ac:dyDescent="0.25">
      <c r="A52" s="88" t="s">
        <v>80</v>
      </c>
      <c r="B52" s="100" t="s">
        <v>218</v>
      </c>
      <c r="C52" s="101">
        <f>IF(B52="","",VLOOKUP(AD52,Varsayımlar!$B:$Q,3,0))</f>
        <v>8698829380698</v>
      </c>
      <c r="D52" s="101" t="s">
        <v>159</v>
      </c>
      <c r="E52" s="102" t="s">
        <v>228</v>
      </c>
      <c r="F52" s="100">
        <v>26042906</v>
      </c>
      <c r="G52" s="101"/>
      <c r="H52" s="100" t="str">
        <f>IF(B52="","",VLOOKUP(AD52,Varsayımlar!$B:$Q,5,0))</f>
        <v>Tortillas Avrupa 25cm (698)</v>
      </c>
      <c r="I52" s="100">
        <f>IF(B52="","",VLOOKUP(AD52,Varsayımlar!B:T,19,0))</f>
        <v>0</v>
      </c>
      <c r="J52" s="100" t="str">
        <f>IF(B52="","",VLOOKUP(AD52,Varsayımlar!$B:$Q,6,0))</f>
        <v>SADE</v>
      </c>
      <c r="K52" s="100">
        <v>720</v>
      </c>
      <c r="L52" s="100"/>
      <c r="M52" s="100">
        <f>IFERROR(IF(B52="","",K52/VLOOKUP(AD52,Varsayımlar!B:R,17,0)),"")</f>
        <v>6</v>
      </c>
      <c r="N52" s="100"/>
      <c r="O52" s="100">
        <v>7</v>
      </c>
      <c r="P52" s="100">
        <f>IF(B52="","",VLOOKUP(AD52,Varsayımlar!$B:$Q,7,0)*K52)</f>
        <v>5760</v>
      </c>
      <c r="Q52" s="100">
        <f>IF(B52="","",VLOOKUP(AD52,Varsayımlar!$B:$Q,8,0))</f>
        <v>25</v>
      </c>
      <c r="R52" s="100" t="str">
        <f>IF(B52="","",VLOOKUP(AD52,Varsayımlar!$B:$Q,9,0))</f>
        <v>Irak Soft</v>
      </c>
      <c r="S52" s="100">
        <f>IF(B52="","",VLOOKUP(AD52,Varsayımlar!$B:$Q,10,0))</f>
        <v>10</v>
      </c>
      <c r="T52" s="100">
        <f>IF(B52="","",VLOOKUP(AD52,Varsayımlar!$B:$Q,11,0))</f>
        <v>8</v>
      </c>
      <c r="U52" s="100">
        <f>IF(B52="","",VLOOKUP(AD52,Varsayımlar!$B:$Q,12,0))</f>
        <v>650</v>
      </c>
      <c r="V52" s="100" t="str">
        <f>IF(B52="","",VLOOKUP(AD52,Varsayımlar!$B:$Q,13,0))</f>
        <v>Yurtdışı</v>
      </c>
      <c r="W52" s="100">
        <f>IF(B52="","",VLOOKUP(AD52,Varsayımlar!$B:$Q,14,0))</f>
        <v>9</v>
      </c>
      <c r="X52" s="103">
        <v>46183</v>
      </c>
      <c r="Y52" s="103">
        <v>46456</v>
      </c>
      <c r="Z52" s="100">
        <v>26061025</v>
      </c>
      <c r="AA52" s="100" t="str">
        <f>IF(B52="","",VLOOKUP(AD52,Varsayımlar!$B:$Q,15,0))</f>
        <v>25cm Perforeli-Bulgarca etiket</v>
      </c>
      <c r="AB52" s="100" t="str">
        <f>IF(B52="","",VLOOKUP(AD52,Varsayımlar!$B:$Q,16,0))</f>
        <v>24-26 cm</v>
      </c>
      <c r="AC52" s="100" t="str">
        <f>IF(B52="","",VLOOKUP(Sayfa1!AD51,Varsayımlar!B:S,18,0))</f>
        <v>80x120cm -Epal+Epal</v>
      </c>
      <c r="AD52" s="93" t="str">
        <f>IF(B52="","",CONCATENATE(B52,E52))</f>
        <v>TASTE LAND-BULGARİSTANTortillas 25cm Sade 10pcs 650g</v>
      </c>
    </row>
    <row r="53" spans="1:30" s="94" customFormat="1" ht="95.25" customHeight="1" x14ac:dyDescent="0.25">
      <c r="A53" s="88" t="s">
        <v>81</v>
      </c>
      <c r="B53" s="100" t="s">
        <v>218</v>
      </c>
      <c r="C53" s="101">
        <f>IF(B53="","",VLOOKUP(AD53,Varsayımlar!$B:$Q,3,0))</f>
        <v>8698829380698</v>
      </c>
      <c r="D53" s="101" t="s">
        <v>159</v>
      </c>
      <c r="E53" s="102" t="s">
        <v>229</v>
      </c>
      <c r="F53" s="100">
        <v>26042906</v>
      </c>
      <c r="G53" s="101"/>
      <c r="H53" s="100" t="str">
        <f>IF(B53="","",VLOOKUP(AD53,Varsayımlar!$B:$Q,5,0))</f>
        <v>Tortillas Avrupa 25cm Tam Buğday (711)</v>
      </c>
      <c r="I53" s="100">
        <f>IF(B53="","",VLOOKUP(AD53,Varsayımlar!B:T,19,0))</f>
        <v>0</v>
      </c>
      <c r="J53" s="100" t="str">
        <f>IF(B53="","",VLOOKUP(AD53,Varsayımlar!$B:$Q,6,0))</f>
        <v>Tam Buğdaylı</v>
      </c>
      <c r="K53" s="100">
        <v>840</v>
      </c>
      <c r="L53" s="100"/>
      <c r="M53" s="100">
        <f>IFERROR(IF(B53="","",K53/VLOOKUP(AD53,Varsayımlar!B:R,17,0)),"")</f>
        <v>7</v>
      </c>
      <c r="N53" s="100"/>
      <c r="O53" s="100">
        <v>9</v>
      </c>
      <c r="P53" s="100">
        <f>IF(B53="","",VLOOKUP(AD53,Varsayımlar!$B:$Q,7,0)*K53)</f>
        <v>6720</v>
      </c>
      <c r="Q53" s="100">
        <f>IF(B53="","",VLOOKUP(AD53,Varsayımlar!$B:$Q,8,0))</f>
        <v>25</v>
      </c>
      <c r="R53" s="100" t="str">
        <f>IF(B53="","",VLOOKUP(AD53,Varsayımlar!$B:$Q,9,0))</f>
        <v>Irak Soft</v>
      </c>
      <c r="S53" s="100">
        <f>IF(B53="","",VLOOKUP(AD53,Varsayımlar!$B:$Q,10,0))</f>
        <v>10</v>
      </c>
      <c r="T53" s="100">
        <f>IF(B53="","",VLOOKUP(AD53,Varsayımlar!$B:$Q,11,0))</f>
        <v>8</v>
      </c>
      <c r="U53" s="100">
        <f>IF(B53="","",VLOOKUP(AD53,Varsayımlar!$B:$Q,12,0))</f>
        <v>650</v>
      </c>
      <c r="V53" s="100" t="str">
        <f>IF(B53="","",VLOOKUP(AD53,Varsayımlar!$B:$Q,13,0))</f>
        <v>Yurtdışı</v>
      </c>
      <c r="W53" s="100">
        <f>IF(B53="","",VLOOKUP(AD53,Varsayımlar!$B:$Q,14,0))</f>
        <v>9</v>
      </c>
      <c r="X53" s="103">
        <v>46183</v>
      </c>
      <c r="Y53" s="103">
        <v>46456</v>
      </c>
      <c r="Z53" s="100" t="s">
        <v>355</v>
      </c>
      <c r="AA53" s="100" t="str">
        <f>IF(B53="","",VLOOKUP(AD53,Varsayımlar!$B:$Q,15,0))</f>
        <v>25cm Perforeli-Bulgarca TB etiket</v>
      </c>
      <c r="AB53" s="100" t="str">
        <f>IF(B53="","",VLOOKUP(AD53,Varsayımlar!$B:$Q,16,0))</f>
        <v>24-26 cm</v>
      </c>
      <c r="AC53" s="100" t="str">
        <f>IF(B53="","",VLOOKUP(Sayfa1!AD52,Varsayımlar!B:S,18,0))</f>
        <v>80x120cm -Epal+Epal</v>
      </c>
      <c r="AD53" s="93" t="str">
        <f t="shared" ref="AD53:AD59" si="4">IF(B53="","",CONCATENATE(B53,E53))</f>
        <v>TASTE LAND-BULGARİSTANTortillas 25cm Tam Buğday 10pcs 650g</v>
      </c>
    </row>
    <row r="54" spans="1:30" s="94" customFormat="1" ht="95.25" customHeight="1" x14ac:dyDescent="0.25">
      <c r="A54" s="88" t="s">
        <v>82</v>
      </c>
      <c r="B54" s="100" t="s">
        <v>218</v>
      </c>
      <c r="C54" s="101">
        <f>IF(B54="","",VLOOKUP(AD54,Varsayımlar!$B:$Q,3,0))</f>
        <v>8698829380698</v>
      </c>
      <c r="D54" s="101" t="s">
        <v>159</v>
      </c>
      <c r="E54" s="102" t="s">
        <v>232</v>
      </c>
      <c r="F54" s="100">
        <v>26042906</v>
      </c>
      <c r="G54" s="101"/>
      <c r="H54" s="100" t="str">
        <f>IF(B54="","",VLOOKUP(AD54,Varsayımlar!$B:$Q,5,0))</f>
        <v>Tortillas Avrupa 25cm Domatesli (074)</v>
      </c>
      <c r="I54" s="100">
        <f>IF(B54="","",VLOOKUP(AD54,Varsayımlar!B:T,19,0))</f>
        <v>0</v>
      </c>
      <c r="J54" s="100" t="str">
        <f>IF(B54="","",VLOOKUP(AD54,Varsayımlar!$B:$Q,6,0))</f>
        <v>Domatesli</v>
      </c>
      <c r="K54" s="100">
        <v>360</v>
      </c>
      <c r="L54" s="100"/>
      <c r="M54" s="100">
        <f>IFERROR(IF(B54="","",K54/VLOOKUP(AD54,Varsayımlar!B:R,17,0)),"")</f>
        <v>3</v>
      </c>
      <c r="N54" s="100"/>
      <c r="O54" s="100">
        <v>4</v>
      </c>
      <c r="P54" s="100">
        <f>IF(B54="","",VLOOKUP(AD54,Varsayımlar!$B:$Q,7,0)*K54)</f>
        <v>4320</v>
      </c>
      <c r="Q54" s="100">
        <f>IF(B54="","",VLOOKUP(AD54,Varsayımlar!$B:$Q,8,0))</f>
        <v>25</v>
      </c>
      <c r="R54" s="100" t="str">
        <f>IF(B54="","",VLOOKUP(AD54,Varsayımlar!$B:$Q,9,0))</f>
        <v>Irak Soft</v>
      </c>
      <c r="S54" s="100">
        <f>IF(B54="","",VLOOKUP(AD54,Varsayımlar!$B:$Q,10,0))</f>
        <v>6</v>
      </c>
      <c r="T54" s="100">
        <f>IF(B54="","",VLOOKUP(AD54,Varsayımlar!$B:$Q,11,0))</f>
        <v>12</v>
      </c>
      <c r="U54" s="100">
        <f>IF(B54="","",VLOOKUP(AD54,Varsayımlar!$B:$Q,12,0))</f>
        <v>390</v>
      </c>
      <c r="V54" s="100" t="str">
        <f>IF(B54="","",VLOOKUP(AD54,Varsayımlar!$B:$Q,13,0))</f>
        <v>Yurtdışı</v>
      </c>
      <c r="W54" s="100">
        <f>IF(B54="","",VLOOKUP(AD54,Varsayımlar!$B:$Q,14,0))</f>
        <v>9</v>
      </c>
      <c r="X54" s="103">
        <v>46183</v>
      </c>
      <c r="Y54" s="103">
        <v>46456</v>
      </c>
      <c r="Z54" s="100" t="s">
        <v>356</v>
      </c>
      <c r="AA54" s="100" t="str">
        <f>IF(B54="","",VLOOKUP(AD54,Varsayımlar!$B:$Q,15,0))</f>
        <v>25cm Perforeli-Bulgarca Domatesli etiket</v>
      </c>
      <c r="AB54" s="100" t="str">
        <f>IF(B54="","",VLOOKUP(AD54,Varsayımlar!$B:$Q,16,0))</f>
        <v>24-26 cm</v>
      </c>
      <c r="AC54" s="100" t="str">
        <f>IF(B54="","",VLOOKUP(Sayfa1!AD53,Varsayımlar!B:S,18,0))</f>
        <v>80x120cm -Epal+Epal</v>
      </c>
      <c r="AD54" s="93" t="str">
        <f t="shared" si="4"/>
        <v>TASTE LAND-BULGARİSTANTortillas 25cm Domatesli 6pcs 390g</v>
      </c>
    </row>
    <row r="55" spans="1:30" s="94" customFormat="1" ht="95.25" customHeight="1" x14ac:dyDescent="0.25">
      <c r="A55" s="88" t="s">
        <v>83</v>
      </c>
      <c r="B55" s="100" t="s">
        <v>218</v>
      </c>
      <c r="C55" s="101">
        <f>IF(B55="","",VLOOKUP(AD55,Varsayımlar!$B:$Q,3,0))</f>
        <v>8698829380698</v>
      </c>
      <c r="D55" s="101" t="s">
        <v>159</v>
      </c>
      <c r="E55" s="102" t="s">
        <v>235</v>
      </c>
      <c r="F55" s="100">
        <v>26042906</v>
      </c>
      <c r="G55" s="101"/>
      <c r="H55" s="100" t="str">
        <f>IF(B55="","",VLOOKUP(AD55,Varsayımlar!$B:$Q,5,0))</f>
        <v>Tortillas Avrupa 25cm Ispanaklı (081)</v>
      </c>
      <c r="I55" s="100">
        <f>IF(B55="","",VLOOKUP(AD55,Varsayımlar!B:T,19,0))</f>
        <v>0</v>
      </c>
      <c r="J55" s="100" t="str">
        <f>IF(B55="","",VLOOKUP(AD55,Varsayımlar!$B:$Q,6,0))</f>
        <v>Ispanaklı</v>
      </c>
      <c r="K55" s="100">
        <v>360</v>
      </c>
      <c r="L55" s="100"/>
      <c r="M55" s="100">
        <f>IFERROR(IF(B55="","",K55/VLOOKUP(AD55,Varsayımlar!B:R,17,0)),"")</f>
        <v>3</v>
      </c>
      <c r="N55" s="100"/>
      <c r="O55" s="100">
        <v>4</v>
      </c>
      <c r="P55" s="100">
        <f>IF(B55="","",VLOOKUP(AD55,Varsayımlar!$B:$Q,7,0)*K55)</f>
        <v>4320</v>
      </c>
      <c r="Q55" s="100">
        <f>IF(B55="","",VLOOKUP(AD55,Varsayımlar!$B:$Q,8,0))</f>
        <v>25</v>
      </c>
      <c r="R55" s="100" t="str">
        <f>IF(B55="","",VLOOKUP(AD55,Varsayımlar!$B:$Q,9,0))</f>
        <v>Irak Soft</v>
      </c>
      <c r="S55" s="100">
        <f>IF(B55="","",VLOOKUP(AD55,Varsayımlar!$B:$Q,10,0))</f>
        <v>6</v>
      </c>
      <c r="T55" s="100">
        <f>IF(B55="","",VLOOKUP(AD55,Varsayımlar!$B:$Q,11,0))</f>
        <v>12</v>
      </c>
      <c r="U55" s="100">
        <f>IF(B55="","",VLOOKUP(AD55,Varsayımlar!$B:$Q,12,0))</f>
        <v>390</v>
      </c>
      <c r="V55" s="100" t="str">
        <f>IF(B55="","",VLOOKUP(AD55,Varsayımlar!$B:$Q,13,0))</f>
        <v>Yurtdışı</v>
      </c>
      <c r="W55" s="100">
        <f>IF(B55="","",VLOOKUP(AD55,Varsayımlar!$B:$Q,14,0))</f>
        <v>9</v>
      </c>
      <c r="X55" s="103">
        <v>46183</v>
      </c>
      <c r="Y55" s="103">
        <v>46456</v>
      </c>
      <c r="Z55" s="100" t="s">
        <v>357</v>
      </c>
      <c r="AA55" s="100" t="str">
        <f>IF(B55="","",VLOOKUP(AD55,Varsayımlar!$B:$Q,15,0))</f>
        <v>25cm Perforeli-Bulgarca Ispanaklı etiket</v>
      </c>
      <c r="AB55" s="100" t="str">
        <f>IF(B55="","",VLOOKUP(AD55,Varsayımlar!$B:$Q,16,0))</f>
        <v>24-26 cm</v>
      </c>
      <c r="AC55" s="100" t="str">
        <f>IF(B55="","",VLOOKUP(Sayfa1!AD54,Varsayımlar!B:S,18,0))</f>
        <v>80x120cm -Epal+Epal</v>
      </c>
      <c r="AD55" s="93" t="str">
        <f t="shared" si="4"/>
        <v>TASTE LAND-BULGARİSTANTortillas 25cm Ispanaklı 6pcs 390g</v>
      </c>
    </row>
    <row r="56" spans="1:30" s="94" customFormat="1" ht="95.25" customHeight="1" x14ac:dyDescent="0.25">
      <c r="A56" s="88" t="s">
        <v>84</v>
      </c>
      <c r="B56" s="100" t="s">
        <v>218</v>
      </c>
      <c r="C56" s="101">
        <f>IF(B56="","",VLOOKUP(AD56,Varsayımlar!$B:$Q,3,0))</f>
        <v>8698829380698</v>
      </c>
      <c r="D56" s="101" t="s">
        <v>159</v>
      </c>
      <c r="E56" s="102" t="s">
        <v>240</v>
      </c>
      <c r="F56" s="100">
        <v>26042906</v>
      </c>
      <c r="G56" s="101"/>
      <c r="H56" s="100" t="str">
        <f>IF(B56="","",VLOOKUP(AD56,Varsayımlar!$B:$Q,5,0))</f>
        <v>Tortillas Avrupa 25cm Peynirli (098)</v>
      </c>
      <c r="I56" s="100">
        <f>IF(B56="","",VLOOKUP(AD56,Varsayımlar!B:T,19,0))</f>
        <v>0</v>
      </c>
      <c r="J56" s="100" t="str">
        <f>IF(B56="","",VLOOKUP(AD56,Varsayımlar!$B:$Q,6,0))</f>
        <v>Peynirli</v>
      </c>
      <c r="K56" s="100">
        <v>240</v>
      </c>
      <c r="L56" s="100"/>
      <c r="M56" s="100">
        <f>IFERROR(IF(B56="","",K56/VLOOKUP(AD56,Varsayımlar!B:R,17,0)),"")</f>
        <v>2</v>
      </c>
      <c r="N56" s="100"/>
      <c r="O56" s="100">
        <v>3</v>
      </c>
      <c r="P56" s="100">
        <f>IF(B56="","",VLOOKUP(AD56,Varsayımlar!$B:$Q,7,0)*K56)</f>
        <v>2880</v>
      </c>
      <c r="Q56" s="100">
        <f>IF(B56="","",VLOOKUP(AD56,Varsayımlar!$B:$Q,8,0))</f>
        <v>25</v>
      </c>
      <c r="R56" s="100" t="str">
        <f>IF(B56="","",VLOOKUP(AD56,Varsayımlar!$B:$Q,9,0))</f>
        <v>Irak Soft-AT</v>
      </c>
      <c r="S56" s="100">
        <f>IF(B56="","",VLOOKUP(AD56,Varsayımlar!$B:$Q,10,0))</f>
        <v>6</v>
      </c>
      <c r="T56" s="100">
        <f>IF(B56="","",VLOOKUP(AD56,Varsayımlar!$B:$Q,11,0))</f>
        <v>12</v>
      </c>
      <c r="U56" s="100">
        <f>IF(B56="","",VLOOKUP(AD56,Varsayımlar!$B:$Q,12,0))</f>
        <v>390</v>
      </c>
      <c r="V56" s="100" t="str">
        <f>IF(B56="","",VLOOKUP(AD56,Varsayımlar!$B:$Q,13,0))</f>
        <v>Yurtdışı</v>
      </c>
      <c r="W56" s="100">
        <f>IF(B56="","",VLOOKUP(AD56,Varsayımlar!$B:$Q,14,0))</f>
        <v>9</v>
      </c>
      <c r="X56" s="103">
        <v>46183</v>
      </c>
      <c r="Y56" s="103">
        <v>46456</v>
      </c>
      <c r="Z56" s="100" t="s">
        <v>358</v>
      </c>
      <c r="AA56" s="100" t="str">
        <f>IF(B56="","",VLOOKUP(AD56,Varsayımlar!$B:$Q,15,0))</f>
        <v>25cm Perforeli-Bulgarca Peynirli etiket</v>
      </c>
      <c r="AB56" s="100" t="str">
        <f>IF(B56="","",VLOOKUP(AD56,Varsayımlar!$B:$Q,16,0))</f>
        <v>24-26 cm</v>
      </c>
      <c r="AC56" s="100" t="str">
        <f>IF(B56="","",VLOOKUP(Sayfa1!AD55,Varsayımlar!B:S,18,0))</f>
        <v>80x120cm -Epal+Epal</v>
      </c>
      <c r="AD56" s="93" t="str">
        <f t="shared" si="4"/>
        <v>TASTE LAND-BULGARİSTANTortillas 25cm Peynirli 6pcs 390g</v>
      </c>
    </row>
    <row r="57" spans="1:30" s="94" customFormat="1" ht="95.25" customHeight="1" x14ac:dyDescent="0.25">
      <c r="A57" s="88" t="s">
        <v>85</v>
      </c>
      <c r="B57" s="110" t="s">
        <v>321</v>
      </c>
      <c r="C57" s="109">
        <f>IF(B57="","",VLOOKUP(AD57,Varsayımlar!$B:$Q,3,0))</f>
        <v>8698829380698</v>
      </c>
      <c r="D57" s="109"/>
      <c r="E57" s="110" t="s">
        <v>322</v>
      </c>
      <c r="F57" s="108"/>
      <c r="G57" s="108"/>
      <c r="H57" s="108" t="str">
        <f>IF(B57="","",VLOOKUP(AD57,Varsayımlar!$B:$Q,5,0))</f>
        <v>Baskısız 25 cm</v>
      </c>
      <c r="I57" s="108" t="str">
        <f>IF(B57="","",VLOOKUP(AD57,Varsayımlar!B:T,19,0))</f>
        <v>Lana 25cm 8pcs 480g Yuvarlak</v>
      </c>
      <c r="J57" s="108" t="str">
        <f>IF(B57="","",VLOOKUP(AD57,Varsayımlar!$B:$Q,6,0))</f>
        <v>SADE</v>
      </c>
      <c r="K57" s="108">
        <v>750</v>
      </c>
      <c r="L57" s="108"/>
      <c r="M57" s="108" t="str">
        <f>IFERROR(IF(B57="","",K57/VLOOKUP(AD57,Varsayımlar!B:R,17,0)),"")</f>
        <v/>
      </c>
      <c r="N57" s="108"/>
      <c r="O57" s="108">
        <v>10</v>
      </c>
      <c r="P57" s="108">
        <f>IF(B57="","",VLOOKUP(AD57,Varsayımlar!$B:$Q,7,0)*K57)</f>
        <v>10500</v>
      </c>
      <c r="Q57" s="108">
        <f>IF(B57="","",VLOOKUP(AD57,Varsayımlar!$B:$Q,8,0))</f>
        <v>25</v>
      </c>
      <c r="R57" s="108" t="str">
        <f>IF(B57="","",VLOOKUP(AD57,Varsayımlar!$B:$Q,9,0))</f>
        <v>Irak Soft</v>
      </c>
      <c r="S57" s="108">
        <f>IF(B57="","",VLOOKUP(AD57,Varsayımlar!$B:$Q,10,0))</f>
        <v>8</v>
      </c>
      <c r="T57" s="108">
        <f>IF(B57="","",VLOOKUP(AD57,Varsayımlar!$B:$Q,11,0))</f>
        <v>14</v>
      </c>
      <c r="U57" s="108">
        <f>IF(B57="","",VLOOKUP(AD57,Varsayımlar!$B:$Q,12,0))</f>
        <v>480</v>
      </c>
      <c r="V57" s="108" t="str">
        <f>IF(B57="","",VLOOKUP(AD57,Varsayımlar!$B:$Q,13,0))</f>
        <v>Yurtdışı</v>
      </c>
      <c r="W57" s="108">
        <f>IF(B57="","",VLOOKUP(AD57,Varsayımlar!$B:$Q,14,0))</f>
        <v>6</v>
      </c>
      <c r="X57" s="111">
        <v>46185</v>
      </c>
      <c r="Y57" s="111">
        <v>46368</v>
      </c>
      <c r="Z57" s="108">
        <v>26061225</v>
      </c>
      <c r="AA57" s="108" t="str">
        <f>IF(B57="","",VLOOKUP(AD57,Varsayımlar!$B:$Q,15,0))</f>
        <v>Kırmızı Koli</v>
      </c>
      <c r="AB57" s="108" t="str">
        <f>IF(B57="","",VLOOKUP(AD57,Varsayımlar!$B:$Q,16,0))</f>
        <v>24-26 cm</v>
      </c>
      <c r="AC57" s="108"/>
      <c r="AD57" s="93" t="str">
        <f>IF(B57="","",CONCATENATE(B57,E57))</f>
        <v>Gülbahar CompanyBaskısız 25cm Sade 8pcs 480g</v>
      </c>
    </row>
    <row r="58" spans="1:30" ht="31.5" x14ac:dyDescent="0.25">
      <c r="A58" s="8" t="s">
        <v>86</v>
      </c>
      <c r="B58" s="64" t="s">
        <v>64</v>
      </c>
      <c r="C58" s="3" t="e">
        <f>IF(B58="","",VLOOKUP(AD58,#REF!,3,0))</f>
        <v>#REF!</v>
      </c>
      <c r="D58" s="3"/>
      <c r="E58" s="65" t="s">
        <v>108</v>
      </c>
      <c r="F58" s="64"/>
      <c r="G58" s="64" t="s">
        <v>68</v>
      </c>
      <c r="H58" s="64" t="e">
        <f>IF(B58="","",VLOOKUP(AD58,#REF!,5,0))</f>
        <v>#REF!</v>
      </c>
      <c r="I58" s="62">
        <f>IF(B58="","",VLOOKUP(AD58,Varsayımlar!B:T,19,0))</f>
        <v>0</v>
      </c>
      <c r="J58" s="64" t="e">
        <f>IF(B58="","",VLOOKUP(AD58,#REF!,6,0))</f>
        <v>#REF!</v>
      </c>
      <c r="K58" s="64">
        <v>924</v>
      </c>
      <c r="L58" s="64"/>
      <c r="M58" s="64" t="str">
        <f>IFERROR(IF(B58="","",K58/VLOOKUP(AD58,#REF!,17,0)),"")</f>
        <v/>
      </c>
      <c r="N58" s="64">
        <v>84</v>
      </c>
      <c r="O58" s="64"/>
      <c r="P58" s="64" t="e">
        <f>IF(B58="","",VLOOKUP(AD58,#REF!,7,0)*K58)</f>
        <v>#REF!</v>
      </c>
      <c r="Q58" s="64" t="e">
        <f>IF(B58="","",VLOOKUP(AD58,#REF!,8,0))</f>
        <v>#REF!</v>
      </c>
      <c r="R58" s="64" t="e">
        <f>IF(B58="","",VLOOKUP(AD58,#REF!,9,0))</f>
        <v>#REF!</v>
      </c>
      <c r="S58" s="64" t="e">
        <f>IF(B58="","",VLOOKUP(AD58,#REF!,10,0))</f>
        <v>#REF!</v>
      </c>
      <c r="T58" s="64" t="e">
        <f>IF(B58="","",VLOOKUP(AD58,#REF!,11,0))</f>
        <v>#REF!</v>
      </c>
      <c r="U58" s="64" t="e">
        <f>IF(B58="","",VLOOKUP(AD58,#REF!,12,0))</f>
        <v>#REF!</v>
      </c>
      <c r="V58" s="64" t="e">
        <f>IF(B58="","",VLOOKUP(AD58,#REF!,13,0))</f>
        <v>#REF!</v>
      </c>
      <c r="W58" s="64" t="e">
        <f>IF(B58="","",VLOOKUP(AD58,#REF!,14,0))</f>
        <v>#REF!</v>
      </c>
      <c r="X58" s="66">
        <v>46195</v>
      </c>
      <c r="Y58" s="66">
        <v>46468</v>
      </c>
      <c r="Z58" s="64">
        <v>26062225</v>
      </c>
      <c r="AA58" s="64" t="e">
        <f>IF(B58="","",VLOOKUP(AD58,#REF!,15,0))</f>
        <v>#REF!</v>
      </c>
      <c r="AB58" s="64" t="e">
        <f>IF(B58="","",VLOOKUP(AD58,#REF!,16,0))</f>
        <v>#REF!</v>
      </c>
      <c r="AC58" s="64" t="e">
        <f>IF(B58="","",VLOOKUP(#REF!,#REF!,18,0))</f>
        <v>#REF!</v>
      </c>
      <c r="AD58" s="57" t="str">
        <f>IF(B58="","",CONCATENATE(B58,E58))</f>
        <v>SMART LLCKırmızı tortillas 25cm 4 lü 250g</v>
      </c>
    </row>
    <row r="59" spans="1:30" ht="31.5" x14ac:dyDescent="0.25">
      <c r="A59" s="8" t="s">
        <v>87</v>
      </c>
      <c r="B59" s="79" t="s">
        <v>218</v>
      </c>
      <c r="C59" s="44">
        <f>IF(B59="","",VLOOKUP(AD59,Varsayımlar!$B:$Q,3,0))</f>
        <v>8698829380698</v>
      </c>
      <c r="D59" s="44" t="s">
        <v>160</v>
      </c>
      <c r="E59" s="79" t="s">
        <v>228</v>
      </c>
      <c r="F59" s="80">
        <v>26042907</v>
      </c>
      <c r="G59" s="44"/>
      <c r="H59" s="80" t="str">
        <f>IF(B59="","",VLOOKUP(AD59,Varsayımlar!$B:$Q,5,0))</f>
        <v>Tortillas Avrupa 25cm (698)</v>
      </c>
      <c r="I59" s="80">
        <f>IF(B59="","",VLOOKUP(AD59,Varsayımlar!B:T,19,0))</f>
        <v>0</v>
      </c>
      <c r="J59" s="80" t="str">
        <f>IF(B59="","",VLOOKUP(AD59,Varsayımlar!$B:$Q,6,0))</f>
        <v>SADE</v>
      </c>
      <c r="K59" s="80">
        <v>720</v>
      </c>
      <c r="L59" s="80"/>
      <c r="M59" s="80">
        <f>IFERROR(IF(B59="","",K59/VLOOKUP(AD59,Varsayımlar!B:R,17,0)),"")</f>
        <v>6</v>
      </c>
      <c r="N59" s="80"/>
      <c r="O59" s="80">
        <v>7</v>
      </c>
      <c r="P59" s="80">
        <f>IF(B59="","",VLOOKUP(AD59,Varsayımlar!$B:$Q,7,0)*K59)</f>
        <v>5760</v>
      </c>
      <c r="Q59" s="80">
        <f>IF(B59="","",VLOOKUP(AD59,Varsayımlar!$B:$Q,8,0))</f>
        <v>25</v>
      </c>
      <c r="R59" s="80" t="str">
        <f>IF(B59="","",VLOOKUP(AD59,Varsayımlar!$B:$Q,9,0))</f>
        <v>Irak Soft</v>
      </c>
      <c r="S59" s="80">
        <f>IF(B59="","",VLOOKUP(AD59,Varsayımlar!$B:$Q,10,0))</f>
        <v>10</v>
      </c>
      <c r="T59" s="80">
        <f>IF(B59="","",VLOOKUP(AD59,Varsayımlar!$B:$Q,11,0))</f>
        <v>8</v>
      </c>
      <c r="U59" s="80">
        <f>IF(B59="","",VLOOKUP(AD59,Varsayımlar!$B:$Q,12,0))</f>
        <v>650</v>
      </c>
      <c r="V59" s="80" t="str">
        <f>IF(B59="","",VLOOKUP(AD59,Varsayımlar!$B:$Q,13,0))</f>
        <v>Yurtdışı</v>
      </c>
      <c r="W59" s="80">
        <f>IF(B59="","",VLOOKUP(AD59,Varsayımlar!$B:$Q,14,0))</f>
        <v>9</v>
      </c>
      <c r="X59" s="81"/>
      <c r="Y59" s="81"/>
      <c r="Z59" s="80"/>
      <c r="AA59" s="80" t="str">
        <f>IF(B59="","",VLOOKUP(AD59,Varsayımlar!$B:$Q,15,0))</f>
        <v>25cm Perforeli-Bulgarca etiket</v>
      </c>
      <c r="AB59" s="80" t="str">
        <f>IF(B59="","",VLOOKUP(AD59,Varsayımlar!$B:$Q,16,0))</f>
        <v>24-26 cm</v>
      </c>
      <c r="AC59" s="80" t="str">
        <f>IF(B59="","",VLOOKUP(Sayfa1!AD56,Varsayımlar!B:S,18,0))</f>
        <v>80x120cm -Epal+Epal</v>
      </c>
      <c r="AD59" s="57" t="str">
        <f t="shared" si="4"/>
        <v>TASTE LAND-BULGARİSTANTortillas 25cm Sade 10pcs 650g</v>
      </c>
    </row>
    <row r="60" spans="1:30" ht="31.5" x14ac:dyDescent="0.25">
      <c r="A60" s="8" t="s">
        <v>88</v>
      </c>
      <c r="B60" s="79" t="s">
        <v>218</v>
      </c>
      <c r="C60" s="44">
        <f>IF(B60="","",VLOOKUP(AD60,Varsayımlar!$B:$Q,3,0))</f>
        <v>8698829380698</v>
      </c>
      <c r="D60" s="44" t="s">
        <v>160</v>
      </c>
      <c r="E60" s="79" t="s">
        <v>229</v>
      </c>
      <c r="F60" s="80">
        <v>26042907</v>
      </c>
      <c r="G60" s="44"/>
      <c r="H60" s="80" t="str">
        <f>IF(B60="","",VLOOKUP(AD60,Varsayımlar!$B:$Q,5,0))</f>
        <v>Tortillas Avrupa 25cm Tam Buğday (711)</v>
      </c>
      <c r="I60" s="80">
        <f>IF(B60="","",VLOOKUP(AD60,Varsayımlar!B:T,19,0))</f>
        <v>0</v>
      </c>
      <c r="J60" s="80" t="str">
        <f>IF(B60="","",VLOOKUP(AD60,Varsayımlar!$B:$Q,6,0))</f>
        <v>Tam Buğdaylı</v>
      </c>
      <c r="K60" s="80">
        <v>840</v>
      </c>
      <c r="L60" s="80"/>
      <c r="M60" s="80">
        <f>IFERROR(IF(B60="","",K60/VLOOKUP(AD60,Varsayımlar!B:R,17,0)),"")</f>
        <v>7</v>
      </c>
      <c r="N60" s="80"/>
      <c r="O60" s="80">
        <v>9</v>
      </c>
      <c r="P60" s="80">
        <f>IF(B60="","",VLOOKUP(AD60,Varsayımlar!$B:$Q,7,0)*K60)</f>
        <v>6720</v>
      </c>
      <c r="Q60" s="80">
        <f>IF(B60="","",VLOOKUP(AD60,Varsayımlar!$B:$Q,8,0))</f>
        <v>25</v>
      </c>
      <c r="R60" s="80" t="str">
        <f>IF(B60="","",VLOOKUP(AD60,Varsayımlar!$B:$Q,9,0))</f>
        <v>Irak Soft</v>
      </c>
      <c r="S60" s="80">
        <f>IF(B60="","",VLOOKUP(AD60,Varsayımlar!$B:$Q,10,0))</f>
        <v>10</v>
      </c>
      <c r="T60" s="80">
        <f>IF(B60="","",VLOOKUP(AD60,Varsayımlar!$B:$Q,11,0))</f>
        <v>8</v>
      </c>
      <c r="U60" s="80">
        <f>IF(B60="","",VLOOKUP(AD60,Varsayımlar!$B:$Q,12,0))</f>
        <v>650</v>
      </c>
      <c r="V60" s="80" t="str">
        <f>IF(B60="","",VLOOKUP(AD60,Varsayımlar!$B:$Q,13,0))</f>
        <v>Yurtdışı</v>
      </c>
      <c r="W60" s="80">
        <f>IF(B60="","",VLOOKUP(AD60,Varsayımlar!$B:$Q,14,0))</f>
        <v>9</v>
      </c>
      <c r="X60" s="81"/>
      <c r="Y60" s="81"/>
      <c r="Z60" s="80"/>
      <c r="AA60" s="80" t="str">
        <f>IF(B60="","",VLOOKUP(AD60,Varsayımlar!$B:$Q,15,0))</f>
        <v>25cm Perforeli-Bulgarca TB etiket</v>
      </c>
      <c r="AB60" s="80" t="str">
        <f>IF(B60="","",VLOOKUP(AD60,Varsayımlar!$B:$Q,16,0))</f>
        <v>24-26 cm</v>
      </c>
      <c r="AC60" s="80" t="str">
        <f>IF(B60="","",VLOOKUP(Sayfa1!AD57,Varsayımlar!B:S,18,0))</f>
        <v>80x120cm -Epal+Epal</v>
      </c>
      <c r="AD60" s="57" t="str">
        <f>IF(B60="","",CONCATENATE(B60,E60))</f>
        <v>TASTE LAND-BULGARİSTANTortillas 25cm Tam Buğday 10pcs 650g</v>
      </c>
    </row>
    <row r="61" spans="1:30" ht="31.5" x14ac:dyDescent="0.25">
      <c r="A61" s="8" t="s">
        <v>89</v>
      </c>
      <c r="B61" s="79" t="s">
        <v>218</v>
      </c>
      <c r="C61" s="44">
        <f>IF(B61="","",VLOOKUP(AD61,Varsayımlar!$B:$Q,3,0))</f>
        <v>8698829380698</v>
      </c>
      <c r="D61" s="44" t="s">
        <v>160</v>
      </c>
      <c r="E61" s="79" t="s">
        <v>232</v>
      </c>
      <c r="F61" s="80">
        <v>26042907</v>
      </c>
      <c r="G61" s="44"/>
      <c r="H61" s="80" t="str">
        <f>IF(B61="","",VLOOKUP(AD61,Varsayımlar!$B:$Q,5,0))</f>
        <v>Tortillas Avrupa 25cm Domatesli (074)</v>
      </c>
      <c r="I61" s="80">
        <f>IF(B61="","",VLOOKUP(AD61,Varsayımlar!B:T,19,0))</f>
        <v>0</v>
      </c>
      <c r="J61" s="80" t="str">
        <f>IF(B61="","",VLOOKUP(AD61,Varsayımlar!$B:$Q,6,0))</f>
        <v>Domatesli</v>
      </c>
      <c r="K61" s="80">
        <v>480</v>
      </c>
      <c r="L61" s="80"/>
      <c r="M61" s="80">
        <f>IFERROR(IF(B61="","",K61/VLOOKUP(AD61,Varsayımlar!B:R,17,0)),"")</f>
        <v>4</v>
      </c>
      <c r="N61" s="80"/>
      <c r="O61" s="80">
        <v>5</v>
      </c>
      <c r="P61" s="80">
        <f>IF(B61="","",VLOOKUP(AD61,Varsayımlar!$B:$Q,7,0)*K61)</f>
        <v>5760</v>
      </c>
      <c r="Q61" s="80">
        <f>IF(B61="","",VLOOKUP(AD61,Varsayımlar!$B:$Q,8,0))</f>
        <v>25</v>
      </c>
      <c r="R61" s="80" t="str">
        <f>IF(B61="","",VLOOKUP(AD61,Varsayımlar!$B:$Q,9,0))</f>
        <v>Irak Soft</v>
      </c>
      <c r="S61" s="80">
        <f>IF(B61="","",VLOOKUP(AD61,Varsayımlar!$B:$Q,10,0))</f>
        <v>6</v>
      </c>
      <c r="T61" s="80">
        <f>IF(B61="","",VLOOKUP(AD61,Varsayımlar!$B:$Q,11,0))</f>
        <v>12</v>
      </c>
      <c r="U61" s="80">
        <f>IF(B61="","",VLOOKUP(AD61,Varsayımlar!$B:$Q,12,0))</f>
        <v>390</v>
      </c>
      <c r="V61" s="80" t="str">
        <f>IF(B61="","",VLOOKUP(AD61,Varsayımlar!$B:$Q,13,0))</f>
        <v>Yurtdışı</v>
      </c>
      <c r="W61" s="80">
        <f>IF(B61="","",VLOOKUP(AD61,Varsayımlar!$B:$Q,14,0))</f>
        <v>9</v>
      </c>
      <c r="X61" s="81"/>
      <c r="Y61" s="81"/>
      <c r="Z61" s="80"/>
      <c r="AA61" s="80" t="str">
        <f>IF(B61="","",VLOOKUP(AD61,Varsayımlar!$B:$Q,15,0))</f>
        <v>25cm Perforeli-Bulgarca Domatesli etiket</v>
      </c>
      <c r="AB61" s="80" t="str">
        <f>IF(B61="","",VLOOKUP(AD61,Varsayımlar!$B:$Q,16,0))</f>
        <v>24-26 cm</v>
      </c>
      <c r="AC61" s="80" t="str">
        <f>IF(B61="","",VLOOKUP(Sayfa1!AD58,Varsayımlar!B:S,18,0))</f>
        <v>80x120cm -Epal+Epal</v>
      </c>
      <c r="AD61" s="57" t="str">
        <f t="shared" ref="AD61:AD70" si="5">IF(B61="","",CONCATENATE(B61,E61))</f>
        <v>TASTE LAND-BULGARİSTANTortillas 25cm Domatesli 6pcs 390g</v>
      </c>
    </row>
    <row r="62" spans="1:30" ht="31.5" x14ac:dyDescent="0.25">
      <c r="A62" s="8" t="s">
        <v>90</v>
      </c>
      <c r="B62" s="79" t="s">
        <v>218</v>
      </c>
      <c r="C62" s="44">
        <f>IF(B62="","",VLOOKUP(AD62,Varsayımlar!$B:$Q,3,0))</f>
        <v>8698829380698</v>
      </c>
      <c r="D62" s="44" t="s">
        <v>160</v>
      </c>
      <c r="E62" s="79" t="s">
        <v>235</v>
      </c>
      <c r="F62" s="80">
        <v>26042907</v>
      </c>
      <c r="G62" s="44"/>
      <c r="H62" s="80" t="str">
        <f>IF(B62="","",VLOOKUP(AD62,Varsayımlar!$B:$Q,5,0))</f>
        <v>Tortillas Avrupa 25cm Ispanaklı (081)</v>
      </c>
      <c r="I62" s="80">
        <f>IF(B62="","",VLOOKUP(AD62,Varsayımlar!B:T,19,0))</f>
        <v>0</v>
      </c>
      <c r="J62" s="80" t="str">
        <f>IF(B62="","",VLOOKUP(AD62,Varsayımlar!$B:$Q,6,0))</f>
        <v>Ispanaklı</v>
      </c>
      <c r="K62" s="80">
        <v>480</v>
      </c>
      <c r="L62" s="80"/>
      <c r="M62" s="80">
        <f>IFERROR(IF(B62="","",K62/VLOOKUP(AD62,Varsayımlar!B:R,17,0)),"")</f>
        <v>4</v>
      </c>
      <c r="N62" s="80"/>
      <c r="O62" s="80">
        <v>5</v>
      </c>
      <c r="P62" s="80">
        <f>IF(B62="","",VLOOKUP(AD62,Varsayımlar!$B:$Q,7,0)*K62)</f>
        <v>5760</v>
      </c>
      <c r="Q62" s="80">
        <f>IF(B62="","",VLOOKUP(AD62,Varsayımlar!$B:$Q,8,0))</f>
        <v>25</v>
      </c>
      <c r="R62" s="80" t="str">
        <f>IF(B62="","",VLOOKUP(AD62,Varsayımlar!$B:$Q,9,0))</f>
        <v>Irak Soft</v>
      </c>
      <c r="S62" s="80">
        <f>IF(B62="","",VLOOKUP(AD62,Varsayımlar!$B:$Q,10,0))</f>
        <v>6</v>
      </c>
      <c r="T62" s="80">
        <f>IF(B62="","",VLOOKUP(AD62,Varsayımlar!$B:$Q,11,0))</f>
        <v>12</v>
      </c>
      <c r="U62" s="80">
        <f>IF(B62="","",VLOOKUP(AD62,Varsayımlar!$B:$Q,12,0))</f>
        <v>390</v>
      </c>
      <c r="V62" s="80" t="str">
        <f>IF(B62="","",VLOOKUP(AD62,Varsayımlar!$B:$Q,13,0))</f>
        <v>Yurtdışı</v>
      </c>
      <c r="W62" s="80">
        <f>IF(B62="","",VLOOKUP(AD62,Varsayımlar!$B:$Q,14,0))</f>
        <v>9</v>
      </c>
      <c r="X62" s="81"/>
      <c r="Y62" s="81"/>
      <c r="Z62" s="80"/>
      <c r="AA62" s="80" t="str">
        <f>IF(B62="","",VLOOKUP(AD62,Varsayımlar!$B:$Q,15,0))</f>
        <v>25cm Perforeli-Bulgarca Ispanaklı etiket</v>
      </c>
      <c r="AB62" s="80" t="str">
        <f>IF(B62="","",VLOOKUP(AD62,Varsayımlar!$B:$Q,16,0))</f>
        <v>24-26 cm</v>
      </c>
      <c r="AC62" s="80" t="str">
        <f>IF(B62="","",VLOOKUP(Sayfa1!AD59,Varsayımlar!B:S,18,0))</f>
        <v>80x120cm -Epal+Epal</v>
      </c>
      <c r="AD62" s="57" t="str">
        <f t="shared" si="5"/>
        <v>TASTE LAND-BULGARİSTANTortillas 25cm Ispanaklı 6pcs 390g</v>
      </c>
    </row>
    <row r="63" spans="1:30" ht="31.5" x14ac:dyDescent="0.25">
      <c r="A63" s="8" t="s">
        <v>91</v>
      </c>
      <c r="B63" s="79" t="s">
        <v>218</v>
      </c>
      <c r="C63" s="44">
        <f>IF(B63="","",VLOOKUP(AD63,Varsayımlar!$B:$Q,3,0))</f>
        <v>8698829380698</v>
      </c>
      <c r="D63" s="44" t="s">
        <v>160</v>
      </c>
      <c r="E63" s="79" t="s">
        <v>240</v>
      </c>
      <c r="F63" s="80">
        <v>26042907</v>
      </c>
      <c r="G63" s="44"/>
      <c r="H63" s="80" t="str">
        <f>IF(B63="","",VLOOKUP(AD63,Varsayımlar!$B:$Q,5,0))</f>
        <v>Tortillas Avrupa 25cm Peynirli (098)</v>
      </c>
      <c r="I63" s="80">
        <f>IF(B63="","",VLOOKUP(AD63,Varsayımlar!B:T,19,0))</f>
        <v>0</v>
      </c>
      <c r="J63" s="80" t="str">
        <f>IF(B63="","",VLOOKUP(AD63,Varsayımlar!$B:$Q,6,0))</f>
        <v>Peynirli</v>
      </c>
      <c r="K63" s="80">
        <v>360</v>
      </c>
      <c r="L63" s="80"/>
      <c r="M63" s="80">
        <f>IFERROR(IF(B63="","",K63/VLOOKUP(AD63,Varsayımlar!B:R,17,0)),"")</f>
        <v>3</v>
      </c>
      <c r="N63" s="80"/>
      <c r="O63" s="80">
        <v>4</v>
      </c>
      <c r="P63" s="80">
        <f>IF(B63="","",VLOOKUP(AD63,Varsayımlar!$B:$Q,7,0)*K63)</f>
        <v>4320</v>
      </c>
      <c r="Q63" s="80">
        <f>IF(B63="","",VLOOKUP(AD63,Varsayımlar!$B:$Q,8,0))</f>
        <v>25</v>
      </c>
      <c r="R63" s="80" t="str">
        <f>IF(B63="","",VLOOKUP(AD63,Varsayımlar!$B:$Q,9,0))</f>
        <v>Irak Soft-AT</v>
      </c>
      <c r="S63" s="80">
        <f>IF(B63="","",VLOOKUP(AD63,Varsayımlar!$B:$Q,10,0))</f>
        <v>6</v>
      </c>
      <c r="T63" s="80">
        <f>IF(B63="","",VLOOKUP(AD63,Varsayımlar!$B:$Q,11,0))</f>
        <v>12</v>
      </c>
      <c r="U63" s="80">
        <f>IF(B63="","",VLOOKUP(AD63,Varsayımlar!$B:$Q,12,0))</f>
        <v>390</v>
      </c>
      <c r="V63" s="80" t="str">
        <f>IF(B63="","",VLOOKUP(AD63,Varsayımlar!$B:$Q,13,0))</f>
        <v>Yurtdışı</v>
      </c>
      <c r="W63" s="80">
        <f>IF(B63="","",VLOOKUP(AD63,Varsayımlar!$B:$Q,14,0))</f>
        <v>9</v>
      </c>
      <c r="X63" s="81"/>
      <c r="Y63" s="81"/>
      <c r="Z63" s="80"/>
      <c r="AA63" s="80" t="str">
        <f>IF(B63="","",VLOOKUP(AD63,Varsayımlar!$B:$Q,15,0))</f>
        <v>25cm Perforeli-Bulgarca Peynirli etiket</v>
      </c>
      <c r="AB63" s="80" t="str">
        <f>IF(B63="","",VLOOKUP(AD63,Varsayımlar!$B:$Q,16,0))</f>
        <v>24-26 cm</v>
      </c>
      <c r="AC63" s="80" t="str">
        <f>IF(B63="","",VLOOKUP(Sayfa1!AD60,Varsayımlar!B:S,18,0))</f>
        <v>80x120cm -Epal+Epal</v>
      </c>
      <c r="AD63" s="57" t="str">
        <f t="shared" si="5"/>
        <v>TASTE LAND-BULGARİSTANTortillas 25cm Peynirli 6pcs 390g</v>
      </c>
    </row>
    <row r="64" spans="1:30" ht="31.5" x14ac:dyDescent="0.25">
      <c r="A64" s="8" t="s">
        <v>92</v>
      </c>
      <c r="B64" s="74" t="s">
        <v>218</v>
      </c>
      <c r="C64" s="43">
        <f>IF(B64="","",VLOOKUP(AD64,Varsayımlar!$B:$Q,3,0))</f>
        <v>8698829380698</v>
      </c>
      <c r="D64" s="43" t="s">
        <v>161</v>
      </c>
      <c r="E64" s="74" t="s">
        <v>228</v>
      </c>
      <c r="F64" s="75" t="s">
        <v>341</v>
      </c>
      <c r="G64" s="43"/>
      <c r="H64" s="75" t="str">
        <f>IF(B64="","",VLOOKUP(AD64,Varsayımlar!$B:$Q,5,0))</f>
        <v>Tortillas Avrupa 25cm (698)</v>
      </c>
      <c r="I64" s="75">
        <f>IF(B64="","",VLOOKUP(AD64,Varsayımlar!B:T,19,0))</f>
        <v>0</v>
      </c>
      <c r="J64" s="75" t="str">
        <f>IF(B64="","",VLOOKUP(AD64,Varsayımlar!$B:$Q,6,0))</f>
        <v>SADE</v>
      </c>
      <c r="K64" s="75">
        <v>720</v>
      </c>
      <c r="L64" s="75"/>
      <c r="M64" s="75">
        <f>IFERROR(IF(B64="","",K64/VLOOKUP(AD64,Varsayımlar!B:R,17,0)),"")</f>
        <v>6</v>
      </c>
      <c r="N64" s="75"/>
      <c r="O64" s="75">
        <v>7</v>
      </c>
      <c r="P64" s="75">
        <f>IF(B64="","",VLOOKUP(AD64,Varsayımlar!$B:$Q,7,0)*K64)</f>
        <v>5760</v>
      </c>
      <c r="Q64" s="75">
        <f>IF(B64="","",VLOOKUP(AD64,Varsayımlar!$B:$Q,8,0))</f>
        <v>25</v>
      </c>
      <c r="R64" s="75" t="str">
        <f>IF(B64="","",VLOOKUP(AD64,Varsayımlar!$B:$Q,9,0))</f>
        <v>Irak Soft</v>
      </c>
      <c r="S64" s="75">
        <f>IF(B64="","",VLOOKUP(AD64,Varsayımlar!$B:$Q,10,0))</f>
        <v>10</v>
      </c>
      <c r="T64" s="75">
        <f>IF(B64="","",VLOOKUP(AD64,Varsayımlar!$B:$Q,11,0))</f>
        <v>8</v>
      </c>
      <c r="U64" s="75">
        <f>IF(B64="","",VLOOKUP(AD64,Varsayımlar!$B:$Q,12,0))</f>
        <v>650</v>
      </c>
      <c r="V64" s="75" t="str">
        <f>IF(B64="","",VLOOKUP(AD64,Varsayımlar!$B:$Q,13,0))</f>
        <v>Yurtdışı</v>
      </c>
      <c r="W64" s="75">
        <f>IF(B64="","",VLOOKUP(AD64,Varsayımlar!$B:$Q,14,0))</f>
        <v>9</v>
      </c>
      <c r="X64" s="76"/>
      <c r="Y64" s="76"/>
      <c r="Z64" s="75"/>
      <c r="AA64" s="75" t="str">
        <f>IF(B64="","",VLOOKUP(AD64,Varsayımlar!$B:$Q,15,0))</f>
        <v>25cm Perforeli-Bulgarca etiket</v>
      </c>
      <c r="AB64" s="75" t="str">
        <f>IF(B64="","",VLOOKUP(AD64,Varsayımlar!$B:$Q,16,0))</f>
        <v>24-26 cm</v>
      </c>
      <c r="AC64" s="75" t="str">
        <f>IF(B64="","",VLOOKUP(Sayfa1!AD61,Varsayımlar!B:S,18,0))</f>
        <v>80x120cm -Epal+Epal</v>
      </c>
      <c r="AD64" s="57" t="str">
        <f t="shared" si="5"/>
        <v>TASTE LAND-BULGARİSTANTortillas 25cm Sade 10pcs 650g</v>
      </c>
    </row>
    <row r="65" spans="1:30" ht="31.5" x14ac:dyDescent="0.25">
      <c r="A65" s="8" t="s">
        <v>93</v>
      </c>
      <c r="B65" s="74" t="s">
        <v>218</v>
      </c>
      <c r="C65" s="43">
        <f>IF(B65="","",VLOOKUP(AD65,Varsayımlar!$B:$Q,3,0))</f>
        <v>8698829380698</v>
      </c>
      <c r="D65" s="43" t="s">
        <v>161</v>
      </c>
      <c r="E65" s="74" t="s">
        <v>250</v>
      </c>
      <c r="F65" s="75" t="s">
        <v>341</v>
      </c>
      <c r="G65" s="43"/>
      <c r="H65" s="75" t="str">
        <f>IF(B65="","",VLOOKUP(AD65,Varsayımlar!$B:$Q,5,0))</f>
        <v>Tortillas Avrupa 25cm (698)</v>
      </c>
      <c r="I65" s="75" t="str">
        <f>IF(B65="","",VLOOKUP(AD65,Varsayımlar!B:T,19,0))</f>
        <v>Barkod üzerine Barkod Etiketi (050)</v>
      </c>
      <c r="J65" s="75" t="str">
        <f>IF(B65="","",VLOOKUP(AD65,Varsayımlar!$B:$Q,6,0))</f>
        <v>SADE</v>
      </c>
      <c r="K65" s="75">
        <v>168</v>
      </c>
      <c r="L65" s="75"/>
      <c r="M65" s="75">
        <f>IFERROR(IF(B65="","",K65/VLOOKUP(AD65,Varsayımlar!B:R,17,0)),"")</f>
        <v>2</v>
      </c>
      <c r="N65" s="75"/>
      <c r="O65" s="75">
        <v>3</v>
      </c>
      <c r="P65" s="75">
        <f>IF(B65="","",VLOOKUP(AD65,Varsayımlar!$B:$Q,7,0)*K65)</f>
        <v>3024</v>
      </c>
      <c r="Q65" s="75">
        <f>IF(B65="","",VLOOKUP(AD65,Varsayımlar!$B:$Q,8,0))</f>
        <v>25</v>
      </c>
      <c r="R65" s="75" t="str">
        <f>IF(B65="","",VLOOKUP(AD65,Varsayımlar!$B:$Q,9,0))</f>
        <v>Irak Soft</v>
      </c>
      <c r="S65" s="75">
        <f>IF(B65="","",VLOOKUP(AD65,Varsayımlar!$B:$Q,10,0))</f>
        <v>6</v>
      </c>
      <c r="T65" s="75">
        <f>IF(B65="","",VLOOKUP(AD65,Varsayımlar!$B:$Q,11,0))</f>
        <v>18</v>
      </c>
      <c r="U65" s="75">
        <f>IF(B65="","",VLOOKUP(AD65,Varsayımlar!$B:$Q,12,0))</f>
        <v>390</v>
      </c>
      <c r="V65" s="75" t="str">
        <f>IF(B65="","",VLOOKUP(AD65,Varsayımlar!$B:$Q,13,0))</f>
        <v>Yurtdışı</v>
      </c>
      <c r="W65" s="75">
        <f>IF(B65="","",VLOOKUP(AD65,Varsayımlar!$B:$Q,14,0))</f>
        <v>9</v>
      </c>
      <c r="X65" s="76"/>
      <c r="Y65" s="76"/>
      <c r="Z65" s="75"/>
      <c r="AA65" s="75" t="str">
        <f>IF(B65="","",VLOOKUP(AD65,Varsayımlar!$B:$Q,15,0))</f>
        <v>25cm Kırmızı koli-Bulgarca Etiket</v>
      </c>
      <c r="AB65" s="75" t="str">
        <f>IF(B65="","",VLOOKUP(AD65,Varsayımlar!$B:$Q,16,0))</f>
        <v>24-26 cm</v>
      </c>
      <c r="AC65" s="75" t="str">
        <f>IF(B65="","",VLOOKUP(Sayfa1!AD62,Varsayımlar!B:S,18,0))</f>
        <v>80x120cm -Epal+Epal</v>
      </c>
      <c r="AD65" s="57" t="str">
        <f t="shared" si="5"/>
        <v>TASTE LAND-BULGARİSTANTortillas 25cm Sade 6pcs 390g</v>
      </c>
    </row>
    <row r="66" spans="1:30" ht="31.5" x14ac:dyDescent="0.25">
      <c r="A66" s="8" t="s">
        <v>135</v>
      </c>
      <c r="B66" s="74" t="s">
        <v>218</v>
      </c>
      <c r="C66" s="43">
        <f>IF(B66="","",VLOOKUP(AD66,Varsayımlar!$B:$Q,3,0))</f>
        <v>8698829380698</v>
      </c>
      <c r="D66" s="43" t="s">
        <v>161</v>
      </c>
      <c r="E66" s="74" t="s">
        <v>229</v>
      </c>
      <c r="F66" s="75" t="s">
        <v>341</v>
      </c>
      <c r="G66" s="43"/>
      <c r="H66" s="75" t="str">
        <f>IF(B66="","",VLOOKUP(AD66,Varsayımlar!$B:$Q,5,0))</f>
        <v>Tortillas Avrupa 25cm Tam Buğday (711)</v>
      </c>
      <c r="I66" s="75">
        <f>IF(B66="","",VLOOKUP(AD66,Varsayımlar!B:T,19,0))</f>
        <v>0</v>
      </c>
      <c r="J66" s="75" t="str">
        <f>IF(B66="","",VLOOKUP(AD66,Varsayımlar!$B:$Q,6,0))</f>
        <v>Tam Buğdaylı</v>
      </c>
      <c r="K66" s="75">
        <v>840</v>
      </c>
      <c r="L66" s="75"/>
      <c r="M66" s="75">
        <f>IFERROR(IF(B66="","",K66/VLOOKUP(AD66,Varsayımlar!B:R,17,0)),"")</f>
        <v>7</v>
      </c>
      <c r="N66" s="75"/>
      <c r="O66" s="75">
        <v>9</v>
      </c>
      <c r="P66" s="75">
        <f>IF(B66="","",VLOOKUP(AD66,Varsayımlar!$B:$Q,7,0)*K66)</f>
        <v>6720</v>
      </c>
      <c r="Q66" s="75">
        <f>IF(B66="","",VLOOKUP(AD66,Varsayımlar!$B:$Q,8,0))</f>
        <v>25</v>
      </c>
      <c r="R66" s="75" t="str">
        <f>IF(B66="","",VLOOKUP(AD66,Varsayımlar!$B:$Q,9,0))</f>
        <v>Irak Soft</v>
      </c>
      <c r="S66" s="75">
        <f>IF(B66="","",VLOOKUP(AD66,Varsayımlar!$B:$Q,10,0))</f>
        <v>10</v>
      </c>
      <c r="T66" s="75">
        <f>IF(B66="","",VLOOKUP(AD66,Varsayımlar!$B:$Q,11,0))</f>
        <v>8</v>
      </c>
      <c r="U66" s="75">
        <f>IF(B66="","",VLOOKUP(AD66,Varsayımlar!$B:$Q,12,0))</f>
        <v>650</v>
      </c>
      <c r="V66" s="75" t="str">
        <f>IF(B66="","",VLOOKUP(AD66,Varsayımlar!$B:$Q,13,0))</f>
        <v>Yurtdışı</v>
      </c>
      <c r="W66" s="75">
        <f>IF(B66="","",VLOOKUP(AD66,Varsayımlar!$B:$Q,14,0))</f>
        <v>9</v>
      </c>
      <c r="X66" s="76"/>
      <c r="Y66" s="76"/>
      <c r="Z66" s="75"/>
      <c r="AA66" s="75" t="str">
        <f>IF(B66="","",VLOOKUP(AD66,Varsayımlar!$B:$Q,15,0))</f>
        <v>25cm Perforeli-Bulgarca TB etiket</v>
      </c>
      <c r="AB66" s="75" t="str">
        <f>IF(B66="","",VLOOKUP(AD66,Varsayımlar!$B:$Q,16,0))</f>
        <v>24-26 cm</v>
      </c>
      <c r="AC66" s="75" t="str">
        <f>IF(B66="","",VLOOKUP(Sayfa1!AD63,Varsayımlar!B:S,18,0))</f>
        <v>80x120cm -Epal+Epal</v>
      </c>
      <c r="AD66" s="57" t="str">
        <f t="shared" si="5"/>
        <v>TASTE LAND-BULGARİSTANTortillas 25cm Tam Buğday 10pcs 650g</v>
      </c>
    </row>
    <row r="67" spans="1:30" ht="31.5" x14ac:dyDescent="0.25">
      <c r="A67" s="8" t="s">
        <v>136</v>
      </c>
      <c r="B67" s="74" t="s">
        <v>218</v>
      </c>
      <c r="C67" s="43">
        <f>IF(B67="","",VLOOKUP(AD67,Varsayımlar!$B:$Q,3,0))</f>
        <v>8698829380698</v>
      </c>
      <c r="D67" s="43" t="s">
        <v>161</v>
      </c>
      <c r="E67" s="74" t="s">
        <v>251</v>
      </c>
      <c r="F67" s="75" t="s">
        <v>341</v>
      </c>
      <c r="G67" s="43"/>
      <c r="H67" s="75" t="str">
        <f>IF(B67="","",VLOOKUP(AD67,Varsayımlar!$B:$Q,5,0))</f>
        <v>Tortillas Avrupa 25cm TB (711)</v>
      </c>
      <c r="I67" s="75" t="str">
        <f>IF(B67="","",VLOOKUP(AD67,Varsayımlar!B:T,19,0))</f>
        <v>Barkod üzerine Barkod Etiketi (067)</v>
      </c>
      <c r="J67" s="75" t="str">
        <f>IF(B67="","",VLOOKUP(AD67,Varsayımlar!$B:$Q,6,0))</f>
        <v>Tam Buğdaylı</v>
      </c>
      <c r="K67" s="75">
        <v>84</v>
      </c>
      <c r="L67" s="75"/>
      <c r="M67" s="75">
        <f>IFERROR(IF(B67="","",K67/VLOOKUP(AD67,Varsayımlar!B:R,17,0)),"")</f>
        <v>1</v>
      </c>
      <c r="N67" s="75"/>
      <c r="O67" s="75">
        <v>2</v>
      </c>
      <c r="P67" s="75">
        <f>IF(B67="","",VLOOKUP(AD67,Varsayımlar!$B:$Q,7,0)*K67)</f>
        <v>1512</v>
      </c>
      <c r="Q67" s="75">
        <f>IF(B67="","",VLOOKUP(AD67,Varsayımlar!$B:$Q,8,0))</f>
        <v>25</v>
      </c>
      <c r="R67" s="75" t="str">
        <f>IF(B67="","",VLOOKUP(AD67,Varsayımlar!$B:$Q,9,0))</f>
        <v>Irak Soft</v>
      </c>
      <c r="S67" s="75">
        <f>IF(B67="","",VLOOKUP(AD67,Varsayımlar!$B:$Q,10,0))</f>
        <v>6</v>
      </c>
      <c r="T67" s="75">
        <f>IF(B67="","",VLOOKUP(AD67,Varsayımlar!$B:$Q,11,0))</f>
        <v>18</v>
      </c>
      <c r="U67" s="75">
        <f>IF(B67="","",VLOOKUP(AD67,Varsayımlar!$B:$Q,12,0))</f>
        <v>390</v>
      </c>
      <c r="V67" s="75" t="str">
        <f>IF(B67="","",VLOOKUP(AD67,Varsayımlar!$B:$Q,13,0))</f>
        <v>Yurtdışı</v>
      </c>
      <c r="W67" s="75">
        <f>IF(B67="","",VLOOKUP(AD67,Varsayımlar!$B:$Q,14,0))</f>
        <v>9</v>
      </c>
      <c r="X67" s="76"/>
      <c r="Y67" s="76"/>
      <c r="Z67" s="75"/>
      <c r="AA67" s="75" t="str">
        <f>IF(B67="","",VLOOKUP(AD67,Varsayımlar!$B:$Q,15,0))</f>
        <v>25cm Kırmızı koli-Bulgarca TB Etiket</v>
      </c>
      <c r="AB67" s="75" t="str">
        <f>IF(B67="","",VLOOKUP(AD67,Varsayımlar!$B:$Q,16,0))</f>
        <v>24-26 cm</v>
      </c>
      <c r="AC67" s="75" t="str">
        <f>IF(B67="","",VLOOKUP(Sayfa1!AD64,Varsayımlar!B:S,18,0))</f>
        <v>80x120cm -Epal+Epal</v>
      </c>
      <c r="AD67" s="57" t="str">
        <f t="shared" si="5"/>
        <v>TASTE LAND-BULGARİSTANTortillas 25cm TB 6pcs 390g</v>
      </c>
    </row>
    <row r="68" spans="1:30" ht="31.5" x14ac:dyDescent="0.25">
      <c r="A68" s="8" t="s">
        <v>137</v>
      </c>
      <c r="B68" s="74" t="s">
        <v>218</v>
      </c>
      <c r="C68" s="43">
        <f>IF(B68="","",VLOOKUP(AD68,Varsayımlar!$B:$Q,3,0))</f>
        <v>8698829380698</v>
      </c>
      <c r="D68" s="43" t="s">
        <v>161</v>
      </c>
      <c r="E68" s="74" t="s">
        <v>232</v>
      </c>
      <c r="F68" s="75" t="s">
        <v>341</v>
      </c>
      <c r="G68" s="43"/>
      <c r="H68" s="75" t="str">
        <f>IF(B68="","",VLOOKUP(AD68,Varsayımlar!$B:$Q,5,0))</f>
        <v>Tortillas Avrupa 25cm Domatesli (074)</v>
      </c>
      <c r="I68" s="75">
        <f>IF(B68="","",VLOOKUP(AD68,Varsayımlar!B:T,19,0))</f>
        <v>0</v>
      </c>
      <c r="J68" s="75" t="str">
        <f>IF(B68="","",VLOOKUP(AD68,Varsayımlar!$B:$Q,6,0))</f>
        <v>Domatesli</v>
      </c>
      <c r="K68" s="75">
        <v>240</v>
      </c>
      <c r="L68" s="75"/>
      <c r="M68" s="75">
        <f>IFERROR(IF(B68="","",K68/VLOOKUP(AD68,Varsayımlar!B:R,17,0)),"")</f>
        <v>2</v>
      </c>
      <c r="N68" s="75"/>
      <c r="O68" s="75">
        <v>3</v>
      </c>
      <c r="P68" s="75">
        <f>IF(B68="","",VLOOKUP(AD68,Varsayımlar!$B:$Q,7,0)*K68)</f>
        <v>2880</v>
      </c>
      <c r="Q68" s="75">
        <f>IF(B68="","",VLOOKUP(AD68,Varsayımlar!$B:$Q,8,0))</f>
        <v>25</v>
      </c>
      <c r="R68" s="75" t="str">
        <f>IF(B68="","",VLOOKUP(AD68,Varsayımlar!$B:$Q,9,0))</f>
        <v>Irak Soft</v>
      </c>
      <c r="S68" s="75">
        <f>IF(B68="","",VLOOKUP(AD68,Varsayımlar!$B:$Q,10,0))</f>
        <v>6</v>
      </c>
      <c r="T68" s="75">
        <f>IF(B68="","",VLOOKUP(AD68,Varsayımlar!$B:$Q,11,0))</f>
        <v>12</v>
      </c>
      <c r="U68" s="75">
        <f>IF(B68="","",VLOOKUP(AD68,Varsayımlar!$B:$Q,12,0))</f>
        <v>390</v>
      </c>
      <c r="V68" s="75" t="str">
        <f>IF(B68="","",VLOOKUP(AD68,Varsayımlar!$B:$Q,13,0))</f>
        <v>Yurtdışı</v>
      </c>
      <c r="W68" s="75">
        <f>IF(B68="","",VLOOKUP(AD68,Varsayımlar!$B:$Q,14,0))</f>
        <v>9</v>
      </c>
      <c r="X68" s="76"/>
      <c r="Y68" s="76"/>
      <c r="Z68" s="75"/>
      <c r="AA68" s="75" t="str">
        <f>IF(B68="","",VLOOKUP(AD68,Varsayımlar!$B:$Q,15,0))</f>
        <v>25cm Perforeli-Bulgarca Domatesli etiket</v>
      </c>
      <c r="AB68" s="75" t="str">
        <f>IF(B68="","",VLOOKUP(AD68,Varsayımlar!$B:$Q,16,0))</f>
        <v>24-26 cm</v>
      </c>
      <c r="AC68" s="75" t="str">
        <f>IF(B68="","",VLOOKUP(Sayfa1!AD65,Varsayımlar!B:S,18,0))</f>
        <v>80x120cm -Epal+Epal</v>
      </c>
      <c r="AD68" s="57" t="str">
        <f t="shared" si="5"/>
        <v>TASTE LAND-BULGARİSTANTortillas 25cm Domatesli 6pcs 390g</v>
      </c>
    </row>
    <row r="69" spans="1:30" ht="31.5" x14ac:dyDescent="0.25">
      <c r="A69" s="8" t="s">
        <v>138</v>
      </c>
      <c r="B69" s="74" t="s">
        <v>218</v>
      </c>
      <c r="C69" s="43">
        <f>IF(B69="","",VLOOKUP(AD69,Varsayımlar!$B:$Q,3,0))</f>
        <v>8698829380698</v>
      </c>
      <c r="D69" s="43" t="s">
        <v>161</v>
      </c>
      <c r="E69" s="74" t="s">
        <v>235</v>
      </c>
      <c r="F69" s="75" t="s">
        <v>341</v>
      </c>
      <c r="G69" s="43"/>
      <c r="H69" s="75" t="str">
        <f>IF(B69="","",VLOOKUP(AD69,Varsayımlar!$B:$Q,5,0))</f>
        <v>Tortillas Avrupa 25cm Ispanaklı (081)</v>
      </c>
      <c r="I69" s="75">
        <f>IF(B69="","",VLOOKUP(AD69,Varsayımlar!B:T,19,0))</f>
        <v>0</v>
      </c>
      <c r="J69" s="75" t="str">
        <f>IF(B69="","",VLOOKUP(AD69,Varsayımlar!$B:$Q,6,0))</f>
        <v>Ispanaklı</v>
      </c>
      <c r="K69" s="75">
        <v>240</v>
      </c>
      <c r="L69" s="75"/>
      <c r="M69" s="75">
        <f>IFERROR(IF(B69="","",K69/VLOOKUP(AD69,Varsayımlar!B:R,17,0)),"")</f>
        <v>2</v>
      </c>
      <c r="N69" s="75"/>
      <c r="O69" s="75">
        <v>3</v>
      </c>
      <c r="P69" s="75">
        <f>IF(B69="","",VLOOKUP(AD69,Varsayımlar!$B:$Q,7,0)*K69)</f>
        <v>2880</v>
      </c>
      <c r="Q69" s="75">
        <f>IF(B69="","",VLOOKUP(AD69,Varsayımlar!$B:$Q,8,0))</f>
        <v>25</v>
      </c>
      <c r="R69" s="75" t="str">
        <f>IF(B69="","",VLOOKUP(AD69,Varsayımlar!$B:$Q,9,0))</f>
        <v>Irak Soft</v>
      </c>
      <c r="S69" s="75">
        <f>IF(B69="","",VLOOKUP(AD69,Varsayımlar!$B:$Q,10,0))</f>
        <v>6</v>
      </c>
      <c r="T69" s="75">
        <f>IF(B69="","",VLOOKUP(AD69,Varsayımlar!$B:$Q,11,0))</f>
        <v>12</v>
      </c>
      <c r="U69" s="75">
        <f>IF(B69="","",VLOOKUP(AD69,Varsayımlar!$B:$Q,12,0))</f>
        <v>390</v>
      </c>
      <c r="V69" s="75" t="str">
        <f>IF(B69="","",VLOOKUP(AD69,Varsayımlar!$B:$Q,13,0))</f>
        <v>Yurtdışı</v>
      </c>
      <c r="W69" s="75">
        <f>IF(B69="","",VLOOKUP(AD69,Varsayımlar!$B:$Q,14,0))</f>
        <v>9</v>
      </c>
      <c r="X69" s="76"/>
      <c r="Y69" s="76"/>
      <c r="Z69" s="75"/>
      <c r="AA69" s="75" t="str">
        <f>IF(B69="","",VLOOKUP(AD69,Varsayımlar!$B:$Q,15,0))</f>
        <v>25cm Perforeli-Bulgarca Ispanaklı etiket</v>
      </c>
      <c r="AB69" s="75" t="str">
        <f>IF(B69="","",VLOOKUP(AD69,Varsayımlar!$B:$Q,16,0))</f>
        <v>24-26 cm</v>
      </c>
      <c r="AC69" s="75" t="str">
        <f>IF(B69="","",VLOOKUP(Sayfa1!AD66,Varsayımlar!B:S,18,0))</f>
        <v>80x120cm -Epal+Epal</v>
      </c>
      <c r="AD69" s="57" t="str">
        <f t="shared" si="5"/>
        <v>TASTE LAND-BULGARİSTANTortillas 25cm Ispanaklı 6pcs 390g</v>
      </c>
    </row>
    <row r="70" spans="1:30" ht="31.5" x14ac:dyDescent="0.25">
      <c r="A70" s="8" t="s">
        <v>139</v>
      </c>
      <c r="B70" s="74" t="s">
        <v>218</v>
      </c>
      <c r="C70" s="43">
        <f>IF(B70="","",VLOOKUP(AD70,Varsayımlar!$B:$Q,3,0))</f>
        <v>8698829380698</v>
      </c>
      <c r="D70" s="43" t="s">
        <v>161</v>
      </c>
      <c r="E70" s="74" t="s">
        <v>240</v>
      </c>
      <c r="F70" s="75" t="s">
        <v>341</v>
      </c>
      <c r="G70" s="43"/>
      <c r="H70" s="75" t="str">
        <f>IF(B70="","",VLOOKUP(AD70,Varsayımlar!$B:$Q,5,0))</f>
        <v>Tortillas Avrupa 25cm Peynirli (098)</v>
      </c>
      <c r="I70" s="75">
        <f>IF(B70="","",VLOOKUP(AD70,Varsayımlar!B:T,19,0))</f>
        <v>0</v>
      </c>
      <c r="J70" s="75" t="str">
        <f>IF(B70="","",VLOOKUP(AD70,Varsayımlar!$B:$Q,6,0))</f>
        <v>Peynirli</v>
      </c>
      <c r="K70" s="75">
        <v>120</v>
      </c>
      <c r="L70" s="75"/>
      <c r="M70" s="75">
        <f>IFERROR(IF(B70="","",K70/VLOOKUP(AD70,Varsayımlar!B:R,17,0)),"")</f>
        <v>1</v>
      </c>
      <c r="N70" s="75"/>
      <c r="O70" s="75">
        <v>2</v>
      </c>
      <c r="P70" s="75">
        <f>IF(B70="","",VLOOKUP(AD70,Varsayımlar!$B:$Q,7,0)*K70)</f>
        <v>1440</v>
      </c>
      <c r="Q70" s="75">
        <f>IF(B70="","",VLOOKUP(AD70,Varsayımlar!$B:$Q,8,0))</f>
        <v>25</v>
      </c>
      <c r="R70" s="75" t="str">
        <f>IF(B70="","",VLOOKUP(AD70,Varsayımlar!$B:$Q,9,0))</f>
        <v>Irak Soft-AT</v>
      </c>
      <c r="S70" s="75">
        <f>IF(B70="","",VLOOKUP(AD70,Varsayımlar!$B:$Q,10,0))</f>
        <v>6</v>
      </c>
      <c r="T70" s="75">
        <f>IF(B70="","",VLOOKUP(AD70,Varsayımlar!$B:$Q,11,0))</f>
        <v>12</v>
      </c>
      <c r="U70" s="75">
        <f>IF(B70="","",VLOOKUP(AD70,Varsayımlar!$B:$Q,12,0))</f>
        <v>390</v>
      </c>
      <c r="V70" s="75" t="str">
        <f>IF(B70="","",VLOOKUP(AD70,Varsayımlar!$B:$Q,13,0))</f>
        <v>Yurtdışı</v>
      </c>
      <c r="W70" s="75">
        <f>IF(B70="","",VLOOKUP(AD70,Varsayımlar!$B:$Q,14,0))</f>
        <v>9</v>
      </c>
      <c r="X70" s="76"/>
      <c r="Y70" s="76"/>
      <c r="Z70" s="75"/>
      <c r="AA70" s="75" t="str">
        <f>IF(B70="","",VLOOKUP(AD70,Varsayımlar!$B:$Q,15,0))</f>
        <v>25cm Perforeli-Bulgarca Peynirli etiket</v>
      </c>
      <c r="AB70" s="75" t="str">
        <f>IF(B70="","",VLOOKUP(AD70,Varsayımlar!$B:$Q,16,0))</f>
        <v>24-26 cm</v>
      </c>
      <c r="AC70" s="75" t="str">
        <f>IF(B70="","",VLOOKUP(Sayfa1!AD67,Varsayımlar!B:S,18,0))</f>
        <v>80x120cm -Epal+Epal</v>
      </c>
      <c r="AD70" s="57" t="str">
        <f t="shared" si="5"/>
        <v>TASTE LAND-BULGARİSTANTortillas 25cm Peynirli 6pcs 390g</v>
      </c>
    </row>
    <row r="71" spans="1:30" x14ac:dyDescent="0.25">
      <c r="A71" s="8" t="s">
        <v>140</v>
      </c>
      <c r="B71" s="67"/>
      <c r="C71" s="42" t="str">
        <f>IF(B71="","",VLOOKUP(AD71,Varsayımlar!$B:$Q,3,0))</f>
        <v/>
      </c>
      <c r="D71" s="42"/>
      <c r="E71" s="42"/>
      <c r="F71" s="67"/>
      <c r="G71" s="67"/>
      <c r="H71" s="67" t="str">
        <f>IF(B71="","",VLOOKUP(AD71,Varsayımlar!$B:$Q,5,0))</f>
        <v/>
      </c>
      <c r="I71" s="67"/>
      <c r="J71" s="67" t="str">
        <f>IF(B71="","",VLOOKUP(AD71,Varsayımlar!$B:$Q,6,0))</f>
        <v/>
      </c>
      <c r="K71" s="67"/>
      <c r="L71" s="67"/>
      <c r="M71" s="67" t="str">
        <f>IFERROR(IF(B71="","",K71/VLOOKUP(AD71,Varsayımlar!B:R,17,0)),"")</f>
        <v/>
      </c>
      <c r="N71" s="67"/>
      <c r="O71" s="67"/>
      <c r="P71" s="67" t="str">
        <f>IF(B71="","",VLOOKUP(AD71,Varsayımlar!$B:$Q,7,0)*K71)</f>
        <v/>
      </c>
      <c r="Q71" s="67" t="str">
        <f>IF(B71="","",VLOOKUP(AD71,Varsayımlar!$B:$Q,8,0))</f>
        <v/>
      </c>
      <c r="R71" s="67" t="str">
        <f>IF(B71="","",VLOOKUP(AD71,Varsayımlar!$B:$Q,9,0))</f>
        <v/>
      </c>
      <c r="S71" s="67" t="str">
        <f>IF(B71="","",VLOOKUP(AD71,Varsayımlar!$B:$Q,10,0))</f>
        <v/>
      </c>
      <c r="T71" s="67" t="str">
        <f>IF(B71="","",VLOOKUP(AD71,Varsayımlar!$B:$Q,11,0))</f>
        <v/>
      </c>
      <c r="U71" s="67" t="str">
        <f>IF(B71="","",VLOOKUP(AD71,Varsayımlar!$B:$Q,12,0))</f>
        <v/>
      </c>
      <c r="V71" s="67" t="str">
        <f>IF(B71="","",VLOOKUP(AD71,Varsayımlar!$B:$Q,13,0))</f>
        <v/>
      </c>
      <c r="W71" s="67" t="str">
        <f>IF(B71="","",VLOOKUP(AD71,Varsayımlar!$B:$Q,14,0))</f>
        <v/>
      </c>
      <c r="X71" s="69"/>
      <c r="Y71" s="69"/>
      <c r="Z71" s="67"/>
      <c r="AA71" s="67" t="str">
        <f>IF(B71="","",VLOOKUP(AD71,Varsayımlar!$B:$Q,15,0))</f>
        <v/>
      </c>
      <c r="AB71" s="67" t="str">
        <f>IF(B71="","",VLOOKUP(AD71,Varsayımlar!$B:$Q,16,0))</f>
        <v/>
      </c>
      <c r="AC71" s="67"/>
      <c r="AD71" s="57" t="str">
        <f t="shared" si="3"/>
        <v/>
      </c>
    </row>
    <row r="72" spans="1:30" x14ac:dyDescent="0.25">
      <c r="A72" s="8" t="s">
        <v>141</v>
      </c>
      <c r="B72" s="67"/>
      <c r="C72" s="42" t="str">
        <f>IF(B72="","",VLOOKUP(AD72,Varsayımlar!$B:$Q,3,0))</f>
        <v/>
      </c>
      <c r="D72" s="42"/>
      <c r="E72" s="42"/>
      <c r="F72" s="67"/>
      <c r="G72" s="67"/>
      <c r="H72" s="67" t="str">
        <f>IF(B72="","",VLOOKUP(AD72,Varsayımlar!$B:$Q,5,0))</f>
        <v/>
      </c>
      <c r="I72" s="67"/>
      <c r="J72" s="67" t="str">
        <f>IF(B72="","",VLOOKUP(AD72,Varsayımlar!$B:$Q,6,0))</f>
        <v/>
      </c>
      <c r="K72" s="67"/>
      <c r="L72" s="67"/>
      <c r="M72" s="67" t="str">
        <f>IFERROR(IF(B72="","",K72/VLOOKUP(AD72,Varsayımlar!B:R,17,0)),"")</f>
        <v/>
      </c>
      <c r="N72" s="67"/>
      <c r="O72" s="67"/>
      <c r="P72" s="67" t="str">
        <f>IF(B72="","",VLOOKUP(AD72,Varsayımlar!$B:$Q,7,0)*K72)</f>
        <v/>
      </c>
      <c r="Q72" s="67" t="str">
        <f>IF(B72="","",VLOOKUP(AD72,Varsayımlar!$B:$Q,8,0))</f>
        <v/>
      </c>
      <c r="R72" s="67" t="str">
        <f>IF(B72="","",VLOOKUP(AD72,Varsayımlar!$B:$Q,9,0))</f>
        <v/>
      </c>
      <c r="S72" s="67" t="str">
        <f>IF(B72="","",VLOOKUP(AD72,Varsayımlar!$B:$Q,10,0))</f>
        <v/>
      </c>
      <c r="T72" s="67" t="str">
        <f>IF(B72="","",VLOOKUP(AD72,Varsayımlar!$B:$Q,11,0))</f>
        <v/>
      </c>
      <c r="U72" s="67" t="str">
        <f>IF(B72="","",VLOOKUP(AD72,Varsayımlar!$B:$Q,12,0))</f>
        <v/>
      </c>
      <c r="V72" s="67" t="str">
        <f>IF(B72="","",VLOOKUP(AD72,Varsayımlar!$B:$Q,13,0))</f>
        <v/>
      </c>
      <c r="W72" s="67" t="str">
        <f>IF(B72="","",VLOOKUP(AD72,Varsayımlar!$B:$Q,14,0))</f>
        <v/>
      </c>
      <c r="X72" s="69"/>
      <c r="Y72" s="69"/>
      <c r="Z72" s="67"/>
      <c r="AA72" s="67" t="str">
        <f>IF(B72="","",VLOOKUP(AD72,Varsayımlar!$B:$Q,15,0))</f>
        <v/>
      </c>
      <c r="AB72" s="67" t="str">
        <f>IF(B72="","",VLOOKUP(AD72,Varsayımlar!$B:$Q,16,0))</f>
        <v/>
      </c>
      <c r="AC72" s="67"/>
      <c r="AD72" s="57" t="str">
        <f t="shared" si="3"/>
        <v/>
      </c>
    </row>
    <row r="73" spans="1:30" x14ac:dyDescent="0.25">
      <c r="A73" s="8" t="s">
        <v>142</v>
      </c>
      <c r="B73" s="67"/>
      <c r="C73" s="42" t="str">
        <f>IF(B73="","",VLOOKUP(AD73,Varsayımlar!$B:$Q,3,0))</f>
        <v/>
      </c>
      <c r="D73" s="42"/>
      <c r="E73" s="42"/>
      <c r="F73" s="67"/>
      <c r="G73" s="67"/>
      <c r="H73" s="67" t="str">
        <f>IF(B73="","",VLOOKUP(AD73,Varsayımlar!$B:$Q,5,0))</f>
        <v/>
      </c>
      <c r="I73" s="67"/>
      <c r="J73" s="67" t="str">
        <f>IF(B73="","",VLOOKUP(AD73,Varsayımlar!$B:$Q,6,0))</f>
        <v/>
      </c>
      <c r="K73" s="67"/>
      <c r="L73" s="67"/>
      <c r="M73" s="67" t="str">
        <f>IFERROR(IF(B73="","",K73/VLOOKUP(AD73,Varsayımlar!B:R,17,0)),"")</f>
        <v/>
      </c>
      <c r="N73" s="67"/>
      <c r="O73" s="67"/>
      <c r="P73" s="67" t="str">
        <f>IF(B73="","",VLOOKUP(AD73,Varsayımlar!$B:$Q,7,0)*K73)</f>
        <v/>
      </c>
      <c r="Q73" s="67" t="str">
        <f>IF(B73="","",VLOOKUP(AD73,Varsayımlar!$B:$Q,8,0))</f>
        <v/>
      </c>
      <c r="R73" s="67" t="str">
        <f>IF(B73="","",VLOOKUP(AD73,Varsayımlar!$B:$Q,9,0))</f>
        <v/>
      </c>
      <c r="S73" s="67" t="str">
        <f>IF(B73="","",VLOOKUP(AD73,Varsayımlar!$B:$Q,10,0))</f>
        <v/>
      </c>
      <c r="T73" s="67" t="str">
        <f>IF(B73="","",VLOOKUP(AD73,Varsayımlar!$B:$Q,11,0))</f>
        <v/>
      </c>
      <c r="U73" s="67" t="str">
        <f>IF(B73="","",VLOOKUP(AD73,Varsayımlar!$B:$Q,12,0))</f>
        <v/>
      </c>
      <c r="V73" s="67" t="str">
        <f>IF(B73="","",VLOOKUP(AD73,Varsayımlar!$B:$Q,13,0))</f>
        <v/>
      </c>
      <c r="W73" s="67" t="str">
        <f>IF(B73="","",VLOOKUP(AD73,Varsayımlar!$B:$Q,14,0))</f>
        <v/>
      </c>
      <c r="X73" s="69"/>
      <c r="Y73" s="69"/>
      <c r="Z73" s="67"/>
      <c r="AA73" s="67" t="str">
        <f>IF(B73="","",VLOOKUP(AD73,Varsayımlar!$B:$Q,15,0))</f>
        <v/>
      </c>
      <c r="AB73" s="67" t="str">
        <f>IF(B73="","",VLOOKUP(AD73,Varsayımlar!$B:$Q,16,0))</f>
        <v/>
      </c>
      <c r="AC73" s="67"/>
      <c r="AD73" s="57" t="str">
        <f t="shared" si="3"/>
        <v/>
      </c>
    </row>
    <row r="74" spans="1:30" x14ac:dyDescent="0.25">
      <c r="A74" s="8" t="s">
        <v>143</v>
      </c>
      <c r="B74" s="67"/>
      <c r="C74" s="42" t="str">
        <f>IF(B74="","",VLOOKUP(AD74,Varsayımlar!$B:$Q,3,0))</f>
        <v/>
      </c>
      <c r="D74" s="42"/>
      <c r="E74" s="42"/>
      <c r="F74" s="67"/>
      <c r="G74" s="67"/>
      <c r="H74" s="67" t="str">
        <f>IF(B74="","",VLOOKUP(AD74,Varsayımlar!$B:$Q,5,0))</f>
        <v/>
      </c>
      <c r="I74" s="67"/>
      <c r="J74" s="67" t="str">
        <f>IF(B74="","",VLOOKUP(AD74,Varsayımlar!$B:$Q,6,0))</f>
        <v/>
      </c>
      <c r="K74" s="67"/>
      <c r="L74" s="67"/>
      <c r="M74" s="67" t="str">
        <f>IFERROR(IF(B74="","",K74/VLOOKUP(AD74,Varsayımlar!B:R,17,0)),"")</f>
        <v/>
      </c>
      <c r="N74" s="67"/>
      <c r="O74" s="67"/>
      <c r="P74" s="67" t="str">
        <f>IF(B74="","",VLOOKUP(AD74,Varsayımlar!$B:$Q,7,0)*K74)</f>
        <v/>
      </c>
      <c r="Q74" s="67" t="str">
        <f>IF(B74="","",VLOOKUP(AD74,Varsayımlar!$B:$Q,8,0))</f>
        <v/>
      </c>
      <c r="R74" s="67" t="str">
        <f>IF(B74="","",VLOOKUP(AD74,Varsayımlar!$B:$Q,9,0))</f>
        <v/>
      </c>
      <c r="S74" s="67" t="str">
        <f>IF(B74="","",VLOOKUP(AD74,Varsayımlar!$B:$Q,10,0))</f>
        <v/>
      </c>
      <c r="T74" s="67" t="str">
        <f>IF(B74="","",VLOOKUP(AD74,Varsayımlar!$B:$Q,11,0))</f>
        <v/>
      </c>
      <c r="U74" s="67" t="str">
        <f>IF(B74="","",VLOOKUP(AD74,Varsayımlar!$B:$Q,12,0))</f>
        <v/>
      </c>
      <c r="V74" s="67" t="str">
        <f>IF(B74="","",VLOOKUP(AD74,Varsayımlar!$B:$Q,13,0))</f>
        <v/>
      </c>
      <c r="W74" s="67" t="str">
        <f>IF(B74="","",VLOOKUP(AD74,Varsayımlar!$B:$Q,14,0))</f>
        <v/>
      </c>
      <c r="X74" s="69"/>
      <c r="Y74" s="69"/>
      <c r="Z74" s="67"/>
      <c r="AA74" s="67" t="str">
        <f>IF(B74="","",VLOOKUP(AD74,Varsayımlar!$B:$Q,15,0))</f>
        <v/>
      </c>
      <c r="AB74" s="67" t="str">
        <f>IF(B74="","",VLOOKUP(AD74,Varsayımlar!$B:$Q,16,0))</f>
        <v/>
      </c>
      <c r="AC74" s="67"/>
      <c r="AD74" s="57" t="str">
        <f t="shared" si="3"/>
        <v/>
      </c>
    </row>
    <row r="75" spans="1:30" x14ac:dyDescent="0.25">
      <c r="C75" s="53" t="str">
        <f>IF(B75="","",VLOOKUP(AD75,Varsayımlar!$B:$Q,3,0))</f>
        <v/>
      </c>
      <c r="H75" s="7" t="str">
        <f>IF(B75="","",VLOOKUP(AD75,Varsayımlar!$B:$Q,5,0))</f>
        <v/>
      </c>
      <c r="J75" s="7" t="str">
        <f>IF(B75="","",VLOOKUP(AD75,Varsayımlar!$B:$Q,6,0))</f>
        <v/>
      </c>
      <c r="P75" s="7" t="str">
        <f>IF(B75="","",VLOOKUP(AD75,Varsayımlar!$B:$Q,7,0)*K75)</f>
        <v/>
      </c>
      <c r="Q75" s="7" t="str">
        <f>IF(B75="","",VLOOKUP(AD75,Varsayımlar!$B:$Q,8,0))</f>
        <v/>
      </c>
      <c r="R75" s="7" t="str">
        <f>IF(B75="","",VLOOKUP(AD75,Varsayımlar!$B:$Q,9,0))</f>
        <v/>
      </c>
      <c r="S75" s="7" t="str">
        <f>IF(B75="","",VLOOKUP(AD75,Varsayımlar!$B:$Q,10,0))</f>
        <v/>
      </c>
      <c r="T75" s="7" t="str">
        <f>IF(B75="","",VLOOKUP(AD75,Varsayımlar!$B:$Q,11,0))</f>
        <v/>
      </c>
      <c r="U75" s="7" t="str">
        <f>IF(B75="","",VLOOKUP(AD75,Varsayımlar!$B:$Q,12,0))</f>
        <v/>
      </c>
      <c r="V75" s="7" t="str">
        <f>IF(B75="","",VLOOKUP(AD75,Varsayımlar!$B:$Q,13,0))</f>
        <v/>
      </c>
      <c r="W75" s="7" t="str">
        <f>IF(B75="","",VLOOKUP(AD75,Varsayımlar!$B:$Q,14,0))</f>
        <v/>
      </c>
      <c r="AA75" s="7" t="str">
        <f>IF(B75="","",VLOOKUP(AD75,Varsayımlar!$B:$Q,15,0))</f>
        <v/>
      </c>
      <c r="AB75" s="7" t="str">
        <f>IF(B75="","",VLOOKUP(AD75,Varsayımlar!$B:$Q,16,0))</f>
        <v/>
      </c>
      <c r="AD75" s="7" t="str">
        <f t="shared" si="3"/>
        <v/>
      </c>
    </row>
    <row r="76" spans="1:30" ht="31.5" x14ac:dyDescent="0.25">
      <c r="A76" s="174" t="s">
        <v>345</v>
      </c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38"/>
    </row>
    <row r="77" spans="1:30" ht="63" x14ac:dyDescent="0.25">
      <c r="A77" s="8" t="s">
        <v>0</v>
      </c>
      <c r="B77" s="8" t="s">
        <v>1</v>
      </c>
      <c r="C77" s="9" t="s">
        <v>31</v>
      </c>
      <c r="D77" s="9" t="s">
        <v>124</v>
      </c>
      <c r="E77" s="9" t="s">
        <v>36</v>
      </c>
      <c r="F77" s="8" t="s">
        <v>37</v>
      </c>
      <c r="G77" s="8" t="s">
        <v>13</v>
      </c>
      <c r="H77" s="8" t="s">
        <v>2</v>
      </c>
      <c r="I77" s="8" t="s">
        <v>49</v>
      </c>
      <c r="J77" s="8" t="s">
        <v>3</v>
      </c>
      <c r="K77" s="8" t="s">
        <v>21</v>
      </c>
      <c r="L77" s="8" t="s">
        <v>94</v>
      </c>
      <c r="M77" s="8" t="s">
        <v>20</v>
      </c>
      <c r="N77" s="8" t="s">
        <v>165</v>
      </c>
      <c r="O77" s="8" t="s">
        <v>123</v>
      </c>
      <c r="P77" s="8" t="s">
        <v>16</v>
      </c>
      <c r="Q77" s="8" t="s">
        <v>4</v>
      </c>
      <c r="R77" s="8" t="s">
        <v>5</v>
      </c>
      <c r="S77" s="8" t="s">
        <v>6</v>
      </c>
      <c r="T77" s="8" t="s">
        <v>28</v>
      </c>
      <c r="U77" s="8" t="s">
        <v>7</v>
      </c>
      <c r="V77" s="8" t="s">
        <v>8</v>
      </c>
      <c r="W77" s="8" t="s">
        <v>9</v>
      </c>
      <c r="X77" s="8" t="s">
        <v>10</v>
      </c>
      <c r="Y77" s="8" t="s">
        <v>11</v>
      </c>
      <c r="Z77" s="8" t="s">
        <v>12</v>
      </c>
      <c r="AA77" s="8" t="s">
        <v>14</v>
      </c>
      <c r="AB77" s="8" t="s">
        <v>15</v>
      </c>
      <c r="AC77" s="8" t="s">
        <v>208</v>
      </c>
      <c r="AD77" s="7" t="s">
        <v>41</v>
      </c>
    </row>
    <row r="78" spans="1:30" s="94" customFormat="1" ht="95.25" customHeight="1" x14ac:dyDescent="0.25">
      <c r="A78" s="88" t="s">
        <v>26</v>
      </c>
      <c r="B78" s="104" t="s">
        <v>346</v>
      </c>
      <c r="C78" s="105">
        <f>IF(B78="","",VLOOKUP(AD78,Varsayımlar!$B:$Q,3,0))</f>
        <v>8698829380698</v>
      </c>
      <c r="D78" s="105"/>
      <c r="E78" s="105" t="s">
        <v>325</v>
      </c>
      <c r="F78" s="104">
        <v>46</v>
      </c>
      <c r="G78" s="104" t="s">
        <v>347</v>
      </c>
      <c r="H78" s="104" t="str">
        <f>IF(B78="","",VLOOKUP(AD78,Varsayımlar!$B:$Q,5,0))</f>
        <v>Hanami Tako 15cm</v>
      </c>
      <c r="I78" s="112" t="str">
        <f>IF(B78="","",VLOOKUP(AD78,Varsayımlar!B:T,19,0))</f>
        <v>Ambalaj kaç aylık kontrol?</v>
      </c>
      <c r="J78" s="104" t="str">
        <f>IF(B78="","",VLOOKUP(AD78,Varsayımlar!$B:$Q,6,0))</f>
        <v>SADE</v>
      </c>
      <c r="K78" s="104">
        <v>1560</v>
      </c>
      <c r="L78" s="104">
        <v>969</v>
      </c>
      <c r="M78" s="104" t="str">
        <f>IFERROR(IF(B78="","",K78/VLOOKUP(AD78,Varsayımlar!B:R,17,0)),"")</f>
        <v/>
      </c>
      <c r="N78" s="104"/>
      <c r="O78" s="104">
        <v>18</v>
      </c>
      <c r="P78" s="104">
        <f>IF(B78="","",VLOOKUP(AD78,Varsayımlar!$B:$Q,7,0)*K78)</f>
        <v>31200</v>
      </c>
      <c r="Q78" s="104">
        <f>IF(B78="","",VLOOKUP(AD78,Varsayımlar!$B:$Q,8,0))</f>
        <v>15</v>
      </c>
      <c r="R78" s="104" t="str">
        <f>IF(B78="","",VLOOKUP(AD78,Varsayımlar!$B:$Q,9,0))</f>
        <v>Irak Soft</v>
      </c>
      <c r="S78" s="104">
        <f>IF(B78="","",VLOOKUP(AD78,Varsayımlar!$B:$Q,10,0))</f>
        <v>6</v>
      </c>
      <c r="T78" s="104">
        <f>IF(B78="","",VLOOKUP(AD78,Varsayımlar!$B:$Q,11,0))</f>
        <v>20</v>
      </c>
      <c r="U78" s="104">
        <f>IF(B78="","",VLOOKUP(AD78,Varsayımlar!$B:$Q,12,0))</f>
        <v>150</v>
      </c>
      <c r="V78" s="104" t="str">
        <f>IF(B78="","",VLOOKUP(AD78,Varsayımlar!$B:$Q,13,0))</f>
        <v>Yurtdışı</v>
      </c>
      <c r="W78" s="104">
        <f>IF(B78="","",VLOOKUP(AD78,Varsayımlar!$B:$Q,14,0))</f>
        <v>9</v>
      </c>
      <c r="X78" s="107">
        <v>46181</v>
      </c>
      <c r="Y78" s="107">
        <v>46454</v>
      </c>
      <c r="Z78" s="104">
        <v>26060815</v>
      </c>
      <c r="AA78" s="104" t="str">
        <f>IF(B78="","",VLOOKUP(AD78,Varsayımlar!$B:$Q,15,0))</f>
        <v>Hanami Tako 15cm-Üretim Tarihi Atılacak</v>
      </c>
      <c r="AB78" s="104" t="str">
        <f>IF(B78="","",VLOOKUP(AD78,Varsayımlar!$B:$Q,16,0))</f>
        <v>14-16 cm</v>
      </c>
      <c r="AC78" s="104"/>
      <c r="AD78" s="93" t="str">
        <f t="shared" ref="AD78:AD98" si="6">IF(B78="","",CONCATENATE(B78,E78))</f>
        <v>GermesHanami Germes Tako 15cm 6pcs 150g</v>
      </c>
    </row>
    <row r="79" spans="1:30" s="94" customFormat="1" ht="95.25" customHeight="1" x14ac:dyDescent="0.25">
      <c r="A79" s="88" t="s">
        <v>77</v>
      </c>
      <c r="B79" s="104" t="s">
        <v>95</v>
      </c>
      <c r="C79" s="105">
        <f>IF(B79="","",VLOOKUP(AD79,Varsayımlar!$B:$Q,3,0))</f>
        <v>8698829380698</v>
      </c>
      <c r="D79" s="105"/>
      <c r="E79" s="106" t="s">
        <v>114</v>
      </c>
      <c r="F79" s="104"/>
      <c r="G79" s="104"/>
      <c r="H79" s="104" t="str">
        <f>IF(B79="","",VLOOKUP(AD79,Varsayımlar!$B:$Q,5,0))</f>
        <v>Bisto 25 cm</v>
      </c>
      <c r="I79" s="104"/>
      <c r="J79" s="104" t="str">
        <f>IF(B79="","",VLOOKUP(AD79,Varsayımlar!$B:$Q,6,0))</f>
        <v>SADE</v>
      </c>
      <c r="K79" s="104">
        <v>1200</v>
      </c>
      <c r="L79" s="104"/>
      <c r="M79" s="104">
        <f>IFERROR(IF(B79="","",K79/VLOOKUP(AD79,Varsayımlar!B:R,17,0)),"")</f>
        <v>25</v>
      </c>
      <c r="N79" s="104"/>
      <c r="O79" s="104">
        <v>15</v>
      </c>
      <c r="P79" s="104">
        <f>IF(B79="","",VLOOKUP(AD79,Varsayımlar!$B:$Q,7,0)*K79)</f>
        <v>14400</v>
      </c>
      <c r="Q79" s="104">
        <f>IF(B79="","",VLOOKUP(AD79,Varsayımlar!$B:$Q,8,0))</f>
        <v>25</v>
      </c>
      <c r="R79" s="104" t="str">
        <f>IF(B79="","",VLOOKUP(AD79,Varsayımlar!$B:$Q,9,0))</f>
        <v>Standart</v>
      </c>
      <c r="S79" s="104">
        <f>IF(B79="","",VLOOKUP(AD79,Varsayımlar!$B:$Q,10,0))</f>
        <v>12</v>
      </c>
      <c r="T79" s="104">
        <f>IF(B79="","",VLOOKUP(AD79,Varsayımlar!$B:$Q,11,0))</f>
        <v>12</v>
      </c>
      <c r="U79" s="104">
        <f>IF(B79="","",VLOOKUP(AD79,Varsayımlar!$B:$Q,12,0))</f>
        <v>840</v>
      </c>
      <c r="V79" s="104" t="str">
        <f>IF(B79="","",VLOOKUP(AD79,Varsayımlar!$B:$Q,13,0))</f>
        <v>Yurtiçi</v>
      </c>
      <c r="W79" s="104">
        <f>IF(B79="","",VLOOKUP(AD79,Varsayımlar!$B:$Q,14,0))</f>
        <v>6</v>
      </c>
      <c r="X79" s="107" t="s">
        <v>113</v>
      </c>
      <c r="Y79" s="107" t="s">
        <v>113</v>
      </c>
      <c r="Z79" s="104" t="s">
        <v>113</v>
      </c>
      <c r="AA79" s="104" t="str">
        <f>IF(B79="","",VLOOKUP(AD79,Varsayımlar!$B:$Q,15,0))</f>
        <v>Bisto Kolisi</v>
      </c>
      <c r="AB79" s="104" t="str">
        <f>IF(B79="","",VLOOKUP(AD79,Varsayımlar!$B:$Q,16,0))</f>
        <v>24-26 Cm</v>
      </c>
      <c r="AC79" s="104" t="s">
        <v>361</v>
      </c>
      <c r="AD79" s="93" t="str">
        <f t="shared" si="6"/>
        <v>Şok MarketBisto 25 cm 12 pcs 840g</v>
      </c>
    </row>
    <row r="80" spans="1:30" s="94" customFormat="1" ht="95.25" customHeight="1" x14ac:dyDescent="0.25">
      <c r="A80" s="88" t="s">
        <v>78</v>
      </c>
      <c r="B80" s="113" t="s">
        <v>119</v>
      </c>
      <c r="C80" s="114">
        <f>IF(B80="","",VLOOKUP(AD80,Varsayımlar!$B:$Q,3,0))</f>
        <v>8698829380698</v>
      </c>
      <c r="D80" s="114"/>
      <c r="E80" s="113" t="s">
        <v>120</v>
      </c>
      <c r="F80" s="115"/>
      <c r="G80" s="115"/>
      <c r="H80" s="115" t="str">
        <f>IF(B80="","",VLOOKUP(AD80,Varsayımlar!$B:$Q,5,0))</f>
        <v>Nimet 25 cm</v>
      </c>
      <c r="I80" s="112">
        <f>IF(B80="","",VLOOKUP(AD80,Varsayımlar!B:T,19,0))</f>
        <v>0</v>
      </c>
      <c r="J80" s="115" t="str">
        <f>IF(B80="","",VLOOKUP(AD80,Varsayımlar!$B:$Q,6,0))</f>
        <v>SADE</v>
      </c>
      <c r="K80" s="115">
        <v>1000</v>
      </c>
      <c r="L80" s="115"/>
      <c r="M80" s="115">
        <f>IFERROR(IF(B80="","",K80/VLOOKUP(AD80,Varsayımlar!B:R,17,0)),"")</f>
        <v>20</v>
      </c>
      <c r="N80" s="115"/>
      <c r="O80" s="115">
        <v>36</v>
      </c>
      <c r="P80" s="115">
        <f>IF(B80="","",VLOOKUP(AD80,Varsayımlar!$B:$Q,7,0)*K80)</f>
        <v>12000</v>
      </c>
      <c r="Q80" s="115">
        <f>IF(B80="","",VLOOKUP(AD80,Varsayımlar!$B:$Q,8,0))</f>
        <v>25</v>
      </c>
      <c r="R80" s="115" t="str">
        <f>IF(B80="","",VLOOKUP(AD80,Varsayımlar!$B:$Q,9,0))</f>
        <v>Standart</v>
      </c>
      <c r="S80" s="115">
        <f>IF(B80="","",VLOOKUP(AD80,Varsayımlar!$B:$Q,10,0))</f>
        <v>12</v>
      </c>
      <c r="T80" s="115">
        <f>IF(B80="","",VLOOKUP(AD80,Varsayımlar!$B:$Q,11,0))</f>
        <v>12</v>
      </c>
      <c r="U80" s="115">
        <f>IF(B80="","",VLOOKUP(AD80,Varsayımlar!$B:$Q,12,0))</f>
        <v>840</v>
      </c>
      <c r="V80" s="115" t="str">
        <f>IF(B80="","",VLOOKUP(AD80,Varsayımlar!$B:$Q,13,0))</f>
        <v>YURTİÇİ</v>
      </c>
      <c r="W80" s="115">
        <f>IF(B80="","",VLOOKUP(AD80,Varsayımlar!$B:$Q,14,0))</f>
        <v>5</v>
      </c>
      <c r="X80" s="116" t="s">
        <v>113</v>
      </c>
      <c r="Y80" s="116" t="s">
        <v>113</v>
      </c>
      <c r="Z80" s="116" t="s">
        <v>113</v>
      </c>
      <c r="AA80" s="115" t="str">
        <f>IF(B80="","",VLOOKUP(AD80,Varsayımlar!$B:$Q,15,0))</f>
        <v>Nimet Kolisi</v>
      </c>
      <c r="AB80" s="115" t="str">
        <f>IF(B80="","",VLOOKUP(AD80,Varsayımlar!$B:$Q,16,0))</f>
        <v>24-26 CM</v>
      </c>
      <c r="AC80" s="115"/>
      <c r="AD80" s="93" t="str">
        <f t="shared" si="6"/>
        <v>A101Nimet 25cm 12 pcs 840g</v>
      </c>
    </row>
    <row r="81" spans="1:30" s="94" customFormat="1" ht="95.25" customHeight="1" x14ac:dyDescent="0.25">
      <c r="A81" s="88" t="s">
        <v>79</v>
      </c>
      <c r="B81" s="91" t="s">
        <v>321</v>
      </c>
      <c r="C81" s="90">
        <f>IF(B81="","",VLOOKUP(AD81,Varsayımlar!$B:$Q,3,0))</f>
        <v>8698829380698</v>
      </c>
      <c r="D81" s="90"/>
      <c r="E81" s="91" t="s">
        <v>329</v>
      </c>
      <c r="F81" s="89"/>
      <c r="G81" s="89"/>
      <c r="H81" s="89" t="str">
        <f>IF(B81="","",VLOOKUP(AD81,Varsayımlar!$B:$Q,5,0))</f>
        <v>Baskısız 15 cm</v>
      </c>
      <c r="I81" s="112" t="str">
        <f>IF(B81="","",VLOOKUP(AD81,Varsayımlar!B:T,19,0))</f>
        <v>Lana 15cm 8pcs 220g Yuvarlak</v>
      </c>
      <c r="J81" s="89" t="str">
        <f>IF(B81="","",VLOOKUP(AD81,Varsayımlar!$B:$Q,6,0))</f>
        <v>SADE</v>
      </c>
      <c r="K81" s="89">
        <v>250</v>
      </c>
      <c r="L81" s="89"/>
      <c r="M81" s="89" t="str">
        <f>IFERROR(IF(B81="","",K81/VLOOKUP(AD81,Varsayımlar!B:R,17,0)),"")</f>
        <v/>
      </c>
      <c r="N81" s="89"/>
      <c r="O81" s="89">
        <v>8</v>
      </c>
      <c r="P81" s="89">
        <f>IF(B81="","",VLOOKUP(AD81,Varsayımlar!$B:$Q,7,0)*K81)</f>
        <v>3500</v>
      </c>
      <c r="Q81" s="89">
        <f>IF(B81="","",VLOOKUP(AD81,Varsayımlar!$B:$Q,8,0))</f>
        <v>15</v>
      </c>
      <c r="R81" s="89" t="str">
        <f>IF(B81="","",VLOOKUP(AD81,Varsayımlar!$B:$Q,9,0))</f>
        <v>Irak Soft</v>
      </c>
      <c r="S81" s="89">
        <f>IF(B81="","",VLOOKUP(AD81,Varsayımlar!$B:$Q,10,0))</f>
        <v>8</v>
      </c>
      <c r="T81" s="89">
        <f>IF(B81="","",VLOOKUP(AD81,Varsayımlar!$B:$Q,11,0))</f>
        <v>14</v>
      </c>
      <c r="U81" s="89">
        <f>IF(B81="","",VLOOKUP(AD81,Varsayımlar!$B:$Q,12,0))</f>
        <v>220</v>
      </c>
      <c r="V81" s="89" t="str">
        <f>IF(B81="","",VLOOKUP(AD81,Varsayımlar!$B:$Q,13,0))</f>
        <v>Yurtdışı</v>
      </c>
      <c r="W81" s="89">
        <f>IF(B81="","",VLOOKUP(AD81,Varsayımlar!$B:$Q,14,0))</f>
        <v>6</v>
      </c>
      <c r="X81" s="92">
        <v>46185</v>
      </c>
      <c r="Y81" s="92">
        <v>46368</v>
      </c>
      <c r="Z81" s="89">
        <v>26061215</v>
      </c>
      <c r="AA81" s="89" t="str">
        <f>IF(B81="","",VLOOKUP(AD81,Varsayımlar!$B:$Q,15,0))</f>
        <v>15cm koli</v>
      </c>
      <c r="AB81" s="89" t="str">
        <f>IF(B81="","",VLOOKUP(AD81,Varsayımlar!$B:$Q,16,0))</f>
        <v>24-26 cm (Inkjet ile Bilgiler Atılacak)</v>
      </c>
      <c r="AC81" s="89"/>
      <c r="AD81" s="93" t="str">
        <f t="shared" si="6"/>
        <v>Gülbahar CompanyBaskısız 15cm Sade 8pcs 220g</v>
      </c>
    </row>
    <row r="82" spans="1:30" s="94" customFormat="1" ht="95.25" customHeight="1" x14ac:dyDescent="0.25">
      <c r="A82" s="88" t="s">
        <v>80</v>
      </c>
      <c r="B82" s="95" t="s">
        <v>256</v>
      </c>
      <c r="C82" s="96">
        <f>IF(B82="","",VLOOKUP(AD82,Varsayımlar!$B:$Q,3,0))</f>
        <v>8698829380698</v>
      </c>
      <c r="D82" s="96"/>
      <c r="E82" s="97" t="s">
        <v>257</v>
      </c>
      <c r="F82" s="95"/>
      <c r="G82" s="95"/>
      <c r="H82" s="95" t="str">
        <f>IF(B82="","",VLOOKUP(AD82,Varsayımlar!$B:$Q,5,0))</f>
        <v>Tortillas 26cm Pizza</v>
      </c>
      <c r="I82" s="112">
        <f>IF(B82="","",VLOOKUP(AD82,Varsayımlar!B:T,19,0))</f>
        <v>0</v>
      </c>
      <c r="J82" s="95" t="str">
        <f>IF(B82="","",VLOOKUP(AD82,Varsayımlar!$B:$Q,6,0))</f>
        <v>SADE</v>
      </c>
      <c r="K82" s="95">
        <v>40</v>
      </c>
      <c r="L82" s="95"/>
      <c r="M82" s="95" t="str">
        <f>IFERROR(IF(B82="","",K82/VLOOKUP(AD82,Varsayımlar!B:R,17,0)),"")</f>
        <v/>
      </c>
      <c r="N82" s="95"/>
      <c r="O82" s="95">
        <v>1</v>
      </c>
      <c r="P82" s="95">
        <f>IF(B82="","",VLOOKUP(AD82,Varsayımlar!$B:$Q,7,0)*K82)</f>
        <v>240</v>
      </c>
      <c r="Q82" s="95">
        <f>IF(B82="","",VLOOKUP(AD82,Varsayımlar!$B:$Q,8,0))</f>
        <v>26</v>
      </c>
      <c r="R82" s="95" t="str">
        <f>IF(B82="","",VLOOKUP(AD82,Varsayımlar!$B:$Q,9,0))</f>
        <v>Irak Soft</v>
      </c>
      <c r="S82" s="95">
        <f>IF(B82="","",VLOOKUP(AD82,Varsayımlar!$B:$Q,10,0))</f>
        <v>4</v>
      </c>
      <c r="T82" s="95">
        <f>IF(B82="","",VLOOKUP(AD82,Varsayımlar!$B:$Q,11,0))</f>
        <v>6</v>
      </c>
      <c r="U82" s="95">
        <f>IF(B82="","",VLOOKUP(AD82,Varsayımlar!$B:$Q,12,0))</f>
        <v>480</v>
      </c>
      <c r="V82" s="95" t="str">
        <f>IF(B82="","",VLOOKUP(AD82,Varsayımlar!$B:$Q,13,0))</f>
        <v>Yurtiçi</v>
      </c>
      <c r="W82" s="95">
        <f>IF(B82="","",VLOOKUP(AD82,Varsayımlar!$B:$Q,14,0))</f>
        <v>6</v>
      </c>
      <c r="X82" s="98" t="s">
        <v>113</v>
      </c>
      <c r="Y82" s="98" t="s">
        <v>113</v>
      </c>
      <c r="Z82" s="98" t="s">
        <v>113</v>
      </c>
      <c r="AA82" s="95" t="str">
        <f>IF(B82="","",VLOOKUP(AD82,Varsayımlar!$B:$Q,15,0))</f>
        <v>Pizza kolisi</v>
      </c>
      <c r="AB82" s="95" t="str">
        <f>IF(B82="","",VLOOKUP(AD82,Varsayımlar!$B:$Q,16,0))</f>
        <v>26 cm kesme -Beze 145-150g, Kesilmmeiş çap 27-28cm, Kesilmemiş ağı: 520-540g, Kesilmiş:475-485g</v>
      </c>
      <c r="AC82" s="95"/>
      <c r="AD82" s="93" t="str">
        <f t="shared" si="6"/>
        <v>Ankara KahveTortillas 26cm Pizza 4pcs 480g</v>
      </c>
    </row>
    <row r="83" spans="1:30" ht="94.5" x14ac:dyDescent="0.25">
      <c r="A83" s="8" t="s">
        <v>81</v>
      </c>
      <c r="B83" s="61" t="s">
        <v>218</v>
      </c>
      <c r="C83" s="32">
        <f>IF(B83="","",VLOOKUP(AD83,Varsayımlar!$B:$Q,3,0))</f>
        <v>8698829380698</v>
      </c>
      <c r="D83" s="32" t="s">
        <v>159</v>
      </c>
      <c r="E83" s="61" t="s">
        <v>244</v>
      </c>
      <c r="F83" s="62">
        <v>26042906</v>
      </c>
      <c r="G83" s="32"/>
      <c r="H83" s="62" t="str">
        <f>IF(B83="","",VLOOKUP(AD83,Varsayımlar!$B:$Q,5,0))</f>
        <v>Tortillas Avrupa Pizza 26cm (742)</v>
      </c>
      <c r="I83" s="62">
        <f>IF(B83="","",VLOOKUP(AD83,Varsayımlar!B:T,19,0))</f>
        <v>0</v>
      </c>
      <c r="J83" s="62" t="str">
        <f>IF(B83="","",VLOOKUP(AD83,Varsayımlar!$B:$Q,6,0))</f>
        <v>SADE</v>
      </c>
      <c r="K83" s="62">
        <v>720</v>
      </c>
      <c r="L83" s="62"/>
      <c r="M83" s="62">
        <f>IFERROR(IF(B83="","",K83/VLOOKUP(AD83,Varsayımlar!B:R,17,0)),"")</f>
        <v>6</v>
      </c>
      <c r="N83" s="62"/>
      <c r="O83" s="62">
        <v>9</v>
      </c>
      <c r="P83" s="62">
        <f>IF(B83="","",VLOOKUP(AD83,Varsayımlar!$B:$Q,7,0)*K83)</f>
        <v>5760</v>
      </c>
      <c r="Q83" s="62">
        <f>IF(B83="","",VLOOKUP(AD83,Varsayımlar!$B:$Q,8,0))</f>
        <v>26</v>
      </c>
      <c r="R83" s="62" t="str">
        <f>IF(B83="","",VLOOKUP(AD83,Varsayımlar!$B:$Q,9,0))</f>
        <v>Irak Soft</v>
      </c>
      <c r="S83" s="62">
        <f>IF(B83="","",VLOOKUP(AD83,Varsayımlar!$B:$Q,10,0))</f>
        <v>4</v>
      </c>
      <c r="T83" s="62">
        <f>IF(B83="","",VLOOKUP(AD83,Varsayımlar!$B:$Q,11,0))</f>
        <v>8</v>
      </c>
      <c r="U83" s="62">
        <f>IF(B83="","",VLOOKUP(AD83,Varsayımlar!$B:$Q,12,0))</f>
        <v>480</v>
      </c>
      <c r="V83" s="62" t="str">
        <f>IF(B83="","",VLOOKUP(AD83,Varsayımlar!$B:$Q,13,0))</f>
        <v>Yurtdışı</v>
      </c>
      <c r="W83" s="62">
        <f>IF(B83="","",VLOOKUP(AD83,Varsayımlar!$B:$Q,14,0))</f>
        <v>9</v>
      </c>
      <c r="X83" s="63">
        <v>46183</v>
      </c>
      <c r="Y83" s="63">
        <v>46456</v>
      </c>
      <c r="Z83" s="62">
        <v>26061026</v>
      </c>
      <c r="AA83" s="62" t="str">
        <f>IF(B83="","",VLOOKUP(AD83,Varsayımlar!$B:$Q,15,0))</f>
        <v>26cm Pizza Perforeli-Bulgarca Etiket</v>
      </c>
      <c r="AB83" s="62" t="str">
        <f>IF(B83="","",VLOOKUP(AD83,Varsayımlar!$B:$Q,16,0))</f>
        <v>26 cm kesme -Beze 145-150g, Kesilmmeiş çap 27-28cm, Kesilmemiş ağı: 520-540g, Kesilmiş:475-485g</v>
      </c>
      <c r="AC83" s="62" t="str">
        <f>IF(B83="","",VLOOKUP(Sayfa1!AD79,Varsayımlar!B:S,18,0))</f>
        <v>80x120cm -Epal+Epal</v>
      </c>
      <c r="AD83" s="57" t="str">
        <f t="shared" si="6"/>
        <v>TASTE LAND-BULGARİSTANTortillas Pizza 26cm 4pcs 480g</v>
      </c>
    </row>
    <row r="84" spans="1:30" ht="94.5" x14ac:dyDescent="0.25">
      <c r="A84" s="8" t="s">
        <v>82</v>
      </c>
      <c r="B84" s="79" t="s">
        <v>218</v>
      </c>
      <c r="C84" s="44">
        <f>IF(B84="","",VLOOKUP(AD84,Varsayımlar!$B:$Q,3,0))</f>
        <v>8698829380698</v>
      </c>
      <c r="D84" s="44" t="s">
        <v>160</v>
      </c>
      <c r="E84" s="79" t="s">
        <v>244</v>
      </c>
      <c r="F84" s="80">
        <v>26042907</v>
      </c>
      <c r="G84" s="44"/>
      <c r="H84" s="80" t="str">
        <f>IF(B84="","",VLOOKUP(AD84,Varsayımlar!$B:$Q,5,0))</f>
        <v>Tortillas Avrupa Pizza 26cm (742)</v>
      </c>
      <c r="I84" s="80">
        <f>IF(B84="","",VLOOKUP(AD84,Varsayımlar!B:T,19,0))</f>
        <v>0</v>
      </c>
      <c r="J84" s="80" t="str">
        <f>IF(B84="","",VLOOKUP(AD84,Varsayımlar!$B:$Q,6,0))</f>
        <v>SADE</v>
      </c>
      <c r="K84" s="80">
        <v>720</v>
      </c>
      <c r="L84" s="80"/>
      <c r="M84" s="80">
        <f>IFERROR(IF(B84="","",K84/VLOOKUP(AD84,Varsayımlar!B:R,17,0)),"")</f>
        <v>6</v>
      </c>
      <c r="N84" s="80"/>
      <c r="O84" s="80">
        <v>9</v>
      </c>
      <c r="P84" s="80">
        <f>IF(B84="","",VLOOKUP(AD84,Varsayımlar!$B:$Q,7,0)*K84)</f>
        <v>5760</v>
      </c>
      <c r="Q84" s="80">
        <f>IF(B84="","",VLOOKUP(AD84,Varsayımlar!$B:$Q,8,0))</f>
        <v>26</v>
      </c>
      <c r="R84" s="80" t="str">
        <f>IF(B84="","",VLOOKUP(AD84,Varsayımlar!$B:$Q,9,0))</f>
        <v>Irak Soft</v>
      </c>
      <c r="S84" s="80">
        <f>IF(B84="","",VLOOKUP(AD84,Varsayımlar!$B:$Q,10,0))</f>
        <v>4</v>
      </c>
      <c r="T84" s="80">
        <f>IF(B84="","",VLOOKUP(AD84,Varsayımlar!$B:$Q,11,0))</f>
        <v>8</v>
      </c>
      <c r="U84" s="80">
        <f>IF(B84="","",VLOOKUP(AD84,Varsayımlar!$B:$Q,12,0))</f>
        <v>480</v>
      </c>
      <c r="V84" s="80" t="str">
        <f>IF(B84="","",VLOOKUP(AD84,Varsayımlar!$B:$Q,13,0))</f>
        <v>Yurtdışı</v>
      </c>
      <c r="W84" s="80">
        <f>IF(B84="","",VLOOKUP(AD84,Varsayımlar!$B:$Q,14,0))</f>
        <v>9</v>
      </c>
      <c r="X84" s="81"/>
      <c r="Y84" s="81"/>
      <c r="Z84" s="80"/>
      <c r="AA84" s="80" t="str">
        <f>IF(B84="","",VLOOKUP(AD84,Varsayımlar!$B:$Q,15,0))</f>
        <v>26cm Pizza Perforeli-Bulgarca Etiket</v>
      </c>
      <c r="AB84" s="80" t="str">
        <f>IF(B84="","",VLOOKUP(AD84,Varsayımlar!$B:$Q,16,0))</f>
        <v>26 cm kesme -Beze 145-150g, Kesilmmeiş çap 27-28cm, Kesilmemiş ağı: 520-540g, Kesilmiş:475-485g</v>
      </c>
      <c r="AC84" s="80" t="str">
        <f>IF(B84="","",VLOOKUP(Sayfa1!AD80,Varsayımlar!B:S,18,0))</f>
        <v>80x120cm -Epal+Epal</v>
      </c>
      <c r="AD84" s="57" t="str">
        <f t="shared" si="6"/>
        <v>TASTE LAND-BULGARİSTANTortillas Pizza 26cm 4pcs 480g</v>
      </c>
    </row>
    <row r="85" spans="1:30" ht="94.5" x14ac:dyDescent="0.25">
      <c r="A85" s="8" t="s">
        <v>83</v>
      </c>
      <c r="B85" s="74" t="s">
        <v>218</v>
      </c>
      <c r="C85" s="43">
        <f>IF(B85="","",VLOOKUP(AD85,Varsayımlar!$B:$Q,3,0))</f>
        <v>8698829380698</v>
      </c>
      <c r="D85" s="43" t="s">
        <v>161</v>
      </c>
      <c r="E85" s="74" t="s">
        <v>244</v>
      </c>
      <c r="F85" s="75" t="s">
        <v>341</v>
      </c>
      <c r="G85" s="43"/>
      <c r="H85" s="75" t="str">
        <f>IF(B85="","",VLOOKUP(AD85,Varsayımlar!$B:$Q,5,0))</f>
        <v>Tortillas Avrupa Pizza 26cm (742)</v>
      </c>
      <c r="I85" s="75">
        <f>IF(B85="","",VLOOKUP(AD85,Varsayımlar!B:T,19,0))</f>
        <v>0</v>
      </c>
      <c r="J85" s="75" t="str">
        <f>IF(B85="","",VLOOKUP(AD85,Varsayımlar!$B:$Q,6,0))</f>
        <v>SADE</v>
      </c>
      <c r="K85" s="75">
        <v>840</v>
      </c>
      <c r="L85" s="75"/>
      <c r="M85" s="75">
        <f>IFERROR(IF(B85="","",K85/VLOOKUP(AD85,Varsayımlar!B:R,17,0)),"")</f>
        <v>7</v>
      </c>
      <c r="N85" s="75"/>
      <c r="O85" s="75">
        <v>11</v>
      </c>
      <c r="P85" s="75">
        <f>IF(B85="","",VLOOKUP(AD85,Varsayımlar!$B:$Q,7,0)*K85)</f>
        <v>6720</v>
      </c>
      <c r="Q85" s="75">
        <f>IF(B85="","",VLOOKUP(AD85,Varsayımlar!$B:$Q,8,0))</f>
        <v>26</v>
      </c>
      <c r="R85" s="75" t="str">
        <f>IF(B85="","",VLOOKUP(AD85,Varsayımlar!$B:$Q,9,0))</f>
        <v>Irak Soft</v>
      </c>
      <c r="S85" s="75">
        <f>IF(B85="","",VLOOKUP(AD85,Varsayımlar!$B:$Q,10,0))</f>
        <v>4</v>
      </c>
      <c r="T85" s="75">
        <f>IF(B85="","",VLOOKUP(AD85,Varsayımlar!$B:$Q,11,0))</f>
        <v>8</v>
      </c>
      <c r="U85" s="75">
        <f>IF(B85="","",VLOOKUP(AD85,Varsayımlar!$B:$Q,12,0))</f>
        <v>480</v>
      </c>
      <c r="V85" s="75" t="str">
        <f>IF(B85="","",VLOOKUP(AD85,Varsayımlar!$B:$Q,13,0))</f>
        <v>Yurtdışı</v>
      </c>
      <c r="W85" s="75">
        <f>IF(B85="","",VLOOKUP(AD85,Varsayımlar!$B:$Q,14,0))</f>
        <v>9</v>
      </c>
      <c r="X85" s="76"/>
      <c r="Y85" s="76"/>
      <c r="Z85" s="75"/>
      <c r="AA85" s="75" t="str">
        <f>IF(B85="","",VLOOKUP(AD85,Varsayımlar!$B:$Q,15,0))</f>
        <v>26cm Pizza Perforeli-Bulgarca Etiket</v>
      </c>
      <c r="AB85" s="75" t="str">
        <f>IF(B85="","",VLOOKUP(AD85,Varsayımlar!$B:$Q,16,0))</f>
        <v>26 cm kesme -Beze 145-150g, Kesilmmeiş çap 27-28cm, Kesilmemiş ağı: 520-540g, Kesilmiş:475-485g</v>
      </c>
      <c r="AC85" s="75" t="str">
        <f>IF(B85="","",VLOOKUP(Sayfa1!AD81,Varsayımlar!B:S,18,0))</f>
        <v>80x120cm -Epal+Epal</v>
      </c>
      <c r="AD85" s="57" t="str">
        <f t="shared" si="6"/>
        <v>TASTE LAND-BULGARİSTANTortillas Pizza 26cm 4pcs 480g</v>
      </c>
    </row>
    <row r="86" spans="1:30" ht="31.5" x14ac:dyDescent="0.25">
      <c r="A86" s="8" t="s">
        <v>84</v>
      </c>
      <c r="B86" s="68" t="s">
        <v>268</v>
      </c>
      <c r="C86" s="42" t="e">
        <f>IF(B86="","",VLOOKUP(AD86,Varsayımlar!$B:$Q,3,0))</f>
        <v>#N/A</v>
      </c>
      <c r="D86" s="42" t="s">
        <v>159</v>
      </c>
      <c r="E86" s="42" t="s">
        <v>348</v>
      </c>
      <c r="F86" s="67">
        <v>20250825</v>
      </c>
      <c r="G86" s="42" t="s">
        <v>68</v>
      </c>
      <c r="H86" s="67" t="e">
        <f>IF(B86="","",VLOOKUP(AD86,Varsayımlar!$B:$Q,5,0))</f>
        <v>#N/A</v>
      </c>
      <c r="I86" s="67" t="e">
        <f>IF(B86="","",VLOOKUP(AD86,Varsayımlar!B:T,19,0))</f>
        <v>#N/A</v>
      </c>
      <c r="J86" s="67" t="e">
        <f>IF(B86="","",VLOOKUP(AD86,Varsayımlar!$B:$Q,6,0))</f>
        <v>#N/A</v>
      </c>
      <c r="K86" s="67">
        <v>960</v>
      </c>
      <c r="L86" s="67"/>
      <c r="M86" s="67" t="str">
        <f>IFERROR(IF(B86="","",K86/VLOOKUP(AD86,Varsayımlar!B:R,17,0)),"")</f>
        <v/>
      </c>
      <c r="N86" s="67"/>
      <c r="O86" s="67">
        <v>11</v>
      </c>
      <c r="P86" s="67" t="e">
        <f>IF(B86="","",VLOOKUP(AD86,Varsayımlar!$B:$Q,7,0)*K86)</f>
        <v>#N/A</v>
      </c>
      <c r="Q86" s="67" t="e">
        <f>IF(B86="","",VLOOKUP(AD86,Varsayımlar!$B:$Q,8,0))</f>
        <v>#N/A</v>
      </c>
      <c r="R86" s="67" t="e">
        <f>IF(B86="","",VLOOKUP(AD86,Varsayımlar!$B:$Q,9,0))</f>
        <v>#N/A</v>
      </c>
      <c r="S86" s="67" t="e">
        <f>IF(B86="","",VLOOKUP(AD86,Varsayımlar!$B:$Q,10,0))</f>
        <v>#N/A</v>
      </c>
      <c r="T86" s="67" t="e">
        <f>IF(B86="","",VLOOKUP(AD86,Varsayımlar!$B:$Q,11,0))</f>
        <v>#N/A</v>
      </c>
      <c r="U86" s="67" t="e">
        <f>IF(B86="","",VLOOKUP(AD86,Varsayımlar!$B:$Q,12,0))</f>
        <v>#N/A</v>
      </c>
      <c r="V86" s="67" t="e">
        <f>IF(B86="","",VLOOKUP(AD86,Varsayımlar!$B:$Q,13,0))</f>
        <v>#N/A</v>
      </c>
      <c r="W86" s="67" t="e">
        <f>IF(B86="","",VLOOKUP(AD86,Varsayımlar!$B:$Q,14,0))</f>
        <v>#N/A</v>
      </c>
      <c r="X86" s="69"/>
      <c r="Y86" s="69"/>
      <c r="Z86" s="67"/>
      <c r="AA86" s="67" t="e">
        <f>IF(B86="","",VLOOKUP(AD86,Varsayımlar!$B:$Q,15,0))</f>
        <v>#N/A</v>
      </c>
      <c r="AB86" s="67" t="e">
        <f>IF(B86="","",VLOOKUP(AD86,Varsayımlar!$B:$Q,16,0))</f>
        <v>#N/A</v>
      </c>
      <c r="AC86" s="67" t="e">
        <f>IF(B86="","",VLOOKUP(Sayfa1!AD82,Varsayımlar!B:S,18,0))</f>
        <v>#N/A</v>
      </c>
      <c r="AD86" s="57" t="str">
        <f t="shared" si="6"/>
        <v>LAIKYUZHN-BELARUSTortillas Pizza 26cm 2pcs 240g</v>
      </c>
    </row>
    <row r="87" spans="1:30" ht="31.5" x14ac:dyDescent="0.25">
      <c r="A87" s="8" t="s">
        <v>85</v>
      </c>
      <c r="B87" s="55" t="s">
        <v>268</v>
      </c>
      <c r="C87" s="39" t="e">
        <f>IF(B87="","",VLOOKUP(AD87,Varsayımlar!$B:$Q,3,0))</f>
        <v>#N/A</v>
      </c>
      <c r="D87" s="39" t="s">
        <v>160</v>
      </c>
      <c r="E87" s="39" t="s">
        <v>348</v>
      </c>
      <c r="F87" s="54" t="s">
        <v>343</v>
      </c>
      <c r="G87" s="39" t="s">
        <v>68</v>
      </c>
      <c r="H87" s="54" t="e">
        <f>IF(B87="","",VLOOKUP(AD87,Varsayımlar!$B:$Q,5,0))</f>
        <v>#N/A</v>
      </c>
      <c r="I87" s="54" t="e">
        <f>IF(B87="","",VLOOKUP(AD87,Varsayımlar!B:T,19,0))</f>
        <v>#N/A</v>
      </c>
      <c r="J87" s="54" t="e">
        <f>IF(B87="","",VLOOKUP(AD87,Varsayımlar!$B:$Q,6,0))</f>
        <v>#N/A</v>
      </c>
      <c r="K87" s="54">
        <v>768</v>
      </c>
      <c r="L87" s="54"/>
      <c r="M87" s="54" t="str">
        <f>IFERROR(IF(B87="","",K87/VLOOKUP(AD87,Varsayımlar!B:R,17,0)),"")</f>
        <v/>
      </c>
      <c r="N87" s="54"/>
      <c r="O87" s="54">
        <v>9</v>
      </c>
      <c r="P87" s="54" t="e">
        <f>IF(B87="","",VLOOKUP(AD87,Varsayımlar!$B:$Q,7,0)*K87)</f>
        <v>#N/A</v>
      </c>
      <c r="Q87" s="54" t="e">
        <f>IF(B87="","",VLOOKUP(AD87,Varsayımlar!$B:$Q,8,0))</f>
        <v>#N/A</v>
      </c>
      <c r="R87" s="54" t="e">
        <f>IF(B87="","",VLOOKUP(AD87,Varsayımlar!$B:$Q,9,0))</f>
        <v>#N/A</v>
      </c>
      <c r="S87" s="54" t="e">
        <f>IF(B87="","",VLOOKUP(AD87,Varsayımlar!$B:$Q,10,0))</f>
        <v>#N/A</v>
      </c>
      <c r="T87" s="54" t="e">
        <f>IF(B87="","",VLOOKUP(AD87,Varsayımlar!$B:$Q,11,0))</f>
        <v>#N/A</v>
      </c>
      <c r="U87" s="54" t="e">
        <f>IF(B87="","",VLOOKUP(AD87,Varsayımlar!$B:$Q,12,0))</f>
        <v>#N/A</v>
      </c>
      <c r="V87" s="54" t="e">
        <f>IF(B87="","",VLOOKUP(AD87,Varsayımlar!$B:$Q,13,0))</f>
        <v>#N/A</v>
      </c>
      <c r="W87" s="54" t="e">
        <f>IF(B87="","",VLOOKUP(AD87,Varsayımlar!$B:$Q,14,0))</f>
        <v>#N/A</v>
      </c>
      <c r="X87" s="56"/>
      <c r="Y87" s="56"/>
      <c r="Z87" s="54"/>
      <c r="AA87" s="54" t="e">
        <f>IF(B87="","",VLOOKUP(AD87,Varsayımlar!$B:$Q,15,0))</f>
        <v>#N/A</v>
      </c>
      <c r="AB87" s="54" t="e">
        <f>IF(B87="","",VLOOKUP(AD87,Varsayımlar!$B:$Q,16,0))</f>
        <v>#N/A</v>
      </c>
      <c r="AC87" s="54" t="e">
        <f>IF(B87="","",VLOOKUP(Sayfa1!AD83,Varsayımlar!B:S,18,0))</f>
        <v>#N/A</v>
      </c>
      <c r="AD87" s="57" t="str">
        <f t="shared" si="6"/>
        <v>LAIKYUZHN-BELARUSTortillas Pizza 26cm 2pcs 240g</v>
      </c>
    </row>
    <row r="88" spans="1:30" ht="94.5" x14ac:dyDescent="0.25">
      <c r="A88" s="8" t="s">
        <v>86</v>
      </c>
      <c r="B88" s="61" t="s">
        <v>181</v>
      </c>
      <c r="C88" s="32">
        <f>IF(B88="","",VLOOKUP(AD88,Varsayımlar!$B:$Q,3,0))</f>
        <v>8698829380698</v>
      </c>
      <c r="D88" s="32"/>
      <c r="E88" s="61" t="s">
        <v>206</v>
      </c>
      <c r="F88" s="62">
        <v>26060101</v>
      </c>
      <c r="G88" s="32"/>
      <c r="H88" s="62" t="str">
        <f>IF(B88="","",VLOOKUP(AD88,Varsayımlar!$B:$Q,5,0))</f>
        <v>Pizza-6 26 cm</v>
      </c>
      <c r="I88" s="62" t="str">
        <f>IF(B88="","",VLOOKUP(AD88,Varsayımlar!B:T,19,0))</f>
        <v>Arka kısma Arnavutça içerik-Pizza 6</v>
      </c>
      <c r="J88" s="62" t="str">
        <f>IF(B88="","",VLOOKUP(AD88,Varsayımlar!$B:$Q,6,0))</f>
        <v>SADE</v>
      </c>
      <c r="K88" s="62">
        <v>120</v>
      </c>
      <c r="L88" s="62"/>
      <c r="M88" s="62">
        <f>IFERROR(IF(B88="","",K88/VLOOKUP(AD88,Varsayımlar!B:R,17,0)),"")</f>
        <v>1</v>
      </c>
      <c r="N88" s="62"/>
      <c r="O88" s="62">
        <v>2</v>
      </c>
      <c r="P88" s="62">
        <f>IF(B88="","",VLOOKUP(AD88,Varsayımlar!$B:$Q,7,0)*K88)</f>
        <v>720</v>
      </c>
      <c r="Q88" s="62">
        <f>IF(B88="","",VLOOKUP(AD88,Varsayımlar!$B:$Q,8,0))</f>
        <v>26</v>
      </c>
      <c r="R88" s="62" t="str">
        <f>IF(B88="","",VLOOKUP(AD88,Varsayımlar!$B:$Q,9,0))</f>
        <v>Irak Soft</v>
      </c>
      <c r="S88" s="62">
        <f>IF(B88="","",VLOOKUP(AD88,Varsayımlar!$B:$Q,10,0))</f>
        <v>4</v>
      </c>
      <c r="T88" s="62">
        <f>IF(B88="","",VLOOKUP(AD88,Varsayımlar!$B:$Q,11,0))</f>
        <v>6</v>
      </c>
      <c r="U88" s="62">
        <f>IF(B88="","",VLOOKUP(AD88,Varsayımlar!$B:$Q,12,0))</f>
        <v>480</v>
      </c>
      <c r="V88" s="62" t="str">
        <f>IF(B88="","",VLOOKUP(AD88,Varsayımlar!$B:$Q,13,0))</f>
        <v>YURTDIŞI</v>
      </c>
      <c r="W88" s="62">
        <f>IF(B88="","",VLOOKUP(AD88,Varsayımlar!$B:$Q,14,0))</f>
        <v>12</v>
      </c>
      <c r="X88" s="63"/>
      <c r="Y88" s="63"/>
      <c r="Z88" s="62"/>
      <c r="AA88" s="62" t="str">
        <f>IF(B88="","",VLOOKUP(AD88,Varsayımlar!$B:$Q,15,0))</f>
        <v>Pizza kolisi</v>
      </c>
      <c r="AB88" s="62" t="str">
        <f>IF(B88="","",VLOOKUP(AD88,Varsayımlar!$B:$Q,16,0))</f>
        <v>26 cm kesme -Beze 145-150g, Kesilmmeiş çap 27-28cm, Kesilmemiş ağı: 520-540g, Kesilmiş:475-485g</v>
      </c>
      <c r="AC88" s="62">
        <f>IF(B88="","",VLOOKUP(Sayfa1!AD84,Varsayımlar!B:S,18,0))</f>
        <v>0</v>
      </c>
      <c r="AD88" s="57" t="str">
        <f t="shared" si="6"/>
        <v>ALDİ - KOSOVAPizza-6 26cm 4pcs 480g</v>
      </c>
    </row>
    <row r="89" spans="1:30" x14ac:dyDescent="0.25">
      <c r="A89" s="8" t="s">
        <v>87</v>
      </c>
      <c r="B89" s="67"/>
      <c r="C89" s="42" t="str">
        <f>IF(B89="","",VLOOKUP(AD89,Varsayımlar!$B:$Q,3,0))</f>
        <v/>
      </c>
      <c r="D89" s="42"/>
      <c r="E89" s="42"/>
      <c r="F89" s="42"/>
      <c r="G89" s="42"/>
      <c r="H89" s="42" t="str">
        <f>IF(B89="","",VLOOKUP(AD89,Varsayımlar!$B:$Q,5,0))</f>
        <v/>
      </c>
      <c r="I89" s="42"/>
      <c r="J89" s="42" t="str">
        <f>IF(B89="","",VLOOKUP(AD89,Varsayımlar!$B:$Q,6,0))</f>
        <v/>
      </c>
      <c r="K89" s="42"/>
      <c r="L89" s="42"/>
      <c r="M89" s="42" t="str">
        <f>IFERROR(IF(B89="","",K89/VLOOKUP(AD89,Varsayımlar!B:R,17,0)),"")</f>
        <v/>
      </c>
      <c r="N89" s="42"/>
      <c r="O89" s="42"/>
      <c r="P89" s="42" t="str">
        <f>IF(B89="","",VLOOKUP(AD89,Varsayımlar!$B:$Q,7,0)*K89)</f>
        <v/>
      </c>
      <c r="Q89" s="42" t="str">
        <f>IF(B89="","",VLOOKUP(AD89,Varsayımlar!$B:$Q,8,0))</f>
        <v/>
      </c>
      <c r="R89" s="42" t="str">
        <f>IF(B89="","",VLOOKUP(AD89,Varsayımlar!$B:$Q,9,0))</f>
        <v/>
      </c>
      <c r="S89" s="42" t="str">
        <f>IF(B89="","",VLOOKUP(AD89,Varsayımlar!$B:$Q,10,0))</f>
        <v/>
      </c>
      <c r="T89" s="42" t="str">
        <f>IF(B89="","",VLOOKUP(AD89,Varsayımlar!$B:$Q,11,0))</f>
        <v/>
      </c>
      <c r="U89" s="42" t="str">
        <f>IF(B89="","",VLOOKUP(AD89,Varsayımlar!$B:$Q,12,0))</f>
        <v/>
      </c>
      <c r="V89" s="42" t="str">
        <f>IF(B89="","",VLOOKUP(AD89,Varsayımlar!$B:$Q,13,0))</f>
        <v/>
      </c>
      <c r="W89" s="67" t="str">
        <f>IF(B89="","",VLOOKUP(AD89,Varsayımlar!$B:$Q,14,0))</f>
        <v/>
      </c>
      <c r="X89" s="69"/>
      <c r="Y89" s="69"/>
      <c r="Z89" s="67"/>
      <c r="AA89" s="67" t="str">
        <f>IF(B89="","",VLOOKUP(AD89,Varsayımlar!$B:$Q,15,0))</f>
        <v/>
      </c>
      <c r="AB89" s="67" t="str">
        <f>IF(B89="","",VLOOKUP(AD89,Varsayımlar!$B:$Q,16,0))</f>
        <v/>
      </c>
      <c r="AC89" s="67"/>
      <c r="AD89" s="57" t="str">
        <f t="shared" si="6"/>
        <v/>
      </c>
    </row>
    <row r="90" spans="1:30" x14ac:dyDescent="0.25">
      <c r="A90" s="8" t="s">
        <v>88</v>
      </c>
      <c r="B90" s="67"/>
      <c r="C90" s="42" t="str">
        <f>IF(B90="","",VLOOKUP(AD90,Varsayımlar!$B:$Q,3,0))</f>
        <v/>
      </c>
      <c r="D90" s="42"/>
      <c r="E90" s="42"/>
      <c r="F90" s="42"/>
      <c r="G90" s="42"/>
      <c r="H90" s="42" t="str">
        <f>IF(B90="","",VLOOKUP(AD90,Varsayımlar!$B:$Q,5,0))</f>
        <v/>
      </c>
      <c r="I90" s="42"/>
      <c r="J90" s="42" t="str">
        <f>IF(B90="","",VLOOKUP(AD90,Varsayımlar!$B:$Q,6,0))</f>
        <v/>
      </c>
      <c r="K90" s="42"/>
      <c r="L90" s="42"/>
      <c r="M90" s="42" t="str">
        <f>IFERROR(IF(B90="","",K90/VLOOKUP(AD90,Varsayımlar!B:R,17,0)),"")</f>
        <v/>
      </c>
      <c r="N90" s="42"/>
      <c r="O90" s="42"/>
      <c r="P90" s="42" t="str">
        <f>IF(B90="","",VLOOKUP(AD90,Varsayımlar!$B:$Q,7,0)*K90)</f>
        <v/>
      </c>
      <c r="Q90" s="42" t="str">
        <f>IF(B90="","",VLOOKUP(AD90,Varsayımlar!$B:$Q,8,0))</f>
        <v/>
      </c>
      <c r="R90" s="42" t="str">
        <f>IF(B90="","",VLOOKUP(AD90,Varsayımlar!$B:$Q,9,0))</f>
        <v/>
      </c>
      <c r="S90" s="42" t="str">
        <f>IF(B90="","",VLOOKUP(AD90,Varsayımlar!$B:$Q,10,0))</f>
        <v/>
      </c>
      <c r="T90" s="42" t="str">
        <f>IF(B90="","",VLOOKUP(AD90,Varsayımlar!$B:$Q,11,0))</f>
        <v/>
      </c>
      <c r="U90" s="42" t="str">
        <f>IF(B90="","",VLOOKUP(AD90,Varsayımlar!$B:$Q,12,0))</f>
        <v/>
      </c>
      <c r="V90" s="42" t="str">
        <f>IF(B90="","",VLOOKUP(AD90,Varsayımlar!$B:$Q,13,0))</f>
        <v/>
      </c>
      <c r="W90" s="67" t="str">
        <f>IF(B90="","",VLOOKUP(AD90,Varsayımlar!$B:$Q,14,0))</f>
        <v/>
      </c>
      <c r="X90" s="69"/>
      <c r="Y90" s="69"/>
      <c r="Z90" s="67"/>
      <c r="AA90" s="67" t="str">
        <f>IF(B90="","",VLOOKUP(AD90,Varsayımlar!$B:$Q,15,0))</f>
        <v/>
      </c>
      <c r="AB90" s="67" t="str">
        <f>IF(B90="","",VLOOKUP(AD90,Varsayımlar!$B:$Q,16,0))</f>
        <v/>
      </c>
      <c r="AC90" s="67"/>
      <c r="AD90" s="57" t="str">
        <f t="shared" si="6"/>
        <v/>
      </c>
    </row>
    <row r="91" spans="1:30" x14ac:dyDescent="0.25">
      <c r="A91" s="8" t="s">
        <v>89</v>
      </c>
      <c r="B91" s="67"/>
      <c r="C91" s="42" t="str">
        <f>IF(B91="","",VLOOKUP(AD91,Varsayımlar!$B:$Q,3,0))</f>
        <v/>
      </c>
      <c r="D91" s="42"/>
      <c r="E91" s="42"/>
      <c r="F91" s="42"/>
      <c r="G91" s="42"/>
      <c r="H91" s="42" t="str">
        <f>IF(B91="","",VLOOKUP(AD91,Varsayımlar!$B:$Q,5,0))</f>
        <v/>
      </c>
      <c r="I91" s="42"/>
      <c r="J91" s="42" t="str">
        <f>IF(B91="","",VLOOKUP(AD91,Varsayımlar!$B:$Q,6,0))</f>
        <v/>
      </c>
      <c r="K91" s="42"/>
      <c r="L91" s="42"/>
      <c r="M91" s="42" t="str">
        <f>IFERROR(IF(B91="","",K91/VLOOKUP(AD91,Varsayımlar!B:R,17,0)),"")</f>
        <v/>
      </c>
      <c r="N91" s="42"/>
      <c r="O91" s="42"/>
      <c r="P91" s="42" t="str">
        <f>IF(B91="","",VLOOKUP(AD91,Varsayımlar!$B:$Q,7,0)*K91)</f>
        <v/>
      </c>
      <c r="Q91" s="42" t="str">
        <f>IF(B91="","",VLOOKUP(AD91,Varsayımlar!$B:$Q,8,0))</f>
        <v/>
      </c>
      <c r="R91" s="42" t="str">
        <f>IF(B91="","",VLOOKUP(AD91,Varsayımlar!$B:$Q,9,0))</f>
        <v/>
      </c>
      <c r="S91" s="42" t="str">
        <f>IF(B91="","",VLOOKUP(AD91,Varsayımlar!$B:$Q,10,0))</f>
        <v/>
      </c>
      <c r="T91" s="42" t="str">
        <f>IF(B91="","",VLOOKUP(AD91,Varsayımlar!$B:$Q,11,0))</f>
        <v/>
      </c>
      <c r="U91" s="42" t="str">
        <f>IF(B91="","",VLOOKUP(AD91,Varsayımlar!$B:$Q,12,0))</f>
        <v/>
      </c>
      <c r="V91" s="42" t="str">
        <f>IF(B91="","",VLOOKUP(AD91,Varsayımlar!$B:$Q,13,0))</f>
        <v/>
      </c>
      <c r="W91" s="67" t="str">
        <f>IF(B91="","",VLOOKUP(AD91,Varsayımlar!$B:$Q,14,0))</f>
        <v/>
      </c>
      <c r="X91" s="69"/>
      <c r="Y91" s="69"/>
      <c r="Z91" s="67"/>
      <c r="AA91" s="67" t="str">
        <f>IF(B91="","",VLOOKUP(AD91,Varsayımlar!$B:$Q,15,0))</f>
        <v/>
      </c>
      <c r="AB91" s="67" t="str">
        <f>IF(B91="","",VLOOKUP(AD91,Varsayımlar!$B:$Q,16,0))</f>
        <v/>
      </c>
      <c r="AC91" s="67"/>
      <c r="AD91" s="57" t="str">
        <f t="shared" si="6"/>
        <v/>
      </c>
    </row>
    <row r="92" spans="1:30" x14ac:dyDescent="0.25">
      <c r="A92" s="8" t="s">
        <v>90</v>
      </c>
      <c r="B92" s="67"/>
      <c r="C92" s="42" t="str">
        <f>IF(B92="","",VLOOKUP(AD92,Varsayımlar!$B:$Q,3,0))</f>
        <v/>
      </c>
      <c r="D92" s="42"/>
      <c r="E92" s="42"/>
      <c r="F92" s="42"/>
      <c r="G92" s="42"/>
      <c r="H92" s="42" t="str">
        <f>IF(B92="","",VLOOKUP(AD92,Varsayımlar!$B:$Q,5,0))</f>
        <v/>
      </c>
      <c r="I92" s="42"/>
      <c r="J92" s="42" t="str">
        <f>IF(B92="","",VLOOKUP(AD92,Varsayımlar!$B:$Q,6,0))</f>
        <v/>
      </c>
      <c r="K92" s="42"/>
      <c r="L92" s="42"/>
      <c r="M92" s="42" t="str">
        <f>IFERROR(IF(B92="","",K92/VLOOKUP(AD92,Varsayımlar!B:R,17,0)),"")</f>
        <v/>
      </c>
      <c r="N92" s="42"/>
      <c r="O92" s="42"/>
      <c r="P92" s="42" t="str">
        <f>IF(B92="","",VLOOKUP(AD92,Varsayımlar!$B:$Q,7,0)*K92)</f>
        <v/>
      </c>
      <c r="Q92" s="42" t="str">
        <f>IF(B92="","",VLOOKUP(AD92,Varsayımlar!$B:$Q,8,0))</f>
        <v/>
      </c>
      <c r="R92" s="42" t="str">
        <f>IF(B92="","",VLOOKUP(AD92,Varsayımlar!$B:$Q,9,0))</f>
        <v/>
      </c>
      <c r="S92" s="42" t="str">
        <f>IF(B92="","",VLOOKUP(AD92,Varsayımlar!$B:$Q,10,0))</f>
        <v/>
      </c>
      <c r="T92" s="42" t="str">
        <f>IF(B92="","",VLOOKUP(AD92,Varsayımlar!$B:$Q,11,0))</f>
        <v/>
      </c>
      <c r="U92" s="42" t="str">
        <f>IF(B92="","",VLOOKUP(AD92,Varsayımlar!$B:$Q,12,0))</f>
        <v/>
      </c>
      <c r="V92" s="42" t="str">
        <f>IF(B92="","",VLOOKUP(AD92,Varsayımlar!$B:$Q,13,0))</f>
        <v/>
      </c>
      <c r="W92" s="67" t="str">
        <f>IF(B92="","",VLOOKUP(AD92,Varsayımlar!$B:$Q,14,0))</f>
        <v/>
      </c>
      <c r="X92" s="69"/>
      <c r="Y92" s="69"/>
      <c r="Z92" s="67"/>
      <c r="AA92" s="67" t="str">
        <f>IF(B92="","",VLOOKUP(AD92,Varsayımlar!$B:$Q,15,0))</f>
        <v/>
      </c>
      <c r="AB92" s="67" t="str">
        <f>IF(B92="","",VLOOKUP(AD92,Varsayımlar!$B:$Q,16,0))</f>
        <v/>
      </c>
      <c r="AC92" s="67"/>
      <c r="AD92" s="57" t="str">
        <f t="shared" si="6"/>
        <v/>
      </c>
    </row>
    <row r="93" spans="1:30" x14ac:dyDescent="0.25">
      <c r="A93" s="8" t="s">
        <v>91</v>
      </c>
      <c r="B93" s="67"/>
      <c r="C93" s="42" t="str">
        <f>IF(B93="","",VLOOKUP(AD93,Varsayımlar!$B:$Q,3,0))</f>
        <v/>
      </c>
      <c r="D93" s="42"/>
      <c r="E93" s="42"/>
      <c r="F93" s="42"/>
      <c r="G93" s="42"/>
      <c r="H93" s="42" t="str">
        <f>IF(B93="","",VLOOKUP(AD93,Varsayımlar!$B:$Q,5,0))</f>
        <v/>
      </c>
      <c r="I93" s="42"/>
      <c r="J93" s="42" t="str">
        <f>IF(B93="","",VLOOKUP(AD93,Varsayımlar!$B:$Q,6,0))</f>
        <v/>
      </c>
      <c r="K93" s="42"/>
      <c r="L93" s="42"/>
      <c r="M93" s="42" t="str">
        <f>IFERROR(IF(B93="","",K93/VLOOKUP(AD93,Varsayımlar!B:R,17,0)),"")</f>
        <v/>
      </c>
      <c r="N93" s="42"/>
      <c r="O93" s="42"/>
      <c r="P93" s="42" t="str">
        <f>IF(B93="","",VLOOKUP(AD93,Varsayımlar!$B:$Q,7,0)*K93)</f>
        <v/>
      </c>
      <c r="Q93" s="42" t="str">
        <f>IF(B93="","",VLOOKUP(AD93,Varsayımlar!$B:$Q,8,0))</f>
        <v/>
      </c>
      <c r="R93" s="42" t="str">
        <f>IF(B93="","",VLOOKUP(AD93,Varsayımlar!$B:$Q,9,0))</f>
        <v/>
      </c>
      <c r="S93" s="42" t="str">
        <f>IF(B93="","",VLOOKUP(AD93,Varsayımlar!$B:$Q,10,0))</f>
        <v/>
      </c>
      <c r="T93" s="42" t="str">
        <f>IF(B93="","",VLOOKUP(AD93,Varsayımlar!$B:$Q,11,0))</f>
        <v/>
      </c>
      <c r="U93" s="42" t="str">
        <f>IF(B93="","",VLOOKUP(AD93,Varsayımlar!$B:$Q,12,0))</f>
        <v/>
      </c>
      <c r="V93" s="42" t="str">
        <f>IF(B93="","",VLOOKUP(AD93,Varsayımlar!$B:$Q,13,0))</f>
        <v/>
      </c>
      <c r="W93" s="67" t="str">
        <f>IF(B93="","",VLOOKUP(AD93,Varsayımlar!$B:$Q,14,0))</f>
        <v/>
      </c>
      <c r="X93" s="69"/>
      <c r="Y93" s="69"/>
      <c r="Z93" s="67"/>
      <c r="AA93" s="67" t="str">
        <f>IF(B93="","",VLOOKUP(AD93,Varsayımlar!$B:$Q,15,0))</f>
        <v/>
      </c>
      <c r="AB93" s="67" t="str">
        <f>IF(B93="","",VLOOKUP(AD93,Varsayımlar!$B:$Q,16,0))</f>
        <v/>
      </c>
      <c r="AC93" s="67"/>
      <c r="AD93" s="57" t="str">
        <f t="shared" si="6"/>
        <v/>
      </c>
    </row>
    <row r="94" spans="1:30" x14ac:dyDescent="0.25">
      <c r="A94" s="8" t="s">
        <v>92</v>
      </c>
      <c r="B94" s="67"/>
      <c r="C94" s="42" t="str">
        <f>IF(B94="","",VLOOKUP(AD94,Varsayımlar!$B:$Q,3,0))</f>
        <v/>
      </c>
      <c r="D94" s="42"/>
      <c r="E94" s="42"/>
      <c r="F94" s="42"/>
      <c r="G94" s="42"/>
      <c r="H94" s="42" t="str">
        <f>IF(B94="","",VLOOKUP(AD94,Varsayımlar!$B:$Q,5,0))</f>
        <v/>
      </c>
      <c r="I94" s="42"/>
      <c r="J94" s="42" t="str">
        <f>IF(B94="","",VLOOKUP(AD94,Varsayımlar!$B:$Q,6,0))</f>
        <v/>
      </c>
      <c r="K94" s="42"/>
      <c r="L94" s="42"/>
      <c r="M94" s="42" t="str">
        <f>IFERROR(IF(B94="","",K94/VLOOKUP(AD94,Varsayımlar!B:R,17,0)),"")</f>
        <v/>
      </c>
      <c r="N94" s="42"/>
      <c r="O94" s="42"/>
      <c r="P94" s="42" t="str">
        <f>IF(B94="","",VLOOKUP(AD94,Varsayımlar!$B:$Q,7,0)*K94)</f>
        <v/>
      </c>
      <c r="Q94" s="42" t="str">
        <f>IF(B94="","",VLOOKUP(AD94,Varsayımlar!$B:$Q,8,0))</f>
        <v/>
      </c>
      <c r="R94" s="42" t="str">
        <f>IF(B94="","",VLOOKUP(AD94,Varsayımlar!$B:$Q,9,0))</f>
        <v/>
      </c>
      <c r="S94" s="42" t="str">
        <f>IF(B94="","",VLOOKUP(AD94,Varsayımlar!$B:$Q,10,0))</f>
        <v/>
      </c>
      <c r="T94" s="42" t="str">
        <f>IF(B94="","",VLOOKUP(AD94,Varsayımlar!$B:$Q,11,0))</f>
        <v/>
      </c>
      <c r="U94" s="42" t="str">
        <f>IF(B94="","",VLOOKUP(AD94,Varsayımlar!$B:$Q,12,0))</f>
        <v/>
      </c>
      <c r="V94" s="42" t="str">
        <f>IF(B94="","",VLOOKUP(AD94,Varsayımlar!$B:$Q,13,0))</f>
        <v/>
      </c>
      <c r="W94" s="67" t="str">
        <f>IF(B94="","",VLOOKUP(AD94,Varsayımlar!$B:$Q,14,0))</f>
        <v/>
      </c>
      <c r="X94" s="69"/>
      <c r="Y94" s="69"/>
      <c r="Z94" s="67"/>
      <c r="AA94" s="67" t="str">
        <f>IF(B94="","",VLOOKUP(AD94,Varsayımlar!$B:$Q,15,0))</f>
        <v/>
      </c>
      <c r="AB94" s="67" t="str">
        <f>IF(B94="","",VLOOKUP(AD94,Varsayımlar!$B:$Q,16,0))</f>
        <v/>
      </c>
      <c r="AC94" s="67"/>
      <c r="AD94" s="57" t="str">
        <f t="shared" si="6"/>
        <v/>
      </c>
    </row>
    <row r="95" spans="1:30" x14ac:dyDescent="0.25">
      <c r="A95" s="8" t="s">
        <v>93</v>
      </c>
      <c r="B95" s="67"/>
      <c r="C95" s="42" t="str">
        <f>IF(B95="","",VLOOKUP(AD95,Varsayımlar!$B:$Q,3,0))</f>
        <v/>
      </c>
      <c r="D95" s="42"/>
      <c r="E95" s="42"/>
      <c r="F95" s="42"/>
      <c r="G95" s="42"/>
      <c r="H95" s="42" t="str">
        <f>IF(B95="","",VLOOKUP(AD95,Varsayımlar!$B:$Q,5,0))</f>
        <v/>
      </c>
      <c r="I95" s="42"/>
      <c r="J95" s="42" t="str">
        <f>IF(B95="","",VLOOKUP(AD95,Varsayımlar!$B:$Q,6,0))</f>
        <v/>
      </c>
      <c r="K95" s="42"/>
      <c r="L95" s="42"/>
      <c r="M95" s="42" t="str">
        <f>IFERROR(IF(B95="","",K95/VLOOKUP(AD95,Varsayımlar!B:R,17,0)),"")</f>
        <v/>
      </c>
      <c r="N95" s="42"/>
      <c r="O95" s="42"/>
      <c r="P95" s="42" t="str">
        <f>IF(B95="","",VLOOKUP(AD95,Varsayımlar!$B:$Q,7,0)*K95)</f>
        <v/>
      </c>
      <c r="Q95" s="42" t="str">
        <f>IF(B95="","",VLOOKUP(AD95,Varsayımlar!$B:$Q,8,0))</f>
        <v/>
      </c>
      <c r="R95" s="42" t="str">
        <f>IF(B95="","",VLOOKUP(AD95,Varsayımlar!$B:$Q,9,0))</f>
        <v/>
      </c>
      <c r="S95" s="42" t="str">
        <f>IF(B95="","",VLOOKUP(AD95,Varsayımlar!$B:$Q,10,0))</f>
        <v/>
      </c>
      <c r="T95" s="42" t="str">
        <f>IF(B95="","",VLOOKUP(AD95,Varsayımlar!$B:$Q,11,0))</f>
        <v/>
      </c>
      <c r="U95" s="42" t="str">
        <f>IF(B95="","",VLOOKUP(AD95,Varsayımlar!$B:$Q,12,0))</f>
        <v/>
      </c>
      <c r="V95" s="42" t="str">
        <f>IF(B95="","",VLOOKUP(AD95,Varsayımlar!$B:$Q,13,0))</f>
        <v/>
      </c>
      <c r="W95" s="67" t="str">
        <f>IF(B95="","",VLOOKUP(AD95,Varsayımlar!$B:$Q,14,0))</f>
        <v/>
      </c>
      <c r="X95" s="69"/>
      <c r="Y95" s="69"/>
      <c r="Z95" s="67"/>
      <c r="AA95" s="67" t="str">
        <f>IF(B95="","",VLOOKUP(AD95,Varsayımlar!$B:$Q,15,0))</f>
        <v/>
      </c>
      <c r="AB95" s="67" t="str">
        <f>IF(B95="","",VLOOKUP(AD95,Varsayımlar!$B:$Q,16,0))</f>
        <v/>
      </c>
      <c r="AC95" s="67"/>
      <c r="AD95" s="57" t="str">
        <f t="shared" si="6"/>
        <v/>
      </c>
    </row>
    <row r="96" spans="1:30" x14ac:dyDescent="0.25">
      <c r="A96" s="8" t="s">
        <v>135</v>
      </c>
      <c r="B96" s="67"/>
      <c r="C96" s="42" t="str">
        <f>IF(B96="","",VLOOKUP(AD96,Varsayımlar!$B:$Q,3,0))</f>
        <v/>
      </c>
      <c r="D96" s="42"/>
      <c r="E96" s="42"/>
      <c r="F96" s="42"/>
      <c r="G96" s="42"/>
      <c r="H96" s="42" t="str">
        <f>IF(B96="","",VLOOKUP(AD96,Varsayımlar!$B:$Q,5,0))</f>
        <v/>
      </c>
      <c r="I96" s="42"/>
      <c r="J96" s="42" t="str">
        <f>IF(B96="","",VLOOKUP(AD96,Varsayımlar!$B:$Q,6,0))</f>
        <v/>
      </c>
      <c r="K96" s="42"/>
      <c r="L96" s="42"/>
      <c r="M96" s="42" t="str">
        <f>IFERROR(IF(B96="","",K96/VLOOKUP(AD96,Varsayımlar!B:R,17,0)),"")</f>
        <v/>
      </c>
      <c r="N96" s="42"/>
      <c r="O96" s="42"/>
      <c r="P96" s="42" t="str">
        <f>IF(B96="","",VLOOKUP(AD96,Varsayımlar!$B:$Q,7,0)*K96)</f>
        <v/>
      </c>
      <c r="Q96" s="42" t="str">
        <f>IF(B96="","",VLOOKUP(AD96,Varsayımlar!$B:$Q,8,0))</f>
        <v/>
      </c>
      <c r="R96" s="42" t="str">
        <f>IF(B96="","",VLOOKUP(AD96,Varsayımlar!$B:$Q,9,0))</f>
        <v/>
      </c>
      <c r="S96" s="42" t="str">
        <f>IF(B96="","",VLOOKUP(AD96,Varsayımlar!$B:$Q,10,0))</f>
        <v/>
      </c>
      <c r="T96" s="42" t="str">
        <f>IF(B96="","",VLOOKUP(AD96,Varsayımlar!$B:$Q,11,0))</f>
        <v/>
      </c>
      <c r="U96" s="42" t="str">
        <f>IF(B96="","",VLOOKUP(AD96,Varsayımlar!$B:$Q,12,0))</f>
        <v/>
      </c>
      <c r="V96" s="42" t="str">
        <f>IF(B96="","",VLOOKUP(AD96,Varsayımlar!$B:$Q,13,0))</f>
        <v/>
      </c>
      <c r="W96" s="67" t="str">
        <f>IF(B96="","",VLOOKUP(AD96,Varsayımlar!$B:$Q,14,0))</f>
        <v/>
      </c>
      <c r="X96" s="69"/>
      <c r="Y96" s="69"/>
      <c r="Z96" s="67"/>
      <c r="AA96" s="67" t="str">
        <f>IF(B96="","",VLOOKUP(AD96,Varsayımlar!$B:$Q,15,0))</f>
        <v/>
      </c>
      <c r="AB96" s="67" t="str">
        <f>IF(B96="","",VLOOKUP(AD96,Varsayımlar!$B:$Q,16,0))</f>
        <v/>
      </c>
      <c r="AC96" s="67"/>
      <c r="AD96" s="57" t="str">
        <f t="shared" si="6"/>
        <v/>
      </c>
    </row>
    <row r="97" spans="2:30" x14ac:dyDescent="0.25">
      <c r="B97" s="86"/>
      <c r="C97" s="87" t="str">
        <f>IF(B97="","",VLOOKUP(AD97,Varsayımlar!$B:$Q,3,0))</f>
        <v/>
      </c>
      <c r="D97" s="87"/>
      <c r="H97" s="57" t="str">
        <f>IF(B97="","",VLOOKUP(AD97,Varsayımlar!$B:$Q,5,0))</f>
        <v/>
      </c>
      <c r="I97" s="57"/>
      <c r="J97" s="57" t="str">
        <f>IF(B97="","",VLOOKUP(AD97,Varsayımlar!$B:$Q,6,0))</f>
        <v/>
      </c>
      <c r="P97" s="57" t="str">
        <f>IF(B97="","",VLOOKUP(AD97,Varsayımlar!$B:$Q,7,0)*K97)</f>
        <v/>
      </c>
      <c r="Q97" s="57" t="str">
        <f>IF(B97="","",VLOOKUP(AD97,Varsayımlar!$B:$Q,8,0))</f>
        <v/>
      </c>
      <c r="R97" s="57" t="str">
        <f>IF(B97="","",VLOOKUP(AD97,Varsayımlar!$B:$Q,9,0))</f>
        <v/>
      </c>
      <c r="S97" s="57" t="str">
        <f>IF(B97="","",VLOOKUP(AD97,Varsayımlar!$B:$Q,10,0))</f>
        <v/>
      </c>
      <c r="T97" s="57" t="str">
        <f>IF(B97="","",VLOOKUP(AD97,Varsayımlar!$B:$Q,11,0))</f>
        <v/>
      </c>
      <c r="U97" s="57" t="str">
        <f>IF(B97="","",VLOOKUP(AD97,Varsayımlar!$B:$Q,12,0))</f>
        <v/>
      </c>
      <c r="V97" s="57" t="str">
        <f>IF(B97="","",VLOOKUP(AD97,Varsayımlar!$B:$Q,13,0))</f>
        <v/>
      </c>
      <c r="W97" s="57" t="str">
        <f>IF(B97="","",VLOOKUP(AD97,Varsayımlar!$B:$Q,14,0))</f>
        <v/>
      </c>
      <c r="AA97" s="57" t="str">
        <f>IF(B97="","",VLOOKUP(AD97,Varsayımlar!$B:$Q,15,0))</f>
        <v/>
      </c>
      <c r="AB97" s="57" t="str">
        <f>IF(B97="","",VLOOKUP(AD97,Varsayımlar!$B:$Q,16,0))</f>
        <v/>
      </c>
      <c r="AC97" s="57" t="str">
        <f>IF(B97="","",VLOOKUP(Sayfa1!AD93,Varsayımlar!B:S,18,0))</f>
        <v/>
      </c>
      <c r="AD97" s="57" t="str">
        <f t="shared" si="6"/>
        <v/>
      </c>
    </row>
    <row r="98" spans="2:30" x14ac:dyDescent="0.25">
      <c r="C98" s="53" t="str">
        <f>IF(B98="","",VLOOKUP(AD98,Varsayımlar!$B:$Q,3,0))</f>
        <v/>
      </c>
      <c r="H98" s="7" t="str">
        <f>IF(B98="","",VLOOKUP(AD98,Varsayımlar!$B:$Q,5,0))</f>
        <v/>
      </c>
      <c r="J98" s="7" t="str">
        <f>IF(B98="","",VLOOKUP(AD98,Varsayımlar!$B:$Q,6,0))</f>
        <v/>
      </c>
      <c r="P98" s="7" t="str">
        <f>IF(B98="","",VLOOKUP(AD98,Varsayımlar!$B:$Q,7,0)*K98)</f>
        <v/>
      </c>
      <c r="Q98" s="7" t="str">
        <f>IF(B98="","",VLOOKUP(AD98,Varsayımlar!$B:$Q,8,0))</f>
        <v/>
      </c>
      <c r="R98" s="7" t="str">
        <f>IF(B98="","",VLOOKUP(AD98,Varsayımlar!$B:$Q,9,0))</f>
        <v/>
      </c>
      <c r="S98" s="7" t="str">
        <f>IF(B98="","",VLOOKUP(AD98,Varsayımlar!$B:$Q,10,0))</f>
        <v/>
      </c>
      <c r="T98" s="7" t="str">
        <f>IF(B98="","",VLOOKUP(AD98,Varsayımlar!$B:$Q,11,0))</f>
        <v/>
      </c>
      <c r="U98" s="7" t="str">
        <f>IF(B98="","",VLOOKUP(AD98,Varsayımlar!$B:$Q,12,0))</f>
        <v/>
      </c>
      <c r="V98" s="7" t="str">
        <f>IF(B98="","",VLOOKUP(AD98,Varsayımlar!$B:$Q,13,0))</f>
        <v/>
      </c>
      <c r="W98" s="7" t="str">
        <f>IF(B98="","",VLOOKUP(AD98,Varsayımlar!$B:$Q,14,0))</f>
        <v/>
      </c>
      <c r="AA98" s="7" t="str">
        <f>IF(B98="","",VLOOKUP(AD98,Varsayımlar!$B:$Q,15,0))</f>
        <v/>
      </c>
      <c r="AB98" s="7" t="str">
        <f>IF(B98="","",VLOOKUP(AD98,Varsayımlar!$B:$Q,16,0))</f>
        <v/>
      </c>
      <c r="AC98" s="7" t="str">
        <f>IF(B98="","",VLOOKUP(Sayfa1!AD94,Varsayımlar!B:S,18,0))</f>
        <v/>
      </c>
      <c r="AD98" s="7" t="str">
        <f t="shared" si="6"/>
        <v/>
      </c>
    </row>
  </sheetData>
  <mergeCells count="5">
    <mergeCell ref="A1:AC1"/>
    <mergeCell ref="A2:Z2"/>
    <mergeCell ref="AB2:AC2"/>
    <mergeCell ref="A46:AB46"/>
    <mergeCell ref="A76:AB76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23" fitToHeight="4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5"/>
  <sheetViews>
    <sheetView zoomScale="71" zoomScaleNormal="71" workbookViewId="0">
      <selection activeCell="A81" sqref="A81:XFD81"/>
    </sheetView>
  </sheetViews>
  <sheetFormatPr defaultRowHeight="15.75" x14ac:dyDescent="0.25"/>
  <cols>
    <col min="1" max="1" width="5.85546875" style="7" bestFit="1" customWidth="1"/>
    <col min="2" max="2" width="17.28515625" style="7" customWidth="1"/>
    <col min="3" max="3" width="26.28515625" style="53" hidden="1" customWidth="1"/>
    <col min="4" max="4" width="10.85546875" style="53" customWidth="1"/>
    <col min="5" max="5" width="42" style="53" customWidth="1"/>
    <col min="6" max="6" width="20.140625" style="7" hidden="1" customWidth="1"/>
    <col min="7" max="7" width="15.7109375" style="7" customWidth="1"/>
    <col min="8" max="8" width="23.42578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hidden="1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0.28515625" style="7" bestFit="1" customWidth="1"/>
    <col min="23" max="23" width="8.5703125" style="7" bestFit="1" customWidth="1"/>
    <col min="24" max="25" width="13.140625" style="7" bestFit="1" customWidth="1"/>
    <col min="26" max="26" width="12.42578125" style="7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7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46181</v>
      </c>
      <c r="AB2" s="185">
        <v>0.71875</v>
      </c>
      <c r="AC2" s="186"/>
    </row>
    <row r="3" spans="1:30" ht="63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9" customHeight="1" x14ac:dyDescent="0.25">
      <c r="A4" s="8" t="s">
        <v>26</v>
      </c>
      <c r="B4" s="54" t="s">
        <v>64</v>
      </c>
      <c r="C4" s="39">
        <f>IF(B4="","",VLOOKUP(AD4,Varsayımlar!$B:$Q,3,0))</f>
        <v>8698829380698</v>
      </c>
      <c r="D4" s="39"/>
      <c r="E4" s="54" t="s">
        <v>176</v>
      </c>
      <c r="F4" s="54"/>
      <c r="G4" s="39" t="s">
        <v>68</v>
      </c>
      <c r="H4" s="54" t="str">
        <f>IF(B4="","",VLOOKUP(AD4,Varsayımlar!$B:$Q,5,0))</f>
        <v>Tortillas 20cm (Samakat Bilgileri Ekli)</v>
      </c>
      <c r="I4" s="54">
        <f>IF(B4="","",VLOOKUP(AD4,Varsayımlar!B:T,19,0))</f>
        <v>0</v>
      </c>
      <c r="J4" s="54" t="str">
        <f>IF(B4="","",VLOOKUP(AD4,Varsayımlar!$B:$Q,6,0))</f>
        <v>PEYNİRLİ</v>
      </c>
      <c r="K4" s="54">
        <v>7200</v>
      </c>
      <c r="L4" s="54">
        <v>6945</v>
      </c>
      <c r="M4" s="54">
        <f>IFERROR(IF(B4="","",K4/VLOOKUP(AD4,Varsayımlar!B:R,17,0)),"")</f>
        <v>32</v>
      </c>
      <c r="N4" s="54">
        <v>225</v>
      </c>
      <c r="O4" s="54">
        <v>2</v>
      </c>
      <c r="P4" s="54">
        <f>IF(B4="","",VLOOKUP(AD4,Varsayımlar!$B:$Q,7,0)*K4)</f>
        <v>100800</v>
      </c>
      <c r="Q4" s="54">
        <f>IF(B4="","",VLOOKUP(AD4,Varsayımlar!$B:$Q,8,0))</f>
        <v>20</v>
      </c>
      <c r="R4" s="54" t="str">
        <f>IF(B4="","",VLOOKUP(AD4,Varsayımlar!$B:$Q,9,0))</f>
        <v>IRAK SOFT-AT</v>
      </c>
      <c r="S4" s="54">
        <f>IF(B4="","",VLOOKUP(AD4,Varsayımlar!$B:$Q,10,0))</f>
        <v>4</v>
      </c>
      <c r="T4" s="54">
        <f>IF(B4="","",VLOOKUP(AD4,Varsayımlar!$B:$Q,11,0))</f>
        <v>14</v>
      </c>
      <c r="U4" s="54">
        <f>IF(B4="","",VLOOKUP(AD4,Varsayımlar!$B:$Q,12,0))</f>
        <v>166</v>
      </c>
      <c r="V4" s="54" t="str">
        <f>IF(B4="","",VLOOKUP(AD4,Varsayımlar!$B:$Q,13,0))</f>
        <v>YURTDIŞI</v>
      </c>
      <c r="W4" s="54">
        <f>IF(B4="","",VLOOKUP(AD4,Varsayımlar!$B:$Q,14,0))</f>
        <v>9</v>
      </c>
      <c r="X4" s="56">
        <v>46184</v>
      </c>
      <c r="Y4" s="56">
        <v>46457</v>
      </c>
      <c r="Z4" s="54" t="s">
        <v>333</v>
      </c>
      <c r="AA4" s="54" t="str">
        <f>IF(B4="","",VLOOKUP(AD4,Varsayımlar!$B:$Q,15,0))</f>
        <v>Kare Koli-Üretim Tarihli Etiket</v>
      </c>
      <c r="AB4" s="54" t="str">
        <f>IF(B4="","",VLOOKUP(AD4,Varsayımlar!$B:$Q,16,0))</f>
        <v>19-21 cm</v>
      </c>
      <c r="AC4" s="54">
        <f>IF(B4="","",VLOOKUP(Sayfa1!AD5,Varsayımlar!B:S,18,0))</f>
        <v>0</v>
      </c>
      <c r="AD4" s="57" t="str">
        <f t="shared" ref="AD4:AD44" si="0">IF(B4="","",CONCATENATE(B4,E4))</f>
        <v>SMART LLCTortillas 20cm Peynirli 4pcs 166g</v>
      </c>
    </row>
    <row r="5" spans="1:30" ht="31.5" x14ac:dyDescent="0.25">
      <c r="A5" s="8" t="s">
        <v>77</v>
      </c>
      <c r="B5" s="62" t="s">
        <v>302</v>
      </c>
      <c r="C5" s="32">
        <f>IF(B5="","",VLOOKUP(AD5,Varsayımlar!$B:$Q,3,0))</f>
        <v>8698829380698</v>
      </c>
      <c r="D5" s="32"/>
      <c r="E5" s="62" t="s">
        <v>281</v>
      </c>
      <c r="F5" s="62"/>
      <c r="G5" s="32" t="s">
        <v>68</v>
      </c>
      <c r="H5" s="62" t="str">
        <f>IF(B5="","",VLOOKUP(AD5,Varsayımlar!$B:$Q,5,0))</f>
        <v>Baskısız 30cm</v>
      </c>
      <c r="I5" s="62" t="str">
        <f>IF(B5="","",VLOOKUP(AD5,Varsayımlar!B:T,19,0))</f>
        <v>Tüm Bilgiler Sade</v>
      </c>
      <c r="J5" s="62" t="str">
        <f>IF(B5="","",VLOOKUP(AD5,Varsayımlar!$B:$Q,6,0))</f>
        <v>SADE</v>
      </c>
      <c r="K5" s="62">
        <v>792</v>
      </c>
      <c r="L5" s="62"/>
      <c r="M5" s="62" t="str">
        <f>IFERROR(IF(B5="","",K5/VLOOKUP(AD5,Varsayımlar!B:R,17,0)),"")</f>
        <v/>
      </c>
      <c r="N5" s="62">
        <v>72</v>
      </c>
      <c r="O5" s="62">
        <v>9</v>
      </c>
      <c r="P5" s="62">
        <f>IF(B5="","",VLOOKUP(AD5,Varsayımlar!$B:$Q,7,0)*K5)</f>
        <v>7920</v>
      </c>
      <c r="Q5" s="62">
        <f>IF(B5="","",VLOOKUP(AD5,Varsayımlar!$B:$Q,8,0))</f>
        <v>30</v>
      </c>
      <c r="R5" s="62" t="str">
        <f>IF(B5="","",VLOOKUP(AD5,Varsayımlar!$B:$Q,9,0))</f>
        <v>Irak soft</v>
      </c>
      <c r="S5" s="62">
        <f>IF(B5="","",VLOOKUP(AD5,Varsayımlar!$B:$Q,10,0))</f>
        <v>12</v>
      </c>
      <c r="T5" s="62">
        <f>IF(B5="","",VLOOKUP(AD5,Varsayımlar!$B:$Q,11,0))</f>
        <v>10</v>
      </c>
      <c r="U5" s="62">
        <f>IF(B5="","",VLOOKUP(AD5,Varsayımlar!$B:$Q,12,0))</f>
        <v>1020</v>
      </c>
      <c r="V5" s="62" t="str">
        <f>IF(B5="","",VLOOKUP(AD5,Varsayımlar!$B:$Q,13,0))</f>
        <v>Yurtdışı</v>
      </c>
      <c r="W5" s="62">
        <f>IF(B5="","",VLOOKUP(AD5,Varsayımlar!$B:$Q,14,0))</f>
        <v>6</v>
      </c>
      <c r="X5" s="63">
        <v>46190</v>
      </c>
      <c r="Y5" s="63">
        <v>46373</v>
      </c>
      <c r="Z5" s="62">
        <v>26061730</v>
      </c>
      <c r="AA5" s="62" t="str">
        <f>IF(B5="","",VLOOKUP(AD5,Varsayımlar!$B:$Q,15,0))</f>
        <v>30cm Kolisi</v>
      </c>
      <c r="AB5" s="62" t="str">
        <f>IF(B5="","",VLOOKUP(AD5,Varsayımlar!$B:$Q,16,0))</f>
        <v>29-31 cm</v>
      </c>
      <c r="AC5" s="62">
        <f>IF(B5="","",VLOOKUP(Sayfa1!AD11,Varsayımlar!B:S,18,0))</f>
        <v>0</v>
      </c>
      <c r="AD5" s="57" t="str">
        <f t="shared" si="0"/>
        <v>TVK ImportBaskısız 30cm 12pcs 1020g</v>
      </c>
    </row>
    <row r="6" spans="1:30" ht="63" x14ac:dyDescent="0.25">
      <c r="A6" s="8" t="s">
        <v>78</v>
      </c>
      <c r="B6" s="62" t="s">
        <v>218</v>
      </c>
      <c r="C6" s="32">
        <f>IF(B6="","",VLOOKUP(AD6,Varsayımlar!$B:$Q,3,0))</f>
        <v>8698829380698</v>
      </c>
      <c r="D6" s="32" t="s">
        <v>159</v>
      </c>
      <c r="E6" s="62" t="s">
        <v>219</v>
      </c>
      <c r="F6" s="62">
        <v>26042906</v>
      </c>
      <c r="G6" s="32"/>
      <c r="H6" s="62" t="str">
        <f>IF(B6="","",VLOOKUP(AD6,Varsayımlar!$B:$Q,5,0))</f>
        <v xml:space="preserve">Tortillas 30cm Sade </v>
      </c>
      <c r="I6" s="62" t="str">
        <f>IF(B6="","",VLOOKUP(AD6,Varsayımlar!B:T,19,0))</f>
        <v>Barkod üzerine-Bulgarca Barkodlu içerik etiketi (012)</v>
      </c>
      <c r="J6" s="62" t="str">
        <f>IF(B6="","",VLOOKUP(AD6,Varsayımlar!$B:$Q,6,0))</f>
        <v>SADE</v>
      </c>
      <c r="K6" s="62">
        <v>120</v>
      </c>
      <c r="L6" s="62"/>
      <c r="M6" s="62">
        <f>IFERROR(IF(B6="","",K6/VLOOKUP(AD6,Varsayımlar!B:R,17,0)),"")</f>
        <v>2</v>
      </c>
      <c r="N6" s="62">
        <v>60</v>
      </c>
      <c r="O6" s="62">
        <v>2</v>
      </c>
      <c r="P6" s="62">
        <f>IF(B6="","",VLOOKUP(AD6,Varsayımlar!$B:$Q,7,0)*K6)</f>
        <v>720</v>
      </c>
      <c r="Q6" s="62">
        <f>IF(B6="","",VLOOKUP(AD6,Varsayımlar!$B:$Q,8,0))</f>
        <v>30</v>
      </c>
      <c r="R6" s="62" t="str">
        <f>IF(B6="","",VLOOKUP(AD6,Varsayımlar!$B:$Q,9,0))</f>
        <v>Irak Soft</v>
      </c>
      <c r="S6" s="62">
        <f>IF(B6="","",VLOOKUP(AD6,Varsayımlar!$B:$Q,10,0))</f>
        <v>18</v>
      </c>
      <c r="T6" s="62">
        <f>IF(B6="","",VLOOKUP(AD6,Varsayımlar!$B:$Q,11,0))</f>
        <v>6</v>
      </c>
      <c r="U6" s="62">
        <f>IF(B6="","",VLOOKUP(AD6,Varsayımlar!$B:$Q,12,0))</f>
        <v>1620</v>
      </c>
      <c r="V6" s="62" t="str">
        <f>IF(B6="","",VLOOKUP(AD6,Varsayımlar!$B:$Q,13,0))</f>
        <v>Yurtdışı</v>
      </c>
      <c r="W6" s="62">
        <f>IF(B6="","",VLOOKUP(AD6,Varsayımlar!$B:$Q,14,0))</f>
        <v>9</v>
      </c>
      <c r="X6" s="63">
        <v>46183</v>
      </c>
      <c r="Y6" s="63">
        <v>46456</v>
      </c>
      <c r="Z6" s="62">
        <v>26061030</v>
      </c>
      <c r="AA6" s="62" t="str">
        <f>IF(B6="","",VLOOKUP(AD6,Varsayımlar!$B:$Q,15,0))</f>
        <v>30cm Lacivert Koli- Bulgarca Etiket</v>
      </c>
      <c r="AB6" s="62" t="str">
        <f>IF(B6="","",VLOOKUP(AD6,Varsayımlar!$B:$Q,16,0))</f>
        <v>29-31 cm</v>
      </c>
      <c r="AC6" s="62" t="str">
        <f>IF(B6="","",VLOOKUP(Sayfa1!AD18,Varsayımlar!B:S,18,0))</f>
        <v>95x130cm</v>
      </c>
      <c r="AD6" s="57" t="str">
        <f>IF(B6="","",CONCATENATE(B6,E6))</f>
        <v>TASTE LAND-BULGARİSTANTortillas 30cm Sade 18pcs 1620g</v>
      </c>
    </row>
    <row r="7" spans="1:30" ht="31.5" x14ac:dyDescent="0.25">
      <c r="A7" s="8" t="s">
        <v>79</v>
      </c>
      <c r="B7" s="58" t="s">
        <v>311</v>
      </c>
      <c r="C7" s="40">
        <f>IF(B7="","",VLOOKUP(AD7,Varsayımlar!$B:$Q,3,0))</f>
        <v>8698829380698</v>
      </c>
      <c r="D7" s="40"/>
      <c r="E7" s="58" t="s">
        <v>318</v>
      </c>
      <c r="F7" s="58"/>
      <c r="G7" s="40"/>
      <c r="H7" s="58" t="str">
        <f>IF(B7="","",VLOOKUP(AD7,Varsayımlar!$B:$Q,5,0))</f>
        <v xml:space="preserve">Tortillas 30cm Tam Buğday </v>
      </c>
      <c r="I7" s="58">
        <f>IF(B7="","",VLOOKUP(AD7,Varsayımlar!B:T,19,0))</f>
        <v>0</v>
      </c>
      <c r="J7" s="58" t="str">
        <f>IF(B7="","",VLOOKUP(AD7,Varsayımlar!$B:$Q,6,0))</f>
        <v>Tam Buğdaylı</v>
      </c>
      <c r="K7" s="58">
        <v>100</v>
      </c>
      <c r="L7" s="58"/>
      <c r="M7" s="58" t="str">
        <f>IFERROR(IF(B7="","",K7/VLOOKUP(AD7,Varsayımlar!B:R,17,0)),"")</f>
        <v/>
      </c>
      <c r="N7" s="58"/>
      <c r="O7" s="58">
        <v>2</v>
      </c>
      <c r="P7" s="58">
        <f>IF(B7="","",VLOOKUP(AD7,Varsayımlar!$B:$Q,7,0)*K7)</f>
        <v>1800</v>
      </c>
      <c r="Q7" s="58">
        <f>IF(B7="","",VLOOKUP(AD7,Varsayımlar!$B:$Q,8,0))</f>
        <v>30</v>
      </c>
      <c r="R7" s="58" t="str">
        <f>IF(B7="","",VLOOKUP(AD7,Varsayımlar!$B:$Q,9,0))</f>
        <v>Irak Soft</v>
      </c>
      <c r="S7" s="58">
        <f>IF(B7="","",VLOOKUP(AD7,Varsayımlar!$B:$Q,10,0))</f>
        <v>6</v>
      </c>
      <c r="T7" s="58">
        <f>IF(B7="","",VLOOKUP(AD7,Varsayımlar!$B:$Q,11,0))</f>
        <v>18</v>
      </c>
      <c r="U7" s="58">
        <f>IF(B7="","",VLOOKUP(AD7,Varsayımlar!$B:$Q,12,0))</f>
        <v>510</v>
      </c>
      <c r="V7" s="58" t="str">
        <f>IF(B7="","",VLOOKUP(AD7,Varsayımlar!$B:$Q,13,0))</f>
        <v>Yurtdışı</v>
      </c>
      <c r="W7" s="58">
        <f>IF(B7="","",VLOOKUP(AD7,Varsayımlar!$B:$Q,14,0))</f>
        <v>8</v>
      </c>
      <c r="X7" s="60">
        <v>46181</v>
      </c>
      <c r="Y7" s="60">
        <v>46426</v>
      </c>
      <c r="Z7" s="58" t="s">
        <v>359</v>
      </c>
      <c r="AA7" s="58" t="str">
        <f>IF(B7="","",VLOOKUP(AD7,Varsayımlar!$B:$Q,15,0))</f>
        <v>30cm Koli - TB Etiketli</v>
      </c>
      <c r="AB7" s="58" t="str">
        <f>IF(B7="","",VLOOKUP(AD7,Varsayımlar!$B:$Q,16,0))</f>
        <v>29-31 cm</v>
      </c>
      <c r="AC7" s="58">
        <f>IF(B7="","",VLOOKUP(Sayfa1!AD7,Varsayımlar!B:S,18,0))</f>
        <v>0</v>
      </c>
      <c r="AD7" s="57" t="str">
        <f>IF(B7="","",CONCATENATE(B7,E7))</f>
        <v>Sons Of HannaTortillas 30cm Tam Buğday6pcs 510g</v>
      </c>
    </row>
    <row r="8" spans="1:30" ht="78.75" x14ac:dyDescent="0.25">
      <c r="A8" s="8" t="s">
        <v>80</v>
      </c>
      <c r="B8" s="62" t="s">
        <v>218</v>
      </c>
      <c r="C8" s="32">
        <f>IF(B8="","",VLOOKUP(AD8,Varsayımlar!$B:$Q,3,0))</f>
        <v>8698829380698</v>
      </c>
      <c r="D8" s="32" t="s">
        <v>159</v>
      </c>
      <c r="E8" s="62" t="s">
        <v>222</v>
      </c>
      <c r="F8" s="62">
        <v>26042906</v>
      </c>
      <c r="G8" s="32"/>
      <c r="H8" s="62" t="str">
        <f>IF(B8="","",VLOOKUP(AD8,Varsayımlar!$B:$Q,5,0))</f>
        <v xml:space="preserve">Tortillas 30cm Tam Buğday </v>
      </c>
      <c r="I8" s="62" t="str">
        <f>IF(B8="","",VLOOKUP(AD8,Varsayımlar!B:T,19,0))</f>
        <v>Barkod üzerine-Bulgarca Barkodlu TB içerik etiketi (029)</v>
      </c>
      <c r="J8" s="62" t="str">
        <f>IF(B8="","",VLOOKUP(AD8,Varsayımlar!$B:$Q,6,0))</f>
        <v>Tam Buğdaylı</v>
      </c>
      <c r="K8" s="62">
        <v>60</v>
      </c>
      <c r="L8" s="62"/>
      <c r="M8" s="62">
        <f>IFERROR(IF(B8="","",K8/VLOOKUP(AD8,Varsayımlar!B:R,17,0)),"")</f>
        <v>1</v>
      </c>
      <c r="N8" s="62">
        <v>60</v>
      </c>
      <c r="O8" s="62">
        <v>1</v>
      </c>
      <c r="P8" s="62">
        <f>IF(B8="","",VLOOKUP(AD8,Varsayımlar!$B:$Q,7,0)*K8)</f>
        <v>360</v>
      </c>
      <c r="Q8" s="62">
        <f>IF(B8="","",VLOOKUP(AD8,Varsayımlar!$B:$Q,8,0))</f>
        <v>30</v>
      </c>
      <c r="R8" s="62" t="str">
        <f>IF(B8="","",VLOOKUP(AD8,Varsayımlar!$B:$Q,9,0))</f>
        <v>Irak Soft</v>
      </c>
      <c r="S8" s="62">
        <f>IF(B8="","",VLOOKUP(AD8,Varsayımlar!$B:$Q,10,0))</f>
        <v>18</v>
      </c>
      <c r="T8" s="62">
        <f>IF(B8="","",VLOOKUP(AD8,Varsayımlar!$B:$Q,11,0))</f>
        <v>6</v>
      </c>
      <c r="U8" s="62">
        <f>IF(B8="","",VLOOKUP(AD8,Varsayımlar!$B:$Q,12,0))</f>
        <v>1620</v>
      </c>
      <c r="V8" s="62" t="str">
        <f>IF(B8="","",VLOOKUP(AD8,Varsayımlar!$B:$Q,13,0))</f>
        <v>Yurtdışı</v>
      </c>
      <c r="W8" s="62">
        <f>IF(B8="","",VLOOKUP(AD8,Varsayımlar!$B:$Q,14,0))</f>
        <v>9</v>
      </c>
      <c r="X8" s="63">
        <v>46183</v>
      </c>
      <c r="Y8" s="63">
        <v>46456</v>
      </c>
      <c r="Z8" s="62" t="s">
        <v>354</v>
      </c>
      <c r="AA8" s="62" t="str">
        <f>IF(B8="","",VLOOKUP(AD8,Varsayımlar!$B:$Q,15,0))</f>
        <v>30cm Lacivert Koli- Bulgarca TB Etiket</v>
      </c>
      <c r="AB8" s="62" t="str">
        <f>IF(B8="","",VLOOKUP(AD8,Varsayımlar!$B:$Q,16,0))</f>
        <v>29-31 cm</v>
      </c>
      <c r="AC8" s="62" t="str">
        <f>IF(B8="","",VLOOKUP(Sayfa1!AD19,Varsayımlar!B:S,18,0))</f>
        <v>95x130cm</v>
      </c>
      <c r="AD8" s="57" t="str">
        <f>IF(B8="","",CONCATENATE(B8,E8))</f>
        <v>TASTE LAND-BULGARİSTANTortillas 30cm Tam Buğday 18pcs 1620g</v>
      </c>
    </row>
    <row r="9" spans="1:30" ht="31.5" x14ac:dyDescent="0.25">
      <c r="A9" s="8" t="s">
        <v>81</v>
      </c>
      <c r="B9" s="62" t="s">
        <v>302</v>
      </c>
      <c r="C9" s="32">
        <f>IF(B9="","",VLOOKUP(AD9,Varsayımlar!$B:$Q,3,0))</f>
        <v>8698829380698</v>
      </c>
      <c r="D9" s="32"/>
      <c r="E9" s="62" t="s">
        <v>309</v>
      </c>
      <c r="F9" s="62"/>
      <c r="G9" s="32" t="s">
        <v>68</v>
      </c>
      <c r="H9" s="62" t="str">
        <f>IF(B9="","",VLOOKUP(AD9,Varsayımlar!$B:$Q,5,0))</f>
        <v>Baskısız 30cm</v>
      </c>
      <c r="I9" s="62" t="str">
        <f>IF(B9="","",VLOOKUP(AD9,Varsayımlar!B:T,19,0))</f>
        <v>Tüm Bilgiler TB</v>
      </c>
      <c r="J9" s="62" t="str">
        <f>IF(B9="","",VLOOKUP(AD9,Varsayımlar!$B:$Q,6,0))</f>
        <v>Tam Buğdaylı</v>
      </c>
      <c r="K9" s="62">
        <v>576</v>
      </c>
      <c r="L9" s="62"/>
      <c r="M9" s="62" t="str">
        <f>IFERROR(IF(B9="","",K9/VLOOKUP(AD9,Varsayımlar!B:R,17,0)),"")</f>
        <v/>
      </c>
      <c r="N9" s="62">
        <v>72</v>
      </c>
      <c r="O9" s="62">
        <v>10</v>
      </c>
      <c r="P9" s="62">
        <f>IF(B9="","",VLOOKUP(AD9,Varsayımlar!$B:$Q,7,0)*K9)</f>
        <v>5760</v>
      </c>
      <c r="Q9" s="62">
        <f>IF(B9="","",VLOOKUP(AD9,Varsayımlar!$B:$Q,8,0))</f>
        <v>30</v>
      </c>
      <c r="R9" s="62" t="str">
        <f>IF(B9="","",VLOOKUP(AD9,Varsayımlar!$B:$Q,9,0))</f>
        <v>Irak soft</v>
      </c>
      <c r="S9" s="62">
        <f>IF(B9="","",VLOOKUP(AD9,Varsayımlar!$B:$Q,10,0))</f>
        <v>12</v>
      </c>
      <c r="T9" s="62">
        <f>IF(B9="","",VLOOKUP(AD9,Varsayımlar!$B:$Q,11,0))</f>
        <v>10</v>
      </c>
      <c r="U9" s="62">
        <f>IF(B9="","",VLOOKUP(AD9,Varsayımlar!$B:$Q,12,0))</f>
        <v>1020</v>
      </c>
      <c r="V9" s="62" t="str">
        <f>IF(B9="","",VLOOKUP(AD9,Varsayımlar!$B:$Q,13,0))</f>
        <v>Yurtdışı</v>
      </c>
      <c r="W9" s="62">
        <f>IF(B9="","",VLOOKUP(AD9,Varsayımlar!$B:$Q,14,0))</f>
        <v>6</v>
      </c>
      <c r="X9" s="63">
        <v>46190</v>
      </c>
      <c r="Y9" s="63">
        <v>46373</v>
      </c>
      <c r="Z9" s="62" t="s">
        <v>336</v>
      </c>
      <c r="AA9" s="62" t="str">
        <f>IF(B9="","",VLOOKUP(AD9,Varsayımlar!$B:$Q,15,0))</f>
        <v>30cm Kolisi-Etiketli</v>
      </c>
      <c r="AB9" s="62" t="str">
        <f>IF(B9="","",VLOOKUP(AD9,Varsayımlar!$B:$Q,16,0))</f>
        <v>29-31 cm</v>
      </c>
      <c r="AC9" s="62">
        <f>IF(B9="","",VLOOKUP(Sayfa1!AD12,Varsayımlar!B:S,18,0))</f>
        <v>0</v>
      </c>
      <c r="AD9" s="57" t="str">
        <f t="shared" si="0"/>
        <v>TVK ImportBaskısız 30cm TB 12pcs 1020g</v>
      </c>
    </row>
    <row r="10" spans="1:30" ht="31.5" x14ac:dyDescent="0.25">
      <c r="A10" s="8" t="s">
        <v>82</v>
      </c>
      <c r="B10" s="67" t="s">
        <v>64</v>
      </c>
      <c r="C10" s="42">
        <f>IF(B10="","",VLOOKUP(AD10,Varsayımlar!$B:$Q,3,0))</f>
        <v>8698829380698</v>
      </c>
      <c r="D10" s="42"/>
      <c r="E10" s="67" t="s">
        <v>176</v>
      </c>
      <c r="F10" s="67"/>
      <c r="G10" s="42" t="s">
        <v>68</v>
      </c>
      <c r="H10" s="67" t="str">
        <f>IF(B10="","",VLOOKUP(AD10,Varsayımlar!$B:$Q,5,0))</f>
        <v>Tortillas 20cm (Samakat Bilgileri Ekli)</v>
      </c>
      <c r="I10" s="67">
        <f>IF(B10="","",VLOOKUP(AD10,Varsayımlar!B:T,19,0))</f>
        <v>0</v>
      </c>
      <c r="J10" s="67" t="str">
        <f>IF(B10="","",VLOOKUP(AD10,Varsayımlar!$B:$Q,6,0))</f>
        <v>PEYNİRLİ</v>
      </c>
      <c r="K10" s="67">
        <v>1350</v>
      </c>
      <c r="L10" s="67"/>
      <c r="M10" s="67">
        <f>IFERROR(IF(B10="","",K10/VLOOKUP(AD10,Varsayımlar!B:R,17,0)),"")</f>
        <v>6</v>
      </c>
      <c r="N10" s="67">
        <v>225</v>
      </c>
      <c r="O10" s="67">
        <v>11</v>
      </c>
      <c r="P10" s="67">
        <f>IF(B10="","",VLOOKUP(AD10,Varsayımlar!$B:$Q,7,0)*K10)</f>
        <v>18900</v>
      </c>
      <c r="Q10" s="67">
        <f>IF(B10="","",VLOOKUP(AD10,Varsayımlar!$B:$Q,8,0))</f>
        <v>20</v>
      </c>
      <c r="R10" s="67" t="str">
        <f>IF(B10="","",VLOOKUP(AD10,Varsayımlar!$B:$Q,9,0))</f>
        <v>IRAK SOFT-AT</v>
      </c>
      <c r="S10" s="67">
        <f>IF(B10="","",VLOOKUP(AD10,Varsayımlar!$B:$Q,10,0))</f>
        <v>4</v>
      </c>
      <c r="T10" s="67">
        <f>IF(B10="","",VLOOKUP(AD10,Varsayımlar!$B:$Q,11,0))</f>
        <v>14</v>
      </c>
      <c r="U10" s="67">
        <f>IF(B10="","",VLOOKUP(AD10,Varsayımlar!$B:$Q,12,0))</f>
        <v>166</v>
      </c>
      <c r="V10" s="67" t="str">
        <f>IF(B10="","",VLOOKUP(AD10,Varsayımlar!$B:$Q,13,0))</f>
        <v>YURTDIŞI</v>
      </c>
      <c r="W10" s="67">
        <f>IF(B10="","",VLOOKUP(AD10,Varsayımlar!$B:$Q,14,0))</f>
        <v>9</v>
      </c>
      <c r="X10" s="69">
        <v>46188</v>
      </c>
      <c r="Y10" s="69">
        <v>46461</v>
      </c>
      <c r="Z10" s="67" t="s">
        <v>172</v>
      </c>
      <c r="AA10" s="67" t="str">
        <f>IF(B10="","",VLOOKUP(AD10,Varsayımlar!$B:$Q,15,0))</f>
        <v>Kare Koli-Üretim Tarihli Etiket</v>
      </c>
      <c r="AB10" s="67" t="str">
        <f>IF(B10="","",VLOOKUP(AD10,Varsayımlar!$B:$Q,16,0))</f>
        <v>19-21 cm</v>
      </c>
      <c r="AC10" s="67">
        <f>IF(B10="","",VLOOKUP(Sayfa1!AD9,Varsayımlar!B:S,18,0))</f>
        <v>0</v>
      </c>
      <c r="AD10" s="57" t="str">
        <f>IF(B10="","",CONCATENATE(B10,E10))</f>
        <v>SMART LLCTortillas 20cm Peynirli 4pcs 166g</v>
      </c>
    </row>
    <row r="11" spans="1:30" ht="31.5" x14ac:dyDescent="0.25">
      <c r="A11" s="8" t="s">
        <v>83</v>
      </c>
      <c r="B11" s="62" t="s">
        <v>302</v>
      </c>
      <c r="C11" s="32">
        <f>IF(B11="","",VLOOKUP(AD11,Varsayımlar!$B:$Q,3,0))</f>
        <v>8698829380698</v>
      </c>
      <c r="D11" s="32"/>
      <c r="E11" s="62" t="s">
        <v>310</v>
      </c>
      <c r="F11" s="62"/>
      <c r="G11" s="32" t="s">
        <v>68</v>
      </c>
      <c r="H11" s="62" t="str">
        <f>IF(B11="","",VLOOKUP(AD11,Varsayımlar!$B:$Q,5,0))</f>
        <v>Baskısız 30cm</v>
      </c>
      <c r="I11" s="62" t="str">
        <f>IF(B11="","",VLOOKUP(AD11,Varsayımlar!B:T,19,0))</f>
        <v>Tüm Bilgiler Ispanaklı</v>
      </c>
      <c r="J11" s="62" t="str">
        <f>IF(B11="","",VLOOKUP(AD11,Varsayımlar!$B:$Q,6,0))</f>
        <v>Ispanaklı</v>
      </c>
      <c r="K11" s="62">
        <v>144</v>
      </c>
      <c r="L11" s="62"/>
      <c r="M11" s="62" t="str">
        <f>IFERROR(IF(B11="","",K11/VLOOKUP(AD11,Varsayımlar!B:R,17,0)),"")</f>
        <v/>
      </c>
      <c r="N11" s="62"/>
      <c r="O11" s="62">
        <v>3</v>
      </c>
      <c r="P11" s="62">
        <f>IF(B11="","",VLOOKUP(AD11,Varsayımlar!$B:$Q,7,0)*K11)</f>
        <v>1440</v>
      </c>
      <c r="Q11" s="62">
        <f>IF(B11="","",VLOOKUP(AD11,Varsayımlar!$B:$Q,8,0))</f>
        <v>30</v>
      </c>
      <c r="R11" s="62" t="str">
        <f>IF(B11="","",VLOOKUP(AD11,Varsayımlar!$B:$Q,9,0))</f>
        <v>Irak soft</v>
      </c>
      <c r="S11" s="62">
        <f>IF(B11="","",VLOOKUP(AD11,Varsayımlar!$B:$Q,10,0))</f>
        <v>12</v>
      </c>
      <c r="T11" s="62">
        <f>IF(B11="","",VLOOKUP(AD11,Varsayımlar!$B:$Q,11,0))</f>
        <v>10</v>
      </c>
      <c r="U11" s="62">
        <f>IF(B11="","",VLOOKUP(AD11,Varsayımlar!$B:$Q,12,0))</f>
        <v>1020</v>
      </c>
      <c r="V11" s="62" t="str">
        <f>IF(B11="","",VLOOKUP(AD11,Varsayımlar!$B:$Q,13,0))</f>
        <v>Yurtdışı</v>
      </c>
      <c r="W11" s="62">
        <f>IF(B11="","",VLOOKUP(AD11,Varsayımlar!$B:$Q,14,0))</f>
        <v>6</v>
      </c>
      <c r="X11" s="63">
        <v>46190</v>
      </c>
      <c r="Y11" s="63">
        <v>46373</v>
      </c>
      <c r="Z11" s="62" t="s">
        <v>337</v>
      </c>
      <c r="AA11" s="62" t="str">
        <f>IF(B11="","",VLOOKUP(AD11,Varsayımlar!$B:$Q,15,0))</f>
        <v>30cm Kolisi-Etiketli</v>
      </c>
      <c r="AB11" s="62" t="str">
        <f>IF(B11="","",VLOOKUP(AD11,Varsayımlar!$B:$Q,16,0))</f>
        <v>29-31 cm</v>
      </c>
      <c r="AC11" s="62">
        <f>IF(B11="","",VLOOKUP(Sayfa1!AD13,Varsayımlar!B:S,18,0))</f>
        <v>0</v>
      </c>
      <c r="AD11" s="57" t="str">
        <f>IF(B11="","",CONCATENATE(B11,E11))</f>
        <v>TVK ImportBaskısız 30cm Ispanaklı 12pcs 1020g</v>
      </c>
    </row>
    <row r="12" spans="1:30" ht="31.5" x14ac:dyDescent="0.25">
      <c r="A12" s="8" t="s">
        <v>84</v>
      </c>
      <c r="B12" s="58" t="s">
        <v>64</v>
      </c>
      <c r="C12" s="40">
        <f>IF(B12="","",VLOOKUP(AD12,Varsayımlar!$B:$Q,3,0))</f>
        <v>8698829380698</v>
      </c>
      <c r="D12" s="40"/>
      <c r="E12" s="58" t="s">
        <v>296</v>
      </c>
      <c r="F12" s="58"/>
      <c r="G12" s="40" t="s">
        <v>68</v>
      </c>
      <c r="H12" s="58" t="str">
        <f>IF(B12="","",VLOOKUP(AD12,Varsayımlar!$B:$Q,5,0))</f>
        <v>Tortillas 20cm Çok Tahıllı</v>
      </c>
      <c r="I12" s="58">
        <f>IF(B12="","",VLOOKUP(AD12,Varsayımlar!B:T,19,0))</f>
        <v>0</v>
      </c>
      <c r="J12" s="58" t="str">
        <f>IF(B12="","",VLOOKUP(AD12,Varsayımlar!$B:$Q,6,0))</f>
        <v>Çok Tahıllı</v>
      </c>
      <c r="K12" s="58">
        <v>5625</v>
      </c>
      <c r="L12" s="58"/>
      <c r="M12" s="58">
        <f>IFERROR(IF(B12="","",K12/VLOOKUP(AD12,Varsayımlar!B:R,17,0)),"")</f>
        <v>25</v>
      </c>
      <c r="N12" s="58">
        <v>225</v>
      </c>
      <c r="O12" s="58">
        <v>45</v>
      </c>
      <c r="P12" s="58">
        <f>IF(B12="","",VLOOKUP(AD12,Varsayımlar!$B:$Q,7,0)*K12)</f>
        <v>78750</v>
      </c>
      <c r="Q12" s="58">
        <f>IF(B12="","",VLOOKUP(AD12,Varsayımlar!$B:$Q,8,0))</f>
        <v>20</v>
      </c>
      <c r="R12" s="58" t="str">
        <f>IF(B12="","",VLOOKUP(AD12,Varsayımlar!$B:$Q,9,0))</f>
        <v>Irak Soft</v>
      </c>
      <c r="S12" s="58">
        <f>IF(B12="","",VLOOKUP(AD12,Varsayımlar!$B:$Q,10,0))</f>
        <v>4</v>
      </c>
      <c r="T12" s="58">
        <f>IF(B12="","",VLOOKUP(AD12,Varsayımlar!$B:$Q,11,0))</f>
        <v>14</v>
      </c>
      <c r="U12" s="58">
        <f>IF(B12="","",VLOOKUP(AD12,Varsayımlar!$B:$Q,12,0))</f>
        <v>166</v>
      </c>
      <c r="V12" s="58" t="str">
        <f>IF(B12="","",VLOOKUP(AD12,Varsayımlar!$B:$Q,13,0))</f>
        <v>Yurtdışı</v>
      </c>
      <c r="W12" s="58">
        <f>IF(B12="","",VLOOKUP(AD12,Varsayımlar!$B:$Q,14,0))</f>
        <v>9</v>
      </c>
      <c r="X12" s="60">
        <v>46183</v>
      </c>
      <c r="Y12" s="60">
        <v>46456</v>
      </c>
      <c r="Z12" s="58" t="s">
        <v>334</v>
      </c>
      <c r="AA12" s="58" t="str">
        <f>IF(B12="","",VLOOKUP(AD12,Varsayımlar!$B:$Q,15,0))</f>
        <v>SİYAH KARE KOLİ-Üretim Tarihi Etiketli</v>
      </c>
      <c r="AB12" s="58" t="str">
        <f>IF(B12="","",VLOOKUP(AD12,Varsayımlar!$B:$Q,16,0))</f>
        <v>19-21 cm</v>
      </c>
      <c r="AC12" s="58">
        <f>IF(B12="","",VLOOKUP(Sayfa1!AD8,Varsayımlar!B:S,18,0))</f>
        <v>0</v>
      </c>
      <c r="AD12" s="57" t="str">
        <f t="shared" si="0"/>
        <v>SMART LLCTortillas 20cm Çok Tahıllı 4pcs 166g</v>
      </c>
    </row>
    <row r="13" spans="1:30" ht="31.5" customHeight="1" x14ac:dyDescent="0.25">
      <c r="A13" s="8" t="s">
        <v>85</v>
      </c>
      <c r="B13" s="64" t="s">
        <v>335</v>
      </c>
      <c r="C13" s="3">
        <f>IF(B13="","",VLOOKUP(AD13,Varsayımlar!$B:$Q,3,0))</f>
        <v>8698829380698</v>
      </c>
      <c r="D13" s="3"/>
      <c r="E13" s="64" t="s">
        <v>299</v>
      </c>
      <c r="F13" s="64"/>
      <c r="G13" s="3"/>
      <c r="H13" s="64" t="str">
        <f>IF(B13="","",VLOOKUP(AD13,Varsayımlar!$B:$Q,5,0))</f>
        <v>Lazeza 30cm</v>
      </c>
      <c r="I13" s="64">
        <f>IF(B13="","",VLOOKUP(AD13,Varsayımlar!B:T,19,0))</f>
        <v>0</v>
      </c>
      <c r="J13" s="64" t="str">
        <f>IF(B13="","",VLOOKUP(AD13,Varsayımlar!$B:$Q,6,0))</f>
        <v>SADE</v>
      </c>
      <c r="K13" s="64">
        <v>1700</v>
      </c>
      <c r="L13" s="64"/>
      <c r="M13" s="64" t="str">
        <f>IFERROR(IF(B13="","",K13/VLOOKUP(AD13,Varsayımlar!B:R,17,0)),"")</f>
        <v/>
      </c>
      <c r="N13" s="64"/>
      <c r="O13" s="64">
        <v>27</v>
      </c>
      <c r="P13" s="64">
        <f>IF(B13="","",VLOOKUP(AD13,Varsayımlar!$B:$Q,7,0)*K13)</f>
        <v>30600</v>
      </c>
      <c r="Q13" s="64">
        <f>IF(B13="","",VLOOKUP(AD13,Varsayımlar!$B:$Q,8,0))</f>
        <v>30</v>
      </c>
      <c r="R13" s="64" t="str">
        <f>IF(B13="","",VLOOKUP(AD13,Varsayımlar!$B:$Q,9,0))</f>
        <v>Irak Soft</v>
      </c>
      <c r="S13" s="64">
        <f>IF(B13="","",VLOOKUP(AD13,Varsayımlar!$B:$Q,10,0))</f>
        <v>6</v>
      </c>
      <c r="T13" s="64">
        <f>IF(B13="","",VLOOKUP(AD13,Varsayımlar!$B:$Q,11,0))</f>
        <v>18</v>
      </c>
      <c r="U13" s="64">
        <f>IF(B13="","",VLOOKUP(AD13,Varsayımlar!$B:$Q,12,0))</f>
        <v>510</v>
      </c>
      <c r="V13" s="64" t="str">
        <f>IF(B13="","",VLOOKUP(AD13,Varsayımlar!$B:$Q,13,0))</f>
        <v>Yurtdışı</v>
      </c>
      <c r="W13" s="64">
        <f>IF(B13="","",VLOOKUP(AD13,Varsayımlar!$B:$Q,14,0))</f>
        <v>6</v>
      </c>
      <c r="X13" s="66"/>
      <c r="Y13" s="66"/>
      <c r="Z13" s="64"/>
      <c r="AA13" s="64" t="str">
        <f>IF(B13="","",VLOOKUP(AD13,Varsayımlar!$B:$Q,15,0))</f>
        <v>Lazeza Kolisi</v>
      </c>
      <c r="AB13" s="64" t="str">
        <f>IF(B13="","",VLOOKUP(AD13,Varsayımlar!$B:$Q,16,0))</f>
        <v>29-31 cm</v>
      </c>
      <c r="AC13" s="64">
        <f>IF(B13="","",VLOOKUP(Sayfa1!AD10,Varsayımlar!B:S,18,0))</f>
        <v>0</v>
      </c>
      <c r="AD13" s="57" t="str">
        <f t="shared" si="0"/>
        <v>AjjawiLazeza 30 cm 6pcs 510g</v>
      </c>
    </row>
    <row r="14" spans="1:30" ht="31.5" customHeight="1" x14ac:dyDescent="0.25">
      <c r="A14" s="8" t="s">
        <v>86</v>
      </c>
      <c r="B14" s="64" t="s">
        <v>363</v>
      </c>
      <c r="C14" s="3">
        <f>IF(B14="","",VLOOKUP(AD14,Varsayımlar!$B:$Q,3,0))</f>
        <v>8698829380698</v>
      </c>
      <c r="D14" s="3"/>
      <c r="E14" s="3" t="s">
        <v>364</v>
      </c>
      <c r="F14" s="64"/>
      <c r="G14" s="3" t="s">
        <v>373</v>
      </c>
      <c r="H14" s="64" t="str">
        <f>IF(B14="","",VLOOKUP(AD14,Varsayımlar!$B:$Q,5,0))</f>
        <v>Durum 30cm Sade 18pcs 1620g</v>
      </c>
      <c r="I14" s="64">
        <f>IF(B14="","",VLOOKUP(AD14,Varsayımlar!B:T,19,0))</f>
        <v>0</v>
      </c>
      <c r="J14" s="64" t="str">
        <f>IF(B14="","",VLOOKUP(AD14,Varsayımlar!$B:$Q,6,0))</f>
        <v>SADE</v>
      </c>
      <c r="K14" s="64">
        <v>1700</v>
      </c>
      <c r="L14" s="64"/>
      <c r="M14" s="64" t="str">
        <f>IFERROR(IF(B14="","",K14/VLOOKUP(AD14,Varsayımlar!B:R,17,0)),"")</f>
        <v/>
      </c>
      <c r="N14" s="64"/>
      <c r="O14" s="64">
        <v>27</v>
      </c>
      <c r="P14" s="64">
        <f>IF(B14="","",VLOOKUP(AD14,Varsayımlar!$B:$Q,7,0)*K14)</f>
        <v>30600</v>
      </c>
      <c r="Q14" s="64">
        <f>IF(B14="","",VLOOKUP(AD14,Varsayımlar!$B:$Q,8,0))</f>
        <v>30</v>
      </c>
      <c r="R14" s="64" t="str">
        <f>IF(B14="","",VLOOKUP(AD14,Varsayımlar!$B:$Q,9,0))</f>
        <v>Irak Soft</v>
      </c>
      <c r="S14" s="64">
        <f>IF(B14="","",VLOOKUP(AD14,Varsayımlar!$B:$Q,10,0))</f>
        <v>18</v>
      </c>
      <c r="T14" s="64">
        <f>IF(B14="","",VLOOKUP(AD14,Varsayımlar!$B:$Q,11,0))</f>
        <v>6</v>
      </c>
      <c r="U14" s="64">
        <f>IF(B14="","",VLOOKUP(AD14,Varsayımlar!$B:$Q,12,0))</f>
        <v>1620</v>
      </c>
      <c r="V14" s="64" t="str">
        <f>IF(B14="","",VLOOKUP(AD14,Varsayımlar!$B:$Q,13,0))</f>
        <v>Yurtdışı</v>
      </c>
      <c r="W14" s="64">
        <f>IF(B14="","",VLOOKUP(AD14,Varsayımlar!$B:$Q,14,0))</f>
        <v>0</v>
      </c>
      <c r="X14" s="66"/>
      <c r="Y14" s="66"/>
      <c r="Z14" s="64"/>
      <c r="AA14" s="64" t="str">
        <f>IF(B14="","",VLOOKUP(AD14,Varsayımlar!$B:$Q,15,0))</f>
        <v>30cm kolisi-Etiketli</v>
      </c>
      <c r="AB14" s="64" t="str">
        <f>IF(B14="","",VLOOKUP(AD14,Varsayımlar!$B:$Q,16,0))</f>
        <v>29-31 cm</v>
      </c>
      <c r="AC14" s="64">
        <f>IF(B14="","",VLOOKUP(Sayfa1!AD11,Varsayımlar!B:S,18,0))</f>
        <v>0</v>
      </c>
      <c r="AD14" s="57" t="str">
        <f t="shared" ref="AD14" si="1">IF(B14="","",CONCATENATE(B14,E14))</f>
        <v>EyalDurum 30cm sade 18 li 1620g</v>
      </c>
    </row>
    <row r="15" spans="1:30" ht="31.5" x14ac:dyDescent="0.25">
      <c r="A15" s="8" t="s">
        <v>87</v>
      </c>
      <c r="B15" s="67" t="s">
        <v>64</v>
      </c>
      <c r="C15" s="42">
        <f>IF(B15="","",VLOOKUP(AD15,Varsayımlar!$B:$Q,3,0))</f>
        <v>8698829380698</v>
      </c>
      <c r="D15" s="42"/>
      <c r="E15" s="67" t="s">
        <v>296</v>
      </c>
      <c r="F15" s="67"/>
      <c r="G15" s="42" t="s">
        <v>68</v>
      </c>
      <c r="H15" s="67" t="str">
        <f>IF(B15="","",VLOOKUP(AD15,Varsayımlar!$B:$Q,5,0))</f>
        <v>Tortillas 20cm Çok Tahıllı</v>
      </c>
      <c r="I15" s="67">
        <f>IF(B15="","",VLOOKUP(AD15,Varsayımlar!B:T,19,0))</f>
        <v>0</v>
      </c>
      <c r="J15" s="67" t="str">
        <f>IF(B15="","",VLOOKUP(AD15,Varsayımlar!$B:$Q,6,0))</f>
        <v>Çok Tahıllı</v>
      </c>
      <c r="K15" s="67">
        <v>225</v>
      </c>
      <c r="L15" s="67"/>
      <c r="M15" s="67">
        <f>IFERROR(IF(B15="","",K15/VLOOKUP(AD15,Varsayımlar!B:R,17,0)),"")</f>
        <v>1</v>
      </c>
      <c r="N15" s="67"/>
      <c r="O15" s="67">
        <v>2</v>
      </c>
      <c r="P15" s="67">
        <f>IF(B15="","",VLOOKUP(AD15,Varsayımlar!$B:$Q,7,0)*K15)</f>
        <v>3150</v>
      </c>
      <c r="Q15" s="67">
        <f>IF(B15="","",VLOOKUP(AD15,Varsayımlar!$B:$Q,8,0))</f>
        <v>20</v>
      </c>
      <c r="R15" s="67" t="str">
        <f>IF(B15="","",VLOOKUP(AD15,Varsayımlar!$B:$Q,9,0))</f>
        <v>Irak Soft</v>
      </c>
      <c r="S15" s="67">
        <f>IF(B15="","",VLOOKUP(AD15,Varsayımlar!$B:$Q,10,0))</f>
        <v>4</v>
      </c>
      <c r="T15" s="67">
        <f>IF(B15="","",VLOOKUP(AD15,Varsayımlar!$B:$Q,11,0))</f>
        <v>14</v>
      </c>
      <c r="U15" s="67">
        <f>IF(B15="","",VLOOKUP(AD15,Varsayımlar!$B:$Q,12,0))</f>
        <v>166</v>
      </c>
      <c r="V15" s="67" t="str">
        <f>IF(B15="","",VLOOKUP(AD15,Varsayımlar!$B:$Q,13,0))</f>
        <v>Yurtdışı</v>
      </c>
      <c r="W15" s="67">
        <f>IF(B15="","",VLOOKUP(AD15,Varsayımlar!$B:$Q,14,0))</f>
        <v>9</v>
      </c>
      <c r="X15" s="69">
        <v>46195</v>
      </c>
      <c r="Y15" s="69">
        <v>46468</v>
      </c>
      <c r="Z15" s="67" t="s">
        <v>338</v>
      </c>
      <c r="AA15" s="67" t="str">
        <f>IF(B15="","",VLOOKUP(AD15,Varsayımlar!$B:$Q,15,0))</f>
        <v>SİYAH KARE KOLİ-Üretim Tarihi Etiketli</v>
      </c>
      <c r="AB15" s="67" t="str">
        <f>IF(B15="","",VLOOKUP(AD15,Varsayımlar!$B:$Q,16,0))</f>
        <v>19-21 cm</v>
      </c>
      <c r="AC15" s="67">
        <f>IF(B15="","",VLOOKUP(Sayfa1!AD14,Varsayımlar!B:S,18,0))</f>
        <v>0</v>
      </c>
      <c r="AD15" s="57" t="str">
        <f t="shared" si="0"/>
        <v>SMART LLCTortillas 20cm Çok Tahıllı 4pcs 166g</v>
      </c>
    </row>
    <row r="16" spans="1:30" ht="31.5" x14ac:dyDescent="0.25">
      <c r="A16" s="8" t="s">
        <v>88</v>
      </c>
      <c r="B16" s="64" t="s">
        <v>64</v>
      </c>
      <c r="C16" s="3">
        <f>IF(B16="","",VLOOKUP(AD16,Varsayımlar!$B:$Q,3,0))</f>
        <v>8698829380698</v>
      </c>
      <c r="D16" s="3"/>
      <c r="E16" s="64" t="s">
        <v>296</v>
      </c>
      <c r="F16" s="64"/>
      <c r="G16" s="3" t="s">
        <v>68</v>
      </c>
      <c r="H16" s="64" t="str">
        <f>IF(B16="","",VLOOKUP(AD16,Varsayımlar!$B:$Q,5,0))</f>
        <v>Tortillas 20cm Çok Tahıllı</v>
      </c>
      <c r="I16" s="64">
        <f>IF(B16="","",VLOOKUP(AD16,Varsayımlar!B:T,19,0))</f>
        <v>0</v>
      </c>
      <c r="J16" s="64" t="str">
        <f>IF(B16="","",VLOOKUP(AD16,Varsayımlar!$B:$Q,6,0))</f>
        <v>Çok Tahıllı</v>
      </c>
      <c r="K16" s="64">
        <v>1800</v>
      </c>
      <c r="L16" s="64"/>
      <c r="M16" s="64">
        <f>IFERROR(IF(B16="","",K16/VLOOKUP(AD16,Varsayımlar!B:R,17,0)),"")</f>
        <v>8</v>
      </c>
      <c r="N16" s="64"/>
      <c r="O16" s="64">
        <v>15</v>
      </c>
      <c r="P16" s="64">
        <f>IF(B16="","",VLOOKUP(AD16,Varsayımlar!$B:$Q,7,0)*K16)</f>
        <v>25200</v>
      </c>
      <c r="Q16" s="64">
        <f>IF(B16="","",VLOOKUP(AD16,Varsayımlar!$B:$Q,8,0))</f>
        <v>20</v>
      </c>
      <c r="R16" s="64" t="str">
        <f>IF(B16="","",VLOOKUP(AD16,Varsayımlar!$B:$Q,9,0))</f>
        <v>Irak Soft</v>
      </c>
      <c r="S16" s="64">
        <f>IF(B16="","",VLOOKUP(AD16,Varsayımlar!$B:$Q,10,0))</f>
        <v>4</v>
      </c>
      <c r="T16" s="64">
        <f>IF(B16="","",VLOOKUP(AD16,Varsayımlar!$B:$Q,11,0))</f>
        <v>14</v>
      </c>
      <c r="U16" s="64">
        <f>IF(B16="","",VLOOKUP(AD16,Varsayımlar!$B:$Q,12,0))</f>
        <v>166</v>
      </c>
      <c r="V16" s="64" t="str">
        <f>IF(B16="","",VLOOKUP(AD16,Varsayımlar!$B:$Q,13,0))</f>
        <v>Yurtdışı</v>
      </c>
      <c r="W16" s="64">
        <f>IF(B16="","",VLOOKUP(AD16,Varsayımlar!$B:$Q,14,0))</f>
        <v>9</v>
      </c>
      <c r="X16" s="66">
        <v>46196</v>
      </c>
      <c r="Y16" s="66">
        <v>46469</v>
      </c>
      <c r="Z16" s="64" t="s">
        <v>339</v>
      </c>
      <c r="AA16" s="64" t="str">
        <f>IF(B16="","",VLOOKUP(AD16,Varsayımlar!$B:$Q,15,0))</f>
        <v>SİYAH KARE KOLİ-Üretim Tarihi Etiketli</v>
      </c>
      <c r="AB16" s="64" t="str">
        <f>IF(B16="","",VLOOKUP(AD16,Varsayımlar!$B:$Q,16,0))</f>
        <v>19-21 cm</v>
      </c>
      <c r="AC16" s="64">
        <f>IF(B16="","",VLOOKUP(Sayfa1!AD15,Varsayımlar!B:S,18,0))</f>
        <v>0</v>
      </c>
      <c r="AD16" s="57" t="str">
        <f t="shared" si="0"/>
        <v>SMART LLCTortillas 20cm Çok Tahıllı 4pcs 166g</v>
      </c>
    </row>
    <row r="17" spans="1:30" ht="47.25" x14ac:dyDescent="0.25">
      <c r="A17" s="8" t="s">
        <v>89</v>
      </c>
      <c r="B17" s="67" t="s">
        <v>64</v>
      </c>
      <c r="C17" s="42">
        <f>IF(B17="","",VLOOKUP(AD17,Varsayımlar!$B:$Q,3,0))</f>
        <v>8698829380698</v>
      </c>
      <c r="D17" s="42"/>
      <c r="E17" s="67" t="s">
        <v>65</v>
      </c>
      <c r="F17" s="67"/>
      <c r="G17" s="42" t="s">
        <v>68</v>
      </c>
      <c r="H17" s="67" t="str">
        <f>IF(B17="","",VLOOKUP(AD17,Varsayımlar!$B:$Q,5,0))</f>
        <v>TORTİLLAS 20CM (SAMAKAT BİLGİLERİ EKLİ)</v>
      </c>
      <c r="I17" s="67">
        <f>IF(B17="","",VLOOKUP(AD17,Varsayımlar!B:T,19,0))</f>
        <v>0</v>
      </c>
      <c r="J17" s="67" t="str">
        <f>IF(B17="","",VLOOKUP(AD17,Varsayımlar!$B:$Q,6,0))</f>
        <v>SADE</v>
      </c>
      <c r="K17" s="67">
        <v>6975</v>
      </c>
      <c r="L17" s="67"/>
      <c r="M17" s="67">
        <f>IFERROR(IF(B17="","",K17/VLOOKUP(AD17,Varsayımlar!B:R,17,0)),"")</f>
        <v>31</v>
      </c>
      <c r="N17" s="67"/>
      <c r="O17" s="67">
        <v>56</v>
      </c>
      <c r="P17" s="67">
        <f>IF(B17="","",VLOOKUP(AD17,Varsayımlar!$B:$Q,7,0)*K17)</f>
        <v>97650</v>
      </c>
      <c r="Q17" s="67">
        <f>IF(B17="","",VLOOKUP(AD17,Varsayımlar!$B:$Q,8,0))</f>
        <v>20</v>
      </c>
      <c r="R17" s="67" t="str">
        <f>IF(B17="","",VLOOKUP(AD17,Varsayımlar!$B:$Q,9,0))</f>
        <v>IRAK SOFT</v>
      </c>
      <c r="S17" s="67">
        <f>IF(B17="","",VLOOKUP(AD17,Varsayımlar!$B:$Q,10,0))</f>
        <v>4</v>
      </c>
      <c r="T17" s="67">
        <f>IF(B17="","",VLOOKUP(AD17,Varsayımlar!$B:$Q,11,0))</f>
        <v>14</v>
      </c>
      <c r="U17" s="67">
        <f>IF(B17="","",VLOOKUP(AD17,Varsayımlar!$B:$Q,12,0))</f>
        <v>166</v>
      </c>
      <c r="V17" s="67" t="str">
        <f>IF(B17="","",VLOOKUP(AD17,Varsayımlar!$B:$Q,13,0))</f>
        <v>YURTDIŞI</v>
      </c>
      <c r="W17" s="67">
        <f>IF(B17="","",VLOOKUP(AD17,Varsayımlar!$B:$Q,14,0))</f>
        <v>9</v>
      </c>
      <c r="X17" s="69">
        <v>46195</v>
      </c>
      <c r="Y17" s="69">
        <v>46468</v>
      </c>
      <c r="Z17" s="67">
        <v>26062220</v>
      </c>
      <c r="AA17" s="67" t="str">
        <f>IF(B17="","",VLOOKUP(AD17,Varsayımlar!$B:$Q,15,0))</f>
        <v>SİYAH KARE KOLİ- Üretim Tarihi Etiketli</v>
      </c>
      <c r="AB17" s="67" t="str">
        <f>IF(B17="","",VLOOKUP(AD17,Varsayımlar!$B:$Q,16,0))</f>
        <v>19-21 CM</v>
      </c>
      <c r="AC17" s="67">
        <f>IF(B17="","",VLOOKUP(Sayfa1!AD16,Varsayımlar!B:S,18,0))</f>
        <v>0</v>
      </c>
      <c r="AD17" s="57" t="str">
        <f t="shared" si="0"/>
        <v>SMART LLCTORTİLLAS SAMAKAT 20CM 166G</v>
      </c>
    </row>
    <row r="18" spans="1:30" ht="31.5" x14ac:dyDescent="0.25">
      <c r="A18" s="8" t="s">
        <v>90</v>
      </c>
      <c r="B18" s="64" t="s">
        <v>64</v>
      </c>
      <c r="C18" s="3">
        <f>IF(B18="","",VLOOKUP(AD18,Varsayımlar!$B:$Q,3,0))</f>
        <v>8698829380698</v>
      </c>
      <c r="D18" s="3"/>
      <c r="E18" s="64" t="s">
        <v>176</v>
      </c>
      <c r="F18" s="64"/>
      <c r="G18" s="3" t="s">
        <v>68</v>
      </c>
      <c r="H18" s="64" t="str">
        <f>IF(B18="","",VLOOKUP(AD18,Varsayımlar!$B:$Q,5,0))</f>
        <v>Tortillas 20cm (Samakat Bilgileri Ekli)</v>
      </c>
      <c r="I18" s="64">
        <f>IF(B18="","",VLOOKUP(AD18,Varsayımlar!B:T,19,0))</f>
        <v>0</v>
      </c>
      <c r="J18" s="64" t="str">
        <f>IF(B18="","",VLOOKUP(AD18,Varsayımlar!$B:$Q,6,0))</f>
        <v>PEYNİRLİ</v>
      </c>
      <c r="K18" s="64">
        <v>2925</v>
      </c>
      <c r="L18" s="64"/>
      <c r="M18" s="64">
        <f>IFERROR(IF(B18="","",K18/VLOOKUP(AD18,Varsayımlar!B:R,17,0)),"")</f>
        <v>13</v>
      </c>
      <c r="N18" s="64"/>
      <c r="O18" s="64">
        <v>24</v>
      </c>
      <c r="P18" s="64">
        <f>IF(B18="","",VLOOKUP(AD18,Varsayımlar!$B:$Q,7,0)*K18)</f>
        <v>40950</v>
      </c>
      <c r="Q18" s="64">
        <f>IF(B18="","",VLOOKUP(AD18,Varsayımlar!$B:$Q,8,0))</f>
        <v>20</v>
      </c>
      <c r="R18" s="64" t="str">
        <f>IF(B18="","",VLOOKUP(AD18,Varsayımlar!$B:$Q,9,0))</f>
        <v>IRAK SOFT-AT</v>
      </c>
      <c r="S18" s="64">
        <f>IF(B18="","",VLOOKUP(AD18,Varsayımlar!$B:$Q,10,0))</f>
        <v>4</v>
      </c>
      <c r="T18" s="64">
        <f>IF(B18="","",VLOOKUP(AD18,Varsayımlar!$B:$Q,11,0))</f>
        <v>14</v>
      </c>
      <c r="U18" s="64">
        <f>IF(B18="","",VLOOKUP(AD18,Varsayımlar!$B:$Q,12,0))</f>
        <v>166</v>
      </c>
      <c r="V18" s="64" t="str">
        <f>IF(B18="","",VLOOKUP(AD18,Varsayımlar!$B:$Q,13,0))</f>
        <v>YURTDIŞI</v>
      </c>
      <c r="W18" s="64">
        <f>IF(B18="","",VLOOKUP(AD18,Varsayımlar!$B:$Q,14,0))</f>
        <v>9</v>
      </c>
      <c r="X18" s="66">
        <v>46196</v>
      </c>
      <c r="Y18" s="66">
        <v>46469</v>
      </c>
      <c r="Z18" s="64" t="s">
        <v>340</v>
      </c>
      <c r="AA18" s="64" t="str">
        <f>IF(B18="","",VLOOKUP(AD18,Varsayımlar!$B:$Q,15,0))</f>
        <v>Kare Koli-Üretim Tarihli Etiket</v>
      </c>
      <c r="AB18" s="64" t="str">
        <f>IF(B18="","",VLOOKUP(AD18,Varsayımlar!$B:$Q,16,0))</f>
        <v>19-21 cm</v>
      </c>
      <c r="AC18" s="64">
        <f>IF(B18="","",VLOOKUP(Sayfa1!AD17,Varsayımlar!B:S,18,0))</f>
        <v>0</v>
      </c>
      <c r="AD18" s="57" t="str">
        <f t="shared" si="0"/>
        <v>SMART LLCTortillas 20cm Peynirli 4pcs 166g</v>
      </c>
    </row>
    <row r="19" spans="1:30" ht="47.25" x14ac:dyDescent="0.25">
      <c r="A19" s="8" t="s">
        <v>91</v>
      </c>
      <c r="B19" s="67" t="s">
        <v>268</v>
      </c>
      <c r="C19" s="42">
        <f>IF(B19="","",VLOOKUP(AD19,Varsayımlar!$B:$Q,3,0))</f>
        <v>8698829380698</v>
      </c>
      <c r="D19" s="42" t="s">
        <v>159</v>
      </c>
      <c r="E19" s="67" t="s">
        <v>342</v>
      </c>
      <c r="F19" s="67">
        <v>20250825</v>
      </c>
      <c r="G19" s="42" t="s">
        <v>68</v>
      </c>
      <c r="H19" s="67" t="str">
        <f>IF(B19="","",VLOOKUP(AD19,Varsayımlar!$B:$Q,5,0))</f>
        <v>Tortillas 25cm Sade</v>
      </c>
      <c r="I19" s="67">
        <f>IF(B19="","",VLOOKUP(AD19,Varsayımlar!B:T,19,0))</f>
        <v>0</v>
      </c>
      <c r="J19" s="67" t="str">
        <f>IF(B19="","",VLOOKUP(AD19,Varsayımlar!$B:$Q,6,0))</f>
        <v>SADE</v>
      </c>
      <c r="K19" s="67">
        <v>672</v>
      </c>
      <c r="L19" s="67"/>
      <c r="M19" s="67">
        <f>IFERROR(IF(B19="","",K19/VLOOKUP(AD19,Varsayımlar!B:R,17,0)),"")</f>
        <v>8</v>
      </c>
      <c r="N19" s="67"/>
      <c r="O19" s="67">
        <v>11</v>
      </c>
      <c r="P19" s="67">
        <f>IF(B19="","",VLOOKUP(AD19,Varsayımlar!$B:$Q,7,0)*K19)</f>
        <v>20160</v>
      </c>
      <c r="Q19" s="67">
        <f>IF(B19="","",VLOOKUP(AD19,Varsayımlar!$B:$Q,8,0))</f>
        <v>25</v>
      </c>
      <c r="R19" s="67" t="str">
        <f>IF(B19="","",VLOOKUP(AD19,Varsayımlar!$B:$Q,9,0))</f>
        <v>Soft-PA3</v>
      </c>
      <c r="S19" s="67">
        <f>IF(B19="","",VLOOKUP(AD19,Varsayımlar!$B:$Q,10,0))</f>
        <v>4</v>
      </c>
      <c r="T19" s="67">
        <f>IF(B19="","",VLOOKUP(AD19,Varsayımlar!$B:$Q,11,0))</f>
        <v>30</v>
      </c>
      <c r="U19" s="67">
        <f>IF(B19="","",VLOOKUP(AD19,Varsayımlar!$B:$Q,12,0))</f>
        <v>240</v>
      </c>
      <c r="V19" s="67" t="str">
        <f>IF(B19="","",VLOOKUP(AD19,Varsayımlar!$B:$Q,13,0))</f>
        <v>Yurtdışı</v>
      </c>
      <c r="W19" s="67">
        <f>IF(B19="","",VLOOKUP(AD19,Varsayımlar!$B:$Q,14,0))</f>
        <v>12</v>
      </c>
      <c r="X19" s="69">
        <v>46199</v>
      </c>
      <c r="Y19" s="69">
        <v>46564</v>
      </c>
      <c r="Z19" s="67">
        <v>26062625</v>
      </c>
      <c r="AA19" s="67" t="str">
        <f>IF(B19="","",VLOOKUP(AD19,Varsayımlar!$B:$Q,15,0))</f>
        <v>25cm Kolisi-Etiketli</v>
      </c>
      <c r="AB19" s="67" t="str">
        <f>IF(B19="","",VLOOKUP(AD19,Varsayımlar!$B:$Q,16,0))</f>
        <v>24-26 cm (Macca Hetto Inkjet Uzun Tarih)</v>
      </c>
      <c r="AC19" s="67" t="str">
        <f>IF(B19="","",VLOOKUP(Sayfa1!AD22,Varsayımlar!B:S,18,0))</f>
        <v>80x120cm</v>
      </c>
      <c r="AD19" s="57" t="str">
        <f t="shared" si="0"/>
        <v>LAIKYUZHN-BELARUSTortillas 25cm Sade 4pcs 240g</v>
      </c>
    </row>
    <row r="20" spans="1:30" ht="47.25" x14ac:dyDescent="0.25">
      <c r="A20" s="8" t="s">
        <v>92</v>
      </c>
      <c r="B20" s="67" t="s">
        <v>268</v>
      </c>
      <c r="C20" s="42">
        <f>IF(B20="","",VLOOKUP(AD20,Varsayımlar!$B:$Q,3,0))</f>
        <v>8698829380698</v>
      </c>
      <c r="D20" s="42" t="s">
        <v>159</v>
      </c>
      <c r="E20" s="67" t="s">
        <v>269</v>
      </c>
      <c r="F20" s="67">
        <v>20250825</v>
      </c>
      <c r="G20" s="42" t="s">
        <v>68</v>
      </c>
      <c r="H20" s="67" t="str">
        <f>IF(B20="","",VLOOKUP(AD20,Varsayımlar!$B:$Q,5,0))</f>
        <v>Tortillas 25cm Tam Buğday</v>
      </c>
      <c r="I20" s="67">
        <f>IF(B20="","",VLOOKUP(AD20,Varsayımlar!B:T,19,0))</f>
        <v>0</v>
      </c>
      <c r="J20" s="67" t="str">
        <f>IF(B20="","",VLOOKUP(AD20,Varsayımlar!$B:$Q,6,0))</f>
        <v>Tam Buğdaylı</v>
      </c>
      <c r="K20" s="67">
        <v>252</v>
      </c>
      <c r="L20" s="67"/>
      <c r="M20" s="67">
        <f>IFERROR(IF(B20="","",K20/VLOOKUP(AD20,Varsayımlar!B:R,17,0)),"")</f>
        <v>3</v>
      </c>
      <c r="N20" s="67"/>
      <c r="O20" s="67">
        <v>5</v>
      </c>
      <c r="P20" s="67">
        <f>IF(B20="","",VLOOKUP(AD20,Varsayımlar!$B:$Q,7,0)*K20)</f>
        <v>7560</v>
      </c>
      <c r="Q20" s="67">
        <f>IF(B20="","",VLOOKUP(AD20,Varsayımlar!$B:$Q,8,0))</f>
        <v>25</v>
      </c>
      <c r="R20" s="67" t="str">
        <f>IF(B20="","",VLOOKUP(AD20,Varsayımlar!$B:$Q,9,0))</f>
        <v>Soft-PA3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240</v>
      </c>
      <c r="V20" s="67" t="str">
        <f>IF(B20="","",VLOOKUP(AD20,Varsayımlar!$B:$Q,13,0))</f>
        <v>Yurtdışı</v>
      </c>
      <c r="W20" s="67">
        <f>IF(B20="","",VLOOKUP(AD20,Varsayımlar!$B:$Q,14,0))</f>
        <v>12</v>
      </c>
      <c r="X20" s="69">
        <v>46199</v>
      </c>
      <c r="Y20" s="69">
        <v>46564</v>
      </c>
      <c r="Z20" s="67" t="s">
        <v>374</v>
      </c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IF(B20="","",VLOOKUP(Sayfa1!AD23,Varsayımlar!B:S,18,0))</f>
        <v>80x120cm</v>
      </c>
      <c r="AD20" s="57" t="str">
        <f t="shared" si="0"/>
        <v>LAIKYUZHN-BELARUSTortillas 25cm Tam buğday 4pcs 240g</v>
      </c>
    </row>
    <row r="21" spans="1:30" ht="47.25" x14ac:dyDescent="0.25">
      <c r="A21" s="8" t="s">
        <v>93</v>
      </c>
      <c r="B21" s="67" t="s">
        <v>268</v>
      </c>
      <c r="C21" s="42">
        <f>IF(B21="","",VLOOKUP(AD21,Varsayımlar!$B:$Q,3,0))</f>
        <v>8698829380698</v>
      </c>
      <c r="D21" s="42" t="s">
        <v>159</v>
      </c>
      <c r="E21" s="67" t="s">
        <v>274</v>
      </c>
      <c r="F21" s="67">
        <v>20250825</v>
      </c>
      <c r="G21" s="42" t="s">
        <v>68</v>
      </c>
      <c r="H21" s="67" t="str">
        <f>IF(B21="","",VLOOKUP(AD21,Varsayımlar!$B:$Q,5,0))</f>
        <v>Tortillas 25cm Domatesli</v>
      </c>
      <c r="I21" s="67">
        <f>IF(B21="","",VLOOKUP(AD21,Varsayımlar!B:T,19,0))</f>
        <v>0</v>
      </c>
      <c r="J21" s="67" t="str">
        <f>IF(B21="","",VLOOKUP(AD21,Varsayımlar!$B:$Q,6,0))</f>
        <v>Domatesli</v>
      </c>
      <c r="K21" s="67">
        <v>252</v>
      </c>
      <c r="L21" s="67"/>
      <c r="M21" s="67">
        <f>IFERROR(IF(B21="","",K21/VLOOKUP(AD21,Varsayımlar!B:R,17,0)),"")</f>
        <v>3</v>
      </c>
      <c r="N21" s="67"/>
      <c r="O21" s="67">
        <v>5</v>
      </c>
      <c r="P21" s="67">
        <f>IF(B21="","",VLOOKUP(AD21,Varsayımlar!$B:$Q,7,0)*K21)</f>
        <v>7560</v>
      </c>
      <c r="Q21" s="67">
        <f>IF(B21="","",VLOOKUP(AD21,Varsayımlar!$B:$Q,8,0))</f>
        <v>25</v>
      </c>
      <c r="R21" s="67" t="str">
        <f>IF(B21="","",VLOOKUP(AD21,Varsayımlar!$B:$Q,9,0))</f>
        <v>Soft-PA3</v>
      </c>
      <c r="S21" s="67">
        <f>IF(B21="","",VLOOKUP(AD21,Varsayımlar!$B:$Q,10,0))</f>
        <v>4</v>
      </c>
      <c r="T21" s="67">
        <f>IF(B21="","",VLOOKUP(AD21,Varsayımlar!$B:$Q,11,0))</f>
        <v>30</v>
      </c>
      <c r="U21" s="67">
        <f>IF(B21="","",VLOOKUP(AD21,Varsayımlar!$B:$Q,12,0))</f>
        <v>240</v>
      </c>
      <c r="V21" s="67" t="str">
        <f>IF(B21="","",VLOOKUP(AD21,Varsayımlar!$B:$Q,13,0))</f>
        <v>Yurtdışı</v>
      </c>
      <c r="W21" s="67">
        <f>IF(B21="","",VLOOKUP(AD21,Varsayımlar!$B:$Q,14,0))</f>
        <v>12</v>
      </c>
      <c r="X21" s="69">
        <v>46199</v>
      </c>
      <c r="Y21" s="69">
        <v>46564</v>
      </c>
      <c r="Z21" s="67" t="s">
        <v>375</v>
      </c>
      <c r="AA21" s="67" t="str">
        <f>IF(B21="","",VLOOKUP(AD21,Varsayımlar!$B:$Q,15,0))</f>
        <v>25cm Kolisi-Etiketli</v>
      </c>
      <c r="AB21" s="67" t="str">
        <f>IF(B21="","",VLOOKUP(AD21,Varsayımlar!$B:$Q,16,0))</f>
        <v>24-26 cm (Macca Hetto Inkjet Uzun Tarih)</v>
      </c>
      <c r="AC21" s="67" t="str">
        <f>IF(B21="","",VLOOKUP(Sayfa1!AD24,Varsayımlar!B:S,18,0))</f>
        <v>80x120cm</v>
      </c>
      <c r="AD21" s="57" t="str">
        <f t="shared" si="0"/>
        <v>LAIKYUZHN-BELARUSTortillas 25cm Domatesli 4pcs 240g</v>
      </c>
    </row>
    <row r="22" spans="1:30" ht="47.25" x14ac:dyDescent="0.25">
      <c r="A22" s="8" t="s">
        <v>135</v>
      </c>
      <c r="B22" s="67" t="s">
        <v>268</v>
      </c>
      <c r="C22" s="42">
        <f>IF(B22="","",VLOOKUP(AD22,Varsayımlar!$B:$Q,3,0))</f>
        <v>8698829380698</v>
      </c>
      <c r="D22" s="42" t="s">
        <v>159</v>
      </c>
      <c r="E22" s="67" t="s">
        <v>276</v>
      </c>
      <c r="F22" s="67">
        <v>20250825</v>
      </c>
      <c r="G22" s="42" t="s">
        <v>68</v>
      </c>
      <c r="H22" s="67" t="str">
        <f>IF(B22="","",VLOOKUP(AD22,Varsayımlar!$B:$Q,5,0))</f>
        <v>Tortillas 25cm Ispanaklı</v>
      </c>
      <c r="I22" s="67">
        <f>IF(B22="","",VLOOKUP(AD22,Varsayımlar!B:T,19,0))</f>
        <v>0</v>
      </c>
      <c r="J22" s="67" t="str">
        <f>IF(B22="","",VLOOKUP(AD22,Varsayımlar!$B:$Q,6,0))</f>
        <v>Ispanaklı</v>
      </c>
      <c r="K22" s="67">
        <v>420</v>
      </c>
      <c r="L22" s="67"/>
      <c r="M22" s="67">
        <f>IFERROR(IF(B22="","",K22/VLOOKUP(AD22,Varsayımlar!B:R,17,0)),"")</f>
        <v>5</v>
      </c>
      <c r="N22" s="67"/>
      <c r="O22" s="67">
        <v>7</v>
      </c>
      <c r="P22" s="67">
        <f>IF(B22="","",VLOOKUP(AD22,Varsayımlar!$B:$Q,7,0)*K22)</f>
        <v>12600</v>
      </c>
      <c r="Q22" s="67">
        <f>IF(B22="","",VLOOKUP(AD22,Varsayımlar!$B:$Q,8,0))</f>
        <v>25</v>
      </c>
      <c r="R22" s="67" t="str">
        <f>IF(B22="","",VLOOKUP(AD22,Varsayımlar!$B:$Q,9,0))</f>
        <v>Soft-PA3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240</v>
      </c>
      <c r="V22" s="67" t="str">
        <f>IF(B22="","",VLOOKUP(AD22,Varsayımlar!$B:$Q,13,0))</f>
        <v>Yurtdışı</v>
      </c>
      <c r="W22" s="67">
        <f>IF(B22="","",VLOOKUP(AD22,Varsayımlar!$B:$Q,14,0))</f>
        <v>12</v>
      </c>
      <c r="X22" s="69">
        <v>46199</v>
      </c>
      <c r="Y22" s="69">
        <v>46564</v>
      </c>
      <c r="Z22" s="67" t="s">
        <v>376</v>
      </c>
      <c r="AA22" s="67" t="str">
        <f>IF(B22="","",VLOOKUP(AD22,Varsayımlar!$B:$Q,15,0))</f>
        <v>25cm Kolisi-Etiketli</v>
      </c>
      <c r="AB22" s="67" t="str">
        <f>IF(B22="","",VLOOKUP(AD22,Varsayımlar!$B:$Q,16,0))</f>
        <v>24-26 cm (Macca Hetto Inkjet Uzun Tarih)</v>
      </c>
      <c r="AC22" s="67" t="str">
        <f>IF(B22="","",VLOOKUP(Sayfa1!AD25,Varsayımlar!B:S,18,0))</f>
        <v>80x120cm</v>
      </c>
      <c r="AD22" s="57" t="str">
        <f t="shared" si="0"/>
        <v>LAIKYUZHN-BELARUSTortillas 25cm Ispanaklı 4pcs 240g</v>
      </c>
    </row>
    <row r="23" spans="1:30" ht="47.25" x14ac:dyDescent="0.25">
      <c r="A23" s="8" t="s">
        <v>136</v>
      </c>
      <c r="B23" s="67" t="s">
        <v>268</v>
      </c>
      <c r="C23" s="42">
        <f>IF(B23="","",VLOOKUP(AD23,Varsayımlar!$B:$Q,3,0))</f>
        <v>8698829380698</v>
      </c>
      <c r="D23" s="42" t="s">
        <v>159</v>
      </c>
      <c r="E23" s="67" t="s">
        <v>278</v>
      </c>
      <c r="F23" s="67">
        <v>20250825</v>
      </c>
      <c r="G23" s="42" t="s">
        <v>68</v>
      </c>
      <c r="H23" s="67" t="str">
        <f>IF(B23="","",VLOOKUP(AD23,Varsayımlar!$B:$Q,5,0))</f>
        <v>Magnit Tortillas 25cm Peynirli</v>
      </c>
      <c r="I23" s="67" t="str">
        <f>IF(B23="","",VLOOKUP(AD23,Varsayımlar!B:T,19,0))</f>
        <v>Etiketli</v>
      </c>
      <c r="J23" s="67" t="str">
        <f>IF(B23="","",VLOOKUP(AD23,Varsayımlar!$B:$Q,6,0))</f>
        <v>Peynirli</v>
      </c>
      <c r="K23" s="67">
        <v>420</v>
      </c>
      <c r="L23" s="67"/>
      <c r="M23" s="67">
        <f>IFERROR(IF(B23="","",K23/VLOOKUP(AD23,Varsayımlar!B:R,17,0)),"")</f>
        <v>5</v>
      </c>
      <c r="N23" s="67"/>
      <c r="O23" s="67">
        <v>7</v>
      </c>
      <c r="P23" s="67">
        <f>IF(B23="","",VLOOKUP(AD23,Varsayımlar!$B:$Q,7,0)*K23)</f>
        <v>12600</v>
      </c>
      <c r="Q23" s="67">
        <f>IF(B23="","",VLOOKUP(AD23,Varsayımlar!$B:$Q,8,0))</f>
        <v>25</v>
      </c>
      <c r="R23" s="67" t="str">
        <f>IF(B23="","",VLOOKUP(AD23,Varsayımlar!$B:$Q,9,0))</f>
        <v>Soft-PA3-AT</v>
      </c>
      <c r="S23" s="67">
        <f>IF(B23="","",VLOOKUP(AD23,Varsayımlar!$B:$Q,10,0))</f>
        <v>4</v>
      </c>
      <c r="T23" s="67">
        <f>IF(B23="","",VLOOKUP(AD23,Varsayımlar!$B:$Q,11,0))</f>
        <v>30</v>
      </c>
      <c r="U23" s="67">
        <f>IF(B23="","",VLOOKUP(AD23,Varsayımlar!$B:$Q,12,0))</f>
        <v>250</v>
      </c>
      <c r="V23" s="67" t="str">
        <f>IF(B23="","",VLOOKUP(AD23,Varsayımlar!$B:$Q,13,0))</f>
        <v>Yurtdışı</v>
      </c>
      <c r="W23" s="67">
        <f>IF(B23="","",VLOOKUP(AD23,Varsayımlar!$B:$Q,14,0))</f>
        <v>9</v>
      </c>
      <c r="X23" s="69">
        <v>46199</v>
      </c>
      <c r="Y23" s="69">
        <v>46472</v>
      </c>
      <c r="Z23" s="67" t="s">
        <v>377</v>
      </c>
      <c r="AA23" s="67" t="str">
        <f>IF(B23="","",VLOOKUP(AD23,Varsayımlar!$B:$Q,15,0))</f>
        <v>25cm Kolisi-Etiketli</v>
      </c>
      <c r="AB23" s="67" t="str">
        <f>IF(B23="","",VLOOKUP(AD23,Varsayımlar!$B:$Q,16,0))</f>
        <v>24-26 cm (Macca Hetto Inkjet Uzun Tarih)</v>
      </c>
      <c r="AC23" s="67" t="str">
        <f>IF(B23="","",VLOOKUP(Sayfa1!AD26,Varsayımlar!B:S,18,0))</f>
        <v>80x120cm</v>
      </c>
      <c r="AD23" s="57" t="str">
        <f t="shared" si="0"/>
        <v>LAIKYUZHN-BELARUSMagnit Tortillas 25cm Peynirli 4pcs 240g</v>
      </c>
    </row>
    <row r="24" spans="1:30" ht="47.25" x14ac:dyDescent="0.25">
      <c r="A24" s="8" t="s">
        <v>137</v>
      </c>
      <c r="B24" s="62" t="s">
        <v>181</v>
      </c>
      <c r="C24" s="32">
        <f>IF(B24="","",VLOOKUP(AD24,Varsayımlar!$B:$Q,3,0))</f>
        <v>8698829380698</v>
      </c>
      <c r="D24" s="32"/>
      <c r="E24" s="62" t="s">
        <v>182</v>
      </c>
      <c r="F24" s="62">
        <v>26060101</v>
      </c>
      <c r="G24" s="32"/>
      <c r="H24" s="62" t="str">
        <f>IF(B24="","",VLOOKUP(AD24,Varsayımlar!$B:$Q,5,0))</f>
        <v>Tortillove 30cm</v>
      </c>
      <c r="I24" s="62" t="str">
        <f>IF(B24="","",VLOOKUP(AD24,Varsayımlar!B:T,19,0))</f>
        <v>Arka kısma Arnavutça içerik-Tortillove</v>
      </c>
      <c r="J24" s="62" t="str">
        <f>IF(B24="","",VLOOKUP(AD24,Varsayımlar!$B:$Q,6,0))</f>
        <v>SADE</v>
      </c>
      <c r="K24" s="62">
        <v>100</v>
      </c>
      <c r="L24" s="62"/>
      <c r="M24" s="62">
        <f>IFERROR(IF(B24="","",K24/VLOOKUP(AD24,Varsayımlar!B:R,17,0)),"")</f>
        <v>2</v>
      </c>
      <c r="N24" s="62"/>
      <c r="O24" s="62">
        <v>2</v>
      </c>
      <c r="P24" s="62">
        <f>IF(B24="","",VLOOKUP(AD24,Varsayımlar!$B:$Q,7,0)*K24)</f>
        <v>1200</v>
      </c>
      <c r="Q24" s="62">
        <f>IF(B24="","",VLOOKUP(AD24,Varsayımlar!$B:$Q,8,0))</f>
        <v>30</v>
      </c>
      <c r="R24" s="62" t="str">
        <f>IF(B24="","",VLOOKUP(AD24,Varsayımlar!$B:$Q,9,0))</f>
        <v>Irak Soft</v>
      </c>
      <c r="S24" s="62">
        <f>IF(B24="","",VLOOKUP(AD24,Varsayımlar!$B:$Q,10,0))</f>
        <v>10</v>
      </c>
      <c r="T24" s="62">
        <f>IF(B24="","",VLOOKUP(AD24,Varsayımlar!$B:$Q,11,0))</f>
        <v>12</v>
      </c>
      <c r="U24" s="62">
        <f>IF(B24="","",VLOOKUP(AD24,Varsayımlar!$B:$Q,12,0))</f>
        <v>900</v>
      </c>
      <c r="V24" s="62" t="str">
        <f>IF(B24="","",VLOOKUP(AD24,Varsayımlar!$B:$Q,13,0))</f>
        <v>Yurtdışı</v>
      </c>
      <c r="W24" s="62">
        <f>IF(B24="","",VLOOKUP(AD24,Varsayımlar!$B:$Q,14,0))</f>
        <v>12</v>
      </c>
      <c r="X24" s="63">
        <v>46200</v>
      </c>
      <c r="Y24" s="63">
        <v>46565</v>
      </c>
      <c r="Z24" s="62">
        <v>26062730</v>
      </c>
      <c r="AA24" s="62" t="str">
        <f>IF(B24="","",VLOOKUP(AD24,Varsayımlar!$B:$Q,15,0))</f>
        <v>30cm Koli - Tortillove 900g Etiketli</v>
      </c>
      <c r="AB24" s="62" t="str">
        <f>IF(B24="","",VLOOKUP(AD24,Varsayımlar!$B:$Q,16,0))</f>
        <v>29-31 cm</v>
      </c>
      <c r="AC24" s="62">
        <f>IF(B24="","",VLOOKUP(Sayfa1!AD27,Varsayımlar!B:S,18,0))</f>
        <v>0</v>
      </c>
      <c r="AD24" s="57" t="str">
        <f t="shared" si="0"/>
        <v>ALDİ - KOSOVATortillove 30cm 10pcs 900g</v>
      </c>
    </row>
    <row r="25" spans="1:30" ht="47.25" x14ac:dyDescent="0.25">
      <c r="A25" s="8" t="s">
        <v>138</v>
      </c>
      <c r="B25" s="62" t="s">
        <v>181</v>
      </c>
      <c r="C25" s="32">
        <f>IF(B25="","",VLOOKUP(AD25,Varsayımlar!$B:$Q,3,0))</f>
        <v>8698829380698</v>
      </c>
      <c r="D25" s="32"/>
      <c r="E25" s="62" t="s">
        <v>185</v>
      </c>
      <c r="F25" s="62">
        <v>26060101</v>
      </c>
      <c r="G25" s="32"/>
      <c r="H25" s="62" t="str">
        <f>IF(B25="","",VLOOKUP(AD25,Varsayımlar!$B:$Q,5,0))</f>
        <v>Tortillas 30cm</v>
      </c>
      <c r="I25" s="62" t="str">
        <f>IF(B25="","",VLOOKUP(AD25,Varsayımlar!B:T,19,0))</f>
        <v>Arka kısma Arnavutça içerik-Tortillas</v>
      </c>
      <c r="J25" s="62" t="str">
        <f>IF(B25="","",VLOOKUP(AD25,Varsayımlar!$B:$Q,6,0))</f>
        <v>SADE</v>
      </c>
      <c r="K25" s="62">
        <v>50</v>
      </c>
      <c r="L25" s="62"/>
      <c r="M25" s="62">
        <f>IFERROR(IF(B25="","",K25/VLOOKUP(AD25,Varsayımlar!B:R,17,0)),"")</f>
        <v>1</v>
      </c>
      <c r="N25" s="62"/>
      <c r="O25" s="62">
        <v>1</v>
      </c>
      <c r="P25" s="62">
        <f>IF(B25="","",VLOOKUP(AD25,Varsayımlar!$B:$Q,7,0)*K25)</f>
        <v>600</v>
      </c>
      <c r="Q25" s="62">
        <f>IF(B25="","",VLOOKUP(AD25,Varsayımlar!$B:$Q,8,0))</f>
        <v>30</v>
      </c>
      <c r="R25" s="62" t="str">
        <f>IF(B25="","",VLOOKUP(AD25,Varsayımlar!$B:$Q,9,0))</f>
        <v>Irak Soft</v>
      </c>
      <c r="S25" s="62">
        <f>IF(B25="","",VLOOKUP(AD25,Varsayımlar!$B:$Q,10,0))</f>
        <v>10</v>
      </c>
      <c r="T25" s="62">
        <f>IF(B25="","",VLOOKUP(AD25,Varsayımlar!$B:$Q,11,0))</f>
        <v>12</v>
      </c>
      <c r="U25" s="62">
        <f>IF(B25="","",VLOOKUP(AD25,Varsayımlar!$B:$Q,12,0))</f>
        <v>900</v>
      </c>
      <c r="V25" s="62" t="str">
        <f>IF(B25="","",VLOOKUP(AD25,Varsayımlar!$B:$Q,13,0))</f>
        <v>Yurtdışı</v>
      </c>
      <c r="W25" s="62">
        <f>IF(B25="","",VLOOKUP(AD25,Varsayımlar!$B:$Q,14,0))</f>
        <v>12</v>
      </c>
      <c r="X25" s="63">
        <v>46200</v>
      </c>
      <c r="Y25" s="63">
        <v>46565</v>
      </c>
      <c r="Z25" s="62">
        <v>26062730</v>
      </c>
      <c r="AA25" s="62" t="str">
        <f>IF(B25="","",VLOOKUP(AD25,Varsayımlar!$B:$Q,15,0))</f>
        <v>30cm Koli - Tortillas 900g Etiketli</v>
      </c>
      <c r="AB25" s="62" t="str">
        <f>IF(B25="","",VLOOKUP(AD25,Varsayımlar!$B:$Q,16,0))</f>
        <v>29-31 cm</v>
      </c>
      <c r="AC25" s="62">
        <f>IF(B25="","",VLOOKUP(Sayfa1!AD28,Varsayımlar!B:S,18,0))</f>
        <v>0</v>
      </c>
      <c r="AD25" s="57" t="str">
        <f t="shared" si="0"/>
        <v>ALDİ - KOSOVATortillas 30cm 10pcs 900g</v>
      </c>
    </row>
    <row r="26" spans="1:30" ht="63" x14ac:dyDescent="0.25">
      <c r="A26" s="8" t="s">
        <v>139</v>
      </c>
      <c r="B26" s="62" t="s">
        <v>181</v>
      </c>
      <c r="C26" s="32">
        <f>IF(B26="","",VLOOKUP(AD26,Varsayımlar!$B:$Q,3,0))</f>
        <v>8698829380698</v>
      </c>
      <c r="D26" s="32"/>
      <c r="E26" s="32" t="s">
        <v>372</v>
      </c>
      <c r="F26" s="62">
        <v>26060101</v>
      </c>
      <c r="G26" s="32"/>
      <c r="H26" s="62" t="str">
        <f>IF(B26="","",VLOOKUP(AD26,Varsayımlar!$B:$Q,5,0))</f>
        <v>Tortillove Tam Buğday 25cm</v>
      </c>
      <c r="I26" s="62" t="str">
        <f>IF(B26="","",VLOOKUP(AD26,Varsayımlar!B:T,19,0))</f>
        <v>Barkod üzerine Arnavutça TB içerik+Barkod-Tortillove</v>
      </c>
      <c r="J26" s="62" t="str">
        <f>IF(B26="","",VLOOKUP(AD26,Varsayımlar!$B:$Q,6,0))</f>
        <v>Tam Buğdaylı</v>
      </c>
      <c r="K26" s="62">
        <v>84</v>
      </c>
      <c r="L26" s="62"/>
      <c r="M26" s="62">
        <f>IFERROR(IF(B26="","",K26/VLOOKUP(AD26,Varsayımlar!B:R,17,0)),"")</f>
        <v>1</v>
      </c>
      <c r="N26" s="62"/>
      <c r="O26" s="62">
        <v>2</v>
      </c>
      <c r="P26" s="62">
        <f>IF(B26="","",VLOOKUP(AD26,Varsayımlar!$B:$Q,7,0)*K26)</f>
        <v>1512</v>
      </c>
      <c r="Q26" s="62">
        <f>IF(B26="","",VLOOKUP(AD26,Varsayımlar!$B:$Q,8,0))</f>
        <v>25</v>
      </c>
      <c r="R26" s="62" t="str">
        <f>IF(B26="","",VLOOKUP(AD26,Varsayımlar!$B:$Q,9,0))</f>
        <v>Irak Soft</v>
      </c>
      <c r="S26" s="62">
        <f>IF(B26="","",VLOOKUP(AD26,Varsayımlar!$B:$Q,10,0))</f>
        <v>6</v>
      </c>
      <c r="T26" s="62">
        <f>IF(B26="","",VLOOKUP(AD26,Varsayımlar!$B:$Q,11,0))</f>
        <v>18</v>
      </c>
      <c r="U26" s="62">
        <f>IF(B26="","",VLOOKUP(AD26,Varsayımlar!$B:$Q,12,0))</f>
        <v>390</v>
      </c>
      <c r="V26" s="62" t="str">
        <f>IF(B26="","",VLOOKUP(AD26,Varsayımlar!$B:$Q,13,0))</f>
        <v>Yurtdışı</v>
      </c>
      <c r="W26" s="62">
        <f>IF(B26="","",VLOOKUP(AD26,Varsayımlar!$B:$Q,14,0))</f>
        <v>12</v>
      </c>
      <c r="X26" s="63">
        <v>46200</v>
      </c>
      <c r="Y26" s="63">
        <v>46565</v>
      </c>
      <c r="Z26" s="62">
        <v>26062725</v>
      </c>
      <c r="AA26" s="62" t="str">
        <f>IF(B26="","",VLOOKUP(AD26,Varsayımlar!$B:$Q,15,0))</f>
        <v>25cm Koli - Tortillove 390g TB Etiketli</v>
      </c>
      <c r="AB26" s="62" t="str">
        <f>IF(B26="","",VLOOKUP(AD26,Varsayımlar!$B:$Q,16,0))</f>
        <v>24-26 cm</v>
      </c>
      <c r="AC26" s="62">
        <f>IF(B26="","",VLOOKUP(Sayfa1!AD29,Varsayımlar!B:S,18,0))</f>
        <v>0</v>
      </c>
      <c r="AD26" s="57" t="str">
        <f t="shared" si="0"/>
        <v>ALDİ - KOSOVATortillove 25cm TB 6pcs 390g</v>
      </c>
    </row>
    <row r="27" spans="1:30" ht="63" x14ac:dyDescent="0.25">
      <c r="A27" s="8" t="s">
        <v>140</v>
      </c>
      <c r="B27" s="62" t="s">
        <v>181</v>
      </c>
      <c r="C27" s="32">
        <f>IF(B27="","",VLOOKUP(AD27,Varsayımlar!$B:$Q,3,0))</f>
        <v>8698829380698</v>
      </c>
      <c r="D27" s="32"/>
      <c r="E27" s="32" t="s">
        <v>251</v>
      </c>
      <c r="F27" s="62">
        <v>26060101</v>
      </c>
      <c r="G27" s="32"/>
      <c r="H27" s="62" t="str">
        <f>IF(B27="","",VLOOKUP(AD27,Varsayımlar!$B:$Q,5,0))</f>
        <v>Tortillas Tam Buğday 25cm</v>
      </c>
      <c r="I27" s="62" t="str">
        <f>IF(B27="","",VLOOKUP(AD27,Varsayımlar!B:T,19,0))</f>
        <v>Barkod üzerine Arnavutça TB içerik+Barkod-Tortillas</v>
      </c>
      <c r="J27" s="62" t="str">
        <f>IF(B27="","",VLOOKUP(AD27,Varsayımlar!$B:$Q,6,0))</f>
        <v>Tam Buğdaylı</v>
      </c>
      <c r="K27" s="62">
        <v>84</v>
      </c>
      <c r="L27" s="62"/>
      <c r="M27" s="62">
        <f>IFERROR(IF(B27="","",K27/VLOOKUP(AD27,Varsayımlar!B:R,17,0)),"")</f>
        <v>1</v>
      </c>
      <c r="N27" s="62"/>
      <c r="O27" s="62">
        <v>2</v>
      </c>
      <c r="P27" s="62">
        <f>IF(B27="","",VLOOKUP(AD27,Varsayımlar!$B:$Q,7,0)*K27)</f>
        <v>1512</v>
      </c>
      <c r="Q27" s="62">
        <f>IF(B27="","",VLOOKUP(AD27,Varsayımlar!$B:$Q,8,0))</f>
        <v>25</v>
      </c>
      <c r="R27" s="62" t="str">
        <f>IF(B27="","",VLOOKUP(AD27,Varsayımlar!$B:$Q,9,0))</f>
        <v>Irak Soft</v>
      </c>
      <c r="S27" s="62">
        <f>IF(B27="","",VLOOKUP(AD27,Varsayımlar!$B:$Q,10,0))</f>
        <v>6</v>
      </c>
      <c r="T27" s="62">
        <f>IF(B27="","",VLOOKUP(AD27,Varsayımlar!$B:$Q,11,0))</f>
        <v>18</v>
      </c>
      <c r="U27" s="62">
        <f>IF(B27="","",VLOOKUP(AD27,Varsayımlar!$B:$Q,12,0))</f>
        <v>390</v>
      </c>
      <c r="V27" s="62" t="str">
        <f>IF(B27="","",VLOOKUP(AD27,Varsayımlar!$B:$Q,13,0))</f>
        <v>Yurtdışı</v>
      </c>
      <c r="W27" s="62">
        <f>IF(B27="","",VLOOKUP(AD27,Varsayımlar!$B:$Q,14,0))</f>
        <v>12</v>
      </c>
      <c r="X27" s="63">
        <v>46200</v>
      </c>
      <c r="Y27" s="63">
        <v>46565</v>
      </c>
      <c r="Z27" s="62">
        <v>26062725</v>
      </c>
      <c r="AA27" s="62" t="str">
        <f>IF(B27="","",VLOOKUP(AD27,Varsayımlar!$B:$Q,15,0))</f>
        <v>25cm Koli - Tortillas 390g TB Etiketli</v>
      </c>
      <c r="AB27" s="62" t="str">
        <f>IF(B27="","",VLOOKUP(AD27,Varsayımlar!$B:$Q,16,0))</f>
        <v>24-26 cm</v>
      </c>
      <c r="AC27" s="62">
        <f>IF(B27="","",VLOOKUP(Sayfa1!AD30,Varsayımlar!B:S,18,0))</f>
        <v>0</v>
      </c>
      <c r="AD27" s="57" t="str">
        <f t="shared" si="0"/>
        <v>ALDİ - KOSOVATortillas 25cm TB 6pcs 390g</v>
      </c>
    </row>
    <row r="28" spans="1:30" ht="63" x14ac:dyDescent="0.25">
      <c r="A28" s="8" t="s">
        <v>141</v>
      </c>
      <c r="B28" s="62" t="s">
        <v>181</v>
      </c>
      <c r="C28" s="32">
        <f>IF(B28="","",VLOOKUP(AD28,Varsayımlar!$B:$Q,3,0))</f>
        <v>8698829380698</v>
      </c>
      <c r="D28" s="32"/>
      <c r="E28" s="62" t="s">
        <v>187</v>
      </c>
      <c r="F28" s="62">
        <v>26060101</v>
      </c>
      <c r="G28" s="32"/>
      <c r="H28" s="62" t="str">
        <f>IF(B28="","",VLOOKUP(AD28,Varsayımlar!$B:$Q,5,0))</f>
        <v>Tortillove 25cm</v>
      </c>
      <c r="I28" s="62" t="str">
        <f>IF(B28="","",VLOOKUP(AD28,Varsayımlar!B:T,19,0))</f>
        <v>Barkod üzerine Arnavutça içerik+Barkod-Tortillove</v>
      </c>
      <c r="J28" s="62" t="str">
        <f>IF(B28="","",VLOOKUP(AD28,Varsayımlar!$B:$Q,6,0))</f>
        <v>SADE</v>
      </c>
      <c r="K28" s="62">
        <v>168</v>
      </c>
      <c r="L28" s="62"/>
      <c r="M28" s="62">
        <f>IFERROR(IF(B28="","",K28/VLOOKUP(AD28,Varsayımlar!B:R,17,0)),"")</f>
        <v>2</v>
      </c>
      <c r="N28" s="62"/>
      <c r="O28" s="62">
        <v>3</v>
      </c>
      <c r="P28" s="62">
        <f>IF(B28="","",VLOOKUP(AD28,Varsayımlar!$B:$Q,7,0)*K28)</f>
        <v>3024</v>
      </c>
      <c r="Q28" s="62">
        <f>IF(B28="","",VLOOKUP(AD28,Varsayımlar!$B:$Q,8,0))</f>
        <v>25</v>
      </c>
      <c r="R28" s="62" t="str">
        <f>IF(B28="","",VLOOKUP(AD28,Varsayımlar!$B:$Q,9,0))</f>
        <v>Irak Soft</v>
      </c>
      <c r="S28" s="62">
        <f>IF(B28="","",VLOOKUP(AD28,Varsayımlar!$B:$Q,10,0))</f>
        <v>6</v>
      </c>
      <c r="T28" s="62">
        <f>IF(B28="","",VLOOKUP(AD28,Varsayımlar!$B:$Q,11,0))</f>
        <v>18</v>
      </c>
      <c r="U28" s="62">
        <f>IF(B28="","",VLOOKUP(AD28,Varsayımlar!$B:$Q,12,0))</f>
        <v>390</v>
      </c>
      <c r="V28" s="62" t="str">
        <f>IF(B28="","",VLOOKUP(AD28,Varsayımlar!$B:$Q,13,0))</f>
        <v>Yurtdışı</v>
      </c>
      <c r="W28" s="62">
        <f>IF(B28="","",VLOOKUP(AD28,Varsayımlar!$B:$Q,14,0))</f>
        <v>12</v>
      </c>
      <c r="X28" s="63">
        <v>46200</v>
      </c>
      <c r="Y28" s="63">
        <v>46565</v>
      </c>
      <c r="Z28" s="62">
        <v>26062725</v>
      </c>
      <c r="AA28" s="62" t="str">
        <f>IF(B28="","",VLOOKUP(AD28,Varsayımlar!$B:$Q,15,0))</f>
        <v>25cm Koli - Tortillove 390g Etiketli</v>
      </c>
      <c r="AB28" s="62" t="str">
        <f>IF(B28="","",VLOOKUP(AD28,Varsayımlar!$B:$Q,16,0))</f>
        <v>24-26 cm</v>
      </c>
      <c r="AC28" s="62">
        <f>IF(B28="","",VLOOKUP(Sayfa1!AD31,Varsayımlar!B:S,18,0))</f>
        <v>0</v>
      </c>
      <c r="AD28" s="57" t="str">
        <f t="shared" si="0"/>
        <v>ALDİ - KOSOVATortillove 25cm 6pcs 390g</v>
      </c>
    </row>
    <row r="29" spans="1:30" ht="63" x14ac:dyDescent="0.25">
      <c r="A29" s="8" t="s">
        <v>142</v>
      </c>
      <c r="B29" s="62" t="s">
        <v>181</v>
      </c>
      <c r="C29" s="32">
        <f>IF(B29="","",VLOOKUP(AD29,Varsayımlar!$B:$Q,3,0))</f>
        <v>8698829380698</v>
      </c>
      <c r="D29" s="32"/>
      <c r="E29" s="62" t="s">
        <v>189</v>
      </c>
      <c r="F29" s="62">
        <v>26060101</v>
      </c>
      <c r="G29" s="32"/>
      <c r="H29" s="62" t="str">
        <f>IF(B29="","",VLOOKUP(AD29,Varsayımlar!$B:$Q,5,0))</f>
        <v>Tortillas 25cm</v>
      </c>
      <c r="I29" s="62" t="str">
        <f>IF(B29="","",VLOOKUP(AD29,Varsayımlar!B:T,19,0))</f>
        <v>Barkod üzerine Arnavutça içerik+Barkod-Tortillas</v>
      </c>
      <c r="J29" s="62" t="str">
        <f>IF(B29="","",VLOOKUP(AD29,Varsayımlar!$B:$Q,6,0))</f>
        <v>SADE</v>
      </c>
      <c r="K29" s="62">
        <v>84</v>
      </c>
      <c r="L29" s="62"/>
      <c r="M29" s="62">
        <f>IFERROR(IF(B29="","",K29/VLOOKUP(AD29,Varsayımlar!B:R,17,0)),"")</f>
        <v>1</v>
      </c>
      <c r="N29" s="62"/>
      <c r="O29" s="62">
        <v>2</v>
      </c>
      <c r="P29" s="62">
        <f>IF(B29="","",VLOOKUP(AD29,Varsayımlar!$B:$Q,7,0)*K29)</f>
        <v>1512</v>
      </c>
      <c r="Q29" s="62">
        <f>IF(B29="","",VLOOKUP(AD29,Varsayımlar!$B:$Q,8,0))</f>
        <v>25</v>
      </c>
      <c r="R29" s="62" t="str">
        <f>IF(B29="","",VLOOKUP(AD29,Varsayımlar!$B:$Q,9,0))</f>
        <v>Irak Soft</v>
      </c>
      <c r="S29" s="62">
        <f>IF(B29="","",VLOOKUP(AD29,Varsayımlar!$B:$Q,10,0))</f>
        <v>6</v>
      </c>
      <c r="T29" s="62">
        <f>IF(B29="","",VLOOKUP(AD29,Varsayımlar!$B:$Q,11,0))</f>
        <v>18</v>
      </c>
      <c r="U29" s="62">
        <f>IF(B29="","",VLOOKUP(AD29,Varsayımlar!$B:$Q,12,0))</f>
        <v>390</v>
      </c>
      <c r="V29" s="62" t="str">
        <f>IF(B29="","",VLOOKUP(AD29,Varsayımlar!$B:$Q,13,0))</f>
        <v>Yurtdışı</v>
      </c>
      <c r="W29" s="62">
        <f>IF(B29="","",VLOOKUP(AD29,Varsayımlar!$B:$Q,14,0))</f>
        <v>12</v>
      </c>
      <c r="X29" s="63">
        <v>46200</v>
      </c>
      <c r="Y29" s="63">
        <v>46565</v>
      </c>
      <c r="Z29" s="62">
        <v>26062725</v>
      </c>
      <c r="AA29" s="62" t="str">
        <f>IF(B29="","",VLOOKUP(AD29,Varsayımlar!$B:$Q,15,0))</f>
        <v>25cm Koli - Tortillas 390g Etiketli</v>
      </c>
      <c r="AB29" s="62" t="str">
        <f>IF(B29="","",VLOOKUP(AD29,Varsayımlar!$B:$Q,16,0))</f>
        <v>24-26 cm</v>
      </c>
      <c r="AC29" s="62">
        <f>IF(B29="","",VLOOKUP(Sayfa1!AD32,Varsayımlar!B:S,18,0))</f>
        <v>0</v>
      </c>
      <c r="AD29" s="57" t="str">
        <f t="shared" si="0"/>
        <v>ALDİ - KOSOVATortillas 25cm 6pcs 390g</v>
      </c>
    </row>
    <row r="30" spans="1:30" ht="47.25" x14ac:dyDescent="0.25">
      <c r="A30" s="8" t="s">
        <v>143</v>
      </c>
      <c r="B30" s="62" t="s">
        <v>181</v>
      </c>
      <c r="C30" s="32">
        <f>IF(B30="","",VLOOKUP(AD30,Varsayımlar!$B:$Q,3,0))</f>
        <v>8698829380698</v>
      </c>
      <c r="D30" s="32"/>
      <c r="E30" s="62" t="s">
        <v>192</v>
      </c>
      <c r="F30" s="62">
        <v>26060101</v>
      </c>
      <c r="G30" s="32"/>
      <c r="H30" s="62" t="str">
        <f>IF(B30="","",VLOOKUP(AD30,Varsayımlar!$B:$Q,5,0))</f>
        <v>Tortillove 25cm</v>
      </c>
      <c r="I30" s="62" t="str">
        <f>IF(B30="","",VLOOKUP(AD30,Varsayımlar!B:T,19,0))</f>
        <v>Arka kısma Arnavutça içerik-Tortillove</v>
      </c>
      <c r="J30" s="62" t="str">
        <f>IF(B30="","",VLOOKUP(AD30,Varsayımlar!$B:$Q,6,0))</f>
        <v>SADE</v>
      </c>
      <c r="K30" s="62">
        <v>168</v>
      </c>
      <c r="L30" s="62"/>
      <c r="M30" s="62">
        <f>IFERROR(IF(B30="","",K30/VLOOKUP(AD30,Varsayımlar!B:R,17,0)),"")</f>
        <v>2</v>
      </c>
      <c r="N30" s="62"/>
      <c r="O30" s="62">
        <v>3</v>
      </c>
      <c r="P30" s="62">
        <f>IF(B30="","",VLOOKUP(AD30,Varsayımlar!$B:$Q,7,0)*K30)</f>
        <v>2016</v>
      </c>
      <c r="Q30" s="62">
        <f>IF(B30="","",VLOOKUP(AD30,Varsayımlar!$B:$Q,8,0))</f>
        <v>25</v>
      </c>
      <c r="R30" s="62" t="str">
        <f>IF(B30="","",VLOOKUP(AD30,Varsayımlar!$B:$Q,9,0))</f>
        <v>Irak Soft</v>
      </c>
      <c r="S30" s="62">
        <f>IF(B30="","",VLOOKUP(AD30,Varsayımlar!$B:$Q,10,0))</f>
        <v>10</v>
      </c>
      <c r="T30" s="62">
        <f>IF(B30="","",VLOOKUP(AD30,Varsayımlar!$B:$Q,11,0))</f>
        <v>12</v>
      </c>
      <c r="U30" s="62">
        <f>IF(B30="","",VLOOKUP(AD30,Varsayımlar!$B:$Q,12,0))</f>
        <v>650</v>
      </c>
      <c r="V30" s="62" t="str">
        <f>IF(B30="","",VLOOKUP(AD30,Varsayımlar!$B:$Q,13,0))</f>
        <v>Yurtdışı</v>
      </c>
      <c r="W30" s="62">
        <f>IF(B30="","",VLOOKUP(AD30,Varsayımlar!$B:$Q,14,0))</f>
        <v>12</v>
      </c>
      <c r="X30" s="63">
        <v>46200</v>
      </c>
      <c r="Y30" s="63">
        <v>46565</v>
      </c>
      <c r="Z30" s="62">
        <v>26062725</v>
      </c>
      <c r="AA30" s="62" t="str">
        <f>IF(B30="","",VLOOKUP(AD30,Varsayımlar!$B:$Q,15,0))</f>
        <v>25cm Koli - Tortillove 650g Etiketli</v>
      </c>
      <c r="AB30" s="62" t="str">
        <f>IF(B30="","",VLOOKUP(AD30,Varsayımlar!$B:$Q,16,0))</f>
        <v>24-26 cm</v>
      </c>
      <c r="AC30" s="62">
        <f>IF(B30="","",VLOOKUP(Sayfa1!AD33,Varsayımlar!B:S,18,0))</f>
        <v>0</v>
      </c>
      <c r="AD30" s="57" t="str">
        <f t="shared" si="0"/>
        <v>ALDİ - KOSOVATortillove 25cm 10pcs 650g</v>
      </c>
    </row>
    <row r="31" spans="1:30" ht="47.25" x14ac:dyDescent="0.25">
      <c r="A31" s="8" t="s">
        <v>144</v>
      </c>
      <c r="B31" s="62" t="s">
        <v>181</v>
      </c>
      <c r="C31" s="32">
        <f>IF(B31="","",VLOOKUP(AD31,Varsayımlar!$B:$Q,3,0))</f>
        <v>8698829380698</v>
      </c>
      <c r="D31" s="32"/>
      <c r="E31" s="62" t="s">
        <v>193</v>
      </c>
      <c r="F31" s="62">
        <v>26060101</v>
      </c>
      <c r="G31" s="32"/>
      <c r="H31" s="62" t="str">
        <f>IF(B31="","",VLOOKUP(AD31,Varsayımlar!$B:$Q,5,0))</f>
        <v>Tortillas 25cm</v>
      </c>
      <c r="I31" s="62" t="str">
        <f>IF(B31="","",VLOOKUP(AD31,Varsayımlar!B:T,19,0))</f>
        <v>Arka kısma Arnavutça içerik-Tortillas</v>
      </c>
      <c r="J31" s="62" t="str">
        <f>IF(B31="","",VLOOKUP(AD31,Varsayımlar!$B:$Q,6,0))</f>
        <v>SADE</v>
      </c>
      <c r="K31" s="62">
        <v>84</v>
      </c>
      <c r="L31" s="62"/>
      <c r="M31" s="62">
        <f>IFERROR(IF(B31="","",K31/VLOOKUP(AD31,Varsayımlar!B:R,17,0)),"")</f>
        <v>1</v>
      </c>
      <c r="N31" s="62"/>
      <c r="O31" s="62">
        <v>2</v>
      </c>
      <c r="P31" s="62">
        <f>IF(B31="","",VLOOKUP(AD31,Varsayımlar!$B:$Q,7,0)*K31)</f>
        <v>1008</v>
      </c>
      <c r="Q31" s="62">
        <f>IF(B31="","",VLOOKUP(AD31,Varsayımlar!$B:$Q,8,0))</f>
        <v>25</v>
      </c>
      <c r="R31" s="62" t="str">
        <f>IF(B31="","",VLOOKUP(AD31,Varsayımlar!$B:$Q,9,0))</f>
        <v>Irak Soft</v>
      </c>
      <c r="S31" s="62">
        <f>IF(B31="","",VLOOKUP(AD31,Varsayımlar!$B:$Q,10,0))</f>
        <v>10</v>
      </c>
      <c r="T31" s="62">
        <f>IF(B31="","",VLOOKUP(AD31,Varsayımlar!$B:$Q,11,0))</f>
        <v>12</v>
      </c>
      <c r="U31" s="62">
        <f>IF(B31="","",VLOOKUP(AD31,Varsayımlar!$B:$Q,12,0))</f>
        <v>650</v>
      </c>
      <c r="V31" s="62" t="str">
        <f>IF(B31="","",VLOOKUP(AD31,Varsayımlar!$B:$Q,13,0))</f>
        <v>Yurtdışı</v>
      </c>
      <c r="W31" s="62">
        <f>IF(B31="","",VLOOKUP(AD31,Varsayımlar!$B:$Q,14,0))</f>
        <v>12</v>
      </c>
      <c r="X31" s="63">
        <v>46200</v>
      </c>
      <c r="Y31" s="63">
        <v>46565</v>
      </c>
      <c r="Z31" s="62">
        <v>26062725</v>
      </c>
      <c r="AA31" s="62" t="str">
        <f>IF(B31="","",VLOOKUP(AD31,Varsayımlar!$B:$Q,15,0))</f>
        <v>25cm Koli - Tortillas 650g Etiketli</v>
      </c>
      <c r="AB31" s="62" t="str">
        <f>IF(B31="","",VLOOKUP(AD31,Varsayımlar!$B:$Q,16,0))</f>
        <v>24-26 cm</v>
      </c>
      <c r="AC31" s="62">
        <f>IF(B31="","",VLOOKUP(Sayfa1!AD34,Varsayımlar!B:S,18,0))</f>
        <v>0</v>
      </c>
      <c r="AD31" s="57" t="str">
        <f t="shared" si="0"/>
        <v>ALDİ - KOSOVATortillas 25cm 10pcs 650g</v>
      </c>
    </row>
    <row r="32" spans="1:30" ht="31.5" x14ac:dyDescent="0.25">
      <c r="A32" s="8" t="s">
        <v>145</v>
      </c>
      <c r="B32" s="64" t="s">
        <v>288</v>
      </c>
      <c r="C32" s="3">
        <f>IF(B32="","",VLOOKUP(AD32,Varsayımlar!$B:$Q,3,0))</f>
        <v>8698829380698</v>
      </c>
      <c r="D32" s="3"/>
      <c r="E32" s="64" t="s">
        <v>289</v>
      </c>
      <c r="F32" s="64">
        <v>20201016</v>
      </c>
      <c r="G32" s="3" t="s">
        <v>68</v>
      </c>
      <c r="H32" s="64" t="str">
        <f>IF(B32="","",VLOOKUP(AD32,Varsayımlar!$B:$Q,5,0))</f>
        <v>Tortillas 25cm Tam Buğday</v>
      </c>
      <c r="I32" s="64" t="str">
        <f>IF(B32="","",VLOOKUP(AD32,Varsayımlar!B:T,19,0))</f>
        <v>Arka kısma İçerik</v>
      </c>
      <c r="J32" s="64" t="str">
        <f>IF(B32="","",VLOOKUP(AD32,Varsayımlar!$B:$Q,6,0))</f>
        <v>Tam Buğdaylı</v>
      </c>
      <c r="K32" s="64">
        <v>250</v>
      </c>
      <c r="L32" s="64"/>
      <c r="M32" s="64">
        <f>IFERROR(IF(B32="","",K32/VLOOKUP(AD32,Varsayımlar!B:R,17,0)),"")</f>
        <v>5</v>
      </c>
      <c r="N32" s="64"/>
      <c r="O32" s="64">
        <v>4</v>
      </c>
      <c r="P32" s="64">
        <f>IF(B32="","",VLOOKUP(AD32,Varsayımlar!$B:$Q,7,0)*K32)</f>
        <v>4500</v>
      </c>
      <c r="Q32" s="64">
        <f>IF(B32="","",VLOOKUP(AD32,Varsayımlar!$B:$Q,8,0))</f>
        <v>25</v>
      </c>
      <c r="R32" s="64" t="str">
        <f>IF(B32="","",VLOOKUP(AD32,Varsayımlar!$B:$Q,9,0))</f>
        <v>Irak Soft</v>
      </c>
      <c r="S32" s="64">
        <f>IF(B32="","",VLOOKUP(AD32,Varsayımlar!$B:$Q,10,0))</f>
        <v>6</v>
      </c>
      <c r="T32" s="64">
        <f>IF(B32="","",VLOOKUP(AD32,Varsayımlar!$B:$Q,11,0))</f>
        <v>18</v>
      </c>
      <c r="U32" s="64">
        <f>IF(B32="","",VLOOKUP(AD32,Varsayımlar!$B:$Q,12,0))</f>
        <v>390</v>
      </c>
      <c r="V32" s="64" t="str">
        <f>IF(B32="","",VLOOKUP(AD32,Varsayımlar!$B:$Q,13,0))</f>
        <v>YURTDIŞI</v>
      </c>
      <c r="W32" s="64">
        <f>IF(B32="","",VLOOKUP(AD32,Varsayımlar!$B:$Q,14,0))</f>
        <v>9</v>
      </c>
      <c r="X32" s="66">
        <v>46202</v>
      </c>
      <c r="Y32" s="66">
        <v>46475</v>
      </c>
      <c r="Z32" s="64" t="s">
        <v>378</v>
      </c>
      <c r="AA32" s="64" t="str">
        <f>IF(B32="","",VLOOKUP(AD32,Varsayımlar!$B:$Q,15,0))</f>
        <v>25cm Koli-Kazakça Etiketli</v>
      </c>
      <c r="AB32" s="64" t="str">
        <f>IF(B32="","",VLOOKUP(AD32,Varsayımlar!$B:$Q,16,0))</f>
        <v>24-26 cm</v>
      </c>
      <c r="AC32" s="64" t="str">
        <f>IF(B32="","",VLOOKUP(Sayfa1!AD40,Varsayımlar!B:S,18,0))</f>
        <v>80x120cm</v>
      </c>
      <c r="AD32" s="57" t="str">
        <f>IF(B32="","",CONCATENATE(B32,E32))</f>
        <v>UNITERA-KAZAKİSTANTortillas 25cm Tam Buğday 6pcs 390g</v>
      </c>
    </row>
    <row r="33" spans="1:30" ht="31.5" x14ac:dyDescent="0.25">
      <c r="A33" s="8" t="s">
        <v>146</v>
      </c>
      <c r="B33" s="64" t="s">
        <v>288</v>
      </c>
      <c r="C33" s="3">
        <f>IF(B33="","",VLOOKUP(AD33,Varsayımlar!$B:$Q,3,0))</f>
        <v>8698829380698</v>
      </c>
      <c r="D33" s="3"/>
      <c r="E33" s="64" t="s">
        <v>252</v>
      </c>
      <c r="F33" s="64">
        <v>20201016</v>
      </c>
      <c r="G33" s="3" t="s">
        <v>68</v>
      </c>
      <c r="H33" s="64" t="str">
        <f>IF(B33="","",VLOOKUP(AD33,Varsayımlar!$B:$Q,5,0))</f>
        <v>Tortillas 20cm Sade</v>
      </c>
      <c r="I33" s="64" t="str">
        <f>IF(B33="","",VLOOKUP(AD33,Varsayımlar!B:T,19,0))</f>
        <v>Arka kısma İçerik</v>
      </c>
      <c r="J33" s="64" t="str">
        <f>IF(B33="","",VLOOKUP(AD33,Varsayımlar!$B:$Q,6,0))</f>
        <v>SADE</v>
      </c>
      <c r="K33" s="64">
        <v>300</v>
      </c>
      <c r="L33" s="64"/>
      <c r="M33" s="64">
        <f>IFERROR(IF(B33="","",K33/VLOOKUP(AD33,Varsayımlar!B:R,17,0)),"")</f>
        <v>3</v>
      </c>
      <c r="N33" s="64"/>
      <c r="O33" s="64">
        <v>5</v>
      </c>
      <c r="P33" s="64">
        <f>IF(B33="","",VLOOKUP(AD33,Varsayımlar!$B:$Q,7,0)*K33)</f>
        <v>5400</v>
      </c>
      <c r="Q33" s="64">
        <f>IF(B33="","",VLOOKUP(AD33,Varsayımlar!$B:$Q,8,0))</f>
        <v>20</v>
      </c>
      <c r="R33" s="64" t="str">
        <f>IF(B33="","",VLOOKUP(AD33,Varsayımlar!$B:$Q,9,0))</f>
        <v>Irak Soft</v>
      </c>
      <c r="S33" s="64">
        <f>IF(B33="","",VLOOKUP(AD33,Varsayımlar!$B:$Q,10,0))</f>
        <v>6</v>
      </c>
      <c r="T33" s="64">
        <f>IF(B33="","",VLOOKUP(AD33,Varsayımlar!$B:$Q,11,0))</f>
        <v>18</v>
      </c>
      <c r="U33" s="64">
        <f>IF(B33="","",VLOOKUP(AD33,Varsayımlar!$B:$Q,12,0))</f>
        <v>270</v>
      </c>
      <c r="V33" s="64" t="str">
        <f>IF(B33="","",VLOOKUP(AD33,Varsayımlar!$B:$Q,13,0))</f>
        <v>YURTDIŞI</v>
      </c>
      <c r="W33" s="64">
        <f>IF(B33="","",VLOOKUP(AD33,Varsayımlar!$B:$Q,14,0))</f>
        <v>9</v>
      </c>
      <c r="X33" s="66">
        <v>46202</v>
      </c>
      <c r="Y33" s="66">
        <v>46475</v>
      </c>
      <c r="Z33" s="64">
        <v>26062920</v>
      </c>
      <c r="AA33" s="64" t="str">
        <f>IF(B33="","",VLOOKUP(AD33,Varsayımlar!$B:$Q,15,0))</f>
        <v>20cm Koli</v>
      </c>
      <c r="AB33" s="64" t="str">
        <f>IF(B33="","",VLOOKUP(AD33,Varsayımlar!$B:$Q,16,0))</f>
        <v>19-21cm</v>
      </c>
      <c r="AC33" s="64" t="str">
        <f>IF(B33="","",VLOOKUP(Sayfa1!AD41,Varsayımlar!B:S,18,0))</f>
        <v>80x120cm</v>
      </c>
      <c r="AD33" s="57" t="str">
        <f>IF(B33="","",CONCATENATE(B33,E33))</f>
        <v>UNITERA-KAZAKİSTANTortillas 20cm Sade 6pcs 270g</v>
      </c>
    </row>
    <row r="34" spans="1:30" ht="31.5" x14ac:dyDescent="0.25">
      <c r="A34" s="8" t="s">
        <v>147</v>
      </c>
      <c r="B34" s="64" t="s">
        <v>288</v>
      </c>
      <c r="C34" s="3">
        <f>IF(B34="","",VLOOKUP(AD34,Varsayımlar!$B:$Q,3,0))</f>
        <v>8698829380698</v>
      </c>
      <c r="D34" s="3"/>
      <c r="E34" s="64" t="s">
        <v>292</v>
      </c>
      <c r="F34" s="64">
        <v>20201016</v>
      </c>
      <c r="G34" s="3" t="s">
        <v>68</v>
      </c>
      <c r="H34" s="64" t="str">
        <f>IF(B34="","",VLOOKUP(AD34,Varsayımlar!$B:$Q,5,0))</f>
        <v>Kırmızı Tortillas 25cm Sade</v>
      </c>
      <c r="I34" s="64" t="str">
        <f>IF(B34="","",VLOOKUP(AD34,Varsayımlar!B:T,19,0))</f>
        <v>Arka kısma İçerik</v>
      </c>
      <c r="J34" s="64" t="str">
        <f>IF(B34="","",VLOOKUP(AD34,Varsayımlar!$B:$Q,6,0))</f>
        <v>SADE</v>
      </c>
      <c r="K34" s="64">
        <v>250</v>
      </c>
      <c r="L34" s="64"/>
      <c r="M34" s="64">
        <f>IFERROR(IF(B34="","",K34/VLOOKUP(AD34,Varsayımlar!B:R,17,0)),"")</f>
        <v>5</v>
      </c>
      <c r="N34" s="64"/>
      <c r="O34" s="64">
        <v>4</v>
      </c>
      <c r="P34" s="64">
        <f>IF(B34="","",VLOOKUP(AD34,Varsayımlar!$B:$Q,7,0)*K34)</f>
        <v>4500</v>
      </c>
      <c r="Q34" s="64">
        <f>IF(B34="","",VLOOKUP(AD34,Varsayımlar!$B:$Q,8,0))</f>
        <v>25</v>
      </c>
      <c r="R34" s="64" t="str">
        <f>IF(B34="","",VLOOKUP(AD34,Varsayımlar!$B:$Q,9,0))</f>
        <v>Irak Soft</v>
      </c>
      <c r="S34" s="64">
        <f>IF(B34="","",VLOOKUP(AD34,Varsayımlar!$B:$Q,10,0))</f>
        <v>6</v>
      </c>
      <c r="T34" s="64">
        <f>IF(B34="","",VLOOKUP(AD34,Varsayımlar!$B:$Q,11,0))</f>
        <v>18</v>
      </c>
      <c r="U34" s="64">
        <f>IF(B34="","",VLOOKUP(AD34,Varsayımlar!$B:$Q,12,0))</f>
        <v>390</v>
      </c>
      <c r="V34" s="64" t="str">
        <f>IF(B34="","",VLOOKUP(AD34,Varsayımlar!$B:$Q,13,0))</f>
        <v>YURTDIŞI</v>
      </c>
      <c r="W34" s="64">
        <f>IF(B34="","",VLOOKUP(AD34,Varsayımlar!$B:$Q,14,0))</f>
        <v>9</v>
      </c>
      <c r="X34" s="66">
        <v>46202</v>
      </c>
      <c r="Y34" s="66">
        <v>46475</v>
      </c>
      <c r="Z34" s="64">
        <v>26062925</v>
      </c>
      <c r="AA34" s="64" t="str">
        <f>IF(B34="","",VLOOKUP(AD34,Varsayımlar!$B:$Q,15,0))</f>
        <v>25cm Koli</v>
      </c>
      <c r="AB34" s="64" t="str">
        <f>IF(B34="","",VLOOKUP(AD34,Varsayımlar!$B:$Q,16,0))</f>
        <v>24-26 cm</v>
      </c>
      <c r="AC34" s="64" t="str">
        <f>IF(B34="","",VLOOKUP(Sayfa1!AD42,Varsayımlar!B:S,18,0))</f>
        <v>80x120cm</v>
      </c>
      <c r="AD34" s="57" t="str">
        <f>IF(B34="","",CONCATENATE(B34,E34))</f>
        <v>UNITERA-KAZAKİSTANKırmızı Tortillas 25cm Sade 6pcs 390g</v>
      </c>
    </row>
    <row r="35" spans="1:30" ht="78.75" x14ac:dyDescent="0.25">
      <c r="A35" s="8" t="s">
        <v>148</v>
      </c>
      <c r="B35" s="75" t="s">
        <v>218</v>
      </c>
      <c r="C35" s="43">
        <f>IF(B35="","",VLOOKUP(AD35,Varsayımlar!$B:$Q,3,0))</f>
        <v>8698829380698</v>
      </c>
      <c r="D35" s="43" t="s">
        <v>161</v>
      </c>
      <c r="E35" s="75" t="s">
        <v>222</v>
      </c>
      <c r="F35" s="75" t="s">
        <v>341</v>
      </c>
      <c r="G35" s="43"/>
      <c r="H35" s="75" t="str">
        <f>IF(B35="","",VLOOKUP(AD35,Varsayımlar!$B:$Q,5,0))</f>
        <v xml:space="preserve">Tortillas 30cm Tam Buğday </v>
      </c>
      <c r="I35" s="75" t="str">
        <f>IF(B35="","",VLOOKUP(AD35,Varsayımlar!B:T,19,0))</f>
        <v>Barkod üzerine-Bulgarca Barkodlu TB içerik etiketi (029)</v>
      </c>
      <c r="J35" s="75" t="str">
        <f>IF(B35="","",VLOOKUP(AD35,Varsayımlar!$B:$Q,6,0))</f>
        <v>Tam Buğdaylı</v>
      </c>
      <c r="K35" s="75">
        <v>60</v>
      </c>
      <c r="L35" s="75"/>
      <c r="M35" s="75">
        <f>IFERROR(IF(B35="","",K35/VLOOKUP(AD35,Varsayımlar!B:R,17,0)),"")</f>
        <v>1</v>
      </c>
      <c r="N35" s="75"/>
      <c r="O35" s="75">
        <v>1</v>
      </c>
      <c r="P35" s="75">
        <f>IF(B35="","",VLOOKUP(AD35,Varsayımlar!$B:$Q,7,0)*K35)</f>
        <v>360</v>
      </c>
      <c r="Q35" s="75">
        <f>IF(B35="","",VLOOKUP(AD35,Varsayımlar!$B:$Q,8,0))</f>
        <v>30</v>
      </c>
      <c r="R35" s="75" t="str">
        <f>IF(B35="","",VLOOKUP(AD35,Varsayımlar!$B:$Q,9,0))</f>
        <v>Irak Soft</v>
      </c>
      <c r="S35" s="75">
        <f>IF(B35="","",VLOOKUP(AD35,Varsayımlar!$B:$Q,10,0))</f>
        <v>18</v>
      </c>
      <c r="T35" s="75">
        <f>IF(B35="","",VLOOKUP(AD35,Varsayımlar!$B:$Q,11,0))</f>
        <v>6</v>
      </c>
      <c r="U35" s="75">
        <f>IF(B35="","",VLOOKUP(AD35,Varsayımlar!$B:$Q,12,0))</f>
        <v>1620</v>
      </c>
      <c r="V35" s="75" t="str">
        <f>IF(B35="","",VLOOKUP(AD35,Varsayımlar!$B:$Q,13,0))</f>
        <v>Yurtdışı</v>
      </c>
      <c r="W35" s="75">
        <f>IF(B35="","",VLOOKUP(AD35,Varsayımlar!$B:$Q,14,0))</f>
        <v>9</v>
      </c>
      <c r="X35" s="76"/>
      <c r="Y35" s="76"/>
      <c r="Z35" s="75"/>
      <c r="AA35" s="75" t="str">
        <f>IF(B35="","",VLOOKUP(AD35,Varsayımlar!$B:$Q,15,0))</f>
        <v>30cm Lacivert Koli- Bulgarca TB Etiket</v>
      </c>
      <c r="AB35" s="75" t="str">
        <f>IF(B35="","",VLOOKUP(AD35,Varsayımlar!$B:$Q,16,0))</f>
        <v>29-31 cm</v>
      </c>
      <c r="AC35" s="75" t="str">
        <f>IF(B35="","",VLOOKUP(Sayfa1!AD20,Varsayımlar!B:S,18,0))</f>
        <v>95x130cm</v>
      </c>
      <c r="AD35" s="57" t="str">
        <f t="shared" si="0"/>
        <v>TASTE LAND-BULGARİSTANTortillas 30cm Tam Buğday 18pcs 1620g</v>
      </c>
    </row>
    <row r="36" spans="1:30" ht="47.25" x14ac:dyDescent="0.25">
      <c r="A36" s="8" t="s">
        <v>149</v>
      </c>
      <c r="B36" s="75" t="s">
        <v>218</v>
      </c>
      <c r="C36" s="43">
        <f>IF(B36="","",VLOOKUP(AD36,Varsayımlar!$B:$Q,3,0))</f>
        <v>8698829380698</v>
      </c>
      <c r="D36" s="43" t="s">
        <v>161</v>
      </c>
      <c r="E36" s="75" t="s">
        <v>252</v>
      </c>
      <c r="F36" s="75" t="s">
        <v>341</v>
      </c>
      <c r="G36" s="43"/>
      <c r="H36" s="75" t="str">
        <f>IF(B36="","",VLOOKUP(AD36,Varsayımlar!$B:$Q,5,0))</f>
        <v xml:space="preserve">Tortillas 20cm Sade </v>
      </c>
      <c r="I36" s="75" t="str">
        <f>IF(B36="","",VLOOKUP(AD36,Varsayımlar!B:T,19,0))</f>
        <v>Barkod üzerine Barkod Etiketi (104)</v>
      </c>
      <c r="J36" s="75" t="str">
        <f>IF(B36="","",VLOOKUP(AD36,Varsayımlar!$B:$Q,6,0))</f>
        <v>SADE</v>
      </c>
      <c r="K36" s="75">
        <v>120</v>
      </c>
      <c r="L36" s="75"/>
      <c r="M36" s="75">
        <f>IFERROR(IF(B36="","",K36/VLOOKUP(AD36,Varsayımlar!B:R,17,0)),"")</f>
        <v>1</v>
      </c>
      <c r="N36" s="75"/>
      <c r="O36" s="75">
        <v>2</v>
      </c>
      <c r="P36" s="75">
        <f>IF(B36="","",VLOOKUP(AD36,Varsayımlar!$B:$Q,7,0)*K36)</f>
        <v>2160</v>
      </c>
      <c r="Q36" s="75">
        <f>IF(B36="","",VLOOKUP(AD36,Varsayımlar!$B:$Q,8,0))</f>
        <v>20</v>
      </c>
      <c r="R36" s="75" t="str">
        <f>IF(B36="","",VLOOKUP(AD36,Varsayımlar!$B:$Q,9,0))</f>
        <v>Irak Soft</v>
      </c>
      <c r="S36" s="75">
        <f>IF(B36="","",VLOOKUP(AD36,Varsayımlar!$B:$Q,10,0))</f>
        <v>6</v>
      </c>
      <c r="T36" s="75">
        <f>IF(B36="","",VLOOKUP(AD36,Varsayımlar!$B:$Q,11,0))</f>
        <v>18</v>
      </c>
      <c r="U36" s="75">
        <f>IF(B36="","",VLOOKUP(AD36,Varsayımlar!$B:$Q,12,0))</f>
        <v>270</v>
      </c>
      <c r="V36" s="75" t="str">
        <f>IF(B36="","",VLOOKUP(AD36,Varsayımlar!$B:$Q,13,0))</f>
        <v>Yurtdışı</v>
      </c>
      <c r="W36" s="75">
        <f>IF(B36="","",VLOOKUP(AD36,Varsayımlar!$B:$Q,14,0))</f>
        <v>9</v>
      </c>
      <c r="X36" s="76"/>
      <c r="Y36" s="76"/>
      <c r="Z36" s="75"/>
      <c r="AA36" s="75" t="str">
        <f>IF(B36="","",VLOOKUP(AD36,Varsayımlar!$B:$Q,15,0))</f>
        <v>20cm Lacivert-Bulgarca Etiket</v>
      </c>
      <c r="AB36" s="75" t="str">
        <f>IF(B36="","",VLOOKUP(AD36,Varsayımlar!$B:$Q,16,0))</f>
        <v>19-21 cm</v>
      </c>
      <c r="AC36" s="75" t="str">
        <f>IF(B36="","",VLOOKUP(Sayfa1!AD21,Varsayımlar!B:S,18,0))</f>
        <v>100x120cm-Epal+Epal</v>
      </c>
      <c r="AD36" s="57" t="str">
        <f t="shared" si="0"/>
        <v>TASTE LAND-BULGARİSTANTortillas 20cm Sade 6pcs 270g</v>
      </c>
    </row>
    <row r="37" spans="1:30" ht="47.25" x14ac:dyDescent="0.25">
      <c r="A37" s="8" t="s">
        <v>150</v>
      </c>
      <c r="B37" s="54" t="s">
        <v>268</v>
      </c>
      <c r="C37" s="39">
        <f>IF(B37="","",VLOOKUP(AD37,Varsayımlar!$B:$Q,3,0))</f>
        <v>8698829380698</v>
      </c>
      <c r="D37" s="39" t="s">
        <v>160</v>
      </c>
      <c r="E37" s="54" t="s">
        <v>342</v>
      </c>
      <c r="F37" s="54" t="s">
        <v>343</v>
      </c>
      <c r="G37" s="39" t="s">
        <v>68</v>
      </c>
      <c r="H37" s="54" t="str">
        <f>IF(B37="","",VLOOKUP(AD37,Varsayımlar!$B:$Q,5,0))</f>
        <v>Tortillas 25cm Sade</v>
      </c>
      <c r="I37" s="54">
        <f>IF(B37="","",VLOOKUP(AD37,Varsayımlar!B:T,19,0))</f>
        <v>0</v>
      </c>
      <c r="J37" s="54" t="str">
        <f>IF(B37="","",VLOOKUP(AD37,Varsayımlar!$B:$Q,6,0))</f>
        <v>SADE</v>
      </c>
      <c r="K37" s="54">
        <v>420</v>
      </c>
      <c r="L37" s="54"/>
      <c r="M37" s="54">
        <f>IFERROR(IF(B37="","",K37/VLOOKUP(AD37,Varsayımlar!B:R,17,0)),"")</f>
        <v>5</v>
      </c>
      <c r="N37" s="54"/>
      <c r="O37" s="54">
        <v>7</v>
      </c>
      <c r="P37" s="54">
        <f>IF(B37="","",VLOOKUP(AD37,Varsayımlar!$B:$Q,7,0)*K37)</f>
        <v>12600</v>
      </c>
      <c r="Q37" s="54">
        <f>IF(B37="","",VLOOKUP(AD37,Varsayımlar!$B:$Q,8,0))</f>
        <v>25</v>
      </c>
      <c r="R37" s="54" t="str">
        <f>IF(B37="","",VLOOKUP(AD37,Varsayımlar!$B:$Q,9,0))</f>
        <v>Soft-PA3</v>
      </c>
      <c r="S37" s="54">
        <f>IF(B37="","",VLOOKUP(AD37,Varsayımlar!$B:$Q,10,0))</f>
        <v>4</v>
      </c>
      <c r="T37" s="54">
        <f>IF(B37="","",VLOOKUP(AD37,Varsayımlar!$B:$Q,11,0))</f>
        <v>30</v>
      </c>
      <c r="U37" s="54">
        <f>IF(B37="","",VLOOKUP(AD37,Varsayımlar!$B:$Q,12,0))</f>
        <v>240</v>
      </c>
      <c r="V37" s="54" t="str">
        <f>IF(B37="","",VLOOKUP(AD37,Varsayımlar!$B:$Q,13,0))</f>
        <v>Yurtdışı</v>
      </c>
      <c r="W37" s="54">
        <f>IF(B37="","",VLOOKUP(AD37,Varsayımlar!$B:$Q,14,0))</f>
        <v>12</v>
      </c>
      <c r="X37" s="56"/>
      <c r="Y37" s="56"/>
      <c r="Z37" s="54"/>
      <c r="AA37" s="54" t="str">
        <f>IF(B37="","",VLOOKUP(AD37,Varsayımlar!$B:$Q,15,0))</f>
        <v>25cm Kolisi-Etiketli</v>
      </c>
      <c r="AB37" s="54" t="str">
        <f>IF(B37="","",VLOOKUP(AD37,Varsayımlar!$B:$Q,16,0))</f>
        <v>24-26 cm (Macca Hetto Inkjet Uzun Tarih)</v>
      </c>
      <c r="AC37" s="54" t="str">
        <f>IF(B37="","",VLOOKUP(Sayfa1!AD35,Varsayımlar!B:S,18,0))</f>
        <v>80x120cm</v>
      </c>
      <c r="AD37" s="57" t="str">
        <f t="shared" si="0"/>
        <v>LAIKYUZHN-BELARUSTortillas 25cm Sade 4pcs 240g</v>
      </c>
    </row>
    <row r="38" spans="1:30" ht="47.25" x14ac:dyDescent="0.25">
      <c r="A38" s="8" t="s">
        <v>151</v>
      </c>
      <c r="B38" s="54" t="s">
        <v>268</v>
      </c>
      <c r="C38" s="39">
        <f>IF(B38="","",VLOOKUP(AD38,Varsayımlar!$B:$Q,3,0))</f>
        <v>8698829380698</v>
      </c>
      <c r="D38" s="39" t="s">
        <v>160</v>
      </c>
      <c r="E38" s="54" t="s">
        <v>269</v>
      </c>
      <c r="F38" s="54" t="s">
        <v>343</v>
      </c>
      <c r="G38" s="39" t="s">
        <v>68</v>
      </c>
      <c r="H38" s="54" t="str">
        <f>IF(B38="","",VLOOKUP(AD38,Varsayımlar!$B:$Q,5,0))</f>
        <v>Tortillas 25cm Tam Buğday</v>
      </c>
      <c r="I38" s="54">
        <f>IF(B38="","",VLOOKUP(AD38,Varsayımlar!B:T,19,0))</f>
        <v>0</v>
      </c>
      <c r="J38" s="54" t="str">
        <f>IF(B38="","",VLOOKUP(AD38,Varsayımlar!$B:$Q,6,0))</f>
        <v>Tam Buğdaylı</v>
      </c>
      <c r="K38" s="54">
        <v>336</v>
      </c>
      <c r="L38" s="54"/>
      <c r="M38" s="54">
        <f>IFERROR(IF(B38="","",K38/VLOOKUP(AD38,Varsayımlar!B:R,17,0)),"")</f>
        <v>4</v>
      </c>
      <c r="N38" s="54"/>
      <c r="O38" s="54">
        <v>6</v>
      </c>
      <c r="P38" s="54">
        <f>IF(B38="","",VLOOKUP(AD38,Varsayımlar!$B:$Q,7,0)*K38)</f>
        <v>10080</v>
      </c>
      <c r="Q38" s="54">
        <f>IF(B38="","",VLOOKUP(AD38,Varsayımlar!$B:$Q,8,0))</f>
        <v>25</v>
      </c>
      <c r="R38" s="54" t="str">
        <f>IF(B38="","",VLOOKUP(AD38,Varsayımlar!$B:$Q,9,0))</f>
        <v>Soft-PA3</v>
      </c>
      <c r="S38" s="54">
        <f>IF(B38="","",VLOOKUP(AD38,Varsayımlar!$B:$Q,10,0))</f>
        <v>4</v>
      </c>
      <c r="T38" s="54">
        <f>IF(B38="","",VLOOKUP(AD38,Varsayımlar!$B:$Q,11,0))</f>
        <v>30</v>
      </c>
      <c r="U38" s="54">
        <f>IF(B38="","",VLOOKUP(AD38,Varsayımlar!$B:$Q,12,0))</f>
        <v>240</v>
      </c>
      <c r="V38" s="54" t="str">
        <f>IF(B38="","",VLOOKUP(AD38,Varsayımlar!$B:$Q,13,0))</f>
        <v>Yurtdışı</v>
      </c>
      <c r="W38" s="54">
        <f>IF(B38="","",VLOOKUP(AD38,Varsayımlar!$B:$Q,14,0))</f>
        <v>12</v>
      </c>
      <c r="X38" s="56"/>
      <c r="Y38" s="56"/>
      <c r="Z38" s="54"/>
      <c r="AA38" s="54" t="str">
        <f>IF(B38="","",VLOOKUP(AD38,Varsayımlar!$B:$Q,15,0))</f>
        <v>25cm Kolisi-Etiketli</v>
      </c>
      <c r="AB38" s="54" t="str">
        <f>IF(B38="","",VLOOKUP(AD38,Varsayımlar!$B:$Q,16,0))</f>
        <v>24-26 cm (Macca Hetto Inkjet Uzun Tarih)</v>
      </c>
      <c r="AC38" s="54" t="str">
        <f>IF(B38="","",VLOOKUP(Sayfa1!AD36,Varsayımlar!B:S,18,0))</f>
        <v>80x120cm</v>
      </c>
      <c r="AD38" s="57" t="str">
        <f t="shared" si="0"/>
        <v>LAIKYUZHN-BELARUSTortillas 25cm Tam buğday 4pcs 240g</v>
      </c>
    </row>
    <row r="39" spans="1:30" ht="47.25" x14ac:dyDescent="0.25">
      <c r="A39" s="8" t="s">
        <v>152</v>
      </c>
      <c r="B39" s="54" t="s">
        <v>268</v>
      </c>
      <c r="C39" s="39">
        <f>IF(B39="","",VLOOKUP(AD39,Varsayımlar!$B:$Q,3,0))</f>
        <v>8698829380698</v>
      </c>
      <c r="D39" s="39" t="s">
        <v>160</v>
      </c>
      <c r="E39" s="54" t="s">
        <v>274</v>
      </c>
      <c r="F39" s="54" t="s">
        <v>343</v>
      </c>
      <c r="G39" s="39" t="s">
        <v>68</v>
      </c>
      <c r="H39" s="54" t="str">
        <f>IF(B39="","",VLOOKUP(AD39,Varsayımlar!$B:$Q,5,0))</f>
        <v>Tortillas 25cm Domatesli</v>
      </c>
      <c r="I39" s="54">
        <f>IF(B39="","",VLOOKUP(AD39,Varsayımlar!B:T,19,0))</f>
        <v>0</v>
      </c>
      <c r="J39" s="54" t="str">
        <f>IF(B39="","",VLOOKUP(AD39,Varsayımlar!$B:$Q,6,0))</f>
        <v>Domatesli</v>
      </c>
      <c r="K39" s="54">
        <v>420</v>
      </c>
      <c r="L39" s="54"/>
      <c r="M39" s="54">
        <f>IFERROR(IF(B39="","",K39/VLOOKUP(AD39,Varsayımlar!B:R,17,0)),"")</f>
        <v>5</v>
      </c>
      <c r="N39" s="54"/>
      <c r="O39" s="54">
        <v>7</v>
      </c>
      <c r="P39" s="54">
        <f>IF(B39="","",VLOOKUP(AD39,Varsayımlar!$B:$Q,7,0)*K39)</f>
        <v>12600</v>
      </c>
      <c r="Q39" s="54">
        <f>IF(B39="","",VLOOKUP(AD39,Varsayımlar!$B:$Q,8,0))</f>
        <v>25</v>
      </c>
      <c r="R39" s="54" t="str">
        <f>IF(B39="","",VLOOKUP(AD39,Varsayımlar!$B:$Q,9,0))</f>
        <v>Soft-PA3</v>
      </c>
      <c r="S39" s="54">
        <f>IF(B39="","",VLOOKUP(AD39,Varsayımlar!$B:$Q,10,0))</f>
        <v>4</v>
      </c>
      <c r="T39" s="54">
        <f>IF(B39="","",VLOOKUP(AD39,Varsayımlar!$B:$Q,11,0))</f>
        <v>30</v>
      </c>
      <c r="U39" s="54">
        <f>IF(B39="","",VLOOKUP(AD39,Varsayımlar!$B:$Q,12,0))</f>
        <v>240</v>
      </c>
      <c r="V39" s="54" t="str">
        <f>IF(B39="","",VLOOKUP(AD39,Varsayımlar!$B:$Q,13,0))</f>
        <v>Yurtdışı</v>
      </c>
      <c r="W39" s="54">
        <f>IF(B39="","",VLOOKUP(AD39,Varsayımlar!$B:$Q,14,0))</f>
        <v>12</v>
      </c>
      <c r="X39" s="56"/>
      <c r="Y39" s="56"/>
      <c r="Z39" s="54"/>
      <c r="AA39" s="54" t="str">
        <f>IF(B39="","",VLOOKUP(AD39,Varsayımlar!$B:$Q,15,0))</f>
        <v>25cm Kolisi-Etiketli</v>
      </c>
      <c r="AB39" s="54" t="str">
        <f>IF(B39="","",VLOOKUP(AD39,Varsayımlar!$B:$Q,16,0))</f>
        <v>24-26 cm (Macca Hetto Inkjet Uzun Tarih)</v>
      </c>
      <c r="AC39" s="54" t="str">
        <f>IF(B39="","",VLOOKUP(Sayfa1!AD37,Varsayımlar!B:S,18,0))</f>
        <v>80x120cm</v>
      </c>
      <c r="AD39" s="57" t="str">
        <f t="shared" si="0"/>
        <v>LAIKYUZHN-BELARUSTortillas 25cm Domatesli 4pcs 240g</v>
      </c>
    </row>
    <row r="40" spans="1:30" ht="47.25" x14ac:dyDescent="0.25">
      <c r="A40" s="8" t="s">
        <v>153</v>
      </c>
      <c r="B40" s="54" t="s">
        <v>268</v>
      </c>
      <c r="C40" s="39">
        <f>IF(B40="","",VLOOKUP(AD40,Varsayımlar!$B:$Q,3,0))</f>
        <v>8698829380698</v>
      </c>
      <c r="D40" s="39" t="s">
        <v>160</v>
      </c>
      <c r="E40" s="54" t="s">
        <v>276</v>
      </c>
      <c r="F40" s="54" t="s">
        <v>343</v>
      </c>
      <c r="G40" s="39" t="s">
        <v>68</v>
      </c>
      <c r="H40" s="54" t="str">
        <f>IF(B40="","",VLOOKUP(AD40,Varsayımlar!$B:$Q,5,0))</f>
        <v>Tortillas 25cm Ispanaklı</v>
      </c>
      <c r="I40" s="54">
        <f>IF(B40="","",VLOOKUP(AD40,Varsayımlar!B:T,19,0))</f>
        <v>0</v>
      </c>
      <c r="J40" s="54" t="str">
        <f>IF(B40="","",VLOOKUP(AD40,Varsayımlar!$B:$Q,6,0))</f>
        <v>Ispanaklı</v>
      </c>
      <c r="K40" s="54">
        <v>336</v>
      </c>
      <c r="L40" s="54"/>
      <c r="M40" s="54">
        <f>IFERROR(IF(B40="","",K40/VLOOKUP(AD40,Varsayımlar!B:R,17,0)),"")</f>
        <v>4</v>
      </c>
      <c r="N40" s="54"/>
      <c r="O40" s="54">
        <v>6</v>
      </c>
      <c r="P40" s="54">
        <f>IF(B40="","",VLOOKUP(AD40,Varsayımlar!$B:$Q,7,0)*K40)</f>
        <v>10080</v>
      </c>
      <c r="Q40" s="54">
        <f>IF(B40="","",VLOOKUP(AD40,Varsayımlar!$B:$Q,8,0))</f>
        <v>25</v>
      </c>
      <c r="R40" s="54" t="str">
        <f>IF(B40="","",VLOOKUP(AD40,Varsayımlar!$B:$Q,9,0))</f>
        <v>Soft-PA3</v>
      </c>
      <c r="S40" s="54">
        <f>IF(B40="","",VLOOKUP(AD40,Varsayımlar!$B:$Q,10,0))</f>
        <v>4</v>
      </c>
      <c r="T40" s="54">
        <f>IF(B40="","",VLOOKUP(AD40,Varsayımlar!$B:$Q,11,0))</f>
        <v>30</v>
      </c>
      <c r="U40" s="54">
        <f>IF(B40="","",VLOOKUP(AD40,Varsayımlar!$B:$Q,12,0))</f>
        <v>240</v>
      </c>
      <c r="V40" s="54" t="str">
        <f>IF(B40="","",VLOOKUP(AD40,Varsayımlar!$B:$Q,13,0))</f>
        <v>Yurtdışı</v>
      </c>
      <c r="W40" s="54">
        <f>IF(B40="","",VLOOKUP(AD40,Varsayımlar!$B:$Q,14,0))</f>
        <v>12</v>
      </c>
      <c r="X40" s="56"/>
      <c r="Y40" s="56"/>
      <c r="Z40" s="54"/>
      <c r="AA40" s="54" t="str">
        <f>IF(B40="","",VLOOKUP(AD40,Varsayımlar!$B:$Q,15,0))</f>
        <v>25cm Kolisi-Etiketli</v>
      </c>
      <c r="AB40" s="54" t="str">
        <f>IF(B40="","",VLOOKUP(AD40,Varsayımlar!$B:$Q,16,0))</f>
        <v>24-26 cm (Macca Hetto Inkjet Uzun Tarih)</v>
      </c>
      <c r="AC40" s="54" t="str">
        <f>IF(B40="","",VLOOKUP(Sayfa1!AD38,Varsayımlar!B:S,18,0))</f>
        <v>80x120cm</v>
      </c>
      <c r="AD40" s="57" t="str">
        <f t="shared" si="0"/>
        <v>LAIKYUZHN-BELARUSTortillas 25cm Ispanaklı 4pcs 240g</v>
      </c>
    </row>
    <row r="41" spans="1:30" ht="47.25" x14ac:dyDescent="0.25">
      <c r="A41" s="8" t="s">
        <v>154</v>
      </c>
      <c r="B41" s="54" t="s">
        <v>268</v>
      </c>
      <c r="C41" s="39">
        <f>IF(B41="","",VLOOKUP(AD41,Varsayımlar!$B:$Q,3,0))</f>
        <v>8698829380698</v>
      </c>
      <c r="D41" s="39" t="s">
        <v>160</v>
      </c>
      <c r="E41" s="54" t="s">
        <v>278</v>
      </c>
      <c r="F41" s="54" t="s">
        <v>343</v>
      </c>
      <c r="G41" s="39" t="s">
        <v>68</v>
      </c>
      <c r="H41" s="54" t="str">
        <f>IF(B41="","",VLOOKUP(AD41,Varsayımlar!$B:$Q,5,0))</f>
        <v>Magnit Tortillas 25cm Peynirli</v>
      </c>
      <c r="I41" s="54" t="str">
        <f>IF(B41="","",VLOOKUP(AD41,Varsayımlar!B:T,19,0))</f>
        <v>Etiketli</v>
      </c>
      <c r="J41" s="54" t="str">
        <f>IF(B41="","",VLOOKUP(AD41,Varsayımlar!$B:$Q,6,0))</f>
        <v>Peynirli</v>
      </c>
      <c r="K41" s="54">
        <v>504</v>
      </c>
      <c r="L41" s="54"/>
      <c r="M41" s="54">
        <f>IFERROR(IF(B41="","",K41/VLOOKUP(AD41,Varsayımlar!B:R,17,0)),"")</f>
        <v>6</v>
      </c>
      <c r="N41" s="54"/>
      <c r="O41" s="54">
        <v>9</v>
      </c>
      <c r="P41" s="54">
        <f>IF(B41="","",VLOOKUP(AD41,Varsayımlar!$B:$Q,7,0)*K41)</f>
        <v>15120</v>
      </c>
      <c r="Q41" s="54">
        <f>IF(B41="","",VLOOKUP(AD41,Varsayımlar!$B:$Q,8,0))</f>
        <v>25</v>
      </c>
      <c r="R41" s="54" t="str">
        <f>IF(B41="","",VLOOKUP(AD41,Varsayımlar!$B:$Q,9,0))</f>
        <v>Soft-PA3-AT</v>
      </c>
      <c r="S41" s="54">
        <f>IF(B41="","",VLOOKUP(AD41,Varsayımlar!$B:$Q,10,0))</f>
        <v>4</v>
      </c>
      <c r="T41" s="54">
        <f>IF(B41="","",VLOOKUP(AD41,Varsayımlar!$B:$Q,11,0))</f>
        <v>30</v>
      </c>
      <c r="U41" s="54">
        <f>IF(B41="","",VLOOKUP(AD41,Varsayımlar!$B:$Q,12,0))</f>
        <v>250</v>
      </c>
      <c r="V41" s="54" t="str">
        <f>IF(B41="","",VLOOKUP(AD41,Varsayımlar!$B:$Q,13,0))</f>
        <v>Yurtdışı</v>
      </c>
      <c r="W41" s="54">
        <f>IF(B41="","",VLOOKUP(AD41,Varsayımlar!$B:$Q,14,0))</f>
        <v>9</v>
      </c>
      <c r="X41" s="56"/>
      <c r="Y41" s="56"/>
      <c r="Z41" s="54"/>
      <c r="AA41" s="54" t="str">
        <f>IF(B41="","",VLOOKUP(AD41,Varsayımlar!$B:$Q,15,0))</f>
        <v>25cm Kolisi-Etiketli</v>
      </c>
      <c r="AB41" s="54" t="str">
        <f>IF(B41="","",VLOOKUP(AD41,Varsayımlar!$B:$Q,16,0))</f>
        <v>24-26 cm (Macca Hetto Inkjet Uzun Tarih)</v>
      </c>
      <c r="AC41" s="54" t="str">
        <f>IF(B41="","",VLOOKUP(Sayfa1!AD39,Varsayımlar!B:S,18,0))</f>
        <v>80x120cm</v>
      </c>
      <c r="AD41" s="57" t="str">
        <f t="shared" si="0"/>
        <v>LAIKYUZHN-BELARUSMagnit Tortillas 25cm Peynirli 4pcs 240g</v>
      </c>
    </row>
    <row r="42" spans="1:30" x14ac:dyDescent="0.25">
      <c r="A42" s="8" t="s">
        <v>155</v>
      </c>
      <c r="B42" s="64"/>
      <c r="C42" s="3" t="str">
        <f>IF(B42="","",VLOOKUP(AD42,Varsayımlar!$B:$Q,3,0))</f>
        <v/>
      </c>
      <c r="D42" s="3"/>
      <c r="E42" s="3"/>
      <c r="F42" s="64"/>
      <c r="G42" s="3"/>
      <c r="H42" s="64" t="str">
        <f>IF(B42="","",VLOOKUP(AD42,Varsayımlar!$B:$Q,5,0))</f>
        <v/>
      </c>
      <c r="I42" s="64" t="str">
        <f>IF(B42="","",VLOOKUP(AD42,Varsayımlar!B:T,19,0))</f>
        <v/>
      </c>
      <c r="J42" s="64" t="str">
        <f>IF(B42="","",VLOOKUP(AD42,Varsayımlar!$B:$Q,6,0))</f>
        <v/>
      </c>
      <c r="K42" s="64"/>
      <c r="L42" s="64"/>
      <c r="M42" s="64" t="str">
        <f>IFERROR(IF(B42="","",K42/VLOOKUP(AD42,Varsayımlar!B:R,17,0)),"")</f>
        <v/>
      </c>
      <c r="N42" s="64"/>
      <c r="O42" s="64"/>
      <c r="P42" s="64" t="str">
        <f>IF(B42="","",VLOOKUP(AD42,Varsayımlar!$B:$Q,7,0)*K42)</f>
        <v/>
      </c>
      <c r="Q42" s="64" t="str">
        <f>IF(B42="","",VLOOKUP(AD42,Varsayımlar!$B:$Q,8,0))</f>
        <v/>
      </c>
      <c r="R42" s="64" t="str">
        <f>IF(B42="","",VLOOKUP(AD42,Varsayımlar!$B:$Q,9,0))</f>
        <v/>
      </c>
      <c r="S42" s="64" t="str">
        <f>IF(B42="","",VLOOKUP(AD42,Varsayımlar!$B:$Q,10,0))</f>
        <v/>
      </c>
      <c r="T42" s="64" t="str">
        <f>IF(B42="","",VLOOKUP(AD42,Varsayımlar!$B:$Q,11,0))</f>
        <v/>
      </c>
      <c r="U42" s="64" t="str">
        <f>IF(B42="","",VLOOKUP(AD42,Varsayımlar!$B:$Q,12,0))</f>
        <v/>
      </c>
      <c r="V42" s="64" t="str">
        <f>IF(B42="","",VLOOKUP(AD42,Varsayımlar!$B:$Q,13,0))</f>
        <v/>
      </c>
      <c r="W42" s="64" t="str">
        <f>IF(B42="","",VLOOKUP(AD42,Varsayımlar!$B:$Q,14,0))</f>
        <v/>
      </c>
      <c r="X42" s="66"/>
      <c r="Y42" s="66"/>
      <c r="Z42" s="64"/>
      <c r="AA42" s="64" t="str">
        <f>IF(B42="","",VLOOKUP(AD42,Varsayımlar!$B:$Q,15,0))</f>
        <v/>
      </c>
      <c r="AB42" s="64" t="str">
        <f>IF(B42="","",VLOOKUP(AD42,Varsayımlar!$B:$Q,16,0))</f>
        <v/>
      </c>
      <c r="AC42" s="64" t="str">
        <f>IF(B42="","",VLOOKUP(Sayfa1!AD43,Varsayımlar!B:S,18,0))</f>
        <v/>
      </c>
      <c r="AD42" s="57" t="str">
        <f t="shared" si="0"/>
        <v/>
      </c>
    </row>
    <row r="43" spans="1:30" x14ac:dyDescent="0.25">
      <c r="A43" s="8" t="s">
        <v>156</v>
      </c>
      <c r="B43" s="64"/>
      <c r="C43" s="3" t="str">
        <f>IF(B43="","",VLOOKUP(AD43,Varsayımlar!$B:$Q,3,0))</f>
        <v/>
      </c>
      <c r="D43" s="3"/>
      <c r="E43" s="3"/>
      <c r="F43" s="64"/>
      <c r="G43" s="3"/>
      <c r="H43" s="64" t="str">
        <f>IF(B43="","",VLOOKUP(AD43,Varsayımlar!$B:$Q,5,0))</f>
        <v/>
      </c>
      <c r="I43" s="64" t="str">
        <f>IF(B43="","",VLOOKUP(AD43,Varsayımlar!B:T,19,0))</f>
        <v/>
      </c>
      <c r="J43" s="64" t="str">
        <f>IF(B43="","",VLOOKUP(AD43,Varsayımlar!$B:$Q,6,0))</f>
        <v/>
      </c>
      <c r="K43" s="64"/>
      <c r="L43" s="64"/>
      <c r="M43" s="64" t="str">
        <f>IFERROR(IF(B43="","",K43/VLOOKUP(AD43,Varsayımlar!B:R,17,0)),"")</f>
        <v/>
      </c>
      <c r="N43" s="64"/>
      <c r="O43" s="64"/>
      <c r="P43" s="64" t="str">
        <f>IF(B43="","",VLOOKUP(AD43,Varsayımlar!$B:$Q,7,0)*K43)</f>
        <v/>
      </c>
      <c r="Q43" s="64" t="str">
        <f>IF(B43="","",VLOOKUP(AD43,Varsayımlar!$B:$Q,8,0))</f>
        <v/>
      </c>
      <c r="R43" s="64" t="str">
        <f>IF(B43="","",VLOOKUP(AD43,Varsayımlar!$B:$Q,9,0))</f>
        <v/>
      </c>
      <c r="S43" s="64" t="str">
        <f>IF(B43="","",VLOOKUP(AD43,Varsayımlar!$B:$Q,10,0))</f>
        <v/>
      </c>
      <c r="T43" s="64" t="str">
        <f>IF(B43="","",VLOOKUP(AD43,Varsayımlar!$B:$Q,11,0))</f>
        <v/>
      </c>
      <c r="U43" s="64" t="str">
        <f>IF(B43="","",VLOOKUP(AD43,Varsayımlar!$B:$Q,12,0))</f>
        <v/>
      </c>
      <c r="V43" s="64" t="str">
        <f>IF(B43="","",VLOOKUP(AD43,Varsayımlar!$B:$Q,13,0))</f>
        <v/>
      </c>
      <c r="W43" s="64" t="str">
        <f>IF(B43="","",VLOOKUP(AD43,Varsayımlar!$B:$Q,14,0))</f>
        <v/>
      </c>
      <c r="X43" s="66"/>
      <c r="Y43" s="66"/>
      <c r="Z43" s="64"/>
      <c r="AA43" s="64" t="str">
        <f>IF(B43="","",VLOOKUP(AD43,Varsayımlar!$B:$Q,15,0))</f>
        <v/>
      </c>
      <c r="AB43" s="64" t="str">
        <f>IF(B43="","",VLOOKUP(AD43,Varsayımlar!$B:$Q,16,0))</f>
        <v/>
      </c>
      <c r="AC43" s="64" t="str">
        <f>IF(B43="","",VLOOKUP(Sayfa1!AD44,Varsayımlar!B:S,18,0))</f>
        <v/>
      </c>
      <c r="AD43" s="57" t="str">
        <f t="shared" si="0"/>
        <v/>
      </c>
    </row>
    <row r="44" spans="1:30" x14ac:dyDescent="0.25">
      <c r="A44" s="8" t="s">
        <v>157</v>
      </c>
      <c r="B44" s="64"/>
      <c r="C44" s="3" t="str">
        <f>IF(B44="","",VLOOKUP(AD44,Varsayımlar!$B:$Q,3,0))</f>
        <v/>
      </c>
      <c r="D44" s="3"/>
      <c r="E44" s="3"/>
      <c r="F44" s="64"/>
      <c r="G44" s="3"/>
      <c r="H44" s="64" t="str">
        <f>IF(B44="","",VLOOKUP(AD44,Varsayımlar!$B:$Q,5,0))</f>
        <v/>
      </c>
      <c r="I44" s="64" t="str">
        <f>IF(B44="","",VLOOKUP(AD44,Varsayımlar!B:T,19,0))</f>
        <v/>
      </c>
      <c r="J44" s="64" t="str">
        <f>IF(B44="","",VLOOKUP(AD44,Varsayımlar!$B:$Q,6,0))</f>
        <v/>
      </c>
      <c r="K44" s="64"/>
      <c r="L44" s="64"/>
      <c r="M44" s="64" t="str">
        <f>IFERROR(IF(B44="","",K44/VLOOKUP(AD44,Varsayımlar!B:R,17,0)),"")</f>
        <v/>
      </c>
      <c r="N44" s="64"/>
      <c r="O44" s="64"/>
      <c r="P44" s="64" t="str">
        <f>IF(B44="","",VLOOKUP(AD44,Varsayımlar!$B:$Q,7,0)*K44)</f>
        <v/>
      </c>
      <c r="Q44" s="64" t="str">
        <f>IF(B44="","",VLOOKUP(AD44,Varsayımlar!$B:$Q,8,0))</f>
        <v/>
      </c>
      <c r="R44" s="64" t="str">
        <f>IF(B44="","",VLOOKUP(AD44,Varsayımlar!$B:$Q,9,0))</f>
        <v/>
      </c>
      <c r="S44" s="64" t="str">
        <f>IF(B44="","",VLOOKUP(AD44,Varsayımlar!$B:$Q,10,0))</f>
        <v/>
      </c>
      <c r="T44" s="64" t="str">
        <f>IF(B44="","",VLOOKUP(AD44,Varsayımlar!$B:$Q,11,0))</f>
        <v/>
      </c>
      <c r="U44" s="64" t="str">
        <f>IF(B44="","",VLOOKUP(AD44,Varsayımlar!$B:$Q,12,0))</f>
        <v/>
      </c>
      <c r="V44" s="64" t="str">
        <f>IF(B44="","",VLOOKUP(AD44,Varsayımlar!$B:$Q,13,0))</f>
        <v/>
      </c>
      <c r="W44" s="64" t="str">
        <f>IF(B44="","",VLOOKUP(AD44,Varsayımlar!$B:$Q,14,0))</f>
        <v/>
      </c>
      <c r="X44" s="66"/>
      <c r="Y44" s="66"/>
      <c r="Z44" s="64"/>
      <c r="AA44" s="64" t="str">
        <f>IF(B44="","",VLOOKUP(AD44,Varsayımlar!$B:$Q,15,0))</f>
        <v/>
      </c>
      <c r="AB44" s="64" t="str">
        <f>IF(B44="","",VLOOKUP(AD44,Varsayımlar!$B:$Q,16,0))</f>
        <v/>
      </c>
      <c r="AC44" s="64" t="str">
        <f>IF(B44="","",VLOOKUP(Sayfa1!AD45,Varsayımlar!B:S,18,0))</f>
        <v/>
      </c>
      <c r="AD44" s="57" t="str">
        <f t="shared" si="0"/>
        <v/>
      </c>
    </row>
    <row r="45" spans="1:30" ht="31.5" customHeight="1" x14ac:dyDescent="0.25">
      <c r="A45" s="182" t="s">
        <v>344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4"/>
      <c r="AC45" s="38"/>
    </row>
    <row r="46" spans="1:30" ht="63" x14ac:dyDescent="0.25">
      <c r="A46" s="8" t="s">
        <v>0</v>
      </c>
      <c r="B46" s="8" t="s">
        <v>1</v>
      </c>
      <c r="C46" s="9" t="s">
        <v>31</v>
      </c>
      <c r="D46" s="9" t="s">
        <v>124</v>
      </c>
      <c r="E46" s="9" t="s">
        <v>36</v>
      </c>
      <c r="F46" s="8" t="s">
        <v>37</v>
      </c>
      <c r="G46" s="8" t="s">
        <v>13</v>
      </c>
      <c r="H46" s="8" t="s">
        <v>2</v>
      </c>
      <c r="I46" s="8" t="s">
        <v>49</v>
      </c>
      <c r="J46" s="8" t="s">
        <v>3</v>
      </c>
      <c r="K46" s="8" t="s">
        <v>21</v>
      </c>
      <c r="L46" s="8" t="s">
        <v>94</v>
      </c>
      <c r="M46" s="8" t="s">
        <v>20</v>
      </c>
      <c r="N46" s="8" t="s">
        <v>165</v>
      </c>
      <c r="O46" s="8" t="s">
        <v>123</v>
      </c>
      <c r="P46" s="8" t="s">
        <v>16</v>
      </c>
      <c r="Q46" s="8" t="s">
        <v>4</v>
      </c>
      <c r="R46" s="8" t="s">
        <v>5</v>
      </c>
      <c r="S46" s="8" t="s">
        <v>6</v>
      </c>
      <c r="T46" s="8" t="s">
        <v>28</v>
      </c>
      <c r="U46" s="8" t="s">
        <v>7</v>
      </c>
      <c r="V46" s="8" t="s">
        <v>8</v>
      </c>
      <c r="W46" s="8" t="s">
        <v>267</v>
      </c>
      <c r="X46" s="8" t="s">
        <v>10</v>
      </c>
      <c r="Y46" s="8" t="s">
        <v>11</v>
      </c>
      <c r="Z46" s="8" t="s">
        <v>12</v>
      </c>
      <c r="AA46" s="8" t="s">
        <v>14</v>
      </c>
      <c r="AB46" s="8" t="s">
        <v>15</v>
      </c>
      <c r="AC46" s="8" t="s">
        <v>208</v>
      </c>
      <c r="AD46" s="7" t="s">
        <v>41</v>
      </c>
    </row>
    <row r="47" spans="1:30" ht="23.25" customHeight="1" x14ac:dyDescent="0.25">
      <c r="A47" s="8" t="s">
        <v>26</v>
      </c>
      <c r="B47" s="64" t="s">
        <v>119</v>
      </c>
      <c r="C47" s="3">
        <f>IF(B47="","",VLOOKUP(AD47,Varsayımlar!$B:$Q,3,0))</f>
        <v>8698829380698</v>
      </c>
      <c r="D47" s="3"/>
      <c r="E47" s="64" t="s">
        <v>120</v>
      </c>
      <c r="F47" s="64"/>
      <c r="G47" s="64"/>
      <c r="H47" s="64" t="str">
        <f>IF(B47="","",VLOOKUP(AD47,Varsayımlar!$B:$Q,5,0))</f>
        <v>Nimet 25 cm</v>
      </c>
      <c r="I47" s="64"/>
      <c r="J47" s="64" t="str">
        <f>IF(B47="","",VLOOKUP(AD47,Varsayımlar!$B:$Q,6,0))</f>
        <v>SADE</v>
      </c>
      <c r="K47" s="64">
        <v>100</v>
      </c>
      <c r="L47" s="64"/>
      <c r="M47" s="64">
        <f>IFERROR(IF(B47="","",K47/VLOOKUP(AD47,Varsayımlar!B:R,17,0)),"")</f>
        <v>2</v>
      </c>
      <c r="N47" s="64"/>
      <c r="O47" s="64">
        <v>2</v>
      </c>
      <c r="P47" s="64">
        <f>IF(B47="","",VLOOKUP(AD47,Varsayımlar!$B:$Q,7,0)*K47)</f>
        <v>1200</v>
      </c>
      <c r="Q47" s="64">
        <f>IF(B47="","",VLOOKUP(AD47,Varsayımlar!$B:$Q,8,0))</f>
        <v>25</v>
      </c>
      <c r="R47" s="64" t="str">
        <f>IF(B47="","",VLOOKUP(AD47,Varsayımlar!$B:$Q,9,0))</f>
        <v>Standart</v>
      </c>
      <c r="S47" s="64">
        <f>IF(B47="","",VLOOKUP(AD47,Varsayımlar!$B:$Q,10,0))</f>
        <v>12</v>
      </c>
      <c r="T47" s="64">
        <f>IF(B47="","",VLOOKUP(AD47,Varsayımlar!$B:$Q,11,0))</f>
        <v>12</v>
      </c>
      <c r="U47" s="64">
        <f>IF(B47="","",VLOOKUP(AD47,Varsayımlar!$B:$Q,12,0))</f>
        <v>840</v>
      </c>
      <c r="V47" s="64" t="str">
        <f>IF(B47="","",VLOOKUP(AD47,Varsayımlar!$B:$Q,13,0))</f>
        <v>YURTİÇİ</v>
      </c>
      <c r="W47" s="64">
        <f>IF(B47="","",VLOOKUP(AD47,Varsayımlar!$B:$Q,14,0))</f>
        <v>5</v>
      </c>
      <c r="X47" s="66" t="s">
        <v>113</v>
      </c>
      <c r="Y47" s="66" t="s">
        <v>113</v>
      </c>
      <c r="Z47" s="64" t="s">
        <v>113</v>
      </c>
      <c r="AA47" s="64" t="str">
        <f>IF(B47="","",VLOOKUP(AD47,Varsayımlar!$B:$Q,15,0))</f>
        <v>Nimet Kolisi</v>
      </c>
      <c r="AB47" s="64" t="str">
        <f>IF(B47="","",VLOOKUP(AD47,Varsayımlar!$B:$Q,16,0))</f>
        <v>24-26 CM</v>
      </c>
      <c r="AC47" s="64" t="e">
        <f>IF(B47="","",VLOOKUP(Sayfa1!AD46,Varsayımlar!B:S,18,0))</f>
        <v>#N/A</v>
      </c>
      <c r="AD47" s="57" t="str">
        <f t="shared" ref="AD47" si="2">IF(B47="","",CONCATENATE(B47,E47))</f>
        <v>A101Nimet 25cm 12 pcs 840g</v>
      </c>
    </row>
    <row r="48" spans="1:30" ht="31.5" x14ac:dyDescent="0.25">
      <c r="A48" s="8" t="s">
        <v>77</v>
      </c>
      <c r="B48" s="62" t="s">
        <v>218</v>
      </c>
      <c r="C48" s="32">
        <f>IF(B48="","",VLOOKUP(AD48,Varsayımlar!$B:$Q,3,0))</f>
        <v>8698829380698</v>
      </c>
      <c r="D48" s="32" t="s">
        <v>159</v>
      </c>
      <c r="E48" s="62" t="s">
        <v>228</v>
      </c>
      <c r="F48" s="62">
        <v>26042906</v>
      </c>
      <c r="G48" s="32"/>
      <c r="H48" s="62" t="str">
        <f>IF(B48="","",VLOOKUP(AD48,Varsayımlar!$B:$Q,5,0))</f>
        <v>Tortillas Avrupa 25cm (698)</v>
      </c>
      <c r="I48" s="62">
        <f>IF(B48="","",VLOOKUP(AD48,Varsayımlar!B:T,19,0))</f>
        <v>0</v>
      </c>
      <c r="J48" s="62" t="str">
        <f>IF(B48="","",VLOOKUP(AD48,Varsayımlar!$B:$Q,6,0))</f>
        <v>SADE</v>
      </c>
      <c r="K48" s="62">
        <v>720</v>
      </c>
      <c r="L48" s="62"/>
      <c r="M48" s="62">
        <f>IFERROR(IF(B48="","",K48/VLOOKUP(AD48,Varsayımlar!B:R,17,0)),"")</f>
        <v>6</v>
      </c>
      <c r="N48" s="62"/>
      <c r="O48" s="62">
        <v>7</v>
      </c>
      <c r="P48" s="62">
        <f>IF(B48="","",VLOOKUP(AD48,Varsayımlar!$B:$Q,7,0)*K48)</f>
        <v>5760</v>
      </c>
      <c r="Q48" s="62">
        <f>IF(B48="","",VLOOKUP(AD48,Varsayımlar!$B:$Q,8,0))</f>
        <v>25</v>
      </c>
      <c r="R48" s="62" t="str">
        <f>IF(B48="","",VLOOKUP(AD48,Varsayımlar!$B:$Q,9,0))</f>
        <v>Irak Soft</v>
      </c>
      <c r="S48" s="62">
        <f>IF(B48="","",VLOOKUP(AD48,Varsayımlar!$B:$Q,10,0))</f>
        <v>10</v>
      </c>
      <c r="T48" s="62">
        <f>IF(B48="","",VLOOKUP(AD48,Varsayımlar!$B:$Q,11,0))</f>
        <v>8</v>
      </c>
      <c r="U48" s="62">
        <f>IF(B48="","",VLOOKUP(AD48,Varsayımlar!$B:$Q,12,0))</f>
        <v>650</v>
      </c>
      <c r="V48" s="62" t="str">
        <f>IF(B48="","",VLOOKUP(AD48,Varsayımlar!$B:$Q,13,0))</f>
        <v>Yurtdışı</v>
      </c>
      <c r="W48" s="62">
        <f>IF(B48="","",VLOOKUP(AD48,Varsayımlar!$B:$Q,14,0))</f>
        <v>9</v>
      </c>
      <c r="X48" s="63">
        <v>46183</v>
      </c>
      <c r="Y48" s="63">
        <v>46456</v>
      </c>
      <c r="Z48" s="62">
        <v>26061025</v>
      </c>
      <c r="AA48" s="62" t="str">
        <f>IF(B48="","",VLOOKUP(AD48,Varsayımlar!$B:$Q,15,0))</f>
        <v>25cm Perforeli-Bulgarca etiket</v>
      </c>
      <c r="AB48" s="62" t="str">
        <f>IF(B48="","",VLOOKUP(AD48,Varsayımlar!$B:$Q,16,0))</f>
        <v>24-26 cm</v>
      </c>
      <c r="AC48" s="62" t="str">
        <f>IF(B48="","",VLOOKUP(Sayfa1!AD51,Varsayımlar!B:S,18,0))</f>
        <v>80x120cm -Epal+Epal</v>
      </c>
      <c r="AD48" s="57" t="str">
        <f t="shared" ref="AD48:AD55" si="3">IF(B48="","",CONCATENATE(B48,E48))</f>
        <v>TASTE LAND-BULGARİSTANTortillas 25cm Sade 10pcs 650g</v>
      </c>
    </row>
    <row r="49" spans="1:30" ht="31.5" x14ac:dyDescent="0.25">
      <c r="A49" s="8" t="s">
        <v>78</v>
      </c>
      <c r="B49" s="62" t="s">
        <v>218</v>
      </c>
      <c r="C49" s="32">
        <f>IF(B49="","",VLOOKUP(AD49,Varsayımlar!$B:$Q,3,0))</f>
        <v>8698829380698</v>
      </c>
      <c r="D49" s="32" t="s">
        <v>159</v>
      </c>
      <c r="E49" s="62" t="s">
        <v>229</v>
      </c>
      <c r="F49" s="62">
        <v>26042906</v>
      </c>
      <c r="G49" s="32"/>
      <c r="H49" s="62" t="str">
        <f>IF(B49="","",VLOOKUP(AD49,Varsayımlar!$B:$Q,5,0))</f>
        <v>Tortillas Avrupa 25cm Tam Buğday (711)</v>
      </c>
      <c r="I49" s="62">
        <f>IF(B49="","",VLOOKUP(AD49,Varsayımlar!B:T,19,0))</f>
        <v>0</v>
      </c>
      <c r="J49" s="62" t="str">
        <f>IF(B49="","",VLOOKUP(AD49,Varsayımlar!$B:$Q,6,0))</f>
        <v>Tam Buğdaylı</v>
      </c>
      <c r="K49" s="62">
        <v>840</v>
      </c>
      <c r="L49" s="62"/>
      <c r="M49" s="62">
        <f>IFERROR(IF(B49="","",K49/VLOOKUP(AD49,Varsayımlar!B:R,17,0)),"")</f>
        <v>7</v>
      </c>
      <c r="N49" s="62"/>
      <c r="O49" s="62">
        <v>9</v>
      </c>
      <c r="P49" s="62">
        <f>IF(B49="","",VLOOKUP(AD49,Varsayımlar!$B:$Q,7,0)*K49)</f>
        <v>6720</v>
      </c>
      <c r="Q49" s="62">
        <f>IF(B49="","",VLOOKUP(AD49,Varsayımlar!$B:$Q,8,0))</f>
        <v>25</v>
      </c>
      <c r="R49" s="62" t="str">
        <f>IF(B49="","",VLOOKUP(AD49,Varsayımlar!$B:$Q,9,0))</f>
        <v>Irak Soft</v>
      </c>
      <c r="S49" s="62">
        <f>IF(B49="","",VLOOKUP(AD49,Varsayımlar!$B:$Q,10,0))</f>
        <v>10</v>
      </c>
      <c r="T49" s="62">
        <f>IF(B49="","",VLOOKUP(AD49,Varsayımlar!$B:$Q,11,0))</f>
        <v>8</v>
      </c>
      <c r="U49" s="62">
        <f>IF(B49="","",VLOOKUP(AD49,Varsayımlar!$B:$Q,12,0))</f>
        <v>650</v>
      </c>
      <c r="V49" s="62" t="str">
        <f>IF(B49="","",VLOOKUP(AD49,Varsayımlar!$B:$Q,13,0))</f>
        <v>Yurtdışı</v>
      </c>
      <c r="W49" s="62">
        <f>IF(B49="","",VLOOKUP(AD49,Varsayımlar!$B:$Q,14,0))</f>
        <v>9</v>
      </c>
      <c r="X49" s="63">
        <v>46183</v>
      </c>
      <c r="Y49" s="63">
        <v>46456</v>
      </c>
      <c r="Z49" s="62" t="s">
        <v>355</v>
      </c>
      <c r="AA49" s="62" t="str">
        <f>IF(B49="","",VLOOKUP(AD49,Varsayımlar!$B:$Q,15,0))</f>
        <v>25cm Perforeli-Bulgarca TB etiket</v>
      </c>
      <c r="AB49" s="62" t="str">
        <f>IF(B49="","",VLOOKUP(AD49,Varsayımlar!$B:$Q,16,0))</f>
        <v>24-26 cm</v>
      </c>
      <c r="AC49" s="62" t="str">
        <f>IF(B49="","",VLOOKUP(Sayfa1!AD52,Varsayımlar!B:S,18,0))</f>
        <v>80x120cm -Epal+Epal</v>
      </c>
      <c r="AD49" s="57" t="str">
        <f t="shared" si="3"/>
        <v>TASTE LAND-BULGARİSTANTortillas 25cm Tam Buğday 10pcs 650g</v>
      </c>
    </row>
    <row r="50" spans="1:30" ht="47.25" x14ac:dyDescent="0.25">
      <c r="A50" s="8" t="s">
        <v>79</v>
      </c>
      <c r="B50" s="62" t="s">
        <v>218</v>
      </c>
      <c r="C50" s="32">
        <f>IF(B50="","",VLOOKUP(AD50,Varsayımlar!$B:$Q,3,0))</f>
        <v>8698829380698</v>
      </c>
      <c r="D50" s="32" t="s">
        <v>159</v>
      </c>
      <c r="E50" s="62" t="s">
        <v>232</v>
      </c>
      <c r="F50" s="62">
        <v>26042906</v>
      </c>
      <c r="G50" s="32"/>
      <c r="H50" s="62" t="str">
        <f>IF(B50="","",VLOOKUP(AD50,Varsayımlar!$B:$Q,5,0))</f>
        <v>Tortillas Avrupa 25cm Domatesli (074)</v>
      </c>
      <c r="I50" s="62">
        <f>IF(B50="","",VLOOKUP(AD50,Varsayımlar!B:T,19,0))</f>
        <v>0</v>
      </c>
      <c r="J50" s="62" t="str">
        <f>IF(B50="","",VLOOKUP(AD50,Varsayımlar!$B:$Q,6,0))</f>
        <v>Domatesli</v>
      </c>
      <c r="K50" s="62">
        <v>360</v>
      </c>
      <c r="L50" s="62"/>
      <c r="M50" s="62">
        <f>IFERROR(IF(B50="","",K50/VLOOKUP(AD50,Varsayımlar!B:R,17,0)),"")</f>
        <v>3</v>
      </c>
      <c r="N50" s="62"/>
      <c r="O50" s="62">
        <v>4</v>
      </c>
      <c r="P50" s="62">
        <f>IF(B50="","",VLOOKUP(AD50,Varsayımlar!$B:$Q,7,0)*K50)</f>
        <v>4320</v>
      </c>
      <c r="Q50" s="62">
        <f>IF(B50="","",VLOOKUP(AD50,Varsayımlar!$B:$Q,8,0))</f>
        <v>25</v>
      </c>
      <c r="R50" s="62" t="str">
        <f>IF(B50="","",VLOOKUP(AD50,Varsayımlar!$B:$Q,9,0))</f>
        <v>Irak Soft</v>
      </c>
      <c r="S50" s="62">
        <f>IF(B50="","",VLOOKUP(AD50,Varsayımlar!$B:$Q,10,0))</f>
        <v>6</v>
      </c>
      <c r="T50" s="62">
        <f>IF(B50="","",VLOOKUP(AD50,Varsayımlar!$B:$Q,11,0))</f>
        <v>12</v>
      </c>
      <c r="U50" s="62">
        <f>IF(B50="","",VLOOKUP(AD50,Varsayımlar!$B:$Q,12,0))</f>
        <v>390</v>
      </c>
      <c r="V50" s="62" t="str">
        <f>IF(B50="","",VLOOKUP(AD50,Varsayımlar!$B:$Q,13,0))</f>
        <v>Yurtdışı</v>
      </c>
      <c r="W50" s="62">
        <f>IF(B50="","",VLOOKUP(AD50,Varsayımlar!$B:$Q,14,0))</f>
        <v>9</v>
      </c>
      <c r="X50" s="63">
        <v>46183</v>
      </c>
      <c r="Y50" s="63">
        <v>46456</v>
      </c>
      <c r="Z50" s="62" t="s">
        <v>356</v>
      </c>
      <c r="AA50" s="62" t="str">
        <f>IF(B50="","",VLOOKUP(AD50,Varsayımlar!$B:$Q,15,0))</f>
        <v>25cm Perforeli-Bulgarca Domatesli etiket</v>
      </c>
      <c r="AB50" s="62" t="str">
        <f>IF(B50="","",VLOOKUP(AD50,Varsayımlar!$B:$Q,16,0))</f>
        <v>24-26 cm</v>
      </c>
      <c r="AC50" s="62" t="str">
        <f>IF(B50="","",VLOOKUP(Sayfa1!AD53,Varsayımlar!B:S,18,0))</f>
        <v>80x120cm -Epal+Epal</v>
      </c>
      <c r="AD50" s="57" t="str">
        <f t="shared" si="3"/>
        <v>TASTE LAND-BULGARİSTANTortillas 25cm Domatesli 6pcs 390g</v>
      </c>
    </row>
    <row r="51" spans="1:30" ht="47.25" x14ac:dyDescent="0.25">
      <c r="A51" s="8" t="s">
        <v>80</v>
      </c>
      <c r="B51" s="62" t="s">
        <v>218</v>
      </c>
      <c r="C51" s="32">
        <f>IF(B51="","",VLOOKUP(AD51,Varsayımlar!$B:$Q,3,0))</f>
        <v>8698829380698</v>
      </c>
      <c r="D51" s="32" t="s">
        <v>159</v>
      </c>
      <c r="E51" s="62" t="s">
        <v>235</v>
      </c>
      <c r="F51" s="62">
        <v>26042906</v>
      </c>
      <c r="G51" s="32"/>
      <c r="H51" s="62" t="str">
        <f>IF(B51="","",VLOOKUP(AD51,Varsayımlar!$B:$Q,5,0))</f>
        <v>Tortillas Avrupa 25cm Ispanaklı (081)</v>
      </c>
      <c r="I51" s="62">
        <f>IF(B51="","",VLOOKUP(AD51,Varsayımlar!B:T,19,0))</f>
        <v>0</v>
      </c>
      <c r="J51" s="62" t="str">
        <f>IF(B51="","",VLOOKUP(AD51,Varsayımlar!$B:$Q,6,0))</f>
        <v>Ispanaklı</v>
      </c>
      <c r="K51" s="62">
        <v>360</v>
      </c>
      <c r="L51" s="62"/>
      <c r="M51" s="62">
        <f>IFERROR(IF(B51="","",K51/VLOOKUP(AD51,Varsayımlar!B:R,17,0)),"")</f>
        <v>3</v>
      </c>
      <c r="N51" s="62"/>
      <c r="O51" s="62">
        <v>4</v>
      </c>
      <c r="P51" s="62">
        <f>IF(B51="","",VLOOKUP(AD51,Varsayımlar!$B:$Q,7,0)*K51)</f>
        <v>4320</v>
      </c>
      <c r="Q51" s="62">
        <f>IF(B51="","",VLOOKUP(AD51,Varsayımlar!$B:$Q,8,0))</f>
        <v>25</v>
      </c>
      <c r="R51" s="62" t="str">
        <f>IF(B51="","",VLOOKUP(AD51,Varsayımlar!$B:$Q,9,0))</f>
        <v>Irak Soft</v>
      </c>
      <c r="S51" s="62">
        <f>IF(B51="","",VLOOKUP(AD51,Varsayımlar!$B:$Q,10,0))</f>
        <v>6</v>
      </c>
      <c r="T51" s="62">
        <f>IF(B51="","",VLOOKUP(AD51,Varsayımlar!$B:$Q,11,0))</f>
        <v>12</v>
      </c>
      <c r="U51" s="62">
        <f>IF(B51="","",VLOOKUP(AD51,Varsayımlar!$B:$Q,12,0))</f>
        <v>390</v>
      </c>
      <c r="V51" s="62" t="str">
        <f>IF(B51="","",VLOOKUP(AD51,Varsayımlar!$B:$Q,13,0))</f>
        <v>Yurtdışı</v>
      </c>
      <c r="W51" s="62">
        <f>IF(B51="","",VLOOKUP(AD51,Varsayımlar!$B:$Q,14,0))</f>
        <v>9</v>
      </c>
      <c r="X51" s="63">
        <v>46183</v>
      </c>
      <c r="Y51" s="63">
        <v>46456</v>
      </c>
      <c r="Z51" s="62" t="s">
        <v>357</v>
      </c>
      <c r="AA51" s="62" t="str">
        <f>IF(B51="","",VLOOKUP(AD51,Varsayımlar!$B:$Q,15,0))</f>
        <v>25cm Perforeli-Bulgarca Ispanaklı etiket</v>
      </c>
      <c r="AB51" s="62" t="str">
        <f>IF(B51="","",VLOOKUP(AD51,Varsayımlar!$B:$Q,16,0))</f>
        <v>24-26 cm</v>
      </c>
      <c r="AC51" s="62" t="str">
        <f>IF(B51="","",VLOOKUP(Sayfa1!AD54,Varsayımlar!B:S,18,0))</f>
        <v>80x120cm -Epal+Epal</v>
      </c>
      <c r="AD51" s="57" t="str">
        <f t="shared" si="3"/>
        <v>TASTE LAND-BULGARİSTANTortillas 25cm Ispanaklı 6pcs 390g</v>
      </c>
    </row>
    <row r="52" spans="1:30" ht="47.25" x14ac:dyDescent="0.25">
      <c r="A52" s="8" t="s">
        <v>81</v>
      </c>
      <c r="B52" s="62" t="s">
        <v>218</v>
      </c>
      <c r="C52" s="32">
        <f>IF(B52="","",VLOOKUP(AD52,Varsayımlar!$B:$Q,3,0))</f>
        <v>8698829380698</v>
      </c>
      <c r="D52" s="32" t="s">
        <v>159</v>
      </c>
      <c r="E52" s="62" t="s">
        <v>240</v>
      </c>
      <c r="F52" s="62">
        <v>26042906</v>
      </c>
      <c r="G52" s="32"/>
      <c r="H52" s="62" t="str">
        <f>IF(B52="","",VLOOKUP(AD52,Varsayımlar!$B:$Q,5,0))</f>
        <v>Tortillas Avrupa 25cm Peynirli (098)</v>
      </c>
      <c r="I52" s="62">
        <f>IF(B52="","",VLOOKUP(AD52,Varsayımlar!B:T,19,0))</f>
        <v>0</v>
      </c>
      <c r="J52" s="62" t="str">
        <f>IF(B52="","",VLOOKUP(AD52,Varsayımlar!$B:$Q,6,0))</f>
        <v>Peynirli</v>
      </c>
      <c r="K52" s="62">
        <v>240</v>
      </c>
      <c r="L52" s="62"/>
      <c r="M52" s="62">
        <f>IFERROR(IF(B52="","",K52/VLOOKUP(AD52,Varsayımlar!B:R,17,0)),"")</f>
        <v>2</v>
      </c>
      <c r="N52" s="62"/>
      <c r="O52" s="62">
        <v>3</v>
      </c>
      <c r="P52" s="62">
        <f>IF(B52="","",VLOOKUP(AD52,Varsayımlar!$B:$Q,7,0)*K52)</f>
        <v>2880</v>
      </c>
      <c r="Q52" s="62">
        <f>IF(B52="","",VLOOKUP(AD52,Varsayımlar!$B:$Q,8,0))</f>
        <v>25</v>
      </c>
      <c r="R52" s="62" t="str">
        <f>IF(B52="","",VLOOKUP(AD52,Varsayımlar!$B:$Q,9,0))</f>
        <v>Irak Soft-AT</v>
      </c>
      <c r="S52" s="62">
        <f>IF(B52="","",VLOOKUP(AD52,Varsayımlar!$B:$Q,10,0))</f>
        <v>6</v>
      </c>
      <c r="T52" s="62">
        <f>IF(B52="","",VLOOKUP(AD52,Varsayımlar!$B:$Q,11,0))</f>
        <v>12</v>
      </c>
      <c r="U52" s="62">
        <f>IF(B52="","",VLOOKUP(AD52,Varsayımlar!$B:$Q,12,0))</f>
        <v>390</v>
      </c>
      <c r="V52" s="62" t="str">
        <f>IF(B52="","",VLOOKUP(AD52,Varsayımlar!$B:$Q,13,0))</f>
        <v>Yurtdışı</v>
      </c>
      <c r="W52" s="62">
        <f>IF(B52="","",VLOOKUP(AD52,Varsayımlar!$B:$Q,14,0))</f>
        <v>9</v>
      </c>
      <c r="X52" s="63">
        <v>46183</v>
      </c>
      <c r="Y52" s="63">
        <v>46456</v>
      </c>
      <c r="Z52" s="62" t="s">
        <v>358</v>
      </c>
      <c r="AA52" s="62" t="str">
        <f>IF(B52="","",VLOOKUP(AD52,Varsayımlar!$B:$Q,15,0))</f>
        <v>25cm Perforeli-Bulgarca Peynirli etiket</v>
      </c>
      <c r="AB52" s="62" t="str">
        <f>IF(B52="","",VLOOKUP(AD52,Varsayımlar!$B:$Q,16,0))</f>
        <v>24-26 cm</v>
      </c>
      <c r="AC52" s="62" t="str">
        <f>IF(B52="","",VLOOKUP(Sayfa1!AD55,Varsayımlar!B:S,18,0))</f>
        <v>80x120cm -Epal+Epal</v>
      </c>
      <c r="AD52" s="57" t="str">
        <f t="shared" si="3"/>
        <v>TASTE LAND-BULGARİSTANTortillas 25cm Peynirli 6pcs 390g</v>
      </c>
    </row>
    <row r="53" spans="1:30" ht="31.5" x14ac:dyDescent="0.25">
      <c r="A53" s="8" t="s">
        <v>82</v>
      </c>
      <c r="B53" s="67" t="s">
        <v>321</v>
      </c>
      <c r="C53" s="42">
        <f>IF(B53="","",VLOOKUP(AD53,Varsayımlar!$B:$Q,3,0))</f>
        <v>8698829380698</v>
      </c>
      <c r="D53" s="42"/>
      <c r="E53" s="67" t="s">
        <v>322</v>
      </c>
      <c r="F53" s="67"/>
      <c r="G53" s="67"/>
      <c r="H53" s="67" t="str">
        <f>IF(B53="","",VLOOKUP(AD53,Varsayımlar!$B:$Q,5,0))</f>
        <v>Baskısız 25 cm</v>
      </c>
      <c r="I53" s="67" t="str">
        <f>IF(B53="","",VLOOKUP(AD53,Varsayımlar!B:T,19,0))</f>
        <v>Lana 25cm 8pcs 480g Yuvarlak</v>
      </c>
      <c r="J53" s="67" t="str">
        <f>IF(B53="","",VLOOKUP(AD53,Varsayımlar!$B:$Q,6,0))</f>
        <v>SADE</v>
      </c>
      <c r="K53" s="67">
        <v>750</v>
      </c>
      <c r="L53" s="67"/>
      <c r="M53" s="67" t="str">
        <f>IFERROR(IF(B53="","",K53/VLOOKUP(AD53,Varsayımlar!B:R,17,0)),"")</f>
        <v/>
      </c>
      <c r="N53" s="67"/>
      <c r="O53" s="67">
        <v>10</v>
      </c>
      <c r="P53" s="67">
        <f>IF(B53="","",VLOOKUP(AD53,Varsayımlar!$B:$Q,7,0)*K53)</f>
        <v>10500</v>
      </c>
      <c r="Q53" s="67">
        <f>IF(B53="","",VLOOKUP(AD53,Varsayımlar!$B:$Q,8,0))</f>
        <v>25</v>
      </c>
      <c r="R53" s="67" t="str">
        <f>IF(B53="","",VLOOKUP(AD53,Varsayımlar!$B:$Q,9,0))</f>
        <v>Irak Soft</v>
      </c>
      <c r="S53" s="67">
        <f>IF(B53="","",VLOOKUP(AD53,Varsayımlar!$B:$Q,10,0))</f>
        <v>8</v>
      </c>
      <c r="T53" s="67">
        <f>IF(B53="","",VLOOKUP(AD53,Varsayımlar!$B:$Q,11,0))</f>
        <v>14</v>
      </c>
      <c r="U53" s="67">
        <f>IF(B53="","",VLOOKUP(AD53,Varsayımlar!$B:$Q,12,0))</f>
        <v>480</v>
      </c>
      <c r="V53" s="67" t="str">
        <f>IF(B53="","",VLOOKUP(AD53,Varsayımlar!$B:$Q,13,0))</f>
        <v>Yurtdışı</v>
      </c>
      <c r="W53" s="67">
        <f>IF(B53="","",VLOOKUP(AD53,Varsayımlar!$B:$Q,14,0))</f>
        <v>6</v>
      </c>
      <c r="X53" s="69">
        <v>46185</v>
      </c>
      <c r="Y53" s="69">
        <v>46368</v>
      </c>
      <c r="Z53" s="67">
        <v>26061225</v>
      </c>
      <c r="AA53" s="67" t="str">
        <f>IF(B53="","",VLOOKUP(AD53,Varsayımlar!$B:$Q,15,0))</f>
        <v>Kırmızı Koli</v>
      </c>
      <c r="AB53" s="67" t="str">
        <f>IF(B53="","",VLOOKUP(AD53,Varsayımlar!$B:$Q,16,0))</f>
        <v>24-26 cm</v>
      </c>
      <c r="AC53" s="67" t="str">
        <f>IF(B53="","",VLOOKUP(Sayfa1!AD57,Varsayımlar!B:S,18,0))</f>
        <v>80x120cm -Epal+Epal</v>
      </c>
      <c r="AD53" s="57" t="str">
        <f t="shared" si="3"/>
        <v>Gülbahar CompanyBaskısız 25cm Sade 8pcs 480g</v>
      </c>
    </row>
    <row r="54" spans="1:30" ht="23.25" customHeight="1" x14ac:dyDescent="0.25">
      <c r="A54" s="8" t="s">
        <v>83</v>
      </c>
      <c r="B54" s="64" t="s">
        <v>335</v>
      </c>
      <c r="C54" s="3">
        <f>IF(B54="","",VLOOKUP(AD54,Varsayımlar!$B:$Q,3,0))</f>
        <v>8698829380698</v>
      </c>
      <c r="D54" s="3"/>
      <c r="E54" s="64" t="s">
        <v>319</v>
      </c>
      <c r="F54" s="64"/>
      <c r="G54" s="64"/>
      <c r="H54" s="64" t="str">
        <f>IF(B54="","",VLOOKUP(AD54,Varsayımlar!$B:$Q,5,0))</f>
        <v>Lazeza 25cm</v>
      </c>
      <c r="I54" s="64"/>
      <c r="J54" s="64" t="str">
        <f>IF(B54="","",VLOOKUP(AD54,Varsayımlar!$B:$Q,6,0))</f>
        <v>SADE</v>
      </c>
      <c r="K54" s="64">
        <v>1120</v>
      </c>
      <c r="L54" s="64"/>
      <c r="M54" s="64" t="str">
        <f>IFERROR(IF(B54="","",K54/VLOOKUP(AD54,Varsayımlar!B:R,17,0)),"")</f>
        <v/>
      </c>
      <c r="N54" s="64"/>
      <c r="O54" s="64">
        <v>15</v>
      </c>
      <c r="P54" s="64">
        <f>IF(B54="","",VLOOKUP(AD54,Varsayımlar!$B:$Q,7,0)*K54)</f>
        <v>20160</v>
      </c>
      <c r="Q54" s="64">
        <f>IF(B54="","",VLOOKUP(AD54,Varsayımlar!$B:$Q,8,0))</f>
        <v>25</v>
      </c>
      <c r="R54" s="64" t="str">
        <f>IF(B54="","",VLOOKUP(AD54,Varsayımlar!$B:$Q,9,0))</f>
        <v>Irak Soft</v>
      </c>
      <c r="S54" s="64">
        <f>IF(B54="","",VLOOKUP(AD54,Varsayımlar!$B:$Q,10,0))</f>
        <v>6</v>
      </c>
      <c r="T54" s="64">
        <f>IF(B54="","",VLOOKUP(AD54,Varsayımlar!$B:$Q,11,0))</f>
        <v>18</v>
      </c>
      <c r="U54" s="64">
        <f>IF(B54="","",VLOOKUP(AD54,Varsayımlar!$B:$Q,12,0))</f>
        <v>390</v>
      </c>
      <c r="V54" s="64" t="str">
        <f>IF(B54="","",VLOOKUP(AD54,Varsayımlar!$B:$Q,13,0))</f>
        <v>Yurtdışı</v>
      </c>
      <c r="W54" s="64">
        <f>IF(B54="","",VLOOKUP(AD54,Varsayımlar!$B:$Q,14,0))</f>
        <v>6</v>
      </c>
      <c r="X54" s="66"/>
      <c r="Y54" s="66"/>
      <c r="Z54" s="64"/>
      <c r="AA54" s="64" t="str">
        <f>IF(B54="","",VLOOKUP(AD54,Varsayımlar!$B:$Q,15,0))</f>
        <v>Lazeza Kolisi</v>
      </c>
      <c r="AB54" s="64" t="str">
        <f>IF(B54="","",VLOOKUP(AD54,Varsayımlar!$B:$Q,16,0))</f>
        <v>24-26 cm</v>
      </c>
      <c r="AC54" s="64">
        <f>IF(B54="","",VLOOKUP(Sayfa1!AD48,Varsayımlar!B:S,18,0))</f>
        <v>0</v>
      </c>
      <c r="AD54" s="57" t="str">
        <f t="shared" si="3"/>
        <v>AjjawiLazeza 25 cm 6pcs 390g</v>
      </c>
    </row>
    <row r="55" spans="1:30" ht="33" customHeight="1" x14ac:dyDescent="0.25">
      <c r="A55" s="8" t="s">
        <v>84</v>
      </c>
      <c r="B55" s="3" t="s">
        <v>64</v>
      </c>
      <c r="C55" s="3">
        <f>IF(B55="","",VLOOKUP(AD55,Varsayımlar!$B:$Q,3,0))</f>
        <v>8698829380698</v>
      </c>
      <c r="D55" s="3"/>
      <c r="E55" s="3" t="s">
        <v>108</v>
      </c>
      <c r="F55" s="3"/>
      <c r="G55" s="3"/>
      <c r="H55" s="3" t="str">
        <f>IF(B55="","",VLOOKUP(AD55,Varsayımlar!$B:$Q,5,0))</f>
        <v>Kırmızı Tortillas 25 cm</v>
      </c>
      <c r="I55" s="3">
        <f>IF(B55="","",VLOOKUP(AD55,Varsayımlar!B:T,19,0))</f>
        <v>0</v>
      </c>
      <c r="J55" s="3" t="str">
        <f>IF(B55="","",VLOOKUP(AD55,Varsayımlar!$B:$Q,6,0))</f>
        <v>SADE</v>
      </c>
      <c r="K55" s="3">
        <v>924</v>
      </c>
      <c r="L55" s="3"/>
      <c r="M55" s="3">
        <f>IFERROR(IF(B55="","",K55/VLOOKUP(AD55,Varsayımlar!B:R,17,0)),"")</f>
        <v>11</v>
      </c>
      <c r="N55" s="3"/>
      <c r="O55" s="3">
        <v>14</v>
      </c>
      <c r="P55" s="3">
        <f>IF(B55="","",VLOOKUP(AD55,Varsayımlar!$B:$Q,7,0)*K55)</f>
        <v>27720</v>
      </c>
      <c r="Q55" s="3">
        <f>IF(B55="","",VLOOKUP(AD55,Varsayımlar!$B:$Q,8,0))</f>
        <v>25</v>
      </c>
      <c r="R55" s="3" t="str">
        <f>IF(B55="","",VLOOKUP(AD55,Varsayımlar!$B:$Q,9,0))</f>
        <v>Soft</v>
      </c>
      <c r="S55" s="3">
        <f>IF(B55="","",VLOOKUP(AD55,Varsayımlar!$B:$Q,10,0))</f>
        <v>4</v>
      </c>
      <c r="T55" s="3">
        <f>IF(B55="","",VLOOKUP(AD55,Varsayımlar!$B:$Q,11,0))</f>
        <v>30</v>
      </c>
      <c r="U55" s="3">
        <f>IF(B55="","",VLOOKUP(AD55,Varsayımlar!$B:$Q,12,0))</f>
        <v>250</v>
      </c>
      <c r="V55" s="3" t="str">
        <f>IF(B55="","",VLOOKUP(AD55,Varsayımlar!$B:$Q,13,0))</f>
        <v>Yurtdışı</v>
      </c>
      <c r="W55" s="3">
        <f>IF(B55="","",VLOOKUP(AD55,Varsayımlar!$B:$Q,14,0))</f>
        <v>9</v>
      </c>
      <c r="X55" s="66">
        <v>46196</v>
      </c>
      <c r="Y55" s="66">
        <v>46469</v>
      </c>
      <c r="Z55" s="3">
        <v>26062325</v>
      </c>
      <c r="AA55" s="3" t="str">
        <f>IF(B55="","",VLOOKUP(AD55,Varsayımlar!$B:$Q,15,0))</f>
        <v>Kırmızı Koli- Üretim Tarihi Etiketli</v>
      </c>
      <c r="AB55" s="3" t="str">
        <f>IF(B55="","",VLOOKUP(AD55,Varsayımlar!$B:$Q,16,0))</f>
        <v>24-26 CM</v>
      </c>
      <c r="AC55" s="67" t="str">
        <f>IF(B55="","",VLOOKUP(Sayfa1!AD58,Varsayımlar!B:S,18,0))</f>
        <v>80x120cm -Epal+Epal</v>
      </c>
      <c r="AD55" s="57" t="str">
        <f t="shared" si="3"/>
        <v>SMART LLCKırmızı tortillas 25cm 4 lü 250g</v>
      </c>
    </row>
    <row r="56" spans="1:30" s="94" customFormat="1" ht="58.5" customHeight="1" x14ac:dyDescent="0.25">
      <c r="A56" s="8" t="s">
        <v>85</v>
      </c>
      <c r="B56" s="104" t="s">
        <v>119</v>
      </c>
      <c r="C56" s="105">
        <f>IF(B56="","",VLOOKUP(AD56,Varsayımlar!$B:$Q,3,0))</f>
        <v>8698829380698</v>
      </c>
      <c r="D56" s="105"/>
      <c r="E56" s="106" t="s">
        <v>120</v>
      </c>
      <c r="F56" s="104"/>
      <c r="G56" s="104"/>
      <c r="H56" s="104" t="str">
        <f>IF(B56="","",VLOOKUP(AD56,Varsayımlar!$B:$Q,5,0))</f>
        <v>Nimet 25 cm</v>
      </c>
      <c r="I56" s="104"/>
      <c r="J56" s="104" t="str">
        <f>IF(B56="","",VLOOKUP(AD56,Varsayımlar!$B:$Q,6,0))</f>
        <v>SADE</v>
      </c>
      <c r="K56" s="104">
        <v>4000</v>
      </c>
      <c r="L56" s="104"/>
      <c r="M56" s="104">
        <f>IFERROR(IF(B56="","",K56/VLOOKUP(AD56,Varsayımlar!B:R,17,0)),"")</f>
        <v>80</v>
      </c>
      <c r="N56" s="104"/>
      <c r="O56" s="104">
        <v>68</v>
      </c>
      <c r="P56" s="104">
        <f>IF(B56="","",VLOOKUP(AD56,Varsayımlar!$B:$Q,7,0)*K56)</f>
        <v>48000</v>
      </c>
      <c r="Q56" s="104">
        <f>IF(B56="","",VLOOKUP(AD56,Varsayımlar!$B:$Q,8,0))</f>
        <v>25</v>
      </c>
      <c r="R56" s="104" t="str">
        <f>IF(B56="","",VLOOKUP(AD56,Varsayımlar!$B:$Q,9,0))</f>
        <v>Standart</v>
      </c>
      <c r="S56" s="104">
        <f>IF(B56="","",VLOOKUP(AD56,Varsayımlar!$B:$Q,10,0))</f>
        <v>12</v>
      </c>
      <c r="T56" s="104">
        <f>IF(B56="","",VLOOKUP(AD56,Varsayımlar!$B:$Q,11,0))</f>
        <v>12</v>
      </c>
      <c r="U56" s="104">
        <f>IF(B56="","",VLOOKUP(AD56,Varsayımlar!$B:$Q,12,0))</f>
        <v>840</v>
      </c>
      <c r="V56" s="104" t="str">
        <f>IF(B56="","",VLOOKUP(AD56,Varsayımlar!$B:$Q,13,0))</f>
        <v>YURTİÇİ</v>
      </c>
      <c r="W56" s="104">
        <f>IF(B56="","",VLOOKUP(AD56,Varsayımlar!$B:$Q,14,0))</f>
        <v>5</v>
      </c>
      <c r="X56" s="107" t="s">
        <v>113</v>
      </c>
      <c r="Y56" s="107" t="s">
        <v>113</v>
      </c>
      <c r="Z56" s="104" t="s">
        <v>113</v>
      </c>
      <c r="AA56" s="104" t="str">
        <f>IF(B56="","",VLOOKUP(AD56,Varsayımlar!$B:$Q,15,0))</f>
        <v>Nimet Kolisi</v>
      </c>
      <c r="AB56" s="104" t="str">
        <f>IF(B56="","",VLOOKUP(AD56,Varsayımlar!$B:$Q,16,0))</f>
        <v>24-26 CM</v>
      </c>
      <c r="AC56" s="104" t="s">
        <v>360</v>
      </c>
      <c r="AD56" s="93" t="str">
        <f t="shared" ref="AD56" si="4">IF(B56="","",CONCATENATE(B56,E56))</f>
        <v>A101Nimet 25cm 12 pcs 840g</v>
      </c>
    </row>
    <row r="57" spans="1:30" ht="31.5" x14ac:dyDescent="0.25">
      <c r="A57" s="8" t="s">
        <v>86</v>
      </c>
      <c r="B57" s="80" t="s">
        <v>218</v>
      </c>
      <c r="C57" s="44">
        <f>IF(B57="","",VLOOKUP(AD57,Varsayımlar!$B:$Q,3,0))</f>
        <v>8698829380698</v>
      </c>
      <c r="D57" s="44" t="s">
        <v>160</v>
      </c>
      <c r="E57" s="80" t="s">
        <v>228</v>
      </c>
      <c r="F57" s="80">
        <v>26042907</v>
      </c>
      <c r="G57" s="44"/>
      <c r="H57" s="80" t="str">
        <f>IF(B57="","",VLOOKUP(AD57,Varsayımlar!$B:$Q,5,0))</f>
        <v>Tortillas Avrupa 25cm (698)</v>
      </c>
      <c r="I57" s="80">
        <f>IF(B57="","",VLOOKUP(AD57,Varsayımlar!B:T,19,0))</f>
        <v>0</v>
      </c>
      <c r="J57" s="80" t="str">
        <f>IF(B57="","",VLOOKUP(AD57,Varsayımlar!$B:$Q,6,0))</f>
        <v>SADE</v>
      </c>
      <c r="K57" s="80">
        <v>720</v>
      </c>
      <c r="L57" s="80"/>
      <c r="M57" s="80">
        <f>IFERROR(IF(B57="","",K57/VLOOKUP(AD57,Varsayımlar!B:R,17,0)),"")</f>
        <v>6</v>
      </c>
      <c r="N57" s="80"/>
      <c r="O57" s="80">
        <v>7</v>
      </c>
      <c r="P57" s="80">
        <f>IF(B57="","",VLOOKUP(AD57,Varsayımlar!$B:$Q,7,0)*K57)</f>
        <v>5760</v>
      </c>
      <c r="Q57" s="80">
        <f>IF(B57="","",VLOOKUP(AD57,Varsayımlar!$B:$Q,8,0))</f>
        <v>25</v>
      </c>
      <c r="R57" s="80" t="str">
        <f>IF(B57="","",VLOOKUP(AD57,Varsayımlar!$B:$Q,9,0))</f>
        <v>Irak Soft</v>
      </c>
      <c r="S57" s="80">
        <f>IF(B57="","",VLOOKUP(AD57,Varsayımlar!$B:$Q,10,0))</f>
        <v>10</v>
      </c>
      <c r="T57" s="80">
        <f>IF(B57="","",VLOOKUP(AD57,Varsayımlar!$B:$Q,11,0))</f>
        <v>8</v>
      </c>
      <c r="U57" s="80">
        <f>IF(B57="","",VLOOKUP(AD57,Varsayımlar!$B:$Q,12,0))</f>
        <v>650</v>
      </c>
      <c r="V57" s="80" t="str">
        <f>IF(B57="","",VLOOKUP(AD57,Varsayımlar!$B:$Q,13,0))</f>
        <v>Yurtdışı</v>
      </c>
      <c r="W57" s="80">
        <f>IF(B57="","",VLOOKUP(AD57,Varsayımlar!$B:$Q,14,0))</f>
        <v>9</v>
      </c>
      <c r="X57" s="81"/>
      <c r="Y57" s="81"/>
      <c r="Z57" s="80"/>
      <c r="AA57" s="80" t="str">
        <f>IF(B57="","",VLOOKUP(AD57,Varsayımlar!$B:$Q,15,0))</f>
        <v>25cm Perforeli-Bulgarca etiket</v>
      </c>
      <c r="AB57" s="80" t="str">
        <f>IF(B57="","",VLOOKUP(AD57,Varsayımlar!$B:$Q,16,0))</f>
        <v>24-26 cm</v>
      </c>
      <c r="AC57" s="80" t="str">
        <f>IF(B57="","",VLOOKUP(Sayfa1!AD56,Varsayımlar!B:S,18,0))</f>
        <v>80x120cm -Epal+Epal</v>
      </c>
      <c r="AD57" s="57" t="str">
        <f t="shared" ref="AD57" si="5">IF(B57="","",CONCATENATE(B57,E57))</f>
        <v>TASTE LAND-BULGARİSTANTortillas 25cm Sade 10pcs 650g</v>
      </c>
    </row>
    <row r="58" spans="1:30" ht="31.5" x14ac:dyDescent="0.25">
      <c r="A58" s="8" t="s">
        <v>87</v>
      </c>
      <c r="B58" s="80" t="s">
        <v>218</v>
      </c>
      <c r="C58" s="44">
        <f>IF(B58="","",VLOOKUP(AD58,Varsayımlar!$B:$Q,3,0))</f>
        <v>8698829380698</v>
      </c>
      <c r="D58" s="44" t="s">
        <v>160</v>
      </c>
      <c r="E58" s="80" t="s">
        <v>229</v>
      </c>
      <c r="F58" s="80">
        <v>26042907</v>
      </c>
      <c r="G58" s="44"/>
      <c r="H58" s="80" t="str">
        <f>IF(B58="","",VLOOKUP(AD58,Varsayımlar!$B:$Q,5,0))</f>
        <v>Tortillas Avrupa 25cm Tam Buğday (711)</v>
      </c>
      <c r="I58" s="80">
        <f>IF(B58="","",VLOOKUP(AD58,Varsayımlar!B:T,19,0))</f>
        <v>0</v>
      </c>
      <c r="J58" s="80" t="str">
        <f>IF(B58="","",VLOOKUP(AD58,Varsayımlar!$B:$Q,6,0))</f>
        <v>Tam Buğdaylı</v>
      </c>
      <c r="K58" s="80">
        <v>840</v>
      </c>
      <c r="L58" s="80"/>
      <c r="M58" s="80">
        <f>IFERROR(IF(B58="","",K58/VLOOKUP(AD58,Varsayımlar!B:R,17,0)),"")</f>
        <v>7</v>
      </c>
      <c r="N58" s="80"/>
      <c r="O58" s="80">
        <v>9</v>
      </c>
      <c r="P58" s="80">
        <f>IF(B58="","",VLOOKUP(AD58,Varsayımlar!$B:$Q,7,0)*K58)</f>
        <v>6720</v>
      </c>
      <c r="Q58" s="80">
        <f>IF(B58="","",VLOOKUP(AD58,Varsayımlar!$B:$Q,8,0))</f>
        <v>25</v>
      </c>
      <c r="R58" s="80" t="str">
        <f>IF(B58="","",VLOOKUP(AD58,Varsayımlar!$B:$Q,9,0))</f>
        <v>Irak Soft</v>
      </c>
      <c r="S58" s="80">
        <f>IF(B58="","",VLOOKUP(AD58,Varsayımlar!$B:$Q,10,0))</f>
        <v>10</v>
      </c>
      <c r="T58" s="80">
        <f>IF(B58="","",VLOOKUP(AD58,Varsayımlar!$B:$Q,11,0))</f>
        <v>8</v>
      </c>
      <c r="U58" s="80">
        <f>IF(B58="","",VLOOKUP(AD58,Varsayımlar!$B:$Q,12,0))</f>
        <v>650</v>
      </c>
      <c r="V58" s="80" t="str">
        <f>IF(B58="","",VLOOKUP(AD58,Varsayımlar!$B:$Q,13,0))</f>
        <v>Yurtdışı</v>
      </c>
      <c r="W58" s="80">
        <f>IF(B58="","",VLOOKUP(AD58,Varsayımlar!$B:$Q,14,0))</f>
        <v>9</v>
      </c>
      <c r="X58" s="81"/>
      <c r="Y58" s="81"/>
      <c r="Z58" s="80"/>
      <c r="AA58" s="80" t="str">
        <f>IF(B58="","",VLOOKUP(AD58,Varsayımlar!$B:$Q,15,0))</f>
        <v>25cm Perforeli-Bulgarca TB etiket</v>
      </c>
      <c r="AB58" s="80" t="str">
        <f>IF(B58="","",VLOOKUP(AD58,Varsayımlar!$B:$Q,16,0))</f>
        <v>24-26 cm</v>
      </c>
      <c r="AC58" s="80" t="str">
        <f>IF(B58="","",VLOOKUP(Sayfa1!AD57,Varsayımlar!B:S,18,0))</f>
        <v>80x120cm -Epal+Epal</v>
      </c>
      <c r="AD58" s="57" t="str">
        <f>IF(B58="","",CONCATENATE(B58,E58))</f>
        <v>TASTE LAND-BULGARİSTANTortillas 25cm Tam Buğday 10pcs 650g</v>
      </c>
    </row>
    <row r="59" spans="1:30" ht="47.25" x14ac:dyDescent="0.25">
      <c r="A59" s="8" t="s">
        <v>88</v>
      </c>
      <c r="B59" s="80" t="s">
        <v>218</v>
      </c>
      <c r="C59" s="44">
        <f>IF(B59="","",VLOOKUP(AD59,Varsayımlar!$B:$Q,3,0))</f>
        <v>8698829380698</v>
      </c>
      <c r="D59" s="44" t="s">
        <v>160</v>
      </c>
      <c r="E59" s="80" t="s">
        <v>232</v>
      </c>
      <c r="F59" s="80">
        <v>26042907</v>
      </c>
      <c r="G59" s="44"/>
      <c r="H59" s="80" t="str">
        <f>IF(B59="","",VLOOKUP(AD59,Varsayımlar!$B:$Q,5,0))</f>
        <v>Tortillas Avrupa 25cm Domatesli (074)</v>
      </c>
      <c r="I59" s="80">
        <f>IF(B59="","",VLOOKUP(AD59,Varsayımlar!B:T,19,0))</f>
        <v>0</v>
      </c>
      <c r="J59" s="80" t="str">
        <f>IF(B59="","",VLOOKUP(AD59,Varsayımlar!$B:$Q,6,0))</f>
        <v>Domatesli</v>
      </c>
      <c r="K59" s="80">
        <v>480</v>
      </c>
      <c r="L59" s="80"/>
      <c r="M59" s="80">
        <f>IFERROR(IF(B59="","",K59/VLOOKUP(AD59,Varsayımlar!B:R,17,0)),"")</f>
        <v>4</v>
      </c>
      <c r="N59" s="80"/>
      <c r="O59" s="80">
        <v>5</v>
      </c>
      <c r="P59" s="80">
        <f>IF(B59="","",VLOOKUP(AD59,Varsayımlar!$B:$Q,7,0)*K59)</f>
        <v>5760</v>
      </c>
      <c r="Q59" s="80">
        <f>IF(B59="","",VLOOKUP(AD59,Varsayımlar!$B:$Q,8,0))</f>
        <v>25</v>
      </c>
      <c r="R59" s="80" t="str">
        <f>IF(B59="","",VLOOKUP(AD59,Varsayımlar!$B:$Q,9,0))</f>
        <v>Irak Soft</v>
      </c>
      <c r="S59" s="80">
        <f>IF(B59="","",VLOOKUP(AD59,Varsayımlar!$B:$Q,10,0))</f>
        <v>6</v>
      </c>
      <c r="T59" s="80">
        <f>IF(B59="","",VLOOKUP(AD59,Varsayımlar!$B:$Q,11,0))</f>
        <v>12</v>
      </c>
      <c r="U59" s="80">
        <f>IF(B59="","",VLOOKUP(AD59,Varsayımlar!$B:$Q,12,0))</f>
        <v>390</v>
      </c>
      <c r="V59" s="80" t="str">
        <f>IF(B59="","",VLOOKUP(AD59,Varsayımlar!$B:$Q,13,0))</f>
        <v>Yurtdışı</v>
      </c>
      <c r="W59" s="80">
        <f>IF(B59="","",VLOOKUP(AD59,Varsayımlar!$B:$Q,14,0))</f>
        <v>9</v>
      </c>
      <c r="X59" s="81"/>
      <c r="Y59" s="81"/>
      <c r="Z59" s="80"/>
      <c r="AA59" s="80" t="str">
        <f>IF(B59="","",VLOOKUP(AD59,Varsayımlar!$B:$Q,15,0))</f>
        <v>25cm Perforeli-Bulgarca Domatesli etiket</v>
      </c>
      <c r="AB59" s="80" t="str">
        <f>IF(B59="","",VLOOKUP(AD59,Varsayımlar!$B:$Q,16,0))</f>
        <v>24-26 cm</v>
      </c>
      <c r="AC59" s="80" t="str">
        <f>IF(B59="","",VLOOKUP(Sayfa1!AD58,Varsayımlar!B:S,18,0))</f>
        <v>80x120cm -Epal+Epal</v>
      </c>
      <c r="AD59" s="57" t="str">
        <f t="shared" ref="AD59:AD69" si="6">IF(B59="","",CONCATENATE(B59,E59))</f>
        <v>TASTE LAND-BULGARİSTANTortillas 25cm Domatesli 6pcs 390g</v>
      </c>
    </row>
    <row r="60" spans="1:30" ht="47.25" x14ac:dyDescent="0.25">
      <c r="A60" s="8" t="s">
        <v>89</v>
      </c>
      <c r="B60" s="80" t="s">
        <v>218</v>
      </c>
      <c r="C60" s="44">
        <f>IF(B60="","",VLOOKUP(AD60,Varsayımlar!$B:$Q,3,0))</f>
        <v>8698829380698</v>
      </c>
      <c r="D60" s="44" t="s">
        <v>160</v>
      </c>
      <c r="E60" s="80" t="s">
        <v>235</v>
      </c>
      <c r="F60" s="80">
        <v>26042907</v>
      </c>
      <c r="G60" s="44"/>
      <c r="H60" s="80" t="str">
        <f>IF(B60="","",VLOOKUP(AD60,Varsayımlar!$B:$Q,5,0))</f>
        <v>Tortillas Avrupa 25cm Ispanaklı (081)</v>
      </c>
      <c r="I60" s="80">
        <f>IF(B60="","",VLOOKUP(AD60,Varsayımlar!B:T,19,0))</f>
        <v>0</v>
      </c>
      <c r="J60" s="80" t="str">
        <f>IF(B60="","",VLOOKUP(AD60,Varsayımlar!$B:$Q,6,0))</f>
        <v>Ispanaklı</v>
      </c>
      <c r="K60" s="80">
        <v>480</v>
      </c>
      <c r="L60" s="80"/>
      <c r="M60" s="80">
        <f>IFERROR(IF(B60="","",K60/VLOOKUP(AD60,Varsayımlar!B:R,17,0)),"")</f>
        <v>4</v>
      </c>
      <c r="N60" s="80"/>
      <c r="O60" s="80">
        <v>5</v>
      </c>
      <c r="P60" s="80">
        <f>IF(B60="","",VLOOKUP(AD60,Varsayımlar!$B:$Q,7,0)*K60)</f>
        <v>5760</v>
      </c>
      <c r="Q60" s="80">
        <f>IF(B60="","",VLOOKUP(AD60,Varsayımlar!$B:$Q,8,0))</f>
        <v>25</v>
      </c>
      <c r="R60" s="80" t="str">
        <f>IF(B60="","",VLOOKUP(AD60,Varsayımlar!$B:$Q,9,0))</f>
        <v>Irak Soft</v>
      </c>
      <c r="S60" s="80">
        <f>IF(B60="","",VLOOKUP(AD60,Varsayımlar!$B:$Q,10,0))</f>
        <v>6</v>
      </c>
      <c r="T60" s="80">
        <f>IF(B60="","",VLOOKUP(AD60,Varsayımlar!$B:$Q,11,0))</f>
        <v>12</v>
      </c>
      <c r="U60" s="80">
        <f>IF(B60="","",VLOOKUP(AD60,Varsayımlar!$B:$Q,12,0))</f>
        <v>390</v>
      </c>
      <c r="V60" s="80" t="str">
        <f>IF(B60="","",VLOOKUP(AD60,Varsayımlar!$B:$Q,13,0))</f>
        <v>Yurtdışı</v>
      </c>
      <c r="W60" s="80">
        <f>IF(B60="","",VLOOKUP(AD60,Varsayımlar!$B:$Q,14,0))</f>
        <v>9</v>
      </c>
      <c r="X60" s="81"/>
      <c r="Y60" s="81"/>
      <c r="Z60" s="80"/>
      <c r="AA60" s="80" t="str">
        <f>IF(B60="","",VLOOKUP(AD60,Varsayımlar!$B:$Q,15,0))</f>
        <v>25cm Perforeli-Bulgarca Ispanaklı etiket</v>
      </c>
      <c r="AB60" s="80" t="str">
        <f>IF(B60="","",VLOOKUP(AD60,Varsayımlar!$B:$Q,16,0))</f>
        <v>24-26 cm</v>
      </c>
      <c r="AC60" s="80" t="str">
        <f>IF(B60="","",VLOOKUP(Sayfa1!AD59,Varsayımlar!B:S,18,0))</f>
        <v>80x120cm -Epal+Epal</v>
      </c>
      <c r="AD60" s="57" t="str">
        <f t="shared" si="6"/>
        <v>TASTE LAND-BULGARİSTANTortillas 25cm Ispanaklı 6pcs 390g</v>
      </c>
    </row>
    <row r="61" spans="1:30" ht="47.25" x14ac:dyDescent="0.25">
      <c r="A61" s="8" t="s">
        <v>90</v>
      </c>
      <c r="B61" s="80" t="s">
        <v>218</v>
      </c>
      <c r="C61" s="44">
        <f>IF(B61="","",VLOOKUP(AD61,Varsayımlar!$B:$Q,3,0))</f>
        <v>8698829380698</v>
      </c>
      <c r="D61" s="44" t="s">
        <v>160</v>
      </c>
      <c r="E61" s="80" t="s">
        <v>240</v>
      </c>
      <c r="F61" s="80">
        <v>26042907</v>
      </c>
      <c r="G61" s="44"/>
      <c r="H61" s="80" t="str">
        <f>IF(B61="","",VLOOKUP(AD61,Varsayımlar!$B:$Q,5,0))</f>
        <v>Tortillas Avrupa 25cm Peynirli (098)</v>
      </c>
      <c r="I61" s="80">
        <f>IF(B61="","",VLOOKUP(AD61,Varsayımlar!B:T,19,0))</f>
        <v>0</v>
      </c>
      <c r="J61" s="80" t="str">
        <f>IF(B61="","",VLOOKUP(AD61,Varsayımlar!$B:$Q,6,0))</f>
        <v>Peynirli</v>
      </c>
      <c r="K61" s="80">
        <v>360</v>
      </c>
      <c r="L61" s="80"/>
      <c r="M61" s="80">
        <f>IFERROR(IF(B61="","",K61/VLOOKUP(AD61,Varsayımlar!B:R,17,0)),"")</f>
        <v>3</v>
      </c>
      <c r="N61" s="80"/>
      <c r="O61" s="80">
        <v>4</v>
      </c>
      <c r="P61" s="80">
        <f>IF(B61="","",VLOOKUP(AD61,Varsayımlar!$B:$Q,7,0)*K61)</f>
        <v>4320</v>
      </c>
      <c r="Q61" s="80">
        <f>IF(B61="","",VLOOKUP(AD61,Varsayımlar!$B:$Q,8,0))</f>
        <v>25</v>
      </c>
      <c r="R61" s="80" t="str">
        <f>IF(B61="","",VLOOKUP(AD61,Varsayımlar!$B:$Q,9,0))</f>
        <v>Irak Soft-AT</v>
      </c>
      <c r="S61" s="80">
        <f>IF(B61="","",VLOOKUP(AD61,Varsayımlar!$B:$Q,10,0))</f>
        <v>6</v>
      </c>
      <c r="T61" s="80">
        <f>IF(B61="","",VLOOKUP(AD61,Varsayımlar!$B:$Q,11,0))</f>
        <v>12</v>
      </c>
      <c r="U61" s="80">
        <f>IF(B61="","",VLOOKUP(AD61,Varsayımlar!$B:$Q,12,0))</f>
        <v>390</v>
      </c>
      <c r="V61" s="80" t="str">
        <f>IF(B61="","",VLOOKUP(AD61,Varsayımlar!$B:$Q,13,0))</f>
        <v>Yurtdışı</v>
      </c>
      <c r="W61" s="80">
        <f>IF(B61="","",VLOOKUP(AD61,Varsayımlar!$B:$Q,14,0))</f>
        <v>9</v>
      </c>
      <c r="X61" s="81"/>
      <c r="Y61" s="81"/>
      <c r="Z61" s="80"/>
      <c r="AA61" s="80" t="str">
        <f>IF(B61="","",VLOOKUP(AD61,Varsayımlar!$B:$Q,15,0))</f>
        <v>25cm Perforeli-Bulgarca Peynirli etiket</v>
      </c>
      <c r="AB61" s="80" t="str">
        <f>IF(B61="","",VLOOKUP(AD61,Varsayımlar!$B:$Q,16,0))</f>
        <v>24-26 cm</v>
      </c>
      <c r="AC61" s="80" t="str">
        <f>IF(B61="","",VLOOKUP(Sayfa1!AD60,Varsayımlar!B:S,18,0))</f>
        <v>80x120cm -Epal+Epal</v>
      </c>
      <c r="AD61" s="57" t="str">
        <f t="shared" si="6"/>
        <v>TASTE LAND-BULGARİSTANTortillas 25cm Peynirli 6pcs 390g</v>
      </c>
    </row>
    <row r="62" spans="1:30" s="94" customFormat="1" ht="58.5" customHeight="1" x14ac:dyDescent="0.25">
      <c r="A62" s="8" t="s">
        <v>91</v>
      </c>
      <c r="B62" s="104" t="s">
        <v>119</v>
      </c>
      <c r="C62" s="105">
        <f>IF(B62="","",VLOOKUP(AD62,Varsayımlar!$B:$Q,3,0))</f>
        <v>8698829380698</v>
      </c>
      <c r="D62" s="105"/>
      <c r="E62" s="106" t="s">
        <v>120</v>
      </c>
      <c r="F62" s="104"/>
      <c r="G62" s="104"/>
      <c r="H62" s="104" t="str">
        <f>IF(B62="","",VLOOKUP(AD62,Varsayımlar!$B:$Q,5,0))</f>
        <v>Nimet 25 cm</v>
      </c>
      <c r="I62" s="104"/>
      <c r="J62" s="104" t="str">
        <f>IF(B62="","",VLOOKUP(AD62,Varsayımlar!$B:$Q,6,0))</f>
        <v>SADE</v>
      </c>
      <c r="K62" s="104">
        <v>4000</v>
      </c>
      <c r="L62" s="104"/>
      <c r="M62" s="104">
        <f>IFERROR(IF(B62="","",K62/VLOOKUP(AD62,Varsayımlar!B:R,17,0)),"")</f>
        <v>80</v>
      </c>
      <c r="N62" s="104"/>
      <c r="O62" s="104">
        <v>68</v>
      </c>
      <c r="P62" s="104">
        <f>IF(B62="","",VLOOKUP(AD62,Varsayımlar!$B:$Q,7,0)*K62)</f>
        <v>48000</v>
      </c>
      <c r="Q62" s="104">
        <f>IF(B62="","",VLOOKUP(AD62,Varsayımlar!$B:$Q,8,0))</f>
        <v>25</v>
      </c>
      <c r="R62" s="104" t="str">
        <f>IF(B62="","",VLOOKUP(AD62,Varsayımlar!$B:$Q,9,0))</f>
        <v>Standart</v>
      </c>
      <c r="S62" s="104">
        <f>IF(B62="","",VLOOKUP(AD62,Varsayımlar!$B:$Q,10,0))</f>
        <v>12</v>
      </c>
      <c r="T62" s="104">
        <f>IF(B62="","",VLOOKUP(AD62,Varsayımlar!$B:$Q,11,0))</f>
        <v>12</v>
      </c>
      <c r="U62" s="104">
        <f>IF(B62="","",VLOOKUP(AD62,Varsayımlar!$B:$Q,12,0))</f>
        <v>840</v>
      </c>
      <c r="V62" s="104" t="str">
        <f>IF(B62="","",VLOOKUP(AD62,Varsayımlar!$B:$Q,13,0))</f>
        <v>YURTİÇİ</v>
      </c>
      <c r="W62" s="104">
        <f>IF(B62="","",VLOOKUP(AD62,Varsayımlar!$B:$Q,14,0))</f>
        <v>5</v>
      </c>
      <c r="X62" s="107" t="s">
        <v>113</v>
      </c>
      <c r="Y62" s="107" t="s">
        <v>113</v>
      </c>
      <c r="Z62" s="104" t="s">
        <v>113</v>
      </c>
      <c r="AA62" s="104" t="str">
        <f>IF(B62="","",VLOOKUP(AD62,Varsayımlar!$B:$Q,15,0))</f>
        <v>Nimet Kolisi</v>
      </c>
      <c r="AB62" s="104" t="str">
        <f>IF(B62="","",VLOOKUP(AD62,Varsayımlar!$B:$Q,16,0))</f>
        <v>24-26 CM</v>
      </c>
      <c r="AC62" s="104" t="s">
        <v>360</v>
      </c>
      <c r="AD62" s="93" t="str">
        <f t="shared" si="6"/>
        <v>A101Nimet 25cm 12 pcs 840g</v>
      </c>
    </row>
    <row r="63" spans="1:30" ht="31.5" x14ac:dyDescent="0.25">
      <c r="A63" s="8" t="s">
        <v>92</v>
      </c>
      <c r="B63" s="75" t="s">
        <v>218</v>
      </c>
      <c r="C63" s="43">
        <f>IF(B63="","",VLOOKUP(AD63,Varsayımlar!$B:$Q,3,0))</f>
        <v>8698829380698</v>
      </c>
      <c r="D63" s="43" t="s">
        <v>161</v>
      </c>
      <c r="E63" s="75" t="s">
        <v>228</v>
      </c>
      <c r="F63" s="75" t="s">
        <v>341</v>
      </c>
      <c r="G63" s="43"/>
      <c r="H63" s="75" t="str">
        <f>IF(B63="","",VLOOKUP(AD63,Varsayımlar!$B:$Q,5,0))</f>
        <v>Tortillas Avrupa 25cm (698)</v>
      </c>
      <c r="I63" s="75">
        <f>IF(B63="","",VLOOKUP(AD63,Varsayımlar!B:T,19,0))</f>
        <v>0</v>
      </c>
      <c r="J63" s="75" t="str">
        <f>IF(B63="","",VLOOKUP(AD63,Varsayımlar!$B:$Q,6,0))</f>
        <v>SADE</v>
      </c>
      <c r="K63" s="75">
        <v>720</v>
      </c>
      <c r="L63" s="75"/>
      <c r="M63" s="75">
        <f>IFERROR(IF(B63="","",K63/VLOOKUP(AD63,Varsayımlar!B:R,17,0)),"")</f>
        <v>6</v>
      </c>
      <c r="N63" s="75"/>
      <c r="O63" s="75">
        <v>7</v>
      </c>
      <c r="P63" s="75">
        <f>IF(B63="","",VLOOKUP(AD63,Varsayımlar!$B:$Q,7,0)*K63)</f>
        <v>5760</v>
      </c>
      <c r="Q63" s="75">
        <f>IF(B63="","",VLOOKUP(AD63,Varsayımlar!$B:$Q,8,0))</f>
        <v>25</v>
      </c>
      <c r="R63" s="75" t="str">
        <f>IF(B63="","",VLOOKUP(AD63,Varsayımlar!$B:$Q,9,0))</f>
        <v>Irak Soft</v>
      </c>
      <c r="S63" s="75">
        <f>IF(B63="","",VLOOKUP(AD63,Varsayımlar!$B:$Q,10,0))</f>
        <v>10</v>
      </c>
      <c r="T63" s="75">
        <f>IF(B63="","",VLOOKUP(AD63,Varsayımlar!$B:$Q,11,0))</f>
        <v>8</v>
      </c>
      <c r="U63" s="75">
        <f>IF(B63="","",VLOOKUP(AD63,Varsayımlar!$B:$Q,12,0))</f>
        <v>650</v>
      </c>
      <c r="V63" s="75" t="str">
        <f>IF(B63="","",VLOOKUP(AD63,Varsayımlar!$B:$Q,13,0))</f>
        <v>Yurtdışı</v>
      </c>
      <c r="W63" s="75">
        <f>IF(B63="","",VLOOKUP(AD63,Varsayımlar!$B:$Q,14,0))</f>
        <v>9</v>
      </c>
      <c r="X63" s="76"/>
      <c r="Y63" s="76"/>
      <c r="Z63" s="75"/>
      <c r="AA63" s="75" t="str">
        <f>IF(B63="","",VLOOKUP(AD63,Varsayımlar!$B:$Q,15,0))</f>
        <v>25cm Perforeli-Bulgarca etiket</v>
      </c>
      <c r="AB63" s="75" t="str">
        <f>IF(B63="","",VLOOKUP(AD63,Varsayımlar!$B:$Q,16,0))</f>
        <v>24-26 cm</v>
      </c>
      <c r="AC63" s="75" t="str">
        <f>IF(B63="","",VLOOKUP(Sayfa1!AD61,Varsayımlar!B:S,18,0))</f>
        <v>80x120cm -Epal+Epal</v>
      </c>
      <c r="AD63" s="57" t="str">
        <f t="shared" si="6"/>
        <v>TASTE LAND-BULGARİSTANTortillas 25cm Sade 10pcs 650g</v>
      </c>
    </row>
    <row r="64" spans="1:30" ht="47.25" x14ac:dyDescent="0.25">
      <c r="A64" s="8" t="s">
        <v>93</v>
      </c>
      <c r="B64" s="75" t="s">
        <v>218</v>
      </c>
      <c r="C64" s="43">
        <f>IF(B64="","",VLOOKUP(AD64,Varsayımlar!$B:$Q,3,0))</f>
        <v>8698829380698</v>
      </c>
      <c r="D64" s="43" t="s">
        <v>161</v>
      </c>
      <c r="E64" s="75" t="s">
        <v>250</v>
      </c>
      <c r="F64" s="75" t="s">
        <v>341</v>
      </c>
      <c r="G64" s="43"/>
      <c r="H64" s="75" t="str">
        <f>IF(B64="","",VLOOKUP(AD64,Varsayımlar!$B:$Q,5,0))</f>
        <v>Tortillas Avrupa 25cm (698)</v>
      </c>
      <c r="I64" s="75" t="str">
        <f>IF(B64="","",VLOOKUP(AD64,Varsayımlar!B:T,19,0))</f>
        <v>Barkod üzerine Barkod Etiketi (050)</v>
      </c>
      <c r="J64" s="75" t="str">
        <f>IF(B64="","",VLOOKUP(AD64,Varsayımlar!$B:$Q,6,0))</f>
        <v>SADE</v>
      </c>
      <c r="K64" s="75">
        <v>168</v>
      </c>
      <c r="L64" s="75"/>
      <c r="M64" s="75">
        <f>IFERROR(IF(B64="","",K64/VLOOKUP(AD64,Varsayımlar!B:R,17,0)),"")</f>
        <v>2</v>
      </c>
      <c r="N64" s="75"/>
      <c r="O64" s="75">
        <v>3</v>
      </c>
      <c r="P64" s="75">
        <f>IF(B64="","",VLOOKUP(AD64,Varsayımlar!$B:$Q,7,0)*K64)</f>
        <v>3024</v>
      </c>
      <c r="Q64" s="75">
        <f>IF(B64="","",VLOOKUP(AD64,Varsayımlar!$B:$Q,8,0))</f>
        <v>25</v>
      </c>
      <c r="R64" s="75" t="str">
        <f>IF(B64="","",VLOOKUP(AD64,Varsayımlar!$B:$Q,9,0))</f>
        <v>Irak Soft</v>
      </c>
      <c r="S64" s="75">
        <f>IF(B64="","",VLOOKUP(AD64,Varsayımlar!$B:$Q,10,0))</f>
        <v>6</v>
      </c>
      <c r="T64" s="75">
        <f>IF(B64="","",VLOOKUP(AD64,Varsayımlar!$B:$Q,11,0))</f>
        <v>18</v>
      </c>
      <c r="U64" s="75">
        <f>IF(B64="","",VLOOKUP(AD64,Varsayımlar!$B:$Q,12,0))</f>
        <v>390</v>
      </c>
      <c r="V64" s="75" t="str">
        <f>IF(B64="","",VLOOKUP(AD64,Varsayımlar!$B:$Q,13,0))</f>
        <v>Yurtdışı</v>
      </c>
      <c r="W64" s="75">
        <f>IF(B64="","",VLOOKUP(AD64,Varsayımlar!$B:$Q,14,0))</f>
        <v>9</v>
      </c>
      <c r="X64" s="76"/>
      <c r="Y64" s="76"/>
      <c r="Z64" s="75"/>
      <c r="AA64" s="75" t="str">
        <f>IF(B64="","",VLOOKUP(AD64,Varsayımlar!$B:$Q,15,0))</f>
        <v>25cm Kırmızı koli-Bulgarca Etiket</v>
      </c>
      <c r="AB64" s="75" t="str">
        <f>IF(B64="","",VLOOKUP(AD64,Varsayımlar!$B:$Q,16,0))</f>
        <v>24-26 cm</v>
      </c>
      <c r="AC64" s="75" t="str">
        <f>IF(B64="","",VLOOKUP(Sayfa1!AD62,Varsayımlar!B:S,18,0))</f>
        <v>80x120cm -Epal+Epal</v>
      </c>
      <c r="AD64" s="57" t="str">
        <f t="shared" si="6"/>
        <v>TASTE LAND-BULGARİSTANTortillas 25cm Sade 6pcs 390g</v>
      </c>
    </row>
    <row r="65" spans="1:30" ht="31.5" x14ac:dyDescent="0.25">
      <c r="A65" s="8" t="s">
        <v>135</v>
      </c>
      <c r="B65" s="75" t="s">
        <v>218</v>
      </c>
      <c r="C65" s="43">
        <f>IF(B65="","",VLOOKUP(AD65,Varsayımlar!$B:$Q,3,0))</f>
        <v>8698829380698</v>
      </c>
      <c r="D65" s="43" t="s">
        <v>161</v>
      </c>
      <c r="E65" s="75" t="s">
        <v>229</v>
      </c>
      <c r="F65" s="75" t="s">
        <v>341</v>
      </c>
      <c r="G65" s="43"/>
      <c r="H65" s="75" t="str">
        <f>IF(B65="","",VLOOKUP(AD65,Varsayımlar!$B:$Q,5,0))</f>
        <v>Tortillas Avrupa 25cm Tam Buğday (711)</v>
      </c>
      <c r="I65" s="75">
        <f>IF(B65="","",VLOOKUP(AD65,Varsayımlar!B:T,19,0))</f>
        <v>0</v>
      </c>
      <c r="J65" s="75" t="str">
        <f>IF(B65="","",VLOOKUP(AD65,Varsayımlar!$B:$Q,6,0))</f>
        <v>Tam Buğdaylı</v>
      </c>
      <c r="K65" s="75">
        <v>840</v>
      </c>
      <c r="L65" s="75"/>
      <c r="M65" s="75">
        <f>IFERROR(IF(B65="","",K65/VLOOKUP(AD65,Varsayımlar!B:R,17,0)),"")</f>
        <v>7</v>
      </c>
      <c r="N65" s="75"/>
      <c r="O65" s="75">
        <v>9</v>
      </c>
      <c r="P65" s="75">
        <f>IF(B65="","",VLOOKUP(AD65,Varsayımlar!$B:$Q,7,0)*K65)</f>
        <v>6720</v>
      </c>
      <c r="Q65" s="75">
        <f>IF(B65="","",VLOOKUP(AD65,Varsayımlar!$B:$Q,8,0))</f>
        <v>25</v>
      </c>
      <c r="R65" s="75" t="str">
        <f>IF(B65="","",VLOOKUP(AD65,Varsayımlar!$B:$Q,9,0))</f>
        <v>Irak Soft</v>
      </c>
      <c r="S65" s="75">
        <f>IF(B65="","",VLOOKUP(AD65,Varsayımlar!$B:$Q,10,0))</f>
        <v>10</v>
      </c>
      <c r="T65" s="75">
        <f>IF(B65="","",VLOOKUP(AD65,Varsayımlar!$B:$Q,11,0))</f>
        <v>8</v>
      </c>
      <c r="U65" s="75">
        <f>IF(B65="","",VLOOKUP(AD65,Varsayımlar!$B:$Q,12,0))</f>
        <v>650</v>
      </c>
      <c r="V65" s="75" t="str">
        <f>IF(B65="","",VLOOKUP(AD65,Varsayımlar!$B:$Q,13,0))</f>
        <v>Yurtdışı</v>
      </c>
      <c r="W65" s="75">
        <f>IF(B65="","",VLOOKUP(AD65,Varsayımlar!$B:$Q,14,0))</f>
        <v>9</v>
      </c>
      <c r="X65" s="76"/>
      <c r="Y65" s="76"/>
      <c r="Z65" s="75"/>
      <c r="AA65" s="75" t="str">
        <f>IF(B65="","",VLOOKUP(AD65,Varsayımlar!$B:$Q,15,0))</f>
        <v>25cm Perforeli-Bulgarca TB etiket</v>
      </c>
      <c r="AB65" s="75" t="str">
        <f>IF(B65="","",VLOOKUP(AD65,Varsayımlar!$B:$Q,16,0))</f>
        <v>24-26 cm</v>
      </c>
      <c r="AC65" s="75" t="str">
        <f>IF(B65="","",VLOOKUP(Sayfa1!AD63,Varsayımlar!B:S,18,0))</f>
        <v>80x120cm -Epal+Epal</v>
      </c>
      <c r="AD65" s="57" t="str">
        <f t="shared" si="6"/>
        <v>TASTE LAND-BULGARİSTANTortillas 25cm Tam Buğday 10pcs 650g</v>
      </c>
    </row>
    <row r="66" spans="1:30" ht="47.25" x14ac:dyDescent="0.25">
      <c r="A66" s="8" t="s">
        <v>136</v>
      </c>
      <c r="B66" s="75" t="s">
        <v>218</v>
      </c>
      <c r="C66" s="43">
        <f>IF(B66="","",VLOOKUP(AD66,Varsayımlar!$B:$Q,3,0))</f>
        <v>8698829380698</v>
      </c>
      <c r="D66" s="43" t="s">
        <v>161</v>
      </c>
      <c r="E66" s="75" t="s">
        <v>251</v>
      </c>
      <c r="F66" s="75" t="s">
        <v>341</v>
      </c>
      <c r="G66" s="43"/>
      <c r="H66" s="75" t="str">
        <f>IF(B66="","",VLOOKUP(AD66,Varsayımlar!$B:$Q,5,0))</f>
        <v>Tortillas Avrupa 25cm TB (711)</v>
      </c>
      <c r="I66" s="75" t="str">
        <f>IF(B66="","",VLOOKUP(AD66,Varsayımlar!B:T,19,0))</f>
        <v>Barkod üzerine Barkod Etiketi (067)</v>
      </c>
      <c r="J66" s="75" t="str">
        <f>IF(B66="","",VLOOKUP(AD66,Varsayımlar!$B:$Q,6,0))</f>
        <v>Tam Buğdaylı</v>
      </c>
      <c r="K66" s="75">
        <v>84</v>
      </c>
      <c r="L66" s="75"/>
      <c r="M66" s="75">
        <f>IFERROR(IF(B66="","",K66/VLOOKUP(AD66,Varsayımlar!B:R,17,0)),"")</f>
        <v>1</v>
      </c>
      <c r="N66" s="75"/>
      <c r="O66" s="75">
        <v>2</v>
      </c>
      <c r="P66" s="75">
        <f>IF(B66="","",VLOOKUP(AD66,Varsayımlar!$B:$Q,7,0)*K66)</f>
        <v>1512</v>
      </c>
      <c r="Q66" s="75">
        <f>IF(B66="","",VLOOKUP(AD66,Varsayımlar!$B:$Q,8,0))</f>
        <v>25</v>
      </c>
      <c r="R66" s="75" t="str">
        <f>IF(B66="","",VLOOKUP(AD66,Varsayımlar!$B:$Q,9,0))</f>
        <v>Irak Soft</v>
      </c>
      <c r="S66" s="75">
        <f>IF(B66="","",VLOOKUP(AD66,Varsayımlar!$B:$Q,10,0))</f>
        <v>6</v>
      </c>
      <c r="T66" s="75">
        <f>IF(B66="","",VLOOKUP(AD66,Varsayımlar!$B:$Q,11,0))</f>
        <v>18</v>
      </c>
      <c r="U66" s="75">
        <f>IF(B66="","",VLOOKUP(AD66,Varsayımlar!$B:$Q,12,0))</f>
        <v>390</v>
      </c>
      <c r="V66" s="75" t="str">
        <f>IF(B66="","",VLOOKUP(AD66,Varsayımlar!$B:$Q,13,0))</f>
        <v>Yurtdışı</v>
      </c>
      <c r="W66" s="75">
        <f>IF(B66="","",VLOOKUP(AD66,Varsayımlar!$B:$Q,14,0))</f>
        <v>9</v>
      </c>
      <c r="X66" s="76"/>
      <c r="Y66" s="76"/>
      <c r="Z66" s="75"/>
      <c r="AA66" s="75" t="str">
        <f>IF(B66="","",VLOOKUP(AD66,Varsayımlar!$B:$Q,15,0))</f>
        <v>25cm Kırmızı koli-Bulgarca TB Etiket</v>
      </c>
      <c r="AB66" s="75" t="str">
        <f>IF(B66="","",VLOOKUP(AD66,Varsayımlar!$B:$Q,16,0))</f>
        <v>24-26 cm</v>
      </c>
      <c r="AC66" s="75" t="str">
        <f>IF(B66="","",VLOOKUP(Sayfa1!AD64,Varsayımlar!B:S,18,0))</f>
        <v>80x120cm -Epal+Epal</v>
      </c>
      <c r="AD66" s="57" t="str">
        <f t="shared" si="6"/>
        <v>TASTE LAND-BULGARİSTANTortillas 25cm TB 6pcs 390g</v>
      </c>
    </row>
    <row r="67" spans="1:30" ht="47.25" x14ac:dyDescent="0.25">
      <c r="A67" s="8" t="s">
        <v>137</v>
      </c>
      <c r="B67" s="75" t="s">
        <v>218</v>
      </c>
      <c r="C67" s="43">
        <f>IF(B67="","",VLOOKUP(AD67,Varsayımlar!$B:$Q,3,0))</f>
        <v>8698829380698</v>
      </c>
      <c r="D67" s="43" t="s">
        <v>161</v>
      </c>
      <c r="E67" s="75" t="s">
        <v>232</v>
      </c>
      <c r="F67" s="75" t="s">
        <v>341</v>
      </c>
      <c r="G67" s="43"/>
      <c r="H67" s="75" t="str">
        <f>IF(B67="","",VLOOKUP(AD67,Varsayımlar!$B:$Q,5,0))</f>
        <v>Tortillas Avrupa 25cm Domatesli (074)</v>
      </c>
      <c r="I67" s="75">
        <f>IF(B67="","",VLOOKUP(AD67,Varsayımlar!B:T,19,0))</f>
        <v>0</v>
      </c>
      <c r="J67" s="75" t="str">
        <f>IF(B67="","",VLOOKUP(AD67,Varsayımlar!$B:$Q,6,0))</f>
        <v>Domatesli</v>
      </c>
      <c r="K67" s="75">
        <v>240</v>
      </c>
      <c r="L67" s="75"/>
      <c r="M67" s="75">
        <f>IFERROR(IF(B67="","",K67/VLOOKUP(AD67,Varsayımlar!B:R,17,0)),"")</f>
        <v>2</v>
      </c>
      <c r="N67" s="75"/>
      <c r="O67" s="75">
        <v>3</v>
      </c>
      <c r="P67" s="75">
        <f>IF(B67="","",VLOOKUP(AD67,Varsayımlar!$B:$Q,7,0)*K67)</f>
        <v>2880</v>
      </c>
      <c r="Q67" s="75">
        <f>IF(B67="","",VLOOKUP(AD67,Varsayımlar!$B:$Q,8,0))</f>
        <v>25</v>
      </c>
      <c r="R67" s="75" t="str">
        <f>IF(B67="","",VLOOKUP(AD67,Varsayımlar!$B:$Q,9,0))</f>
        <v>Irak Soft</v>
      </c>
      <c r="S67" s="75">
        <f>IF(B67="","",VLOOKUP(AD67,Varsayımlar!$B:$Q,10,0))</f>
        <v>6</v>
      </c>
      <c r="T67" s="75">
        <f>IF(B67="","",VLOOKUP(AD67,Varsayımlar!$B:$Q,11,0))</f>
        <v>12</v>
      </c>
      <c r="U67" s="75">
        <f>IF(B67="","",VLOOKUP(AD67,Varsayımlar!$B:$Q,12,0))</f>
        <v>390</v>
      </c>
      <c r="V67" s="75" t="str">
        <f>IF(B67="","",VLOOKUP(AD67,Varsayımlar!$B:$Q,13,0))</f>
        <v>Yurtdışı</v>
      </c>
      <c r="W67" s="75">
        <f>IF(B67="","",VLOOKUP(AD67,Varsayımlar!$B:$Q,14,0))</f>
        <v>9</v>
      </c>
      <c r="X67" s="76"/>
      <c r="Y67" s="76"/>
      <c r="Z67" s="75"/>
      <c r="AA67" s="75" t="str">
        <f>IF(B67="","",VLOOKUP(AD67,Varsayımlar!$B:$Q,15,0))</f>
        <v>25cm Perforeli-Bulgarca Domatesli etiket</v>
      </c>
      <c r="AB67" s="75" t="str">
        <f>IF(B67="","",VLOOKUP(AD67,Varsayımlar!$B:$Q,16,0))</f>
        <v>24-26 cm</v>
      </c>
      <c r="AC67" s="75" t="str">
        <f>IF(B67="","",VLOOKUP(Sayfa1!AD65,Varsayımlar!B:S,18,0))</f>
        <v>80x120cm -Epal+Epal</v>
      </c>
      <c r="AD67" s="57" t="str">
        <f t="shared" si="6"/>
        <v>TASTE LAND-BULGARİSTANTortillas 25cm Domatesli 6pcs 390g</v>
      </c>
    </row>
    <row r="68" spans="1:30" ht="47.25" x14ac:dyDescent="0.25">
      <c r="A68" s="8" t="s">
        <v>138</v>
      </c>
      <c r="B68" s="75" t="s">
        <v>218</v>
      </c>
      <c r="C68" s="43">
        <f>IF(B68="","",VLOOKUP(AD68,Varsayımlar!$B:$Q,3,0))</f>
        <v>8698829380698</v>
      </c>
      <c r="D68" s="43" t="s">
        <v>161</v>
      </c>
      <c r="E68" s="75" t="s">
        <v>235</v>
      </c>
      <c r="F68" s="75" t="s">
        <v>341</v>
      </c>
      <c r="G68" s="43"/>
      <c r="H68" s="75" t="str">
        <f>IF(B68="","",VLOOKUP(AD68,Varsayımlar!$B:$Q,5,0))</f>
        <v>Tortillas Avrupa 25cm Ispanaklı (081)</v>
      </c>
      <c r="I68" s="75">
        <f>IF(B68="","",VLOOKUP(AD68,Varsayımlar!B:T,19,0))</f>
        <v>0</v>
      </c>
      <c r="J68" s="75" t="str">
        <f>IF(B68="","",VLOOKUP(AD68,Varsayımlar!$B:$Q,6,0))</f>
        <v>Ispanaklı</v>
      </c>
      <c r="K68" s="75">
        <v>240</v>
      </c>
      <c r="L68" s="75"/>
      <c r="M68" s="75">
        <f>IFERROR(IF(B68="","",K68/VLOOKUP(AD68,Varsayımlar!B:R,17,0)),"")</f>
        <v>2</v>
      </c>
      <c r="N68" s="75"/>
      <c r="O68" s="75">
        <v>3</v>
      </c>
      <c r="P68" s="75">
        <f>IF(B68="","",VLOOKUP(AD68,Varsayımlar!$B:$Q,7,0)*K68)</f>
        <v>2880</v>
      </c>
      <c r="Q68" s="75">
        <f>IF(B68="","",VLOOKUP(AD68,Varsayımlar!$B:$Q,8,0))</f>
        <v>25</v>
      </c>
      <c r="R68" s="75" t="str">
        <f>IF(B68="","",VLOOKUP(AD68,Varsayımlar!$B:$Q,9,0))</f>
        <v>Irak Soft</v>
      </c>
      <c r="S68" s="75">
        <f>IF(B68="","",VLOOKUP(AD68,Varsayımlar!$B:$Q,10,0))</f>
        <v>6</v>
      </c>
      <c r="T68" s="75">
        <f>IF(B68="","",VLOOKUP(AD68,Varsayımlar!$B:$Q,11,0))</f>
        <v>12</v>
      </c>
      <c r="U68" s="75">
        <f>IF(B68="","",VLOOKUP(AD68,Varsayımlar!$B:$Q,12,0))</f>
        <v>390</v>
      </c>
      <c r="V68" s="75" t="str">
        <f>IF(B68="","",VLOOKUP(AD68,Varsayımlar!$B:$Q,13,0))</f>
        <v>Yurtdışı</v>
      </c>
      <c r="W68" s="75">
        <f>IF(B68="","",VLOOKUP(AD68,Varsayımlar!$B:$Q,14,0))</f>
        <v>9</v>
      </c>
      <c r="X68" s="76"/>
      <c r="Y68" s="76"/>
      <c r="Z68" s="75"/>
      <c r="AA68" s="75" t="str">
        <f>IF(B68="","",VLOOKUP(AD68,Varsayımlar!$B:$Q,15,0))</f>
        <v>25cm Perforeli-Bulgarca Ispanaklı etiket</v>
      </c>
      <c r="AB68" s="75" t="str">
        <f>IF(B68="","",VLOOKUP(AD68,Varsayımlar!$B:$Q,16,0))</f>
        <v>24-26 cm</v>
      </c>
      <c r="AC68" s="75" t="str">
        <f>IF(B68="","",VLOOKUP(Sayfa1!AD66,Varsayımlar!B:S,18,0))</f>
        <v>80x120cm -Epal+Epal</v>
      </c>
      <c r="AD68" s="57" t="str">
        <f t="shared" si="6"/>
        <v>TASTE LAND-BULGARİSTANTortillas 25cm Ispanaklı 6pcs 390g</v>
      </c>
    </row>
    <row r="69" spans="1:30" ht="47.25" x14ac:dyDescent="0.25">
      <c r="A69" s="8" t="s">
        <v>139</v>
      </c>
      <c r="B69" s="75" t="s">
        <v>218</v>
      </c>
      <c r="C69" s="43">
        <f>IF(B69="","",VLOOKUP(AD69,Varsayımlar!$B:$Q,3,0))</f>
        <v>8698829380698</v>
      </c>
      <c r="D69" s="43" t="s">
        <v>161</v>
      </c>
      <c r="E69" s="75" t="s">
        <v>240</v>
      </c>
      <c r="F69" s="75" t="s">
        <v>341</v>
      </c>
      <c r="G69" s="43"/>
      <c r="H69" s="75" t="str">
        <f>IF(B69="","",VLOOKUP(AD69,Varsayımlar!$B:$Q,5,0))</f>
        <v>Tortillas Avrupa 25cm Peynirli (098)</v>
      </c>
      <c r="I69" s="75">
        <f>IF(B69="","",VLOOKUP(AD69,Varsayımlar!B:T,19,0))</f>
        <v>0</v>
      </c>
      <c r="J69" s="75" t="str">
        <f>IF(B69="","",VLOOKUP(AD69,Varsayımlar!$B:$Q,6,0))</f>
        <v>Peynirli</v>
      </c>
      <c r="K69" s="75">
        <v>120</v>
      </c>
      <c r="L69" s="75"/>
      <c r="M69" s="75">
        <f>IFERROR(IF(B69="","",K69/VLOOKUP(AD69,Varsayımlar!B:R,17,0)),"")</f>
        <v>1</v>
      </c>
      <c r="N69" s="75"/>
      <c r="O69" s="75">
        <v>2</v>
      </c>
      <c r="P69" s="75">
        <f>IF(B69="","",VLOOKUP(AD69,Varsayımlar!$B:$Q,7,0)*K69)</f>
        <v>1440</v>
      </c>
      <c r="Q69" s="75">
        <f>IF(B69="","",VLOOKUP(AD69,Varsayımlar!$B:$Q,8,0))</f>
        <v>25</v>
      </c>
      <c r="R69" s="75" t="str">
        <f>IF(B69="","",VLOOKUP(AD69,Varsayımlar!$B:$Q,9,0))</f>
        <v>Irak Soft-AT</v>
      </c>
      <c r="S69" s="75">
        <f>IF(B69="","",VLOOKUP(AD69,Varsayımlar!$B:$Q,10,0))</f>
        <v>6</v>
      </c>
      <c r="T69" s="75">
        <f>IF(B69="","",VLOOKUP(AD69,Varsayımlar!$B:$Q,11,0))</f>
        <v>12</v>
      </c>
      <c r="U69" s="75">
        <f>IF(B69="","",VLOOKUP(AD69,Varsayımlar!$B:$Q,12,0))</f>
        <v>390</v>
      </c>
      <c r="V69" s="75" t="str">
        <f>IF(B69="","",VLOOKUP(AD69,Varsayımlar!$B:$Q,13,0))</f>
        <v>Yurtdışı</v>
      </c>
      <c r="W69" s="75">
        <f>IF(B69="","",VLOOKUP(AD69,Varsayımlar!$B:$Q,14,0))</f>
        <v>9</v>
      </c>
      <c r="X69" s="76"/>
      <c r="Y69" s="76"/>
      <c r="Z69" s="75"/>
      <c r="AA69" s="75" t="str">
        <f>IF(B69="","",VLOOKUP(AD69,Varsayımlar!$B:$Q,15,0))</f>
        <v>25cm Perforeli-Bulgarca Peynirli etiket</v>
      </c>
      <c r="AB69" s="75" t="str">
        <f>IF(B69="","",VLOOKUP(AD69,Varsayımlar!$B:$Q,16,0))</f>
        <v>24-26 cm</v>
      </c>
      <c r="AC69" s="75" t="str">
        <f>IF(B69="","",VLOOKUP(Sayfa1!AD67,Varsayımlar!B:S,18,0))</f>
        <v>80x120cm -Epal+Epal</v>
      </c>
      <c r="AD69" s="57" t="str">
        <f t="shared" si="6"/>
        <v>TASTE LAND-BULGARİSTANTortillas 25cm Peynirli 6pcs 390g</v>
      </c>
    </row>
    <row r="70" spans="1:30" x14ac:dyDescent="0.25">
      <c r="A70" s="8" t="s">
        <v>140</v>
      </c>
      <c r="B70" s="67"/>
      <c r="C70" s="42" t="str">
        <f>IF(B70="","",VLOOKUP(AD70,Varsayımlar!$B:$Q,3,0))</f>
        <v/>
      </c>
      <c r="D70" s="42"/>
      <c r="E70" s="42"/>
      <c r="F70" s="67"/>
      <c r="G70" s="67"/>
      <c r="H70" s="67" t="str">
        <f>IF(B70="","",VLOOKUP(AD70,Varsayımlar!$B:$Q,5,0))</f>
        <v/>
      </c>
      <c r="I70" s="67"/>
      <c r="J70" s="67" t="str">
        <f>IF(B70="","",VLOOKUP(AD70,Varsayımlar!$B:$Q,6,0))</f>
        <v/>
      </c>
      <c r="K70" s="67"/>
      <c r="L70" s="67"/>
      <c r="M70" s="67" t="str">
        <f>IFERROR(IF(B70="","",K70/VLOOKUP(AD70,Varsayımlar!B:R,17,0)),"")</f>
        <v/>
      </c>
      <c r="N70" s="67"/>
      <c r="O70" s="67"/>
      <c r="P70" s="67" t="str">
        <f>IF(B70="","",VLOOKUP(AD70,Varsayımlar!$B:$Q,7,0)*K70)</f>
        <v/>
      </c>
      <c r="Q70" s="67" t="str">
        <f>IF(B70="","",VLOOKUP(AD70,Varsayımlar!$B:$Q,8,0))</f>
        <v/>
      </c>
      <c r="R70" s="67" t="str">
        <f>IF(B70="","",VLOOKUP(AD70,Varsayımlar!$B:$Q,9,0))</f>
        <v/>
      </c>
      <c r="S70" s="67" t="str">
        <f>IF(B70="","",VLOOKUP(AD70,Varsayımlar!$B:$Q,10,0))</f>
        <v/>
      </c>
      <c r="T70" s="67" t="str">
        <f>IF(B70="","",VLOOKUP(AD70,Varsayımlar!$B:$Q,11,0))</f>
        <v/>
      </c>
      <c r="U70" s="67" t="str">
        <f>IF(B70="","",VLOOKUP(AD70,Varsayımlar!$B:$Q,12,0))</f>
        <v/>
      </c>
      <c r="V70" s="67" t="str">
        <f>IF(B70="","",VLOOKUP(AD70,Varsayımlar!$B:$Q,13,0))</f>
        <v/>
      </c>
      <c r="W70" s="67" t="str">
        <f>IF(B70="","",VLOOKUP(AD70,Varsayımlar!$B:$Q,14,0))</f>
        <v/>
      </c>
      <c r="X70" s="69"/>
      <c r="Y70" s="69"/>
      <c r="Z70" s="67"/>
      <c r="AA70" s="67" t="str">
        <f>IF(B70="","",VLOOKUP(AD70,Varsayımlar!$B:$Q,15,0))</f>
        <v/>
      </c>
      <c r="AB70" s="67" t="str">
        <f>IF(B70="","",VLOOKUP(AD70,Varsayımlar!$B:$Q,16,0))</f>
        <v/>
      </c>
      <c r="AC70" s="67"/>
      <c r="AD70" s="57" t="str">
        <f t="shared" ref="AD70:AD74" si="7">IF(B70="","",CONCATENATE(B70,E70))</f>
        <v/>
      </c>
    </row>
    <row r="71" spans="1:30" x14ac:dyDescent="0.25">
      <c r="A71" s="8" t="s">
        <v>141</v>
      </c>
      <c r="B71" s="67"/>
      <c r="C71" s="42" t="str">
        <f>IF(B71="","",VLOOKUP(AD71,Varsayımlar!$B:$Q,3,0))</f>
        <v/>
      </c>
      <c r="D71" s="42"/>
      <c r="E71" s="42"/>
      <c r="F71" s="67"/>
      <c r="G71" s="67"/>
      <c r="H71" s="67" t="str">
        <f>IF(B71="","",VLOOKUP(AD71,Varsayımlar!$B:$Q,5,0))</f>
        <v/>
      </c>
      <c r="I71" s="67"/>
      <c r="J71" s="67" t="str">
        <f>IF(B71="","",VLOOKUP(AD71,Varsayımlar!$B:$Q,6,0))</f>
        <v/>
      </c>
      <c r="K71" s="67"/>
      <c r="L71" s="67"/>
      <c r="M71" s="67" t="str">
        <f>IFERROR(IF(B71="","",K71/VLOOKUP(AD71,Varsayımlar!B:R,17,0)),"")</f>
        <v/>
      </c>
      <c r="N71" s="67"/>
      <c r="O71" s="67"/>
      <c r="P71" s="67" t="str">
        <f>IF(B71="","",VLOOKUP(AD71,Varsayımlar!$B:$Q,7,0)*K71)</f>
        <v/>
      </c>
      <c r="Q71" s="67" t="str">
        <f>IF(B71="","",VLOOKUP(AD71,Varsayımlar!$B:$Q,8,0))</f>
        <v/>
      </c>
      <c r="R71" s="67" t="str">
        <f>IF(B71="","",VLOOKUP(AD71,Varsayımlar!$B:$Q,9,0))</f>
        <v/>
      </c>
      <c r="S71" s="67" t="str">
        <f>IF(B71="","",VLOOKUP(AD71,Varsayımlar!$B:$Q,10,0))</f>
        <v/>
      </c>
      <c r="T71" s="67" t="str">
        <f>IF(B71="","",VLOOKUP(AD71,Varsayımlar!$B:$Q,11,0))</f>
        <v/>
      </c>
      <c r="U71" s="67" t="str">
        <f>IF(B71="","",VLOOKUP(AD71,Varsayımlar!$B:$Q,12,0))</f>
        <v/>
      </c>
      <c r="V71" s="67" t="str">
        <f>IF(B71="","",VLOOKUP(AD71,Varsayımlar!$B:$Q,13,0))</f>
        <v/>
      </c>
      <c r="W71" s="67" t="str">
        <f>IF(B71="","",VLOOKUP(AD71,Varsayımlar!$B:$Q,14,0))</f>
        <v/>
      </c>
      <c r="X71" s="69"/>
      <c r="Y71" s="69"/>
      <c r="Z71" s="67"/>
      <c r="AA71" s="67" t="str">
        <f>IF(B71="","",VLOOKUP(AD71,Varsayımlar!$B:$Q,15,0))</f>
        <v/>
      </c>
      <c r="AB71" s="67" t="str">
        <f>IF(B71="","",VLOOKUP(AD71,Varsayımlar!$B:$Q,16,0))</f>
        <v/>
      </c>
      <c r="AC71" s="67"/>
      <c r="AD71" s="57" t="str">
        <f t="shared" si="7"/>
        <v/>
      </c>
    </row>
    <row r="72" spans="1:30" x14ac:dyDescent="0.25">
      <c r="A72" s="8" t="s">
        <v>142</v>
      </c>
      <c r="B72" s="67"/>
      <c r="C72" s="42" t="str">
        <f>IF(B72="","",VLOOKUP(AD72,Varsayımlar!$B:$Q,3,0))</f>
        <v/>
      </c>
      <c r="D72" s="42"/>
      <c r="E72" s="42"/>
      <c r="F72" s="67"/>
      <c r="G72" s="67"/>
      <c r="H72" s="67" t="str">
        <f>IF(B72="","",VLOOKUP(AD72,Varsayımlar!$B:$Q,5,0))</f>
        <v/>
      </c>
      <c r="I72" s="67"/>
      <c r="J72" s="67" t="str">
        <f>IF(B72="","",VLOOKUP(AD72,Varsayımlar!$B:$Q,6,0))</f>
        <v/>
      </c>
      <c r="K72" s="67"/>
      <c r="L72" s="67"/>
      <c r="M72" s="67" t="str">
        <f>IFERROR(IF(B72="","",K72/VLOOKUP(AD72,Varsayımlar!B:R,17,0)),"")</f>
        <v/>
      </c>
      <c r="N72" s="67"/>
      <c r="O72" s="67"/>
      <c r="P72" s="67" t="str">
        <f>IF(B72="","",VLOOKUP(AD72,Varsayımlar!$B:$Q,7,0)*K72)</f>
        <v/>
      </c>
      <c r="Q72" s="67" t="str">
        <f>IF(B72="","",VLOOKUP(AD72,Varsayımlar!$B:$Q,8,0))</f>
        <v/>
      </c>
      <c r="R72" s="67" t="str">
        <f>IF(B72="","",VLOOKUP(AD72,Varsayımlar!$B:$Q,9,0))</f>
        <v/>
      </c>
      <c r="S72" s="67" t="str">
        <f>IF(B72="","",VLOOKUP(AD72,Varsayımlar!$B:$Q,10,0))</f>
        <v/>
      </c>
      <c r="T72" s="67" t="str">
        <f>IF(B72="","",VLOOKUP(AD72,Varsayımlar!$B:$Q,11,0))</f>
        <v/>
      </c>
      <c r="U72" s="67" t="str">
        <f>IF(B72="","",VLOOKUP(AD72,Varsayımlar!$B:$Q,12,0))</f>
        <v/>
      </c>
      <c r="V72" s="67" t="str">
        <f>IF(B72="","",VLOOKUP(AD72,Varsayımlar!$B:$Q,13,0))</f>
        <v/>
      </c>
      <c r="W72" s="67" t="str">
        <f>IF(B72="","",VLOOKUP(AD72,Varsayımlar!$B:$Q,14,0))</f>
        <v/>
      </c>
      <c r="X72" s="69"/>
      <c r="Y72" s="69"/>
      <c r="Z72" s="67"/>
      <c r="AA72" s="67" t="str">
        <f>IF(B72="","",VLOOKUP(AD72,Varsayımlar!$B:$Q,15,0))</f>
        <v/>
      </c>
      <c r="AB72" s="67" t="str">
        <f>IF(B72="","",VLOOKUP(AD72,Varsayımlar!$B:$Q,16,0))</f>
        <v/>
      </c>
      <c r="AC72" s="67"/>
      <c r="AD72" s="57" t="str">
        <f t="shared" si="7"/>
        <v/>
      </c>
    </row>
    <row r="73" spans="1:30" x14ac:dyDescent="0.25">
      <c r="A73" s="8" t="s">
        <v>143</v>
      </c>
      <c r="B73" s="67"/>
      <c r="C73" s="42" t="str">
        <f>IF(B73="","",VLOOKUP(AD73,Varsayımlar!$B:$Q,3,0))</f>
        <v/>
      </c>
      <c r="D73" s="42"/>
      <c r="E73" s="42"/>
      <c r="F73" s="67"/>
      <c r="G73" s="67"/>
      <c r="H73" s="67" t="str">
        <f>IF(B73="","",VLOOKUP(AD73,Varsayımlar!$B:$Q,5,0))</f>
        <v/>
      </c>
      <c r="I73" s="67"/>
      <c r="J73" s="67" t="str">
        <f>IF(B73="","",VLOOKUP(AD73,Varsayımlar!$B:$Q,6,0))</f>
        <v/>
      </c>
      <c r="K73" s="67"/>
      <c r="L73" s="67"/>
      <c r="M73" s="67" t="str">
        <f>IFERROR(IF(B73="","",K73/VLOOKUP(AD73,Varsayımlar!B:R,17,0)),"")</f>
        <v/>
      </c>
      <c r="N73" s="67"/>
      <c r="O73" s="67"/>
      <c r="P73" s="67" t="str">
        <f>IF(B73="","",VLOOKUP(AD73,Varsayımlar!$B:$Q,7,0)*K73)</f>
        <v/>
      </c>
      <c r="Q73" s="67" t="str">
        <f>IF(B73="","",VLOOKUP(AD73,Varsayımlar!$B:$Q,8,0))</f>
        <v/>
      </c>
      <c r="R73" s="67" t="str">
        <f>IF(B73="","",VLOOKUP(AD73,Varsayımlar!$B:$Q,9,0))</f>
        <v/>
      </c>
      <c r="S73" s="67" t="str">
        <f>IF(B73="","",VLOOKUP(AD73,Varsayımlar!$B:$Q,10,0))</f>
        <v/>
      </c>
      <c r="T73" s="67" t="str">
        <f>IF(B73="","",VLOOKUP(AD73,Varsayımlar!$B:$Q,11,0))</f>
        <v/>
      </c>
      <c r="U73" s="67" t="str">
        <f>IF(B73="","",VLOOKUP(AD73,Varsayımlar!$B:$Q,12,0))</f>
        <v/>
      </c>
      <c r="V73" s="67" t="str">
        <f>IF(B73="","",VLOOKUP(AD73,Varsayımlar!$B:$Q,13,0))</f>
        <v/>
      </c>
      <c r="W73" s="67" t="str">
        <f>IF(B73="","",VLOOKUP(AD73,Varsayımlar!$B:$Q,14,0))</f>
        <v/>
      </c>
      <c r="X73" s="69"/>
      <c r="Y73" s="69"/>
      <c r="Z73" s="67"/>
      <c r="AA73" s="67" t="str">
        <f>IF(B73="","",VLOOKUP(AD73,Varsayımlar!$B:$Q,15,0))</f>
        <v/>
      </c>
      <c r="AB73" s="67" t="str">
        <f>IF(B73="","",VLOOKUP(AD73,Varsayımlar!$B:$Q,16,0))</f>
        <v/>
      </c>
      <c r="AC73" s="67"/>
      <c r="AD73" s="57" t="str">
        <f t="shared" si="7"/>
        <v/>
      </c>
    </row>
    <row r="74" spans="1:30" x14ac:dyDescent="0.25">
      <c r="C74" s="53" t="str">
        <f>IF(B74="","",VLOOKUP(AD74,Varsayımlar!$B:$Q,3,0))</f>
        <v/>
      </c>
      <c r="H74" s="7" t="str">
        <f>IF(B74="","",VLOOKUP(AD74,Varsayımlar!$B:$Q,5,0))</f>
        <v/>
      </c>
      <c r="J74" s="7" t="str">
        <f>IF(B74="","",VLOOKUP(AD74,Varsayımlar!$B:$Q,6,0))</f>
        <v/>
      </c>
      <c r="P74" s="7" t="str">
        <f>IF(B74="","",VLOOKUP(AD74,Varsayımlar!$B:$Q,7,0)*K74)</f>
        <v/>
      </c>
      <c r="Q74" s="7" t="str">
        <f>IF(B74="","",VLOOKUP(AD74,Varsayımlar!$B:$Q,8,0))</f>
        <v/>
      </c>
      <c r="R74" s="7" t="str">
        <f>IF(B74="","",VLOOKUP(AD74,Varsayımlar!$B:$Q,9,0))</f>
        <v/>
      </c>
      <c r="S74" s="7" t="str">
        <f>IF(B74="","",VLOOKUP(AD74,Varsayımlar!$B:$Q,10,0))</f>
        <v/>
      </c>
      <c r="T74" s="7" t="str">
        <f>IF(B74="","",VLOOKUP(AD74,Varsayımlar!$B:$Q,11,0))</f>
        <v/>
      </c>
      <c r="U74" s="7" t="str">
        <f>IF(B74="","",VLOOKUP(AD74,Varsayımlar!$B:$Q,12,0))</f>
        <v/>
      </c>
      <c r="V74" s="7" t="str">
        <f>IF(B74="","",VLOOKUP(AD74,Varsayımlar!$B:$Q,13,0))</f>
        <v/>
      </c>
      <c r="W74" s="7" t="str">
        <f>IF(B74="","",VLOOKUP(AD74,Varsayımlar!$B:$Q,14,0))</f>
        <v/>
      </c>
      <c r="AA74" s="7" t="str">
        <f>IF(B74="","",VLOOKUP(AD74,Varsayımlar!$B:$Q,15,0))</f>
        <v/>
      </c>
      <c r="AB74" s="7" t="str">
        <f>IF(B74="","",VLOOKUP(AD74,Varsayımlar!$B:$Q,16,0))</f>
        <v/>
      </c>
      <c r="AD74" s="7" t="str">
        <f t="shared" si="7"/>
        <v/>
      </c>
    </row>
    <row r="75" spans="1:30" ht="31.5" customHeight="1" x14ac:dyDescent="0.25">
      <c r="A75" s="182" t="s">
        <v>345</v>
      </c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4"/>
      <c r="AC75" s="38"/>
    </row>
    <row r="76" spans="1:30" ht="63" x14ac:dyDescent="0.25">
      <c r="A76" s="8" t="s">
        <v>0</v>
      </c>
      <c r="B76" s="8" t="s">
        <v>1</v>
      </c>
      <c r="C76" s="9" t="s">
        <v>31</v>
      </c>
      <c r="D76" s="9" t="s">
        <v>124</v>
      </c>
      <c r="E76" s="9" t="s">
        <v>36</v>
      </c>
      <c r="F76" s="8" t="s">
        <v>37</v>
      </c>
      <c r="G76" s="8" t="s">
        <v>13</v>
      </c>
      <c r="H76" s="8" t="s">
        <v>2</v>
      </c>
      <c r="I76" s="8" t="s">
        <v>49</v>
      </c>
      <c r="J76" s="8" t="s">
        <v>3</v>
      </c>
      <c r="K76" s="8" t="s">
        <v>21</v>
      </c>
      <c r="L76" s="8" t="s">
        <v>94</v>
      </c>
      <c r="M76" s="8" t="s">
        <v>20</v>
      </c>
      <c r="N76" s="8" t="s">
        <v>165</v>
      </c>
      <c r="O76" s="8" t="s">
        <v>123</v>
      </c>
      <c r="P76" s="8" t="s">
        <v>16</v>
      </c>
      <c r="Q76" s="8" t="s">
        <v>4</v>
      </c>
      <c r="R76" s="8" t="s">
        <v>5</v>
      </c>
      <c r="S76" s="8" t="s">
        <v>6</v>
      </c>
      <c r="T76" s="8" t="s">
        <v>28</v>
      </c>
      <c r="U76" s="8" t="s">
        <v>7</v>
      </c>
      <c r="V76" s="8" t="s">
        <v>8</v>
      </c>
      <c r="W76" s="8" t="s">
        <v>9</v>
      </c>
      <c r="X76" s="8" t="s">
        <v>10</v>
      </c>
      <c r="Y76" s="8" t="s">
        <v>11</v>
      </c>
      <c r="Z76" s="8" t="s">
        <v>12</v>
      </c>
      <c r="AA76" s="8" t="s">
        <v>14</v>
      </c>
      <c r="AB76" s="8" t="s">
        <v>15</v>
      </c>
      <c r="AC76" s="8" t="s">
        <v>208</v>
      </c>
      <c r="AD76" s="7" t="s">
        <v>41</v>
      </c>
    </row>
    <row r="77" spans="1:30" ht="94.5" x14ac:dyDescent="0.25">
      <c r="A77" s="8" t="s">
        <v>26</v>
      </c>
      <c r="B77" s="58" t="s">
        <v>256</v>
      </c>
      <c r="C77" s="40">
        <f>IF(B77="","",VLOOKUP(AD77,Varsayımlar!$B:$Q,3,0))</f>
        <v>8698829380698</v>
      </c>
      <c r="D77" s="40"/>
      <c r="E77" s="58" t="s">
        <v>257</v>
      </c>
      <c r="F77" s="58"/>
      <c r="G77" s="58"/>
      <c r="H77" s="58" t="str">
        <f>IF(B77="","",VLOOKUP(AD77,Varsayımlar!$B:$Q,5,0))</f>
        <v>Tortillas 26cm Pizza</v>
      </c>
      <c r="I77" s="58">
        <f>IF(B77="","",VLOOKUP(AD77,Varsayımlar!B:T,19,0))</f>
        <v>0</v>
      </c>
      <c r="J77" s="58" t="str">
        <f>IF(B77="","",VLOOKUP(AD77,Varsayımlar!$B:$Q,6,0))</f>
        <v>SADE</v>
      </c>
      <c r="K77" s="58">
        <v>40</v>
      </c>
      <c r="L77" s="58"/>
      <c r="M77" s="58" t="str">
        <f>IFERROR(IF(B77="","",K77/VLOOKUP(AD77,Varsayımlar!B:R,17,0)),"")</f>
        <v/>
      </c>
      <c r="N77" s="58"/>
      <c r="O77" s="58">
        <v>1</v>
      </c>
      <c r="P77" s="58">
        <f>IF(B77="","",VLOOKUP(AD77,Varsayımlar!$B:$Q,7,0)*K77)</f>
        <v>240</v>
      </c>
      <c r="Q77" s="58">
        <f>IF(B77="","",VLOOKUP(AD77,Varsayımlar!$B:$Q,8,0))</f>
        <v>26</v>
      </c>
      <c r="R77" s="58" t="str">
        <f>IF(B77="","",VLOOKUP(AD77,Varsayımlar!$B:$Q,9,0))</f>
        <v>Irak Soft</v>
      </c>
      <c r="S77" s="58">
        <f>IF(B77="","",VLOOKUP(AD77,Varsayımlar!$B:$Q,10,0))</f>
        <v>4</v>
      </c>
      <c r="T77" s="58">
        <f>IF(B77="","",VLOOKUP(AD77,Varsayımlar!$B:$Q,11,0))</f>
        <v>6</v>
      </c>
      <c r="U77" s="58">
        <f>IF(B77="","",VLOOKUP(AD77,Varsayımlar!$B:$Q,12,0))</f>
        <v>480</v>
      </c>
      <c r="V77" s="58" t="str">
        <f>IF(B77="","",VLOOKUP(AD77,Varsayımlar!$B:$Q,13,0))</f>
        <v>Yurtiçi</v>
      </c>
      <c r="W77" s="58">
        <f>IF(B77="","",VLOOKUP(AD77,Varsayımlar!$B:$Q,14,0))</f>
        <v>6</v>
      </c>
      <c r="X77" s="60" t="s">
        <v>113</v>
      </c>
      <c r="Y77" s="60" t="s">
        <v>113</v>
      </c>
      <c r="Z77" s="60" t="s">
        <v>113</v>
      </c>
      <c r="AA77" s="58" t="str">
        <f>IF(B77="","",VLOOKUP(AD77,Varsayımlar!$B:$Q,15,0))</f>
        <v>Pizza kolisi</v>
      </c>
      <c r="AB77" s="58" t="str">
        <f>IF(B77="","",VLOOKUP(AD77,Varsayımlar!$B:$Q,16,0))</f>
        <v>26 cm kesme -Beze 145-150g, Kesilmmeiş çap 27-28cm, Kesilmemiş ağı: 520-540g, Kesilmiş:475-485g</v>
      </c>
      <c r="AC77" s="64" t="str">
        <f>IF(B77="","",VLOOKUP(Sayfa1!AD78,Varsayımlar!B:S,18,0))</f>
        <v>80x120cm</v>
      </c>
      <c r="AD77" s="57" t="str">
        <f>IF(B77="","",CONCATENATE(B77,E77))</f>
        <v>Ankara KahveTortillas 26cm Pizza 4pcs 480g</v>
      </c>
    </row>
    <row r="78" spans="1:30" ht="94.5" x14ac:dyDescent="0.25">
      <c r="A78" s="8" t="s">
        <v>77</v>
      </c>
      <c r="B78" s="62" t="s">
        <v>218</v>
      </c>
      <c r="C78" s="32">
        <f>IF(B78="","",VLOOKUP(AD78,Varsayımlar!$B:$Q,3,0))</f>
        <v>8698829380698</v>
      </c>
      <c r="D78" s="32" t="s">
        <v>159</v>
      </c>
      <c r="E78" s="62" t="s">
        <v>244</v>
      </c>
      <c r="F78" s="62">
        <v>26042906</v>
      </c>
      <c r="G78" s="32"/>
      <c r="H78" s="62" t="str">
        <f>IF(B78="","",VLOOKUP(AD78,Varsayımlar!$B:$Q,5,0))</f>
        <v>Tortillas Avrupa Pizza 26cm (742)</v>
      </c>
      <c r="I78" s="62">
        <f>IF(B78="","",VLOOKUP(AD78,Varsayımlar!B:T,19,0))</f>
        <v>0</v>
      </c>
      <c r="J78" s="62" t="str">
        <f>IF(B78="","",VLOOKUP(AD78,Varsayımlar!$B:$Q,6,0))</f>
        <v>SADE</v>
      </c>
      <c r="K78" s="62">
        <v>720</v>
      </c>
      <c r="L78" s="62">
        <v>6</v>
      </c>
      <c r="M78" s="62">
        <f>IFERROR(IF(B78="","",K78/VLOOKUP(AD78,Varsayımlar!B:R,17,0)),"")</f>
        <v>6</v>
      </c>
      <c r="N78" s="62">
        <v>120</v>
      </c>
      <c r="O78" s="62">
        <v>9</v>
      </c>
      <c r="P78" s="62">
        <f>IF(B78="","",VLOOKUP(AD78,Varsayımlar!$B:$Q,7,0)*K78)</f>
        <v>5760</v>
      </c>
      <c r="Q78" s="62">
        <f>IF(B78="","",VLOOKUP(AD78,Varsayımlar!$B:$Q,8,0))</f>
        <v>26</v>
      </c>
      <c r="R78" s="62" t="str">
        <f>IF(B78="","",VLOOKUP(AD78,Varsayımlar!$B:$Q,9,0))</f>
        <v>Irak Soft</v>
      </c>
      <c r="S78" s="62">
        <f>IF(B78="","",VLOOKUP(AD78,Varsayımlar!$B:$Q,10,0))</f>
        <v>4</v>
      </c>
      <c r="T78" s="62">
        <f>IF(B78="","",VLOOKUP(AD78,Varsayımlar!$B:$Q,11,0))</f>
        <v>8</v>
      </c>
      <c r="U78" s="62">
        <f>IF(B78="","",VLOOKUP(AD78,Varsayımlar!$B:$Q,12,0))</f>
        <v>480</v>
      </c>
      <c r="V78" s="62" t="str">
        <f>IF(B78="","",VLOOKUP(AD78,Varsayımlar!$B:$Q,13,0))</f>
        <v>Yurtdışı</v>
      </c>
      <c r="W78" s="62">
        <f>IF(B78="","",VLOOKUP(AD78,Varsayımlar!$B:$Q,14,0))</f>
        <v>9</v>
      </c>
      <c r="X78" s="63">
        <v>46183</v>
      </c>
      <c r="Y78" s="63">
        <v>46456</v>
      </c>
      <c r="Z78" s="62">
        <v>26061026</v>
      </c>
      <c r="AA78" s="62" t="str">
        <f>IF(B78="","",VLOOKUP(AD78,Varsayımlar!$B:$Q,15,0))</f>
        <v>26cm Pizza Perforeli-Bulgarca Etiket</v>
      </c>
      <c r="AB78" s="62" t="str">
        <f>IF(B78="","",VLOOKUP(AD78,Varsayımlar!$B:$Q,16,0))</f>
        <v>26 cm kesme -Beze 145-150g, Kesilmmeiş çap 27-28cm, Kesilmemiş ağı: 520-540g, Kesilmiş:475-485g</v>
      </c>
      <c r="AC78" s="62" t="str">
        <f>IF(B78="","",VLOOKUP(Sayfa1!AD79,Varsayımlar!B:S,18,0))</f>
        <v>80x120cm -Epal+Epal</v>
      </c>
      <c r="AD78" s="57" t="str">
        <f>IF(B78="","",CONCATENATE(B78,E78))</f>
        <v>TASTE LAND-BULGARİSTANTortillas Pizza 26cm 4pcs 480g</v>
      </c>
    </row>
    <row r="79" spans="1:30" ht="31.5" x14ac:dyDescent="0.25">
      <c r="A79" s="8" t="s">
        <v>78</v>
      </c>
      <c r="B79" s="54" t="s">
        <v>321</v>
      </c>
      <c r="C79" s="39">
        <f>IF(B79="","",VLOOKUP(AD79,Varsayımlar!$B:$Q,3,0))</f>
        <v>8698829380698</v>
      </c>
      <c r="D79" s="39"/>
      <c r="E79" s="54" t="s">
        <v>329</v>
      </c>
      <c r="F79" s="54"/>
      <c r="G79" s="54"/>
      <c r="H79" s="54" t="str">
        <f>IF(B79="","",VLOOKUP(AD79,Varsayımlar!$B:$Q,5,0))</f>
        <v>Baskısız 15 cm</v>
      </c>
      <c r="I79" s="54" t="str">
        <f>IF(B79="","",VLOOKUP(AD79,Varsayımlar!B:T,19,0))</f>
        <v>Lana 15cm 8pcs 220g Yuvarlak</v>
      </c>
      <c r="J79" s="54" t="str">
        <f>IF(B79="","",VLOOKUP(AD79,Varsayımlar!$B:$Q,6,0))</f>
        <v>SADE</v>
      </c>
      <c r="K79" s="54">
        <v>250</v>
      </c>
      <c r="L79" s="54">
        <v>9</v>
      </c>
      <c r="M79" s="54" t="str">
        <f>IFERROR(IF(B79="","",K79/VLOOKUP(AD79,Varsayımlar!B:R,17,0)),"")</f>
        <v/>
      </c>
      <c r="N79" s="54"/>
      <c r="O79" s="54">
        <v>8</v>
      </c>
      <c r="P79" s="54">
        <f>IF(B79="","",VLOOKUP(AD79,Varsayımlar!$B:$Q,7,0)*K79)</f>
        <v>3500</v>
      </c>
      <c r="Q79" s="54">
        <f>IF(B79="","",VLOOKUP(AD79,Varsayımlar!$B:$Q,8,0))</f>
        <v>15</v>
      </c>
      <c r="R79" s="54" t="str">
        <f>IF(B79="","",VLOOKUP(AD79,Varsayımlar!$B:$Q,9,0))</f>
        <v>Irak Soft</v>
      </c>
      <c r="S79" s="54">
        <f>IF(B79="","",VLOOKUP(AD79,Varsayımlar!$B:$Q,10,0))</f>
        <v>8</v>
      </c>
      <c r="T79" s="54">
        <f>IF(B79="","",VLOOKUP(AD79,Varsayımlar!$B:$Q,11,0))</f>
        <v>14</v>
      </c>
      <c r="U79" s="54">
        <f>IF(B79="","",VLOOKUP(AD79,Varsayımlar!$B:$Q,12,0))</f>
        <v>220</v>
      </c>
      <c r="V79" s="54" t="str">
        <f>IF(B79="","",VLOOKUP(AD79,Varsayımlar!$B:$Q,13,0))</f>
        <v>Yurtdışı</v>
      </c>
      <c r="W79" s="54">
        <f>IF(B79="","",VLOOKUP(AD79,Varsayımlar!$B:$Q,14,0))</f>
        <v>6</v>
      </c>
      <c r="X79" s="56">
        <v>46185</v>
      </c>
      <c r="Y79" s="56">
        <v>46368</v>
      </c>
      <c r="Z79" s="54">
        <v>26061215</v>
      </c>
      <c r="AA79" s="54" t="str">
        <f>IF(B79="","",VLOOKUP(AD79,Varsayımlar!$B:$Q,15,0))</f>
        <v>15cm koli</v>
      </c>
      <c r="AB79" s="54" t="str">
        <f>IF(B79="","",VLOOKUP(AD79,Varsayımlar!$B:$Q,16,0))</f>
        <v>24-26 cm (Inkjet ile Bilgiler Atılacak)</v>
      </c>
      <c r="AC79" s="64">
        <f>IF(B79="","",VLOOKUP(Sayfa1!AD75,Varsayımlar!B:S,18,0))</f>
        <v>0</v>
      </c>
      <c r="AD79" s="57" t="str">
        <f t="shared" ref="AD79" si="8">IF(B79="","",CONCATENATE(B79,E79))</f>
        <v>Gülbahar CompanyBaskısız 15cm Sade 8pcs 220g</v>
      </c>
    </row>
    <row r="80" spans="1:30" ht="36" customHeight="1" x14ac:dyDescent="0.25">
      <c r="A80" s="8" t="s">
        <v>79</v>
      </c>
      <c r="B80" s="84" t="s">
        <v>119</v>
      </c>
      <c r="C80" s="83">
        <f>IF(B80="","",VLOOKUP(AD80,Varsayımlar!$B:$Q,3,0))</f>
        <v>8698829380698</v>
      </c>
      <c r="D80" s="83"/>
      <c r="E80" s="84" t="s">
        <v>120</v>
      </c>
      <c r="F80" s="84"/>
      <c r="G80" s="84"/>
      <c r="H80" s="84" t="str">
        <f>IF(B80="","",VLOOKUP(AD80,Varsayımlar!$B:$Q,5,0))</f>
        <v>Nimet 25 cm</v>
      </c>
      <c r="I80" s="84">
        <f>IF(B80="","",VLOOKUP(AD80,Varsayımlar!B:T,19,0))</f>
        <v>0</v>
      </c>
      <c r="J80" s="84" t="str">
        <f>IF(B80="","",VLOOKUP(AD80,Varsayımlar!$B:$Q,6,0))</f>
        <v>SADE</v>
      </c>
      <c r="K80" s="84">
        <v>4000</v>
      </c>
      <c r="L80" s="84"/>
      <c r="M80" s="84">
        <f>IFERROR(IF(B80="","",K80/VLOOKUP(AD80,Varsayımlar!B:R,17,0)),"")</f>
        <v>80</v>
      </c>
      <c r="N80" s="84">
        <v>50</v>
      </c>
      <c r="O80" s="84">
        <v>145</v>
      </c>
      <c r="P80" s="84">
        <f>IF(B80="","",VLOOKUP(AD80,Varsayımlar!$B:$Q,7,0)*K80)</f>
        <v>48000</v>
      </c>
      <c r="Q80" s="84">
        <f>IF(B80="","",VLOOKUP(AD80,Varsayımlar!$B:$Q,8,0))</f>
        <v>25</v>
      </c>
      <c r="R80" s="84" t="str">
        <f>IF(B80="","",VLOOKUP(AD80,Varsayımlar!$B:$Q,9,0))</f>
        <v>Standart</v>
      </c>
      <c r="S80" s="84">
        <f>IF(B80="","",VLOOKUP(AD80,Varsayımlar!$B:$Q,10,0))</f>
        <v>12</v>
      </c>
      <c r="T80" s="84">
        <f>IF(B80="","",VLOOKUP(AD80,Varsayımlar!$B:$Q,11,0))</f>
        <v>12</v>
      </c>
      <c r="U80" s="84">
        <f>IF(B80="","",VLOOKUP(AD80,Varsayımlar!$B:$Q,12,0))</f>
        <v>840</v>
      </c>
      <c r="V80" s="84" t="str">
        <f>IF(B80="","",VLOOKUP(AD80,Varsayımlar!$B:$Q,13,0))</f>
        <v>YURTİÇİ</v>
      </c>
      <c r="W80" s="84">
        <f>IF(B80="","",VLOOKUP(AD80,Varsayımlar!$B:$Q,14,0))</f>
        <v>5</v>
      </c>
      <c r="X80" s="85" t="s">
        <v>113</v>
      </c>
      <c r="Y80" s="85" t="s">
        <v>113</v>
      </c>
      <c r="Z80" s="85" t="s">
        <v>113</v>
      </c>
      <c r="AA80" s="84" t="str">
        <f>IF(B80="","",VLOOKUP(AD80,Varsayımlar!$B:$Q,15,0))</f>
        <v>Nimet Kolisi</v>
      </c>
      <c r="AB80" s="84" t="str">
        <f>IF(B80="","",VLOOKUP(AD80,Varsayımlar!$B:$Q,16,0))</f>
        <v>24-26 CM</v>
      </c>
      <c r="AC80" s="64">
        <f>IF(B80="","",VLOOKUP(Sayfa1!AD76,Varsayımlar!B:S,18,0))</f>
        <v>0</v>
      </c>
      <c r="AD80" s="57" t="str">
        <f t="shared" ref="AD80:AD95" si="9">IF(B80="","",CONCATENATE(B80,E80))</f>
        <v>A101Nimet 25cm 12 pcs 840g</v>
      </c>
    </row>
    <row r="81" spans="1:30" ht="47.25" x14ac:dyDescent="0.25">
      <c r="A81" s="8" t="s">
        <v>80</v>
      </c>
      <c r="B81" s="67" t="s">
        <v>268</v>
      </c>
      <c r="C81" s="42">
        <f>IF(B81="","",VLOOKUP(AD81,Varsayımlar!$B:$Q,3,0))</f>
        <v>8698829380698</v>
      </c>
      <c r="D81" s="42" t="s">
        <v>159</v>
      </c>
      <c r="E81" s="42" t="s">
        <v>244</v>
      </c>
      <c r="F81" s="67">
        <v>20250825</v>
      </c>
      <c r="G81" s="42" t="s">
        <v>68</v>
      </c>
      <c r="H81" s="67" t="str">
        <f>IF(B81="","",VLOOKUP(AD81,Varsayımlar!$B:$Q,5,0))</f>
        <v xml:space="preserve">Tortillas Pizza 26cm </v>
      </c>
      <c r="I81" s="67">
        <f>IF(B81="","",VLOOKUP(AD81,Varsayımlar!B:T,19,0))</f>
        <v>0</v>
      </c>
      <c r="J81" s="67" t="str">
        <f>IF(B81="","",VLOOKUP(AD81,Varsayımlar!$B:$Q,6,0))</f>
        <v>SADE</v>
      </c>
      <c r="K81" s="67">
        <v>960</v>
      </c>
      <c r="L81" s="67"/>
      <c r="M81" s="67">
        <f>IFERROR(IF(B81="","",K81/VLOOKUP(AD81,Varsayımlar!B:R,17,0)),"")</f>
        <v>5</v>
      </c>
      <c r="N81" s="67"/>
      <c r="O81" s="67">
        <v>11</v>
      </c>
      <c r="P81" s="67">
        <f>IF(B81="","",VLOOKUP(AD81,Varsayımlar!$B:$Q,7,0)*K81)</f>
        <v>11520</v>
      </c>
      <c r="Q81" s="67">
        <f>IF(B81="","",VLOOKUP(AD81,Varsayımlar!$B:$Q,8,0))</f>
        <v>26</v>
      </c>
      <c r="R81" s="67" t="str">
        <f>IF(B81="","",VLOOKUP(AD81,Varsayımlar!$B:$Q,9,0))</f>
        <v>Soft-PA3</v>
      </c>
      <c r="S81" s="67">
        <f>IF(B81="","",VLOOKUP(AD81,Varsayımlar!$B:$Q,10,0))</f>
        <v>2</v>
      </c>
      <c r="T81" s="67">
        <f>IF(B81="","",VLOOKUP(AD81,Varsayımlar!$B:$Q,11,0))</f>
        <v>12</v>
      </c>
      <c r="U81" s="67">
        <f>IF(B81="","",VLOOKUP(AD81,Varsayımlar!$B:$Q,12,0))</f>
        <v>240</v>
      </c>
      <c r="V81" s="67" t="str">
        <f>IF(B81="","",VLOOKUP(AD81,Varsayımlar!$B:$Q,13,0))</f>
        <v>Yurtdışı</v>
      </c>
      <c r="W81" s="67">
        <f>IF(B81="","",VLOOKUP(AD81,Varsayımlar!$B:$Q,14,0))</f>
        <v>9</v>
      </c>
      <c r="X81" s="69"/>
      <c r="Y81" s="69"/>
      <c r="Z81" s="67"/>
      <c r="AA81" s="67" t="str">
        <f>IF(B81="","",VLOOKUP(AD81,Varsayımlar!$B:$Q,15,0))</f>
        <v>26 cm pizza kolisi-Etiketli</v>
      </c>
      <c r="AB81" s="67" t="str">
        <f>IF(B81="","",VLOOKUP(AD81,Varsayımlar!$B:$Q,16,0))</f>
        <v>24-26 cm (Macca Hetto Inkjet Uzun Tarih)</v>
      </c>
      <c r="AC81" s="67" t="e">
        <f>IF(B81="","",VLOOKUP(Sayfa1!AD82,Varsayımlar!B:S,18,0))</f>
        <v>#N/A</v>
      </c>
      <c r="AD81" s="57" t="str">
        <f>IF(B81="","",CONCATENATE(B81,E81))</f>
        <v>LAIKYUZHN-BELARUSTortillas Pizza 26cm 4pcs 480g</v>
      </c>
    </row>
    <row r="82" spans="1:30" ht="94.5" x14ac:dyDescent="0.25">
      <c r="A82" s="8" t="s">
        <v>81</v>
      </c>
      <c r="B82" s="62" t="s">
        <v>181</v>
      </c>
      <c r="C82" s="32">
        <f>IF(B82="","",VLOOKUP(AD82,Varsayımlar!$B:$Q,3,0))</f>
        <v>8698829380698</v>
      </c>
      <c r="D82" s="32"/>
      <c r="E82" s="62" t="s">
        <v>206</v>
      </c>
      <c r="F82" s="62">
        <v>26060101</v>
      </c>
      <c r="G82" s="32"/>
      <c r="H82" s="62" t="str">
        <f>IF(B82="","",VLOOKUP(AD82,Varsayımlar!$B:$Q,5,0))</f>
        <v>Pizza-6 26 cm</v>
      </c>
      <c r="I82" s="62" t="str">
        <f>IF(B82="","",VLOOKUP(AD82,Varsayımlar!B:T,19,0))</f>
        <v>Arka kısma Arnavutça içerik-Pizza 6</v>
      </c>
      <c r="J82" s="62" t="str">
        <f>IF(B82="","",VLOOKUP(AD82,Varsayımlar!$B:$Q,6,0))</f>
        <v>SADE</v>
      </c>
      <c r="K82" s="62">
        <v>120</v>
      </c>
      <c r="L82" s="62"/>
      <c r="M82" s="62">
        <f>IFERROR(IF(B82="","",K82/VLOOKUP(AD82,Varsayımlar!B:R,17,0)),"")</f>
        <v>1</v>
      </c>
      <c r="N82" s="62"/>
      <c r="O82" s="62">
        <v>2</v>
      </c>
      <c r="P82" s="62">
        <f>IF(B82="","",VLOOKUP(AD82,Varsayımlar!$B:$Q,7,0)*K82)</f>
        <v>720</v>
      </c>
      <c r="Q82" s="62">
        <f>IF(B82="","",VLOOKUP(AD82,Varsayımlar!$B:$Q,8,0))</f>
        <v>26</v>
      </c>
      <c r="R82" s="62" t="str">
        <f>IF(B82="","",VLOOKUP(AD82,Varsayımlar!$B:$Q,9,0))</f>
        <v>Irak Soft</v>
      </c>
      <c r="S82" s="62">
        <f>IF(B82="","",VLOOKUP(AD82,Varsayımlar!$B:$Q,10,0))</f>
        <v>4</v>
      </c>
      <c r="T82" s="62">
        <f>IF(B82="","",VLOOKUP(AD82,Varsayımlar!$B:$Q,11,0))</f>
        <v>6</v>
      </c>
      <c r="U82" s="62">
        <f>IF(B82="","",VLOOKUP(AD82,Varsayımlar!$B:$Q,12,0))</f>
        <v>480</v>
      </c>
      <c r="V82" s="62" t="str">
        <f>IF(B82="","",VLOOKUP(AD82,Varsayımlar!$B:$Q,13,0))</f>
        <v>YURTDIŞI</v>
      </c>
      <c r="W82" s="62">
        <f>IF(B82="","",VLOOKUP(AD82,Varsayımlar!$B:$Q,14,0))</f>
        <v>12</v>
      </c>
      <c r="X82" s="63"/>
      <c r="Y82" s="63"/>
      <c r="Z82" s="62"/>
      <c r="AA82" s="62" t="str">
        <f>IF(B82="","",VLOOKUP(AD82,Varsayımlar!$B:$Q,15,0))</f>
        <v>Pizza kolisi</v>
      </c>
      <c r="AB82" s="62" t="str">
        <f>IF(B82="","",VLOOKUP(AD82,Varsayımlar!$B:$Q,16,0))</f>
        <v>26 cm kesme -Beze 145-150g, Kesilmmeiş çap 27-28cm, Kesilmemiş ağı: 520-540g, Kesilmiş:475-485g</v>
      </c>
      <c r="AC82" s="62">
        <f>IF(B82="","",VLOOKUP(Sayfa1!AD84,Varsayımlar!B:S,18,0))</f>
        <v>0</v>
      </c>
      <c r="AD82" s="57" t="str">
        <f>IF(B82="","",CONCATENATE(B82,E82))</f>
        <v>ALDİ - KOSOVAPizza-6 26cm 4pcs 480g</v>
      </c>
    </row>
    <row r="83" spans="1:30" ht="94.5" x14ac:dyDescent="0.25">
      <c r="A83" s="8" t="s">
        <v>82</v>
      </c>
      <c r="B83" s="80" t="s">
        <v>218</v>
      </c>
      <c r="C83" s="44">
        <f>IF(B83="","",VLOOKUP(AD83,Varsayımlar!$B:$Q,3,0))</f>
        <v>8698829380698</v>
      </c>
      <c r="D83" s="44" t="s">
        <v>160</v>
      </c>
      <c r="E83" s="80" t="s">
        <v>244</v>
      </c>
      <c r="F83" s="80">
        <v>26042907</v>
      </c>
      <c r="G83" s="44"/>
      <c r="H83" s="80" t="str">
        <f>IF(B83="","",VLOOKUP(AD83,Varsayımlar!$B:$Q,5,0))</f>
        <v>Tortillas Avrupa Pizza 26cm (742)</v>
      </c>
      <c r="I83" s="80">
        <f>IF(B83="","",VLOOKUP(AD83,Varsayımlar!B:T,19,0))</f>
        <v>0</v>
      </c>
      <c r="J83" s="80" t="str">
        <f>IF(B83="","",VLOOKUP(AD83,Varsayımlar!$B:$Q,6,0))</f>
        <v>SADE</v>
      </c>
      <c r="K83" s="80">
        <v>720</v>
      </c>
      <c r="L83" s="80"/>
      <c r="M83" s="80">
        <f>IFERROR(IF(B83="","",K83/VLOOKUP(AD83,Varsayımlar!B:R,17,0)),"")</f>
        <v>6</v>
      </c>
      <c r="N83" s="80"/>
      <c r="O83" s="80">
        <v>9</v>
      </c>
      <c r="P83" s="80">
        <f>IF(B83="","",VLOOKUP(AD83,Varsayımlar!$B:$Q,7,0)*K83)</f>
        <v>5760</v>
      </c>
      <c r="Q83" s="80">
        <f>IF(B83="","",VLOOKUP(AD83,Varsayımlar!$B:$Q,8,0))</f>
        <v>26</v>
      </c>
      <c r="R83" s="80" t="str">
        <f>IF(B83="","",VLOOKUP(AD83,Varsayımlar!$B:$Q,9,0))</f>
        <v>Irak Soft</v>
      </c>
      <c r="S83" s="80">
        <f>IF(B83="","",VLOOKUP(AD83,Varsayımlar!$B:$Q,10,0))</f>
        <v>4</v>
      </c>
      <c r="T83" s="80">
        <f>IF(B83="","",VLOOKUP(AD83,Varsayımlar!$B:$Q,11,0))</f>
        <v>8</v>
      </c>
      <c r="U83" s="80">
        <f>IF(B83="","",VLOOKUP(AD83,Varsayımlar!$B:$Q,12,0))</f>
        <v>480</v>
      </c>
      <c r="V83" s="80" t="str">
        <f>IF(B83="","",VLOOKUP(AD83,Varsayımlar!$B:$Q,13,0))</f>
        <v>Yurtdışı</v>
      </c>
      <c r="W83" s="80">
        <f>IF(B83="","",VLOOKUP(AD83,Varsayımlar!$B:$Q,14,0))</f>
        <v>9</v>
      </c>
      <c r="X83" s="81"/>
      <c r="Y83" s="81"/>
      <c r="Z83" s="80"/>
      <c r="AA83" s="80" t="str">
        <f>IF(B83="","",VLOOKUP(AD83,Varsayımlar!$B:$Q,15,0))</f>
        <v>26cm Pizza Perforeli-Bulgarca Etiket</v>
      </c>
      <c r="AB83" s="80" t="str">
        <f>IF(B83="","",VLOOKUP(AD83,Varsayımlar!$B:$Q,16,0))</f>
        <v>26 cm kesme -Beze 145-150g, Kesilmmeiş çap 27-28cm, Kesilmemiş ağı: 520-540g, Kesilmiş:475-485g</v>
      </c>
      <c r="AC83" s="80" t="str">
        <f>IF(B83="","",VLOOKUP(Sayfa1!AD80,Varsayımlar!B:S,18,0))</f>
        <v>80x120cm -Epal+Epal</v>
      </c>
      <c r="AD83" s="57" t="str">
        <f t="shared" si="9"/>
        <v>TASTE LAND-BULGARİSTANTortillas Pizza 26cm 4pcs 480g</v>
      </c>
    </row>
    <row r="84" spans="1:30" ht="94.5" x14ac:dyDescent="0.25">
      <c r="A84" s="8" t="s">
        <v>83</v>
      </c>
      <c r="B84" s="75" t="s">
        <v>218</v>
      </c>
      <c r="C84" s="43">
        <f>IF(B84="","",VLOOKUP(AD84,Varsayımlar!$B:$Q,3,0))</f>
        <v>8698829380698</v>
      </c>
      <c r="D84" s="43" t="s">
        <v>161</v>
      </c>
      <c r="E84" s="75" t="s">
        <v>244</v>
      </c>
      <c r="F84" s="75" t="s">
        <v>341</v>
      </c>
      <c r="G84" s="43"/>
      <c r="H84" s="75" t="str">
        <f>IF(B84="","",VLOOKUP(AD84,Varsayımlar!$B:$Q,5,0))</f>
        <v>Tortillas Avrupa Pizza 26cm (742)</v>
      </c>
      <c r="I84" s="75">
        <f>IF(B84="","",VLOOKUP(AD84,Varsayımlar!B:T,19,0))</f>
        <v>0</v>
      </c>
      <c r="J84" s="75" t="str">
        <f>IF(B84="","",VLOOKUP(AD84,Varsayımlar!$B:$Q,6,0))</f>
        <v>SADE</v>
      </c>
      <c r="K84" s="75">
        <v>840</v>
      </c>
      <c r="L84" s="75"/>
      <c r="M84" s="75">
        <f>IFERROR(IF(B84="","",K84/VLOOKUP(AD84,Varsayımlar!B:R,17,0)),"")</f>
        <v>7</v>
      </c>
      <c r="N84" s="75"/>
      <c r="O84" s="75">
        <v>11</v>
      </c>
      <c r="P84" s="75">
        <f>IF(B84="","",VLOOKUP(AD84,Varsayımlar!$B:$Q,7,0)*K84)</f>
        <v>6720</v>
      </c>
      <c r="Q84" s="75">
        <f>IF(B84="","",VLOOKUP(AD84,Varsayımlar!$B:$Q,8,0))</f>
        <v>26</v>
      </c>
      <c r="R84" s="75" t="str">
        <f>IF(B84="","",VLOOKUP(AD84,Varsayımlar!$B:$Q,9,0))</f>
        <v>Irak Soft</v>
      </c>
      <c r="S84" s="75">
        <f>IF(B84="","",VLOOKUP(AD84,Varsayımlar!$B:$Q,10,0))</f>
        <v>4</v>
      </c>
      <c r="T84" s="75">
        <f>IF(B84="","",VLOOKUP(AD84,Varsayımlar!$B:$Q,11,0))</f>
        <v>8</v>
      </c>
      <c r="U84" s="75">
        <f>IF(B84="","",VLOOKUP(AD84,Varsayımlar!$B:$Q,12,0))</f>
        <v>480</v>
      </c>
      <c r="V84" s="75" t="str">
        <f>IF(B84="","",VLOOKUP(AD84,Varsayımlar!$B:$Q,13,0))</f>
        <v>Yurtdışı</v>
      </c>
      <c r="W84" s="75">
        <f>IF(B84="","",VLOOKUP(AD84,Varsayımlar!$B:$Q,14,0))</f>
        <v>9</v>
      </c>
      <c r="X84" s="76"/>
      <c r="Y84" s="76"/>
      <c r="Z84" s="75"/>
      <c r="AA84" s="75" t="str">
        <f>IF(B84="","",VLOOKUP(AD84,Varsayımlar!$B:$Q,15,0))</f>
        <v>26cm Pizza Perforeli-Bulgarca Etiket</v>
      </c>
      <c r="AB84" s="75" t="str">
        <f>IF(B84="","",VLOOKUP(AD84,Varsayımlar!$B:$Q,16,0))</f>
        <v>26 cm kesme -Beze 145-150g, Kesilmmeiş çap 27-28cm, Kesilmemiş ağı: 520-540g, Kesilmiş:475-485g</v>
      </c>
      <c r="AC84" s="75" t="str">
        <f>IF(B84="","",VLOOKUP(Sayfa1!AD81,Varsayımlar!B:S,18,0))</f>
        <v>80x120cm -Epal+Epal</v>
      </c>
      <c r="AD84" s="57" t="str">
        <f t="shared" si="9"/>
        <v>TASTE LAND-BULGARİSTANTortillas Pizza 26cm 4pcs 480g</v>
      </c>
    </row>
    <row r="85" spans="1:30" ht="47.25" x14ac:dyDescent="0.25">
      <c r="A85" s="8" t="s">
        <v>84</v>
      </c>
      <c r="B85" s="54" t="s">
        <v>268</v>
      </c>
      <c r="C85" s="39">
        <f>IF(B85="","",VLOOKUP(AD85,Varsayımlar!$B:$Q,3,0))</f>
        <v>8698829380698</v>
      </c>
      <c r="D85" s="39" t="s">
        <v>160</v>
      </c>
      <c r="E85" s="39" t="s">
        <v>244</v>
      </c>
      <c r="F85" s="54" t="s">
        <v>343</v>
      </c>
      <c r="G85" s="39" t="s">
        <v>68</v>
      </c>
      <c r="H85" s="54" t="str">
        <f>IF(B85="","",VLOOKUP(AD85,Varsayımlar!$B:$Q,5,0))</f>
        <v xml:space="preserve">Tortillas Pizza 26cm </v>
      </c>
      <c r="I85" s="54">
        <f>IF(B85="","",VLOOKUP(AD85,Varsayımlar!B:T,19,0))</f>
        <v>0</v>
      </c>
      <c r="J85" s="54" t="str">
        <f>IF(B85="","",VLOOKUP(AD85,Varsayımlar!$B:$Q,6,0))</f>
        <v>SADE</v>
      </c>
      <c r="K85" s="54">
        <v>768</v>
      </c>
      <c r="L85" s="54"/>
      <c r="M85" s="54">
        <f>IFERROR(IF(B85="","",K85/VLOOKUP(AD85,Varsayımlar!B:R,17,0)),"")</f>
        <v>4</v>
      </c>
      <c r="N85" s="54"/>
      <c r="O85" s="54">
        <v>9</v>
      </c>
      <c r="P85" s="54">
        <f>IF(B85="","",VLOOKUP(AD85,Varsayımlar!$B:$Q,7,0)*K85)</f>
        <v>9216</v>
      </c>
      <c r="Q85" s="54">
        <f>IF(B85="","",VLOOKUP(AD85,Varsayımlar!$B:$Q,8,0))</f>
        <v>26</v>
      </c>
      <c r="R85" s="54" t="str">
        <f>IF(B85="","",VLOOKUP(AD85,Varsayımlar!$B:$Q,9,0))</f>
        <v>Soft-PA3</v>
      </c>
      <c r="S85" s="54">
        <f>IF(B85="","",VLOOKUP(AD85,Varsayımlar!$B:$Q,10,0))</f>
        <v>2</v>
      </c>
      <c r="T85" s="54">
        <f>IF(B85="","",VLOOKUP(AD85,Varsayımlar!$B:$Q,11,0))</f>
        <v>12</v>
      </c>
      <c r="U85" s="54">
        <f>IF(B85="","",VLOOKUP(AD85,Varsayımlar!$B:$Q,12,0))</f>
        <v>240</v>
      </c>
      <c r="V85" s="54" t="str">
        <f>IF(B85="","",VLOOKUP(AD85,Varsayımlar!$B:$Q,13,0))</f>
        <v>Yurtdışı</v>
      </c>
      <c r="W85" s="54">
        <f>IF(B85="","",VLOOKUP(AD85,Varsayımlar!$B:$Q,14,0))</f>
        <v>9</v>
      </c>
      <c r="X85" s="56"/>
      <c r="Y85" s="56"/>
      <c r="Z85" s="54"/>
      <c r="AA85" s="54" t="str">
        <f>IF(B85="","",VLOOKUP(AD85,Varsayımlar!$B:$Q,15,0))</f>
        <v>26 cm pizza kolisi-Etiketli</v>
      </c>
      <c r="AB85" s="54" t="str">
        <f>IF(B85="","",VLOOKUP(AD85,Varsayımlar!$B:$Q,16,0))</f>
        <v>24-26 cm (Macca Hetto Inkjet Uzun Tarih)</v>
      </c>
      <c r="AC85" s="54" t="e">
        <f>IF(B85="","",VLOOKUP(Sayfa1!AD83,Varsayımlar!B:S,18,0))</f>
        <v>#N/A</v>
      </c>
      <c r="AD85" s="57" t="str">
        <f t="shared" si="9"/>
        <v>LAIKYUZHN-BELARUSTortillas Pizza 26cm 4pcs 480g</v>
      </c>
    </row>
    <row r="86" spans="1:30" x14ac:dyDescent="0.25">
      <c r="A86" s="8" t="s">
        <v>85</v>
      </c>
      <c r="B86" s="67"/>
      <c r="C86" s="42" t="str">
        <f>IF(B86="","",VLOOKUP(AD86,Varsayımlar!$B:$Q,3,0))</f>
        <v/>
      </c>
      <c r="D86" s="42"/>
      <c r="E86" s="42"/>
      <c r="F86" s="42"/>
      <c r="G86" s="42"/>
      <c r="H86" s="42" t="str">
        <f>IF(B86="","",VLOOKUP(AD86,Varsayımlar!$B:$Q,5,0))</f>
        <v/>
      </c>
      <c r="I86" s="42"/>
      <c r="J86" s="42" t="str">
        <f>IF(B86="","",VLOOKUP(AD86,Varsayımlar!$B:$Q,6,0))</f>
        <v/>
      </c>
      <c r="K86" s="42"/>
      <c r="L86" s="42"/>
      <c r="M86" s="42" t="str">
        <f>IFERROR(IF(B86="","",K86/VLOOKUP(AD86,Varsayımlar!B:R,17,0)),"")</f>
        <v/>
      </c>
      <c r="N86" s="42"/>
      <c r="O86" s="42"/>
      <c r="P86" s="42" t="str">
        <f>IF(B86="","",VLOOKUP(AD86,Varsayımlar!$B:$Q,7,0)*K86)</f>
        <v/>
      </c>
      <c r="Q86" s="42" t="str">
        <f>IF(B86="","",VLOOKUP(AD86,Varsayımlar!$B:$Q,8,0))</f>
        <v/>
      </c>
      <c r="R86" s="42" t="str">
        <f>IF(B86="","",VLOOKUP(AD86,Varsayımlar!$B:$Q,9,0))</f>
        <v/>
      </c>
      <c r="S86" s="42" t="str">
        <f>IF(B86="","",VLOOKUP(AD86,Varsayımlar!$B:$Q,10,0))</f>
        <v/>
      </c>
      <c r="T86" s="42" t="str">
        <f>IF(B86="","",VLOOKUP(AD86,Varsayımlar!$B:$Q,11,0))</f>
        <v/>
      </c>
      <c r="U86" s="42" t="str">
        <f>IF(B86="","",VLOOKUP(AD86,Varsayımlar!$B:$Q,12,0))</f>
        <v/>
      </c>
      <c r="V86" s="42" t="str">
        <f>IF(B86="","",VLOOKUP(AD86,Varsayımlar!$B:$Q,13,0))</f>
        <v/>
      </c>
      <c r="W86" s="67" t="str">
        <f>IF(B86="","",VLOOKUP(AD86,Varsayımlar!$B:$Q,14,0))</f>
        <v/>
      </c>
      <c r="X86" s="69"/>
      <c r="Y86" s="69"/>
      <c r="Z86" s="67"/>
      <c r="AA86" s="67" t="str">
        <f>IF(B86="","",VLOOKUP(AD86,Varsayımlar!$B:$Q,15,0))</f>
        <v/>
      </c>
      <c r="AB86" s="67" t="str">
        <f>IF(B86="","",VLOOKUP(AD86,Varsayımlar!$B:$Q,16,0))</f>
        <v/>
      </c>
      <c r="AC86" s="67"/>
      <c r="AD86" s="57" t="str">
        <f t="shared" si="9"/>
        <v/>
      </c>
    </row>
    <row r="87" spans="1:30" x14ac:dyDescent="0.25">
      <c r="A87" s="8" t="s">
        <v>86</v>
      </c>
      <c r="B87" s="67"/>
      <c r="C87" s="42" t="str">
        <f>IF(B87="","",VLOOKUP(AD87,Varsayımlar!$B:$Q,3,0))</f>
        <v/>
      </c>
      <c r="D87" s="42"/>
      <c r="E87" s="42"/>
      <c r="F87" s="42"/>
      <c r="G87" s="42"/>
      <c r="H87" s="42" t="str">
        <f>IF(B87="","",VLOOKUP(AD87,Varsayımlar!$B:$Q,5,0))</f>
        <v/>
      </c>
      <c r="I87" s="42"/>
      <c r="J87" s="42" t="str">
        <f>IF(B87="","",VLOOKUP(AD87,Varsayımlar!$B:$Q,6,0))</f>
        <v/>
      </c>
      <c r="K87" s="42"/>
      <c r="L87" s="42"/>
      <c r="M87" s="42" t="str">
        <f>IFERROR(IF(B87="","",K87/VLOOKUP(AD87,Varsayımlar!B:R,17,0)),"")</f>
        <v/>
      </c>
      <c r="N87" s="42"/>
      <c r="O87" s="42"/>
      <c r="P87" s="42" t="str">
        <f>IF(B87="","",VLOOKUP(AD87,Varsayımlar!$B:$Q,7,0)*K87)</f>
        <v/>
      </c>
      <c r="Q87" s="42" t="str">
        <f>IF(B87="","",VLOOKUP(AD87,Varsayımlar!$B:$Q,8,0))</f>
        <v/>
      </c>
      <c r="R87" s="42" t="str">
        <f>IF(B87="","",VLOOKUP(AD87,Varsayımlar!$B:$Q,9,0))</f>
        <v/>
      </c>
      <c r="S87" s="42" t="str">
        <f>IF(B87="","",VLOOKUP(AD87,Varsayımlar!$B:$Q,10,0))</f>
        <v/>
      </c>
      <c r="T87" s="42" t="str">
        <f>IF(B87="","",VLOOKUP(AD87,Varsayımlar!$B:$Q,11,0))</f>
        <v/>
      </c>
      <c r="U87" s="42" t="str">
        <f>IF(B87="","",VLOOKUP(AD87,Varsayımlar!$B:$Q,12,0))</f>
        <v/>
      </c>
      <c r="V87" s="42" t="str">
        <f>IF(B87="","",VLOOKUP(AD87,Varsayımlar!$B:$Q,13,0))</f>
        <v/>
      </c>
      <c r="W87" s="67" t="str">
        <f>IF(B87="","",VLOOKUP(AD87,Varsayımlar!$B:$Q,14,0))</f>
        <v/>
      </c>
      <c r="X87" s="69"/>
      <c r="Y87" s="69"/>
      <c r="Z87" s="67"/>
      <c r="AA87" s="67" t="str">
        <f>IF(B87="","",VLOOKUP(AD87,Varsayımlar!$B:$Q,15,0))</f>
        <v/>
      </c>
      <c r="AB87" s="67" t="str">
        <f>IF(B87="","",VLOOKUP(AD87,Varsayımlar!$B:$Q,16,0))</f>
        <v/>
      </c>
      <c r="AC87" s="67"/>
      <c r="AD87" s="57" t="str">
        <f t="shared" si="9"/>
        <v/>
      </c>
    </row>
    <row r="88" spans="1:30" x14ac:dyDescent="0.25">
      <c r="A88" s="8" t="s">
        <v>87</v>
      </c>
      <c r="B88" s="67"/>
      <c r="C88" s="42" t="str">
        <f>IF(B88="","",VLOOKUP(AD88,Varsayımlar!$B:$Q,3,0))</f>
        <v/>
      </c>
      <c r="D88" s="42"/>
      <c r="E88" s="42"/>
      <c r="F88" s="42"/>
      <c r="G88" s="42"/>
      <c r="H88" s="42" t="str">
        <f>IF(B88="","",VLOOKUP(AD88,Varsayımlar!$B:$Q,5,0))</f>
        <v/>
      </c>
      <c r="I88" s="42"/>
      <c r="J88" s="42" t="str">
        <f>IF(B88="","",VLOOKUP(AD88,Varsayımlar!$B:$Q,6,0))</f>
        <v/>
      </c>
      <c r="K88" s="42"/>
      <c r="L88" s="42"/>
      <c r="M88" s="42" t="str">
        <f>IFERROR(IF(B88="","",K88/VLOOKUP(AD88,Varsayımlar!B:R,17,0)),"")</f>
        <v/>
      </c>
      <c r="N88" s="42"/>
      <c r="O88" s="42"/>
      <c r="P88" s="42" t="str">
        <f>IF(B88="","",VLOOKUP(AD88,Varsayımlar!$B:$Q,7,0)*K88)</f>
        <v/>
      </c>
      <c r="Q88" s="42" t="str">
        <f>IF(B88="","",VLOOKUP(AD88,Varsayımlar!$B:$Q,8,0))</f>
        <v/>
      </c>
      <c r="R88" s="42" t="str">
        <f>IF(B88="","",VLOOKUP(AD88,Varsayımlar!$B:$Q,9,0))</f>
        <v/>
      </c>
      <c r="S88" s="42" t="str">
        <f>IF(B88="","",VLOOKUP(AD88,Varsayımlar!$B:$Q,10,0))</f>
        <v/>
      </c>
      <c r="T88" s="42" t="str">
        <f>IF(B88="","",VLOOKUP(AD88,Varsayımlar!$B:$Q,11,0))</f>
        <v/>
      </c>
      <c r="U88" s="42" t="str">
        <f>IF(B88="","",VLOOKUP(AD88,Varsayımlar!$B:$Q,12,0))</f>
        <v/>
      </c>
      <c r="V88" s="42" t="str">
        <f>IF(B88="","",VLOOKUP(AD88,Varsayımlar!$B:$Q,13,0))</f>
        <v/>
      </c>
      <c r="W88" s="67" t="str">
        <f>IF(B88="","",VLOOKUP(AD88,Varsayımlar!$B:$Q,14,0))</f>
        <v/>
      </c>
      <c r="X88" s="69"/>
      <c r="Y88" s="69"/>
      <c r="Z88" s="67"/>
      <c r="AA88" s="67" t="str">
        <f>IF(B88="","",VLOOKUP(AD88,Varsayımlar!$B:$Q,15,0))</f>
        <v/>
      </c>
      <c r="AB88" s="67" t="str">
        <f>IF(B88="","",VLOOKUP(AD88,Varsayımlar!$B:$Q,16,0))</f>
        <v/>
      </c>
      <c r="AC88" s="67"/>
      <c r="AD88" s="57" t="str">
        <f t="shared" si="9"/>
        <v/>
      </c>
    </row>
    <row r="89" spans="1:30" x14ac:dyDescent="0.25">
      <c r="A89" s="8" t="s">
        <v>88</v>
      </c>
      <c r="B89" s="67"/>
      <c r="C89" s="42" t="str">
        <f>IF(B89="","",VLOOKUP(AD89,Varsayımlar!$B:$Q,3,0))</f>
        <v/>
      </c>
      <c r="D89" s="42"/>
      <c r="E89" s="42"/>
      <c r="F89" s="42"/>
      <c r="G89" s="42"/>
      <c r="H89" s="42" t="str">
        <f>IF(B89="","",VLOOKUP(AD89,Varsayımlar!$B:$Q,5,0))</f>
        <v/>
      </c>
      <c r="I89" s="42"/>
      <c r="J89" s="42" t="str">
        <f>IF(B89="","",VLOOKUP(AD89,Varsayımlar!$B:$Q,6,0))</f>
        <v/>
      </c>
      <c r="K89" s="42"/>
      <c r="L89" s="42"/>
      <c r="M89" s="42" t="str">
        <f>IFERROR(IF(B89="","",K89/VLOOKUP(AD89,Varsayımlar!B:R,17,0)),"")</f>
        <v/>
      </c>
      <c r="N89" s="42"/>
      <c r="O89" s="42"/>
      <c r="P89" s="42" t="str">
        <f>IF(B89="","",VLOOKUP(AD89,Varsayımlar!$B:$Q,7,0)*K89)</f>
        <v/>
      </c>
      <c r="Q89" s="42" t="str">
        <f>IF(B89="","",VLOOKUP(AD89,Varsayımlar!$B:$Q,8,0))</f>
        <v/>
      </c>
      <c r="R89" s="42" t="str">
        <f>IF(B89="","",VLOOKUP(AD89,Varsayımlar!$B:$Q,9,0))</f>
        <v/>
      </c>
      <c r="S89" s="42" t="str">
        <f>IF(B89="","",VLOOKUP(AD89,Varsayımlar!$B:$Q,10,0))</f>
        <v/>
      </c>
      <c r="T89" s="42" t="str">
        <f>IF(B89="","",VLOOKUP(AD89,Varsayımlar!$B:$Q,11,0))</f>
        <v/>
      </c>
      <c r="U89" s="42" t="str">
        <f>IF(B89="","",VLOOKUP(AD89,Varsayımlar!$B:$Q,12,0))</f>
        <v/>
      </c>
      <c r="V89" s="42" t="str">
        <f>IF(B89="","",VLOOKUP(AD89,Varsayımlar!$B:$Q,13,0))</f>
        <v/>
      </c>
      <c r="W89" s="67" t="str">
        <f>IF(B89="","",VLOOKUP(AD89,Varsayımlar!$B:$Q,14,0))</f>
        <v/>
      </c>
      <c r="X89" s="69"/>
      <c r="Y89" s="69"/>
      <c r="Z89" s="67"/>
      <c r="AA89" s="67" t="str">
        <f>IF(B89="","",VLOOKUP(AD89,Varsayımlar!$B:$Q,15,0))</f>
        <v/>
      </c>
      <c r="AB89" s="67" t="str">
        <f>IF(B89="","",VLOOKUP(AD89,Varsayımlar!$B:$Q,16,0))</f>
        <v/>
      </c>
      <c r="AC89" s="67"/>
      <c r="AD89" s="57" t="str">
        <f t="shared" si="9"/>
        <v/>
      </c>
    </row>
    <row r="90" spans="1:30" x14ac:dyDescent="0.25">
      <c r="A90" s="8" t="s">
        <v>89</v>
      </c>
      <c r="B90" s="67"/>
      <c r="C90" s="42" t="str">
        <f>IF(B90="","",VLOOKUP(AD90,Varsayımlar!$B:$Q,3,0))</f>
        <v/>
      </c>
      <c r="D90" s="42"/>
      <c r="E90" s="42"/>
      <c r="F90" s="42"/>
      <c r="G90" s="42"/>
      <c r="H90" s="42" t="str">
        <f>IF(B90="","",VLOOKUP(AD90,Varsayımlar!$B:$Q,5,0))</f>
        <v/>
      </c>
      <c r="I90" s="42"/>
      <c r="J90" s="42" t="str">
        <f>IF(B90="","",VLOOKUP(AD90,Varsayımlar!$B:$Q,6,0))</f>
        <v/>
      </c>
      <c r="K90" s="42"/>
      <c r="L90" s="42"/>
      <c r="M90" s="42" t="str">
        <f>IFERROR(IF(B90="","",K90/VLOOKUP(AD90,Varsayımlar!B:R,17,0)),"")</f>
        <v/>
      </c>
      <c r="N90" s="42"/>
      <c r="O90" s="42"/>
      <c r="P90" s="42" t="str">
        <f>IF(B90="","",VLOOKUP(AD90,Varsayımlar!$B:$Q,7,0)*K90)</f>
        <v/>
      </c>
      <c r="Q90" s="42" t="str">
        <f>IF(B90="","",VLOOKUP(AD90,Varsayımlar!$B:$Q,8,0))</f>
        <v/>
      </c>
      <c r="R90" s="42" t="str">
        <f>IF(B90="","",VLOOKUP(AD90,Varsayımlar!$B:$Q,9,0))</f>
        <v/>
      </c>
      <c r="S90" s="42" t="str">
        <f>IF(B90="","",VLOOKUP(AD90,Varsayımlar!$B:$Q,10,0))</f>
        <v/>
      </c>
      <c r="T90" s="42" t="str">
        <f>IF(B90="","",VLOOKUP(AD90,Varsayımlar!$B:$Q,11,0))</f>
        <v/>
      </c>
      <c r="U90" s="42" t="str">
        <f>IF(B90="","",VLOOKUP(AD90,Varsayımlar!$B:$Q,12,0))</f>
        <v/>
      </c>
      <c r="V90" s="42" t="str">
        <f>IF(B90="","",VLOOKUP(AD90,Varsayımlar!$B:$Q,13,0))</f>
        <v/>
      </c>
      <c r="W90" s="67" t="str">
        <f>IF(B90="","",VLOOKUP(AD90,Varsayımlar!$B:$Q,14,0))</f>
        <v/>
      </c>
      <c r="X90" s="69"/>
      <c r="Y90" s="69"/>
      <c r="Z90" s="67"/>
      <c r="AA90" s="67" t="str">
        <f>IF(B90="","",VLOOKUP(AD90,Varsayımlar!$B:$Q,15,0))</f>
        <v/>
      </c>
      <c r="AB90" s="67" t="str">
        <f>IF(B90="","",VLOOKUP(AD90,Varsayımlar!$B:$Q,16,0))</f>
        <v/>
      </c>
      <c r="AC90" s="67"/>
      <c r="AD90" s="57" t="str">
        <f t="shared" si="9"/>
        <v/>
      </c>
    </row>
    <row r="91" spans="1:30" x14ac:dyDescent="0.25">
      <c r="A91" s="8" t="s">
        <v>90</v>
      </c>
      <c r="B91" s="67"/>
      <c r="C91" s="42" t="str">
        <f>IF(B91="","",VLOOKUP(AD91,Varsayımlar!$B:$Q,3,0))</f>
        <v/>
      </c>
      <c r="D91" s="42"/>
      <c r="E91" s="42"/>
      <c r="F91" s="42"/>
      <c r="G91" s="42"/>
      <c r="H91" s="42" t="str">
        <f>IF(B91="","",VLOOKUP(AD91,Varsayımlar!$B:$Q,5,0))</f>
        <v/>
      </c>
      <c r="I91" s="42"/>
      <c r="J91" s="42" t="str">
        <f>IF(B91="","",VLOOKUP(AD91,Varsayımlar!$B:$Q,6,0))</f>
        <v/>
      </c>
      <c r="K91" s="42"/>
      <c r="L91" s="42"/>
      <c r="M91" s="42" t="str">
        <f>IFERROR(IF(B91="","",K91/VLOOKUP(AD91,Varsayımlar!B:R,17,0)),"")</f>
        <v/>
      </c>
      <c r="N91" s="42"/>
      <c r="O91" s="42"/>
      <c r="P91" s="42" t="str">
        <f>IF(B91="","",VLOOKUP(AD91,Varsayımlar!$B:$Q,7,0)*K91)</f>
        <v/>
      </c>
      <c r="Q91" s="42" t="str">
        <f>IF(B91="","",VLOOKUP(AD91,Varsayımlar!$B:$Q,8,0))</f>
        <v/>
      </c>
      <c r="R91" s="42" t="str">
        <f>IF(B91="","",VLOOKUP(AD91,Varsayımlar!$B:$Q,9,0))</f>
        <v/>
      </c>
      <c r="S91" s="42" t="str">
        <f>IF(B91="","",VLOOKUP(AD91,Varsayımlar!$B:$Q,10,0))</f>
        <v/>
      </c>
      <c r="T91" s="42" t="str">
        <f>IF(B91="","",VLOOKUP(AD91,Varsayımlar!$B:$Q,11,0))</f>
        <v/>
      </c>
      <c r="U91" s="42" t="str">
        <f>IF(B91="","",VLOOKUP(AD91,Varsayımlar!$B:$Q,12,0))</f>
        <v/>
      </c>
      <c r="V91" s="42" t="str">
        <f>IF(B91="","",VLOOKUP(AD91,Varsayımlar!$B:$Q,13,0))</f>
        <v/>
      </c>
      <c r="W91" s="67" t="str">
        <f>IF(B91="","",VLOOKUP(AD91,Varsayımlar!$B:$Q,14,0))</f>
        <v/>
      </c>
      <c r="X91" s="69"/>
      <c r="Y91" s="69"/>
      <c r="Z91" s="67"/>
      <c r="AA91" s="67" t="str">
        <f>IF(B91="","",VLOOKUP(AD91,Varsayımlar!$B:$Q,15,0))</f>
        <v/>
      </c>
      <c r="AB91" s="67" t="str">
        <f>IF(B91="","",VLOOKUP(AD91,Varsayımlar!$B:$Q,16,0))</f>
        <v/>
      </c>
      <c r="AC91" s="67"/>
      <c r="AD91" s="57" t="str">
        <f t="shared" si="9"/>
        <v/>
      </c>
    </row>
    <row r="92" spans="1:30" x14ac:dyDescent="0.25">
      <c r="A92" s="8" t="s">
        <v>91</v>
      </c>
      <c r="B92" s="67"/>
      <c r="C92" s="42" t="str">
        <f>IF(B92="","",VLOOKUP(AD92,Varsayımlar!$B:$Q,3,0))</f>
        <v/>
      </c>
      <c r="D92" s="42"/>
      <c r="E92" s="42"/>
      <c r="F92" s="42"/>
      <c r="G92" s="42"/>
      <c r="H92" s="42" t="str">
        <f>IF(B92="","",VLOOKUP(AD92,Varsayımlar!$B:$Q,5,0))</f>
        <v/>
      </c>
      <c r="I92" s="42"/>
      <c r="J92" s="42" t="str">
        <f>IF(B92="","",VLOOKUP(AD92,Varsayımlar!$B:$Q,6,0))</f>
        <v/>
      </c>
      <c r="K92" s="42"/>
      <c r="L92" s="42"/>
      <c r="M92" s="42" t="str">
        <f>IFERROR(IF(B92="","",K92/VLOOKUP(AD92,Varsayımlar!B:R,17,0)),"")</f>
        <v/>
      </c>
      <c r="N92" s="42"/>
      <c r="O92" s="42"/>
      <c r="P92" s="42" t="str">
        <f>IF(B92="","",VLOOKUP(AD92,Varsayımlar!$B:$Q,7,0)*K92)</f>
        <v/>
      </c>
      <c r="Q92" s="42" t="str">
        <f>IF(B92="","",VLOOKUP(AD92,Varsayımlar!$B:$Q,8,0))</f>
        <v/>
      </c>
      <c r="R92" s="42" t="str">
        <f>IF(B92="","",VLOOKUP(AD92,Varsayımlar!$B:$Q,9,0))</f>
        <v/>
      </c>
      <c r="S92" s="42" t="str">
        <f>IF(B92="","",VLOOKUP(AD92,Varsayımlar!$B:$Q,10,0))</f>
        <v/>
      </c>
      <c r="T92" s="42" t="str">
        <f>IF(B92="","",VLOOKUP(AD92,Varsayımlar!$B:$Q,11,0))</f>
        <v/>
      </c>
      <c r="U92" s="42" t="str">
        <f>IF(B92="","",VLOOKUP(AD92,Varsayımlar!$B:$Q,12,0))</f>
        <v/>
      </c>
      <c r="V92" s="42" t="str">
        <f>IF(B92="","",VLOOKUP(AD92,Varsayımlar!$B:$Q,13,0))</f>
        <v/>
      </c>
      <c r="W92" s="67" t="str">
        <f>IF(B92="","",VLOOKUP(AD92,Varsayımlar!$B:$Q,14,0))</f>
        <v/>
      </c>
      <c r="X92" s="69"/>
      <c r="Y92" s="69"/>
      <c r="Z92" s="67"/>
      <c r="AA92" s="67" t="str">
        <f>IF(B92="","",VLOOKUP(AD92,Varsayımlar!$B:$Q,15,0))</f>
        <v/>
      </c>
      <c r="AB92" s="67" t="str">
        <f>IF(B92="","",VLOOKUP(AD92,Varsayımlar!$B:$Q,16,0))</f>
        <v/>
      </c>
      <c r="AC92" s="67"/>
      <c r="AD92" s="57" t="str">
        <f t="shared" si="9"/>
        <v/>
      </c>
    </row>
    <row r="93" spans="1:30" x14ac:dyDescent="0.25">
      <c r="A93" s="8" t="s">
        <v>92</v>
      </c>
      <c r="B93" s="67"/>
      <c r="C93" s="42" t="str">
        <f>IF(B93="","",VLOOKUP(AD93,Varsayımlar!$B:$Q,3,0))</f>
        <v/>
      </c>
      <c r="D93" s="42"/>
      <c r="E93" s="42"/>
      <c r="F93" s="42"/>
      <c r="G93" s="42"/>
      <c r="H93" s="42" t="str">
        <f>IF(B93="","",VLOOKUP(AD93,Varsayımlar!$B:$Q,5,0))</f>
        <v/>
      </c>
      <c r="I93" s="42"/>
      <c r="J93" s="42" t="str">
        <f>IF(B93="","",VLOOKUP(AD93,Varsayımlar!$B:$Q,6,0))</f>
        <v/>
      </c>
      <c r="K93" s="42"/>
      <c r="L93" s="42"/>
      <c r="M93" s="42" t="str">
        <f>IFERROR(IF(B93="","",K93/VLOOKUP(AD93,Varsayımlar!B:R,17,0)),"")</f>
        <v/>
      </c>
      <c r="N93" s="42"/>
      <c r="O93" s="42"/>
      <c r="P93" s="42" t="str">
        <f>IF(B93="","",VLOOKUP(AD93,Varsayımlar!$B:$Q,7,0)*K93)</f>
        <v/>
      </c>
      <c r="Q93" s="42" t="str">
        <f>IF(B93="","",VLOOKUP(AD93,Varsayımlar!$B:$Q,8,0))</f>
        <v/>
      </c>
      <c r="R93" s="42" t="str">
        <f>IF(B93="","",VLOOKUP(AD93,Varsayımlar!$B:$Q,9,0))</f>
        <v/>
      </c>
      <c r="S93" s="42" t="str">
        <f>IF(B93="","",VLOOKUP(AD93,Varsayımlar!$B:$Q,10,0))</f>
        <v/>
      </c>
      <c r="T93" s="42" t="str">
        <f>IF(B93="","",VLOOKUP(AD93,Varsayımlar!$B:$Q,11,0))</f>
        <v/>
      </c>
      <c r="U93" s="42" t="str">
        <f>IF(B93="","",VLOOKUP(AD93,Varsayımlar!$B:$Q,12,0))</f>
        <v/>
      </c>
      <c r="V93" s="42" t="str">
        <f>IF(B93="","",VLOOKUP(AD93,Varsayımlar!$B:$Q,13,0))</f>
        <v/>
      </c>
      <c r="W93" s="67" t="str">
        <f>IF(B93="","",VLOOKUP(AD93,Varsayımlar!$B:$Q,14,0))</f>
        <v/>
      </c>
      <c r="X93" s="69"/>
      <c r="Y93" s="69"/>
      <c r="Z93" s="67"/>
      <c r="AA93" s="67" t="str">
        <f>IF(B93="","",VLOOKUP(AD93,Varsayımlar!$B:$Q,15,0))</f>
        <v/>
      </c>
      <c r="AB93" s="67" t="str">
        <f>IF(B93="","",VLOOKUP(AD93,Varsayımlar!$B:$Q,16,0))</f>
        <v/>
      </c>
      <c r="AC93" s="67"/>
      <c r="AD93" s="57" t="str">
        <f t="shared" si="9"/>
        <v/>
      </c>
    </row>
    <row r="94" spans="1:30" x14ac:dyDescent="0.25">
      <c r="B94" s="86"/>
      <c r="C94" s="87" t="str">
        <f>IF(B94="","",VLOOKUP(AD94,Varsayımlar!$B:$Q,3,0))</f>
        <v/>
      </c>
      <c r="D94" s="87"/>
      <c r="H94" s="57" t="str">
        <f>IF(B94="","",VLOOKUP(AD94,Varsayımlar!$B:$Q,5,0))</f>
        <v/>
      </c>
      <c r="I94" s="57"/>
      <c r="J94" s="57" t="str">
        <f>IF(B94="","",VLOOKUP(AD94,Varsayımlar!$B:$Q,6,0))</f>
        <v/>
      </c>
      <c r="P94" s="57" t="str">
        <f>IF(B94="","",VLOOKUP(AD94,Varsayımlar!$B:$Q,7,0)*K94)</f>
        <v/>
      </c>
      <c r="Q94" s="57" t="str">
        <f>IF(B94="","",VLOOKUP(AD94,Varsayımlar!$B:$Q,8,0))</f>
        <v/>
      </c>
      <c r="R94" s="57" t="str">
        <f>IF(B94="","",VLOOKUP(AD94,Varsayımlar!$B:$Q,9,0))</f>
        <v/>
      </c>
      <c r="S94" s="57" t="str">
        <f>IF(B94="","",VLOOKUP(AD94,Varsayımlar!$B:$Q,10,0))</f>
        <v/>
      </c>
      <c r="T94" s="57" t="str">
        <f>IF(B94="","",VLOOKUP(AD94,Varsayımlar!$B:$Q,11,0))</f>
        <v/>
      </c>
      <c r="U94" s="57" t="str">
        <f>IF(B94="","",VLOOKUP(AD94,Varsayımlar!$B:$Q,12,0))</f>
        <v/>
      </c>
      <c r="V94" s="57" t="str">
        <f>IF(B94="","",VLOOKUP(AD94,Varsayımlar!$B:$Q,13,0))</f>
        <v/>
      </c>
      <c r="W94" s="57" t="str">
        <f>IF(B94="","",VLOOKUP(AD94,Varsayımlar!$B:$Q,14,0))</f>
        <v/>
      </c>
      <c r="AA94" s="57" t="str">
        <f>IF(B94="","",VLOOKUP(AD94,Varsayımlar!$B:$Q,15,0))</f>
        <v/>
      </c>
      <c r="AB94" s="57" t="str">
        <f>IF(B94="","",VLOOKUP(AD94,Varsayımlar!$B:$Q,16,0))</f>
        <v/>
      </c>
      <c r="AC94" s="57" t="str">
        <f>IF(B94="","",VLOOKUP(Sayfa1!AD93,Varsayımlar!B:S,18,0))</f>
        <v/>
      </c>
      <c r="AD94" s="57" t="str">
        <f t="shared" si="9"/>
        <v/>
      </c>
    </row>
    <row r="95" spans="1:30" x14ac:dyDescent="0.25">
      <c r="C95" s="53" t="str">
        <f>IF(B95="","",VLOOKUP(AD95,Varsayımlar!$B:$Q,3,0))</f>
        <v/>
      </c>
      <c r="H95" s="7" t="str">
        <f>IF(B95="","",VLOOKUP(AD95,Varsayımlar!$B:$Q,5,0))</f>
        <v/>
      </c>
      <c r="J95" s="7" t="str">
        <f>IF(B95="","",VLOOKUP(AD95,Varsayımlar!$B:$Q,6,0))</f>
        <v/>
      </c>
      <c r="P95" s="7" t="str">
        <f>IF(B95="","",VLOOKUP(AD95,Varsayımlar!$B:$Q,7,0)*K95)</f>
        <v/>
      </c>
      <c r="Q95" s="7" t="str">
        <f>IF(B95="","",VLOOKUP(AD95,Varsayımlar!$B:$Q,8,0))</f>
        <v/>
      </c>
      <c r="R95" s="7" t="str">
        <f>IF(B95="","",VLOOKUP(AD95,Varsayımlar!$B:$Q,9,0))</f>
        <v/>
      </c>
      <c r="S95" s="7" t="str">
        <f>IF(B95="","",VLOOKUP(AD95,Varsayımlar!$B:$Q,10,0))</f>
        <v/>
      </c>
      <c r="T95" s="7" t="str">
        <f>IF(B95="","",VLOOKUP(AD95,Varsayımlar!$B:$Q,11,0))</f>
        <v/>
      </c>
      <c r="U95" s="7" t="str">
        <f>IF(B95="","",VLOOKUP(AD95,Varsayımlar!$B:$Q,12,0))</f>
        <v/>
      </c>
      <c r="V95" s="7" t="str">
        <f>IF(B95="","",VLOOKUP(AD95,Varsayımlar!$B:$Q,13,0))</f>
        <v/>
      </c>
      <c r="W95" s="7" t="str">
        <f>IF(B95="","",VLOOKUP(AD95,Varsayımlar!$B:$Q,14,0))</f>
        <v/>
      </c>
      <c r="AA95" s="7" t="str">
        <f>IF(B95="","",VLOOKUP(AD95,Varsayımlar!$B:$Q,15,0))</f>
        <v/>
      </c>
      <c r="AB95" s="7" t="str">
        <f>IF(B95="","",VLOOKUP(AD95,Varsayımlar!$B:$Q,16,0))</f>
        <v/>
      </c>
      <c r="AC95" s="7" t="str">
        <f>IF(B95="","",VLOOKUP(Sayfa1!AD94,Varsayımlar!B:S,18,0))</f>
        <v/>
      </c>
      <c r="AD95" s="7" t="str">
        <f t="shared" si="9"/>
        <v/>
      </c>
    </row>
  </sheetData>
  <mergeCells count="5">
    <mergeCell ref="A1:AC1"/>
    <mergeCell ref="A2:Z2"/>
    <mergeCell ref="AB2:AC2"/>
    <mergeCell ref="A45:AB45"/>
    <mergeCell ref="A75:AB75"/>
  </mergeCells>
  <phoneticPr fontId="5" type="noConversion"/>
  <pageMargins left="0.31496062992125984" right="0.31496062992125984" top="0.35433070866141736" bottom="0.35433070866141736" header="0.31496062992125984" footer="0.31496062992125984"/>
  <pageSetup paperSize="9" scale="39" fitToHeight="4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6"/>
  <sheetViews>
    <sheetView zoomScale="70" zoomScaleNormal="70" workbookViewId="0">
      <selection activeCell="J82" sqref="J82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28515625" style="53" hidden="1" customWidth="1"/>
    <col min="4" max="4" width="10.85546875" style="53" customWidth="1"/>
    <col min="5" max="5" width="42" style="53" hidden="1" customWidth="1"/>
    <col min="6" max="6" width="20.140625" style="7" customWidth="1"/>
    <col min="7" max="7" width="24.140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hidden="1" customWidth="1"/>
    <col min="14" max="14" width="13.28515625" style="7" hidden="1" customWidth="1"/>
    <col min="15" max="15" width="6.28515625" style="7" hidden="1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0.28515625" style="7" bestFit="1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7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46182</v>
      </c>
      <c r="AB2" s="185">
        <v>0.70833333333333337</v>
      </c>
      <c r="AC2" s="186"/>
    </row>
    <row r="3" spans="1:30" ht="63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9" customHeight="1" x14ac:dyDescent="0.25">
      <c r="A4" s="8" t="s">
        <v>26</v>
      </c>
      <c r="B4" s="54" t="s">
        <v>64</v>
      </c>
      <c r="C4" s="39">
        <f>IF(B4="","",VLOOKUP(AD4,Varsayımlar!$B:$Q,3,0))</f>
        <v>8698829380698</v>
      </c>
      <c r="D4" s="39"/>
      <c r="E4" s="54" t="s">
        <v>176</v>
      </c>
      <c r="F4" s="54"/>
      <c r="G4" s="39" t="s">
        <v>68</v>
      </c>
      <c r="H4" s="54" t="str">
        <f>IF(B4="","",VLOOKUP(AD4,Varsayımlar!$B:$Q,5,0))</f>
        <v>Tortillas 20cm (Samakat Bilgileri Ekli)</v>
      </c>
      <c r="I4" s="54">
        <f>IF(B4="","",VLOOKUP(AD4,Varsayımlar!B:T,19,0))</f>
        <v>0</v>
      </c>
      <c r="J4" s="54" t="str">
        <f>IF(B4="","",VLOOKUP(AD4,Varsayımlar!$B:$Q,6,0))</f>
        <v>PEYNİRLİ</v>
      </c>
      <c r="K4" s="54">
        <v>7200</v>
      </c>
      <c r="L4" s="54">
        <v>6945</v>
      </c>
      <c r="M4" s="54">
        <f>IFERROR(IF(B4="","",K4/VLOOKUP(AD4,Varsayımlar!B:R,17,0)),"")</f>
        <v>32</v>
      </c>
      <c r="N4" s="54">
        <v>225</v>
      </c>
      <c r="O4" s="54">
        <v>2</v>
      </c>
      <c r="P4" s="54">
        <f>IF(B4="","",VLOOKUP(AD4,Varsayımlar!$B:$Q,7,0)*K4)</f>
        <v>100800</v>
      </c>
      <c r="Q4" s="54">
        <f>IF(B4="","",VLOOKUP(AD4,Varsayımlar!$B:$Q,8,0))</f>
        <v>20</v>
      </c>
      <c r="R4" s="54" t="str">
        <f>IF(B4="","",VLOOKUP(AD4,Varsayımlar!$B:$Q,9,0))</f>
        <v>IRAK SOFT-AT</v>
      </c>
      <c r="S4" s="54">
        <f>IF(B4="","",VLOOKUP(AD4,Varsayımlar!$B:$Q,10,0))</f>
        <v>4</v>
      </c>
      <c r="T4" s="54">
        <f>IF(B4="","",VLOOKUP(AD4,Varsayımlar!$B:$Q,11,0))</f>
        <v>14</v>
      </c>
      <c r="U4" s="54">
        <f>IF(B4="","",VLOOKUP(AD4,Varsayımlar!$B:$Q,12,0))</f>
        <v>166</v>
      </c>
      <c r="V4" s="54" t="str">
        <f>IF(B4="","",VLOOKUP(AD4,Varsayımlar!$B:$Q,13,0))</f>
        <v>YURTDIŞI</v>
      </c>
      <c r="W4" s="54">
        <f>IF(B4="","",VLOOKUP(AD4,Varsayımlar!$B:$Q,14,0))</f>
        <v>9</v>
      </c>
      <c r="X4" s="56">
        <v>46184</v>
      </c>
      <c r="Y4" s="56">
        <v>46457</v>
      </c>
      <c r="Z4" s="54" t="s">
        <v>333</v>
      </c>
      <c r="AA4" s="54" t="str">
        <f>IF(B4="","",VLOOKUP(AD4,Varsayımlar!$B:$Q,15,0))</f>
        <v>Kare Koli-Üretim Tarihli Etiket</v>
      </c>
      <c r="AB4" s="54" t="str">
        <f>IF(B4="","",VLOOKUP(AD4,Varsayımlar!$B:$Q,16,0))</f>
        <v>19-21 cm</v>
      </c>
      <c r="AC4" s="54">
        <f>IF(B4="","",VLOOKUP(Sayfa1!AD5,Varsayımlar!B:S,18,0))</f>
        <v>0</v>
      </c>
      <c r="AD4" s="57" t="str">
        <f t="shared" ref="AD4:AD57" si="0">IF(B4="","",CONCATENATE(B4,E4))</f>
        <v>SMART LLCTortillas 20cm Peynirli 4pcs 166g</v>
      </c>
    </row>
    <row r="5" spans="1:30" ht="31.5" x14ac:dyDescent="0.25">
      <c r="A5" s="8" t="s">
        <v>77</v>
      </c>
      <c r="B5" s="62" t="s">
        <v>302</v>
      </c>
      <c r="C5" s="32">
        <f>IF(B5="","",VLOOKUP(AD5,Varsayımlar!$B:$Q,3,0))</f>
        <v>8698829380698</v>
      </c>
      <c r="D5" s="32"/>
      <c r="E5" s="62" t="s">
        <v>309</v>
      </c>
      <c r="F5" s="62"/>
      <c r="G5" s="32" t="s">
        <v>68</v>
      </c>
      <c r="H5" s="62" t="str">
        <f>IF(B5="","",VLOOKUP(AD5,Varsayımlar!$B:$Q,5,0))</f>
        <v>Baskısız 30cm</v>
      </c>
      <c r="I5" s="62" t="str">
        <f>IF(B5="","",VLOOKUP(AD5,Varsayımlar!B:T,19,0))</f>
        <v>Tüm Bilgiler TB</v>
      </c>
      <c r="J5" s="62" t="str">
        <f>IF(B5="","",VLOOKUP(AD5,Varsayımlar!$B:$Q,6,0))</f>
        <v>Tam Buğdaylı</v>
      </c>
      <c r="K5" s="62">
        <v>576</v>
      </c>
      <c r="L5" s="62"/>
      <c r="M5" s="62" t="str">
        <f>IFERROR(IF(B5="","",K5/VLOOKUP(AD5,Varsayımlar!B:R,17,0)),"")</f>
        <v/>
      </c>
      <c r="N5" s="62">
        <v>72</v>
      </c>
      <c r="O5" s="62">
        <v>2</v>
      </c>
      <c r="P5" s="62">
        <f>IF(B5="","",VLOOKUP(AD5,Varsayımlar!$B:$Q,7,0)*K5)</f>
        <v>5760</v>
      </c>
      <c r="Q5" s="62">
        <f>IF(B5="","",VLOOKUP(AD5,Varsayımlar!$B:$Q,8,0))</f>
        <v>30</v>
      </c>
      <c r="R5" s="62" t="str">
        <f>IF(B5="","",VLOOKUP(AD5,Varsayımlar!$B:$Q,9,0))</f>
        <v>Irak soft</v>
      </c>
      <c r="S5" s="62">
        <f>IF(B5="","",VLOOKUP(AD5,Varsayımlar!$B:$Q,10,0))</f>
        <v>12</v>
      </c>
      <c r="T5" s="62">
        <f>IF(B5="","",VLOOKUP(AD5,Varsayımlar!$B:$Q,11,0))</f>
        <v>10</v>
      </c>
      <c r="U5" s="62">
        <f>IF(B5="","",VLOOKUP(AD5,Varsayımlar!$B:$Q,12,0))</f>
        <v>1020</v>
      </c>
      <c r="V5" s="62" t="str">
        <f>IF(B5="","",VLOOKUP(AD5,Varsayımlar!$B:$Q,13,0))</f>
        <v>Yurtdışı</v>
      </c>
      <c r="W5" s="62">
        <f>IF(B5="","",VLOOKUP(AD5,Varsayımlar!$B:$Q,14,0))</f>
        <v>6</v>
      </c>
      <c r="X5" s="63">
        <v>46190</v>
      </c>
      <c r="Y5" s="63">
        <v>46373</v>
      </c>
      <c r="Z5" s="62" t="s">
        <v>336</v>
      </c>
      <c r="AA5" s="62" t="str">
        <f>IF(B5="","",VLOOKUP(AD5,Varsayımlar!$B:$Q,15,0))</f>
        <v>30cm Kolisi-Etiketli</v>
      </c>
      <c r="AB5" s="62" t="str">
        <f>IF(B5="","",VLOOKUP(AD5,Varsayımlar!$B:$Q,16,0))</f>
        <v>29-31 cm</v>
      </c>
      <c r="AC5" s="62">
        <f>IF(B5="","",VLOOKUP(Sayfa1!AD12,Varsayımlar!B:S,18,0))</f>
        <v>0</v>
      </c>
      <c r="AD5" s="57" t="str">
        <f t="shared" si="0"/>
        <v>TVK ImportBaskısız 30cm TB 12pcs 1020g</v>
      </c>
    </row>
    <row r="6" spans="1:30" ht="31.5" x14ac:dyDescent="0.25">
      <c r="A6" s="8" t="s">
        <v>78</v>
      </c>
      <c r="B6" s="62" t="s">
        <v>218</v>
      </c>
      <c r="C6" s="32">
        <f>IF(B6="","",VLOOKUP(AD6,Varsayımlar!$B:$Q,3,0))</f>
        <v>8698829380698</v>
      </c>
      <c r="D6" s="32" t="s">
        <v>159</v>
      </c>
      <c r="E6" s="62" t="s">
        <v>229</v>
      </c>
      <c r="F6" s="62">
        <v>26042906</v>
      </c>
      <c r="G6" s="32"/>
      <c r="H6" s="62" t="str">
        <f>IF(B6="","",VLOOKUP(AD6,Varsayımlar!$B:$Q,5,0))</f>
        <v>Tortillas Avrupa 25cm Tam Buğday (711)</v>
      </c>
      <c r="I6" s="62">
        <f>IF(B6="","",VLOOKUP(AD6,Varsayımlar!B:T,19,0))</f>
        <v>0</v>
      </c>
      <c r="J6" s="62" t="str">
        <f>IF(B6="","",VLOOKUP(AD6,Varsayımlar!$B:$Q,6,0))</f>
        <v>Tam Buğdaylı</v>
      </c>
      <c r="K6" s="62">
        <v>841</v>
      </c>
      <c r="L6" s="62"/>
      <c r="M6" s="62">
        <f>IFERROR(IF(B6="","",K6/VLOOKUP(AD6,Varsayımlar!B:R,17,0)),"")</f>
        <v>7.0083333333333337</v>
      </c>
      <c r="N6" s="62"/>
      <c r="O6" s="62">
        <v>9</v>
      </c>
      <c r="P6" s="62">
        <f>IF(B6="","",VLOOKUP(AD6,Varsayımlar!$B:$Q,7,0)*K6)</f>
        <v>6728</v>
      </c>
      <c r="Q6" s="62">
        <f>IF(B6="","",VLOOKUP(AD6,Varsayımlar!$B:$Q,8,0))</f>
        <v>25</v>
      </c>
      <c r="R6" s="62" t="str">
        <f>IF(B6="","",VLOOKUP(AD6,Varsayımlar!$B:$Q,9,0))</f>
        <v>Irak Soft</v>
      </c>
      <c r="S6" s="62">
        <f>IF(B6="","",VLOOKUP(AD6,Varsayımlar!$B:$Q,10,0))</f>
        <v>10</v>
      </c>
      <c r="T6" s="62">
        <f>IF(B6="","",VLOOKUP(AD6,Varsayımlar!$B:$Q,11,0))</f>
        <v>8</v>
      </c>
      <c r="U6" s="62">
        <f>IF(B6="","",VLOOKUP(AD6,Varsayımlar!$B:$Q,12,0))</f>
        <v>650</v>
      </c>
      <c r="V6" s="62" t="str">
        <f>IF(B6="","",VLOOKUP(AD6,Varsayımlar!$B:$Q,13,0))</f>
        <v>Yurtdışı</v>
      </c>
      <c r="W6" s="62">
        <f>IF(B6="","",VLOOKUP(AD6,Varsayımlar!$B:$Q,14,0))</f>
        <v>9</v>
      </c>
      <c r="X6" s="63">
        <v>46183</v>
      </c>
      <c r="Y6" s="63">
        <v>46456</v>
      </c>
      <c r="Z6" s="62" t="s">
        <v>355</v>
      </c>
      <c r="AA6" s="62" t="str">
        <f>IF(B6="","",VLOOKUP(AD6,Varsayımlar!$B:$Q,15,0))</f>
        <v>25cm Perforeli-Bulgarca TB etiket</v>
      </c>
      <c r="AB6" s="62" t="str">
        <f>IF(B6="","",VLOOKUP(AD6,Varsayımlar!$B:$Q,16,0))</f>
        <v>24-26 cm</v>
      </c>
      <c r="AC6" s="62" t="str">
        <f>IF(B6="","",VLOOKUP(Sayfa1!AD52,Varsayımlar!B:S,18,0))</f>
        <v>80x120cm -Epal+Epal</v>
      </c>
      <c r="AD6" s="57" t="str">
        <f t="shared" ref="AD6:AD11" si="1">IF(B6="","",CONCATENATE(B6,E6))</f>
        <v>TASTE LAND-BULGARİSTANTortillas 25cm Tam Buğday 10pcs 650g</v>
      </c>
    </row>
    <row r="7" spans="1:30" ht="47.25" x14ac:dyDescent="0.25">
      <c r="A7" s="8" t="s">
        <v>79</v>
      </c>
      <c r="B7" s="62" t="s">
        <v>218</v>
      </c>
      <c r="C7" s="32">
        <f>IF(B7="","",VLOOKUP(AD7,Varsayımlar!$B:$Q,3,0))</f>
        <v>8698829380698</v>
      </c>
      <c r="D7" s="32" t="s">
        <v>159</v>
      </c>
      <c r="E7" s="62" t="s">
        <v>232</v>
      </c>
      <c r="F7" s="62">
        <v>26042906</v>
      </c>
      <c r="G7" s="32"/>
      <c r="H7" s="62" t="str">
        <f>IF(B7="","",VLOOKUP(AD7,Varsayımlar!$B:$Q,5,0))</f>
        <v>Tortillas Avrupa 25cm Domatesli (074)</v>
      </c>
      <c r="I7" s="62">
        <f>IF(B7="","",VLOOKUP(AD7,Varsayımlar!B:T,19,0))</f>
        <v>0</v>
      </c>
      <c r="J7" s="62" t="str">
        <f>IF(B7="","",VLOOKUP(AD7,Varsayımlar!$B:$Q,6,0))</f>
        <v>Domatesli</v>
      </c>
      <c r="K7" s="62">
        <v>363</v>
      </c>
      <c r="L7" s="62">
        <v>22</v>
      </c>
      <c r="M7" s="62">
        <f>IFERROR(IF(B7="","",K7/VLOOKUP(AD7,Varsayımlar!B:R,17,0)),"")</f>
        <v>3.0249999999999999</v>
      </c>
      <c r="N7" s="62"/>
      <c r="O7" s="62">
        <v>4</v>
      </c>
      <c r="P7" s="62">
        <f>IF(B7="","",VLOOKUP(AD7,Varsayımlar!$B:$Q,7,0)*K7)</f>
        <v>4356</v>
      </c>
      <c r="Q7" s="62">
        <f>IF(B7="","",VLOOKUP(AD7,Varsayımlar!$B:$Q,8,0))</f>
        <v>25</v>
      </c>
      <c r="R7" s="62" t="str">
        <f>IF(B7="","",VLOOKUP(AD7,Varsayımlar!$B:$Q,9,0))</f>
        <v>Irak Soft</v>
      </c>
      <c r="S7" s="62">
        <f>IF(B7="","",VLOOKUP(AD7,Varsayımlar!$B:$Q,10,0))</f>
        <v>6</v>
      </c>
      <c r="T7" s="62">
        <f>IF(B7="","",VLOOKUP(AD7,Varsayımlar!$B:$Q,11,0))</f>
        <v>12</v>
      </c>
      <c r="U7" s="62">
        <f>IF(B7="","",VLOOKUP(AD7,Varsayımlar!$B:$Q,12,0))</f>
        <v>390</v>
      </c>
      <c r="V7" s="62" t="str">
        <f>IF(B7="","",VLOOKUP(AD7,Varsayımlar!$B:$Q,13,0))</f>
        <v>Yurtdışı</v>
      </c>
      <c r="W7" s="62">
        <f>IF(B7="","",VLOOKUP(AD7,Varsayımlar!$B:$Q,14,0))</f>
        <v>9</v>
      </c>
      <c r="X7" s="63">
        <v>46183</v>
      </c>
      <c r="Y7" s="63">
        <v>46456</v>
      </c>
      <c r="Z7" s="62" t="s">
        <v>356</v>
      </c>
      <c r="AA7" s="62" t="str">
        <f>IF(B7="","",VLOOKUP(AD7,Varsayımlar!$B:$Q,15,0))</f>
        <v>25cm Perforeli-Bulgarca Domatesli etiket</v>
      </c>
      <c r="AB7" s="62" t="str">
        <f>IF(B7="","",VLOOKUP(AD7,Varsayımlar!$B:$Q,16,0))</f>
        <v>24-26 cm</v>
      </c>
      <c r="AC7" s="62" t="str">
        <f>IF(B7="","",VLOOKUP(Sayfa1!AD53,Varsayımlar!B:S,18,0))</f>
        <v>80x120cm -Epal+Epal</v>
      </c>
      <c r="AD7" s="57" t="str">
        <f t="shared" si="1"/>
        <v>TASTE LAND-BULGARİSTANTortillas 25cm Domatesli 6pcs 390g</v>
      </c>
    </row>
    <row r="8" spans="1:30" ht="47.25" x14ac:dyDescent="0.25">
      <c r="A8" s="8" t="s">
        <v>80</v>
      </c>
      <c r="B8" s="62" t="s">
        <v>218</v>
      </c>
      <c r="C8" s="32">
        <f>IF(B8="","",VLOOKUP(AD8,Varsayımlar!$B:$Q,3,0))</f>
        <v>8698829380698</v>
      </c>
      <c r="D8" s="32" t="s">
        <v>159</v>
      </c>
      <c r="E8" s="62" t="s">
        <v>235</v>
      </c>
      <c r="F8" s="62">
        <v>26042906</v>
      </c>
      <c r="G8" s="32"/>
      <c r="H8" s="62" t="str">
        <f>IF(B8="","",VLOOKUP(AD8,Varsayımlar!$B:$Q,5,0))</f>
        <v>Tortillas Avrupa 25cm Ispanaklı (081)</v>
      </c>
      <c r="I8" s="62">
        <f>IF(B8="","",VLOOKUP(AD8,Varsayımlar!B:T,19,0))</f>
        <v>0</v>
      </c>
      <c r="J8" s="62" t="str">
        <f>IF(B8="","",VLOOKUP(AD8,Varsayımlar!$B:$Q,6,0))</f>
        <v>Ispanaklı</v>
      </c>
      <c r="K8" s="62">
        <v>361</v>
      </c>
      <c r="L8" s="62">
        <v>4</v>
      </c>
      <c r="M8" s="62">
        <f>IFERROR(IF(B8="","",K8/VLOOKUP(AD8,Varsayımlar!B:R,17,0)),"")</f>
        <v>3.0083333333333333</v>
      </c>
      <c r="N8" s="62"/>
      <c r="O8" s="62">
        <v>4</v>
      </c>
      <c r="P8" s="62">
        <f>IF(B8="","",VLOOKUP(AD8,Varsayımlar!$B:$Q,7,0)*K8)</f>
        <v>4332</v>
      </c>
      <c r="Q8" s="62">
        <f>IF(B8="","",VLOOKUP(AD8,Varsayımlar!$B:$Q,8,0))</f>
        <v>25</v>
      </c>
      <c r="R8" s="62" t="str">
        <f>IF(B8="","",VLOOKUP(AD8,Varsayımlar!$B:$Q,9,0))</f>
        <v>Irak Soft</v>
      </c>
      <c r="S8" s="62">
        <f>IF(B8="","",VLOOKUP(AD8,Varsayımlar!$B:$Q,10,0))</f>
        <v>6</v>
      </c>
      <c r="T8" s="62">
        <f>IF(B8="","",VLOOKUP(AD8,Varsayımlar!$B:$Q,11,0))</f>
        <v>12</v>
      </c>
      <c r="U8" s="62">
        <f>IF(B8="","",VLOOKUP(AD8,Varsayımlar!$B:$Q,12,0))</f>
        <v>390</v>
      </c>
      <c r="V8" s="62" t="str">
        <f>IF(B8="","",VLOOKUP(AD8,Varsayımlar!$B:$Q,13,0))</f>
        <v>Yurtdışı</v>
      </c>
      <c r="W8" s="62">
        <f>IF(B8="","",VLOOKUP(AD8,Varsayımlar!$B:$Q,14,0))</f>
        <v>9</v>
      </c>
      <c r="X8" s="63">
        <v>46183</v>
      </c>
      <c r="Y8" s="63">
        <v>46456</v>
      </c>
      <c r="Z8" s="62" t="s">
        <v>357</v>
      </c>
      <c r="AA8" s="62" t="str">
        <f>IF(B8="","",VLOOKUP(AD8,Varsayımlar!$B:$Q,15,0))</f>
        <v>25cm Perforeli-Bulgarca Ispanaklı etiket</v>
      </c>
      <c r="AB8" s="62" t="str">
        <f>IF(B8="","",VLOOKUP(AD8,Varsayımlar!$B:$Q,16,0))</f>
        <v>24-26 cm</v>
      </c>
      <c r="AC8" s="62" t="str">
        <f>IF(B8="","",VLOOKUP(Sayfa1!AD54,Varsayımlar!B:S,18,0))</f>
        <v>80x120cm -Epal+Epal</v>
      </c>
      <c r="AD8" s="57" t="str">
        <f t="shared" si="1"/>
        <v>TASTE LAND-BULGARİSTANTortillas 25cm Ispanaklı 6pcs 390g</v>
      </c>
    </row>
    <row r="9" spans="1:30" ht="47.25" x14ac:dyDescent="0.25">
      <c r="A9" s="8" t="s">
        <v>81</v>
      </c>
      <c r="B9" s="62" t="s">
        <v>218</v>
      </c>
      <c r="C9" s="32">
        <f>IF(B9="","",VLOOKUP(AD9,Varsayımlar!$B:$Q,3,0))</f>
        <v>8698829380698</v>
      </c>
      <c r="D9" s="32" t="s">
        <v>159</v>
      </c>
      <c r="E9" s="62" t="s">
        <v>240</v>
      </c>
      <c r="F9" s="62">
        <v>26042906</v>
      </c>
      <c r="G9" s="32"/>
      <c r="H9" s="62" t="str">
        <f>IF(B9="","",VLOOKUP(AD9,Varsayımlar!$B:$Q,5,0))</f>
        <v>Tortillas Avrupa 25cm Peynirli (098)</v>
      </c>
      <c r="I9" s="62">
        <f>IF(B9="","",VLOOKUP(AD9,Varsayımlar!B:T,19,0))</f>
        <v>0</v>
      </c>
      <c r="J9" s="62" t="str">
        <f>IF(B9="","",VLOOKUP(AD9,Varsayımlar!$B:$Q,6,0))</f>
        <v>Peynirli</v>
      </c>
      <c r="K9" s="62">
        <v>241</v>
      </c>
      <c r="L9" s="62">
        <v>4</v>
      </c>
      <c r="M9" s="62">
        <f>IFERROR(IF(B9="","",K9/VLOOKUP(AD9,Varsayımlar!B:R,17,0)),"")</f>
        <v>2.0083333333333333</v>
      </c>
      <c r="N9" s="62"/>
      <c r="O9" s="62">
        <v>3</v>
      </c>
      <c r="P9" s="62">
        <f>IF(B9="","",VLOOKUP(AD9,Varsayımlar!$B:$Q,7,0)*K9)</f>
        <v>2892</v>
      </c>
      <c r="Q9" s="62">
        <f>IF(B9="","",VLOOKUP(AD9,Varsayımlar!$B:$Q,8,0))</f>
        <v>25</v>
      </c>
      <c r="R9" s="62" t="str">
        <f>IF(B9="","",VLOOKUP(AD9,Varsayımlar!$B:$Q,9,0))</f>
        <v>Irak Soft-AT</v>
      </c>
      <c r="S9" s="62">
        <f>IF(B9="","",VLOOKUP(AD9,Varsayımlar!$B:$Q,10,0))</f>
        <v>6</v>
      </c>
      <c r="T9" s="62">
        <f>IF(B9="","",VLOOKUP(AD9,Varsayımlar!$B:$Q,11,0))</f>
        <v>12</v>
      </c>
      <c r="U9" s="62">
        <f>IF(B9="","",VLOOKUP(AD9,Varsayımlar!$B:$Q,12,0))</f>
        <v>390</v>
      </c>
      <c r="V9" s="62" t="str">
        <f>IF(B9="","",VLOOKUP(AD9,Varsayımlar!$B:$Q,13,0))</f>
        <v>Yurtdışı</v>
      </c>
      <c r="W9" s="62">
        <f>IF(B9="","",VLOOKUP(AD9,Varsayımlar!$B:$Q,14,0))</f>
        <v>9</v>
      </c>
      <c r="X9" s="63">
        <v>46183</v>
      </c>
      <c r="Y9" s="63">
        <v>46456</v>
      </c>
      <c r="Z9" s="62" t="s">
        <v>358</v>
      </c>
      <c r="AA9" s="62" t="str">
        <f>IF(B9="","",VLOOKUP(AD9,Varsayımlar!$B:$Q,15,0))</f>
        <v>25cm Perforeli-Bulgarca Peynirli etiket</v>
      </c>
      <c r="AB9" s="62" t="str">
        <f>IF(B9="","",VLOOKUP(AD9,Varsayımlar!$B:$Q,16,0))</f>
        <v>24-26 cm</v>
      </c>
      <c r="AC9" s="62" t="str">
        <f>IF(B9="","",VLOOKUP(Sayfa1!AD55,Varsayımlar!B:S,18,0))</f>
        <v>80x120cm -Epal+Epal</v>
      </c>
      <c r="AD9" s="57" t="str">
        <f t="shared" si="1"/>
        <v>TASTE LAND-BULGARİSTANTortillas 25cm Peynirli 6pcs 390g</v>
      </c>
    </row>
    <row r="10" spans="1:30" ht="31.5" x14ac:dyDescent="0.25">
      <c r="A10" s="8" t="s">
        <v>82</v>
      </c>
      <c r="B10" s="67" t="s">
        <v>64</v>
      </c>
      <c r="C10" s="42">
        <f>IF(B10="","",VLOOKUP(AD10,Varsayımlar!$B:$Q,3,0))</f>
        <v>8698829380698</v>
      </c>
      <c r="D10" s="42"/>
      <c r="E10" s="67" t="s">
        <v>176</v>
      </c>
      <c r="F10" s="67"/>
      <c r="G10" s="42" t="s">
        <v>68</v>
      </c>
      <c r="H10" s="67" t="str">
        <f>IF(B10="","",VLOOKUP(AD10,Varsayımlar!$B:$Q,5,0))</f>
        <v>Tortillas 20cm (Samakat Bilgileri Ekli)</v>
      </c>
      <c r="I10" s="67">
        <f>IF(B10="","",VLOOKUP(AD10,Varsayımlar!B:T,19,0))</f>
        <v>0</v>
      </c>
      <c r="J10" s="67" t="str">
        <f>IF(B10="","",VLOOKUP(AD10,Varsayımlar!$B:$Q,6,0))</f>
        <v>PEYNİRLİ</v>
      </c>
      <c r="K10" s="67">
        <v>1350</v>
      </c>
      <c r="L10" s="67"/>
      <c r="M10" s="67">
        <f>IFERROR(IF(B10="","",K10/VLOOKUP(AD10,Varsayımlar!B:R,17,0)),"")</f>
        <v>6</v>
      </c>
      <c r="N10" s="67">
        <v>225</v>
      </c>
      <c r="O10" s="67">
        <v>11</v>
      </c>
      <c r="P10" s="67">
        <f>IF(B10="","",VLOOKUP(AD10,Varsayımlar!$B:$Q,7,0)*K10)</f>
        <v>18900</v>
      </c>
      <c r="Q10" s="67">
        <f>IF(B10="","",VLOOKUP(AD10,Varsayımlar!$B:$Q,8,0))</f>
        <v>20</v>
      </c>
      <c r="R10" s="67" t="str">
        <f>IF(B10="","",VLOOKUP(AD10,Varsayımlar!$B:$Q,9,0))</f>
        <v>IRAK SOFT-AT</v>
      </c>
      <c r="S10" s="67">
        <f>IF(B10="","",VLOOKUP(AD10,Varsayımlar!$B:$Q,10,0))</f>
        <v>4</v>
      </c>
      <c r="T10" s="67">
        <f>IF(B10="","",VLOOKUP(AD10,Varsayımlar!$B:$Q,11,0))</f>
        <v>14</v>
      </c>
      <c r="U10" s="67">
        <f>IF(B10="","",VLOOKUP(AD10,Varsayımlar!$B:$Q,12,0))</f>
        <v>166</v>
      </c>
      <c r="V10" s="67" t="str">
        <f>IF(B10="","",VLOOKUP(AD10,Varsayımlar!$B:$Q,13,0))</f>
        <v>YURTDIŞI</v>
      </c>
      <c r="W10" s="67">
        <f>IF(B10="","",VLOOKUP(AD10,Varsayımlar!$B:$Q,14,0))</f>
        <v>9</v>
      </c>
      <c r="X10" s="69">
        <v>46188</v>
      </c>
      <c r="Y10" s="69">
        <v>46461</v>
      </c>
      <c r="Z10" s="67" t="s">
        <v>172</v>
      </c>
      <c r="AA10" s="67" t="str">
        <f>IF(B10="","",VLOOKUP(AD10,Varsayımlar!$B:$Q,15,0))</f>
        <v>Kare Koli-Üretim Tarihli Etiket</v>
      </c>
      <c r="AB10" s="67" t="str">
        <f>IF(B10="","",VLOOKUP(AD10,Varsayımlar!$B:$Q,16,0))</f>
        <v>19-21 cm</v>
      </c>
      <c r="AC10" s="67">
        <f>IF(B10="","",VLOOKUP(Sayfa1!AD9,Varsayımlar!B:S,18,0))</f>
        <v>0</v>
      </c>
      <c r="AD10" s="57" t="str">
        <f t="shared" si="1"/>
        <v>SMART LLCTortillas 20cm Peynirli 4pcs 166g</v>
      </c>
    </row>
    <row r="11" spans="1:30" ht="31.5" x14ac:dyDescent="0.25">
      <c r="A11" s="8" t="s">
        <v>83</v>
      </c>
      <c r="B11" s="62" t="s">
        <v>302</v>
      </c>
      <c r="C11" s="32">
        <f>IF(B11="","",VLOOKUP(AD11,Varsayımlar!$B:$Q,3,0))</f>
        <v>8698829380698</v>
      </c>
      <c r="D11" s="32"/>
      <c r="E11" s="62" t="s">
        <v>310</v>
      </c>
      <c r="F11" s="62"/>
      <c r="G11" s="32" t="s">
        <v>68</v>
      </c>
      <c r="H11" s="62" t="str">
        <f>IF(B11="","",VLOOKUP(AD11,Varsayımlar!$B:$Q,5,0))</f>
        <v>Baskısız 30cm</v>
      </c>
      <c r="I11" s="62" t="str">
        <f>IF(B11="","",VLOOKUP(AD11,Varsayımlar!B:T,19,0))</f>
        <v>Tüm Bilgiler Ispanaklı</v>
      </c>
      <c r="J11" s="62" t="str">
        <f>IF(B11="","",VLOOKUP(AD11,Varsayımlar!$B:$Q,6,0))</f>
        <v>Ispanaklı</v>
      </c>
      <c r="K11" s="62">
        <v>144</v>
      </c>
      <c r="L11" s="62"/>
      <c r="M11" s="62" t="str">
        <f>IFERROR(IF(B11="","",K11/VLOOKUP(AD11,Varsayımlar!B:R,17,0)),"")</f>
        <v/>
      </c>
      <c r="N11" s="62"/>
      <c r="O11" s="62">
        <v>3</v>
      </c>
      <c r="P11" s="62">
        <f>IF(B11="","",VLOOKUP(AD11,Varsayımlar!$B:$Q,7,0)*K11)</f>
        <v>1440</v>
      </c>
      <c r="Q11" s="62">
        <f>IF(B11="","",VLOOKUP(AD11,Varsayımlar!$B:$Q,8,0))</f>
        <v>30</v>
      </c>
      <c r="R11" s="62" t="str">
        <f>IF(B11="","",VLOOKUP(AD11,Varsayımlar!$B:$Q,9,0))</f>
        <v>Irak soft</v>
      </c>
      <c r="S11" s="62">
        <f>IF(B11="","",VLOOKUP(AD11,Varsayımlar!$B:$Q,10,0))</f>
        <v>12</v>
      </c>
      <c r="T11" s="62">
        <f>IF(B11="","",VLOOKUP(AD11,Varsayımlar!$B:$Q,11,0))</f>
        <v>10</v>
      </c>
      <c r="U11" s="62">
        <f>IF(B11="","",VLOOKUP(AD11,Varsayımlar!$B:$Q,12,0))</f>
        <v>1020</v>
      </c>
      <c r="V11" s="62" t="str">
        <f>IF(B11="","",VLOOKUP(AD11,Varsayımlar!$B:$Q,13,0))</f>
        <v>Yurtdışı</v>
      </c>
      <c r="W11" s="62">
        <f>IF(B11="","",VLOOKUP(AD11,Varsayımlar!$B:$Q,14,0))</f>
        <v>6</v>
      </c>
      <c r="X11" s="63">
        <v>46190</v>
      </c>
      <c r="Y11" s="63">
        <v>46373</v>
      </c>
      <c r="Z11" s="62" t="s">
        <v>337</v>
      </c>
      <c r="AA11" s="62" t="str">
        <f>IF(B11="","",VLOOKUP(AD11,Varsayımlar!$B:$Q,15,0))</f>
        <v>30cm Kolisi-Etiketli</v>
      </c>
      <c r="AB11" s="62" t="str">
        <f>IF(B11="","",VLOOKUP(AD11,Varsayımlar!$B:$Q,16,0))</f>
        <v>29-31 cm</v>
      </c>
      <c r="AC11" s="62">
        <f>IF(B11="","",VLOOKUP(Sayfa1!AD13,Varsayımlar!B:S,18,0))</f>
        <v>0</v>
      </c>
      <c r="AD11" s="57" t="str">
        <f t="shared" si="1"/>
        <v>TVK ImportBaskısız 30cm Ispanaklı 12pcs 1020g</v>
      </c>
    </row>
    <row r="12" spans="1:30" ht="47.25" x14ac:dyDescent="0.25">
      <c r="A12" s="8" t="s">
        <v>84</v>
      </c>
      <c r="B12" s="62" t="s">
        <v>409</v>
      </c>
      <c r="C12" s="32">
        <f>IF(B12="","",VLOOKUP(AD12,Varsayımlar!$B:$Q,3,0))</f>
        <v>8698829380698</v>
      </c>
      <c r="D12" s="32"/>
      <c r="E12" s="32" t="s">
        <v>410</v>
      </c>
      <c r="F12" s="62"/>
      <c r="G12" s="32"/>
      <c r="H12" s="62" t="str">
        <f>IF(B12="","",VLOOKUP(AD12,Varsayımlar!$B:$Q,5,0))</f>
        <v>Baskısız 30cm</v>
      </c>
      <c r="I12" s="62" t="str">
        <f>IF(B12="","",VLOOKUP(AD12,Varsayımlar!B:T,19,0))</f>
        <v>Donipa 30cm 18pcs 1710g etiketli</v>
      </c>
      <c r="J12" s="62" t="str">
        <f>IF(B12="","",VLOOKUP(AD12,Varsayımlar!$B:$Q,6,0))</f>
        <v>SADE</v>
      </c>
      <c r="K12" s="62">
        <v>100</v>
      </c>
      <c r="L12" s="62"/>
      <c r="M12" s="62" t="str">
        <f>IFERROR(IF(B12="","",K12/VLOOKUP(AD12,Varsayımlar!B:R,17,0)),"")</f>
        <v/>
      </c>
      <c r="N12" s="62"/>
      <c r="O12" s="62">
        <v>3</v>
      </c>
      <c r="P12" s="62">
        <f>IF(B12="","",VLOOKUP(AD12,Varsayımlar!$B:$Q,7,0)*K12)</f>
        <v>600</v>
      </c>
      <c r="Q12" s="62">
        <f>IF(B12="","",VLOOKUP(AD12,Varsayımlar!$B:$Q,8,0))</f>
        <v>30</v>
      </c>
      <c r="R12" s="62" t="str">
        <f>IF(B12="","",VLOOKUP(AD12,Varsayımlar!$B:$Q,9,0))</f>
        <v>Irak soft</v>
      </c>
      <c r="S12" s="62">
        <f>IF(B12="","",VLOOKUP(AD12,Varsayımlar!$B:$Q,10,0))</f>
        <v>18</v>
      </c>
      <c r="T12" s="62">
        <f>IF(B12="","",VLOOKUP(AD12,Varsayımlar!$B:$Q,11,0))</f>
        <v>6</v>
      </c>
      <c r="U12" s="62">
        <f>IF(B12="","",VLOOKUP(AD12,Varsayımlar!$B:$Q,12,0))</f>
        <v>1710</v>
      </c>
      <c r="V12" s="62" t="str">
        <f>IF(B12="","",VLOOKUP(AD12,Varsayımlar!$B:$Q,13,0))</f>
        <v>Yurtiçi</v>
      </c>
      <c r="W12" s="62">
        <f>IF(B12="","",VLOOKUP(AD12,Varsayımlar!$B:$Q,14,0))</f>
        <v>6</v>
      </c>
      <c r="X12" s="63" t="s">
        <v>113</v>
      </c>
      <c r="Y12" s="63" t="s">
        <v>113</v>
      </c>
      <c r="Z12" s="63" t="s">
        <v>113</v>
      </c>
      <c r="AA12" s="62" t="str">
        <f>IF(B12="","",VLOOKUP(AD12,Varsayımlar!$B:$Q,15,0))</f>
        <v>30cm koli-Etiketli</v>
      </c>
      <c r="AB12" s="62" t="str">
        <f>IF(B12="","",VLOOKUP(AD12,Varsayımlar!$B:$Q,16,0))</f>
        <v>29-31 cm</v>
      </c>
      <c r="AC12" s="62">
        <f>IF(B12="","",VLOOKUP(Sayfa1!AD14,Varsayımlar!B:S,18,0))</f>
        <v>0</v>
      </c>
      <c r="AD12" s="57" t="str">
        <f t="shared" ref="AD12" si="2">IF(B12="","",CONCATENATE(B12,E12))</f>
        <v>DonipaDonipa 30cm 18pcs 1710g</v>
      </c>
    </row>
    <row r="13" spans="1:30" ht="31.5" x14ac:dyDescent="0.25">
      <c r="A13" s="8" t="s">
        <v>85</v>
      </c>
      <c r="B13" s="58" t="s">
        <v>64</v>
      </c>
      <c r="C13" s="40">
        <f>IF(B13="","",VLOOKUP(AD13,Varsayımlar!$B:$Q,3,0))</f>
        <v>8698829380698</v>
      </c>
      <c r="D13" s="40"/>
      <c r="E13" s="58" t="s">
        <v>296</v>
      </c>
      <c r="F13" s="58"/>
      <c r="G13" s="40" t="s">
        <v>68</v>
      </c>
      <c r="H13" s="58" t="str">
        <f>IF(B13="","",VLOOKUP(AD13,Varsayımlar!$B:$Q,5,0))</f>
        <v>Tortillas 20cm Çok Tahıllı</v>
      </c>
      <c r="I13" s="58">
        <f>IF(B13="","",VLOOKUP(AD13,Varsayımlar!B:T,19,0))</f>
        <v>0</v>
      </c>
      <c r="J13" s="58" t="str">
        <f>IF(B13="","",VLOOKUP(AD13,Varsayımlar!$B:$Q,6,0))</f>
        <v>Çok Tahıllı</v>
      </c>
      <c r="K13" s="58">
        <v>5625</v>
      </c>
      <c r="L13" s="58"/>
      <c r="M13" s="58">
        <f>IFERROR(IF(B13="","",K13/VLOOKUP(AD13,Varsayımlar!B:R,17,0)),"")</f>
        <v>25</v>
      </c>
      <c r="N13" s="58">
        <v>225</v>
      </c>
      <c r="O13" s="58">
        <v>45</v>
      </c>
      <c r="P13" s="58">
        <f>IF(B13="","",VLOOKUP(AD13,Varsayımlar!$B:$Q,7,0)*K13)</f>
        <v>78750</v>
      </c>
      <c r="Q13" s="58">
        <f>IF(B13="","",VLOOKUP(AD13,Varsayımlar!$B:$Q,8,0))</f>
        <v>20</v>
      </c>
      <c r="R13" s="58" t="str">
        <f>IF(B13="","",VLOOKUP(AD13,Varsayımlar!$B:$Q,9,0))</f>
        <v>Irak Soft</v>
      </c>
      <c r="S13" s="58">
        <f>IF(B13="","",VLOOKUP(AD13,Varsayımlar!$B:$Q,10,0))</f>
        <v>4</v>
      </c>
      <c r="T13" s="58">
        <f>IF(B13="","",VLOOKUP(AD13,Varsayımlar!$B:$Q,11,0))</f>
        <v>14</v>
      </c>
      <c r="U13" s="58">
        <f>IF(B13="","",VLOOKUP(AD13,Varsayımlar!$B:$Q,12,0))</f>
        <v>166</v>
      </c>
      <c r="V13" s="58" t="str">
        <f>IF(B13="","",VLOOKUP(AD13,Varsayımlar!$B:$Q,13,0))</f>
        <v>Yurtdışı</v>
      </c>
      <c r="W13" s="58">
        <f>IF(B13="","",VLOOKUP(AD13,Varsayımlar!$B:$Q,14,0))</f>
        <v>9</v>
      </c>
      <c r="X13" s="60">
        <v>46183</v>
      </c>
      <c r="Y13" s="60">
        <v>46456</v>
      </c>
      <c r="Z13" s="58" t="s">
        <v>334</v>
      </c>
      <c r="AA13" s="58" t="str">
        <f>IF(B13="","",VLOOKUP(AD13,Varsayımlar!$B:$Q,15,0))</f>
        <v>SİYAH KARE KOLİ-Üretim Tarihi Etiketli</v>
      </c>
      <c r="AB13" s="58" t="str">
        <f>IF(B13="","",VLOOKUP(AD13,Varsayımlar!$B:$Q,16,0))</f>
        <v>19-21 cm</v>
      </c>
      <c r="AC13" s="58">
        <f>IF(B13="","",VLOOKUP(Sayfa1!AD8,Varsayımlar!B:S,18,0))</f>
        <v>0</v>
      </c>
      <c r="AD13" s="57" t="str">
        <f t="shared" si="0"/>
        <v>SMART LLCTortillas 20cm Çok Tahıllı 4pcs 166g</v>
      </c>
    </row>
    <row r="14" spans="1:30" ht="31.5" customHeight="1" x14ac:dyDescent="0.25">
      <c r="A14" s="8" t="s">
        <v>86</v>
      </c>
      <c r="B14" s="64" t="s">
        <v>335</v>
      </c>
      <c r="C14" s="3">
        <f>IF(B14="","",VLOOKUP(AD14,Varsayımlar!$B:$Q,3,0))</f>
        <v>8698829380698</v>
      </c>
      <c r="D14" s="3"/>
      <c r="E14" s="64" t="s">
        <v>299</v>
      </c>
      <c r="F14" s="64"/>
      <c r="G14" s="3"/>
      <c r="H14" s="64" t="str">
        <f>IF(B14="","",VLOOKUP(AD14,Varsayımlar!$B:$Q,5,0))</f>
        <v>Lazeza 30cm</v>
      </c>
      <c r="I14" s="64">
        <f>IF(B14="","",VLOOKUP(AD14,Varsayımlar!B:T,19,0))</f>
        <v>0</v>
      </c>
      <c r="J14" s="64" t="str">
        <f>IF(B14="","",VLOOKUP(AD14,Varsayımlar!$B:$Q,6,0))</f>
        <v>SADE</v>
      </c>
      <c r="K14" s="64">
        <v>1700</v>
      </c>
      <c r="L14" s="64"/>
      <c r="M14" s="64" t="str">
        <f>IFERROR(IF(B14="","",K14/VLOOKUP(AD14,Varsayımlar!B:R,17,0)),"")</f>
        <v/>
      </c>
      <c r="N14" s="64"/>
      <c r="O14" s="64">
        <v>27</v>
      </c>
      <c r="P14" s="64">
        <f>IF(B14="","",VLOOKUP(AD14,Varsayımlar!$B:$Q,7,0)*K14)</f>
        <v>30600</v>
      </c>
      <c r="Q14" s="64">
        <f>IF(B14="","",VLOOKUP(AD14,Varsayımlar!$B:$Q,8,0))</f>
        <v>30</v>
      </c>
      <c r="R14" s="64" t="str">
        <f>IF(B14="","",VLOOKUP(AD14,Varsayımlar!$B:$Q,9,0))</f>
        <v>Irak Soft</v>
      </c>
      <c r="S14" s="64">
        <f>IF(B14="","",VLOOKUP(AD14,Varsayımlar!$B:$Q,10,0))</f>
        <v>6</v>
      </c>
      <c r="T14" s="64">
        <f>IF(B14="","",VLOOKUP(AD14,Varsayımlar!$B:$Q,11,0))</f>
        <v>18</v>
      </c>
      <c r="U14" s="64">
        <f>IF(B14="","",VLOOKUP(AD14,Varsayımlar!$B:$Q,12,0))</f>
        <v>510</v>
      </c>
      <c r="V14" s="64" t="str">
        <f>IF(B14="","",VLOOKUP(AD14,Varsayımlar!$B:$Q,13,0))</f>
        <v>Yurtdışı</v>
      </c>
      <c r="W14" s="64">
        <f>IF(B14="","",VLOOKUP(AD14,Varsayımlar!$B:$Q,14,0))</f>
        <v>6</v>
      </c>
      <c r="X14" s="66"/>
      <c r="Y14" s="66"/>
      <c r="Z14" s="64"/>
      <c r="AA14" s="64" t="str">
        <f>IF(B14="","",VLOOKUP(AD14,Varsayımlar!$B:$Q,15,0))</f>
        <v>Lazeza Kolisi</v>
      </c>
      <c r="AB14" s="64" t="str">
        <f>IF(B14="","",VLOOKUP(AD14,Varsayımlar!$B:$Q,16,0))</f>
        <v>29-31 cm</v>
      </c>
      <c r="AC14" s="64">
        <f>IF(B14="","",VLOOKUP(Sayfa1!AD10,Varsayımlar!B:S,18,0))</f>
        <v>0</v>
      </c>
      <c r="AD14" s="57" t="str">
        <f t="shared" si="0"/>
        <v>AjjawiLazeza 30 cm 6pcs 510g</v>
      </c>
    </row>
    <row r="15" spans="1:30" ht="31.5" customHeight="1" x14ac:dyDescent="0.25">
      <c r="A15" s="8" t="s">
        <v>87</v>
      </c>
      <c r="B15" s="119" t="s">
        <v>363</v>
      </c>
      <c r="C15" s="120">
        <f>IF(B15="","",VLOOKUP(AD15,Varsayımlar!$B:$Q,3,0))</f>
        <v>8698829380698</v>
      </c>
      <c r="D15" s="120"/>
      <c r="E15" s="120" t="s">
        <v>364</v>
      </c>
      <c r="F15" s="119"/>
      <c r="G15" s="120" t="s">
        <v>373</v>
      </c>
      <c r="H15" s="119" t="str">
        <f>IF(B15="","",VLOOKUP(AD15,Varsayımlar!$B:$Q,5,0))</f>
        <v>Durum 30cm Sade 18pcs 1620g</v>
      </c>
      <c r="I15" s="119">
        <f>IF(B15="","",VLOOKUP(AD15,Varsayımlar!B:T,19,0))</f>
        <v>0</v>
      </c>
      <c r="J15" s="119" t="str">
        <f>IF(B15="","",VLOOKUP(AD15,Varsayımlar!$B:$Q,6,0))</f>
        <v>SADE</v>
      </c>
      <c r="K15" s="119">
        <v>360</v>
      </c>
      <c r="L15" s="119"/>
      <c r="M15" s="119" t="str">
        <f>IFERROR(IF(B15="","",K15/VLOOKUP(AD15,Varsayımlar!B:R,17,0)),"")</f>
        <v/>
      </c>
      <c r="N15" s="119"/>
      <c r="O15" s="119">
        <v>6</v>
      </c>
      <c r="P15" s="119">
        <f>IF(B15="","",VLOOKUP(AD15,Varsayımlar!$B:$Q,7,0)*K15)</f>
        <v>6480</v>
      </c>
      <c r="Q15" s="119">
        <f>IF(B15="","",VLOOKUP(AD15,Varsayımlar!$B:$Q,8,0))</f>
        <v>30</v>
      </c>
      <c r="R15" s="119" t="str">
        <f>IF(B15="","",VLOOKUP(AD15,Varsayımlar!$B:$Q,9,0))</f>
        <v>Irak Soft</v>
      </c>
      <c r="S15" s="119">
        <f>IF(B15="","",VLOOKUP(AD15,Varsayımlar!$B:$Q,10,0))</f>
        <v>18</v>
      </c>
      <c r="T15" s="119">
        <f>IF(B15="","",VLOOKUP(AD15,Varsayımlar!$B:$Q,11,0))</f>
        <v>6</v>
      </c>
      <c r="U15" s="119">
        <f>IF(B15="","",VLOOKUP(AD15,Varsayımlar!$B:$Q,12,0))</f>
        <v>1620</v>
      </c>
      <c r="V15" s="119" t="str">
        <f>IF(B15="","",VLOOKUP(AD15,Varsayımlar!$B:$Q,13,0))</f>
        <v>Yurtdışı</v>
      </c>
      <c r="W15" s="119">
        <f>IF(B15="","",VLOOKUP(AD15,Varsayımlar!$B:$Q,14,0))</f>
        <v>0</v>
      </c>
      <c r="X15" s="121"/>
      <c r="Y15" s="121"/>
      <c r="Z15" s="119"/>
      <c r="AA15" s="119" t="str">
        <f>IF(B15="","",VLOOKUP(AD15,Varsayımlar!$B:$Q,15,0))</f>
        <v>30cm kolisi-Etiketli</v>
      </c>
      <c r="AB15" s="119" t="str">
        <f>IF(B15="","",VLOOKUP(AD15,Varsayımlar!$B:$Q,16,0))</f>
        <v>29-31 cm</v>
      </c>
      <c r="AC15" s="64">
        <f>IF(B15="","",VLOOKUP(Sayfa1!AD11,Varsayımlar!B:S,18,0))</f>
        <v>0</v>
      </c>
      <c r="AD15" s="57" t="str">
        <f t="shared" si="0"/>
        <v>EyalDurum 30cm sade 18 li 1620g</v>
      </c>
    </row>
    <row r="16" spans="1:30" ht="31.5" hidden="1" customHeight="1" x14ac:dyDescent="0.25">
      <c r="A16" s="8" t="s">
        <v>88</v>
      </c>
      <c r="B16" s="80" t="s">
        <v>53</v>
      </c>
      <c r="C16" s="44">
        <f>IF(B16="","",VLOOKUP(AD16,Varsayımlar!$B:$Q,3,0))</f>
        <v>8698829380698</v>
      </c>
      <c r="D16" s="80" t="s">
        <v>394</v>
      </c>
      <c r="E16" s="80" t="s">
        <v>54</v>
      </c>
      <c r="F16" s="80"/>
      <c r="G16" s="80" t="s">
        <v>395</v>
      </c>
      <c r="H16" s="80" t="str">
        <f>IF(B16="","",VLOOKUP(AD16,Varsayımlar!$B:$Q,5,0))</f>
        <v>MAGNİT MAVİ AMBALAJ 25CM</v>
      </c>
      <c r="I16" s="80">
        <f>IF(B16="","",VLOOKUP(AD16,Varsayımlar!B:T,19,0))</f>
        <v>0</v>
      </c>
      <c r="J16" s="80" t="str">
        <f>IF(B16="","",VLOOKUP(AD16,Varsayımlar!$B:$Q,6,0))</f>
        <v>SADE</v>
      </c>
      <c r="K16" s="80">
        <v>2016</v>
      </c>
      <c r="L16" s="80"/>
      <c r="M16" s="80" t="str">
        <f>IFERROR(IF(B16="","",K16/VLOOKUP(AD16,#REF!,17,0)),"")</f>
        <v/>
      </c>
      <c r="N16" s="80"/>
      <c r="O16" s="80">
        <v>18</v>
      </c>
      <c r="P16" s="80">
        <f>IF(B16="","",VLOOKUP(AD16,Varsayımlar!$B:$Q,7,0)*K16)</f>
        <v>60480</v>
      </c>
      <c r="Q16" s="80">
        <f>IF(B16="","",VLOOKUP(AD16,Varsayımlar!$B:$Q,8,0))</f>
        <v>25</v>
      </c>
      <c r="R16" s="80" t="str">
        <f>IF(B16="","",VLOOKUP(AD16,Varsayımlar!$B:$Q,9,0))</f>
        <v>SOFT</v>
      </c>
      <c r="S16" s="80">
        <f>IF(B16="","",VLOOKUP(AD16,Varsayımlar!$B:$Q,10,0))</f>
        <v>4</v>
      </c>
      <c r="T16" s="80">
        <f>IF(B16="","",VLOOKUP(AD16,Varsayımlar!$B:$Q,11,0))</f>
        <v>30</v>
      </c>
      <c r="U16" s="80">
        <f>IF(B16="","",VLOOKUP(AD16,Varsayımlar!$B:$Q,12,0))</f>
        <v>260</v>
      </c>
      <c r="V16" s="80" t="str">
        <f>IF(B16="","",VLOOKUP(AD16,Varsayımlar!$B:$Q,13,0))</f>
        <v>YURTDIŞI</v>
      </c>
      <c r="W16" s="80">
        <f>IF(B16="","",VLOOKUP(AD16,Varsayımlar!$B:$Q,14,0))</f>
        <v>9</v>
      </c>
      <c r="X16" s="80">
        <v>46190</v>
      </c>
      <c r="Y16" s="80">
        <v>46463</v>
      </c>
      <c r="Z16" s="80" t="s">
        <v>396</v>
      </c>
      <c r="AA16" s="80" t="str">
        <f>IF(B16="","",VLOOKUP(AD16,Varsayımlar!$B:$Q,15,0))</f>
        <v>25CM TURUNCU KOLİ-SOL ÜST DİKDÖRTGENE ÜRETİM TARİHİ BASILACAK</v>
      </c>
      <c r="AB16" s="80" t="str">
        <f>IF(B16="","",VLOOKUP(AD16,Varsayımlar!$B:$Q,16,0))</f>
        <v>24-26 CM</v>
      </c>
      <c r="AC16" s="73" t="e">
        <f>IF(B16="","",VLOOKUP(#REF!,#REF!,18,0))</f>
        <v>#REF!</v>
      </c>
      <c r="AD16" s="73" t="str">
        <f>IF(B16="","",CONCATENATE(B16,E16))</f>
        <v>MAGNİTMAGNİT MAVİ AMBALAJ 25 CM 260G</v>
      </c>
    </row>
    <row r="17" spans="1:30" ht="31.5" hidden="1" customHeight="1" x14ac:dyDescent="0.25">
      <c r="A17" s="8" t="s">
        <v>89</v>
      </c>
      <c r="B17" s="64" t="s">
        <v>53</v>
      </c>
      <c r="C17" s="3">
        <f>IF(B17="","",VLOOKUP(AD17,Varsayımlar!$B:$Q,3,0))</f>
        <v>8698829380698</v>
      </c>
      <c r="D17" s="64" t="s">
        <v>397</v>
      </c>
      <c r="E17" s="64" t="s">
        <v>54</v>
      </c>
      <c r="F17" s="64"/>
      <c r="G17" s="64" t="s">
        <v>398</v>
      </c>
      <c r="H17" s="64" t="str">
        <f>IF(B17="","",VLOOKUP(AD17,Varsayımlar!$B:$Q,5,0))</f>
        <v>MAGNİT MAVİ AMBALAJ 25CM</v>
      </c>
      <c r="I17" s="64">
        <f>IF(B17="","",VLOOKUP(AD17,Varsayımlar!B:T,19,0))</f>
        <v>0</v>
      </c>
      <c r="J17" s="64" t="str">
        <f>IF(B17="","",VLOOKUP(AD17,Varsayımlar!$B:$Q,6,0))</f>
        <v>SADE</v>
      </c>
      <c r="K17" s="64">
        <v>2016</v>
      </c>
      <c r="L17" s="64"/>
      <c r="M17" s="64" t="str">
        <f>IFERROR(IF(B17="","",K17/VLOOKUP(AD17,#REF!,17,0)),"")</f>
        <v/>
      </c>
      <c r="N17" s="64"/>
      <c r="O17" s="64">
        <v>18</v>
      </c>
      <c r="P17" s="64">
        <f>IF(B17="","",VLOOKUP(AD17,Varsayımlar!$B:$Q,7,0)*K17)</f>
        <v>60480</v>
      </c>
      <c r="Q17" s="64">
        <f>IF(B17="","",VLOOKUP(AD17,Varsayımlar!$B:$Q,8,0))</f>
        <v>25</v>
      </c>
      <c r="R17" s="64" t="str">
        <f>IF(B17="","",VLOOKUP(AD17,Varsayımlar!$B:$Q,9,0))</f>
        <v>SOFT</v>
      </c>
      <c r="S17" s="64">
        <f>IF(B17="","",VLOOKUP(AD17,Varsayımlar!$B:$Q,10,0))</f>
        <v>4</v>
      </c>
      <c r="T17" s="64">
        <f>IF(B17="","",VLOOKUP(AD17,Varsayımlar!$B:$Q,11,0))</f>
        <v>30</v>
      </c>
      <c r="U17" s="64">
        <f>IF(B17="","",VLOOKUP(AD17,Varsayımlar!$B:$Q,12,0))</f>
        <v>260</v>
      </c>
      <c r="V17" s="64" t="str">
        <f>IF(B17="","",VLOOKUP(AD17,Varsayımlar!$B:$Q,13,0))</f>
        <v>YURTDIŞI</v>
      </c>
      <c r="W17" s="64">
        <f>IF(B17="","",VLOOKUP(AD17,Varsayımlar!$B:$Q,14,0))</f>
        <v>9</v>
      </c>
      <c r="X17" s="64">
        <v>46190</v>
      </c>
      <c r="Y17" s="64">
        <v>46463</v>
      </c>
      <c r="Z17" s="64" t="s">
        <v>399</v>
      </c>
      <c r="AA17" s="64" t="str">
        <f>IF(B17="","",VLOOKUP(AD17,Varsayımlar!$B:$Q,15,0))</f>
        <v>25CM TURUNCU KOLİ-SOL ÜST DİKDÖRTGENE ÜRETİM TARİHİ BASILACAK</v>
      </c>
      <c r="AB17" s="64" t="str">
        <f>IF(B17="","",VLOOKUP(AD17,Varsayımlar!$B:$Q,16,0))</f>
        <v>24-26 CM</v>
      </c>
      <c r="AC17" s="73" t="e">
        <f>IF(B17="","",VLOOKUP(#REF!,#REF!,18,0))</f>
        <v>#REF!</v>
      </c>
      <c r="AD17" s="73" t="str">
        <f>IF(B17="","",CONCATENATE(B17,E17))</f>
        <v>MAGNİTMAGNİT MAVİ AMBALAJ 25 CM 260G</v>
      </c>
    </row>
    <row r="18" spans="1:30" ht="31.5" hidden="1" customHeight="1" x14ac:dyDescent="0.25">
      <c r="A18" s="8" t="s">
        <v>90</v>
      </c>
      <c r="B18" s="67" t="s">
        <v>53</v>
      </c>
      <c r="C18" s="42">
        <f>IF(B18="","",VLOOKUP(AD18,Varsayımlar!$B:$Q,3,0))</f>
        <v>8698829380698</v>
      </c>
      <c r="D18" s="67" t="s">
        <v>400</v>
      </c>
      <c r="E18" s="67" t="s">
        <v>54</v>
      </c>
      <c r="F18" s="67"/>
      <c r="G18" s="67" t="s">
        <v>401</v>
      </c>
      <c r="H18" s="67" t="str">
        <f>IF(B18="","",VLOOKUP(AD18,Varsayımlar!$B:$Q,5,0))</f>
        <v>MAGNİT MAVİ AMBALAJ 25CM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2016</v>
      </c>
      <c r="L18" s="67"/>
      <c r="M18" s="67" t="str">
        <f>IFERROR(IF(B18="","",K18/VLOOKUP(AD18,#REF!,17,0)),"")</f>
        <v/>
      </c>
      <c r="N18" s="67"/>
      <c r="O18" s="67">
        <v>18</v>
      </c>
      <c r="P18" s="67">
        <f>IF(B18="","",VLOOKUP(AD18,Varsayımlar!$B:$Q,7,0)*K18)</f>
        <v>60480</v>
      </c>
      <c r="Q18" s="67">
        <f>IF(B18="","",VLOOKUP(AD18,Varsayımlar!$B:$Q,8,0))</f>
        <v>25</v>
      </c>
      <c r="R18" s="67" t="str">
        <f>IF(B18="","",VLOOKUP(AD18,Varsayımlar!$B:$Q,9,0))</f>
        <v>SOFT</v>
      </c>
      <c r="S18" s="67">
        <f>IF(B18="","",VLOOKUP(AD18,Varsayımlar!$B:$Q,10,0))</f>
        <v>4</v>
      </c>
      <c r="T18" s="67">
        <f>IF(B18="","",VLOOKUP(AD18,Varsayımlar!$B:$Q,11,0))</f>
        <v>30</v>
      </c>
      <c r="U18" s="67">
        <f>IF(B18="","",VLOOKUP(AD18,Varsayımlar!$B:$Q,12,0))</f>
        <v>260</v>
      </c>
      <c r="V18" s="67" t="str">
        <f>IF(B18="","",VLOOKUP(AD18,Varsayımlar!$B:$Q,13,0))</f>
        <v>YURTDIŞI</v>
      </c>
      <c r="W18" s="67">
        <f>IF(B18="","",VLOOKUP(AD18,Varsayımlar!$B:$Q,14,0))</f>
        <v>9</v>
      </c>
      <c r="X18" s="67">
        <v>46191</v>
      </c>
      <c r="Y18" s="67">
        <v>46464</v>
      </c>
      <c r="Z18" s="67" t="s">
        <v>402</v>
      </c>
      <c r="AA18" s="67" t="str">
        <f>IF(B18="","",VLOOKUP(AD18,Varsayımlar!$B:$Q,15,0))</f>
        <v>25CM TURUNCU KOLİ-SOL ÜST DİKDÖRTGENE ÜRETİM TARİHİ BASILACAK</v>
      </c>
      <c r="AB18" s="67" t="str">
        <f>IF(B18="","",VLOOKUP(AD18,Varsayımlar!$B:$Q,16,0))</f>
        <v>24-26 CM</v>
      </c>
      <c r="AC18" s="73" t="e">
        <f>IF(B18="","",VLOOKUP(#REF!,#REF!,18,0))</f>
        <v>#REF!</v>
      </c>
      <c r="AD18" s="73" t="str">
        <f>IF(B18="","",CONCATENATE(B18,E18))</f>
        <v>MAGNİTMAGNİT MAVİ AMBALAJ 25 CM 260G</v>
      </c>
    </row>
    <row r="19" spans="1:30" ht="31.5" hidden="1" customHeight="1" x14ac:dyDescent="0.25">
      <c r="A19" s="8" t="s">
        <v>91</v>
      </c>
      <c r="B19" s="117" t="s">
        <v>53</v>
      </c>
      <c r="C19" s="118">
        <f>IF(B19="","",VLOOKUP(AD19,Varsayımlar!$B:$Q,3,0))</f>
        <v>8698829380698</v>
      </c>
      <c r="D19" s="117" t="s">
        <v>403</v>
      </c>
      <c r="E19" s="117" t="s">
        <v>54</v>
      </c>
      <c r="F19" s="117"/>
      <c r="G19" s="117" t="s">
        <v>404</v>
      </c>
      <c r="H19" s="117" t="str">
        <f>IF(B19="","",VLOOKUP(AD19,Varsayımlar!$B:$Q,5,0))</f>
        <v>MAGNİT MAVİ AMBALAJ 25CM</v>
      </c>
      <c r="I19" s="117">
        <f>IF(B19="","",VLOOKUP(AD19,Varsayımlar!B:T,19,0))</f>
        <v>0</v>
      </c>
      <c r="J19" s="117" t="str">
        <f>IF(B19="","",VLOOKUP(AD19,Varsayımlar!$B:$Q,6,0))</f>
        <v>SADE</v>
      </c>
      <c r="K19" s="117">
        <v>2016</v>
      </c>
      <c r="L19" s="117"/>
      <c r="M19" s="117" t="str">
        <f>IFERROR(IF(B19="","",K19/VLOOKUP(AD19,#REF!,17,0)),"")</f>
        <v/>
      </c>
      <c r="N19" s="117"/>
      <c r="O19" s="117">
        <v>18</v>
      </c>
      <c r="P19" s="117">
        <f>IF(B19="","",VLOOKUP(AD19,Varsayımlar!$B:$Q,7,0)*K19)</f>
        <v>60480</v>
      </c>
      <c r="Q19" s="117">
        <f>IF(B19="","",VLOOKUP(AD19,Varsayımlar!$B:$Q,8,0))</f>
        <v>25</v>
      </c>
      <c r="R19" s="117" t="str">
        <f>IF(B19="","",VLOOKUP(AD19,Varsayımlar!$B:$Q,9,0))</f>
        <v>SOFT</v>
      </c>
      <c r="S19" s="117">
        <f>IF(B19="","",VLOOKUP(AD19,Varsayımlar!$B:$Q,10,0))</f>
        <v>4</v>
      </c>
      <c r="T19" s="117">
        <f>IF(B19="","",VLOOKUP(AD19,Varsayımlar!$B:$Q,11,0))</f>
        <v>30</v>
      </c>
      <c r="U19" s="117">
        <f>IF(B19="","",VLOOKUP(AD19,Varsayımlar!$B:$Q,12,0))</f>
        <v>260</v>
      </c>
      <c r="V19" s="117" t="str">
        <f>IF(B19="","",VLOOKUP(AD19,Varsayımlar!$B:$Q,13,0))</f>
        <v>YURTDIŞI</v>
      </c>
      <c r="W19" s="117">
        <f>IF(B19="","",VLOOKUP(AD19,Varsayımlar!$B:$Q,14,0))</f>
        <v>9</v>
      </c>
      <c r="X19" s="117">
        <v>46193</v>
      </c>
      <c r="Y19" s="117">
        <v>46466</v>
      </c>
      <c r="Z19" s="117" t="s">
        <v>405</v>
      </c>
      <c r="AA19" s="117" t="str">
        <f>IF(B19="","",VLOOKUP(AD19,Varsayımlar!$B:$Q,15,0))</f>
        <v>25CM TURUNCU KOLİ-SOL ÜST DİKDÖRTGENE ÜRETİM TARİHİ BASILACAK</v>
      </c>
      <c r="AB19" s="117" t="str">
        <f>IF(B19="","",VLOOKUP(AD19,Varsayımlar!$B:$Q,16,0))</f>
        <v>24-26 CM</v>
      </c>
      <c r="AC19" s="73" t="e">
        <f>IF(B19="","",VLOOKUP(#REF!,#REF!,18,0))</f>
        <v>#REF!</v>
      </c>
      <c r="AD19" s="73" t="str">
        <f>IF(B19="","",CONCATENATE(B19,E19))</f>
        <v>MAGNİTMAGNİT MAVİ AMBALAJ 25 CM 260G</v>
      </c>
    </row>
    <row r="20" spans="1:30" ht="31.5" hidden="1" customHeight="1" x14ac:dyDescent="0.25">
      <c r="A20" s="8" t="s">
        <v>92</v>
      </c>
      <c r="B20" s="67" t="s">
        <v>53</v>
      </c>
      <c r="C20" s="42">
        <f>IF(B20="","",VLOOKUP(AD20,Varsayımlar!$B:$Q,3,0))</f>
        <v>8698829380698</v>
      </c>
      <c r="D20" s="67" t="s">
        <v>406</v>
      </c>
      <c r="E20" s="67" t="s">
        <v>54</v>
      </c>
      <c r="F20" s="67"/>
      <c r="G20" s="67" t="s">
        <v>407</v>
      </c>
      <c r="H20" s="67" t="str">
        <f>IF(B20="","",VLOOKUP(AD20,Varsayımlar!$B:$Q,5,0))</f>
        <v>MAGNİT MAVİ AMBALAJ 25CM</v>
      </c>
      <c r="I20" s="67">
        <f>IF(B20="","",VLOOKUP(AD20,Varsayımlar!B:T,19,0))</f>
        <v>0</v>
      </c>
      <c r="J20" s="67" t="str">
        <f>IF(B20="","",VLOOKUP(AD20,Varsayımlar!$B:$Q,6,0))</f>
        <v>SADE</v>
      </c>
      <c r="K20" s="67">
        <v>2016</v>
      </c>
      <c r="L20" s="67"/>
      <c r="M20" s="67" t="str">
        <f>IFERROR(IF(B20="","",K20/VLOOKUP(AD20,#REF!,17,0)),"")</f>
        <v/>
      </c>
      <c r="N20" s="67"/>
      <c r="O20" s="67">
        <v>18</v>
      </c>
      <c r="P20" s="67">
        <f>IF(B20="","",VLOOKUP(AD20,Varsayımlar!$B:$Q,7,0)*K20)</f>
        <v>60480</v>
      </c>
      <c r="Q20" s="67">
        <f>IF(B20="","",VLOOKUP(AD20,Varsayımlar!$B:$Q,8,0))</f>
        <v>25</v>
      </c>
      <c r="R20" s="67" t="str">
        <f>IF(B20="","",VLOOKUP(AD20,Varsayımlar!$B:$Q,9,0))</f>
        <v>SOFT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260</v>
      </c>
      <c r="V20" s="67" t="str">
        <f>IF(B20="","",VLOOKUP(AD20,Varsayımlar!$B:$Q,13,0))</f>
        <v>YURTDIŞI</v>
      </c>
      <c r="W20" s="67">
        <f>IF(B20="","",VLOOKUP(AD20,Varsayımlar!$B:$Q,14,0))</f>
        <v>9</v>
      </c>
      <c r="X20" s="67">
        <v>46193</v>
      </c>
      <c r="Y20" s="67">
        <v>46466</v>
      </c>
      <c r="Z20" s="67" t="s">
        <v>408</v>
      </c>
      <c r="AA20" s="67" t="str">
        <f>IF(B20="","",VLOOKUP(AD20,Varsayımlar!$B:$Q,15,0))</f>
        <v>25CM TURUNCU KOLİ-SOL ÜST DİKDÖRTGENE ÜRETİM TARİHİ BASILACAK</v>
      </c>
      <c r="AB20" s="67" t="str">
        <f>IF(B20="","",VLOOKUP(AD20,Varsayımlar!$B:$Q,16,0))</f>
        <v>24-26 CM</v>
      </c>
      <c r="AC20" s="73" t="e">
        <f>IF(B20="","",VLOOKUP(#REF!,#REF!,18,0))</f>
        <v>#REF!</v>
      </c>
      <c r="AD20" s="73" t="str">
        <f>IF(B20="","",CONCATENATE(B20,E20))</f>
        <v>MAGNİTMAGNİT MAVİ AMBALAJ 25 CM 260G</v>
      </c>
    </row>
    <row r="21" spans="1:30" ht="31.5" hidden="1" x14ac:dyDescent="0.25">
      <c r="A21" s="8" t="s">
        <v>93</v>
      </c>
      <c r="B21" s="67" t="s">
        <v>64</v>
      </c>
      <c r="C21" s="42">
        <f>IF(B21="","",VLOOKUP(AD21,Varsayımlar!$B:$Q,3,0))</f>
        <v>8698829380698</v>
      </c>
      <c r="D21" s="42"/>
      <c r="E21" s="67" t="s">
        <v>296</v>
      </c>
      <c r="F21" s="67"/>
      <c r="G21" s="42" t="s">
        <v>68</v>
      </c>
      <c r="H21" s="67" t="str">
        <f>IF(B21="","",VLOOKUP(AD21,Varsayımlar!$B:$Q,5,0))</f>
        <v>Tortillas 20cm Çok Tahıllı</v>
      </c>
      <c r="I21" s="67">
        <f>IF(B21="","",VLOOKUP(AD21,Varsayımlar!B:T,19,0))</f>
        <v>0</v>
      </c>
      <c r="J21" s="67" t="str">
        <f>IF(B21="","",VLOOKUP(AD21,Varsayımlar!$B:$Q,6,0))</f>
        <v>Çok Tahıllı</v>
      </c>
      <c r="K21" s="67">
        <v>225</v>
      </c>
      <c r="L21" s="67"/>
      <c r="M21" s="67">
        <f>IFERROR(IF(B21="","",K21/VLOOKUP(AD21,Varsayımlar!B:R,17,0)),"")</f>
        <v>1</v>
      </c>
      <c r="N21" s="67"/>
      <c r="O21" s="67">
        <v>2</v>
      </c>
      <c r="P21" s="67">
        <f>IF(B21="","",VLOOKUP(AD21,Varsayımlar!$B:$Q,7,0)*K21)</f>
        <v>3150</v>
      </c>
      <c r="Q21" s="67">
        <f>IF(B21="","",VLOOKUP(AD21,Varsayımlar!$B:$Q,8,0))</f>
        <v>20</v>
      </c>
      <c r="R21" s="67" t="str">
        <f>IF(B21="","",VLOOKUP(AD21,Varsayımlar!$B:$Q,9,0))</f>
        <v>Irak Soft</v>
      </c>
      <c r="S21" s="67">
        <f>IF(B21="","",VLOOKUP(AD21,Varsayımlar!$B:$Q,10,0))</f>
        <v>4</v>
      </c>
      <c r="T21" s="67">
        <f>IF(B21="","",VLOOKUP(AD21,Varsayımlar!$B:$Q,11,0))</f>
        <v>14</v>
      </c>
      <c r="U21" s="67">
        <f>IF(B21="","",VLOOKUP(AD21,Varsayımlar!$B:$Q,12,0))</f>
        <v>166</v>
      </c>
      <c r="V21" s="67" t="str">
        <f>IF(B21="","",VLOOKUP(AD21,Varsayımlar!$B:$Q,13,0))</f>
        <v>Yurtdışı</v>
      </c>
      <c r="W21" s="67">
        <f>IF(B21="","",VLOOKUP(AD21,Varsayımlar!$B:$Q,14,0))</f>
        <v>9</v>
      </c>
      <c r="X21" s="69">
        <v>46195</v>
      </c>
      <c r="Y21" s="69">
        <v>46468</v>
      </c>
      <c r="Z21" s="67" t="s">
        <v>338</v>
      </c>
      <c r="AA21" s="67" t="str">
        <f>IF(B21="","",VLOOKUP(AD21,Varsayımlar!$B:$Q,15,0))</f>
        <v>SİYAH KARE KOLİ-Üretim Tarihi Etiketli</v>
      </c>
      <c r="AB21" s="67" t="str">
        <f>IF(B21="","",VLOOKUP(AD21,Varsayımlar!$B:$Q,16,0))</f>
        <v>19-21 cm</v>
      </c>
      <c r="AC21" s="67">
        <f>IF(B21="","",VLOOKUP(Sayfa1!AD14,Varsayımlar!B:S,18,0))</f>
        <v>0</v>
      </c>
      <c r="AD21" s="57" t="str">
        <f t="shared" si="0"/>
        <v>SMART LLCTortillas 20cm Çok Tahıllı 4pcs 166g</v>
      </c>
    </row>
    <row r="22" spans="1:30" ht="31.5" hidden="1" x14ac:dyDescent="0.25">
      <c r="A22" s="8" t="s">
        <v>135</v>
      </c>
      <c r="B22" s="64" t="s">
        <v>64</v>
      </c>
      <c r="C22" s="3">
        <f>IF(B22="","",VLOOKUP(AD22,Varsayımlar!$B:$Q,3,0))</f>
        <v>8698829380698</v>
      </c>
      <c r="D22" s="3"/>
      <c r="E22" s="64" t="s">
        <v>296</v>
      </c>
      <c r="F22" s="64"/>
      <c r="G22" s="3" t="s">
        <v>68</v>
      </c>
      <c r="H22" s="64" t="str">
        <f>IF(B22="","",VLOOKUP(AD22,Varsayımlar!$B:$Q,5,0))</f>
        <v>Tortillas 20cm Çok Tahıllı</v>
      </c>
      <c r="I22" s="64">
        <f>IF(B22="","",VLOOKUP(AD22,Varsayımlar!B:T,19,0))</f>
        <v>0</v>
      </c>
      <c r="J22" s="64" t="str">
        <f>IF(B22="","",VLOOKUP(AD22,Varsayımlar!$B:$Q,6,0))</f>
        <v>Çok Tahıllı</v>
      </c>
      <c r="K22" s="64">
        <v>1800</v>
      </c>
      <c r="L22" s="64"/>
      <c r="M22" s="64">
        <f>IFERROR(IF(B22="","",K22/VLOOKUP(AD22,Varsayımlar!B:R,17,0)),"")</f>
        <v>8</v>
      </c>
      <c r="N22" s="64"/>
      <c r="O22" s="64">
        <v>15</v>
      </c>
      <c r="P22" s="64">
        <f>IF(B22="","",VLOOKUP(AD22,Varsayımlar!$B:$Q,7,0)*K22)</f>
        <v>25200</v>
      </c>
      <c r="Q22" s="64">
        <f>IF(B22="","",VLOOKUP(AD22,Varsayımlar!$B:$Q,8,0))</f>
        <v>20</v>
      </c>
      <c r="R22" s="64" t="str">
        <f>IF(B22="","",VLOOKUP(AD22,Varsayımlar!$B:$Q,9,0))</f>
        <v>Irak Soft</v>
      </c>
      <c r="S22" s="64">
        <f>IF(B22="","",VLOOKUP(AD22,Varsayımlar!$B:$Q,10,0))</f>
        <v>4</v>
      </c>
      <c r="T22" s="64">
        <f>IF(B22="","",VLOOKUP(AD22,Varsayımlar!$B:$Q,11,0))</f>
        <v>14</v>
      </c>
      <c r="U22" s="64">
        <f>IF(B22="","",VLOOKUP(AD22,Varsayımlar!$B:$Q,12,0))</f>
        <v>166</v>
      </c>
      <c r="V22" s="64" t="str">
        <f>IF(B22="","",VLOOKUP(AD22,Varsayımlar!$B:$Q,13,0))</f>
        <v>Yurtdışı</v>
      </c>
      <c r="W22" s="64">
        <f>IF(B22="","",VLOOKUP(AD22,Varsayımlar!$B:$Q,14,0))</f>
        <v>9</v>
      </c>
      <c r="X22" s="66">
        <v>46196</v>
      </c>
      <c r="Y22" s="66">
        <v>46469</v>
      </c>
      <c r="Z22" s="64" t="s">
        <v>339</v>
      </c>
      <c r="AA22" s="64" t="str">
        <f>IF(B22="","",VLOOKUP(AD22,Varsayımlar!$B:$Q,15,0))</f>
        <v>SİYAH KARE KOLİ-Üretim Tarihi Etiketli</v>
      </c>
      <c r="AB22" s="64" t="str">
        <f>IF(B22="","",VLOOKUP(AD22,Varsayımlar!$B:$Q,16,0))</f>
        <v>19-21 cm</v>
      </c>
      <c r="AC22" s="64">
        <f>IF(B22="","",VLOOKUP(Sayfa1!AD15,Varsayımlar!B:S,18,0))</f>
        <v>0</v>
      </c>
      <c r="AD22" s="57" t="str">
        <f t="shared" si="0"/>
        <v>SMART LLCTortillas 20cm Çok Tahıllı 4pcs 166g</v>
      </c>
    </row>
    <row r="23" spans="1:30" ht="31.5" hidden="1" x14ac:dyDescent="0.25">
      <c r="A23" s="8" t="s">
        <v>136</v>
      </c>
      <c r="B23" s="67" t="s">
        <v>64</v>
      </c>
      <c r="C23" s="42">
        <f>IF(B23="","",VLOOKUP(AD23,Varsayımlar!$B:$Q,3,0))</f>
        <v>8698829380698</v>
      </c>
      <c r="D23" s="42"/>
      <c r="E23" s="67" t="s">
        <v>65</v>
      </c>
      <c r="F23" s="67"/>
      <c r="G23" s="42" t="s">
        <v>68</v>
      </c>
      <c r="H23" s="67" t="str">
        <f>IF(B23="","",VLOOKUP(AD23,Varsayımlar!$B:$Q,5,0))</f>
        <v>TORTİLLAS 20CM (SAMAKAT BİLGİLERİ EKLİ)</v>
      </c>
      <c r="I23" s="67">
        <f>IF(B23="","",VLOOKUP(AD23,Varsayımlar!B:T,19,0))</f>
        <v>0</v>
      </c>
      <c r="J23" s="67" t="str">
        <f>IF(B23="","",VLOOKUP(AD23,Varsayımlar!$B:$Q,6,0))</f>
        <v>SADE</v>
      </c>
      <c r="K23" s="67">
        <v>6975</v>
      </c>
      <c r="L23" s="67"/>
      <c r="M23" s="67">
        <f>IFERROR(IF(B23="","",K23/VLOOKUP(AD23,Varsayımlar!B:R,17,0)),"")</f>
        <v>31</v>
      </c>
      <c r="N23" s="67"/>
      <c r="O23" s="67">
        <v>56</v>
      </c>
      <c r="P23" s="67">
        <f>IF(B23="","",VLOOKUP(AD23,Varsayımlar!$B:$Q,7,0)*K23)</f>
        <v>97650</v>
      </c>
      <c r="Q23" s="67">
        <f>IF(B23="","",VLOOKUP(AD23,Varsayımlar!$B:$Q,8,0))</f>
        <v>20</v>
      </c>
      <c r="R23" s="67" t="str">
        <f>IF(B23="","",VLOOKUP(AD23,Varsayımlar!$B:$Q,9,0))</f>
        <v>IRAK SOFT</v>
      </c>
      <c r="S23" s="67">
        <f>IF(B23="","",VLOOKUP(AD23,Varsayımlar!$B:$Q,10,0))</f>
        <v>4</v>
      </c>
      <c r="T23" s="67">
        <f>IF(B23="","",VLOOKUP(AD23,Varsayımlar!$B:$Q,11,0))</f>
        <v>14</v>
      </c>
      <c r="U23" s="67">
        <f>IF(B23="","",VLOOKUP(AD23,Varsayımlar!$B:$Q,12,0))</f>
        <v>166</v>
      </c>
      <c r="V23" s="67" t="str">
        <f>IF(B23="","",VLOOKUP(AD23,Varsayımlar!$B:$Q,13,0))</f>
        <v>YURTDIŞI</v>
      </c>
      <c r="W23" s="67">
        <f>IF(B23="","",VLOOKUP(AD23,Varsayımlar!$B:$Q,14,0))</f>
        <v>9</v>
      </c>
      <c r="X23" s="69">
        <v>46195</v>
      </c>
      <c r="Y23" s="69">
        <v>46468</v>
      </c>
      <c r="Z23" s="67">
        <v>26062220</v>
      </c>
      <c r="AA23" s="67" t="str">
        <f>IF(B23="","",VLOOKUP(AD23,Varsayımlar!$B:$Q,15,0))</f>
        <v>SİYAH KARE KOLİ- Üretim Tarihi Etiketli</v>
      </c>
      <c r="AB23" s="67" t="str">
        <f>IF(B23="","",VLOOKUP(AD23,Varsayımlar!$B:$Q,16,0))</f>
        <v>19-21 CM</v>
      </c>
      <c r="AC23" s="67">
        <f>IF(B23="","",VLOOKUP(Sayfa1!AD16,Varsayımlar!B:S,18,0))</f>
        <v>0</v>
      </c>
      <c r="AD23" s="57" t="str">
        <f>IF(B23="","",CONCATENATE(B23,E23))</f>
        <v>SMART LLCTORTİLLAS SAMAKAT 20CM 166G</v>
      </c>
    </row>
    <row r="24" spans="1:30" ht="31.5" hidden="1" x14ac:dyDescent="0.25">
      <c r="A24" s="8" t="s">
        <v>137</v>
      </c>
      <c r="B24" s="64" t="s">
        <v>64</v>
      </c>
      <c r="C24" s="3">
        <f>IF(B24="","",VLOOKUP(AD24,Varsayımlar!$B:$Q,3,0))</f>
        <v>8698829380698</v>
      </c>
      <c r="D24" s="3"/>
      <c r="E24" s="64" t="s">
        <v>176</v>
      </c>
      <c r="F24" s="64"/>
      <c r="G24" s="3" t="s">
        <v>68</v>
      </c>
      <c r="H24" s="64" t="str">
        <f>IF(B24="","",VLOOKUP(AD24,Varsayımlar!$B:$Q,5,0))</f>
        <v>Tortillas 20cm (Samakat Bilgileri Ekli)</v>
      </c>
      <c r="I24" s="64">
        <f>IF(B24="","",VLOOKUP(AD24,Varsayımlar!B:T,19,0))</f>
        <v>0</v>
      </c>
      <c r="J24" s="64" t="str">
        <f>IF(B24="","",VLOOKUP(AD24,Varsayımlar!$B:$Q,6,0))</f>
        <v>PEYNİRLİ</v>
      </c>
      <c r="K24" s="64">
        <v>2925</v>
      </c>
      <c r="L24" s="64"/>
      <c r="M24" s="64">
        <f>IFERROR(IF(B24="","",K24/VLOOKUP(AD24,Varsayımlar!B:R,17,0)),"")</f>
        <v>13</v>
      </c>
      <c r="N24" s="64"/>
      <c r="O24" s="64">
        <v>24</v>
      </c>
      <c r="P24" s="64">
        <f>IF(B24="","",VLOOKUP(AD24,Varsayımlar!$B:$Q,7,0)*K24)</f>
        <v>40950</v>
      </c>
      <c r="Q24" s="64">
        <f>IF(B24="","",VLOOKUP(AD24,Varsayımlar!$B:$Q,8,0))</f>
        <v>20</v>
      </c>
      <c r="R24" s="64" t="str">
        <f>IF(B24="","",VLOOKUP(AD24,Varsayımlar!$B:$Q,9,0))</f>
        <v>IRAK SOFT-AT</v>
      </c>
      <c r="S24" s="64">
        <f>IF(B24="","",VLOOKUP(AD24,Varsayımlar!$B:$Q,10,0))</f>
        <v>4</v>
      </c>
      <c r="T24" s="64">
        <f>IF(B24="","",VLOOKUP(AD24,Varsayımlar!$B:$Q,11,0))</f>
        <v>14</v>
      </c>
      <c r="U24" s="64">
        <f>IF(B24="","",VLOOKUP(AD24,Varsayımlar!$B:$Q,12,0))</f>
        <v>166</v>
      </c>
      <c r="V24" s="64" t="str">
        <f>IF(B24="","",VLOOKUP(AD24,Varsayımlar!$B:$Q,13,0))</f>
        <v>YURTDIŞI</v>
      </c>
      <c r="W24" s="64">
        <f>IF(B24="","",VLOOKUP(AD24,Varsayımlar!$B:$Q,14,0))</f>
        <v>9</v>
      </c>
      <c r="X24" s="66">
        <v>46196</v>
      </c>
      <c r="Y24" s="66">
        <v>46469</v>
      </c>
      <c r="Z24" s="64" t="s">
        <v>340</v>
      </c>
      <c r="AA24" s="64" t="str">
        <f>IF(B24="","",VLOOKUP(AD24,Varsayımlar!$B:$Q,15,0))</f>
        <v>Kare Koli-Üretim Tarihli Etiket</v>
      </c>
      <c r="AB24" s="64" t="str">
        <f>IF(B24="","",VLOOKUP(AD24,Varsayımlar!$B:$Q,16,0))</f>
        <v>19-21 cm</v>
      </c>
      <c r="AC24" s="64">
        <f>IF(B24="","",VLOOKUP(Sayfa1!AD17,Varsayımlar!B:S,18,0))</f>
        <v>0</v>
      </c>
      <c r="AD24" s="57" t="str">
        <f t="shared" si="0"/>
        <v>SMART LLCTortillas 20cm Peynirli 4pcs 166g</v>
      </c>
    </row>
    <row r="25" spans="1:30" ht="47.25" hidden="1" x14ac:dyDescent="0.25">
      <c r="A25" s="8" t="s">
        <v>138</v>
      </c>
      <c r="B25" s="67" t="s">
        <v>268</v>
      </c>
      <c r="C25" s="42">
        <f>IF(B25="","",VLOOKUP(AD25,Varsayımlar!$B:$Q,3,0))</f>
        <v>8698829380698</v>
      </c>
      <c r="D25" s="42" t="s">
        <v>159</v>
      </c>
      <c r="E25" s="67" t="s">
        <v>342</v>
      </c>
      <c r="F25" s="67">
        <v>20250825</v>
      </c>
      <c r="G25" s="42" t="s">
        <v>68</v>
      </c>
      <c r="H25" s="67" t="str">
        <f>IF(B25="","",VLOOKUP(AD25,Varsayımlar!$B:$Q,5,0))</f>
        <v>Tortillas 25cm Sade</v>
      </c>
      <c r="I25" s="67">
        <f>IF(B25="","",VLOOKUP(AD25,Varsayımlar!B:T,19,0))</f>
        <v>0</v>
      </c>
      <c r="J25" s="67" t="str">
        <f>IF(B25="","",VLOOKUP(AD25,Varsayımlar!$B:$Q,6,0))</f>
        <v>SADE</v>
      </c>
      <c r="K25" s="67">
        <v>672</v>
      </c>
      <c r="L25" s="67"/>
      <c r="M25" s="67">
        <f>IFERROR(IF(B25="","",K25/VLOOKUP(AD25,Varsayımlar!B:R,17,0)),"")</f>
        <v>8</v>
      </c>
      <c r="N25" s="67"/>
      <c r="O25" s="67">
        <v>11</v>
      </c>
      <c r="P25" s="67">
        <f>IF(B25="","",VLOOKUP(AD25,Varsayımlar!$B:$Q,7,0)*K25)</f>
        <v>20160</v>
      </c>
      <c r="Q25" s="67">
        <f>IF(B25="","",VLOOKUP(AD25,Varsayımlar!$B:$Q,8,0))</f>
        <v>25</v>
      </c>
      <c r="R25" s="67" t="str">
        <f>IF(B25="","",VLOOKUP(AD25,Varsayımlar!$B:$Q,9,0))</f>
        <v>Soft-PA3</v>
      </c>
      <c r="S25" s="67">
        <f>IF(B25="","",VLOOKUP(AD25,Varsayımlar!$B:$Q,10,0))</f>
        <v>4</v>
      </c>
      <c r="T25" s="67">
        <f>IF(B25="","",VLOOKUP(AD25,Varsayımlar!$B:$Q,11,0))</f>
        <v>30</v>
      </c>
      <c r="U25" s="67">
        <f>IF(B25="","",VLOOKUP(AD25,Varsayımlar!$B:$Q,12,0))</f>
        <v>240</v>
      </c>
      <c r="V25" s="67" t="str">
        <f>IF(B25="","",VLOOKUP(AD25,Varsayımlar!$B:$Q,13,0))</f>
        <v>Yurtdışı</v>
      </c>
      <c r="W25" s="67">
        <f>IF(B25="","",VLOOKUP(AD25,Varsayımlar!$B:$Q,14,0))</f>
        <v>12</v>
      </c>
      <c r="X25" s="69">
        <v>46199</v>
      </c>
      <c r="Y25" s="69">
        <v>46564</v>
      </c>
      <c r="Z25" s="67">
        <v>26062625</v>
      </c>
      <c r="AA25" s="67" t="str">
        <f>IF(B25="","",VLOOKUP(AD25,Varsayımlar!$B:$Q,15,0))</f>
        <v>25cm Kolisi-Etiketli</v>
      </c>
      <c r="AB25" s="67" t="str">
        <f>IF(B25="","",VLOOKUP(AD25,Varsayımlar!$B:$Q,16,0))</f>
        <v>24-26 cm (Macca Hetto Inkjet Uzun Tarih)</v>
      </c>
      <c r="AC25" s="67" t="str">
        <f>IF(B25="","",VLOOKUP(Sayfa1!AD22,Varsayımlar!B:S,18,0))</f>
        <v>80x120cm</v>
      </c>
      <c r="AD25" s="57" t="str">
        <f t="shared" si="0"/>
        <v>LAIKYUZHN-BELARUSTortillas 25cm Sade 4pcs 240g</v>
      </c>
    </row>
    <row r="26" spans="1:30" ht="47.25" hidden="1" x14ac:dyDescent="0.25">
      <c r="A26" s="8" t="s">
        <v>139</v>
      </c>
      <c r="B26" s="67" t="s">
        <v>268</v>
      </c>
      <c r="C26" s="42">
        <f>IF(B26="","",VLOOKUP(AD26,Varsayımlar!$B:$Q,3,0))</f>
        <v>8698829380698</v>
      </c>
      <c r="D26" s="42" t="s">
        <v>159</v>
      </c>
      <c r="E26" s="67" t="s">
        <v>269</v>
      </c>
      <c r="F26" s="67">
        <v>20250825</v>
      </c>
      <c r="G26" s="42" t="s">
        <v>68</v>
      </c>
      <c r="H26" s="67" t="str">
        <f>IF(B26="","",VLOOKUP(AD26,Varsayımlar!$B:$Q,5,0))</f>
        <v>Tortillas 25cm Tam Buğday</v>
      </c>
      <c r="I26" s="67">
        <f>IF(B26="","",VLOOKUP(AD26,Varsayımlar!B:T,19,0))</f>
        <v>0</v>
      </c>
      <c r="J26" s="67" t="str">
        <f>IF(B26="","",VLOOKUP(AD26,Varsayımlar!$B:$Q,6,0))</f>
        <v>Tam Buğdaylı</v>
      </c>
      <c r="K26" s="67">
        <v>252</v>
      </c>
      <c r="L26" s="67"/>
      <c r="M26" s="67">
        <f>IFERROR(IF(B26="","",K26/VLOOKUP(AD26,Varsayımlar!B:R,17,0)),"")</f>
        <v>3</v>
      </c>
      <c r="N26" s="67"/>
      <c r="O26" s="67">
        <v>5</v>
      </c>
      <c r="P26" s="67">
        <f>IF(B26="","",VLOOKUP(AD26,Varsayımlar!$B:$Q,7,0)*K26)</f>
        <v>7560</v>
      </c>
      <c r="Q26" s="67">
        <f>IF(B26="","",VLOOKUP(AD26,Varsayımlar!$B:$Q,8,0))</f>
        <v>25</v>
      </c>
      <c r="R26" s="67" t="str">
        <f>IF(B26="","",VLOOKUP(AD26,Varsayımlar!$B:$Q,9,0))</f>
        <v>Soft-PA3</v>
      </c>
      <c r="S26" s="67">
        <f>IF(B26="","",VLOOKUP(AD26,Varsayımlar!$B:$Q,10,0))</f>
        <v>4</v>
      </c>
      <c r="T26" s="67">
        <f>IF(B26="","",VLOOKUP(AD26,Varsayımlar!$B:$Q,11,0))</f>
        <v>30</v>
      </c>
      <c r="U26" s="67">
        <f>IF(B26="","",VLOOKUP(AD26,Varsayımlar!$B:$Q,12,0))</f>
        <v>240</v>
      </c>
      <c r="V26" s="67" t="str">
        <f>IF(B26="","",VLOOKUP(AD26,Varsayımlar!$B:$Q,13,0))</f>
        <v>Yurtdışı</v>
      </c>
      <c r="W26" s="67">
        <f>IF(B26="","",VLOOKUP(AD26,Varsayımlar!$B:$Q,14,0))</f>
        <v>12</v>
      </c>
      <c r="X26" s="69">
        <v>46199</v>
      </c>
      <c r="Y26" s="69">
        <v>46564</v>
      </c>
      <c r="Z26" s="67" t="s">
        <v>374</v>
      </c>
      <c r="AA26" s="67" t="str">
        <f>IF(B26="","",VLOOKUP(AD26,Varsayımlar!$B:$Q,15,0))</f>
        <v>25cm Kolisi-Etiketli</v>
      </c>
      <c r="AB26" s="67" t="str">
        <f>IF(B26="","",VLOOKUP(AD26,Varsayımlar!$B:$Q,16,0))</f>
        <v>24-26 cm (Macca Hetto Inkjet Uzun Tarih)</v>
      </c>
      <c r="AC26" s="67" t="str">
        <f>IF(B26="","",VLOOKUP(Sayfa1!AD23,Varsayımlar!B:S,18,0))</f>
        <v>80x120cm</v>
      </c>
      <c r="AD26" s="57" t="str">
        <f t="shared" si="0"/>
        <v>LAIKYUZHN-BELARUSTortillas 25cm Tam buğday 4pcs 240g</v>
      </c>
    </row>
    <row r="27" spans="1:30" ht="47.25" hidden="1" x14ac:dyDescent="0.25">
      <c r="A27" s="8" t="s">
        <v>140</v>
      </c>
      <c r="B27" s="67" t="s">
        <v>268</v>
      </c>
      <c r="C27" s="42">
        <f>IF(B27="","",VLOOKUP(AD27,Varsayımlar!$B:$Q,3,0))</f>
        <v>8698829380698</v>
      </c>
      <c r="D27" s="42" t="s">
        <v>159</v>
      </c>
      <c r="E27" s="67" t="s">
        <v>274</v>
      </c>
      <c r="F27" s="67">
        <v>20250825</v>
      </c>
      <c r="G27" s="42" t="s">
        <v>68</v>
      </c>
      <c r="H27" s="67" t="str">
        <f>IF(B27="","",VLOOKUP(AD27,Varsayımlar!$B:$Q,5,0))</f>
        <v>Tortillas 25cm Domatesli</v>
      </c>
      <c r="I27" s="67">
        <f>IF(B27="","",VLOOKUP(AD27,Varsayımlar!B:T,19,0))</f>
        <v>0</v>
      </c>
      <c r="J27" s="67" t="str">
        <f>IF(B27="","",VLOOKUP(AD27,Varsayımlar!$B:$Q,6,0))</f>
        <v>Domatesli</v>
      </c>
      <c r="K27" s="67">
        <v>252</v>
      </c>
      <c r="L27" s="67"/>
      <c r="M27" s="67">
        <f>IFERROR(IF(B27="","",K27/VLOOKUP(AD27,Varsayımlar!B:R,17,0)),"")</f>
        <v>3</v>
      </c>
      <c r="N27" s="67"/>
      <c r="O27" s="67">
        <v>5</v>
      </c>
      <c r="P27" s="67">
        <f>IF(B27="","",VLOOKUP(AD27,Varsayımlar!$B:$Q,7,0)*K27)</f>
        <v>7560</v>
      </c>
      <c r="Q27" s="67">
        <f>IF(B27="","",VLOOKUP(AD27,Varsayımlar!$B:$Q,8,0))</f>
        <v>25</v>
      </c>
      <c r="R27" s="67" t="str">
        <f>IF(B27="","",VLOOKUP(AD27,Varsayımlar!$B:$Q,9,0))</f>
        <v>Soft-PA3</v>
      </c>
      <c r="S27" s="67">
        <f>IF(B27="","",VLOOKUP(AD27,Varsayımlar!$B:$Q,10,0))</f>
        <v>4</v>
      </c>
      <c r="T27" s="67">
        <f>IF(B27="","",VLOOKUP(AD27,Varsayımlar!$B:$Q,11,0))</f>
        <v>30</v>
      </c>
      <c r="U27" s="67">
        <f>IF(B27="","",VLOOKUP(AD27,Varsayımlar!$B:$Q,12,0))</f>
        <v>240</v>
      </c>
      <c r="V27" s="67" t="str">
        <f>IF(B27="","",VLOOKUP(AD27,Varsayımlar!$B:$Q,13,0))</f>
        <v>Yurtdışı</v>
      </c>
      <c r="W27" s="67">
        <f>IF(B27="","",VLOOKUP(AD27,Varsayımlar!$B:$Q,14,0))</f>
        <v>12</v>
      </c>
      <c r="X27" s="69">
        <v>46199</v>
      </c>
      <c r="Y27" s="69">
        <v>46564</v>
      </c>
      <c r="Z27" s="67" t="s">
        <v>375</v>
      </c>
      <c r="AA27" s="67" t="str">
        <f>IF(B27="","",VLOOKUP(AD27,Varsayımlar!$B:$Q,15,0))</f>
        <v>25cm Kolisi-Etiketli</v>
      </c>
      <c r="AB27" s="67" t="str">
        <f>IF(B27="","",VLOOKUP(AD27,Varsayımlar!$B:$Q,16,0))</f>
        <v>24-26 cm (Macca Hetto Inkjet Uzun Tarih)</v>
      </c>
      <c r="AC27" s="67" t="str">
        <f>IF(B27="","",VLOOKUP(Sayfa1!AD24,Varsayımlar!B:S,18,0))</f>
        <v>80x120cm</v>
      </c>
      <c r="AD27" s="57" t="str">
        <f t="shared" si="0"/>
        <v>LAIKYUZHN-BELARUSTortillas 25cm Domatesli 4pcs 240g</v>
      </c>
    </row>
    <row r="28" spans="1:30" ht="47.25" hidden="1" x14ac:dyDescent="0.25">
      <c r="A28" s="8" t="s">
        <v>141</v>
      </c>
      <c r="B28" s="67" t="s">
        <v>268</v>
      </c>
      <c r="C28" s="42">
        <f>IF(B28="","",VLOOKUP(AD28,Varsayımlar!$B:$Q,3,0))</f>
        <v>8698829380698</v>
      </c>
      <c r="D28" s="42" t="s">
        <v>159</v>
      </c>
      <c r="E28" s="67" t="s">
        <v>276</v>
      </c>
      <c r="F28" s="67">
        <v>20250825</v>
      </c>
      <c r="G28" s="42" t="s">
        <v>68</v>
      </c>
      <c r="H28" s="67" t="str">
        <f>IF(B28="","",VLOOKUP(AD28,Varsayımlar!$B:$Q,5,0))</f>
        <v>Tortillas 25cm Ispanaklı</v>
      </c>
      <c r="I28" s="67">
        <f>IF(B28="","",VLOOKUP(AD28,Varsayımlar!B:T,19,0))</f>
        <v>0</v>
      </c>
      <c r="J28" s="67" t="str">
        <f>IF(B28="","",VLOOKUP(AD28,Varsayımlar!$B:$Q,6,0))</f>
        <v>Ispanaklı</v>
      </c>
      <c r="K28" s="67">
        <v>420</v>
      </c>
      <c r="L28" s="67"/>
      <c r="M28" s="67">
        <f>IFERROR(IF(B28="","",K28/VLOOKUP(AD28,Varsayımlar!B:R,17,0)),"")</f>
        <v>5</v>
      </c>
      <c r="N28" s="67"/>
      <c r="O28" s="67">
        <v>7</v>
      </c>
      <c r="P28" s="67">
        <f>IF(B28="","",VLOOKUP(AD28,Varsayımlar!$B:$Q,7,0)*K28)</f>
        <v>12600</v>
      </c>
      <c r="Q28" s="67">
        <f>IF(B28="","",VLOOKUP(AD28,Varsayımlar!$B:$Q,8,0))</f>
        <v>25</v>
      </c>
      <c r="R28" s="67" t="str">
        <f>IF(B28="","",VLOOKUP(AD28,Varsayımlar!$B:$Q,9,0))</f>
        <v>Soft-PA3</v>
      </c>
      <c r="S28" s="67">
        <f>IF(B28="","",VLOOKUP(AD28,Varsayımlar!$B:$Q,10,0))</f>
        <v>4</v>
      </c>
      <c r="T28" s="67">
        <f>IF(B28="","",VLOOKUP(AD28,Varsayımlar!$B:$Q,11,0))</f>
        <v>30</v>
      </c>
      <c r="U28" s="67">
        <f>IF(B28="","",VLOOKUP(AD28,Varsayımlar!$B:$Q,12,0))</f>
        <v>240</v>
      </c>
      <c r="V28" s="67" t="str">
        <f>IF(B28="","",VLOOKUP(AD28,Varsayımlar!$B:$Q,13,0))</f>
        <v>Yurtdışı</v>
      </c>
      <c r="W28" s="67">
        <f>IF(B28="","",VLOOKUP(AD28,Varsayımlar!$B:$Q,14,0))</f>
        <v>12</v>
      </c>
      <c r="X28" s="69">
        <v>46199</v>
      </c>
      <c r="Y28" s="69">
        <v>46564</v>
      </c>
      <c r="Z28" s="67" t="s">
        <v>376</v>
      </c>
      <c r="AA28" s="67" t="str">
        <f>IF(B28="","",VLOOKUP(AD28,Varsayımlar!$B:$Q,15,0))</f>
        <v>25cm Kolisi-Etiketli</v>
      </c>
      <c r="AB28" s="67" t="str">
        <f>IF(B28="","",VLOOKUP(AD28,Varsayımlar!$B:$Q,16,0))</f>
        <v>24-26 cm (Macca Hetto Inkjet Uzun Tarih)</v>
      </c>
      <c r="AC28" s="67" t="str">
        <f>IF(B28="","",VLOOKUP(Sayfa1!AD25,Varsayımlar!B:S,18,0))</f>
        <v>80x120cm</v>
      </c>
      <c r="AD28" s="57" t="str">
        <f t="shared" si="0"/>
        <v>LAIKYUZHN-BELARUSTortillas 25cm Ispanaklı 4pcs 240g</v>
      </c>
    </row>
    <row r="29" spans="1:30" ht="47.25" hidden="1" x14ac:dyDescent="0.25">
      <c r="A29" s="8" t="s">
        <v>142</v>
      </c>
      <c r="B29" s="67" t="s">
        <v>268</v>
      </c>
      <c r="C29" s="42">
        <f>IF(B29="","",VLOOKUP(AD29,Varsayımlar!$B:$Q,3,0))</f>
        <v>8698829380698</v>
      </c>
      <c r="D29" s="42" t="s">
        <v>159</v>
      </c>
      <c r="E29" s="67" t="s">
        <v>278</v>
      </c>
      <c r="F29" s="67">
        <v>20250825</v>
      </c>
      <c r="G29" s="42" t="s">
        <v>68</v>
      </c>
      <c r="H29" s="67" t="str">
        <f>IF(B29="","",VLOOKUP(AD29,Varsayımlar!$B:$Q,5,0))</f>
        <v>Magnit Tortillas 25cm Peynirli</v>
      </c>
      <c r="I29" s="67" t="str">
        <f>IF(B29="","",VLOOKUP(AD29,Varsayımlar!B:T,19,0))</f>
        <v>Etiketli</v>
      </c>
      <c r="J29" s="67" t="str">
        <f>IF(B29="","",VLOOKUP(AD29,Varsayımlar!$B:$Q,6,0))</f>
        <v>Peynirli</v>
      </c>
      <c r="K29" s="67">
        <v>420</v>
      </c>
      <c r="L29" s="67"/>
      <c r="M29" s="67">
        <f>IFERROR(IF(B29="","",K29/VLOOKUP(AD29,Varsayımlar!B:R,17,0)),"")</f>
        <v>5</v>
      </c>
      <c r="N29" s="67"/>
      <c r="O29" s="67">
        <v>7</v>
      </c>
      <c r="P29" s="67">
        <f>IF(B29="","",VLOOKUP(AD29,Varsayımlar!$B:$Q,7,0)*K29)</f>
        <v>12600</v>
      </c>
      <c r="Q29" s="67">
        <f>IF(B29="","",VLOOKUP(AD29,Varsayımlar!$B:$Q,8,0))</f>
        <v>25</v>
      </c>
      <c r="R29" s="67" t="str">
        <f>IF(B29="","",VLOOKUP(AD29,Varsayımlar!$B:$Q,9,0))</f>
        <v>Soft-PA3-AT</v>
      </c>
      <c r="S29" s="67">
        <f>IF(B29="","",VLOOKUP(AD29,Varsayımlar!$B:$Q,10,0))</f>
        <v>4</v>
      </c>
      <c r="T29" s="67">
        <f>IF(B29="","",VLOOKUP(AD29,Varsayımlar!$B:$Q,11,0))</f>
        <v>30</v>
      </c>
      <c r="U29" s="67">
        <f>IF(B29="","",VLOOKUP(AD29,Varsayımlar!$B:$Q,12,0))</f>
        <v>250</v>
      </c>
      <c r="V29" s="67" t="str">
        <f>IF(B29="","",VLOOKUP(AD29,Varsayımlar!$B:$Q,13,0))</f>
        <v>Yurtdışı</v>
      </c>
      <c r="W29" s="67">
        <f>IF(B29="","",VLOOKUP(AD29,Varsayımlar!$B:$Q,14,0))</f>
        <v>9</v>
      </c>
      <c r="X29" s="69">
        <v>46199</v>
      </c>
      <c r="Y29" s="69">
        <v>46472</v>
      </c>
      <c r="Z29" s="67" t="s">
        <v>377</v>
      </c>
      <c r="AA29" s="67" t="str">
        <f>IF(B29="","",VLOOKUP(AD29,Varsayımlar!$B:$Q,15,0))</f>
        <v>25cm Kolisi-Etiketli</v>
      </c>
      <c r="AB29" s="67" t="str">
        <f>IF(B29="","",VLOOKUP(AD29,Varsayımlar!$B:$Q,16,0))</f>
        <v>24-26 cm (Macca Hetto Inkjet Uzun Tarih)</v>
      </c>
      <c r="AC29" s="67" t="str">
        <f>IF(B29="","",VLOOKUP(Sayfa1!AD26,Varsayımlar!B:S,18,0))</f>
        <v>80x120cm</v>
      </c>
      <c r="AD29" s="57" t="str">
        <f t="shared" si="0"/>
        <v>LAIKYUZHN-BELARUSMagnit Tortillas 25cm Peynirli 4pcs 240g</v>
      </c>
    </row>
    <row r="30" spans="1:30" ht="47.25" hidden="1" x14ac:dyDescent="0.25">
      <c r="A30" s="8" t="s">
        <v>143</v>
      </c>
      <c r="B30" s="62" t="s">
        <v>181</v>
      </c>
      <c r="C30" s="32">
        <f>IF(B30="","",VLOOKUP(AD30,Varsayımlar!$B:$Q,3,0))</f>
        <v>8698829380698</v>
      </c>
      <c r="D30" s="32"/>
      <c r="E30" s="62" t="s">
        <v>182</v>
      </c>
      <c r="F30" s="62">
        <v>26060101</v>
      </c>
      <c r="G30" s="32"/>
      <c r="H30" s="62" t="str">
        <f>IF(B30="","",VLOOKUP(AD30,Varsayımlar!$B:$Q,5,0))</f>
        <v>Tortillove 30cm</v>
      </c>
      <c r="I30" s="62" t="str">
        <f>IF(B30="","",VLOOKUP(AD30,Varsayımlar!B:T,19,0))</f>
        <v>Arka kısma Arnavutça içerik-Tortillove</v>
      </c>
      <c r="J30" s="62" t="str">
        <f>IF(B30="","",VLOOKUP(AD30,Varsayımlar!$B:$Q,6,0))</f>
        <v>SADE</v>
      </c>
      <c r="K30" s="62">
        <v>100</v>
      </c>
      <c r="L30" s="62"/>
      <c r="M30" s="62">
        <f>IFERROR(IF(B30="","",K30/VLOOKUP(AD30,Varsayımlar!B:R,17,0)),"")</f>
        <v>2</v>
      </c>
      <c r="N30" s="62"/>
      <c r="O30" s="62">
        <v>2</v>
      </c>
      <c r="P30" s="62">
        <f>IF(B30="","",VLOOKUP(AD30,Varsayımlar!$B:$Q,7,0)*K30)</f>
        <v>1200</v>
      </c>
      <c r="Q30" s="62">
        <f>IF(B30="","",VLOOKUP(AD30,Varsayımlar!$B:$Q,8,0))</f>
        <v>30</v>
      </c>
      <c r="R30" s="62" t="str">
        <f>IF(B30="","",VLOOKUP(AD30,Varsayımlar!$B:$Q,9,0))</f>
        <v>Irak Soft</v>
      </c>
      <c r="S30" s="62">
        <f>IF(B30="","",VLOOKUP(AD30,Varsayımlar!$B:$Q,10,0))</f>
        <v>10</v>
      </c>
      <c r="T30" s="62">
        <f>IF(B30="","",VLOOKUP(AD30,Varsayımlar!$B:$Q,11,0))</f>
        <v>12</v>
      </c>
      <c r="U30" s="62">
        <f>IF(B30="","",VLOOKUP(AD30,Varsayımlar!$B:$Q,12,0))</f>
        <v>900</v>
      </c>
      <c r="V30" s="62" t="str">
        <f>IF(B30="","",VLOOKUP(AD30,Varsayımlar!$B:$Q,13,0))</f>
        <v>Yurtdışı</v>
      </c>
      <c r="W30" s="62">
        <f>IF(B30="","",VLOOKUP(AD30,Varsayımlar!$B:$Q,14,0))</f>
        <v>12</v>
      </c>
      <c r="X30" s="63">
        <v>46200</v>
      </c>
      <c r="Y30" s="63">
        <v>46565</v>
      </c>
      <c r="Z30" s="62">
        <v>26062730</v>
      </c>
      <c r="AA30" s="62" t="str">
        <f>IF(B30="","",VLOOKUP(AD30,Varsayımlar!$B:$Q,15,0))</f>
        <v>30cm Koli - Tortillove 900g Etiketli</v>
      </c>
      <c r="AB30" s="62" t="str">
        <f>IF(B30="","",VLOOKUP(AD30,Varsayımlar!$B:$Q,16,0))</f>
        <v>29-31 cm</v>
      </c>
      <c r="AC30" s="62">
        <f>IF(B30="","",VLOOKUP(Sayfa1!AD27,Varsayımlar!B:S,18,0))</f>
        <v>0</v>
      </c>
      <c r="AD30" s="57" t="str">
        <f t="shared" si="0"/>
        <v>ALDİ - KOSOVATortillove 30cm 10pcs 900g</v>
      </c>
    </row>
    <row r="31" spans="1:30" ht="47.25" hidden="1" x14ac:dyDescent="0.25">
      <c r="A31" s="8" t="s">
        <v>144</v>
      </c>
      <c r="B31" s="62" t="s">
        <v>181</v>
      </c>
      <c r="C31" s="32">
        <f>IF(B31="","",VLOOKUP(AD31,Varsayımlar!$B:$Q,3,0))</f>
        <v>8698829380698</v>
      </c>
      <c r="D31" s="32"/>
      <c r="E31" s="62" t="s">
        <v>185</v>
      </c>
      <c r="F31" s="62">
        <v>26060101</v>
      </c>
      <c r="G31" s="32"/>
      <c r="H31" s="62" t="str">
        <f>IF(B31="","",VLOOKUP(AD31,Varsayımlar!$B:$Q,5,0))</f>
        <v>Tortillas 30cm</v>
      </c>
      <c r="I31" s="62" t="str">
        <f>IF(B31="","",VLOOKUP(AD31,Varsayımlar!B:T,19,0))</f>
        <v>Arka kısma Arnavutça içerik-Tortillas</v>
      </c>
      <c r="J31" s="62" t="str">
        <f>IF(B31="","",VLOOKUP(AD31,Varsayımlar!$B:$Q,6,0))</f>
        <v>SADE</v>
      </c>
      <c r="K31" s="62">
        <v>50</v>
      </c>
      <c r="L31" s="62"/>
      <c r="M31" s="62">
        <f>IFERROR(IF(B31="","",K31/VLOOKUP(AD31,Varsayımlar!B:R,17,0)),"")</f>
        <v>1</v>
      </c>
      <c r="N31" s="62"/>
      <c r="O31" s="62">
        <v>1</v>
      </c>
      <c r="P31" s="62">
        <f>IF(B31="","",VLOOKUP(AD31,Varsayımlar!$B:$Q,7,0)*K31)</f>
        <v>600</v>
      </c>
      <c r="Q31" s="62">
        <f>IF(B31="","",VLOOKUP(AD31,Varsayımlar!$B:$Q,8,0))</f>
        <v>30</v>
      </c>
      <c r="R31" s="62" t="str">
        <f>IF(B31="","",VLOOKUP(AD31,Varsayımlar!$B:$Q,9,0))</f>
        <v>Irak Soft</v>
      </c>
      <c r="S31" s="62">
        <f>IF(B31="","",VLOOKUP(AD31,Varsayımlar!$B:$Q,10,0))</f>
        <v>10</v>
      </c>
      <c r="T31" s="62">
        <f>IF(B31="","",VLOOKUP(AD31,Varsayımlar!$B:$Q,11,0))</f>
        <v>12</v>
      </c>
      <c r="U31" s="62">
        <f>IF(B31="","",VLOOKUP(AD31,Varsayımlar!$B:$Q,12,0))</f>
        <v>900</v>
      </c>
      <c r="V31" s="62" t="str">
        <f>IF(B31="","",VLOOKUP(AD31,Varsayımlar!$B:$Q,13,0))</f>
        <v>Yurtdışı</v>
      </c>
      <c r="W31" s="62">
        <f>IF(B31="","",VLOOKUP(AD31,Varsayımlar!$B:$Q,14,0))</f>
        <v>12</v>
      </c>
      <c r="X31" s="63">
        <v>46200</v>
      </c>
      <c r="Y31" s="63">
        <v>46565</v>
      </c>
      <c r="Z31" s="62">
        <v>26062730</v>
      </c>
      <c r="AA31" s="62" t="str">
        <f>IF(B31="","",VLOOKUP(AD31,Varsayımlar!$B:$Q,15,0))</f>
        <v>30cm Koli - Tortillas 900g Etiketli</v>
      </c>
      <c r="AB31" s="62" t="str">
        <f>IF(B31="","",VLOOKUP(AD31,Varsayımlar!$B:$Q,16,0))</f>
        <v>29-31 cm</v>
      </c>
      <c r="AC31" s="62">
        <f>IF(B31="","",VLOOKUP(Sayfa1!AD28,Varsayımlar!B:S,18,0))</f>
        <v>0</v>
      </c>
      <c r="AD31" s="57" t="str">
        <f t="shared" si="0"/>
        <v>ALDİ - KOSOVATortillas 30cm 10pcs 900g</v>
      </c>
    </row>
    <row r="32" spans="1:30" ht="63" hidden="1" x14ac:dyDescent="0.25">
      <c r="A32" s="8" t="s">
        <v>145</v>
      </c>
      <c r="B32" s="62" t="s">
        <v>181</v>
      </c>
      <c r="C32" s="32">
        <f>IF(B32="","",VLOOKUP(AD32,Varsayımlar!$B:$Q,3,0))</f>
        <v>8698829380698</v>
      </c>
      <c r="D32" s="32"/>
      <c r="E32" s="32" t="s">
        <v>372</v>
      </c>
      <c r="F32" s="62">
        <v>26060101</v>
      </c>
      <c r="G32" s="32"/>
      <c r="H32" s="62" t="str">
        <f>IF(B32="","",VLOOKUP(AD32,Varsayımlar!$B:$Q,5,0))</f>
        <v>Tortillove Tam Buğday 25cm</v>
      </c>
      <c r="I32" s="62" t="str">
        <f>IF(B32="","",VLOOKUP(AD32,Varsayımlar!B:T,19,0))</f>
        <v>Barkod üzerine Arnavutça TB içerik+Barkod-Tortillove</v>
      </c>
      <c r="J32" s="62" t="str">
        <f>IF(B32="","",VLOOKUP(AD32,Varsayımlar!$B:$Q,6,0))</f>
        <v>Tam Buğdaylı</v>
      </c>
      <c r="K32" s="62">
        <v>84</v>
      </c>
      <c r="L32" s="62"/>
      <c r="M32" s="62">
        <f>IFERROR(IF(B32="","",K32/VLOOKUP(AD32,Varsayımlar!B:R,17,0)),"")</f>
        <v>1</v>
      </c>
      <c r="N32" s="62"/>
      <c r="O32" s="62">
        <v>2</v>
      </c>
      <c r="P32" s="62">
        <f>IF(B32="","",VLOOKUP(AD32,Varsayımlar!$B:$Q,7,0)*K32)</f>
        <v>1512</v>
      </c>
      <c r="Q32" s="62">
        <f>IF(B32="","",VLOOKUP(AD32,Varsayımlar!$B:$Q,8,0))</f>
        <v>25</v>
      </c>
      <c r="R32" s="62" t="str">
        <f>IF(B32="","",VLOOKUP(AD32,Varsayımlar!$B:$Q,9,0))</f>
        <v>Irak Soft</v>
      </c>
      <c r="S32" s="62">
        <f>IF(B32="","",VLOOKUP(AD32,Varsayımlar!$B:$Q,10,0))</f>
        <v>6</v>
      </c>
      <c r="T32" s="62">
        <f>IF(B32="","",VLOOKUP(AD32,Varsayımlar!$B:$Q,11,0))</f>
        <v>18</v>
      </c>
      <c r="U32" s="62">
        <f>IF(B32="","",VLOOKUP(AD32,Varsayımlar!$B:$Q,12,0))</f>
        <v>390</v>
      </c>
      <c r="V32" s="62" t="str">
        <f>IF(B32="","",VLOOKUP(AD32,Varsayımlar!$B:$Q,13,0))</f>
        <v>Yurtdışı</v>
      </c>
      <c r="W32" s="62">
        <f>IF(B32="","",VLOOKUP(AD32,Varsayımlar!$B:$Q,14,0))</f>
        <v>12</v>
      </c>
      <c r="X32" s="63">
        <v>46200</v>
      </c>
      <c r="Y32" s="63">
        <v>46565</v>
      </c>
      <c r="Z32" s="62">
        <v>26062725</v>
      </c>
      <c r="AA32" s="62" t="str">
        <f>IF(B32="","",VLOOKUP(AD32,Varsayımlar!$B:$Q,15,0))</f>
        <v>25cm Koli - Tortillove 390g TB Etiketli</v>
      </c>
      <c r="AB32" s="62" t="str">
        <f>IF(B32="","",VLOOKUP(AD32,Varsayımlar!$B:$Q,16,0))</f>
        <v>24-26 cm</v>
      </c>
      <c r="AC32" s="62">
        <f>IF(B32="","",VLOOKUP(Sayfa1!AD29,Varsayımlar!B:S,18,0))</f>
        <v>0</v>
      </c>
      <c r="AD32" s="57" t="str">
        <f t="shared" si="0"/>
        <v>ALDİ - KOSOVATortillove 25cm TB 6pcs 390g</v>
      </c>
    </row>
    <row r="33" spans="1:30" ht="63" hidden="1" x14ac:dyDescent="0.25">
      <c r="A33" s="8" t="s">
        <v>146</v>
      </c>
      <c r="B33" s="62" t="s">
        <v>181</v>
      </c>
      <c r="C33" s="32">
        <f>IF(B33="","",VLOOKUP(AD33,Varsayımlar!$B:$Q,3,0))</f>
        <v>8698829380698</v>
      </c>
      <c r="D33" s="32"/>
      <c r="E33" s="32" t="s">
        <v>251</v>
      </c>
      <c r="F33" s="62">
        <v>26060101</v>
      </c>
      <c r="G33" s="32"/>
      <c r="H33" s="62" t="str">
        <f>IF(B33="","",VLOOKUP(AD33,Varsayımlar!$B:$Q,5,0))</f>
        <v>Tortillas Tam Buğday 25cm</v>
      </c>
      <c r="I33" s="62" t="str">
        <f>IF(B33="","",VLOOKUP(AD33,Varsayımlar!B:T,19,0))</f>
        <v>Barkod üzerine Arnavutça TB içerik+Barkod-Tortillas</v>
      </c>
      <c r="J33" s="62" t="str">
        <f>IF(B33="","",VLOOKUP(AD33,Varsayımlar!$B:$Q,6,0))</f>
        <v>Tam Buğdaylı</v>
      </c>
      <c r="K33" s="62">
        <v>84</v>
      </c>
      <c r="L33" s="62"/>
      <c r="M33" s="62">
        <f>IFERROR(IF(B33="","",K33/VLOOKUP(AD33,Varsayımlar!B:R,17,0)),"")</f>
        <v>1</v>
      </c>
      <c r="N33" s="62"/>
      <c r="O33" s="62">
        <v>2</v>
      </c>
      <c r="P33" s="62">
        <f>IF(B33="","",VLOOKUP(AD33,Varsayımlar!$B:$Q,7,0)*K33)</f>
        <v>1512</v>
      </c>
      <c r="Q33" s="62">
        <f>IF(B33="","",VLOOKUP(AD33,Varsayımlar!$B:$Q,8,0))</f>
        <v>25</v>
      </c>
      <c r="R33" s="62" t="str">
        <f>IF(B33="","",VLOOKUP(AD33,Varsayımlar!$B:$Q,9,0))</f>
        <v>Irak Soft</v>
      </c>
      <c r="S33" s="62">
        <f>IF(B33="","",VLOOKUP(AD33,Varsayımlar!$B:$Q,10,0))</f>
        <v>6</v>
      </c>
      <c r="T33" s="62">
        <f>IF(B33="","",VLOOKUP(AD33,Varsayımlar!$B:$Q,11,0))</f>
        <v>18</v>
      </c>
      <c r="U33" s="62">
        <f>IF(B33="","",VLOOKUP(AD33,Varsayımlar!$B:$Q,12,0))</f>
        <v>390</v>
      </c>
      <c r="V33" s="62" t="str">
        <f>IF(B33="","",VLOOKUP(AD33,Varsayımlar!$B:$Q,13,0))</f>
        <v>Yurtdışı</v>
      </c>
      <c r="W33" s="62">
        <f>IF(B33="","",VLOOKUP(AD33,Varsayımlar!$B:$Q,14,0))</f>
        <v>12</v>
      </c>
      <c r="X33" s="63">
        <v>46200</v>
      </c>
      <c r="Y33" s="63">
        <v>46565</v>
      </c>
      <c r="Z33" s="62">
        <v>26062725</v>
      </c>
      <c r="AA33" s="62" t="str">
        <f>IF(B33="","",VLOOKUP(AD33,Varsayımlar!$B:$Q,15,0))</f>
        <v>25cm Koli - Tortillas 390g TB Etiketli</v>
      </c>
      <c r="AB33" s="62" t="str">
        <f>IF(B33="","",VLOOKUP(AD33,Varsayımlar!$B:$Q,16,0))</f>
        <v>24-26 cm</v>
      </c>
      <c r="AC33" s="62">
        <f>IF(B33="","",VLOOKUP(Sayfa1!AD30,Varsayımlar!B:S,18,0))</f>
        <v>0</v>
      </c>
      <c r="AD33" s="57" t="str">
        <f t="shared" si="0"/>
        <v>ALDİ - KOSOVATortillas 25cm TB 6pcs 390g</v>
      </c>
    </row>
    <row r="34" spans="1:30" ht="63" hidden="1" x14ac:dyDescent="0.25">
      <c r="A34" s="8" t="s">
        <v>147</v>
      </c>
      <c r="B34" s="62" t="s">
        <v>181</v>
      </c>
      <c r="C34" s="32">
        <f>IF(B34="","",VLOOKUP(AD34,Varsayımlar!$B:$Q,3,0))</f>
        <v>8698829380698</v>
      </c>
      <c r="D34" s="32"/>
      <c r="E34" s="62" t="s">
        <v>187</v>
      </c>
      <c r="F34" s="62">
        <v>26060101</v>
      </c>
      <c r="G34" s="32"/>
      <c r="H34" s="62" t="str">
        <f>IF(B34="","",VLOOKUP(AD34,Varsayımlar!$B:$Q,5,0))</f>
        <v>Tortillove 25cm</v>
      </c>
      <c r="I34" s="62" t="str">
        <f>IF(B34="","",VLOOKUP(AD34,Varsayımlar!B:T,19,0))</f>
        <v>Barkod üzerine Arnavutça içerik+Barkod-Tortillove</v>
      </c>
      <c r="J34" s="62" t="str">
        <f>IF(B34="","",VLOOKUP(AD34,Varsayımlar!$B:$Q,6,0))</f>
        <v>SADE</v>
      </c>
      <c r="K34" s="62">
        <v>168</v>
      </c>
      <c r="L34" s="62"/>
      <c r="M34" s="62">
        <f>IFERROR(IF(B34="","",K34/VLOOKUP(AD34,Varsayımlar!B:R,17,0)),"")</f>
        <v>2</v>
      </c>
      <c r="N34" s="62"/>
      <c r="O34" s="62">
        <v>3</v>
      </c>
      <c r="P34" s="62">
        <f>IF(B34="","",VLOOKUP(AD34,Varsayımlar!$B:$Q,7,0)*K34)</f>
        <v>3024</v>
      </c>
      <c r="Q34" s="62">
        <f>IF(B34="","",VLOOKUP(AD34,Varsayımlar!$B:$Q,8,0))</f>
        <v>25</v>
      </c>
      <c r="R34" s="62" t="str">
        <f>IF(B34="","",VLOOKUP(AD34,Varsayımlar!$B:$Q,9,0))</f>
        <v>Irak Soft</v>
      </c>
      <c r="S34" s="62">
        <f>IF(B34="","",VLOOKUP(AD34,Varsayımlar!$B:$Q,10,0))</f>
        <v>6</v>
      </c>
      <c r="T34" s="62">
        <f>IF(B34="","",VLOOKUP(AD34,Varsayımlar!$B:$Q,11,0))</f>
        <v>18</v>
      </c>
      <c r="U34" s="62">
        <f>IF(B34="","",VLOOKUP(AD34,Varsayımlar!$B:$Q,12,0))</f>
        <v>390</v>
      </c>
      <c r="V34" s="62" t="str">
        <f>IF(B34="","",VLOOKUP(AD34,Varsayımlar!$B:$Q,13,0))</f>
        <v>Yurtdışı</v>
      </c>
      <c r="W34" s="62">
        <f>IF(B34="","",VLOOKUP(AD34,Varsayımlar!$B:$Q,14,0))</f>
        <v>12</v>
      </c>
      <c r="X34" s="63">
        <v>46200</v>
      </c>
      <c r="Y34" s="63">
        <v>46565</v>
      </c>
      <c r="Z34" s="62">
        <v>26062725</v>
      </c>
      <c r="AA34" s="62" t="str">
        <f>IF(B34="","",VLOOKUP(AD34,Varsayımlar!$B:$Q,15,0))</f>
        <v>25cm Koli - Tortillove 390g Etiketli</v>
      </c>
      <c r="AB34" s="62" t="str">
        <f>IF(B34="","",VLOOKUP(AD34,Varsayımlar!$B:$Q,16,0))</f>
        <v>24-26 cm</v>
      </c>
      <c r="AC34" s="62">
        <f>IF(B34="","",VLOOKUP(Sayfa1!AD31,Varsayımlar!B:S,18,0))</f>
        <v>0</v>
      </c>
      <c r="AD34" s="57" t="str">
        <f t="shared" si="0"/>
        <v>ALDİ - KOSOVATortillove 25cm 6pcs 390g</v>
      </c>
    </row>
    <row r="35" spans="1:30" ht="63" hidden="1" x14ac:dyDescent="0.25">
      <c r="A35" s="8" t="s">
        <v>148</v>
      </c>
      <c r="B35" s="62" t="s">
        <v>181</v>
      </c>
      <c r="C35" s="32">
        <f>IF(B35="","",VLOOKUP(AD35,Varsayımlar!$B:$Q,3,0))</f>
        <v>8698829380698</v>
      </c>
      <c r="D35" s="32"/>
      <c r="E35" s="62" t="s">
        <v>189</v>
      </c>
      <c r="F35" s="62">
        <v>26060101</v>
      </c>
      <c r="G35" s="32"/>
      <c r="H35" s="62" t="str">
        <f>IF(B35="","",VLOOKUP(AD35,Varsayımlar!$B:$Q,5,0))</f>
        <v>Tortillas 25cm</v>
      </c>
      <c r="I35" s="62" t="str">
        <f>IF(B35="","",VLOOKUP(AD35,Varsayımlar!B:T,19,0))</f>
        <v>Barkod üzerine Arnavutça içerik+Barkod-Tortillas</v>
      </c>
      <c r="J35" s="62" t="str">
        <f>IF(B35="","",VLOOKUP(AD35,Varsayımlar!$B:$Q,6,0))</f>
        <v>SADE</v>
      </c>
      <c r="K35" s="62">
        <v>84</v>
      </c>
      <c r="L35" s="62"/>
      <c r="M35" s="62">
        <f>IFERROR(IF(B35="","",K35/VLOOKUP(AD35,Varsayımlar!B:R,17,0)),"")</f>
        <v>1</v>
      </c>
      <c r="N35" s="62"/>
      <c r="O35" s="62">
        <v>2</v>
      </c>
      <c r="P35" s="62">
        <f>IF(B35="","",VLOOKUP(AD35,Varsayımlar!$B:$Q,7,0)*K35)</f>
        <v>1512</v>
      </c>
      <c r="Q35" s="62">
        <f>IF(B35="","",VLOOKUP(AD35,Varsayımlar!$B:$Q,8,0))</f>
        <v>25</v>
      </c>
      <c r="R35" s="62" t="str">
        <f>IF(B35="","",VLOOKUP(AD35,Varsayımlar!$B:$Q,9,0))</f>
        <v>Irak Soft</v>
      </c>
      <c r="S35" s="62">
        <f>IF(B35="","",VLOOKUP(AD35,Varsayımlar!$B:$Q,10,0))</f>
        <v>6</v>
      </c>
      <c r="T35" s="62">
        <f>IF(B35="","",VLOOKUP(AD35,Varsayımlar!$B:$Q,11,0))</f>
        <v>18</v>
      </c>
      <c r="U35" s="62">
        <f>IF(B35="","",VLOOKUP(AD35,Varsayımlar!$B:$Q,12,0))</f>
        <v>390</v>
      </c>
      <c r="V35" s="62" t="str">
        <f>IF(B35="","",VLOOKUP(AD35,Varsayımlar!$B:$Q,13,0))</f>
        <v>Yurtdışı</v>
      </c>
      <c r="W35" s="62">
        <f>IF(B35="","",VLOOKUP(AD35,Varsayımlar!$B:$Q,14,0))</f>
        <v>12</v>
      </c>
      <c r="X35" s="63">
        <v>46200</v>
      </c>
      <c r="Y35" s="63">
        <v>46565</v>
      </c>
      <c r="Z35" s="62">
        <v>26062725</v>
      </c>
      <c r="AA35" s="62" t="str">
        <f>IF(B35="","",VLOOKUP(AD35,Varsayımlar!$B:$Q,15,0))</f>
        <v>25cm Koli - Tortillas 390g Etiketli</v>
      </c>
      <c r="AB35" s="62" t="str">
        <f>IF(B35="","",VLOOKUP(AD35,Varsayımlar!$B:$Q,16,0))</f>
        <v>24-26 cm</v>
      </c>
      <c r="AC35" s="62">
        <f>IF(B35="","",VLOOKUP(Sayfa1!AD32,Varsayımlar!B:S,18,0))</f>
        <v>0</v>
      </c>
      <c r="AD35" s="57" t="str">
        <f t="shared" si="0"/>
        <v>ALDİ - KOSOVATortillas 25cm 6pcs 390g</v>
      </c>
    </row>
    <row r="36" spans="1:30" ht="47.25" hidden="1" x14ac:dyDescent="0.25">
      <c r="A36" s="8" t="s">
        <v>149</v>
      </c>
      <c r="B36" s="62" t="s">
        <v>181</v>
      </c>
      <c r="C36" s="32">
        <f>IF(B36="","",VLOOKUP(AD36,Varsayımlar!$B:$Q,3,0))</f>
        <v>8698829380698</v>
      </c>
      <c r="D36" s="32"/>
      <c r="E36" s="62" t="s">
        <v>192</v>
      </c>
      <c r="F36" s="62">
        <v>26060101</v>
      </c>
      <c r="G36" s="32"/>
      <c r="H36" s="62" t="str">
        <f>IF(B36="","",VLOOKUP(AD36,Varsayımlar!$B:$Q,5,0))</f>
        <v>Tortillove 25cm</v>
      </c>
      <c r="I36" s="62" t="str">
        <f>IF(B36="","",VLOOKUP(AD36,Varsayımlar!B:T,19,0))</f>
        <v>Arka kısma Arnavutça içerik-Tortillove</v>
      </c>
      <c r="J36" s="62" t="str">
        <f>IF(B36="","",VLOOKUP(AD36,Varsayımlar!$B:$Q,6,0))</f>
        <v>SADE</v>
      </c>
      <c r="K36" s="62">
        <v>168</v>
      </c>
      <c r="L36" s="62"/>
      <c r="M36" s="62">
        <f>IFERROR(IF(B36="","",K36/VLOOKUP(AD36,Varsayımlar!B:R,17,0)),"")</f>
        <v>2</v>
      </c>
      <c r="N36" s="62"/>
      <c r="O36" s="62">
        <v>3</v>
      </c>
      <c r="P36" s="62">
        <f>IF(B36="","",VLOOKUP(AD36,Varsayımlar!$B:$Q,7,0)*K36)</f>
        <v>2016</v>
      </c>
      <c r="Q36" s="62">
        <f>IF(B36="","",VLOOKUP(AD36,Varsayımlar!$B:$Q,8,0))</f>
        <v>25</v>
      </c>
      <c r="R36" s="62" t="str">
        <f>IF(B36="","",VLOOKUP(AD36,Varsayımlar!$B:$Q,9,0))</f>
        <v>Irak Soft</v>
      </c>
      <c r="S36" s="62">
        <f>IF(B36="","",VLOOKUP(AD36,Varsayımlar!$B:$Q,10,0))</f>
        <v>10</v>
      </c>
      <c r="T36" s="62">
        <f>IF(B36="","",VLOOKUP(AD36,Varsayımlar!$B:$Q,11,0))</f>
        <v>12</v>
      </c>
      <c r="U36" s="62">
        <f>IF(B36="","",VLOOKUP(AD36,Varsayımlar!$B:$Q,12,0))</f>
        <v>650</v>
      </c>
      <c r="V36" s="62" t="str">
        <f>IF(B36="","",VLOOKUP(AD36,Varsayımlar!$B:$Q,13,0))</f>
        <v>Yurtdışı</v>
      </c>
      <c r="W36" s="62">
        <f>IF(B36="","",VLOOKUP(AD36,Varsayımlar!$B:$Q,14,0))</f>
        <v>12</v>
      </c>
      <c r="X36" s="63">
        <v>46200</v>
      </c>
      <c r="Y36" s="63">
        <v>46565</v>
      </c>
      <c r="Z36" s="62">
        <v>26062725</v>
      </c>
      <c r="AA36" s="62" t="str">
        <f>IF(B36="","",VLOOKUP(AD36,Varsayımlar!$B:$Q,15,0))</f>
        <v>25cm Koli - Tortillove 650g Etiketli</v>
      </c>
      <c r="AB36" s="62" t="str">
        <f>IF(B36="","",VLOOKUP(AD36,Varsayımlar!$B:$Q,16,0))</f>
        <v>24-26 cm</v>
      </c>
      <c r="AC36" s="62">
        <f>IF(B36="","",VLOOKUP(Sayfa1!AD33,Varsayımlar!B:S,18,0))</f>
        <v>0</v>
      </c>
      <c r="AD36" s="57" t="str">
        <f t="shared" si="0"/>
        <v>ALDİ - KOSOVATortillove 25cm 10pcs 650g</v>
      </c>
    </row>
    <row r="37" spans="1:30" ht="47.25" hidden="1" x14ac:dyDescent="0.25">
      <c r="A37" s="8" t="s">
        <v>150</v>
      </c>
      <c r="B37" s="62" t="s">
        <v>181</v>
      </c>
      <c r="C37" s="32">
        <f>IF(B37="","",VLOOKUP(AD37,Varsayımlar!$B:$Q,3,0))</f>
        <v>8698829380698</v>
      </c>
      <c r="D37" s="32"/>
      <c r="E37" s="62" t="s">
        <v>193</v>
      </c>
      <c r="F37" s="62">
        <v>26060101</v>
      </c>
      <c r="G37" s="32"/>
      <c r="H37" s="62" t="str">
        <f>IF(B37="","",VLOOKUP(AD37,Varsayımlar!$B:$Q,5,0))</f>
        <v>Tortillas 25cm</v>
      </c>
      <c r="I37" s="62" t="str">
        <f>IF(B37="","",VLOOKUP(AD37,Varsayımlar!B:T,19,0))</f>
        <v>Arka kısma Arnavutça içerik-Tortillas</v>
      </c>
      <c r="J37" s="62" t="str">
        <f>IF(B37="","",VLOOKUP(AD37,Varsayımlar!$B:$Q,6,0))</f>
        <v>SADE</v>
      </c>
      <c r="K37" s="62">
        <v>84</v>
      </c>
      <c r="L37" s="62"/>
      <c r="M37" s="62">
        <f>IFERROR(IF(B37="","",K37/VLOOKUP(AD37,Varsayımlar!B:R,17,0)),"")</f>
        <v>1</v>
      </c>
      <c r="N37" s="62"/>
      <c r="O37" s="62">
        <v>2</v>
      </c>
      <c r="P37" s="62">
        <f>IF(B37="","",VLOOKUP(AD37,Varsayımlar!$B:$Q,7,0)*K37)</f>
        <v>1008</v>
      </c>
      <c r="Q37" s="62">
        <f>IF(B37="","",VLOOKUP(AD37,Varsayımlar!$B:$Q,8,0))</f>
        <v>25</v>
      </c>
      <c r="R37" s="62" t="str">
        <f>IF(B37="","",VLOOKUP(AD37,Varsayımlar!$B:$Q,9,0))</f>
        <v>Irak Soft</v>
      </c>
      <c r="S37" s="62">
        <f>IF(B37="","",VLOOKUP(AD37,Varsayımlar!$B:$Q,10,0))</f>
        <v>10</v>
      </c>
      <c r="T37" s="62">
        <f>IF(B37="","",VLOOKUP(AD37,Varsayımlar!$B:$Q,11,0))</f>
        <v>12</v>
      </c>
      <c r="U37" s="62">
        <f>IF(B37="","",VLOOKUP(AD37,Varsayımlar!$B:$Q,12,0))</f>
        <v>650</v>
      </c>
      <c r="V37" s="62" t="str">
        <f>IF(B37="","",VLOOKUP(AD37,Varsayımlar!$B:$Q,13,0))</f>
        <v>Yurtdışı</v>
      </c>
      <c r="W37" s="62">
        <f>IF(B37="","",VLOOKUP(AD37,Varsayımlar!$B:$Q,14,0))</f>
        <v>12</v>
      </c>
      <c r="X37" s="63">
        <v>46200</v>
      </c>
      <c r="Y37" s="63">
        <v>46565</v>
      </c>
      <c r="Z37" s="62">
        <v>26062725</v>
      </c>
      <c r="AA37" s="62" t="str">
        <f>IF(B37="","",VLOOKUP(AD37,Varsayımlar!$B:$Q,15,0))</f>
        <v>25cm Koli - Tortillas 650g Etiketli</v>
      </c>
      <c r="AB37" s="62" t="str">
        <f>IF(B37="","",VLOOKUP(AD37,Varsayımlar!$B:$Q,16,0))</f>
        <v>24-26 cm</v>
      </c>
      <c r="AC37" s="62">
        <f>IF(B37="","",VLOOKUP(Sayfa1!AD34,Varsayımlar!B:S,18,0))</f>
        <v>0</v>
      </c>
      <c r="AD37" s="57" t="str">
        <f t="shared" si="0"/>
        <v>ALDİ - KOSOVATortillas 25cm 10pcs 650g</v>
      </c>
    </row>
    <row r="38" spans="1:30" ht="31.5" hidden="1" x14ac:dyDescent="0.25">
      <c r="A38" s="8" t="s">
        <v>151</v>
      </c>
      <c r="B38" s="64" t="s">
        <v>288</v>
      </c>
      <c r="C38" s="3">
        <f>IF(B38="","",VLOOKUP(AD38,Varsayımlar!$B:$Q,3,0))</f>
        <v>8698829380698</v>
      </c>
      <c r="D38" s="3"/>
      <c r="E38" s="64" t="s">
        <v>289</v>
      </c>
      <c r="F38" s="64">
        <v>20201016</v>
      </c>
      <c r="G38" s="3" t="s">
        <v>68</v>
      </c>
      <c r="H38" s="64" t="str">
        <f>IF(B38="","",VLOOKUP(AD38,Varsayımlar!$B:$Q,5,0))</f>
        <v>Tortillas 25cm Tam Buğday</v>
      </c>
      <c r="I38" s="64" t="str">
        <f>IF(B38="","",VLOOKUP(AD38,Varsayımlar!B:T,19,0))</f>
        <v>Arka kısma İçerik</v>
      </c>
      <c r="J38" s="64" t="str">
        <f>IF(B38="","",VLOOKUP(AD38,Varsayımlar!$B:$Q,6,0))</f>
        <v>Tam Buğdaylı</v>
      </c>
      <c r="K38" s="64">
        <v>250</v>
      </c>
      <c r="L38" s="64"/>
      <c r="M38" s="64">
        <f>IFERROR(IF(B38="","",K38/VLOOKUP(AD38,Varsayımlar!B:R,17,0)),"")</f>
        <v>5</v>
      </c>
      <c r="N38" s="64"/>
      <c r="O38" s="64">
        <v>4</v>
      </c>
      <c r="P38" s="64">
        <f>IF(B38="","",VLOOKUP(AD38,Varsayımlar!$B:$Q,7,0)*K38)</f>
        <v>4500</v>
      </c>
      <c r="Q38" s="64">
        <f>IF(B38="","",VLOOKUP(AD38,Varsayımlar!$B:$Q,8,0))</f>
        <v>25</v>
      </c>
      <c r="R38" s="64" t="str">
        <f>IF(B38="","",VLOOKUP(AD38,Varsayımlar!$B:$Q,9,0))</f>
        <v>Irak Soft</v>
      </c>
      <c r="S38" s="64">
        <f>IF(B38="","",VLOOKUP(AD38,Varsayımlar!$B:$Q,10,0))</f>
        <v>6</v>
      </c>
      <c r="T38" s="64">
        <f>IF(B38="","",VLOOKUP(AD38,Varsayımlar!$B:$Q,11,0))</f>
        <v>18</v>
      </c>
      <c r="U38" s="64">
        <f>IF(B38="","",VLOOKUP(AD38,Varsayımlar!$B:$Q,12,0))</f>
        <v>390</v>
      </c>
      <c r="V38" s="64" t="str">
        <f>IF(B38="","",VLOOKUP(AD38,Varsayımlar!$B:$Q,13,0))</f>
        <v>YURTDIŞI</v>
      </c>
      <c r="W38" s="64">
        <f>IF(B38="","",VLOOKUP(AD38,Varsayımlar!$B:$Q,14,0))</f>
        <v>9</v>
      </c>
      <c r="X38" s="66">
        <v>46202</v>
      </c>
      <c r="Y38" s="66">
        <v>46475</v>
      </c>
      <c r="Z38" s="64" t="s">
        <v>378</v>
      </c>
      <c r="AA38" s="64" t="str">
        <f>IF(B38="","",VLOOKUP(AD38,Varsayımlar!$B:$Q,15,0))</f>
        <v>25cm Koli-Kazakça Etiketli</v>
      </c>
      <c r="AB38" s="64" t="str">
        <f>IF(B38="","",VLOOKUP(AD38,Varsayımlar!$B:$Q,16,0))</f>
        <v>24-26 cm</v>
      </c>
      <c r="AC38" s="64" t="str">
        <f>IF(B38="","",VLOOKUP(Sayfa1!AD40,Varsayımlar!B:S,18,0))</f>
        <v>80x120cm</v>
      </c>
      <c r="AD38" s="57" t="str">
        <f t="shared" ref="AD38:AD54" si="3">IF(B38="","",CONCATENATE(B38,E38))</f>
        <v>UNITERA-KAZAKİSTANTortillas 25cm Tam Buğday 6pcs 390g</v>
      </c>
    </row>
    <row r="39" spans="1:30" ht="31.5" hidden="1" x14ac:dyDescent="0.25">
      <c r="A39" s="8" t="s">
        <v>152</v>
      </c>
      <c r="B39" s="64" t="s">
        <v>288</v>
      </c>
      <c r="C39" s="3">
        <f>IF(B39="","",VLOOKUP(AD39,Varsayımlar!$B:$Q,3,0))</f>
        <v>8698829380698</v>
      </c>
      <c r="D39" s="3"/>
      <c r="E39" s="64" t="s">
        <v>252</v>
      </c>
      <c r="F39" s="64">
        <v>20201016</v>
      </c>
      <c r="G39" s="3" t="s">
        <v>68</v>
      </c>
      <c r="H39" s="64" t="str">
        <f>IF(B39="","",VLOOKUP(AD39,Varsayımlar!$B:$Q,5,0))</f>
        <v>Tortillas 20cm Sade</v>
      </c>
      <c r="I39" s="64" t="str">
        <f>IF(B39="","",VLOOKUP(AD39,Varsayımlar!B:T,19,0))</f>
        <v>Arka kısma İçerik</v>
      </c>
      <c r="J39" s="64" t="str">
        <f>IF(B39="","",VLOOKUP(AD39,Varsayımlar!$B:$Q,6,0))</f>
        <v>SADE</v>
      </c>
      <c r="K39" s="64">
        <v>300</v>
      </c>
      <c r="L39" s="64"/>
      <c r="M39" s="64">
        <f>IFERROR(IF(B39="","",K39/VLOOKUP(AD39,Varsayımlar!B:R,17,0)),"")</f>
        <v>3</v>
      </c>
      <c r="N39" s="64"/>
      <c r="O39" s="64">
        <v>5</v>
      </c>
      <c r="P39" s="64">
        <f>IF(B39="","",VLOOKUP(AD39,Varsayımlar!$B:$Q,7,0)*K39)</f>
        <v>5400</v>
      </c>
      <c r="Q39" s="64">
        <f>IF(B39="","",VLOOKUP(AD39,Varsayımlar!$B:$Q,8,0))</f>
        <v>20</v>
      </c>
      <c r="R39" s="64" t="str">
        <f>IF(B39="","",VLOOKUP(AD39,Varsayımlar!$B:$Q,9,0))</f>
        <v>Irak Soft</v>
      </c>
      <c r="S39" s="64">
        <f>IF(B39="","",VLOOKUP(AD39,Varsayımlar!$B:$Q,10,0))</f>
        <v>6</v>
      </c>
      <c r="T39" s="64">
        <f>IF(B39="","",VLOOKUP(AD39,Varsayımlar!$B:$Q,11,0))</f>
        <v>18</v>
      </c>
      <c r="U39" s="64">
        <f>IF(B39="","",VLOOKUP(AD39,Varsayımlar!$B:$Q,12,0))</f>
        <v>270</v>
      </c>
      <c r="V39" s="64" t="str">
        <f>IF(B39="","",VLOOKUP(AD39,Varsayımlar!$B:$Q,13,0))</f>
        <v>YURTDIŞI</v>
      </c>
      <c r="W39" s="64">
        <f>IF(B39="","",VLOOKUP(AD39,Varsayımlar!$B:$Q,14,0))</f>
        <v>9</v>
      </c>
      <c r="X39" s="66">
        <v>46202</v>
      </c>
      <c r="Y39" s="66">
        <v>46475</v>
      </c>
      <c r="Z39" s="64">
        <v>26062920</v>
      </c>
      <c r="AA39" s="64" t="str">
        <f>IF(B39="","",VLOOKUP(AD39,Varsayımlar!$B:$Q,15,0))</f>
        <v>20cm Koli</v>
      </c>
      <c r="AB39" s="64" t="str">
        <f>IF(B39="","",VLOOKUP(AD39,Varsayımlar!$B:$Q,16,0))</f>
        <v>19-21cm</v>
      </c>
      <c r="AC39" s="64" t="str">
        <f>IF(B39="","",VLOOKUP(Sayfa1!AD41,Varsayımlar!B:S,18,0))</f>
        <v>80x120cm</v>
      </c>
      <c r="AD39" s="57" t="str">
        <f t="shared" si="3"/>
        <v>UNITERA-KAZAKİSTANTortillas 20cm Sade 6pcs 270g</v>
      </c>
    </row>
    <row r="40" spans="1:30" ht="31.5" hidden="1" x14ac:dyDescent="0.25">
      <c r="A40" s="8" t="s">
        <v>153</v>
      </c>
      <c r="B40" s="80" t="s">
        <v>218</v>
      </c>
      <c r="C40" s="44">
        <f>IF(B40="","",VLOOKUP(AD40,Varsayımlar!$B:$Q,3,0))</f>
        <v>8698829380698</v>
      </c>
      <c r="D40" s="44" t="s">
        <v>160</v>
      </c>
      <c r="E40" s="80" t="s">
        <v>229</v>
      </c>
      <c r="F40" s="80">
        <v>26042907</v>
      </c>
      <c r="G40" s="44"/>
      <c r="H40" s="80" t="str">
        <f>IF(B40="","",VLOOKUP(AD40,Varsayımlar!$B:$Q,5,0))</f>
        <v>Tortillas Avrupa 25cm Tam Buğday (711)</v>
      </c>
      <c r="I40" s="80">
        <f>IF(B40="","",VLOOKUP(AD40,Varsayımlar!B:T,19,0))</f>
        <v>0</v>
      </c>
      <c r="J40" s="80" t="str">
        <f>IF(B40="","",VLOOKUP(AD40,Varsayımlar!$B:$Q,6,0))</f>
        <v>Tam Buğdaylı</v>
      </c>
      <c r="K40" s="80">
        <v>840</v>
      </c>
      <c r="L40" s="80"/>
      <c r="M40" s="80">
        <f>IFERROR(IF(B40="","",K40/VLOOKUP(AD40,Varsayımlar!B:R,17,0)),"")</f>
        <v>7</v>
      </c>
      <c r="N40" s="80"/>
      <c r="O40" s="80">
        <v>9</v>
      </c>
      <c r="P40" s="80">
        <f>IF(B40="","",VLOOKUP(AD40,Varsayımlar!$B:$Q,7,0)*K40)</f>
        <v>6720</v>
      </c>
      <c r="Q40" s="80">
        <f>IF(B40="","",VLOOKUP(AD40,Varsayımlar!$B:$Q,8,0))</f>
        <v>25</v>
      </c>
      <c r="R40" s="80" t="str">
        <f>IF(B40="","",VLOOKUP(AD40,Varsayımlar!$B:$Q,9,0))</f>
        <v>Irak Soft</v>
      </c>
      <c r="S40" s="80">
        <f>IF(B40="","",VLOOKUP(AD40,Varsayımlar!$B:$Q,10,0))</f>
        <v>10</v>
      </c>
      <c r="T40" s="80">
        <f>IF(B40="","",VLOOKUP(AD40,Varsayımlar!$B:$Q,11,0))</f>
        <v>8</v>
      </c>
      <c r="U40" s="80">
        <f>IF(B40="","",VLOOKUP(AD40,Varsayımlar!$B:$Q,12,0))</f>
        <v>650</v>
      </c>
      <c r="V40" s="80" t="str">
        <f>IF(B40="","",VLOOKUP(AD40,Varsayımlar!$B:$Q,13,0))</f>
        <v>Yurtdışı</v>
      </c>
      <c r="W40" s="80">
        <f>IF(B40="","",VLOOKUP(AD40,Varsayımlar!$B:$Q,14,0))</f>
        <v>9</v>
      </c>
      <c r="X40" s="81">
        <v>46203</v>
      </c>
      <c r="Y40" s="81">
        <v>46476</v>
      </c>
      <c r="Z40" s="80" t="s">
        <v>379</v>
      </c>
      <c r="AA40" s="80" t="str">
        <f>IF(B40="","",VLOOKUP(AD40,Varsayımlar!$B:$Q,15,0))</f>
        <v>25cm Perforeli-Bulgarca TB etiket</v>
      </c>
      <c r="AB40" s="80" t="str">
        <f>IF(B40="","",VLOOKUP(AD40,Varsayımlar!$B:$Q,16,0))</f>
        <v>24-26 cm</v>
      </c>
      <c r="AC40" s="80" t="str">
        <f>IF(B40="","",VLOOKUP(Sayfa1!AD57,Varsayımlar!B:S,18,0))</f>
        <v>80x120cm -Epal+Epal</v>
      </c>
      <c r="AD40" s="57" t="str">
        <f t="shared" si="3"/>
        <v>TASTE LAND-BULGARİSTANTortillas 25cm Tam Buğday 10pcs 650g</v>
      </c>
    </row>
    <row r="41" spans="1:30" ht="47.25" hidden="1" x14ac:dyDescent="0.25">
      <c r="A41" s="8" t="s">
        <v>154</v>
      </c>
      <c r="B41" s="80" t="s">
        <v>218</v>
      </c>
      <c r="C41" s="44">
        <f>IF(B41="","",VLOOKUP(AD41,Varsayımlar!$B:$Q,3,0))</f>
        <v>8698829380698</v>
      </c>
      <c r="D41" s="44" t="s">
        <v>160</v>
      </c>
      <c r="E41" s="80" t="s">
        <v>232</v>
      </c>
      <c r="F41" s="80">
        <v>26042907</v>
      </c>
      <c r="G41" s="44"/>
      <c r="H41" s="80" t="str">
        <f>IF(B41="","",VLOOKUP(AD41,Varsayımlar!$B:$Q,5,0))</f>
        <v>Tortillas Avrupa 25cm Domatesli (074)</v>
      </c>
      <c r="I41" s="80">
        <f>IF(B41="","",VLOOKUP(AD41,Varsayımlar!B:T,19,0))</f>
        <v>0</v>
      </c>
      <c r="J41" s="80" t="str">
        <f>IF(B41="","",VLOOKUP(AD41,Varsayımlar!$B:$Q,6,0))</f>
        <v>Domatesli</v>
      </c>
      <c r="K41" s="80">
        <v>480</v>
      </c>
      <c r="L41" s="80"/>
      <c r="M41" s="80">
        <f>IFERROR(IF(B41="","",K41/VLOOKUP(AD41,Varsayımlar!B:R,17,0)),"")</f>
        <v>4</v>
      </c>
      <c r="N41" s="80"/>
      <c r="O41" s="80">
        <v>5</v>
      </c>
      <c r="P41" s="80">
        <f>IF(B41="","",VLOOKUP(AD41,Varsayımlar!$B:$Q,7,0)*K41)</f>
        <v>5760</v>
      </c>
      <c r="Q41" s="80">
        <f>IF(B41="","",VLOOKUP(AD41,Varsayımlar!$B:$Q,8,0))</f>
        <v>25</v>
      </c>
      <c r="R41" s="80" t="str">
        <f>IF(B41="","",VLOOKUP(AD41,Varsayımlar!$B:$Q,9,0))</f>
        <v>Irak Soft</v>
      </c>
      <c r="S41" s="80">
        <f>IF(B41="","",VLOOKUP(AD41,Varsayımlar!$B:$Q,10,0))</f>
        <v>6</v>
      </c>
      <c r="T41" s="80">
        <f>IF(B41="","",VLOOKUP(AD41,Varsayımlar!$B:$Q,11,0))</f>
        <v>12</v>
      </c>
      <c r="U41" s="80">
        <f>IF(B41="","",VLOOKUP(AD41,Varsayımlar!$B:$Q,12,0))</f>
        <v>390</v>
      </c>
      <c r="V41" s="80" t="str">
        <f>IF(B41="","",VLOOKUP(AD41,Varsayımlar!$B:$Q,13,0))</f>
        <v>Yurtdışı</v>
      </c>
      <c r="W41" s="80">
        <f>IF(B41="","",VLOOKUP(AD41,Varsayımlar!$B:$Q,14,0))</f>
        <v>9</v>
      </c>
      <c r="X41" s="81">
        <v>46203</v>
      </c>
      <c r="Y41" s="81">
        <v>46476</v>
      </c>
      <c r="Z41" s="80" t="s">
        <v>380</v>
      </c>
      <c r="AA41" s="80" t="str">
        <f>IF(B41="","",VLOOKUP(AD41,Varsayımlar!$B:$Q,15,0))</f>
        <v>25cm Perforeli-Bulgarca Domatesli etiket</v>
      </c>
      <c r="AB41" s="80" t="str">
        <f>IF(B41="","",VLOOKUP(AD41,Varsayımlar!$B:$Q,16,0))</f>
        <v>24-26 cm</v>
      </c>
      <c r="AC41" s="80" t="str">
        <f>IF(B41="","",VLOOKUP(Sayfa1!AD58,Varsayımlar!B:S,18,0))</f>
        <v>80x120cm -Epal+Epal</v>
      </c>
      <c r="AD41" s="57" t="str">
        <f t="shared" si="3"/>
        <v>TASTE LAND-BULGARİSTANTortillas 25cm Domatesli 6pcs 390g</v>
      </c>
    </row>
    <row r="42" spans="1:30" ht="47.25" hidden="1" x14ac:dyDescent="0.25">
      <c r="A42" s="8" t="s">
        <v>155</v>
      </c>
      <c r="B42" s="80" t="s">
        <v>218</v>
      </c>
      <c r="C42" s="44">
        <f>IF(B42="","",VLOOKUP(AD42,Varsayımlar!$B:$Q,3,0))</f>
        <v>8698829380698</v>
      </c>
      <c r="D42" s="44" t="s">
        <v>160</v>
      </c>
      <c r="E42" s="80" t="s">
        <v>235</v>
      </c>
      <c r="F42" s="80">
        <v>26042907</v>
      </c>
      <c r="G42" s="44"/>
      <c r="H42" s="80" t="str">
        <f>IF(B42="","",VLOOKUP(AD42,Varsayımlar!$B:$Q,5,0))</f>
        <v>Tortillas Avrupa 25cm Ispanaklı (081)</v>
      </c>
      <c r="I42" s="80">
        <f>IF(B42="","",VLOOKUP(AD42,Varsayımlar!B:T,19,0))</f>
        <v>0</v>
      </c>
      <c r="J42" s="80" t="str">
        <f>IF(B42="","",VLOOKUP(AD42,Varsayımlar!$B:$Q,6,0))</f>
        <v>Ispanaklı</v>
      </c>
      <c r="K42" s="80">
        <v>480</v>
      </c>
      <c r="L42" s="80"/>
      <c r="M42" s="80">
        <f>IFERROR(IF(B42="","",K42/VLOOKUP(AD42,Varsayımlar!B:R,17,0)),"")</f>
        <v>4</v>
      </c>
      <c r="N42" s="80"/>
      <c r="O42" s="80">
        <v>5</v>
      </c>
      <c r="P42" s="80">
        <f>IF(B42="","",VLOOKUP(AD42,Varsayımlar!$B:$Q,7,0)*K42)</f>
        <v>5760</v>
      </c>
      <c r="Q42" s="80">
        <f>IF(B42="","",VLOOKUP(AD42,Varsayımlar!$B:$Q,8,0))</f>
        <v>25</v>
      </c>
      <c r="R42" s="80" t="str">
        <f>IF(B42="","",VLOOKUP(AD42,Varsayımlar!$B:$Q,9,0))</f>
        <v>Irak Soft</v>
      </c>
      <c r="S42" s="80">
        <f>IF(B42="","",VLOOKUP(AD42,Varsayımlar!$B:$Q,10,0))</f>
        <v>6</v>
      </c>
      <c r="T42" s="80">
        <f>IF(B42="","",VLOOKUP(AD42,Varsayımlar!$B:$Q,11,0))</f>
        <v>12</v>
      </c>
      <c r="U42" s="80">
        <f>IF(B42="","",VLOOKUP(AD42,Varsayımlar!$B:$Q,12,0))</f>
        <v>390</v>
      </c>
      <c r="V42" s="80" t="str">
        <f>IF(B42="","",VLOOKUP(AD42,Varsayımlar!$B:$Q,13,0))</f>
        <v>Yurtdışı</v>
      </c>
      <c r="W42" s="80">
        <f>IF(B42="","",VLOOKUP(AD42,Varsayımlar!$B:$Q,14,0))</f>
        <v>9</v>
      </c>
      <c r="X42" s="81">
        <v>46203</v>
      </c>
      <c r="Y42" s="81">
        <v>46476</v>
      </c>
      <c r="Z42" s="80" t="s">
        <v>381</v>
      </c>
      <c r="AA42" s="80" t="str">
        <f>IF(B42="","",VLOOKUP(AD42,Varsayımlar!$B:$Q,15,0))</f>
        <v>25cm Perforeli-Bulgarca Ispanaklı etiket</v>
      </c>
      <c r="AB42" s="80" t="str">
        <f>IF(B42="","",VLOOKUP(AD42,Varsayımlar!$B:$Q,16,0))</f>
        <v>24-26 cm</v>
      </c>
      <c r="AC42" s="80" t="str">
        <f>IF(B42="","",VLOOKUP(Sayfa1!AD59,Varsayımlar!B:S,18,0))</f>
        <v>80x120cm -Epal+Epal</v>
      </c>
      <c r="AD42" s="57" t="str">
        <f t="shared" si="3"/>
        <v>TASTE LAND-BULGARİSTANTortillas 25cm Ispanaklı 6pcs 390g</v>
      </c>
    </row>
    <row r="43" spans="1:30" ht="47.25" hidden="1" x14ac:dyDescent="0.25">
      <c r="A43" s="8" t="s">
        <v>156</v>
      </c>
      <c r="B43" s="80" t="s">
        <v>218</v>
      </c>
      <c r="C43" s="44">
        <f>IF(B43="","",VLOOKUP(AD43,Varsayımlar!$B:$Q,3,0))</f>
        <v>8698829380698</v>
      </c>
      <c r="D43" s="44" t="s">
        <v>160</v>
      </c>
      <c r="E43" s="80" t="s">
        <v>240</v>
      </c>
      <c r="F43" s="80">
        <v>26042907</v>
      </c>
      <c r="G43" s="44"/>
      <c r="H43" s="80" t="str">
        <f>IF(B43="","",VLOOKUP(AD43,Varsayımlar!$B:$Q,5,0))</f>
        <v>Tortillas Avrupa 25cm Peynirli (098)</v>
      </c>
      <c r="I43" s="80">
        <f>IF(B43="","",VLOOKUP(AD43,Varsayımlar!B:T,19,0))</f>
        <v>0</v>
      </c>
      <c r="J43" s="80" t="str">
        <f>IF(B43="","",VLOOKUP(AD43,Varsayımlar!$B:$Q,6,0))</f>
        <v>Peynirli</v>
      </c>
      <c r="K43" s="80">
        <v>360</v>
      </c>
      <c r="L43" s="80"/>
      <c r="M43" s="80">
        <f>IFERROR(IF(B43="","",K43/VLOOKUP(AD43,Varsayımlar!B:R,17,0)),"")</f>
        <v>3</v>
      </c>
      <c r="N43" s="80"/>
      <c r="O43" s="80">
        <v>4</v>
      </c>
      <c r="P43" s="80">
        <f>IF(B43="","",VLOOKUP(AD43,Varsayımlar!$B:$Q,7,0)*K43)</f>
        <v>4320</v>
      </c>
      <c r="Q43" s="80">
        <f>IF(B43="","",VLOOKUP(AD43,Varsayımlar!$B:$Q,8,0))</f>
        <v>25</v>
      </c>
      <c r="R43" s="80" t="str">
        <f>IF(B43="","",VLOOKUP(AD43,Varsayımlar!$B:$Q,9,0))</f>
        <v>Irak Soft-AT</v>
      </c>
      <c r="S43" s="80">
        <f>IF(B43="","",VLOOKUP(AD43,Varsayımlar!$B:$Q,10,0))</f>
        <v>6</v>
      </c>
      <c r="T43" s="80">
        <f>IF(B43="","",VLOOKUP(AD43,Varsayımlar!$B:$Q,11,0))</f>
        <v>12</v>
      </c>
      <c r="U43" s="80">
        <f>IF(B43="","",VLOOKUP(AD43,Varsayımlar!$B:$Q,12,0))</f>
        <v>390</v>
      </c>
      <c r="V43" s="80" t="str">
        <f>IF(B43="","",VLOOKUP(AD43,Varsayımlar!$B:$Q,13,0))</f>
        <v>Yurtdışı</v>
      </c>
      <c r="W43" s="80">
        <f>IF(B43="","",VLOOKUP(AD43,Varsayımlar!$B:$Q,14,0))</f>
        <v>9</v>
      </c>
      <c r="X43" s="81">
        <v>46203</v>
      </c>
      <c r="Y43" s="81">
        <v>46476</v>
      </c>
      <c r="Z43" s="80" t="s">
        <v>382</v>
      </c>
      <c r="AA43" s="80" t="str">
        <f>IF(B43="","",VLOOKUP(AD43,Varsayımlar!$B:$Q,15,0))</f>
        <v>25cm Perforeli-Bulgarca Peynirli etiket</v>
      </c>
      <c r="AB43" s="80" t="str">
        <f>IF(B43="","",VLOOKUP(AD43,Varsayımlar!$B:$Q,16,0))</f>
        <v>24-26 cm</v>
      </c>
      <c r="AC43" s="80" t="str">
        <f>IF(B43="","",VLOOKUP(Sayfa1!AD60,Varsayımlar!B:S,18,0))</f>
        <v>80x120cm -Epal+Epal</v>
      </c>
      <c r="AD43" s="57" t="str">
        <f t="shared" si="3"/>
        <v>TASTE LAND-BULGARİSTANTortillas 25cm Peynirli 6pcs 390g</v>
      </c>
    </row>
    <row r="44" spans="1:30" ht="47.25" hidden="1" x14ac:dyDescent="0.25">
      <c r="A44" s="8" t="s">
        <v>157</v>
      </c>
      <c r="B44" s="54" t="s">
        <v>268</v>
      </c>
      <c r="C44" s="39">
        <f>IF(B44="","",VLOOKUP(AD44,Varsayımlar!$B:$Q,3,0))</f>
        <v>8698829380698</v>
      </c>
      <c r="D44" s="39" t="s">
        <v>160</v>
      </c>
      <c r="E44" s="54" t="s">
        <v>269</v>
      </c>
      <c r="F44" s="54" t="s">
        <v>343</v>
      </c>
      <c r="G44" s="39" t="s">
        <v>68</v>
      </c>
      <c r="H44" s="54" t="str">
        <f>IF(B44="","",VLOOKUP(AD44,Varsayımlar!$B:$Q,5,0))</f>
        <v>Tortillas 25cm Tam Buğday</v>
      </c>
      <c r="I44" s="54">
        <f>IF(B44="","",VLOOKUP(AD44,Varsayımlar!B:T,19,0))</f>
        <v>0</v>
      </c>
      <c r="J44" s="54" t="str">
        <f>IF(B44="","",VLOOKUP(AD44,Varsayımlar!$B:$Q,6,0))</f>
        <v>Tam Buğdaylı</v>
      </c>
      <c r="K44" s="54">
        <v>336</v>
      </c>
      <c r="L44" s="54"/>
      <c r="M44" s="54">
        <f>IFERROR(IF(B44="","",K44/VLOOKUP(AD44,Varsayımlar!B:R,17,0)),"")</f>
        <v>4</v>
      </c>
      <c r="N44" s="54"/>
      <c r="O44" s="54">
        <v>6</v>
      </c>
      <c r="P44" s="54">
        <f>IF(B44="","",VLOOKUP(AD44,Varsayımlar!$B:$Q,7,0)*K44)</f>
        <v>10080</v>
      </c>
      <c r="Q44" s="54">
        <f>IF(B44="","",VLOOKUP(AD44,Varsayımlar!$B:$Q,8,0))</f>
        <v>25</v>
      </c>
      <c r="R44" s="54" t="str">
        <f>IF(B44="","",VLOOKUP(AD44,Varsayımlar!$B:$Q,9,0))</f>
        <v>Soft-PA3</v>
      </c>
      <c r="S44" s="54">
        <f>IF(B44="","",VLOOKUP(AD44,Varsayımlar!$B:$Q,10,0))</f>
        <v>4</v>
      </c>
      <c r="T44" s="54">
        <f>IF(B44="","",VLOOKUP(AD44,Varsayımlar!$B:$Q,11,0))</f>
        <v>30</v>
      </c>
      <c r="U44" s="54">
        <f>IF(B44="","",VLOOKUP(AD44,Varsayımlar!$B:$Q,12,0))</f>
        <v>240</v>
      </c>
      <c r="V44" s="54" t="str">
        <f>IF(B44="","",VLOOKUP(AD44,Varsayımlar!$B:$Q,13,0))</f>
        <v>Yurtdışı</v>
      </c>
      <c r="W44" s="54">
        <f>IF(B44="","",VLOOKUP(AD44,Varsayımlar!$B:$Q,14,0))</f>
        <v>12</v>
      </c>
      <c r="X44" s="56">
        <v>46205</v>
      </c>
      <c r="Y44" s="56">
        <v>46570</v>
      </c>
      <c r="Z44" s="54" t="s">
        <v>383</v>
      </c>
      <c r="AA44" s="54" t="str">
        <f>IF(B44="","",VLOOKUP(AD44,Varsayımlar!$B:$Q,15,0))</f>
        <v>25cm Kolisi-Etiketli</v>
      </c>
      <c r="AB44" s="54" t="str">
        <f>IF(B44="","",VLOOKUP(AD44,Varsayımlar!$B:$Q,16,0))</f>
        <v>24-26 cm (Macca Hetto Inkjet Uzun Tarih)</v>
      </c>
      <c r="AC44" s="54" t="str">
        <f>IF(B44="","",VLOOKUP(Sayfa1!AD36,Varsayımlar!B:S,18,0))</f>
        <v>80x120cm</v>
      </c>
      <c r="AD44" s="57" t="str">
        <f t="shared" si="3"/>
        <v>LAIKYUZHN-BELARUSTortillas 25cm Tam buğday 4pcs 240g</v>
      </c>
    </row>
    <row r="45" spans="1:30" ht="47.25" hidden="1" x14ac:dyDescent="0.25">
      <c r="A45" s="8" t="s">
        <v>158</v>
      </c>
      <c r="B45" s="54" t="s">
        <v>268</v>
      </c>
      <c r="C45" s="39">
        <f>IF(B45="","",VLOOKUP(AD45,Varsayımlar!$B:$Q,3,0))</f>
        <v>8698829380698</v>
      </c>
      <c r="D45" s="39" t="s">
        <v>160</v>
      </c>
      <c r="E45" s="54" t="s">
        <v>274</v>
      </c>
      <c r="F45" s="54" t="s">
        <v>343</v>
      </c>
      <c r="G45" s="39" t="s">
        <v>68</v>
      </c>
      <c r="H45" s="54" t="str">
        <f>IF(B45="","",VLOOKUP(AD45,Varsayımlar!$B:$Q,5,0))</f>
        <v>Tortillas 25cm Domatesli</v>
      </c>
      <c r="I45" s="54">
        <f>IF(B45="","",VLOOKUP(AD45,Varsayımlar!B:T,19,0))</f>
        <v>0</v>
      </c>
      <c r="J45" s="54" t="str">
        <f>IF(B45="","",VLOOKUP(AD45,Varsayımlar!$B:$Q,6,0))</f>
        <v>Domatesli</v>
      </c>
      <c r="K45" s="54">
        <v>420</v>
      </c>
      <c r="L45" s="54"/>
      <c r="M45" s="54">
        <f>IFERROR(IF(B45="","",K45/VLOOKUP(AD45,Varsayımlar!B:R,17,0)),"")</f>
        <v>5</v>
      </c>
      <c r="N45" s="54"/>
      <c r="O45" s="54">
        <v>7</v>
      </c>
      <c r="P45" s="54">
        <f>IF(B45="","",VLOOKUP(AD45,Varsayımlar!$B:$Q,7,0)*K45)</f>
        <v>12600</v>
      </c>
      <c r="Q45" s="54">
        <f>IF(B45="","",VLOOKUP(AD45,Varsayımlar!$B:$Q,8,0))</f>
        <v>25</v>
      </c>
      <c r="R45" s="54" t="str">
        <f>IF(B45="","",VLOOKUP(AD45,Varsayımlar!$B:$Q,9,0))</f>
        <v>Soft-PA3</v>
      </c>
      <c r="S45" s="54">
        <f>IF(B45="","",VLOOKUP(AD45,Varsayımlar!$B:$Q,10,0))</f>
        <v>4</v>
      </c>
      <c r="T45" s="54">
        <f>IF(B45="","",VLOOKUP(AD45,Varsayımlar!$B:$Q,11,0))</f>
        <v>30</v>
      </c>
      <c r="U45" s="54">
        <f>IF(B45="","",VLOOKUP(AD45,Varsayımlar!$B:$Q,12,0))</f>
        <v>240</v>
      </c>
      <c r="V45" s="54" t="str">
        <f>IF(B45="","",VLOOKUP(AD45,Varsayımlar!$B:$Q,13,0))</f>
        <v>Yurtdışı</v>
      </c>
      <c r="W45" s="54">
        <f>IF(B45="","",VLOOKUP(AD45,Varsayımlar!$B:$Q,14,0))</f>
        <v>12</v>
      </c>
      <c r="X45" s="56">
        <v>46205</v>
      </c>
      <c r="Y45" s="56">
        <v>46570</v>
      </c>
      <c r="Z45" s="54" t="s">
        <v>384</v>
      </c>
      <c r="AA45" s="54" t="str">
        <f>IF(B45="","",VLOOKUP(AD45,Varsayımlar!$B:$Q,15,0))</f>
        <v>25cm Kolisi-Etiketli</v>
      </c>
      <c r="AB45" s="54" t="str">
        <f>IF(B45="","",VLOOKUP(AD45,Varsayımlar!$B:$Q,16,0))</f>
        <v>24-26 cm (Macca Hetto Inkjet Uzun Tarih)</v>
      </c>
      <c r="AC45" s="54" t="str">
        <f>IF(B45="","",VLOOKUP(Sayfa1!AD37,Varsayımlar!B:S,18,0))</f>
        <v>80x120cm</v>
      </c>
      <c r="AD45" s="57" t="str">
        <f t="shared" si="3"/>
        <v>LAIKYUZHN-BELARUSTortillas 25cm Domatesli 4pcs 240g</v>
      </c>
    </row>
    <row r="46" spans="1:30" ht="47.25" hidden="1" x14ac:dyDescent="0.25">
      <c r="A46" s="8" t="s">
        <v>388</v>
      </c>
      <c r="B46" s="54" t="s">
        <v>268</v>
      </c>
      <c r="C46" s="39">
        <f>IF(B46="","",VLOOKUP(AD46,Varsayımlar!$B:$Q,3,0))</f>
        <v>8698829380698</v>
      </c>
      <c r="D46" s="39" t="s">
        <v>160</v>
      </c>
      <c r="E46" s="54" t="s">
        <v>276</v>
      </c>
      <c r="F46" s="54" t="s">
        <v>343</v>
      </c>
      <c r="G46" s="39" t="s">
        <v>68</v>
      </c>
      <c r="H46" s="54" t="str">
        <f>IF(B46="","",VLOOKUP(AD46,Varsayımlar!$B:$Q,5,0))</f>
        <v>Tortillas 25cm Ispanaklı</v>
      </c>
      <c r="I46" s="54">
        <f>IF(B46="","",VLOOKUP(AD46,Varsayımlar!B:T,19,0))</f>
        <v>0</v>
      </c>
      <c r="J46" s="54" t="str">
        <f>IF(B46="","",VLOOKUP(AD46,Varsayımlar!$B:$Q,6,0))</f>
        <v>Ispanaklı</v>
      </c>
      <c r="K46" s="54">
        <v>336</v>
      </c>
      <c r="L46" s="54"/>
      <c r="M46" s="54">
        <f>IFERROR(IF(B46="","",K46/VLOOKUP(AD46,Varsayımlar!B:R,17,0)),"")</f>
        <v>4</v>
      </c>
      <c r="N46" s="54"/>
      <c r="O46" s="54">
        <v>6</v>
      </c>
      <c r="P46" s="54">
        <f>IF(B46="","",VLOOKUP(AD46,Varsayımlar!$B:$Q,7,0)*K46)</f>
        <v>10080</v>
      </c>
      <c r="Q46" s="54">
        <f>IF(B46="","",VLOOKUP(AD46,Varsayımlar!$B:$Q,8,0))</f>
        <v>25</v>
      </c>
      <c r="R46" s="54" t="str">
        <f>IF(B46="","",VLOOKUP(AD46,Varsayımlar!$B:$Q,9,0))</f>
        <v>Soft-PA3</v>
      </c>
      <c r="S46" s="54">
        <f>IF(B46="","",VLOOKUP(AD46,Varsayımlar!$B:$Q,10,0))</f>
        <v>4</v>
      </c>
      <c r="T46" s="54">
        <f>IF(B46="","",VLOOKUP(AD46,Varsayımlar!$B:$Q,11,0))</f>
        <v>30</v>
      </c>
      <c r="U46" s="54">
        <f>IF(B46="","",VLOOKUP(AD46,Varsayımlar!$B:$Q,12,0))</f>
        <v>240</v>
      </c>
      <c r="V46" s="54" t="str">
        <f>IF(B46="","",VLOOKUP(AD46,Varsayımlar!$B:$Q,13,0))</f>
        <v>Yurtdışı</v>
      </c>
      <c r="W46" s="54">
        <f>IF(B46="","",VLOOKUP(AD46,Varsayımlar!$B:$Q,14,0))</f>
        <v>12</v>
      </c>
      <c r="X46" s="56">
        <v>46205</v>
      </c>
      <c r="Y46" s="56">
        <v>46570</v>
      </c>
      <c r="Z46" s="54" t="s">
        <v>385</v>
      </c>
      <c r="AA46" s="54" t="str">
        <f>IF(B46="","",VLOOKUP(AD46,Varsayımlar!$B:$Q,15,0))</f>
        <v>25cm Kolisi-Etiketli</v>
      </c>
      <c r="AB46" s="54" t="str">
        <f>IF(B46="","",VLOOKUP(AD46,Varsayımlar!$B:$Q,16,0))</f>
        <v>24-26 cm (Macca Hetto Inkjet Uzun Tarih)</v>
      </c>
      <c r="AC46" s="54" t="str">
        <f>IF(B46="","",VLOOKUP(Sayfa1!AD38,Varsayımlar!B:S,18,0))</f>
        <v>80x120cm</v>
      </c>
      <c r="AD46" s="57" t="str">
        <f t="shared" si="3"/>
        <v>LAIKYUZHN-BELARUSTortillas 25cm Ispanaklı 4pcs 240g</v>
      </c>
    </row>
    <row r="47" spans="1:30" ht="47.25" hidden="1" x14ac:dyDescent="0.25">
      <c r="A47" s="8" t="s">
        <v>389</v>
      </c>
      <c r="B47" s="54" t="s">
        <v>268</v>
      </c>
      <c r="C47" s="39">
        <f>IF(B47="","",VLOOKUP(AD47,Varsayımlar!$B:$Q,3,0))</f>
        <v>8698829380698</v>
      </c>
      <c r="D47" s="39" t="s">
        <v>160</v>
      </c>
      <c r="E47" s="54" t="s">
        <v>278</v>
      </c>
      <c r="F47" s="54" t="s">
        <v>343</v>
      </c>
      <c r="G47" s="39" t="s">
        <v>68</v>
      </c>
      <c r="H47" s="54" t="str">
        <f>IF(B47="","",VLOOKUP(AD47,Varsayımlar!$B:$Q,5,0))</f>
        <v>Magnit Tortillas 25cm Peynirli</v>
      </c>
      <c r="I47" s="54" t="str">
        <f>IF(B47="","",VLOOKUP(AD47,Varsayımlar!B:T,19,0))</f>
        <v>Etiketli</v>
      </c>
      <c r="J47" s="54" t="str">
        <f>IF(B47="","",VLOOKUP(AD47,Varsayımlar!$B:$Q,6,0))</f>
        <v>Peynirli</v>
      </c>
      <c r="K47" s="54">
        <v>504</v>
      </c>
      <c r="L47" s="54"/>
      <c r="M47" s="54">
        <f>IFERROR(IF(B47="","",K47/VLOOKUP(AD47,Varsayımlar!B:R,17,0)),"")</f>
        <v>6</v>
      </c>
      <c r="N47" s="54"/>
      <c r="O47" s="54">
        <v>9</v>
      </c>
      <c r="P47" s="54">
        <f>IF(B47="","",VLOOKUP(AD47,Varsayımlar!$B:$Q,7,0)*K47)</f>
        <v>15120</v>
      </c>
      <c r="Q47" s="54">
        <f>IF(B47="","",VLOOKUP(AD47,Varsayımlar!$B:$Q,8,0))</f>
        <v>25</v>
      </c>
      <c r="R47" s="54" t="str">
        <f>IF(B47="","",VLOOKUP(AD47,Varsayımlar!$B:$Q,9,0))</f>
        <v>Soft-PA3-AT</v>
      </c>
      <c r="S47" s="54">
        <f>IF(B47="","",VLOOKUP(AD47,Varsayımlar!$B:$Q,10,0))</f>
        <v>4</v>
      </c>
      <c r="T47" s="54">
        <f>IF(B47="","",VLOOKUP(AD47,Varsayımlar!$B:$Q,11,0))</f>
        <v>30</v>
      </c>
      <c r="U47" s="54">
        <f>IF(B47="","",VLOOKUP(AD47,Varsayımlar!$B:$Q,12,0))</f>
        <v>250</v>
      </c>
      <c r="V47" s="54" t="str">
        <f>IF(B47="","",VLOOKUP(AD47,Varsayımlar!$B:$Q,13,0))</f>
        <v>Yurtdışı</v>
      </c>
      <c r="W47" s="54">
        <f>IF(B47="","",VLOOKUP(AD47,Varsayımlar!$B:$Q,14,0))</f>
        <v>9</v>
      </c>
      <c r="X47" s="56">
        <v>46205</v>
      </c>
      <c r="Y47" s="56">
        <v>46479</v>
      </c>
      <c r="Z47" s="54" t="s">
        <v>386</v>
      </c>
      <c r="AA47" s="54" t="str">
        <f>IF(B47="","",VLOOKUP(AD47,Varsayımlar!$B:$Q,15,0))</f>
        <v>25cm Kolisi-Etiketli</v>
      </c>
      <c r="AB47" s="54" t="str">
        <f>IF(B47="","",VLOOKUP(AD47,Varsayımlar!$B:$Q,16,0))</f>
        <v>24-26 cm (Macca Hetto Inkjet Uzun Tarih)</v>
      </c>
      <c r="AC47" s="54" t="str">
        <f>IF(B47="","",VLOOKUP(Sayfa1!AD39,Varsayımlar!B:S,18,0))</f>
        <v>80x120cm</v>
      </c>
      <c r="AD47" s="57" t="str">
        <f t="shared" si="3"/>
        <v>LAIKYUZHN-BELARUSMagnit Tortillas 25cm Peynirli 4pcs 240g</v>
      </c>
    </row>
    <row r="48" spans="1:30" ht="47.25" hidden="1" x14ac:dyDescent="0.25">
      <c r="A48" s="8" t="s">
        <v>390</v>
      </c>
      <c r="B48" s="75" t="s">
        <v>218</v>
      </c>
      <c r="C48" s="43">
        <f>IF(B48="","",VLOOKUP(AD48,Varsayımlar!$B:$Q,3,0))</f>
        <v>8698829380698</v>
      </c>
      <c r="D48" s="43" t="s">
        <v>161</v>
      </c>
      <c r="E48" s="75" t="s">
        <v>252</v>
      </c>
      <c r="F48" s="75" t="s">
        <v>341</v>
      </c>
      <c r="G48" s="43"/>
      <c r="H48" s="75" t="str">
        <f>IF(B48="","",VLOOKUP(AD48,Varsayımlar!$B:$Q,5,0))</f>
        <v xml:space="preserve">Tortillas 20cm Sade </v>
      </c>
      <c r="I48" s="75" t="str">
        <f>IF(B48="","",VLOOKUP(AD48,Varsayımlar!B:T,19,0))</f>
        <v>Barkod üzerine Barkod Etiketi (104)</v>
      </c>
      <c r="J48" s="75" t="str">
        <f>IF(B48="","",VLOOKUP(AD48,Varsayımlar!$B:$Q,6,0))</f>
        <v>SADE</v>
      </c>
      <c r="K48" s="75">
        <v>120</v>
      </c>
      <c r="L48" s="75"/>
      <c r="M48" s="75">
        <f>IFERROR(IF(B48="","",K48/VLOOKUP(AD48,Varsayımlar!B:R,17,0)),"")</f>
        <v>1</v>
      </c>
      <c r="N48" s="75"/>
      <c r="O48" s="75">
        <v>2</v>
      </c>
      <c r="P48" s="75">
        <f>IF(B48="","",VLOOKUP(AD48,Varsayımlar!$B:$Q,7,0)*K48)</f>
        <v>2160</v>
      </c>
      <c r="Q48" s="75">
        <f>IF(B48="","",VLOOKUP(AD48,Varsayımlar!$B:$Q,8,0))</f>
        <v>20</v>
      </c>
      <c r="R48" s="75" t="str">
        <f>IF(B48="","",VLOOKUP(AD48,Varsayımlar!$B:$Q,9,0))</f>
        <v>Irak Soft</v>
      </c>
      <c r="S48" s="75">
        <f>IF(B48="","",VLOOKUP(AD48,Varsayımlar!$B:$Q,10,0))</f>
        <v>6</v>
      </c>
      <c r="T48" s="75">
        <f>IF(B48="","",VLOOKUP(AD48,Varsayımlar!$B:$Q,11,0))</f>
        <v>18</v>
      </c>
      <c r="U48" s="75">
        <f>IF(B48="","",VLOOKUP(AD48,Varsayımlar!$B:$Q,12,0))</f>
        <v>270</v>
      </c>
      <c r="V48" s="75" t="str">
        <f>IF(B48="","",VLOOKUP(AD48,Varsayımlar!$B:$Q,13,0))</f>
        <v>Yurtdışı</v>
      </c>
      <c r="W48" s="75">
        <f>IF(B48="","",VLOOKUP(AD48,Varsayımlar!$B:$Q,14,0))</f>
        <v>9</v>
      </c>
      <c r="X48" s="76"/>
      <c r="Y48" s="76"/>
      <c r="Z48" s="75"/>
      <c r="AA48" s="75" t="str">
        <f>IF(B48="","",VLOOKUP(AD48,Varsayımlar!$B:$Q,15,0))</f>
        <v>20cm Lacivert-Bulgarca Etiket</v>
      </c>
      <c r="AB48" s="75" t="str">
        <f>IF(B48="","",VLOOKUP(AD48,Varsayımlar!$B:$Q,16,0))</f>
        <v>19-21 cm</v>
      </c>
      <c r="AC48" s="75" t="str">
        <f>IF(B48="","",VLOOKUP(Sayfa1!AD21,Varsayımlar!B:S,18,0))</f>
        <v>100x120cm-Epal+Epal</v>
      </c>
      <c r="AD48" s="57" t="str">
        <f t="shared" si="3"/>
        <v>TASTE LAND-BULGARİSTANTortillas 20cm Sade 6pcs 270g</v>
      </c>
    </row>
    <row r="49" spans="1:30" ht="78.75" hidden="1" x14ac:dyDescent="0.25">
      <c r="A49" s="8" t="s">
        <v>391</v>
      </c>
      <c r="B49" s="75" t="s">
        <v>218</v>
      </c>
      <c r="C49" s="43">
        <f>IF(B49="","",VLOOKUP(AD49,Varsayımlar!$B:$Q,3,0))</f>
        <v>8698829380698</v>
      </c>
      <c r="D49" s="43" t="s">
        <v>161</v>
      </c>
      <c r="E49" s="75" t="s">
        <v>222</v>
      </c>
      <c r="F49" s="75" t="s">
        <v>341</v>
      </c>
      <c r="G49" s="43"/>
      <c r="H49" s="75" t="str">
        <f>IF(B49="","",VLOOKUP(AD49,Varsayımlar!$B:$Q,5,0))</f>
        <v xml:space="preserve">Tortillas 30cm Tam Buğday </v>
      </c>
      <c r="I49" s="75" t="str">
        <f>IF(B49="","",VLOOKUP(AD49,Varsayımlar!B:T,19,0))</f>
        <v>Barkod üzerine-Bulgarca Barkodlu TB içerik etiketi (029)</v>
      </c>
      <c r="J49" s="75" t="str">
        <f>IF(B49="","",VLOOKUP(AD49,Varsayımlar!$B:$Q,6,0))</f>
        <v>Tam Buğdaylı</v>
      </c>
      <c r="K49" s="75">
        <v>60</v>
      </c>
      <c r="L49" s="75"/>
      <c r="M49" s="75">
        <f>IFERROR(IF(B49="","",K49/VLOOKUP(AD49,Varsayımlar!B:R,17,0)),"")</f>
        <v>1</v>
      </c>
      <c r="N49" s="75"/>
      <c r="O49" s="75">
        <v>1</v>
      </c>
      <c r="P49" s="75">
        <f>IF(B49="","",VLOOKUP(AD49,Varsayımlar!$B:$Q,7,0)*K49)</f>
        <v>360</v>
      </c>
      <c r="Q49" s="75">
        <f>IF(B49="","",VLOOKUP(AD49,Varsayımlar!$B:$Q,8,0))</f>
        <v>30</v>
      </c>
      <c r="R49" s="75" t="str">
        <f>IF(B49="","",VLOOKUP(AD49,Varsayımlar!$B:$Q,9,0))</f>
        <v>Irak Soft</v>
      </c>
      <c r="S49" s="75">
        <f>IF(B49="","",VLOOKUP(AD49,Varsayımlar!$B:$Q,10,0))</f>
        <v>18</v>
      </c>
      <c r="T49" s="75">
        <f>IF(B49="","",VLOOKUP(AD49,Varsayımlar!$B:$Q,11,0))</f>
        <v>6</v>
      </c>
      <c r="U49" s="75">
        <f>IF(B49="","",VLOOKUP(AD49,Varsayımlar!$B:$Q,12,0))</f>
        <v>1620</v>
      </c>
      <c r="V49" s="75" t="str">
        <f>IF(B49="","",VLOOKUP(AD49,Varsayımlar!$B:$Q,13,0))</f>
        <v>Yurtdışı</v>
      </c>
      <c r="W49" s="75">
        <f>IF(B49="","",VLOOKUP(AD49,Varsayımlar!$B:$Q,14,0))</f>
        <v>9</v>
      </c>
      <c r="X49" s="76"/>
      <c r="Y49" s="76"/>
      <c r="Z49" s="75"/>
      <c r="AA49" s="75" t="str">
        <f>IF(B49="","",VLOOKUP(AD49,Varsayımlar!$B:$Q,15,0))</f>
        <v>30cm Lacivert Koli- Bulgarca TB Etiket</v>
      </c>
      <c r="AB49" s="75" t="str">
        <f>IF(B49="","",VLOOKUP(AD49,Varsayımlar!$B:$Q,16,0))</f>
        <v>29-31 cm</v>
      </c>
      <c r="AC49" s="75" t="str">
        <f>IF(B49="","",VLOOKUP(Sayfa1!AD20,Varsayımlar!B:S,18,0))</f>
        <v>95x130cm</v>
      </c>
      <c r="AD49" s="57" t="str">
        <f t="shared" si="3"/>
        <v>TASTE LAND-BULGARİSTANTortillas 30cm Tam Buğday 18pcs 1620g</v>
      </c>
    </row>
    <row r="50" spans="1:30" ht="31.5" hidden="1" x14ac:dyDescent="0.25">
      <c r="A50" s="8" t="s">
        <v>392</v>
      </c>
      <c r="B50" s="75" t="s">
        <v>218</v>
      </c>
      <c r="C50" s="43">
        <f>IF(B50="","",VLOOKUP(AD50,Varsayımlar!$B:$Q,3,0))</f>
        <v>8698829380698</v>
      </c>
      <c r="D50" s="43" t="s">
        <v>161</v>
      </c>
      <c r="E50" s="75" t="s">
        <v>229</v>
      </c>
      <c r="F50" s="75" t="s">
        <v>341</v>
      </c>
      <c r="G50" s="43"/>
      <c r="H50" s="75" t="str">
        <f>IF(B50="","",VLOOKUP(AD50,Varsayımlar!$B:$Q,5,0))</f>
        <v>Tortillas Avrupa 25cm Tam Buğday (711)</v>
      </c>
      <c r="I50" s="75">
        <f>IF(B50="","",VLOOKUP(AD50,Varsayımlar!B:T,19,0))</f>
        <v>0</v>
      </c>
      <c r="J50" s="75" t="str">
        <f>IF(B50="","",VLOOKUP(AD50,Varsayımlar!$B:$Q,6,0))</f>
        <v>Tam Buğdaylı</v>
      </c>
      <c r="K50" s="75">
        <v>840</v>
      </c>
      <c r="L50" s="75"/>
      <c r="M50" s="75">
        <f>IFERROR(IF(B50="","",K50/VLOOKUP(AD50,Varsayımlar!B:R,17,0)),"")</f>
        <v>7</v>
      </c>
      <c r="N50" s="75"/>
      <c r="O50" s="75">
        <v>9</v>
      </c>
      <c r="P50" s="75">
        <f>IF(B50="","",VLOOKUP(AD50,Varsayımlar!$B:$Q,7,0)*K50)</f>
        <v>6720</v>
      </c>
      <c r="Q50" s="75">
        <f>IF(B50="","",VLOOKUP(AD50,Varsayımlar!$B:$Q,8,0))</f>
        <v>25</v>
      </c>
      <c r="R50" s="75" t="str">
        <f>IF(B50="","",VLOOKUP(AD50,Varsayımlar!$B:$Q,9,0))</f>
        <v>Irak Soft</v>
      </c>
      <c r="S50" s="75">
        <f>IF(B50="","",VLOOKUP(AD50,Varsayımlar!$B:$Q,10,0))</f>
        <v>10</v>
      </c>
      <c r="T50" s="75">
        <f>IF(B50="","",VLOOKUP(AD50,Varsayımlar!$B:$Q,11,0))</f>
        <v>8</v>
      </c>
      <c r="U50" s="75">
        <f>IF(B50="","",VLOOKUP(AD50,Varsayımlar!$B:$Q,12,0))</f>
        <v>650</v>
      </c>
      <c r="V50" s="75" t="str">
        <f>IF(B50="","",VLOOKUP(AD50,Varsayımlar!$B:$Q,13,0))</f>
        <v>Yurtdışı</v>
      </c>
      <c r="W50" s="75">
        <f>IF(B50="","",VLOOKUP(AD50,Varsayımlar!$B:$Q,14,0))</f>
        <v>9</v>
      </c>
      <c r="X50" s="76"/>
      <c r="Y50" s="76"/>
      <c r="Z50" s="75"/>
      <c r="AA50" s="75" t="str">
        <f>IF(B50="","",VLOOKUP(AD50,Varsayımlar!$B:$Q,15,0))</f>
        <v>25cm Perforeli-Bulgarca TB etiket</v>
      </c>
      <c r="AB50" s="75" t="str">
        <f>IF(B50="","",VLOOKUP(AD50,Varsayımlar!$B:$Q,16,0))</f>
        <v>24-26 cm</v>
      </c>
      <c r="AC50" s="75" t="str">
        <f>IF(B50="","",VLOOKUP(Sayfa1!AD63,Varsayımlar!B:S,18,0))</f>
        <v>80x120cm -Epal+Epal</v>
      </c>
      <c r="AD50" s="57" t="str">
        <f t="shared" si="3"/>
        <v>TASTE LAND-BULGARİSTANTortillas 25cm Tam Buğday 10pcs 650g</v>
      </c>
    </row>
    <row r="51" spans="1:30" ht="47.25" hidden="1" x14ac:dyDescent="0.25">
      <c r="A51" s="8" t="s">
        <v>393</v>
      </c>
      <c r="B51" s="75" t="s">
        <v>218</v>
      </c>
      <c r="C51" s="43">
        <f>IF(B51="","",VLOOKUP(AD51,Varsayımlar!$B:$Q,3,0))</f>
        <v>8698829380698</v>
      </c>
      <c r="D51" s="43" t="s">
        <v>161</v>
      </c>
      <c r="E51" s="75" t="s">
        <v>251</v>
      </c>
      <c r="F51" s="75" t="s">
        <v>341</v>
      </c>
      <c r="G51" s="43"/>
      <c r="H51" s="75" t="str">
        <f>IF(B51="","",VLOOKUP(AD51,Varsayımlar!$B:$Q,5,0))</f>
        <v>Tortillas Avrupa 25cm TB (711)</v>
      </c>
      <c r="I51" s="75" t="str">
        <f>IF(B51="","",VLOOKUP(AD51,Varsayımlar!B:T,19,0))</f>
        <v>Barkod üzerine Barkod Etiketi (067)</v>
      </c>
      <c r="J51" s="75" t="str">
        <f>IF(B51="","",VLOOKUP(AD51,Varsayımlar!$B:$Q,6,0))</f>
        <v>Tam Buğdaylı</v>
      </c>
      <c r="K51" s="75">
        <v>84</v>
      </c>
      <c r="L51" s="75"/>
      <c r="M51" s="75">
        <f>IFERROR(IF(B51="","",K51/VLOOKUP(AD51,Varsayımlar!B:R,17,0)),"")</f>
        <v>1</v>
      </c>
      <c r="N51" s="75"/>
      <c r="O51" s="75">
        <v>2</v>
      </c>
      <c r="P51" s="75">
        <f>IF(B51="","",VLOOKUP(AD51,Varsayımlar!$B:$Q,7,0)*K51)</f>
        <v>1512</v>
      </c>
      <c r="Q51" s="75">
        <f>IF(B51="","",VLOOKUP(AD51,Varsayımlar!$B:$Q,8,0))</f>
        <v>25</v>
      </c>
      <c r="R51" s="75" t="str">
        <f>IF(B51="","",VLOOKUP(AD51,Varsayımlar!$B:$Q,9,0))</f>
        <v>Irak Soft</v>
      </c>
      <c r="S51" s="75">
        <f>IF(B51="","",VLOOKUP(AD51,Varsayımlar!$B:$Q,10,0))</f>
        <v>6</v>
      </c>
      <c r="T51" s="75">
        <f>IF(B51="","",VLOOKUP(AD51,Varsayımlar!$B:$Q,11,0))</f>
        <v>18</v>
      </c>
      <c r="U51" s="75">
        <f>IF(B51="","",VLOOKUP(AD51,Varsayımlar!$B:$Q,12,0))</f>
        <v>390</v>
      </c>
      <c r="V51" s="75" t="str">
        <f>IF(B51="","",VLOOKUP(AD51,Varsayımlar!$B:$Q,13,0))</f>
        <v>Yurtdışı</v>
      </c>
      <c r="W51" s="75">
        <f>IF(B51="","",VLOOKUP(AD51,Varsayımlar!$B:$Q,14,0))</f>
        <v>9</v>
      </c>
      <c r="X51" s="76"/>
      <c r="Y51" s="76"/>
      <c r="Z51" s="75"/>
      <c r="AA51" s="75" t="str">
        <f>IF(B51="","",VLOOKUP(AD51,Varsayımlar!$B:$Q,15,0))</f>
        <v>25cm Kırmızı koli-Bulgarca TB Etiket</v>
      </c>
      <c r="AB51" s="75" t="str">
        <f>IF(B51="","",VLOOKUP(AD51,Varsayımlar!$B:$Q,16,0))</f>
        <v>24-26 cm</v>
      </c>
      <c r="AC51" s="75" t="str">
        <f>IF(B51="","",VLOOKUP(Sayfa1!AD64,Varsayımlar!B:S,18,0))</f>
        <v>80x120cm -Epal+Epal</v>
      </c>
      <c r="AD51" s="57" t="str">
        <f t="shared" si="3"/>
        <v>TASTE LAND-BULGARİSTANTortillas 25cm TB 6pcs 390g</v>
      </c>
    </row>
    <row r="52" spans="1:30" ht="47.25" hidden="1" x14ac:dyDescent="0.25">
      <c r="A52" s="8" t="s">
        <v>413</v>
      </c>
      <c r="B52" s="75" t="s">
        <v>218</v>
      </c>
      <c r="C52" s="43">
        <f>IF(B52="","",VLOOKUP(AD52,Varsayımlar!$B:$Q,3,0))</f>
        <v>8698829380698</v>
      </c>
      <c r="D52" s="43" t="s">
        <v>161</v>
      </c>
      <c r="E52" s="75" t="s">
        <v>232</v>
      </c>
      <c r="F52" s="75" t="s">
        <v>341</v>
      </c>
      <c r="G52" s="43"/>
      <c r="H52" s="75" t="str">
        <f>IF(B52="","",VLOOKUP(AD52,Varsayımlar!$B:$Q,5,0))</f>
        <v>Tortillas Avrupa 25cm Domatesli (074)</v>
      </c>
      <c r="I52" s="75">
        <f>IF(B52="","",VLOOKUP(AD52,Varsayımlar!B:T,19,0))</f>
        <v>0</v>
      </c>
      <c r="J52" s="75" t="str">
        <f>IF(B52="","",VLOOKUP(AD52,Varsayımlar!$B:$Q,6,0))</f>
        <v>Domatesli</v>
      </c>
      <c r="K52" s="75">
        <v>240</v>
      </c>
      <c r="L52" s="75"/>
      <c r="M52" s="75">
        <f>IFERROR(IF(B52="","",K52/VLOOKUP(AD52,Varsayımlar!B:R,17,0)),"")</f>
        <v>2</v>
      </c>
      <c r="N52" s="75"/>
      <c r="O52" s="75">
        <v>3</v>
      </c>
      <c r="P52" s="75">
        <f>IF(B52="","",VLOOKUP(AD52,Varsayımlar!$B:$Q,7,0)*K52)</f>
        <v>2880</v>
      </c>
      <c r="Q52" s="75">
        <f>IF(B52="","",VLOOKUP(AD52,Varsayımlar!$B:$Q,8,0))</f>
        <v>25</v>
      </c>
      <c r="R52" s="75" t="str">
        <f>IF(B52="","",VLOOKUP(AD52,Varsayımlar!$B:$Q,9,0))</f>
        <v>Irak Soft</v>
      </c>
      <c r="S52" s="75">
        <f>IF(B52="","",VLOOKUP(AD52,Varsayımlar!$B:$Q,10,0))</f>
        <v>6</v>
      </c>
      <c r="T52" s="75">
        <f>IF(B52="","",VLOOKUP(AD52,Varsayımlar!$B:$Q,11,0))</f>
        <v>12</v>
      </c>
      <c r="U52" s="75">
        <f>IF(B52="","",VLOOKUP(AD52,Varsayımlar!$B:$Q,12,0))</f>
        <v>390</v>
      </c>
      <c r="V52" s="75" t="str">
        <f>IF(B52="","",VLOOKUP(AD52,Varsayımlar!$B:$Q,13,0))</f>
        <v>Yurtdışı</v>
      </c>
      <c r="W52" s="75">
        <f>IF(B52="","",VLOOKUP(AD52,Varsayımlar!$B:$Q,14,0))</f>
        <v>9</v>
      </c>
      <c r="X52" s="76"/>
      <c r="Y52" s="76"/>
      <c r="Z52" s="75"/>
      <c r="AA52" s="75" t="str">
        <f>IF(B52="","",VLOOKUP(AD52,Varsayımlar!$B:$Q,15,0))</f>
        <v>25cm Perforeli-Bulgarca Domatesli etiket</v>
      </c>
      <c r="AB52" s="75" t="str">
        <f>IF(B52="","",VLOOKUP(AD52,Varsayımlar!$B:$Q,16,0))</f>
        <v>24-26 cm</v>
      </c>
      <c r="AC52" s="75" t="str">
        <f>IF(B52="","",VLOOKUP(Sayfa1!AD65,Varsayımlar!B:S,18,0))</f>
        <v>80x120cm -Epal+Epal</v>
      </c>
      <c r="AD52" s="57" t="str">
        <f t="shared" si="3"/>
        <v>TASTE LAND-BULGARİSTANTortillas 25cm Domatesli 6pcs 390g</v>
      </c>
    </row>
    <row r="53" spans="1:30" ht="47.25" hidden="1" x14ac:dyDescent="0.25">
      <c r="A53" s="8" t="s">
        <v>414</v>
      </c>
      <c r="B53" s="75" t="s">
        <v>218</v>
      </c>
      <c r="C53" s="43">
        <f>IF(B53="","",VLOOKUP(AD53,Varsayımlar!$B:$Q,3,0))</f>
        <v>8698829380698</v>
      </c>
      <c r="D53" s="43" t="s">
        <v>161</v>
      </c>
      <c r="E53" s="75" t="s">
        <v>235</v>
      </c>
      <c r="F53" s="75" t="s">
        <v>341</v>
      </c>
      <c r="G53" s="43"/>
      <c r="H53" s="75" t="str">
        <f>IF(B53="","",VLOOKUP(AD53,Varsayımlar!$B:$Q,5,0))</f>
        <v>Tortillas Avrupa 25cm Ispanaklı (081)</v>
      </c>
      <c r="I53" s="75">
        <f>IF(B53="","",VLOOKUP(AD53,Varsayımlar!B:T,19,0))</f>
        <v>0</v>
      </c>
      <c r="J53" s="75" t="str">
        <f>IF(B53="","",VLOOKUP(AD53,Varsayımlar!$B:$Q,6,0))</f>
        <v>Ispanaklı</v>
      </c>
      <c r="K53" s="75">
        <v>240</v>
      </c>
      <c r="L53" s="75"/>
      <c r="M53" s="75">
        <f>IFERROR(IF(B53="","",K53/VLOOKUP(AD53,Varsayımlar!B:R,17,0)),"")</f>
        <v>2</v>
      </c>
      <c r="N53" s="75"/>
      <c r="O53" s="75">
        <v>3</v>
      </c>
      <c r="P53" s="75">
        <f>IF(B53="","",VLOOKUP(AD53,Varsayımlar!$B:$Q,7,0)*K53)</f>
        <v>2880</v>
      </c>
      <c r="Q53" s="75">
        <f>IF(B53="","",VLOOKUP(AD53,Varsayımlar!$B:$Q,8,0))</f>
        <v>25</v>
      </c>
      <c r="R53" s="75" t="str">
        <f>IF(B53="","",VLOOKUP(AD53,Varsayımlar!$B:$Q,9,0))</f>
        <v>Irak Soft</v>
      </c>
      <c r="S53" s="75">
        <f>IF(B53="","",VLOOKUP(AD53,Varsayımlar!$B:$Q,10,0))</f>
        <v>6</v>
      </c>
      <c r="T53" s="75">
        <f>IF(B53="","",VLOOKUP(AD53,Varsayımlar!$B:$Q,11,0))</f>
        <v>12</v>
      </c>
      <c r="U53" s="75">
        <f>IF(B53="","",VLOOKUP(AD53,Varsayımlar!$B:$Q,12,0))</f>
        <v>390</v>
      </c>
      <c r="V53" s="75" t="str">
        <f>IF(B53="","",VLOOKUP(AD53,Varsayımlar!$B:$Q,13,0))</f>
        <v>Yurtdışı</v>
      </c>
      <c r="W53" s="75">
        <f>IF(B53="","",VLOOKUP(AD53,Varsayımlar!$B:$Q,14,0))</f>
        <v>9</v>
      </c>
      <c r="X53" s="76"/>
      <c r="Y53" s="76"/>
      <c r="Z53" s="75"/>
      <c r="AA53" s="75" t="str">
        <f>IF(B53="","",VLOOKUP(AD53,Varsayımlar!$B:$Q,15,0))</f>
        <v>25cm Perforeli-Bulgarca Ispanaklı etiket</v>
      </c>
      <c r="AB53" s="75" t="str">
        <f>IF(B53="","",VLOOKUP(AD53,Varsayımlar!$B:$Q,16,0))</f>
        <v>24-26 cm</v>
      </c>
      <c r="AC53" s="75" t="str">
        <f>IF(B53="","",VLOOKUP(Sayfa1!AD66,Varsayımlar!B:S,18,0))</f>
        <v>80x120cm -Epal+Epal</v>
      </c>
      <c r="AD53" s="57" t="str">
        <f t="shared" si="3"/>
        <v>TASTE LAND-BULGARİSTANTortillas 25cm Ispanaklı 6pcs 390g</v>
      </c>
    </row>
    <row r="54" spans="1:30" ht="47.25" hidden="1" x14ac:dyDescent="0.25">
      <c r="A54" s="8" t="s">
        <v>415</v>
      </c>
      <c r="B54" s="75" t="s">
        <v>218</v>
      </c>
      <c r="C54" s="43">
        <f>IF(B54="","",VLOOKUP(AD54,Varsayımlar!$B:$Q,3,0))</f>
        <v>8698829380698</v>
      </c>
      <c r="D54" s="43" t="s">
        <v>161</v>
      </c>
      <c r="E54" s="75" t="s">
        <v>240</v>
      </c>
      <c r="F54" s="75" t="s">
        <v>341</v>
      </c>
      <c r="G54" s="43"/>
      <c r="H54" s="75" t="str">
        <f>IF(B54="","",VLOOKUP(AD54,Varsayımlar!$B:$Q,5,0))</f>
        <v>Tortillas Avrupa 25cm Peynirli (098)</v>
      </c>
      <c r="I54" s="75">
        <f>IF(B54="","",VLOOKUP(AD54,Varsayımlar!B:T,19,0))</f>
        <v>0</v>
      </c>
      <c r="J54" s="75" t="str">
        <f>IF(B54="","",VLOOKUP(AD54,Varsayımlar!$B:$Q,6,0))</f>
        <v>Peynirli</v>
      </c>
      <c r="K54" s="75">
        <v>120</v>
      </c>
      <c r="L54" s="75"/>
      <c r="M54" s="75">
        <f>IFERROR(IF(B54="","",K54/VLOOKUP(AD54,Varsayımlar!B:R,17,0)),"")</f>
        <v>1</v>
      </c>
      <c r="N54" s="75"/>
      <c r="O54" s="75">
        <v>2</v>
      </c>
      <c r="P54" s="75">
        <f>IF(B54="","",VLOOKUP(AD54,Varsayımlar!$B:$Q,7,0)*K54)</f>
        <v>1440</v>
      </c>
      <c r="Q54" s="75">
        <f>IF(B54="","",VLOOKUP(AD54,Varsayımlar!$B:$Q,8,0))</f>
        <v>25</v>
      </c>
      <c r="R54" s="75" t="str">
        <f>IF(B54="","",VLOOKUP(AD54,Varsayımlar!$B:$Q,9,0))</f>
        <v>Irak Soft-AT</v>
      </c>
      <c r="S54" s="75">
        <f>IF(B54="","",VLOOKUP(AD54,Varsayımlar!$B:$Q,10,0))</f>
        <v>6</v>
      </c>
      <c r="T54" s="75">
        <f>IF(B54="","",VLOOKUP(AD54,Varsayımlar!$B:$Q,11,0))</f>
        <v>12</v>
      </c>
      <c r="U54" s="75">
        <f>IF(B54="","",VLOOKUP(AD54,Varsayımlar!$B:$Q,12,0))</f>
        <v>390</v>
      </c>
      <c r="V54" s="75" t="str">
        <f>IF(B54="","",VLOOKUP(AD54,Varsayımlar!$B:$Q,13,0))</f>
        <v>Yurtdışı</v>
      </c>
      <c r="W54" s="75">
        <f>IF(B54="","",VLOOKUP(AD54,Varsayımlar!$B:$Q,14,0))</f>
        <v>9</v>
      </c>
      <c r="X54" s="76"/>
      <c r="Y54" s="76"/>
      <c r="Z54" s="75"/>
      <c r="AA54" s="75" t="str">
        <f>IF(B54="","",VLOOKUP(AD54,Varsayımlar!$B:$Q,15,0))</f>
        <v>25cm Perforeli-Bulgarca Peynirli etiket</v>
      </c>
      <c r="AB54" s="75" t="str">
        <f>IF(B54="","",VLOOKUP(AD54,Varsayımlar!$B:$Q,16,0))</f>
        <v>24-26 cm</v>
      </c>
      <c r="AC54" s="75" t="str">
        <f>IF(B54="","",VLOOKUP(Sayfa1!AD67,Varsayımlar!B:S,18,0))</f>
        <v>80x120cm -Epal+Epal</v>
      </c>
      <c r="AD54" s="57" t="str">
        <f t="shared" si="3"/>
        <v>TASTE LAND-BULGARİSTANTortillas 25cm Peynirli 6pcs 390g</v>
      </c>
    </row>
    <row r="55" spans="1:30" hidden="1" x14ac:dyDescent="0.25">
      <c r="A55" s="8" t="s">
        <v>416</v>
      </c>
      <c r="B55" s="64"/>
      <c r="C55" s="3" t="str">
        <f>IF(B55="","",VLOOKUP(AD55,Varsayımlar!$B:$Q,3,0))</f>
        <v/>
      </c>
      <c r="D55" s="3"/>
      <c r="E55" s="3"/>
      <c r="F55" s="64"/>
      <c r="G55" s="3"/>
      <c r="H55" s="64" t="str">
        <f>IF(B55="","",VLOOKUP(AD55,Varsayımlar!$B:$Q,5,0))</f>
        <v/>
      </c>
      <c r="I55" s="64" t="str">
        <f>IF(B55="","",VLOOKUP(AD55,Varsayımlar!B:T,19,0))</f>
        <v/>
      </c>
      <c r="J55" s="64" t="str">
        <f>IF(B55="","",VLOOKUP(AD55,Varsayımlar!$B:$Q,6,0))</f>
        <v/>
      </c>
      <c r="K55" s="64"/>
      <c r="L55" s="64"/>
      <c r="M55" s="64" t="str">
        <f>IFERROR(IF(B55="","",K55/VLOOKUP(AD55,Varsayımlar!B:R,17,0)),"")</f>
        <v/>
      </c>
      <c r="N55" s="64"/>
      <c r="O55" s="64"/>
      <c r="P55" s="64" t="str">
        <f>IF(B55="","",VLOOKUP(AD55,Varsayımlar!$B:$Q,7,0)*K55)</f>
        <v/>
      </c>
      <c r="Q55" s="64" t="str">
        <f>IF(B55="","",VLOOKUP(AD55,Varsayımlar!$B:$Q,8,0))</f>
        <v/>
      </c>
      <c r="R55" s="64" t="str">
        <f>IF(B55="","",VLOOKUP(AD55,Varsayımlar!$B:$Q,9,0))</f>
        <v/>
      </c>
      <c r="S55" s="64" t="str">
        <f>IF(B55="","",VLOOKUP(AD55,Varsayımlar!$B:$Q,10,0))</f>
        <v/>
      </c>
      <c r="T55" s="64" t="str">
        <f>IF(B55="","",VLOOKUP(AD55,Varsayımlar!$B:$Q,11,0))</f>
        <v/>
      </c>
      <c r="U55" s="64" t="str">
        <f>IF(B55="","",VLOOKUP(AD55,Varsayımlar!$B:$Q,12,0))</f>
        <v/>
      </c>
      <c r="V55" s="64" t="str">
        <f>IF(B55="","",VLOOKUP(AD55,Varsayımlar!$B:$Q,13,0))</f>
        <v/>
      </c>
      <c r="W55" s="64" t="str">
        <f>IF(B55="","",VLOOKUP(AD55,Varsayımlar!$B:$Q,14,0))</f>
        <v/>
      </c>
      <c r="X55" s="66"/>
      <c r="Y55" s="66"/>
      <c r="Z55" s="64"/>
      <c r="AA55" s="64" t="str">
        <f>IF(B55="","",VLOOKUP(AD55,Varsayımlar!$B:$Q,15,0))</f>
        <v/>
      </c>
      <c r="AB55" s="64" t="str">
        <f>IF(B55="","",VLOOKUP(AD55,Varsayımlar!$B:$Q,16,0))</f>
        <v/>
      </c>
      <c r="AC55" s="64" t="str">
        <f>IF(B55="","",VLOOKUP(Sayfa1!AD43,Varsayımlar!B:S,18,0))</f>
        <v/>
      </c>
      <c r="AD55" s="57" t="str">
        <f t="shared" si="0"/>
        <v/>
      </c>
    </row>
    <row r="56" spans="1:30" hidden="1" x14ac:dyDescent="0.25">
      <c r="A56" s="8" t="s">
        <v>417</v>
      </c>
      <c r="B56" s="64"/>
      <c r="C56" s="3" t="str">
        <f>IF(B56="","",VLOOKUP(AD56,Varsayımlar!$B:$Q,3,0))</f>
        <v/>
      </c>
      <c r="D56" s="3"/>
      <c r="E56" s="3"/>
      <c r="F56" s="64"/>
      <c r="G56" s="3"/>
      <c r="H56" s="64" t="str">
        <f>IF(B56="","",VLOOKUP(AD56,Varsayımlar!$B:$Q,5,0))</f>
        <v/>
      </c>
      <c r="I56" s="64" t="str">
        <f>IF(B56="","",VLOOKUP(AD56,Varsayımlar!B:T,19,0))</f>
        <v/>
      </c>
      <c r="J56" s="64" t="str">
        <f>IF(B56="","",VLOOKUP(AD56,Varsayımlar!$B:$Q,6,0))</f>
        <v/>
      </c>
      <c r="K56" s="64"/>
      <c r="L56" s="64"/>
      <c r="M56" s="64" t="str">
        <f>IFERROR(IF(B56="","",K56/VLOOKUP(AD56,Varsayımlar!B:R,17,0)),"")</f>
        <v/>
      </c>
      <c r="N56" s="64"/>
      <c r="O56" s="64"/>
      <c r="P56" s="64" t="str">
        <f>IF(B56="","",VLOOKUP(AD56,Varsayımlar!$B:$Q,7,0)*K56)</f>
        <v/>
      </c>
      <c r="Q56" s="64" t="str">
        <f>IF(B56="","",VLOOKUP(AD56,Varsayımlar!$B:$Q,8,0))</f>
        <v/>
      </c>
      <c r="R56" s="64" t="str">
        <f>IF(B56="","",VLOOKUP(AD56,Varsayımlar!$B:$Q,9,0))</f>
        <v/>
      </c>
      <c r="S56" s="64" t="str">
        <f>IF(B56="","",VLOOKUP(AD56,Varsayımlar!$B:$Q,10,0))</f>
        <v/>
      </c>
      <c r="T56" s="64" t="str">
        <f>IF(B56="","",VLOOKUP(AD56,Varsayımlar!$B:$Q,11,0))</f>
        <v/>
      </c>
      <c r="U56" s="64" t="str">
        <f>IF(B56="","",VLOOKUP(AD56,Varsayımlar!$B:$Q,12,0))</f>
        <v/>
      </c>
      <c r="V56" s="64" t="str">
        <f>IF(B56="","",VLOOKUP(AD56,Varsayımlar!$B:$Q,13,0))</f>
        <v/>
      </c>
      <c r="W56" s="64" t="str">
        <f>IF(B56="","",VLOOKUP(AD56,Varsayımlar!$B:$Q,14,0))</f>
        <v/>
      </c>
      <c r="X56" s="66"/>
      <c r="Y56" s="66"/>
      <c r="Z56" s="64"/>
      <c r="AA56" s="64" t="str">
        <f>IF(B56="","",VLOOKUP(AD56,Varsayımlar!$B:$Q,15,0))</f>
        <v/>
      </c>
      <c r="AB56" s="64" t="str">
        <f>IF(B56="","",VLOOKUP(AD56,Varsayımlar!$B:$Q,16,0))</f>
        <v/>
      </c>
      <c r="AC56" s="64" t="str">
        <f>IF(B56="","",VLOOKUP(Sayfa1!AD44,Varsayımlar!B:S,18,0))</f>
        <v/>
      </c>
      <c r="AD56" s="57" t="str">
        <f t="shared" si="0"/>
        <v/>
      </c>
    </row>
    <row r="57" spans="1:30" hidden="1" x14ac:dyDescent="0.25">
      <c r="A57" s="8" t="s">
        <v>418</v>
      </c>
      <c r="B57" s="64"/>
      <c r="C57" s="3" t="str">
        <f>IF(B57="","",VLOOKUP(AD57,Varsayımlar!$B:$Q,3,0))</f>
        <v/>
      </c>
      <c r="D57" s="3"/>
      <c r="E57" s="3"/>
      <c r="F57" s="64"/>
      <c r="G57" s="3"/>
      <c r="H57" s="64" t="str">
        <f>IF(B57="","",VLOOKUP(AD57,Varsayımlar!$B:$Q,5,0))</f>
        <v/>
      </c>
      <c r="I57" s="64" t="str">
        <f>IF(B57="","",VLOOKUP(AD57,Varsayımlar!B:T,19,0))</f>
        <v/>
      </c>
      <c r="J57" s="64" t="str">
        <f>IF(B57="","",VLOOKUP(AD57,Varsayımlar!$B:$Q,6,0))</f>
        <v/>
      </c>
      <c r="K57" s="64"/>
      <c r="L57" s="64"/>
      <c r="M57" s="64" t="str">
        <f>IFERROR(IF(B57="","",K57/VLOOKUP(AD57,Varsayımlar!B:R,17,0)),"")</f>
        <v/>
      </c>
      <c r="N57" s="64"/>
      <c r="O57" s="64"/>
      <c r="P57" s="64" t="str">
        <f>IF(B57="","",VLOOKUP(AD57,Varsayımlar!$B:$Q,7,0)*K57)</f>
        <v/>
      </c>
      <c r="Q57" s="64" t="str">
        <f>IF(B57="","",VLOOKUP(AD57,Varsayımlar!$B:$Q,8,0))</f>
        <v/>
      </c>
      <c r="R57" s="64" t="str">
        <f>IF(B57="","",VLOOKUP(AD57,Varsayımlar!$B:$Q,9,0))</f>
        <v/>
      </c>
      <c r="S57" s="64" t="str">
        <f>IF(B57="","",VLOOKUP(AD57,Varsayımlar!$B:$Q,10,0))</f>
        <v/>
      </c>
      <c r="T57" s="64" t="str">
        <f>IF(B57="","",VLOOKUP(AD57,Varsayımlar!$B:$Q,11,0))</f>
        <v/>
      </c>
      <c r="U57" s="64" t="str">
        <f>IF(B57="","",VLOOKUP(AD57,Varsayımlar!$B:$Q,12,0))</f>
        <v/>
      </c>
      <c r="V57" s="64" t="str">
        <f>IF(B57="","",VLOOKUP(AD57,Varsayımlar!$B:$Q,13,0))</f>
        <v/>
      </c>
      <c r="W57" s="64" t="str">
        <f>IF(B57="","",VLOOKUP(AD57,Varsayımlar!$B:$Q,14,0))</f>
        <v/>
      </c>
      <c r="X57" s="66"/>
      <c r="Y57" s="66"/>
      <c r="Z57" s="64"/>
      <c r="AA57" s="64" t="str">
        <f>IF(B57="","",VLOOKUP(AD57,Varsayımlar!$B:$Q,15,0))</f>
        <v/>
      </c>
      <c r="AB57" s="64" t="str">
        <f>IF(B57="","",VLOOKUP(AD57,Varsayımlar!$B:$Q,16,0))</f>
        <v/>
      </c>
      <c r="AC57" s="64" t="str">
        <f>IF(B57="","",VLOOKUP(Sayfa1!AD45,Varsayımlar!B:S,18,0))</f>
        <v/>
      </c>
      <c r="AD57" s="57" t="str">
        <f t="shared" si="0"/>
        <v/>
      </c>
    </row>
    <row r="58" spans="1:30" ht="31.5" customHeight="1" x14ac:dyDescent="0.25">
      <c r="A58" s="182" t="s">
        <v>344</v>
      </c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4"/>
      <c r="AC58" s="38"/>
    </row>
    <row r="59" spans="1:30" ht="63" x14ac:dyDescent="0.25">
      <c r="A59" s="8" t="s">
        <v>0</v>
      </c>
      <c r="B59" s="8" t="s">
        <v>1</v>
      </c>
      <c r="C59" s="9" t="s">
        <v>31</v>
      </c>
      <c r="D59" s="9" t="s">
        <v>124</v>
      </c>
      <c r="E59" s="9" t="s">
        <v>36</v>
      </c>
      <c r="F59" s="8" t="s">
        <v>37</v>
      </c>
      <c r="G59" s="8" t="s">
        <v>13</v>
      </c>
      <c r="H59" s="8" t="s">
        <v>2</v>
      </c>
      <c r="I59" s="8" t="s">
        <v>49</v>
      </c>
      <c r="J59" s="8" t="s">
        <v>3</v>
      </c>
      <c r="K59" s="8" t="s">
        <v>21</v>
      </c>
      <c r="L59" s="8" t="s">
        <v>94</v>
      </c>
      <c r="M59" s="8" t="s">
        <v>20</v>
      </c>
      <c r="N59" s="8" t="s">
        <v>165</v>
      </c>
      <c r="O59" s="8" t="s">
        <v>123</v>
      </c>
      <c r="P59" s="8" t="s">
        <v>16</v>
      </c>
      <c r="Q59" s="8" t="s">
        <v>4</v>
      </c>
      <c r="R59" s="8" t="s">
        <v>5</v>
      </c>
      <c r="S59" s="8" t="s">
        <v>6</v>
      </c>
      <c r="T59" s="8" t="s">
        <v>28</v>
      </c>
      <c r="U59" s="8" t="s">
        <v>7</v>
      </c>
      <c r="V59" s="8" t="s">
        <v>8</v>
      </c>
      <c r="W59" s="8" t="s">
        <v>267</v>
      </c>
      <c r="X59" s="8" t="s">
        <v>10</v>
      </c>
      <c r="Y59" s="8" t="s">
        <v>11</v>
      </c>
      <c r="Z59" s="8" t="s">
        <v>12</v>
      </c>
      <c r="AA59" s="8" t="s">
        <v>14</v>
      </c>
      <c r="AB59" s="8" t="s">
        <v>15</v>
      </c>
      <c r="AC59" s="8" t="s">
        <v>208</v>
      </c>
      <c r="AD59" s="7" t="s">
        <v>41</v>
      </c>
    </row>
    <row r="60" spans="1:30" ht="23.25" customHeight="1" x14ac:dyDescent="0.25">
      <c r="A60" s="8" t="s">
        <v>26</v>
      </c>
      <c r="B60" s="64" t="s">
        <v>119</v>
      </c>
      <c r="C60" s="3">
        <f>IF(B60="","",VLOOKUP(AD60,Varsayımlar!$B:$Q,3,0))</f>
        <v>8698829380698</v>
      </c>
      <c r="D60" s="3"/>
      <c r="E60" s="64" t="s">
        <v>120</v>
      </c>
      <c r="F60" s="64"/>
      <c r="G60" s="64"/>
      <c r="H60" s="64" t="str">
        <f>IF(B60="","",VLOOKUP(AD60,Varsayımlar!$B:$Q,5,0))</f>
        <v>Nimet 25 cm</v>
      </c>
      <c r="I60" s="64"/>
      <c r="J60" s="64" t="str">
        <f>IF(B60="","",VLOOKUP(AD60,Varsayımlar!$B:$Q,6,0))</f>
        <v>SADE</v>
      </c>
      <c r="K60" s="64">
        <v>100</v>
      </c>
      <c r="L60" s="64"/>
      <c r="M60" s="64">
        <f>IFERROR(IF(B60="","",K60/VLOOKUP(AD60,Varsayımlar!B:R,17,0)),"")</f>
        <v>2</v>
      </c>
      <c r="N60" s="64"/>
      <c r="O60" s="64">
        <v>2</v>
      </c>
      <c r="P60" s="64">
        <f>IF(B60="","",VLOOKUP(AD60,Varsayımlar!$B:$Q,7,0)*K60)</f>
        <v>1200</v>
      </c>
      <c r="Q60" s="64">
        <f>IF(B60="","",VLOOKUP(AD60,Varsayımlar!$B:$Q,8,0))</f>
        <v>25</v>
      </c>
      <c r="R60" s="64" t="str">
        <f>IF(B60="","",VLOOKUP(AD60,Varsayımlar!$B:$Q,9,0))</f>
        <v>Standart</v>
      </c>
      <c r="S60" s="64">
        <f>IF(B60="","",VLOOKUP(AD60,Varsayımlar!$B:$Q,10,0))</f>
        <v>12</v>
      </c>
      <c r="T60" s="64">
        <f>IF(B60="","",VLOOKUP(AD60,Varsayımlar!$B:$Q,11,0))</f>
        <v>12</v>
      </c>
      <c r="U60" s="64">
        <f>IF(B60="","",VLOOKUP(AD60,Varsayımlar!$B:$Q,12,0))</f>
        <v>840</v>
      </c>
      <c r="V60" s="64" t="str">
        <f>IF(B60="","",VLOOKUP(AD60,Varsayımlar!$B:$Q,13,0))</f>
        <v>YURTİÇİ</v>
      </c>
      <c r="W60" s="64">
        <f>IF(B60="","",VLOOKUP(AD60,Varsayımlar!$B:$Q,14,0))</f>
        <v>5</v>
      </c>
      <c r="X60" s="66" t="s">
        <v>113</v>
      </c>
      <c r="Y60" s="66" t="s">
        <v>113</v>
      </c>
      <c r="Z60" s="64" t="s">
        <v>113</v>
      </c>
      <c r="AA60" s="64" t="str">
        <f>IF(B60="","",VLOOKUP(AD60,Varsayımlar!$B:$Q,15,0))</f>
        <v>Nimet Kolisi</v>
      </c>
      <c r="AB60" s="64" t="str">
        <f>IF(B60="","",VLOOKUP(AD60,Varsayımlar!$B:$Q,16,0))</f>
        <v>24-26 CM</v>
      </c>
      <c r="AC60" s="64" t="e">
        <f>IF(B60="","",VLOOKUP(Sayfa1!AD46,Varsayımlar!B:S,18,0))</f>
        <v>#N/A</v>
      </c>
      <c r="AD60" s="57" t="str">
        <f t="shared" ref="AD60:AD67" si="4">IF(B60="","",CONCATENATE(B60,E60))</f>
        <v>A101Nimet 25cm 12 pcs 840g</v>
      </c>
    </row>
    <row r="61" spans="1:30" ht="31.5" x14ac:dyDescent="0.25">
      <c r="A61" s="8" t="s">
        <v>77</v>
      </c>
      <c r="B61" s="62" t="s">
        <v>218</v>
      </c>
      <c r="C61" s="32">
        <f>IF(B61="","",VLOOKUP(AD61,Varsayımlar!$B:$Q,3,0))</f>
        <v>8698829380698</v>
      </c>
      <c r="D61" s="32" t="s">
        <v>159</v>
      </c>
      <c r="E61" s="62" t="s">
        <v>228</v>
      </c>
      <c r="F61" s="62">
        <v>26042906</v>
      </c>
      <c r="G61" s="32"/>
      <c r="H61" s="62" t="str">
        <f>IF(B61="","",VLOOKUP(AD61,Varsayımlar!$B:$Q,5,0))</f>
        <v>Tortillas Avrupa 25cm (698)</v>
      </c>
      <c r="I61" s="62">
        <f>IF(B61="","",VLOOKUP(AD61,Varsayımlar!B:T,19,0))</f>
        <v>0</v>
      </c>
      <c r="J61" s="62" t="str">
        <f>IF(B61="","",VLOOKUP(AD61,Varsayımlar!$B:$Q,6,0))</f>
        <v>SADE</v>
      </c>
      <c r="K61" s="62">
        <v>723</v>
      </c>
      <c r="L61" s="62"/>
      <c r="M61" s="62">
        <f>IFERROR(IF(B61="","",K61/VLOOKUP(AD61,Varsayımlar!B:R,17,0)),"")</f>
        <v>6.0250000000000004</v>
      </c>
      <c r="N61" s="62"/>
      <c r="O61" s="62">
        <v>7</v>
      </c>
      <c r="P61" s="62">
        <f>IF(B61="","",VLOOKUP(AD61,Varsayımlar!$B:$Q,7,0)*K61)</f>
        <v>5784</v>
      </c>
      <c r="Q61" s="62">
        <f>IF(B61="","",VLOOKUP(AD61,Varsayımlar!$B:$Q,8,0))</f>
        <v>25</v>
      </c>
      <c r="R61" s="62" t="str">
        <f>IF(B61="","",VLOOKUP(AD61,Varsayımlar!$B:$Q,9,0))</f>
        <v>Irak Soft</v>
      </c>
      <c r="S61" s="62">
        <f>IF(B61="","",VLOOKUP(AD61,Varsayımlar!$B:$Q,10,0))</f>
        <v>10</v>
      </c>
      <c r="T61" s="62">
        <f>IF(B61="","",VLOOKUP(AD61,Varsayımlar!$B:$Q,11,0))</f>
        <v>8</v>
      </c>
      <c r="U61" s="62">
        <f>IF(B61="","",VLOOKUP(AD61,Varsayımlar!$B:$Q,12,0))</f>
        <v>650</v>
      </c>
      <c r="V61" s="62" t="str">
        <f>IF(B61="","",VLOOKUP(AD61,Varsayımlar!$B:$Q,13,0))</f>
        <v>Yurtdışı</v>
      </c>
      <c r="W61" s="62">
        <f>IF(B61="","",VLOOKUP(AD61,Varsayımlar!$B:$Q,14,0))</f>
        <v>9</v>
      </c>
      <c r="X61" s="63">
        <v>46183</v>
      </c>
      <c r="Y61" s="63">
        <v>46456</v>
      </c>
      <c r="Z61" s="62">
        <v>26061025</v>
      </c>
      <c r="AA61" s="62" t="str">
        <f>IF(B61="","",VLOOKUP(AD61,Varsayımlar!$B:$Q,15,0))</f>
        <v>25cm Perforeli-Bulgarca etiket</v>
      </c>
      <c r="AB61" s="62" t="str">
        <f>IF(B61="","",VLOOKUP(AD61,Varsayımlar!$B:$Q,16,0))</f>
        <v>24-26 cm</v>
      </c>
      <c r="AC61" s="62" t="str">
        <f>IF(B61="","",VLOOKUP(Sayfa1!AD51,Varsayımlar!B:S,18,0))</f>
        <v>80x120cm -Epal+Epal</v>
      </c>
      <c r="AD61" s="57" t="str">
        <f t="shared" si="4"/>
        <v>TASTE LAND-BULGARİSTANTortillas 25cm Sade 10pcs 650g</v>
      </c>
    </row>
    <row r="62" spans="1:30" ht="31.5" x14ac:dyDescent="0.25">
      <c r="A62" s="8" t="s">
        <v>78</v>
      </c>
      <c r="B62" s="67" t="s">
        <v>321</v>
      </c>
      <c r="C62" s="42">
        <f>IF(B62="","",VLOOKUP(AD62,Varsayımlar!$B:$Q,3,0))</f>
        <v>8698829380698</v>
      </c>
      <c r="D62" s="42"/>
      <c r="E62" s="67" t="s">
        <v>322</v>
      </c>
      <c r="F62" s="67"/>
      <c r="G62" s="67"/>
      <c r="H62" s="67" t="str">
        <f>IF(B62="","",VLOOKUP(AD62,Varsayımlar!$B:$Q,5,0))</f>
        <v>Baskısız 25 cm</v>
      </c>
      <c r="I62" s="67" t="str">
        <f>IF(B62="","",VLOOKUP(AD62,Varsayımlar!B:T,19,0))</f>
        <v>Lana 25cm 8pcs 480g Yuvarlak</v>
      </c>
      <c r="J62" s="67" t="str">
        <f>IF(B62="","",VLOOKUP(AD62,Varsayımlar!$B:$Q,6,0))</f>
        <v>SADE</v>
      </c>
      <c r="K62" s="67">
        <v>750</v>
      </c>
      <c r="L62" s="67"/>
      <c r="M62" s="67" t="str">
        <f>IFERROR(IF(B62="","",K62/VLOOKUP(AD62,Varsayımlar!B:R,17,0)),"")</f>
        <v/>
      </c>
      <c r="N62" s="67"/>
      <c r="O62" s="67">
        <v>10</v>
      </c>
      <c r="P62" s="67">
        <f>IF(B62="","",VLOOKUP(AD62,Varsayımlar!$B:$Q,7,0)*K62)</f>
        <v>10500</v>
      </c>
      <c r="Q62" s="67">
        <f>IF(B62="","",VLOOKUP(AD62,Varsayımlar!$B:$Q,8,0))</f>
        <v>25</v>
      </c>
      <c r="R62" s="67" t="str">
        <f>IF(B62="","",VLOOKUP(AD62,Varsayımlar!$B:$Q,9,0))</f>
        <v>Irak Soft</v>
      </c>
      <c r="S62" s="67">
        <f>IF(B62="","",VLOOKUP(AD62,Varsayımlar!$B:$Q,10,0))</f>
        <v>8</v>
      </c>
      <c r="T62" s="67">
        <f>IF(B62="","",VLOOKUP(AD62,Varsayımlar!$B:$Q,11,0))</f>
        <v>14</v>
      </c>
      <c r="U62" s="67">
        <f>IF(B62="","",VLOOKUP(AD62,Varsayımlar!$B:$Q,12,0))</f>
        <v>480</v>
      </c>
      <c r="V62" s="67" t="str">
        <f>IF(B62="","",VLOOKUP(AD62,Varsayımlar!$B:$Q,13,0))</f>
        <v>Yurtdışı</v>
      </c>
      <c r="W62" s="67">
        <f>IF(B62="","",VLOOKUP(AD62,Varsayımlar!$B:$Q,14,0))</f>
        <v>6</v>
      </c>
      <c r="X62" s="69">
        <v>46185</v>
      </c>
      <c r="Y62" s="69">
        <v>46368</v>
      </c>
      <c r="Z62" s="67">
        <v>26061225</v>
      </c>
      <c r="AA62" s="67" t="str">
        <f>IF(B62="","",VLOOKUP(AD62,Varsayımlar!$B:$Q,15,0))</f>
        <v>Kırmızı Koli</v>
      </c>
      <c r="AB62" s="67" t="str">
        <f>IF(B62="","",VLOOKUP(AD62,Varsayımlar!$B:$Q,16,0))</f>
        <v>24-26 cm</v>
      </c>
      <c r="AC62" s="67" t="str">
        <f>IF(B62="","",VLOOKUP(Sayfa1!AD57,Varsayımlar!B:S,18,0))</f>
        <v>80x120cm -Epal+Epal</v>
      </c>
      <c r="AD62" s="57" t="str">
        <f t="shared" si="4"/>
        <v>Gülbahar CompanyBaskısız 25cm Sade 8pcs 480g</v>
      </c>
    </row>
    <row r="63" spans="1:30" ht="23.25" customHeight="1" x14ac:dyDescent="0.25">
      <c r="A63" s="8" t="s">
        <v>79</v>
      </c>
      <c r="B63" s="64" t="s">
        <v>335</v>
      </c>
      <c r="C63" s="3">
        <f>IF(B63="","",VLOOKUP(AD63,Varsayımlar!$B:$Q,3,0))</f>
        <v>8698829380698</v>
      </c>
      <c r="D63" s="3"/>
      <c r="E63" s="64" t="s">
        <v>319</v>
      </c>
      <c r="F63" s="64"/>
      <c r="G63" s="64"/>
      <c r="H63" s="64" t="str">
        <f>IF(B63="","",VLOOKUP(AD63,Varsayımlar!$B:$Q,5,0))</f>
        <v>Lazeza 25cm</v>
      </c>
      <c r="I63" s="64"/>
      <c r="J63" s="64" t="str">
        <f>IF(B63="","",VLOOKUP(AD63,Varsayımlar!$B:$Q,6,0))</f>
        <v>SADE</v>
      </c>
      <c r="K63" s="64">
        <v>1120</v>
      </c>
      <c r="L63" s="64"/>
      <c r="M63" s="64" t="str">
        <f>IFERROR(IF(B63="","",K63/VLOOKUP(AD63,Varsayımlar!B:R,17,0)),"")</f>
        <v/>
      </c>
      <c r="N63" s="64"/>
      <c r="O63" s="64">
        <v>15</v>
      </c>
      <c r="P63" s="64">
        <f>IF(B63="","",VLOOKUP(AD63,Varsayımlar!$B:$Q,7,0)*K63)</f>
        <v>20160</v>
      </c>
      <c r="Q63" s="64">
        <f>IF(B63="","",VLOOKUP(AD63,Varsayımlar!$B:$Q,8,0))</f>
        <v>25</v>
      </c>
      <c r="R63" s="64" t="str">
        <f>IF(B63="","",VLOOKUP(AD63,Varsayımlar!$B:$Q,9,0))</f>
        <v>Irak Soft</v>
      </c>
      <c r="S63" s="64">
        <f>IF(B63="","",VLOOKUP(AD63,Varsayımlar!$B:$Q,10,0))</f>
        <v>6</v>
      </c>
      <c r="T63" s="64">
        <f>IF(B63="","",VLOOKUP(AD63,Varsayımlar!$B:$Q,11,0))</f>
        <v>18</v>
      </c>
      <c r="U63" s="64">
        <f>IF(B63="","",VLOOKUP(AD63,Varsayımlar!$B:$Q,12,0))</f>
        <v>390</v>
      </c>
      <c r="V63" s="64" t="str">
        <f>IF(B63="","",VLOOKUP(AD63,Varsayımlar!$B:$Q,13,0))</f>
        <v>Yurtdışı</v>
      </c>
      <c r="W63" s="64">
        <f>IF(B63="","",VLOOKUP(AD63,Varsayımlar!$B:$Q,14,0))</f>
        <v>6</v>
      </c>
      <c r="X63" s="66"/>
      <c r="Y63" s="66"/>
      <c r="Z63" s="64"/>
      <c r="AA63" s="64" t="str">
        <f>IF(B63="","",VLOOKUP(AD63,Varsayımlar!$B:$Q,15,0))</f>
        <v>Lazeza Kolisi</v>
      </c>
      <c r="AB63" s="64" t="str">
        <f>IF(B63="","",VLOOKUP(AD63,Varsayımlar!$B:$Q,16,0))</f>
        <v>24-26 cm</v>
      </c>
      <c r="AC63" s="64">
        <f>IF(B63="","",VLOOKUP(Sayfa1!AD48,Varsayımlar!B:S,18,0))</f>
        <v>0</v>
      </c>
      <c r="AD63" s="57" t="str">
        <f t="shared" si="4"/>
        <v>AjjawiLazeza 25 cm 6pcs 390g</v>
      </c>
    </row>
    <row r="64" spans="1:30" ht="33" customHeight="1" x14ac:dyDescent="0.25">
      <c r="A64" s="8" t="s">
        <v>80</v>
      </c>
      <c r="B64" s="3" t="s">
        <v>64</v>
      </c>
      <c r="C64" s="3">
        <f>IF(B64="","",VLOOKUP(AD64,Varsayımlar!$B:$Q,3,0))</f>
        <v>8698829380698</v>
      </c>
      <c r="D64" s="3"/>
      <c r="E64" s="3" t="s">
        <v>108</v>
      </c>
      <c r="F64" s="3"/>
      <c r="G64" s="3"/>
      <c r="H64" s="3" t="str">
        <f>IF(B64="","",VLOOKUP(AD64,Varsayımlar!$B:$Q,5,0))</f>
        <v>Kırmızı Tortillas 25 cm</v>
      </c>
      <c r="I64" s="3">
        <f>IF(B64="","",VLOOKUP(AD64,Varsayımlar!B:T,19,0))</f>
        <v>0</v>
      </c>
      <c r="J64" s="3" t="str">
        <f>IF(B64="","",VLOOKUP(AD64,Varsayımlar!$B:$Q,6,0))</f>
        <v>SADE</v>
      </c>
      <c r="K64" s="3">
        <v>924</v>
      </c>
      <c r="L64" s="3"/>
      <c r="M64" s="3">
        <f>IFERROR(IF(B64="","",K64/VLOOKUP(AD64,Varsayımlar!B:R,17,0)),"")</f>
        <v>11</v>
      </c>
      <c r="N64" s="3"/>
      <c r="O64" s="3">
        <v>14</v>
      </c>
      <c r="P64" s="3">
        <f>IF(B64="","",VLOOKUP(AD64,Varsayımlar!$B:$Q,7,0)*K64)</f>
        <v>27720</v>
      </c>
      <c r="Q64" s="3">
        <f>IF(B64="","",VLOOKUP(AD64,Varsayımlar!$B:$Q,8,0))</f>
        <v>25</v>
      </c>
      <c r="R64" s="3" t="str">
        <f>IF(B64="","",VLOOKUP(AD64,Varsayımlar!$B:$Q,9,0))</f>
        <v>Soft</v>
      </c>
      <c r="S64" s="3">
        <f>IF(B64="","",VLOOKUP(AD64,Varsayımlar!$B:$Q,10,0))</f>
        <v>4</v>
      </c>
      <c r="T64" s="3">
        <f>IF(B64="","",VLOOKUP(AD64,Varsayımlar!$B:$Q,11,0))</f>
        <v>30</v>
      </c>
      <c r="U64" s="3">
        <f>IF(B64="","",VLOOKUP(AD64,Varsayımlar!$B:$Q,12,0))</f>
        <v>250</v>
      </c>
      <c r="V64" s="3" t="str">
        <f>IF(B64="","",VLOOKUP(AD64,Varsayımlar!$B:$Q,13,0))</f>
        <v>Yurtdışı</v>
      </c>
      <c r="W64" s="3">
        <f>IF(B64="","",VLOOKUP(AD64,Varsayımlar!$B:$Q,14,0))</f>
        <v>9</v>
      </c>
      <c r="X64" s="66">
        <v>46196</v>
      </c>
      <c r="Y64" s="66">
        <v>46469</v>
      </c>
      <c r="Z64" s="3">
        <v>26062325</v>
      </c>
      <c r="AA64" s="3" t="str">
        <f>IF(B64="","",VLOOKUP(AD64,Varsayımlar!$B:$Q,15,0))</f>
        <v>Kırmızı Koli- Üretim Tarihi Etiketli</v>
      </c>
      <c r="AB64" s="3" t="str">
        <f>IF(B64="","",VLOOKUP(AD64,Varsayımlar!$B:$Q,16,0))</f>
        <v>24-26 CM</v>
      </c>
      <c r="AC64" s="67" t="str">
        <f>IF(B64="","",VLOOKUP(Sayfa1!AD58,Varsayımlar!B:S,18,0))</f>
        <v>80x120cm -Epal+Epal</v>
      </c>
      <c r="AD64" s="57" t="str">
        <f t="shared" si="4"/>
        <v>SMART LLCKırmızı tortillas 25cm 4 lü 250g</v>
      </c>
    </row>
    <row r="65" spans="1:30" s="94" customFormat="1" ht="45.75" customHeight="1" x14ac:dyDescent="0.25">
      <c r="A65" s="8" t="s">
        <v>81</v>
      </c>
      <c r="B65" s="104" t="s">
        <v>119</v>
      </c>
      <c r="C65" s="105">
        <f>IF(B65="","",VLOOKUP(AD65,Varsayımlar!$B:$Q,3,0))</f>
        <v>8698829380698</v>
      </c>
      <c r="D65" s="105"/>
      <c r="E65" s="106" t="s">
        <v>120</v>
      </c>
      <c r="F65" s="104"/>
      <c r="G65" s="104"/>
      <c r="H65" s="104" t="str">
        <f>IF(B65="","",VLOOKUP(AD65,Varsayımlar!$B:$Q,5,0))</f>
        <v>Nimet 25 cm</v>
      </c>
      <c r="I65" s="104"/>
      <c r="J65" s="104" t="str">
        <f>IF(B65="","",VLOOKUP(AD65,Varsayımlar!$B:$Q,6,0))</f>
        <v>SADE</v>
      </c>
      <c r="K65" s="104">
        <v>4000</v>
      </c>
      <c r="L65" s="104"/>
      <c r="M65" s="104">
        <f>IFERROR(IF(B65="","",K65/VLOOKUP(AD65,Varsayımlar!B:R,17,0)),"")</f>
        <v>80</v>
      </c>
      <c r="N65" s="104"/>
      <c r="O65" s="104">
        <v>68</v>
      </c>
      <c r="P65" s="104">
        <f>IF(B65="","",VLOOKUP(AD65,Varsayımlar!$B:$Q,7,0)*K65)</f>
        <v>48000</v>
      </c>
      <c r="Q65" s="104">
        <f>IF(B65="","",VLOOKUP(AD65,Varsayımlar!$B:$Q,8,0))</f>
        <v>25</v>
      </c>
      <c r="R65" s="104" t="str">
        <f>IF(B65="","",VLOOKUP(AD65,Varsayımlar!$B:$Q,9,0))</f>
        <v>Standart</v>
      </c>
      <c r="S65" s="104">
        <f>IF(B65="","",VLOOKUP(AD65,Varsayımlar!$B:$Q,10,0))</f>
        <v>12</v>
      </c>
      <c r="T65" s="104">
        <f>IF(B65="","",VLOOKUP(AD65,Varsayımlar!$B:$Q,11,0))</f>
        <v>12</v>
      </c>
      <c r="U65" s="104">
        <f>IF(B65="","",VLOOKUP(AD65,Varsayımlar!$B:$Q,12,0))</f>
        <v>840</v>
      </c>
      <c r="V65" s="104" t="str">
        <f>IF(B65="","",VLOOKUP(AD65,Varsayımlar!$B:$Q,13,0))</f>
        <v>YURTİÇİ</v>
      </c>
      <c r="W65" s="104">
        <f>IF(B65="","",VLOOKUP(AD65,Varsayımlar!$B:$Q,14,0))</f>
        <v>5</v>
      </c>
      <c r="X65" s="107" t="s">
        <v>113</v>
      </c>
      <c r="Y65" s="107" t="s">
        <v>113</v>
      </c>
      <c r="Z65" s="104" t="s">
        <v>113</v>
      </c>
      <c r="AA65" s="104" t="str">
        <f>IF(B65="","",VLOOKUP(AD65,Varsayımlar!$B:$Q,15,0))</f>
        <v>Nimet Kolisi</v>
      </c>
      <c r="AB65" s="104" t="str">
        <f>IF(B65="","",VLOOKUP(AD65,Varsayımlar!$B:$Q,16,0))</f>
        <v>24-26 CM</v>
      </c>
      <c r="AC65" s="104" t="s">
        <v>360</v>
      </c>
      <c r="AD65" s="93" t="str">
        <f t="shared" si="4"/>
        <v>A101Nimet 25cm 12 pcs 840g</v>
      </c>
    </row>
    <row r="66" spans="1:30" ht="31.5" x14ac:dyDescent="0.25">
      <c r="A66" s="8" t="s">
        <v>82</v>
      </c>
      <c r="B66" s="64" t="s">
        <v>288</v>
      </c>
      <c r="C66" s="3">
        <f>IF(B66="","",VLOOKUP(AD66,Varsayımlar!$B:$Q,3,0))</f>
        <v>8698829380698</v>
      </c>
      <c r="D66" s="3"/>
      <c r="E66" s="64" t="s">
        <v>292</v>
      </c>
      <c r="F66" s="64">
        <v>20201016</v>
      </c>
      <c r="G66" s="3" t="s">
        <v>68</v>
      </c>
      <c r="H66" s="64" t="str">
        <f>IF(B66="","",VLOOKUP(AD66,Varsayımlar!$B:$Q,5,0))</f>
        <v>Kırmızı Tortillas 25cm Sade</v>
      </c>
      <c r="I66" s="64" t="str">
        <f>IF(B66="","",VLOOKUP(AD66,Varsayımlar!B:T,19,0))</f>
        <v>Arka kısma İçerik</v>
      </c>
      <c r="J66" s="64" t="str">
        <f>IF(B66="","",VLOOKUP(AD66,Varsayımlar!$B:$Q,6,0))</f>
        <v>SADE</v>
      </c>
      <c r="K66" s="64">
        <v>250</v>
      </c>
      <c r="L66" s="64"/>
      <c r="M66" s="64">
        <f>IFERROR(IF(B66="","",K66/VLOOKUP(AD66,Varsayımlar!B:R,17,0)),"")</f>
        <v>5</v>
      </c>
      <c r="N66" s="64"/>
      <c r="O66" s="64">
        <v>4</v>
      </c>
      <c r="P66" s="64">
        <f>IF(B66="","",VLOOKUP(AD66,Varsayımlar!$B:$Q,7,0)*K66)</f>
        <v>4500</v>
      </c>
      <c r="Q66" s="64">
        <f>IF(B66="","",VLOOKUP(AD66,Varsayımlar!$B:$Q,8,0))</f>
        <v>25</v>
      </c>
      <c r="R66" s="64" t="str">
        <f>IF(B66="","",VLOOKUP(AD66,Varsayımlar!$B:$Q,9,0))</f>
        <v>Irak Soft</v>
      </c>
      <c r="S66" s="64">
        <f>IF(B66="","",VLOOKUP(AD66,Varsayımlar!$B:$Q,10,0))</f>
        <v>6</v>
      </c>
      <c r="T66" s="64">
        <f>IF(B66="","",VLOOKUP(AD66,Varsayımlar!$B:$Q,11,0))</f>
        <v>18</v>
      </c>
      <c r="U66" s="64">
        <f>IF(B66="","",VLOOKUP(AD66,Varsayımlar!$B:$Q,12,0))</f>
        <v>390</v>
      </c>
      <c r="V66" s="64" t="str">
        <f>IF(B66="","",VLOOKUP(AD66,Varsayımlar!$B:$Q,13,0))</f>
        <v>YURTDIŞI</v>
      </c>
      <c r="W66" s="64">
        <f>IF(B66="","",VLOOKUP(AD66,Varsayımlar!$B:$Q,14,0))</f>
        <v>9</v>
      </c>
      <c r="X66" s="66">
        <v>46202</v>
      </c>
      <c r="Y66" s="66">
        <v>46475</v>
      </c>
      <c r="Z66" s="64">
        <v>26062925</v>
      </c>
      <c r="AA66" s="64" t="str">
        <f>IF(B66="","",VLOOKUP(AD66,Varsayımlar!$B:$Q,15,0))</f>
        <v>25cm Koli</v>
      </c>
      <c r="AB66" s="64" t="str">
        <f>IF(B66="","",VLOOKUP(AD66,Varsayımlar!$B:$Q,16,0))</f>
        <v>24-26 cm</v>
      </c>
      <c r="AC66" s="64" t="str">
        <f>IF(B66="","",VLOOKUP(Sayfa1!AD42,Varsayımlar!B:S,18,0))</f>
        <v>80x120cm</v>
      </c>
      <c r="AD66" s="57" t="str">
        <f>IF(B66="","",CONCATENATE(B66,E66))</f>
        <v>UNITERA-KAZAKİSTANKırmızı Tortillas 25cm Sade 6pcs 390g</v>
      </c>
    </row>
    <row r="67" spans="1:30" ht="31.5" x14ac:dyDescent="0.25">
      <c r="A67" s="8" t="s">
        <v>83</v>
      </c>
      <c r="B67" s="80" t="s">
        <v>218</v>
      </c>
      <c r="C67" s="44">
        <f>IF(B67="","",VLOOKUP(AD67,Varsayımlar!$B:$Q,3,0))</f>
        <v>8698829380698</v>
      </c>
      <c r="D67" s="44" t="s">
        <v>160</v>
      </c>
      <c r="E67" s="80" t="s">
        <v>228</v>
      </c>
      <c r="F67" s="80">
        <v>26042907</v>
      </c>
      <c r="G67" s="44"/>
      <c r="H67" s="80" t="str">
        <f>IF(B67="","",VLOOKUP(AD67,Varsayımlar!$B:$Q,5,0))</f>
        <v>Tortillas Avrupa 25cm (698)</v>
      </c>
      <c r="I67" s="80">
        <f>IF(B67="","",VLOOKUP(AD67,Varsayımlar!B:T,19,0))</f>
        <v>0</v>
      </c>
      <c r="J67" s="80" t="str">
        <f>IF(B67="","",VLOOKUP(AD67,Varsayımlar!$B:$Q,6,0))</f>
        <v>SADE</v>
      </c>
      <c r="K67" s="80">
        <v>720</v>
      </c>
      <c r="L67" s="80"/>
      <c r="M67" s="80">
        <f>IFERROR(IF(B67="","",K67/VLOOKUP(AD67,Varsayımlar!B:R,17,0)),"")</f>
        <v>6</v>
      </c>
      <c r="N67" s="80"/>
      <c r="O67" s="80">
        <v>7</v>
      </c>
      <c r="P67" s="80">
        <f>IF(B67="","",VLOOKUP(AD67,Varsayımlar!$B:$Q,7,0)*K67)</f>
        <v>5760</v>
      </c>
      <c r="Q67" s="80">
        <f>IF(B67="","",VLOOKUP(AD67,Varsayımlar!$B:$Q,8,0))</f>
        <v>25</v>
      </c>
      <c r="R67" s="80" t="str">
        <f>IF(B67="","",VLOOKUP(AD67,Varsayımlar!$B:$Q,9,0))</f>
        <v>Irak Soft</v>
      </c>
      <c r="S67" s="80">
        <f>IF(B67="","",VLOOKUP(AD67,Varsayımlar!$B:$Q,10,0))</f>
        <v>10</v>
      </c>
      <c r="T67" s="80">
        <f>IF(B67="","",VLOOKUP(AD67,Varsayımlar!$B:$Q,11,0))</f>
        <v>8</v>
      </c>
      <c r="U67" s="80">
        <f>IF(B67="","",VLOOKUP(AD67,Varsayımlar!$B:$Q,12,0))</f>
        <v>650</v>
      </c>
      <c r="V67" s="80" t="str">
        <f>IF(B67="","",VLOOKUP(AD67,Varsayımlar!$B:$Q,13,0))</f>
        <v>Yurtdışı</v>
      </c>
      <c r="W67" s="80">
        <f>IF(B67="","",VLOOKUP(AD67,Varsayımlar!$B:$Q,14,0))</f>
        <v>9</v>
      </c>
      <c r="X67" s="81">
        <v>46203</v>
      </c>
      <c r="Y67" s="81">
        <v>46476</v>
      </c>
      <c r="Z67" s="80">
        <v>26063025</v>
      </c>
      <c r="AA67" s="80" t="str">
        <f>IF(B67="","",VLOOKUP(AD67,Varsayımlar!$B:$Q,15,0))</f>
        <v>25cm Perforeli-Bulgarca etiket</v>
      </c>
      <c r="AB67" s="80" t="str">
        <f>IF(B67="","",VLOOKUP(AD67,Varsayımlar!$B:$Q,16,0))</f>
        <v>24-26 cm</v>
      </c>
      <c r="AC67" s="80" t="str">
        <f>IF(B67="","",VLOOKUP(Sayfa1!AD56,Varsayımlar!B:S,18,0))</f>
        <v>80x120cm -Epal+Epal</v>
      </c>
      <c r="AD67" s="57" t="str">
        <f t="shared" si="4"/>
        <v>TASTE LAND-BULGARİSTANTortillas 25cm Sade 10pcs 650g</v>
      </c>
    </row>
    <row r="68" spans="1:30" ht="47.25" x14ac:dyDescent="0.25">
      <c r="A68" s="8" t="s">
        <v>84</v>
      </c>
      <c r="B68" s="54" t="s">
        <v>268</v>
      </c>
      <c r="C68" s="39">
        <f>IF(B68="","",VLOOKUP(AD68,Varsayımlar!$B:$Q,3,0))</f>
        <v>8698829380698</v>
      </c>
      <c r="D68" s="39" t="s">
        <v>160</v>
      </c>
      <c r="E68" s="54" t="s">
        <v>342</v>
      </c>
      <c r="F68" s="54" t="s">
        <v>343</v>
      </c>
      <c r="G68" s="39" t="s">
        <v>68</v>
      </c>
      <c r="H68" s="54" t="str">
        <f>IF(B68="","",VLOOKUP(AD68,Varsayımlar!$B:$Q,5,0))</f>
        <v>Tortillas 25cm Sade</v>
      </c>
      <c r="I68" s="54">
        <f>IF(B68="","",VLOOKUP(AD68,Varsayımlar!B:T,19,0))</f>
        <v>0</v>
      </c>
      <c r="J68" s="54" t="str">
        <f>IF(B68="","",VLOOKUP(AD68,Varsayımlar!$B:$Q,6,0))</f>
        <v>SADE</v>
      </c>
      <c r="K68" s="54">
        <v>420</v>
      </c>
      <c r="L68" s="54"/>
      <c r="M68" s="54">
        <f>IFERROR(IF(B68="","",K68/VLOOKUP(AD68,Varsayımlar!B:R,17,0)),"")</f>
        <v>5</v>
      </c>
      <c r="N68" s="54"/>
      <c r="O68" s="54">
        <v>7</v>
      </c>
      <c r="P68" s="54">
        <f>IF(B68="","",VLOOKUP(AD68,Varsayımlar!$B:$Q,7,0)*K68)</f>
        <v>12600</v>
      </c>
      <c r="Q68" s="54">
        <f>IF(B68="","",VLOOKUP(AD68,Varsayımlar!$B:$Q,8,0))</f>
        <v>25</v>
      </c>
      <c r="R68" s="54" t="str">
        <f>IF(B68="","",VLOOKUP(AD68,Varsayımlar!$B:$Q,9,0))</f>
        <v>Soft-PA3</v>
      </c>
      <c r="S68" s="54">
        <f>IF(B68="","",VLOOKUP(AD68,Varsayımlar!$B:$Q,10,0))</f>
        <v>4</v>
      </c>
      <c r="T68" s="54">
        <f>IF(B68="","",VLOOKUP(AD68,Varsayımlar!$B:$Q,11,0))</f>
        <v>30</v>
      </c>
      <c r="U68" s="54">
        <f>IF(B68="","",VLOOKUP(AD68,Varsayımlar!$B:$Q,12,0))</f>
        <v>240</v>
      </c>
      <c r="V68" s="54" t="str">
        <f>IF(B68="","",VLOOKUP(AD68,Varsayımlar!$B:$Q,13,0))</f>
        <v>Yurtdışı</v>
      </c>
      <c r="W68" s="54">
        <f>IF(B68="","",VLOOKUP(AD68,Varsayımlar!$B:$Q,14,0))</f>
        <v>12</v>
      </c>
      <c r="X68" s="56">
        <v>46205</v>
      </c>
      <c r="Y68" s="56">
        <v>46570</v>
      </c>
      <c r="Z68" s="54">
        <v>26070225</v>
      </c>
      <c r="AA68" s="54" t="str">
        <f>IF(B68="","",VLOOKUP(AD68,Varsayımlar!$B:$Q,15,0))</f>
        <v>25cm Kolisi-Etiketli</v>
      </c>
      <c r="AB68" s="54" t="str">
        <f>IF(B68="","",VLOOKUP(AD68,Varsayımlar!$B:$Q,16,0))</f>
        <v>24-26 cm (Macca Hetto Inkjet Uzun Tarih)</v>
      </c>
      <c r="AC68" s="54" t="str">
        <f>IF(B68="","",VLOOKUP(Sayfa1!AD35,Varsayımlar!B:S,18,0))</f>
        <v>80x120cm</v>
      </c>
      <c r="AD68" s="57" t="str">
        <f>IF(B68="","",CONCATENATE(B68,E68))</f>
        <v>LAIKYUZHN-BELARUSTortillas 25cm Sade 4pcs 240g</v>
      </c>
    </row>
    <row r="69" spans="1:30" s="94" customFormat="1" ht="58.5" customHeight="1" x14ac:dyDescent="0.25">
      <c r="A69" s="8" t="s">
        <v>85</v>
      </c>
      <c r="B69" s="104" t="s">
        <v>119</v>
      </c>
      <c r="C69" s="105">
        <f>IF(B69="","",VLOOKUP(AD69,Varsayımlar!$B:$Q,3,0))</f>
        <v>8698829380698</v>
      </c>
      <c r="D69" s="105"/>
      <c r="E69" s="106" t="s">
        <v>120</v>
      </c>
      <c r="F69" s="104"/>
      <c r="G69" s="104"/>
      <c r="H69" s="104" t="str">
        <f>IF(B69="","",VLOOKUP(AD69,Varsayımlar!$B:$Q,5,0))</f>
        <v>Nimet 25 cm</v>
      </c>
      <c r="I69" s="104"/>
      <c r="J69" s="104" t="str">
        <f>IF(B69="","",VLOOKUP(AD69,Varsayımlar!$B:$Q,6,0))</f>
        <v>SADE</v>
      </c>
      <c r="K69" s="104">
        <v>4000</v>
      </c>
      <c r="L69" s="104"/>
      <c r="M69" s="104">
        <f>IFERROR(IF(B69="","",K69/VLOOKUP(AD69,Varsayımlar!B:R,17,0)),"")</f>
        <v>80</v>
      </c>
      <c r="N69" s="104"/>
      <c r="O69" s="104">
        <v>68</v>
      </c>
      <c r="P69" s="104">
        <f>IF(B69="","",VLOOKUP(AD69,Varsayımlar!$B:$Q,7,0)*K69)</f>
        <v>48000</v>
      </c>
      <c r="Q69" s="104">
        <f>IF(B69="","",VLOOKUP(AD69,Varsayımlar!$B:$Q,8,0))</f>
        <v>25</v>
      </c>
      <c r="R69" s="104" t="str">
        <f>IF(B69="","",VLOOKUP(AD69,Varsayımlar!$B:$Q,9,0))</f>
        <v>Standart</v>
      </c>
      <c r="S69" s="104">
        <f>IF(B69="","",VLOOKUP(AD69,Varsayımlar!$B:$Q,10,0))</f>
        <v>12</v>
      </c>
      <c r="T69" s="104">
        <f>IF(B69="","",VLOOKUP(AD69,Varsayımlar!$B:$Q,11,0))</f>
        <v>12</v>
      </c>
      <c r="U69" s="104">
        <f>IF(B69="","",VLOOKUP(AD69,Varsayımlar!$B:$Q,12,0))</f>
        <v>840</v>
      </c>
      <c r="V69" s="104" t="str">
        <f>IF(B69="","",VLOOKUP(AD69,Varsayımlar!$B:$Q,13,0))</f>
        <v>YURTİÇİ</v>
      </c>
      <c r="W69" s="104">
        <f>IF(B69="","",VLOOKUP(AD69,Varsayımlar!$B:$Q,14,0))</f>
        <v>5</v>
      </c>
      <c r="X69" s="107" t="s">
        <v>113</v>
      </c>
      <c r="Y69" s="107" t="s">
        <v>113</v>
      </c>
      <c r="Z69" s="104" t="s">
        <v>113</v>
      </c>
      <c r="AA69" s="104" t="str">
        <f>IF(B69="","",VLOOKUP(AD69,Varsayımlar!$B:$Q,15,0))</f>
        <v>Nimet Kolisi</v>
      </c>
      <c r="AB69" s="104" t="str">
        <f>IF(B69="","",VLOOKUP(AD69,Varsayımlar!$B:$Q,16,0))</f>
        <v>24-26 CM</v>
      </c>
      <c r="AC69" s="104" t="s">
        <v>360</v>
      </c>
      <c r="AD69" s="93" t="str">
        <f t="shared" ref="AD69:AD76" si="5">IF(B69="","",CONCATENATE(B69,E69))</f>
        <v>A101Nimet 25cm 12 pcs 840g</v>
      </c>
    </row>
    <row r="70" spans="1:30" ht="31.5" x14ac:dyDescent="0.25">
      <c r="A70" s="8" t="s">
        <v>86</v>
      </c>
      <c r="B70" s="75" t="s">
        <v>218</v>
      </c>
      <c r="C70" s="43">
        <f>IF(B70="","",VLOOKUP(AD70,Varsayımlar!$B:$Q,3,0))</f>
        <v>8698829380698</v>
      </c>
      <c r="D70" s="43" t="s">
        <v>161</v>
      </c>
      <c r="E70" s="75" t="s">
        <v>228</v>
      </c>
      <c r="F70" s="75" t="s">
        <v>341</v>
      </c>
      <c r="G70" s="43"/>
      <c r="H70" s="75" t="str">
        <f>IF(B70="","",VLOOKUP(AD70,Varsayımlar!$B:$Q,5,0))</f>
        <v>Tortillas Avrupa 25cm (698)</v>
      </c>
      <c r="I70" s="75">
        <f>IF(B70="","",VLOOKUP(AD70,Varsayımlar!B:T,19,0))</f>
        <v>0</v>
      </c>
      <c r="J70" s="75" t="str">
        <f>IF(B70="","",VLOOKUP(AD70,Varsayımlar!$B:$Q,6,0))</f>
        <v>SADE</v>
      </c>
      <c r="K70" s="75">
        <v>720</v>
      </c>
      <c r="L70" s="75"/>
      <c r="M70" s="75">
        <f>IFERROR(IF(B70="","",K70/VLOOKUP(AD70,Varsayımlar!B:R,17,0)),"")</f>
        <v>6</v>
      </c>
      <c r="N70" s="75"/>
      <c r="O70" s="75">
        <v>7</v>
      </c>
      <c r="P70" s="75">
        <f>IF(B70="","",VLOOKUP(AD70,Varsayımlar!$B:$Q,7,0)*K70)</f>
        <v>5760</v>
      </c>
      <c r="Q70" s="75">
        <f>IF(B70="","",VLOOKUP(AD70,Varsayımlar!$B:$Q,8,0))</f>
        <v>25</v>
      </c>
      <c r="R70" s="75" t="str">
        <f>IF(B70="","",VLOOKUP(AD70,Varsayımlar!$B:$Q,9,0))</f>
        <v>Irak Soft</v>
      </c>
      <c r="S70" s="75">
        <f>IF(B70="","",VLOOKUP(AD70,Varsayımlar!$B:$Q,10,0))</f>
        <v>10</v>
      </c>
      <c r="T70" s="75">
        <f>IF(B70="","",VLOOKUP(AD70,Varsayımlar!$B:$Q,11,0))</f>
        <v>8</v>
      </c>
      <c r="U70" s="75">
        <f>IF(B70="","",VLOOKUP(AD70,Varsayımlar!$B:$Q,12,0))</f>
        <v>650</v>
      </c>
      <c r="V70" s="75" t="str">
        <f>IF(B70="","",VLOOKUP(AD70,Varsayımlar!$B:$Q,13,0))</f>
        <v>Yurtdışı</v>
      </c>
      <c r="W70" s="75">
        <f>IF(B70="","",VLOOKUP(AD70,Varsayımlar!$B:$Q,14,0))</f>
        <v>9</v>
      </c>
      <c r="X70" s="76"/>
      <c r="Y70" s="76"/>
      <c r="Z70" s="75"/>
      <c r="AA70" s="75" t="str">
        <f>IF(B70="","",VLOOKUP(AD70,Varsayımlar!$B:$Q,15,0))</f>
        <v>25cm Perforeli-Bulgarca etiket</v>
      </c>
      <c r="AB70" s="75" t="str">
        <f>IF(B70="","",VLOOKUP(AD70,Varsayımlar!$B:$Q,16,0))</f>
        <v>24-26 cm</v>
      </c>
      <c r="AC70" s="75" t="str">
        <f>IF(B70="","",VLOOKUP(Sayfa1!AD61,Varsayımlar!B:S,18,0))</f>
        <v>80x120cm -Epal+Epal</v>
      </c>
      <c r="AD70" s="57" t="str">
        <f t="shared" si="5"/>
        <v>TASTE LAND-BULGARİSTANTortillas 25cm Sade 10pcs 650g</v>
      </c>
    </row>
    <row r="71" spans="1:30" ht="47.25" x14ac:dyDescent="0.25">
      <c r="A71" s="8" t="s">
        <v>87</v>
      </c>
      <c r="B71" s="75" t="s">
        <v>218</v>
      </c>
      <c r="C71" s="43">
        <f>IF(B71="","",VLOOKUP(AD71,Varsayımlar!$B:$Q,3,0))</f>
        <v>8698829380698</v>
      </c>
      <c r="D71" s="43" t="s">
        <v>161</v>
      </c>
      <c r="E71" s="75" t="s">
        <v>250</v>
      </c>
      <c r="F71" s="75" t="s">
        <v>341</v>
      </c>
      <c r="G71" s="43"/>
      <c r="H71" s="75" t="str">
        <f>IF(B71="","",VLOOKUP(AD71,Varsayımlar!$B:$Q,5,0))</f>
        <v>Tortillas Avrupa 25cm (698)</v>
      </c>
      <c r="I71" s="75" t="str">
        <f>IF(B71="","",VLOOKUP(AD71,Varsayımlar!B:T,19,0))</f>
        <v>Barkod üzerine Barkod Etiketi (050)</v>
      </c>
      <c r="J71" s="75" t="str">
        <f>IF(B71="","",VLOOKUP(AD71,Varsayımlar!$B:$Q,6,0))</f>
        <v>SADE</v>
      </c>
      <c r="K71" s="75">
        <v>168</v>
      </c>
      <c r="L71" s="75"/>
      <c r="M71" s="75">
        <f>IFERROR(IF(B71="","",K71/VLOOKUP(AD71,Varsayımlar!B:R,17,0)),"")</f>
        <v>2</v>
      </c>
      <c r="N71" s="75"/>
      <c r="O71" s="75">
        <v>3</v>
      </c>
      <c r="P71" s="75">
        <f>IF(B71="","",VLOOKUP(AD71,Varsayımlar!$B:$Q,7,0)*K71)</f>
        <v>3024</v>
      </c>
      <c r="Q71" s="75">
        <f>IF(B71="","",VLOOKUP(AD71,Varsayımlar!$B:$Q,8,0))</f>
        <v>25</v>
      </c>
      <c r="R71" s="75" t="str">
        <f>IF(B71="","",VLOOKUP(AD71,Varsayımlar!$B:$Q,9,0))</f>
        <v>Irak Soft</v>
      </c>
      <c r="S71" s="75">
        <f>IF(B71="","",VLOOKUP(AD71,Varsayımlar!$B:$Q,10,0))</f>
        <v>6</v>
      </c>
      <c r="T71" s="75">
        <f>IF(B71="","",VLOOKUP(AD71,Varsayımlar!$B:$Q,11,0))</f>
        <v>18</v>
      </c>
      <c r="U71" s="75">
        <f>IF(B71="","",VLOOKUP(AD71,Varsayımlar!$B:$Q,12,0))</f>
        <v>390</v>
      </c>
      <c r="V71" s="75" t="str">
        <f>IF(B71="","",VLOOKUP(AD71,Varsayımlar!$B:$Q,13,0))</f>
        <v>Yurtdışı</v>
      </c>
      <c r="W71" s="75">
        <f>IF(B71="","",VLOOKUP(AD71,Varsayımlar!$B:$Q,14,0))</f>
        <v>9</v>
      </c>
      <c r="X71" s="76"/>
      <c r="Y71" s="76"/>
      <c r="Z71" s="75"/>
      <c r="AA71" s="75" t="str">
        <f>IF(B71="","",VLOOKUP(AD71,Varsayımlar!$B:$Q,15,0))</f>
        <v>25cm Kırmızı koli-Bulgarca Etiket</v>
      </c>
      <c r="AB71" s="75" t="str">
        <f>IF(B71="","",VLOOKUP(AD71,Varsayımlar!$B:$Q,16,0))</f>
        <v>24-26 cm</v>
      </c>
      <c r="AC71" s="75" t="str">
        <f>IF(B71="","",VLOOKUP(Sayfa1!AD62,Varsayımlar!B:S,18,0))</f>
        <v>80x120cm -Epal+Epal</v>
      </c>
      <c r="AD71" s="57" t="str">
        <f t="shared" si="5"/>
        <v>TASTE LAND-BULGARİSTANTortillas 25cm Sade 6pcs 390g</v>
      </c>
    </row>
    <row r="72" spans="1:30" x14ac:dyDescent="0.25">
      <c r="A72" s="8" t="s">
        <v>88</v>
      </c>
      <c r="B72" s="67"/>
      <c r="C72" s="42" t="str">
        <f>IF(B72="","",VLOOKUP(AD72,Varsayımlar!$B:$Q,3,0))</f>
        <v/>
      </c>
      <c r="D72" s="42"/>
      <c r="E72" s="42"/>
      <c r="F72" s="67"/>
      <c r="G72" s="67"/>
      <c r="H72" s="67" t="str">
        <f>IF(B72="","",VLOOKUP(AD72,Varsayımlar!$B:$Q,5,0))</f>
        <v/>
      </c>
      <c r="I72" s="67"/>
      <c r="J72" s="67" t="str">
        <f>IF(B72="","",VLOOKUP(AD72,Varsayımlar!$B:$Q,6,0))</f>
        <v/>
      </c>
      <c r="K72" s="67"/>
      <c r="L72" s="67"/>
      <c r="M72" s="67" t="str">
        <f>IFERROR(IF(B72="","",K72/VLOOKUP(AD72,Varsayımlar!B:R,17,0)),"")</f>
        <v/>
      </c>
      <c r="N72" s="67"/>
      <c r="O72" s="67"/>
      <c r="P72" s="67" t="str">
        <f>IF(B72="","",VLOOKUP(AD72,Varsayımlar!$B:$Q,7,0)*K72)</f>
        <v/>
      </c>
      <c r="Q72" s="67" t="str">
        <f>IF(B72="","",VLOOKUP(AD72,Varsayımlar!$B:$Q,8,0))</f>
        <v/>
      </c>
      <c r="R72" s="67" t="str">
        <f>IF(B72="","",VLOOKUP(AD72,Varsayımlar!$B:$Q,9,0))</f>
        <v/>
      </c>
      <c r="S72" s="67" t="str">
        <f>IF(B72="","",VLOOKUP(AD72,Varsayımlar!$B:$Q,10,0))</f>
        <v/>
      </c>
      <c r="T72" s="67" t="str">
        <f>IF(B72="","",VLOOKUP(AD72,Varsayımlar!$B:$Q,11,0))</f>
        <v/>
      </c>
      <c r="U72" s="67" t="str">
        <f>IF(B72="","",VLOOKUP(AD72,Varsayımlar!$B:$Q,12,0))</f>
        <v/>
      </c>
      <c r="V72" s="67" t="str">
        <f>IF(B72="","",VLOOKUP(AD72,Varsayımlar!$B:$Q,13,0))</f>
        <v/>
      </c>
      <c r="W72" s="67" t="str">
        <f>IF(B72="","",VLOOKUP(AD72,Varsayımlar!$B:$Q,14,0))</f>
        <v/>
      </c>
      <c r="X72" s="69"/>
      <c r="Y72" s="69"/>
      <c r="Z72" s="67"/>
      <c r="AA72" s="67" t="str">
        <f>IF(B72="","",VLOOKUP(AD72,Varsayımlar!$B:$Q,15,0))</f>
        <v/>
      </c>
      <c r="AB72" s="67" t="str">
        <f>IF(B72="","",VLOOKUP(AD72,Varsayımlar!$B:$Q,16,0))</f>
        <v/>
      </c>
      <c r="AC72" s="67"/>
      <c r="AD72" s="57" t="str">
        <f t="shared" si="5"/>
        <v/>
      </c>
    </row>
    <row r="73" spans="1:30" hidden="1" x14ac:dyDescent="0.25">
      <c r="A73" s="8" t="s">
        <v>89</v>
      </c>
      <c r="B73" s="67"/>
      <c r="C73" s="42" t="str">
        <f>IF(B73="","",VLOOKUP(AD73,Varsayımlar!$B:$Q,3,0))</f>
        <v/>
      </c>
      <c r="D73" s="42"/>
      <c r="E73" s="42"/>
      <c r="F73" s="67"/>
      <c r="G73" s="67"/>
      <c r="H73" s="67" t="str">
        <f>IF(B73="","",VLOOKUP(AD73,Varsayımlar!$B:$Q,5,0))</f>
        <v/>
      </c>
      <c r="I73" s="67"/>
      <c r="J73" s="67" t="str">
        <f>IF(B73="","",VLOOKUP(AD73,Varsayımlar!$B:$Q,6,0))</f>
        <v/>
      </c>
      <c r="K73" s="67"/>
      <c r="L73" s="67"/>
      <c r="M73" s="67" t="str">
        <f>IFERROR(IF(B73="","",K73/VLOOKUP(AD73,Varsayımlar!B:R,17,0)),"")</f>
        <v/>
      </c>
      <c r="N73" s="67"/>
      <c r="O73" s="67"/>
      <c r="P73" s="67" t="str">
        <f>IF(B73="","",VLOOKUP(AD73,Varsayımlar!$B:$Q,7,0)*K73)</f>
        <v/>
      </c>
      <c r="Q73" s="67" t="str">
        <f>IF(B73="","",VLOOKUP(AD73,Varsayımlar!$B:$Q,8,0))</f>
        <v/>
      </c>
      <c r="R73" s="67" t="str">
        <f>IF(B73="","",VLOOKUP(AD73,Varsayımlar!$B:$Q,9,0))</f>
        <v/>
      </c>
      <c r="S73" s="67" t="str">
        <f>IF(B73="","",VLOOKUP(AD73,Varsayımlar!$B:$Q,10,0))</f>
        <v/>
      </c>
      <c r="T73" s="67" t="str">
        <f>IF(B73="","",VLOOKUP(AD73,Varsayımlar!$B:$Q,11,0))</f>
        <v/>
      </c>
      <c r="U73" s="67" t="str">
        <f>IF(B73="","",VLOOKUP(AD73,Varsayımlar!$B:$Q,12,0))</f>
        <v/>
      </c>
      <c r="V73" s="67" t="str">
        <f>IF(B73="","",VLOOKUP(AD73,Varsayımlar!$B:$Q,13,0))</f>
        <v/>
      </c>
      <c r="W73" s="67" t="str">
        <f>IF(B73="","",VLOOKUP(AD73,Varsayımlar!$B:$Q,14,0))</f>
        <v/>
      </c>
      <c r="X73" s="69"/>
      <c r="Y73" s="69"/>
      <c r="Z73" s="67"/>
      <c r="AA73" s="67" t="str">
        <f>IF(B73="","",VLOOKUP(AD73,Varsayımlar!$B:$Q,15,0))</f>
        <v/>
      </c>
      <c r="AB73" s="67" t="str">
        <f>IF(B73="","",VLOOKUP(AD73,Varsayımlar!$B:$Q,16,0))</f>
        <v/>
      </c>
      <c r="AC73" s="67"/>
      <c r="AD73" s="57" t="str">
        <f t="shared" si="5"/>
        <v/>
      </c>
    </row>
    <row r="74" spans="1:30" hidden="1" x14ac:dyDescent="0.25">
      <c r="A74" s="8" t="s">
        <v>90</v>
      </c>
      <c r="B74" s="67"/>
      <c r="C74" s="42" t="str">
        <f>IF(B74="","",VLOOKUP(AD74,Varsayımlar!$B:$Q,3,0))</f>
        <v/>
      </c>
      <c r="D74" s="42"/>
      <c r="E74" s="42"/>
      <c r="F74" s="67"/>
      <c r="G74" s="67"/>
      <c r="H74" s="67" t="str">
        <f>IF(B74="","",VLOOKUP(AD74,Varsayımlar!$B:$Q,5,0))</f>
        <v/>
      </c>
      <c r="I74" s="67"/>
      <c r="J74" s="67" t="str">
        <f>IF(B74="","",VLOOKUP(AD74,Varsayımlar!$B:$Q,6,0))</f>
        <v/>
      </c>
      <c r="K74" s="67"/>
      <c r="L74" s="67"/>
      <c r="M74" s="67" t="str">
        <f>IFERROR(IF(B74="","",K74/VLOOKUP(AD74,Varsayımlar!B:R,17,0)),"")</f>
        <v/>
      </c>
      <c r="N74" s="67"/>
      <c r="O74" s="67"/>
      <c r="P74" s="67" t="str">
        <f>IF(B74="","",VLOOKUP(AD74,Varsayımlar!$B:$Q,7,0)*K74)</f>
        <v/>
      </c>
      <c r="Q74" s="67" t="str">
        <f>IF(B74="","",VLOOKUP(AD74,Varsayımlar!$B:$Q,8,0))</f>
        <v/>
      </c>
      <c r="R74" s="67" t="str">
        <f>IF(B74="","",VLOOKUP(AD74,Varsayımlar!$B:$Q,9,0))</f>
        <v/>
      </c>
      <c r="S74" s="67" t="str">
        <f>IF(B74="","",VLOOKUP(AD74,Varsayımlar!$B:$Q,10,0))</f>
        <v/>
      </c>
      <c r="T74" s="67" t="str">
        <f>IF(B74="","",VLOOKUP(AD74,Varsayımlar!$B:$Q,11,0))</f>
        <v/>
      </c>
      <c r="U74" s="67" t="str">
        <f>IF(B74="","",VLOOKUP(AD74,Varsayımlar!$B:$Q,12,0))</f>
        <v/>
      </c>
      <c r="V74" s="67" t="str">
        <f>IF(B74="","",VLOOKUP(AD74,Varsayımlar!$B:$Q,13,0))</f>
        <v/>
      </c>
      <c r="W74" s="67" t="str">
        <f>IF(B74="","",VLOOKUP(AD74,Varsayımlar!$B:$Q,14,0))</f>
        <v/>
      </c>
      <c r="X74" s="69"/>
      <c r="Y74" s="69"/>
      <c r="Z74" s="67"/>
      <c r="AA74" s="67" t="str">
        <f>IF(B74="","",VLOOKUP(AD74,Varsayımlar!$B:$Q,15,0))</f>
        <v/>
      </c>
      <c r="AB74" s="67" t="str">
        <f>IF(B74="","",VLOOKUP(AD74,Varsayımlar!$B:$Q,16,0))</f>
        <v/>
      </c>
      <c r="AC74" s="67"/>
      <c r="AD74" s="57" t="str">
        <f t="shared" si="5"/>
        <v/>
      </c>
    </row>
    <row r="75" spans="1:30" hidden="1" x14ac:dyDescent="0.25">
      <c r="A75" s="8" t="s">
        <v>91</v>
      </c>
      <c r="B75" s="67"/>
      <c r="C75" s="42" t="str">
        <f>IF(B75="","",VLOOKUP(AD75,Varsayımlar!$B:$Q,3,0))</f>
        <v/>
      </c>
      <c r="D75" s="42"/>
      <c r="E75" s="42"/>
      <c r="F75" s="67"/>
      <c r="G75" s="67"/>
      <c r="H75" s="67" t="str">
        <f>IF(B75="","",VLOOKUP(AD75,Varsayımlar!$B:$Q,5,0))</f>
        <v/>
      </c>
      <c r="I75" s="67"/>
      <c r="J75" s="67" t="str">
        <f>IF(B75="","",VLOOKUP(AD75,Varsayımlar!$B:$Q,6,0))</f>
        <v/>
      </c>
      <c r="K75" s="67"/>
      <c r="L75" s="67"/>
      <c r="M75" s="67" t="str">
        <f>IFERROR(IF(B75="","",K75/VLOOKUP(AD75,Varsayımlar!B:R,17,0)),"")</f>
        <v/>
      </c>
      <c r="N75" s="67"/>
      <c r="O75" s="67"/>
      <c r="P75" s="67" t="str">
        <f>IF(B75="","",VLOOKUP(AD75,Varsayımlar!$B:$Q,7,0)*K75)</f>
        <v/>
      </c>
      <c r="Q75" s="67" t="str">
        <f>IF(B75="","",VLOOKUP(AD75,Varsayımlar!$B:$Q,8,0))</f>
        <v/>
      </c>
      <c r="R75" s="67" t="str">
        <f>IF(B75="","",VLOOKUP(AD75,Varsayımlar!$B:$Q,9,0))</f>
        <v/>
      </c>
      <c r="S75" s="67" t="str">
        <f>IF(B75="","",VLOOKUP(AD75,Varsayımlar!$B:$Q,10,0))</f>
        <v/>
      </c>
      <c r="T75" s="67" t="str">
        <f>IF(B75="","",VLOOKUP(AD75,Varsayımlar!$B:$Q,11,0))</f>
        <v/>
      </c>
      <c r="U75" s="67" t="str">
        <f>IF(B75="","",VLOOKUP(AD75,Varsayımlar!$B:$Q,12,0))</f>
        <v/>
      </c>
      <c r="V75" s="67" t="str">
        <f>IF(B75="","",VLOOKUP(AD75,Varsayımlar!$B:$Q,13,0))</f>
        <v/>
      </c>
      <c r="W75" s="67" t="str">
        <f>IF(B75="","",VLOOKUP(AD75,Varsayımlar!$B:$Q,14,0))</f>
        <v/>
      </c>
      <c r="X75" s="69"/>
      <c r="Y75" s="69"/>
      <c r="Z75" s="67"/>
      <c r="AA75" s="67" t="str">
        <f>IF(B75="","",VLOOKUP(AD75,Varsayımlar!$B:$Q,15,0))</f>
        <v/>
      </c>
      <c r="AB75" s="67" t="str">
        <f>IF(B75="","",VLOOKUP(AD75,Varsayımlar!$B:$Q,16,0))</f>
        <v/>
      </c>
      <c r="AC75" s="67"/>
      <c r="AD75" s="57" t="str">
        <f t="shared" si="5"/>
        <v/>
      </c>
    </row>
    <row r="76" spans="1:30" x14ac:dyDescent="0.25">
      <c r="C76" s="53" t="str">
        <f>IF(B76="","",VLOOKUP(AD76,Varsayımlar!$B:$Q,3,0))</f>
        <v/>
      </c>
      <c r="H76" s="7" t="str">
        <f>IF(B76="","",VLOOKUP(AD76,Varsayımlar!$B:$Q,5,0))</f>
        <v/>
      </c>
      <c r="J76" s="7" t="str">
        <f>IF(B76="","",VLOOKUP(AD76,Varsayımlar!$B:$Q,6,0))</f>
        <v/>
      </c>
      <c r="P76" s="7" t="str">
        <f>IF(B76="","",VLOOKUP(AD76,Varsayımlar!$B:$Q,7,0)*K76)</f>
        <v/>
      </c>
      <c r="Q76" s="7" t="str">
        <f>IF(B76="","",VLOOKUP(AD76,Varsayımlar!$B:$Q,8,0))</f>
        <v/>
      </c>
      <c r="R76" s="7" t="str">
        <f>IF(B76="","",VLOOKUP(AD76,Varsayımlar!$B:$Q,9,0))</f>
        <v/>
      </c>
      <c r="S76" s="7" t="str">
        <f>IF(B76="","",VLOOKUP(AD76,Varsayımlar!$B:$Q,10,0))</f>
        <v/>
      </c>
      <c r="T76" s="7" t="str">
        <f>IF(B76="","",VLOOKUP(AD76,Varsayımlar!$B:$Q,11,0))</f>
        <v/>
      </c>
      <c r="U76" s="7" t="str">
        <f>IF(B76="","",VLOOKUP(AD76,Varsayımlar!$B:$Q,12,0))</f>
        <v/>
      </c>
      <c r="V76" s="7" t="str">
        <f>IF(B76="","",VLOOKUP(AD76,Varsayımlar!$B:$Q,13,0))</f>
        <v/>
      </c>
      <c r="W76" s="7" t="str">
        <f>IF(B76="","",VLOOKUP(AD76,Varsayımlar!$B:$Q,14,0))</f>
        <v/>
      </c>
      <c r="AA76" s="7" t="str">
        <f>IF(B76="","",VLOOKUP(AD76,Varsayımlar!$B:$Q,15,0))</f>
        <v/>
      </c>
      <c r="AB76" s="7" t="str">
        <f>IF(B76="","",VLOOKUP(AD76,Varsayımlar!$B:$Q,16,0))</f>
        <v/>
      </c>
      <c r="AD76" s="7" t="str">
        <f t="shared" si="5"/>
        <v/>
      </c>
    </row>
    <row r="77" spans="1:30" ht="31.5" customHeight="1" x14ac:dyDescent="0.25">
      <c r="A77" s="182" t="s">
        <v>345</v>
      </c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4"/>
      <c r="AC77" s="38"/>
    </row>
    <row r="78" spans="1:30" ht="63" x14ac:dyDescent="0.25">
      <c r="A78" s="8" t="s">
        <v>0</v>
      </c>
      <c r="B78" s="8" t="s">
        <v>1</v>
      </c>
      <c r="C78" s="9" t="s">
        <v>31</v>
      </c>
      <c r="D78" s="9" t="s">
        <v>124</v>
      </c>
      <c r="E78" s="9" t="s">
        <v>36</v>
      </c>
      <c r="F78" s="8" t="s">
        <v>37</v>
      </c>
      <c r="G78" s="8" t="s">
        <v>13</v>
      </c>
      <c r="H78" s="8" t="s">
        <v>2</v>
      </c>
      <c r="I78" s="8" t="s">
        <v>49</v>
      </c>
      <c r="J78" s="8" t="s">
        <v>3</v>
      </c>
      <c r="K78" s="8" t="s">
        <v>21</v>
      </c>
      <c r="L78" s="8" t="s">
        <v>94</v>
      </c>
      <c r="M78" s="8" t="s">
        <v>20</v>
      </c>
      <c r="N78" s="8" t="s">
        <v>165</v>
      </c>
      <c r="O78" s="8" t="s">
        <v>123</v>
      </c>
      <c r="P78" s="8" t="s">
        <v>16</v>
      </c>
      <c r="Q78" s="8" t="s">
        <v>4</v>
      </c>
      <c r="R78" s="8" t="s">
        <v>5</v>
      </c>
      <c r="S78" s="8" t="s">
        <v>6</v>
      </c>
      <c r="T78" s="8" t="s">
        <v>28</v>
      </c>
      <c r="U78" s="8" t="s">
        <v>7</v>
      </c>
      <c r="V78" s="8" t="s">
        <v>8</v>
      </c>
      <c r="W78" s="8" t="s">
        <v>9</v>
      </c>
      <c r="X78" s="8" t="s">
        <v>10</v>
      </c>
      <c r="Y78" s="8" t="s">
        <v>11</v>
      </c>
      <c r="Z78" s="8" t="s">
        <v>12</v>
      </c>
      <c r="AA78" s="8" t="s">
        <v>14</v>
      </c>
      <c r="AB78" s="8" t="s">
        <v>15</v>
      </c>
      <c r="AC78" s="8" t="s">
        <v>208</v>
      </c>
      <c r="AD78" s="7" t="s">
        <v>41</v>
      </c>
    </row>
    <row r="79" spans="1:30" ht="36" customHeight="1" x14ac:dyDescent="0.25">
      <c r="A79" s="8" t="s">
        <v>26</v>
      </c>
      <c r="B79" s="84" t="s">
        <v>119</v>
      </c>
      <c r="C79" s="83">
        <f>IF(B79="","",VLOOKUP(AD79,Varsayımlar!$B:$Q,3,0))</f>
        <v>8698829380698</v>
      </c>
      <c r="D79" s="83"/>
      <c r="E79" s="84" t="s">
        <v>120</v>
      </c>
      <c r="F79" s="84"/>
      <c r="G79" s="84"/>
      <c r="H79" s="84" t="str">
        <f>IF(B79="","",VLOOKUP(AD79,Varsayımlar!$B:$Q,5,0))</f>
        <v>Nimet 25 cm</v>
      </c>
      <c r="I79" s="84">
        <f>IF(B79="","",VLOOKUP(AD79,Varsayımlar!B:T,19,0))</f>
        <v>0</v>
      </c>
      <c r="J79" s="84" t="str">
        <f>IF(B79="","",VLOOKUP(AD79,Varsayımlar!$B:$Q,6,0))</f>
        <v>SADE</v>
      </c>
      <c r="K79" s="84">
        <v>4000</v>
      </c>
      <c r="L79" s="84"/>
      <c r="M79" s="84">
        <f>IFERROR(IF(B79="","",K79/VLOOKUP(AD79,Varsayımlar!B:R,17,0)),"")</f>
        <v>80</v>
      </c>
      <c r="N79" s="84">
        <v>50</v>
      </c>
      <c r="O79" s="84">
        <v>145</v>
      </c>
      <c r="P79" s="84">
        <f>IF(B79="","",VLOOKUP(AD79,Varsayımlar!$B:$Q,7,0)*K79)</f>
        <v>48000</v>
      </c>
      <c r="Q79" s="84">
        <f>IF(B79="","",VLOOKUP(AD79,Varsayımlar!$B:$Q,8,0))</f>
        <v>25</v>
      </c>
      <c r="R79" s="84" t="str">
        <f>IF(B79="","",VLOOKUP(AD79,Varsayımlar!$B:$Q,9,0))</f>
        <v>Standart</v>
      </c>
      <c r="S79" s="84">
        <f>IF(B79="","",VLOOKUP(AD79,Varsayımlar!$B:$Q,10,0))</f>
        <v>12</v>
      </c>
      <c r="T79" s="84">
        <f>IF(B79="","",VLOOKUP(AD79,Varsayımlar!$B:$Q,11,0))</f>
        <v>12</v>
      </c>
      <c r="U79" s="84">
        <f>IF(B79="","",VLOOKUP(AD79,Varsayımlar!$B:$Q,12,0))</f>
        <v>840</v>
      </c>
      <c r="V79" s="84" t="str">
        <f>IF(B79="","",VLOOKUP(AD79,Varsayımlar!$B:$Q,13,0))</f>
        <v>YURTİÇİ</v>
      </c>
      <c r="W79" s="84">
        <f>IF(B79="","",VLOOKUP(AD79,Varsayımlar!$B:$Q,14,0))</f>
        <v>5</v>
      </c>
      <c r="X79" s="85" t="s">
        <v>113</v>
      </c>
      <c r="Y79" s="85" t="s">
        <v>113</v>
      </c>
      <c r="Z79" s="85" t="s">
        <v>113</v>
      </c>
      <c r="AA79" s="84" t="str">
        <f>IF(B79="","",VLOOKUP(AD79,Varsayımlar!$B:$Q,15,0))</f>
        <v>Nimet Kolisi</v>
      </c>
      <c r="AB79" s="84" t="str">
        <f>IF(B79="","",VLOOKUP(AD79,Varsayımlar!$B:$Q,16,0))</f>
        <v>24-26 CM</v>
      </c>
      <c r="AC79" s="64">
        <f>IF(B79="","",VLOOKUP(Sayfa1!AD76,Varsayımlar!B:S,18,0))</f>
        <v>0</v>
      </c>
      <c r="AD79" s="57" t="str">
        <f>IF(B79="","",CONCATENATE(B79,E79))</f>
        <v>A101Nimet 25cm 12 pcs 840g</v>
      </c>
    </row>
    <row r="80" spans="1:30" ht="31.5" x14ac:dyDescent="0.25">
      <c r="A80" s="8" t="s">
        <v>77</v>
      </c>
      <c r="B80" s="54" t="s">
        <v>321</v>
      </c>
      <c r="C80" s="39">
        <f>IF(B80="","",VLOOKUP(AD80,Varsayımlar!$B:$Q,3,0))</f>
        <v>8698829380698</v>
      </c>
      <c r="D80" s="39"/>
      <c r="E80" s="54" t="s">
        <v>329</v>
      </c>
      <c r="F80" s="54"/>
      <c r="G80" s="54"/>
      <c r="H80" s="54" t="str">
        <f>IF(B80="","",VLOOKUP(AD80,Varsayımlar!$B:$Q,5,0))</f>
        <v>Baskısız 15 cm</v>
      </c>
      <c r="I80" s="54" t="str">
        <f>IF(B80="","",VLOOKUP(AD80,Varsayımlar!B:T,19,0))</f>
        <v>Lana 15cm 8pcs 220g Yuvarlak</v>
      </c>
      <c r="J80" s="54" t="str">
        <f>IF(B80="","",VLOOKUP(AD80,Varsayımlar!$B:$Q,6,0))</f>
        <v>SADE</v>
      </c>
      <c r="K80" s="54">
        <v>250</v>
      </c>
      <c r="L80" s="54">
        <v>9</v>
      </c>
      <c r="M80" s="54" t="str">
        <f>IFERROR(IF(B80="","",K80/VLOOKUP(AD80,Varsayımlar!B:R,17,0)),"")</f>
        <v/>
      </c>
      <c r="N80" s="54"/>
      <c r="O80" s="54">
        <v>8</v>
      </c>
      <c r="P80" s="54">
        <f>IF(B80="","",VLOOKUP(AD80,Varsayımlar!$B:$Q,7,0)*K80)</f>
        <v>3500</v>
      </c>
      <c r="Q80" s="54">
        <f>IF(B80="","",VLOOKUP(AD80,Varsayımlar!$B:$Q,8,0))</f>
        <v>15</v>
      </c>
      <c r="R80" s="54" t="str">
        <f>IF(B80="","",VLOOKUP(AD80,Varsayımlar!$B:$Q,9,0))</f>
        <v>Irak Soft</v>
      </c>
      <c r="S80" s="54">
        <f>IF(B80="","",VLOOKUP(AD80,Varsayımlar!$B:$Q,10,0))</f>
        <v>8</v>
      </c>
      <c r="T80" s="54">
        <f>IF(B80="","",VLOOKUP(AD80,Varsayımlar!$B:$Q,11,0))</f>
        <v>14</v>
      </c>
      <c r="U80" s="54">
        <f>IF(B80="","",VLOOKUP(AD80,Varsayımlar!$B:$Q,12,0))</f>
        <v>220</v>
      </c>
      <c r="V80" s="54" t="str">
        <f>IF(B80="","",VLOOKUP(AD80,Varsayımlar!$B:$Q,13,0))</f>
        <v>Yurtdışı</v>
      </c>
      <c r="W80" s="54">
        <f>IF(B80="","",VLOOKUP(AD80,Varsayımlar!$B:$Q,14,0))</f>
        <v>6</v>
      </c>
      <c r="X80" s="56">
        <v>46185</v>
      </c>
      <c r="Y80" s="56">
        <v>46368</v>
      </c>
      <c r="Z80" s="54">
        <v>26061215</v>
      </c>
      <c r="AA80" s="54" t="str">
        <f>IF(B80="","",VLOOKUP(AD80,Varsayımlar!$B:$Q,15,0))</f>
        <v>15cm koli</v>
      </c>
      <c r="AB80" s="54" t="str">
        <f>IF(B80="","",VLOOKUP(AD80,Varsayımlar!$B:$Q,16,0))</f>
        <v>24-26 cm (Inkjet ile Bilgiler Atılacak)</v>
      </c>
      <c r="AC80" s="64">
        <f>IF(B80="","",VLOOKUP(Sayfa1!AD75,Varsayımlar!B:S,18,0))</f>
        <v>0</v>
      </c>
      <c r="AD80" s="57" t="str">
        <f t="shared" ref="AD80:AD96" si="6">IF(B80="","",CONCATENATE(B80,E80))</f>
        <v>Gülbahar CompanyBaskısız 15cm Sade 8pcs 220g</v>
      </c>
    </row>
    <row r="81" spans="1:30" ht="26.25" customHeight="1" x14ac:dyDescent="0.25">
      <c r="A81" s="8" t="s">
        <v>78</v>
      </c>
      <c r="B81" s="67" t="s">
        <v>119</v>
      </c>
      <c r="C81" s="42">
        <v>8698829380698</v>
      </c>
      <c r="D81" s="42"/>
      <c r="E81" s="42" t="s">
        <v>120</v>
      </c>
      <c r="F81" s="67"/>
      <c r="G81" s="42"/>
      <c r="H81" s="67" t="s">
        <v>121</v>
      </c>
      <c r="I81" s="67">
        <v>0</v>
      </c>
      <c r="J81" s="67" t="s">
        <v>19</v>
      </c>
      <c r="K81" s="67">
        <v>4000</v>
      </c>
      <c r="L81" s="67"/>
      <c r="M81" s="67">
        <v>80</v>
      </c>
      <c r="N81" s="67">
        <v>50</v>
      </c>
      <c r="O81" s="67">
        <v>145</v>
      </c>
      <c r="P81" s="67">
        <v>48000</v>
      </c>
      <c r="Q81" s="67">
        <v>25</v>
      </c>
      <c r="R81" s="67" t="s">
        <v>116</v>
      </c>
      <c r="S81" s="67">
        <v>12</v>
      </c>
      <c r="T81" s="67">
        <v>12</v>
      </c>
      <c r="U81" s="67">
        <v>840</v>
      </c>
      <c r="V81" s="67" t="s">
        <v>72</v>
      </c>
      <c r="W81" s="67">
        <v>5</v>
      </c>
      <c r="X81" s="69" t="s">
        <v>113</v>
      </c>
      <c r="Y81" s="69" t="s">
        <v>113</v>
      </c>
      <c r="Z81" s="67" t="s">
        <v>113</v>
      </c>
      <c r="AA81" s="67" t="s">
        <v>122</v>
      </c>
      <c r="AB81" s="67" t="s">
        <v>25</v>
      </c>
      <c r="AC81" s="67">
        <v>0</v>
      </c>
      <c r="AD81" s="57" t="s">
        <v>387</v>
      </c>
    </row>
    <row r="82" spans="1:30" ht="47.25" x14ac:dyDescent="0.25">
      <c r="A82" s="8" t="s">
        <v>79</v>
      </c>
      <c r="B82" s="67" t="s">
        <v>268</v>
      </c>
      <c r="C82" s="42">
        <f>IF(B82="","",VLOOKUP(AD82,Varsayımlar!$B:$Q,3,0))</f>
        <v>8698829380698</v>
      </c>
      <c r="D82" s="42" t="s">
        <v>159</v>
      </c>
      <c r="E82" s="42" t="s">
        <v>244</v>
      </c>
      <c r="F82" s="67">
        <v>20250825</v>
      </c>
      <c r="G82" s="42" t="s">
        <v>68</v>
      </c>
      <c r="H82" s="67" t="str">
        <f>IF(B82="","",VLOOKUP(AD82,Varsayımlar!$B:$Q,5,0))</f>
        <v xml:space="preserve">Tortillas Pizza 26cm </v>
      </c>
      <c r="I82" s="67">
        <f>IF(B82="","",VLOOKUP(AD82,Varsayımlar!B:T,19,0))</f>
        <v>0</v>
      </c>
      <c r="J82" s="67" t="str">
        <f>IF(B82="","",VLOOKUP(AD82,Varsayımlar!$B:$Q,6,0))</f>
        <v>SADE</v>
      </c>
      <c r="K82" s="67">
        <v>960</v>
      </c>
      <c r="L82" s="67"/>
      <c r="M82" s="67">
        <f>IFERROR(IF(B82="","",K82/VLOOKUP(AD82,Varsayımlar!B:R,17,0)),"")</f>
        <v>5</v>
      </c>
      <c r="N82" s="67"/>
      <c r="O82" s="67">
        <v>11</v>
      </c>
      <c r="P82" s="67">
        <f>IF(B82="","",VLOOKUP(AD82,Varsayımlar!$B:$Q,7,0)*K82)</f>
        <v>11520</v>
      </c>
      <c r="Q82" s="67">
        <f>IF(B82="","",VLOOKUP(AD82,Varsayımlar!$B:$Q,8,0))</f>
        <v>26</v>
      </c>
      <c r="R82" s="67" t="str">
        <f>IF(B82="","",VLOOKUP(AD82,Varsayımlar!$B:$Q,9,0))</f>
        <v>Soft-PA3</v>
      </c>
      <c r="S82" s="67">
        <f>IF(B82="","",VLOOKUP(AD82,Varsayımlar!$B:$Q,10,0))</f>
        <v>2</v>
      </c>
      <c r="T82" s="67">
        <f>IF(B82="","",VLOOKUP(AD82,Varsayımlar!$B:$Q,11,0))</f>
        <v>12</v>
      </c>
      <c r="U82" s="67">
        <f>IF(B82="","",VLOOKUP(AD82,Varsayımlar!$B:$Q,12,0))</f>
        <v>240</v>
      </c>
      <c r="V82" s="67" t="str">
        <f>IF(B82="","",VLOOKUP(AD82,Varsayımlar!$B:$Q,13,0))</f>
        <v>Yurtdışı</v>
      </c>
      <c r="W82" s="67">
        <f>IF(B82="","",VLOOKUP(AD82,Varsayımlar!$B:$Q,14,0))</f>
        <v>9</v>
      </c>
      <c r="X82" s="69">
        <v>46199</v>
      </c>
      <c r="Y82" s="69">
        <v>46472</v>
      </c>
      <c r="Z82" s="67">
        <v>26062626</v>
      </c>
      <c r="AA82" s="67" t="str">
        <f>IF(B82="","",VLOOKUP(AD82,Varsayımlar!$B:$Q,15,0))</f>
        <v>26 cm pizza kolisi-Etiketli</v>
      </c>
      <c r="AB82" s="67" t="str">
        <f>IF(B82="","",VLOOKUP(AD82,Varsayımlar!$B:$Q,16,0))</f>
        <v>24-26 cm (Macca Hetto Inkjet Uzun Tarih)</v>
      </c>
      <c r="AC82" s="67" t="e">
        <f>IF(B82="","",VLOOKUP(Sayfa1!AD83,Varsayımlar!B:S,18,0))</f>
        <v>#N/A</v>
      </c>
      <c r="AD82" s="57" t="str">
        <f>IF(B82="","",CONCATENATE(B82,E82))</f>
        <v>LAIKYUZHN-BELARUSTortillas Pizza 26cm 4pcs 480g</v>
      </c>
    </row>
    <row r="83" spans="1:30" ht="94.5" x14ac:dyDescent="0.25">
      <c r="A83" s="8" t="s">
        <v>80</v>
      </c>
      <c r="B83" s="62" t="s">
        <v>181</v>
      </c>
      <c r="C83" s="32">
        <f>IF(B83="","",VLOOKUP(AD83,Varsayımlar!$B:$Q,3,0))</f>
        <v>8698829380698</v>
      </c>
      <c r="D83" s="32"/>
      <c r="E83" s="62" t="s">
        <v>206</v>
      </c>
      <c r="F83" s="62">
        <v>26060101</v>
      </c>
      <c r="G83" s="32"/>
      <c r="H83" s="62" t="str">
        <f>IF(B83="","",VLOOKUP(AD83,Varsayımlar!$B:$Q,5,0))</f>
        <v>Pizza-6 26 cm</v>
      </c>
      <c r="I83" s="62" t="str">
        <f>IF(B83="","",VLOOKUP(AD83,Varsayımlar!B:T,19,0))</f>
        <v>Arka kısma Arnavutça içerik-Pizza 6</v>
      </c>
      <c r="J83" s="62" t="str">
        <f>IF(B83="","",VLOOKUP(AD83,Varsayımlar!$B:$Q,6,0))</f>
        <v>SADE</v>
      </c>
      <c r="K83" s="62">
        <v>120</v>
      </c>
      <c r="L83" s="62"/>
      <c r="M83" s="62">
        <f>IFERROR(IF(B83="","",K83/VLOOKUP(AD83,Varsayımlar!B:R,17,0)),"")</f>
        <v>1</v>
      </c>
      <c r="N83" s="62"/>
      <c r="O83" s="62">
        <v>2</v>
      </c>
      <c r="P83" s="62">
        <f>IF(B83="","",VLOOKUP(AD83,Varsayımlar!$B:$Q,7,0)*K83)</f>
        <v>720</v>
      </c>
      <c r="Q83" s="62">
        <f>IF(B83="","",VLOOKUP(AD83,Varsayımlar!$B:$Q,8,0))</f>
        <v>26</v>
      </c>
      <c r="R83" s="62" t="str">
        <f>IF(B83="","",VLOOKUP(AD83,Varsayımlar!$B:$Q,9,0))</f>
        <v>Irak Soft</v>
      </c>
      <c r="S83" s="62">
        <f>IF(B83="","",VLOOKUP(AD83,Varsayımlar!$B:$Q,10,0))</f>
        <v>4</v>
      </c>
      <c r="T83" s="62">
        <f>IF(B83="","",VLOOKUP(AD83,Varsayımlar!$B:$Q,11,0))</f>
        <v>6</v>
      </c>
      <c r="U83" s="62">
        <f>IF(B83="","",VLOOKUP(AD83,Varsayımlar!$B:$Q,12,0))</f>
        <v>480</v>
      </c>
      <c r="V83" s="62" t="str">
        <f>IF(B83="","",VLOOKUP(AD83,Varsayımlar!$B:$Q,13,0))</f>
        <v>YURTDIŞI</v>
      </c>
      <c r="W83" s="62">
        <f>IF(B83="","",VLOOKUP(AD83,Varsayımlar!$B:$Q,14,0))</f>
        <v>12</v>
      </c>
      <c r="X83" s="63">
        <v>46200</v>
      </c>
      <c r="Y83" s="63">
        <v>46565</v>
      </c>
      <c r="Z83" s="62">
        <v>26062726</v>
      </c>
      <c r="AA83" s="62" t="str">
        <f>IF(B83="","",VLOOKUP(AD83,Varsayımlar!$B:$Q,15,0))</f>
        <v>Pizza kolisi</v>
      </c>
      <c r="AB83" s="62" t="str">
        <f>IF(B83="","",VLOOKUP(AD83,Varsayımlar!$B:$Q,16,0))</f>
        <v>26 cm kesme -Beze 145-150g, Kesilmmeiş çap 27-28cm, Kesilmemiş ağı: 520-540g, Kesilmiş:475-485g</v>
      </c>
      <c r="AC83" s="62">
        <f>IF(B83="","",VLOOKUP(Sayfa1!AD84,Varsayımlar!B:S,18,0))</f>
        <v>0</v>
      </c>
      <c r="AD83" s="57" t="str">
        <f>IF(B83="","",CONCATENATE(B83,E83))</f>
        <v>ALDİ - KOSOVAPizza-6 26cm 4pcs 480g</v>
      </c>
    </row>
    <row r="84" spans="1:30" ht="94.5" x14ac:dyDescent="0.25">
      <c r="A84" s="8" t="s">
        <v>81</v>
      </c>
      <c r="B84" s="80" t="s">
        <v>218</v>
      </c>
      <c r="C84" s="44">
        <f>IF(B84="","",VLOOKUP(AD84,Varsayımlar!$B:$Q,3,0))</f>
        <v>8698829380698</v>
      </c>
      <c r="D84" s="44" t="s">
        <v>160</v>
      </c>
      <c r="E84" s="80" t="s">
        <v>244</v>
      </c>
      <c r="F84" s="80">
        <v>26042907</v>
      </c>
      <c r="G84" s="44"/>
      <c r="H84" s="80" t="str">
        <f>IF(B84="","",VLOOKUP(AD84,Varsayımlar!$B:$Q,5,0))</f>
        <v>Tortillas Avrupa Pizza 26cm (742)</v>
      </c>
      <c r="I84" s="80">
        <f>IF(B84="","",VLOOKUP(AD84,Varsayımlar!B:T,19,0))</f>
        <v>0</v>
      </c>
      <c r="J84" s="80" t="str">
        <f>IF(B84="","",VLOOKUP(AD84,Varsayımlar!$B:$Q,6,0))</f>
        <v>SADE</v>
      </c>
      <c r="K84" s="80">
        <v>720</v>
      </c>
      <c r="L84" s="80"/>
      <c r="M84" s="80">
        <f>IFERROR(IF(B84="","",K84/VLOOKUP(AD84,Varsayımlar!B:R,17,0)),"")</f>
        <v>6</v>
      </c>
      <c r="N84" s="80"/>
      <c r="O84" s="80">
        <v>9</v>
      </c>
      <c r="P84" s="80">
        <f>IF(B84="","",VLOOKUP(AD84,Varsayımlar!$B:$Q,7,0)*K84)</f>
        <v>5760</v>
      </c>
      <c r="Q84" s="80">
        <f>IF(B84="","",VLOOKUP(AD84,Varsayımlar!$B:$Q,8,0))</f>
        <v>26</v>
      </c>
      <c r="R84" s="80" t="str">
        <f>IF(B84="","",VLOOKUP(AD84,Varsayımlar!$B:$Q,9,0))</f>
        <v>Irak Soft</v>
      </c>
      <c r="S84" s="80">
        <f>IF(B84="","",VLOOKUP(AD84,Varsayımlar!$B:$Q,10,0))</f>
        <v>4</v>
      </c>
      <c r="T84" s="80">
        <f>IF(B84="","",VLOOKUP(AD84,Varsayımlar!$B:$Q,11,0))</f>
        <v>8</v>
      </c>
      <c r="U84" s="80">
        <f>IF(B84="","",VLOOKUP(AD84,Varsayımlar!$B:$Q,12,0))</f>
        <v>480</v>
      </c>
      <c r="V84" s="80" t="str">
        <f>IF(B84="","",VLOOKUP(AD84,Varsayımlar!$B:$Q,13,0))</f>
        <v>Yurtdışı</v>
      </c>
      <c r="W84" s="80">
        <f>IF(B84="","",VLOOKUP(AD84,Varsayımlar!$B:$Q,14,0))</f>
        <v>9</v>
      </c>
      <c r="X84" s="81">
        <v>46203</v>
      </c>
      <c r="Y84" s="81">
        <v>46476</v>
      </c>
      <c r="Z84" s="80">
        <v>26063026</v>
      </c>
      <c r="AA84" s="80" t="str">
        <f>IF(B84="","",VLOOKUP(AD84,Varsayımlar!$B:$Q,15,0))</f>
        <v>26cm Pizza Perforeli-Bulgarca Etiket</v>
      </c>
      <c r="AB84" s="80" t="str">
        <f>IF(B84="","",VLOOKUP(AD84,Varsayımlar!$B:$Q,16,0))</f>
        <v>26 cm kesme -Beze 145-150g, Kesilmmeiş çap 27-28cm, Kesilmemiş ağı: 520-540g, Kesilmiş:475-485g</v>
      </c>
      <c r="AC84" s="80" t="str">
        <f>IF(B84="","",VLOOKUP(Sayfa1!AD80,Varsayımlar!B:S,18,0))</f>
        <v>80x120cm -Epal+Epal</v>
      </c>
      <c r="AD84" s="57" t="str">
        <f t="shared" si="6"/>
        <v>TASTE LAND-BULGARİSTANTortillas Pizza 26cm 4pcs 480g</v>
      </c>
    </row>
    <row r="85" spans="1:30" ht="47.25" x14ac:dyDescent="0.25">
      <c r="A85" s="8" t="s">
        <v>82</v>
      </c>
      <c r="B85" s="54" t="s">
        <v>268</v>
      </c>
      <c r="C85" s="39">
        <f>IF(B85="","",VLOOKUP(AD85,Varsayımlar!$B:$Q,3,0))</f>
        <v>8698829380698</v>
      </c>
      <c r="D85" s="39" t="s">
        <v>160</v>
      </c>
      <c r="E85" s="39" t="s">
        <v>244</v>
      </c>
      <c r="F85" s="54" t="s">
        <v>343</v>
      </c>
      <c r="G85" s="39" t="s">
        <v>68</v>
      </c>
      <c r="H85" s="54" t="str">
        <f>IF(B85="","",VLOOKUP(AD85,Varsayımlar!$B:$Q,5,0))</f>
        <v xml:space="preserve">Tortillas Pizza 26cm </v>
      </c>
      <c r="I85" s="54">
        <f>IF(B85="","",VLOOKUP(AD85,Varsayımlar!B:T,19,0))</f>
        <v>0</v>
      </c>
      <c r="J85" s="54" t="str">
        <f>IF(B85="","",VLOOKUP(AD85,Varsayımlar!$B:$Q,6,0))</f>
        <v>SADE</v>
      </c>
      <c r="K85" s="54">
        <v>768</v>
      </c>
      <c r="L85" s="54"/>
      <c r="M85" s="54">
        <f>IFERROR(IF(B85="","",K85/VLOOKUP(AD85,Varsayımlar!B:R,17,0)),"")</f>
        <v>4</v>
      </c>
      <c r="N85" s="54"/>
      <c r="O85" s="54">
        <v>9</v>
      </c>
      <c r="P85" s="54">
        <f>IF(B85="","",VLOOKUP(AD85,Varsayımlar!$B:$Q,7,0)*K85)</f>
        <v>9216</v>
      </c>
      <c r="Q85" s="54">
        <f>IF(B85="","",VLOOKUP(AD85,Varsayımlar!$B:$Q,8,0))</f>
        <v>26</v>
      </c>
      <c r="R85" s="54" t="str">
        <f>IF(B85="","",VLOOKUP(AD85,Varsayımlar!$B:$Q,9,0))</f>
        <v>Soft-PA3</v>
      </c>
      <c r="S85" s="54">
        <f>IF(B85="","",VLOOKUP(AD85,Varsayımlar!$B:$Q,10,0))</f>
        <v>2</v>
      </c>
      <c r="T85" s="54">
        <f>IF(B85="","",VLOOKUP(AD85,Varsayımlar!$B:$Q,11,0))</f>
        <v>12</v>
      </c>
      <c r="U85" s="54">
        <f>IF(B85="","",VLOOKUP(AD85,Varsayımlar!$B:$Q,12,0))</f>
        <v>240</v>
      </c>
      <c r="V85" s="54" t="str">
        <f>IF(B85="","",VLOOKUP(AD85,Varsayımlar!$B:$Q,13,0))</f>
        <v>Yurtdışı</v>
      </c>
      <c r="W85" s="54">
        <f>IF(B85="","",VLOOKUP(AD85,Varsayımlar!$B:$Q,14,0))</f>
        <v>9</v>
      </c>
      <c r="X85" s="56">
        <v>46205</v>
      </c>
      <c r="Y85" s="56">
        <v>46479</v>
      </c>
      <c r="Z85" s="54">
        <v>26070226</v>
      </c>
      <c r="AA85" s="54" t="str">
        <f>IF(B85="","",VLOOKUP(AD85,Varsayımlar!$B:$Q,15,0))</f>
        <v>26 cm pizza kolisi-Etiketli</v>
      </c>
      <c r="AB85" s="54" t="str">
        <f>IF(B85="","",VLOOKUP(AD85,Varsayımlar!$B:$Q,16,0))</f>
        <v>24-26 cm (Macca Hetto Inkjet Uzun Tarih)</v>
      </c>
      <c r="AC85" s="54" t="e">
        <f>IF(B85="","",VLOOKUP(Sayfa1!AD83,Varsayımlar!B:S,18,0))</f>
        <v>#N/A</v>
      </c>
      <c r="AD85" s="57" t="str">
        <f>IF(B85="","",CONCATENATE(B85,E85))</f>
        <v>LAIKYUZHN-BELARUSTortillas Pizza 26cm 4pcs 480g</v>
      </c>
    </row>
    <row r="86" spans="1:30" ht="94.5" x14ac:dyDescent="0.25">
      <c r="A86" s="8" t="s">
        <v>83</v>
      </c>
      <c r="B86" s="75" t="s">
        <v>218</v>
      </c>
      <c r="C86" s="43">
        <f>IF(B86="","",VLOOKUP(AD86,Varsayımlar!$B:$Q,3,0))</f>
        <v>8698829380698</v>
      </c>
      <c r="D86" s="43" t="s">
        <v>161</v>
      </c>
      <c r="E86" s="75" t="s">
        <v>244</v>
      </c>
      <c r="F86" s="75" t="s">
        <v>341</v>
      </c>
      <c r="G86" s="43"/>
      <c r="H86" s="75" t="str">
        <f>IF(B86="","",VLOOKUP(AD86,Varsayımlar!$B:$Q,5,0))</f>
        <v>Tortillas Avrupa Pizza 26cm (742)</v>
      </c>
      <c r="I86" s="75">
        <f>IF(B86="","",VLOOKUP(AD86,Varsayımlar!B:T,19,0))</f>
        <v>0</v>
      </c>
      <c r="J86" s="75" t="str">
        <f>IF(B86="","",VLOOKUP(AD86,Varsayımlar!$B:$Q,6,0))</f>
        <v>SADE</v>
      </c>
      <c r="K86" s="75">
        <v>840</v>
      </c>
      <c r="L86" s="75"/>
      <c r="M86" s="75">
        <f>IFERROR(IF(B86="","",K86/VLOOKUP(AD86,Varsayımlar!B:R,17,0)),"")</f>
        <v>7</v>
      </c>
      <c r="N86" s="75"/>
      <c r="O86" s="75">
        <v>11</v>
      </c>
      <c r="P86" s="75">
        <f>IF(B86="","",VLOOKUP(AD86,Varsayımlar!$B:$Q,7,0)*K86)</f>
        <v>6720</v>
      </c>
      <c r="Q86" s="75">
        <f>IF(B86="","",VLOOKUP(AD86,Varsayımlar!$B:$Q,8,0))</f>
        <v>26</v>
      </c>
      <c r="R86" s="75" t="str">
        <f>IF(B86="","",VLOOKUP(AD86,Varsayımlar!$B:$Q,9,0))</f>
        <v>Irak Soft</v>
      </c>
      <c r="S86" s="75">
        <f>IF(B86="","",VLOOKUP(AD86,Varsayımlar!$B:$Q,10,0))</f>
        <v>4</v>
      </c>
      <c r="T86" s="75">
        <f>IF(B86="","",VLOOKUP(AD86,Varsayımlar!$B:$Q,11,0))</f>
        <v>8</v>
      </c>
      <c r="U86" s="75">
        <f>IF(B86="","",VLOOKUP(AD86,Varsayımlar!$B:$Q,12,0))</f>
        <v>480</v>
      </c>
      <c r="V86" s="75" t="str">
        <f>IF(B86="","",VLOOKUP(AD86,Varsayımlar!$B:$Q,13,0))</f>
        <v>Yurtdışı</v>
      </c>
      <c r="W86" s="75">
        <f>IF(B86="","",VLOOKUP(AD86,Varsayımlar!$B:$Q,14,0))</f>
        <v>9</v>
      </c>
      <c r="X86" s="76"/>
      <c r="Y86" s="76"/>
      <c r="Z86" s="75"/>
      <c r="AA86" s="75" t="str">
        <f>IF(B86="","",VLOOKUP(AD86,Varsayımlar!$B:$Q,15,0))</f>
        <v>26cm Pizza Perforeli-Bulgarca Etiket</v>
      </c>
      <c r="AB86" s="75" t="str">
        <f>IF(B86="","",VLOOKUP(AD86,Varsayımlar!$B:$Q,16,0))</f>
        <v>26 cm kesme -Beze 145-150g, Kesilmmeiş çap 27-28cm, Kesilmemiş ağı: 520-540g, Kesilmiş:475-485g</v>
      </c>
      <c r="AC86" s="75" t="str">
        <f>IF(B86="","",VLOOKUP(Sayfa1!AD81,Varsayımlar!B:S,18,0))</f>
        <v>80x120cm -Epal+Epal</v>
      </c>
      <c r="AD86" s="57" t="str">
        <f t="shared" si="6"/>
        <v>TASTE LAND-BULGARİSTANTortillas Pizza 26cm 4pcs 480g</v>
      </c>
    </row>
    <row r="87" spans="1:30" x14ac:dyDescent="0.25">
      <c r="A87" s="8" t="s">
        <v>84</v>
      </c>
      <c r="B87" s="67"/>
      <c r="C87" s="42" t="str">
        <f>IF(B87="","",VLOOKUP(AD87,Varsayımlar!$B:$Q,3,0))</f>
        <v/>
      </c>
      <c r="D87" s="42"/>
      <c r="E87" s="42"/>
      <c r="F87" s="42"/>
      <c r="G87" s="42"/>
      <c r="H87" s="42" t="str">
        <f>IF(B87="","",VLOOKUP(AD87,Varsayımlar!$B:$Q,5,0))</f>
        <v/>
      </c>
      <c r="I87" s="42"/>
      <c r="J87" s="42" t="str">
        <f>IF(B87="","",VLOOKUP(AD87,Varsayımlar!$B:$Q,6,0))</f>
        <v/>
      </c>
      <c r="K87" s="42"/>
      <c r="L87" s="42"/>
      <c r="M87" s="42" t="str">
        <f>IFERROR(IF(B87="","",K87/VLOOKUP(AD87,Varsayımlar!B:R,17,0)),"")</f>
        <v/>
      </c>
      <c r="N87" s="42"/>
      <c r="O87" s="42"/>
      <c r="P87" s="42" t="str">
        <f>IF(B87="","",VLOOKUP(AD87,Varsayımlar!$B:$Q,7,0)*K87)</f>
        <v/>
      </c>
      <c r="Q87" s="42" t="str">
        <f>IF(B87="","",VLOOKUP(AD87,Varsayımlar!$B:$Q,8,0))</f>
        <v/>
      </c>
      <c r="R87" s="42" t="str">
        <f>IF(B87="","",VLOOKUP(AD87,Varsayımlar!$B:$Q,9,0))</f>
        <v/>
      </c>
      <c r="S87" s="42" t="str">
        <f>IF(B87="","",VLOOKUP(AD87,Varsayımlar!$B:$Q,10,0))</f>
        <v/>
      </c>
      <c r="T87" s="42" t="str">
        <f>IF(B87="","",VLOOKUP(AD87,Varsayımlar!$B:$Q,11,0))</f>
        <v/>
      </c>
      <c r="U87" s="42" t="str">
        <f>IF(B87="","",VLOOKUP(AD87,Varsayımlar!$B:$Q,12,0))</f>
        <v/>
      </c>
      <c r="V87" s="42" t="str">
        <f>IF(B87="","",VLOOKUP(AD87,Varsayımlar!$B:$Q,13,0))</f>
        <v/>
      </c>
      <c r="W87" s="67" t="str">
        <f>IF(B87="","",VLOOKUP(AD87,Varsayımlar!$B:$Q,14,0))</f>
        <v/>
      </c>
      <c r="X87" s="69"/>
      <c r="Y87" s="69"/>
      <c r="Z87" s="67"/>
      <c r="AA87" s="67" t="str">
        <f>IF(B87="","",VLOOKUP(AD87,Varsayımlar!$B:$Q,15,0))</f>
        <v/>
      </c>
      <c r="AB87" s="67" t="str">
        <f>IF(B87="","",VLOOKUP(AD87,Varsayımlar!$B:$Q,16,0))</f>
        <v/>
      </c>
      <c r="AC87" s="67"/>
      <c r="AD87" s="57" t="str">
        <f t="shared" si="6"/>
        <v/>
      </c>
    </row>
    <row r="88" spans="1:30" x14ac:dyDescent="0.25">
      <c r="A88" s="8" t="s">
        <v>85</v>
      </c>
      <c r="B88" s="67"/>
      <c r="C88" s="42" t="str">
        <f>IF(B88="","",VLOOKUP(AD88,Varsayımlar!$B:$Q,3,0))</f>
        <v/>
      </c>
      <c r="D88" s="42"/>
      <c r="E88" s="42"/>
      <c r="F88" s="42"/>
      <c r="G88" s="42"/>
      <c r="H88" s="42" t="str">
        <f>IF(B88="","",VLOOKUP(AD88,Varsayımlar!$B:$Q,5,0))</f>
        <v/>
      </c>
      <c r="I88" s="42"/>
      <c r="J88" s="42" t="str">
        <f>IF(B88="","",VLOOKUP(AD88,Varsayımlar!$B:$Q,6,0))</f>
        <v/>
      </c>
      <c r="K88" s="42"/>
      <c r="L88" s="42"/>
      <c r="M88" s="42" t="str">
        <f>IFERROR(IF(B88="","",K88/VLOOKUP(AD88,Varsayımlar!B:R,17,0)),"")</f>
        <v/>
      </c>
      <c r="N88" s="42"/>
      <c r="O88" s="42"/>
      <c r="P88" s="42" t="str">
        <f>IF(B88="","",VLOOKUP(AD88,Varsayımlar!$B:$Q,7,0)*K88)</f>
        <v/>
      </c>
      <c r="Q88" s="42" t="str">
        <f>IF(B88="","",VLOOKUP(AD88,Varsayımlar!$B:$Q,8,0))</f>
        <v/>
      </c>
      <c r="R88" s="42" t="str">
        <f>IF(B88="","",VLOOKUP(AD88,Varsayımlar!$B:$Q,9,0))</f>
        <v/>
      </c>
      <c r="S88" s="42" t="str">
        <f>IF(B88="","",VLOOKUP(AD88,Varsayımlar!$B:$Q,10,0))</f>
        <v/>
      </c>
      <c r="T88" s="42" t="str">
        <f>IF(B88="","",VLOOKUP(AD88,Varsayımlar!$B:$Q,11,0))</f>
        <v/>
      </c>
      <c r="U88" s="42" t="str">
        <f>IF(B88="","",VLOOKUP(AD88,Varsayımlar!$B:$Q,12,0))</f>
        <v/>
      </c>
      <c r="V88" s="42" t="str">
        <f>IF(B88="","",VLOOKUP(AD88,Varsayımlar!$B:$Q,13,0))</f>
        <v/>
      </c>
      <c r="W88" s="67" t="str">
        <f>IF(B88="","",VLOOKUP(AD88,Varsayımlar!$B:$Q,14,0))</f>
        <v/>
      </c>
      <c r="X88" s="69"/>
      <c r="Y88" s="69"/>
      <c r="Z88" s="67"/>
      <c r="AA88" s="67" t="str">
        <f>IF(B88="","",VLOOKUP(AD88,Varsayımlar!$B:$Q,15,0))</f>
        <v/>
      </c>
      <c r="AB88" s="67" t="str">
        <f>IF(B88="","",VLOOKUP(AD88,Varsayımlar!$B:$Q,16,0))</f>
        <v/>
      </c>
      <c r="AC88" s="67"/>
      <c r="AD88" s="57" t="str">
        <f t="shared" si="6"/>
        <v/>
      </c>
    </row>
    <row r="89" spans="1:30" x14ac:dyDescent="0.25">
      <c r="A89" s="8" t="s">
        <v>86</v>
      </c>
      <c r="B89" s="67"/>
      <c r="C89" s="42" t="str">
        <f>IF(B89="","",VLOOKUP(AD89,Varsayımlar!$B:$Q,3,0))</f>
        <v/>
      </c>
      <c r="D89" s="42"/>
      <c r="E89" s="42"/>
      <c r="F89" s="42"/>
      <c r="G89" s="42"/>
      <c r="H89" s="42" t="str">
        <f>IF(B89="","",VLOOKUP(AD89,Varsayımlar!$B:$Q,5,0))</f>
        <v/>
      </c>
      <c r="I89" s="42"/>
      <c r="J89" s="42" t="str">
        <f>IF(B89="","",VLOOKUP(AD89,Varsayımlar!$B:$Q,6,0))</f>
        <v/>
      </c>
      <c r="K89" s="42"/>
      <c r="L89" s="42"/>
      <c r="M89" s="42" t="str">
        <f>IFERROR(IF(B89="","",K89/VLOOKUP(AD89,Varsayımlar!B:R,17,0)),"")</f>
        <v/>
      </c>
      <c r="N89" s="42"/>
      <c r="O89" s="42"/>
      <c r="P89" s="42" t="str">
        <f>IF(B89="","",VLOOKUP(AD89,Varsayımlar!$B:$Q,7,0)*K89)</f>
        <v/>
      </c>
      <c r="Q89" s="42" t="str">
        <f>IF(B89="","",VLOOKUP(AD89,Varsayımlar!$B:$Q,8,0))</f>
        <v/>
      </c>
      <c r="R89" s="42" t="str">
        <f>IF(B89="","",VLOOKUP(AD89,Varsayımlar!$B:$Q,9,0))</f>
        <v/>
      </c>
      <c r="S89" s="42" t="str">
        <f>IF(B89="","",VLOOKUP(AD89,Varsayımlar!$B:$Q,10,0))</f>
        <v/>
      </c>
      <c r="T89" s="42" t="str">
        <f>IF(B89="","",VLOOKUP(AD89,Varsayımlar!$B:$Q,11,0))</f>
        <v/>
      </c>
      <c r="U89" s="42" t="str">
        <f>IF(B89="","",VLOOKUP(AD89,Varsayımlar!$B:$Q,12,0))</f>
        <v/>
      </c>
      <c r="V89" s="42" t="str">
        <f>IF(B89="","",VLOOKUP(AD89,Varsayımlar!$B:$Q,13,0))</f>
        <v/>
      </c>
      <c r="W89" s="67" t="str">
        <f>IF(B89="","",VLOOKUP(AD89,Varsayımlar!$B:$Q,14,0))</f>
        <v/>
      </c>
      <c r="X89" s="69"/>
      <c r="Y89" s="69"/>
      <c r="Z89" s="67"/>
      <c r="AA89" s="67" t="str">
        <f>IF(B89="","",VLOOKUP(AD89,Varsayımlar!$B:$Q,15,0))</f>
        <v/>
      </c>
      <c r="AB89" s="67" t="str">
        <f>IF(B89="","",VLOOKUP(AD89,Varsayımlar!$B:$Q,16,0))</f>
        <v/>
      </c>
      <c r="AC89" s="67"/>
      <c r="AD89" s="57" t="str">
        <f t="shared" si="6"/>
        <v/>
      </c>
    </row>
    <row r="90" spans="1:30" x14ac:dyDescent="0.25">
      <c r="A90" s="8" t="s">
        <v>87</v>
      </c>
      <c r="B90" s="67"/>
      <c r="C90" s="42" t="str">
        <f>IF(B90="","",VLOOKUP(AD90,Varsayımlar!$B:$Q,3,0))</f>
        <v/>
      </c>
      <c r="D90" s="42"/>
      <c r="E90" s="42"/>
      <c r="F90" s="42"/>
      <c r="G90" s="42"/>
      <c r="H90" s="42" t="str">
        <f>IF(B90="","",VLOOKUP(AD90,Varsayımlar!$B:$Q,5,0))</f>
        <v/>
      </c>
      <c r="I90" s="42"/>
      <c r="J90" s="42" t="str">
        <f>IF(B90="","",VLOOKUP(AD90,Varsayımlar!$B:$Q,6,0))</f>
        <v/>
      </c>
      <c r="K90" s="42"/>
      <c r="L90" s="42"/>
      <c r="M90" s="42" t="str">
        <f>IFERROR(IF(B90="","",K90/VLOOKUP(AD90,Varsayımlar!B:R,17,0)),"")</f>
        <v/>
      </c>
      <c r="N90" s="42"/>
      <c r="O90" s="42"/>
      <c r="P90" s="42" t="str">
        <f>IF(B90="","",VLOOKUP(AD90,Varsayımlar!$B:$Q,7,0)*K90)</f>
        <v/>
      </c>
      <c r="Q90" s="42" t="str">
        <f>IF(B90="","",VLOOKUP(AD90,Varsayımlar!$B:$Q,8,0))</f>
        <v/>
      </c>
      <c r="R90" s="42" t="str">
        <f>IF(B90="","",VLOOKUP(AD90,Varsayımlar!$B:$Q,9,0))</f>
        <v/>
      </c>
      <c r="S90" s="42" t="str">
        <f>IF(B90="","",VLOOKUP(AD90,Varsayımlar!$B:$Q,10,0))</f>
        <v/>
      </c>
      <c r="T90" s="42" t="str">
        <f>IF(B90="","",VLOOKUP(AD90,Varsayımlar!$B:$Q,11,0))</f>
        <v/>
      </c>
      <c r="U90" s="42" t="str">
        <f>IF(B90="","",VLOOKUP(AD90,Varsayımlar!$B:$Q,12,0))</f>
        <v/>
      </c>
      <c r="V90" s="42" t="str">
        <f>IF(B90="","",VLOOKUP(AD90,Varsayımlar!$B:$Q,13,0))</f>
        <v/>
      </c>
      <c r="W90" s="67" t="str">
        <f>IF(B90="","",VLOOKUP(AD90,Varsayımlar!$B:$Q,14,0))</f>
        <v/>
      </c>
      <c r="X90" s="69"/>
      <c r="Y90" s="69"/>
      <c r="Z90" s="67"/>
      <c r="AA90" s="67" t="str">
        <f>IF(B90="","",VLOOKUP(AD90,Varsayımlar!$B:$Q,15,0))</f>
        <v/>
      </c>
      <c r="AB90" s="67" t="str">
        <f>IF(B90="","",VLOOKUP(AD90,Varsayımlar!$B:$Q,16,0))</f>
        <v/>
      </c>
      <c r="AC90" s="67"/>
      <c r="AD90" s="57" t="str">
        <f t="shared" si="6"/>
        <v/>
      </c>
    </row>
    <row r="91" spans="1:30" x14ac:dyDescent="0.25">
      <c r="A91" s="8" t="s">
        <v>88</v>
      </c>
      <c r="B91" s="67"/>
      <c r="C91" s="42" t="str">
        <f>IF(B91="","",VLOOKUP(AD91,Varsayımlar!$B:$Q,3,0))</f>
        <v/>
      </c>
      <c r="D91" s="42"/>
      <c r="E91" s="42"/>
      <c r="F91" s="42"/>
      <c r="G91" s="42"/>
      <c r="H91" s="42" t="str">
        <f>IF(B91="","",VLOOKUP(AD91,Varsayımlar!$B:$Q,5,0))</f>
        <v/>
      </c>
      <c r="I91" s="42"/>
      <c r="J91" s="42" t="str">
        <f>IF(B91="","",VLOOKUP(AD91,Varsayımlar!$B:$Q,6,0))</f>
        <v/>
      </c>
      <c r="K91" s="42"/>
      <c r="L91" s="42"/>
      <c r="M91" s="42" t="str">
        <f>IFERROR(IF(B91="","",K91/VLOOKUP(AD91,Varsayımlar!B:R,17,0)),"")</f>
        <v/>
      </c>
      <c r="N91" s="42"/>
      <c r="O91" s="42"/>
      <c r="P91" s="42" t="str">
        <f>IF(B91="","",VLOOKUP(AD91,Varsayımlar!$B:$Q,7,0)*K91)</f>
        <v/>
      </c>
      <c r="Q91" s="42" t="str">
        <f>IF(B91="","",VLOOKUP(AD91,Varsayımlar!$B:$Q,8,0))</f>
        <v/>
      </c>
      <c r="R91" s="42" t="str">
        <f>IF(B91="","",VLOOKUP(AD91,Varsayımlar!$B:$Q,9,0))</f>
        <v/>
      </c>
      <c r="S91" s="42" t="str">
        <f>IF(B91="","",VLOOKUP(AD91,Varsayımlar!$B:$Q,10,0))</f>
        <v/>
      </c>
      <c r="T91" s="42" t="str">
        <f>IF(B91="","",VLOOKUP(AD91,Varsayımlar!$B:$Q,11,0))</f>
        <v/>
      </c>
      <c r="U91" s="42" t="str">
        <f>IF(B91="","",VLOOKUP(AD91,Varsayımlar!$B:$Q,12,0))</f>
        <v/>
      </c>
      <c r="V91" s="42" t="str">
        <f>IF(B91="","",VLOOKUP(AD91,Varsayımlar!$B:$Q,13,0))</f>
        <v/>
      </c>
      <c r="W91" s="67" t="str">
        <f>IF(B91="","",VLOOKUP(AD91,Varsayımlar!$B:$Q,14,0))</f>
        <v/>
      </c>
      <c r="X91" s="69"/>
      <c r="Y91" s="69"/>
      <c r="Z91" s="67"/>
      <c r="AA91" s="67" t="str">
        <f>IF(B91="","",VLOOKUP(AD91,Varsayımlar!$B:$Q,15,0))</f>
        <v/>
      </c>
      <c r="AB91" s="67" t="str">
        <f>IF(B91="","",VLOOKUP(AD91,Varsayımlar!$B:$Q,16,0))</f>
        <v/>
      </c>
      <c r="AC91" s="67"/>
      <c r="AD91" s="57" t="str">
        <f t="shared" si="6"/>
        <v/>
      </c>
    </row>
    <row r="92" spans="1:30" x14ac:dyDescent="0.25">
      <c r="A92" s="8" t="s">
        <v>89</v>
      </c>
      <c r="B92" s="67"/>
      <c r="C92" s="42" t="str">
        <f>IF(B92="","",VLOOKUP(AD92,Varsayımlar!$B:$Q,3,0))</f>
        <v/>
      </c>
      <c r="D92" s="42"/>
      <c r="E92" s="42"/>
      <c r="F92" s="42"/>
      <c r="G92" s="42"/>
      <c r="H92" s="42" t="str">
        <f>IF(B92="","",VLOOKUP(AD92,Varsayımlar!$B:$Q,5,0))</f>
        <v/>
      </c>
      <c r="I92" s="42"/>
      <c r="J92" s="42" t="str">
        <f>IF(B92="","",VLOOKUP(AD92,Varsayımlar!$B:$Q,6,0))</f>
        <v/>
      </c>
      <c r="K92" s="42"/>
      <c r="L92" s="42"/>
      <c r="M92" s="42" t="str">
        <f>IFERROR(IF(B92="","",K92/VLOOKUP(AD92,Varsayımlar!B:R,17,0)),"")</f>
        <v/>
      </c>
      <c r="N92" s="42"/>
      <c r="O92" s="42"/>
      <c r="P92" s="42" t="str">
        <f>IF(B92="","",VLOOKUP(AD92,Varsayımlar!$B:$Q,7,0)*K92)</f>
        <v/>
      </c>
      <c r="Q92" s="42" t="str">
        <f>IF(B92="","",VLOOKUP(AD92,Varsayımlar!$B:$Q,8,0))</f>
        <v/>
      </c>
      <c r="R92" s="42" t="str">
        <f>IF(B92="","",VLOOKUP(AD92,Varsayımlar!$B:$Q,9,0))</f>
        <v/>
      </c>
      <c r="S92" s="42" t="str">
        <f>IF(B92="","",VLOOKUP(AD92,Varsayımlar!$B:$Q,10,0))</f>
        <v/>
      </c>
      <c r="T92" s="42" t="str">
        <f>IF(B92="","",VLOOKUP(AD92,Varsayımlar!$B:$Q,11,0))</f>
        <v/>
      </c>
      <c r="U92" s="42" t="str">
        <f>IF(B92="","",VLOOKUP(AD92,Varsayımlar!$B:$Q,12,0))</f>
        <v/>
      </c>
      <c r="V92" s="42" t="str">
        <f>IF(B92="","",VLOOKUP(AD92,Varsayımlar!$B:$Q,13,0))</f>
        <v/>
      </c>
      <c r="W92" s="67" t="str">
        <f>IF(B92="","",VLOOKUP(AD92,Varsayımlar!$B:$Q,14,0))</f>
        <v/>
      </c>
      <c r="X92" s="69"/>
      <c r="Y92" s="69"/>
      <c r="Z92" s="67"/>
      <c r="AA92" s="67" t="str">
        <f>IF(B92="","",VLOOKUP(AD92,Varsayımlar!$B:$Q,15,0))</f>
        <v/>
      </c>
      <c r="AB92" s="67" t="str">
        <f>IF(B92="","",VLOOKUP(AD92,Varsayımlar!$B:$Q,16,0))</f>
        <v/>
      </c>
      <c r="AC92" s="67"/>
      <c r="AD92" s="57" t="str">
        <f t="shared" si="6"/>
        <v/>
      </c>
    </row>
    <row r="93" spans="1:30" x14ac:dyDescent="0.25">
      <c r="A93" s="8" t="s">
        <v>90</v>
      </c>
      <c r="B93" s="67"/>
      <c r="C93" s="42" t="str">
        <f>IF(B93="","",VLOOKUP(AD93,Varsayımlar!$B:$Q,3,0))</f>
        <v/>
      </c>
      <c r="D93" s="42"/>
      <c r="E93" s="42"/>
      <c r="F93" s="42"/>
      <c r="G93" s="42"/>
      <c r="H93" s="42" t="str">
        <f>IF(B93="","",VLOOKUP(AD93,Varsayımlar!$B:$Q,5,0))</f>
        <v/>
      </c>
      <c r="I93" s="42"/>
      <c r="J93" s="42" t="str">
        <f>IF(B93="","",VLOOKUP(AD93,Varsayımlar!$B:$Q,6,0))</f>
        <v/>
      </c>
      <c r="K93" s="42"/>
      <c r="L93" s="42"/>
      <c r="M93" s="42" t="str">
        <f>IFERROR(IF(B93="","",K93/VLOOKUP(AD93,Varsayımlar!B:R,17,0)),"")</f>
        <v/>
      </c>
      <c r="N93" s="42"/>
      <c r="O93" s="42"/>
      <c r="P93" s="42" t="str">
        <f>IF(B93="","",VLOOKUP(AD93,Varsayımlar!$B:$Q,7,0)*K93)</f>
        <v/>
      </c>
      <c r="Q93" s="42" t="str">
        <f>IF(B93="","",VLOOKUP(AD93,Varsayımlar!$B:$Q,8,0))</f>
        <v/>
      </c>
      <c r="R93" s="42" t="str">
        <f>IF(B93="","",VLOOKUP(AD93,Varsayımlar!$B:$Q,9,0))</f>
        <v/>
      </c>
      <c r="S93" s="42" t="str">
        <f>IF(B93="","",VLOOKUP(AD93,Varsayımlar!$B:$Q,10,0))</f>
        <v/>
      </c>
      <c r="T93" s="42" t="str">
        <f>IF(B93="","",VLOOKUP(AD93,Varsayımlar!$B:$Q,11,0))</f>
        <v/>
      </c>
      <c r="U93" s="42" t="str">
        <f>IF(B93="","",VLOOKUP(AD93,Varsayımlar!$B:$Q,12,0))</f>
        <v/>
      </c>
      <c r="V93" s="42" t="str">
        <f>IF(B93="","",VLOOKUP(AD93,Varsayımlar!$B:$Q,13,0))</f>
        <v/>
      </c>
      <c r="W93" s="67" t="str">
        <f>IF(B93="","",VLOOKUP(AD93,Varsayımlar!$B:$Q,14,0))</f>
        <v/>
      </c>
      <c r="X93" s="69"/>
      <c r="Y93" s="69"/>
      <c r="Z93" s="67"/>
      <c r="AA93" s="67" t="str">
        <f>IF(B93="","",VLOOKUP(AD93,Varsayımlar!$B:$Q,15,0))</f>
        <v/>
      </c>
      <c r="AB93" s="67" t="str">
        <f>IF(B93="","",VLOOKUP(AD93,Varsayımlar!$B:$Q,16,0))</f>
        <v/>
      </c>
      <c r="AC93" s="67"/>
      <c r="AD93" s="57" t="str">
        <f t="shared" si="6"/>
        <v/>
      </c>
    </row>
    <row r="94" spans="1:30" x14ac:dyDescent="0.25">
      <c r="A94" s="8" t="s">
        <v>91</v>
      </c>
      <c r="B94" s="67"/>
      <c r="C94" s="42" t="str">
        <f>IF(B94="","",VLOOKUP(AD94,Varsayımlar!$B:$Q,3,0))</f>
        <v/>
      </c>
      <c r="D94" s="42"/>
      <c r="E94" s="42"/>
      <c r="F94" s="42"/>
      <c r="G94" s="42"/>
      <c r="H94" s="42" t="str">
        <f>IF(B94="","",VLOOKUP(AD94,Varsayımlar!$B:$Q,5,0))</f>
        <v/>
      </c>
      <c r="I94" s="42"/>
      <c r="J94" s="42" t="str">
        <f>IF(B94="","",VLOOKUP(AD94,Varsayımlar!$B:$Q,6,0))</f>
        <v/>
      </c>
      <c r="K94" s="42"/>
      <c r="L94" s="42"/>
      <c r="M94" s="42" t="str">
        <f>IFERROR(IF(B94="","",K94/VLOOKUP(AD94,Varsayımlar!B:R,17,0)),"")</f>
        <v/>
      </c>
      <c r="N94" s="42"/>
      <c r="O94" s="42"/>
      <c r="P94" s="42" t="str">
        <f>IF(B94="","",VLOOKUP(AD94,Varsayımlar!$B:$Q,7,0)*K94)</f>
        <v/>
      </c>
      <c r="Q94" s="42" t="str">
        <f>IF(B94="","",VLOOKUP(AD94,Varsayımlar!$B:$Q,8,0))</f>
        <v/>
      </c>
      <c r="R94" s="42" t="str">
        <f>IF(B94="","",VLOOKUP(AD94,Varsayımlar!$B:$Q,9,0))</f>
        <v/>
      </c>
      <c r="S94" s="42" t="str">
        <f>IF(B94="","",VLOOKUP(AD94,Varsayımlar!$B:$Q,10,0))</f>
        <v/>
      </c>
      <c r="T94" s="42" t="str">
        <f>IF(B94="","",VLOOKUP(AD94,Varsayımlar!$B:$Q,11,0))</f>
        <v/>
      </c>
      <c r="U94" s="42" t="str">
        <f>IF(B94="","",VLOOKUP(AD94,Varsayımlar!$B:$Q,12,0))</f>
        <v/>
      </c>
      <c r="V94" s="42" t="str">
        <f>IF(B94="","",VLOOKUP(AD94,Varsayımlar!$B:$Q,13,0))</f>
        <v/>
      </c>
      <c r="W94" s="67" t="str">
        <f>IF(B94="","",VLOOKUP(AD94,Varsayımlar!$B:$Q,14,0))</f>
        <v/>
      </c>
      <c r="X94" s="69"/>
      <c r="Y94" s="69"/>
      <c r="Z94" s="67"/>
      <c r="AA94" s="67" t="str">
        <f>IF(B94="","",VLOOKUP(AD94,Varsayımlar!$B:$Q,15,0))</f>
        <v/>
      </c>
      <c r="AB94" s="67" t="str">
        <f>IF(B94="","",VLOOKUP(AD94,Varsayımlar!$B:$Q,16,0))</f>
        <v/>
      </c>
      <c r="AC94" s="67"/>
      <c r="AD94" s="57" t="str">
        <f t="shared" si="6"/>
        <v/>
      </c>
    </row>
    <row r="95" spans="1:30" x14ac:dyDescent="0.25">
      <c r="B95" s="86"/>
      <c r="C95" s="87" t="str">
        <f>IF(B95="","",VLOOKUP(AD95,Varsayımlar!$B:$Q,3,0))</f>
        <v/>
      </c>
      <c r="D95" s="87"/>
      <c r="H95" s="57" t="str">
        <f>IF(B95="","",VLOOKUP(AD95,Varsayımlar!$B:$Q,5,0))</f>
        <v/>
      </c>
      <c r="I95" s="57"/>
      <c r="J95" s="57" t="str">
        <f>IF(B95="","",VLOOKUP(AD95,Varsayımlar!$B:$Q,6,0))</f>
        <v/>
      </c>
      <c r="P95" s="57" t="str">
        <f>IF(B95="","",VLOOKUP(AD95,Varsayımlar!$B:$Q,7,0)*K95)</f>
        <v/>
      </c>
      <c r="Q95" s="57" t="str">
        <f>IF(B95="","",VLOOKUP(AD95,Varsayımlar!$B:$Q,8,0))</f>
        <v/>
      </c>
      <c r="R95" s="57" t="str">
        <f>IF(B95="","",VLOOKUP(AD95,Varsayımlar!$B:$Q,9,0))</f>
        <v/>
      </c>
      <c r="S95" s="57" t="str">
        <f>IF(B95="","",VLOOKUP(AD95,Varsayımlar!$B:$Q,10,0))</f>
        <v/>
      </c>
      <c r="T95" s="57" t="str">
        <f>IF(B95="","",VLOOKUP(AD95,Varsayımlar!$B:$Q,11,0))</f>
        <v/>
      </c>
      <c r="U95" s="57" t="str">
        <f>IF(B95="","",VLOOKUP(AD95,Varsayımlar!$B:$Q,12,0))</f>
        <v/>
      </c>
      <c r="V95" s="57" t="str">
        <f>IF(B95="","",VLOOKUP(AD95,Varsayımlar!$B:$Q,13,0))</f>
        <v/>
      </c>
      <c r="W95" s="57" t="str">
        <f>IF(B95="","",VLOOKUP(AD95,Varsayımlar!$B:$Q,14,0))</f>
        <v/>
      </c>
      <c r="AA95" s="57" t="str">
        <f>IF(B95="","",VLOOKUP(AD95,Varsayımlar!$B:$Q,15,0))</f>
        <v/>
      </c>
      <c r="AB95" s="57" t="str">
        <f>IF(B95="","",VLOOKUP(AD95,Varsayımlar!$B:$Q,16,0))</f>
        <v/>
      </c>
      <c r="AC95" s="57" t="str">
        <f>IF(B95="","",VLOOKUP(Sayfa1!AD93,Varsayımlar!B:S,18,0))</f>
        <v/>
      </c>
      <c r="AD95" s="57" t="str">
        <f t="shared" si="6"/>
        <v/>
      </c>
    </row>
    <row r="96" spans="1:30" x14ac:dyDescent="0.25">
      <c r="C96" s="53" t="str">
        <f>IF(B96="","",VLOOKUP(AD96,Varsayımlar!$B:$Q,3,0))</f>
        <v/>
      </c>
      <c r="H96" s="7" t="str">
        <f>IF(B96="","",VLOOKUP(AD96,Varsayımlar!$B:$Q,5,0))</f>
        <v/>
      </c>
      <c r="J96" s="7" t="str">
        <f>IF(B96="","",VLOOKUP(AD96,Varsayımlar!$B:$Q,6,0))</f>
        <v/>
      </c>
      <c r="P96" s="7" t="str">
        <f>IF(B96="","",VLOOKUP(AD96,Varsayımlar!$B:$Q,7,0)*K96)</f>
        <v/>
      </c>
      <c r="Q96" s="7" t="str">
        <f>IF(B96="","",VLOOKUP(AD96,Varsayımlar!$B:$Q,8,0))</f>
        <v/>
      </c>
      <c r="R96" s="7" t="str">
        <f>IF(B96="","",VLOOKUP(AD96,Varsayımlar!$B:$Q,9,0))</f>
        <v/>
      </c>
      <c r="S96" s="7" t="str">
        <f>IF(B96="","",VLOOKUP(AD96,Varsayımlar!$B:$Q,10,0))</f>
        <v/>
      </c>
      <c r="T96" s="7" t="str">
        <f>IF(B96="","",VLOOKUP(AD96,Varsayımlar!$B:$Q,11,0))</f>
        <v/>
      </c>
      <c r="U96" s="7" t="str">
        <f>IF(B96="","",VLOOKUP(AD96,Varsayımlar!$B:$Q,12,0))</f>
        <v/>
      </c>
      <c r="V96" s="7" t="str">
        <f>IF(B96="","",VLOOKUP(AD96,Varsayımlar!$B:$Q,13,0))</f>
        <v/>
      </c>
      <c r="W96" s="7" t="str">
        <f>IF(B96="","",VLOOKUP(AD96,Varsayımlar!$B:$Q,14,0))</f>
        <v/>
      </c>
      <c r="AA96" s="7" t="str">
        <f>IF(B96="","",VLOOKUP(AD96,Varsayımlar!$B:$Q,15,0))</f>
        <v/>
      </c>
      <c r="AB96" s="7" t="str">
        <f>IF(B96="","",VLOOKUP(AD96,Varsayımlar!$B:$Q,16,0))</f>
        <v/>
      </c>
      <c r="AC96" s="7" t="str">
        <f>IF(B96="","",VLOOKUP(Sayfa1!AD94,Varsayımlar!B:S,18,0))</f>
        <v/>
      </c>
      <c r="AD96" s="7" t="str">
        <f t="shared" si="6"/>
        <v/>
      </c>
    </row>
  </sheetData>
  <mergeCells count="5">
    <mergeCell ref="A1:AC1"/>
    <mergeCell ref="A2:Z2"/>
    <mergeCell ref="AB2:AC2"/>
    <mergeCell ref="A58:AB58"/>
    <mergeCell ref="A77:AB77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9" fitToHeight="4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6"/>
  <sheetViews>
    <sheetView zoomScale="70" zoomScaleNormal="70" workbookViewId="0">
      <selection activeCell="H14" sqref="H14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28515625" style="53" hidden="1" customWidth="1"/>
    <col min="4" max="4" width="10.85546875" style="53" customWidth="1"/>
    <col min="5" max="5" width="42" style="53" hidden="1" customWidth="1"/>
    <col min="6" max="6" width="20.140625" style="7" customWidth="1"/>
    <col min="7" max="7" width="24.140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0.28515625" style="7" bestFit="1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7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46183</v>
      </c>
      <c r="AB2" s="185">
        <v>0.39583333333333331</v>
      </c>
      <c r="AC2" s="186"/>
    </row>
    <row r="3" spans="1:30" ht="63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x14ac:dyDescent="0.25">
      <c r="A4" s="8" t="s">
        <v>26</v>
      </c>
      <c r="B4" s="62" t="s">
        <v>302</v>
      </c>
      <c r="C4" s="32">
        <f>IF(B4="","",VLOOKUP(AD4,Varsayımlar!$B:$Q,3,0))</f>
        <v>8698829380698</v>
      </c>
      <c r="D4" s="32"/>
      <c r="E4" s="62" t="s">
        <v>310</v>
      </c>
      <c r="F4" s="62"/>
      <c r="G4" s="32" t="s">
        <v>68</v>
      </c>
      <c r="H4" s="62" t="str">
        <f>IF(B4="","",VLOOKUP(AD4,Varsayımlar!$B:$Q,5,0))</f>
        <v>Baskısız 30cm</v>
      </c>
      <c r="I4" s="62" t="str">
        <f>IF(B4="","",VLOOKUP(AD4,Varsayımlar!B:T,19,0))</f>
        <v>Tüm Bilgiler Ispanaklı</v>
      </c>
      <c r="J4" s="62" t="str">
        <f>IF(B4="","",VLOOKUP(AD4,Varsayımlar!$B:$Q,6,0))</f>
        <v>Ispanaklı</v>
      </c>
      <c r="K4" s="62">
        <v>144</v>
      </c>
      <c r="L4" s="62"/>
      <c r="M4" s="62" t="str">
        <f>IFERROR(IF(B4="","",K4/VLOOKUP(AD4,Varsayımlar!B:R,17,0)),"")</f>
        <v/>
      </c>
      <c r="N4" s="62"/>
      <c r="O4" s="62">
        <v>3</v>
      </c>
      <c r="P4" s="62">
        <f>IF(B4="","",VLOOKUP(AD4,Varsayımlar!$B:$Q,7,0)*K4)</f>
        <v>1440</v>
      </c>
      <c r="Q4" s="62">
        <f>IF(B4="","",VLOOKUP(AD4,Varsayımlar!$B:$Q,8,0))</f>
        <v>30</v>
      </c>
      <c r="R4" s="62" t="str">
        <f>IF(B4="","",VLOOKUP(AD4,Varsayımlar!$B:$Q,9,0))</f>
        <v>Irak soft</v>
      </c>
      <c r="S4" s="62">
        <f>IF(B4="","",VLOOKUP(AD4,Varsayımlar!$B:$Q,10,0))</f>
        <v>12</v>
      </c>
      <c r="T4" s="62">
        <f>IF(B4="","",VLOOKUP(AD4,Varsayımlar!$B:$Q,11,0))</f>
        <v>10</v>
      </c>
      <c r="U4" s="62">
        <f>IF(B4="","",VLOOKUP(AD4,Varsayımlar!$B:$Q,12,0))</f>
        <v>1020</v>
      </c>
      <c r="V4" s="62" t="str">
        <f>IF(B4="","",VLOOKUP(AD4,Varsayımlar!$B:$Q,13,0))</f>
        <v>Yurtdışı</v>
      </c>
      <c r="W4" s="62">
        <f>IF(B4="","",VLOOKUP(AD4,Varsayımlar!$B:$Q,14,0))</f>
        <v>6</v>
      </c>
      <c r="X4" s="63">
        <v>46190</v>
      </c>
      <c r="Y4" s="63">
        <v>46373</v>
      </c>
      <c r="Z4" s="62" t="s">
        <v>337</v>
      </c>
      <c r="AA4" s="62" t="str">
        <f>IF(B4="","",VLOOKUP(AD4,Varsayımlar!$B:$Q,15,0))</f>
        <v>30cm Kolisi-Etiketli</v>
      </c>
      <c r="AB4" s="62" t="str">
        <f>IF(B4="","",VLOOKUP(AD4,Varsayımlar!$B:$Q,16,0))</f>
        <v>29-31 cm</v>
      </c>
      <c r="AC4" s="62">
        <f>IF(B4="","",VLOOKUP(Sayfa1!AD13,Varsayımlar!B:S,18,0))</f>
        <v>0</v>
      </c>
      <c r="AD4" s="57" t="str">
        <f>IF(B4="","",CONCATENATE(B4,E4))</f>
        <v>TVK ImportBaskısız 30cm Ispanaklı 12pcs 1020g</v>
      </c>
    </row>
    <row r="5" spans="1:30" ht="47.25" x14ac:dyDescent="0.25">
      <c r="A5" s="8" t="s">
        <v>77</v>
      </c>
      <c r="B5" s="62" t="s">
        <v>218</v>
      </c>
      <c r="C5" s="32">
        <f>IF(B5="","",VLOOKUP(AD5,Varsayımlar!$B:$Q,3,0))</f>
        <v>8698829380698</v>
      </c>
      <c r="D5" s="32" t="s">
        <v>159</v>
      </c>
      <c r="E5" s="62" t="s">
        <v>235</v>
      </c>
      <c r="F5" s="62">
        <v>26042906</v>
      </c>
      <c r="G5" s="32"/>
      <c r="H5" s="62" t="str">
        <f>IF(B5="","",VLOOKUP(AD5,Varsayımlar!$B:$Q,5,0))</f>
        <v>Tortillas Avrupa 25cm Ispanaklı (081)</v>
      </c>
      <c r="I5" s="62">
        <f>IF(B5="","",VLOOKUP(AD5,Varsayımlar!B:T,19,0))</f>
        <v>0</v>
      </c>
      <c r="J5" s="62" t="str">
        <f>IF(B5="","",VLOOKUP(AD5,Varsayımlar!$B:$Q,6,0))</f>
        <v>Ispanaklı</v>
      </c>
      <c r="K5" s="62">
        <v>360</v>
      </c>
      <c r="L5" s="62">
        <v>4</v>
      </c>
      <c r="M5" s="62">
        <f>IFERROR(IF(B5="","",K5/VLOOKUP(AD5,Varsayımlar!B:R,17,0)),"")</f>
        <v>3</v>
      </c>
      <c r="N5" s="62"/>
      <c r="O5" s="62">
        <v>4</v>
      </c>
      <c r="P5" s="62">
        <f>IF(B5="","",VLOOKUP(AD5,Varsayımlar!$B:$Q,7,0)*K5)</f>
        <v>4320</v>
      </c>
      <c r="Q5" s="62">
        <f>IF(B5="","",VLOOKUP(AD5,Varsayımlar!$B:$Q,8,0))</f>
        <v>25</v>
      </c>
      <c r="R5" s="62" t="str">
        <f>IF(B5="","",VLOOKUP(AD5,Varsayımlar!$B:$Q,9,0))</f>
        <v>Irak Soft</v>
      </c>
      <c r="S5" s="62">
        <f>IF(B5="","",VLOOKUP(AD5,Varsayımlar!$B:$Q,10,0))</f>
        <v>6</v>
      </c>
      <c r="T5" s="62">
        <f>IF(B5="","",VLOOKUP(AD5,Varsayımlar!$B:$Q,11,0))</f>
        <v>12</v>
      </c>
      <c r="U5" s="62">
        <f>IF(B5="","",VLOOKUP(AD5,Varsayımlar!$B:$Q,12,0))</f>
        <v>390</v>
      </c>
      <c r="V5" s="62" t="str">
        <f>IF(B5="","",VLOOKUP(AD5,Varsayımlar!$B:$Q,13,0))</f>
        <v>Yurtdışı</v>
      </c>
      <c r="W5" s="62">
        <f>IF(B5="","",VLOOKUP(AD5,Varsayımlar!$B:$Q,14,0))</f>
        <v>9</v>
      </c>
      <c r="X5" s="63">
        <v>46183</v>
      </c>
      <c r="Y5" s="63">
        <v>46456</v>
      </c>
      <c r="Z5" s="62" t="s">
        <v>357</v>
      </c>
      <c r="AA5" s="62" t="str">
        <f>IF(B5="","",VLOOKUP(AD5,Varsayımlar!$B:$Q,15,0))</f>
        <v>25cm Perforeli-Bulgarca Ispanaklı etiket</v>
      </c>
      <c r="AB5" s="62" t="str">
        <f>IF(B5="","",VLOOKUP(AD5,Varsayımlar!$B:$Q,16,0))</f>
        <v>24-26 cm</v>
      </c>
      <c r="AC5" s="62" t="str">
        <f>IF(B5="","",VLOOKUP(Sayfa1!AD54,Varsayımlar!B:S,18,0))</f>
        <v>80x120cm -Epal+Epal</v>
      </c>
      <c r="AD5" s="57" t="str">
        <f t="shared" ref="AD5:AD47" si="0">IF(B5="","",CONCATENATE(B5,E5))</f>
        <v>TASTE LAND-BULGARİSTANTortillas 25cm Ispanaklı 6pcs 390g</v>
      </c>
    </row>
    <row r="6" spans="1:30" ht="47.25" x14ac:dyDescent="0.25">
      <c r="A6" s="8" t="s">
        <v>78</v>
      </c>
      <c r="B6" s="62" t="s">
        <v>218</v>
      </c>
      <c r="C6" s="32">
        <f>IF(B6="","",VLOOKUP(AD6,Varsayımlar!$B:$Q,3,0))</f>
        <v>8698829380698</v>
      </c>
      <c r="D6" s="32" t="s">
        <v>159</v>
      </c>
      <c r="E6" s="62" t="s">
        <v>240</v>
      </c>
      <c r="F6" s="62">
        <v>26042906</v>
      </c>
      <c r="G6" s="32"/>
      <c r="H6" s="62" t="str">
        <f>IF(B6="","",VLOOKUP(AD6,Varsayımlar!$B:$Q,5,0))</f>
        <v>Tortillas Avrupa 25cm Peynirli (098)</v>
      </c>
      <c r="I6" s="62">
        <f>IF(B6="","",VLOOKUP(AD6,Varsayımlar!B:T,19,0))</f>
        <v>0</v>
      </c>
      <c r="J6" s="62" t="str">
        <f>IF(B6="","",VLOOKUP(AD6,Varsayımlar!$B:$Q,6,0))</f>
        <v>Peynirli</v>
      </c>
      <c r="K6" s="62">
        <v>240</v>
      </c>
      <c r="L6" s="62">
        <v>4</v>
      </c>
      <c r="M6" s="62">
        <f>IFERROR(IF(B6="","",K6/VLOOKUP(AD6,Varsayımlar!B:R,17,0)),"")</f>
        <v>2</v>
      </c>
      <c r="N6" s="62"/>
      <c r="O6" s="62">
        <v>3</v>
      </c>
      <c r="P6" s="62">
        <f>IF(B6="","",VLOOKUP(AD6,Varsayımlar!$B:$Q,7,0)*K6)</f>
        <v>2880</v>
      </c>
      <c r="Q6" s="62">
        <f>IF(B6="","",VLOOKUP(AD6,Varsayımlar!$B:$Q,8,0))</f>
        <v>25</v>
      </c>
      <c r="R6" s="62" t="str">
        <f>IF(B6="","",VLOOKUP(AD6,Varsayımlar!$B:$Q,9,0))</f>
        <v>Irak Soft-AT</v>
      </c>
      <c r="S6" s="62">
        <f>IF(B6="","",VLOOKUP(AD6,Varsayımlar!$B:$Q,10,0))</f>
        <v>6</v>
      </c>
      <c r="T6" s="62">
        <f>IF(B6="","",VLOOKUP(AD6,Varsayımlar!$B:$Q,11,0))</f>
        <v>12</v>
      </c>
      <c r="U6" s="62">
        <f>IF(B6="","",VLOOKUP(AD6,Varsayımlar!$B:$Q,12,0))</f>
        <v>390</v>
      </c>
      <c r="V6" s="62" t="str">
        <f>IF(B6="","",VLOOKUP(AD6,Varsayımlar!$B:$Q,13,0))</f>
        <v>Yurtdışı</v>
      </c>
      <c r="W6" s="62">
        <f>IF(B6="","",VLOOKUP(AD6,Varsayımlar!$B:$Q,14,0))</f>
        <v>9</v>
      </c>
      <c r="X6" s="63">
        <v>46183</v>
      </c>
      <c r="Y6" s="63">
        <v>46456</v>
      </c>
      <c r="Z6" s="62" t="s">
        <v>358</v>
      </c>
      <c r="AA6" s="62" t="str">
        <f>IF(B6="","",VLOOKUP(AD6,Varsayımlar!$B:$Q,15,0))</f>
        <v>25cm Perforeli-Bulgarca Peynirli etiket</v>
      </c>
      <c r="AB6" s="62" t="str">
        <f>IF(B6="","",VLOOKUP(AD6,Varsayımlar!$B:$Q,16,0))</f>
        <v>24-26 cm</v>
      </c>
      <c r="AC6" s="62" t="str">
        <f>IF(B6="","",VLOOKUP(Sayfa1!AD55,Varsayımlar!B:S,18,0))</f>
        <v>80x120cm -Epal+Epal</v>
      </c>
      <c r="AD6" s="57" t="str">
        <f t="shared" si="0"/>
        <v>TASTE LAND-BULGARİSTANTortillas 25cm Peynirli 6pcs 390g</v>
      </c>
    </row>
    <row r="7" spans="1:30" ht="39" customHeight="1" x14ac:dyDescent="0.25">
      <c r="A7" s="8" t="s">
        <v>80</v>
      </c>
      <c r="B7" s="54" t="s">
        <v>64</v>
      </c>
      <c r="C7" s="39">
        <f>IF(B7="","",VLOOKUP(AD7,Varsayımlar!$B:$Q,3,0))</f>
        <v>8698829380698</v>
      </c>
      <c r="D7" s="39"/>
      <c r="E7" s="54" t="s">
        <v>176</v>
      </c>
      <c r="F7" s="54">
        <v>29</v>
      </c>
      <c r="G7" s="39" t="s">
        <v>68</v>
      </c>
      <c r="H7" s="54" t="str">
        <f>IF(B7="","",VLOOKUP(AD7,Varsayımlar!$B:$Q,5,0))</f>
        <v>Tortillas 20cm (Samakat Bilgileri Ekli)</v>
      </c>
      <c r="I7" s="54">
        <f>IF(B7="","",VLOOKUP(AD7,Varsayımlar!B:T,19,0))</f>
        <v>0</v>
      </c>
      <c r="J7" s="54" t="str">
        <f>IF(B7="","",VLOOKUP(AD7,Varsayımlar!$B:$Q,6,0))</f>
        <v>PEYNİRLİ</v>
      </c>
      <c r="K7" s="54">
        <v>7200</v>
      </c>
      <c r="L7" s="54">
        <v>6945</v>
      </c>
      <c r="M7" s="54">
        <f>IFERROR(IF(B7="","",K7/VLOOKUP(AD7,Varsayımlar!B:R,17,0)),"")</f>
        <v>32</v>
      </c>
      <c r="N7" s="54">
        <v>225</v>
      </c>
      <c r="O7" s="54">
        <v>2</v>
      </c>
      <c r="P7" s="54">
        <f>IF(B7="","",VLOOKUP(AD7,Varsayımlar!$B:$Q,7,0)*K7)</f>
        <v>100800</v>
      </c>
      <c r="Q7" s="54">
        <f>IF(B7="","",VLOOKUP(AD7,Varsayımlar!$B:$Q,8,0))</f>
        <v>20</v>
      </c>
      <c r="R7" s="54" t="str">
        <f>IF(B7="","",VLOOKUP(AD7,Varsayımlar!$B:$Q,9,0))</f>
        <v>IRAK SOFT-AT</v>
      </c>
      <c r="S7" s="54">
        <f>IF(B7="","",VLOOKUP(AD7,Varsayımlar!$B:$Q,10,0))</f>
        <v>4</v>
      </c>
      <c r="T7" s="54">
        <f>IF(B7="","",VLOOKUP(AD7,Varsayımlar!$B:$Q,11,0))</f>
        <v>14</v>
      </c>
      <c r="U7" s="54">
        <f>IF(B7="","",VLOOKUP(AD7,Varsayımlar!$B:$Q,12,0))</f>
        <v>166</v>
      </c>
      <c r="V7" s="54" t="str">
        <f>IF(B7="","",VLOOKUP(AD7,Varsayımlar!$B:$Q,13,0))</f>
        <v>YURTDIŞI</v>
      </c>
      <c r="W7" s="54">
        <f>IF(B7="","",VLOOKUP(AD7,Varsayımlar!$B:$Q,14,0))</f>
        <v>9</v>
      </c>
      <c r="X7" s="56">
        <v>46184</v>
      </c>
      <c r="Y7" s="56">
        <v>46457</v>
      </c>
      <c r="Z7" s="54" t="s">
        <v>333</v>
      </c>
      <c r="AA7" s="54" t="str">
        <f>IF(B7="","",VLOOKUP(AD7,Varsayımlar!$B:$Q,15,0))</f>
        <v>Kare Koli-Üretim Tarihli Etiket</v>
      </c>
      <c r="AB7" s="54" t="str">
        <f>IF(B7="","",VLOOKUP(AD7,Varsayımlar!$B:$Q,16,0))</f>
        <v>19-21 cm</v>
      </c>
      <c r="AC7" s="54">
        <f>IF(B7="","",VLOOKUP(Sayfa1!AD5,Varsayımlar!B:S,18,0))</f>
        <v>0</v>
      </c>
      <c r="AD7" s="57" t="str">
        <f>IF(B7="","",CONCATENATE(B7,E7))</f>
        <v>SMART LLCTortillas 20cm Peynirli 4pcs 166g</v>
      </c>
    </row>
    <row r="8" spans="1:30" ht="31.5" x14ac:dyDescent="0.25">
      <c r="A8" s="8" t="s">
        <v>81</v>
      </c>
      <c r="B8" s="67" t="s">
        <v>64</v>
      </c>
      <c r="C8" s="42">
        <f>IF(B8="","",VLOOKUP(AD8,Varsayımlar!$B:$Q,3,0))</f>
        <v>8698829380698</v>
      </c>
      <c r="D8" s="42"/>
      <c r="E8" s="67" t="s">
        <v>176</v>
      </c>
      <c r="F8" s="67">
        <v>28</v>
      </c>
      <c r="G8" s="42" t="s">
        <v>68</v>
      </c>
      <c r="H8" s="67" t="str">
        <f>IF(B8="","",VLOOKUP(AD8,Varsayımlar!$B:$Q,5,0))</f>
        <v>Tortillas 20cm (Samakat Bilgileri Ekli)</v>
      </c>
      <c r="I8" s="67">
        <f>IF(B8="","",VLOOKUP(AD8,Varsayımlar!B:T,19,0))</f>
        <v>0</v>
      </c>
      <c r="J8" s="67" t="str">
        <f>IF(B8="","",VLOOKUP(AD8,Varsayımlar!$B:$Q,6,0))</f>
        <v>PEYNİRLİ</v>
      </c>
      <c r="K8" s="67">
        <v>1575</v>
      </c>
      <c r="L8" s="67"/>
      <c r="M8" s="67">
        <f>IFERROR(IF(B8="","",K8/VLOOKUP(AD8,Varsayımlar!B:R,17,0)),"")</f>
        <v>7</v>
      </c>
      <c r="N8" s="67">
        <v>225</v>
      </c>
      <c r="O8" s="67">
        <v>11</v>
      </c>
      <c r="P8" s="67">
        <f>IF(B8="","",VLOOKUP(AD8,Varsayımlar!$B:$Q,7,0)*K8)</f>
        <v>22050</v>
      </c>
      <c r="Q8" s="67">
        <f>IF(B8="","",VLOOKUP(AD8,Varsayımlar!$B:$Q,8,0))</f>
        <v>20</v>
      </c>
      <c r="R8" s="67" t="str">
        <f>IF(B8="","",VLOOKUP(AD8,Varsayımlar!$B:$Q,9,0))</f>
        <v>IRAK SOFT-AT</v>
      </c>
      <c r="S8" s="67">
        <f>IF(B8="","",VLOOKUP(AD8,Varsayımlar!$B:$Q,10,0))</f>
        <v>4</v>
      </c>
      <c r="T8" s="67">
        <f>IF(B8="","",VLOOKUP(AD8,Varsayımlar!$B:$Q,11,0))</f>
        <v>14</v>
      </c>
      <c r="U8" s="67">
        <f>IF(B8="","",VLOOKUP(AD8,Varsayımlar!$B:$Q,12,0))</f>
        <v>166</v>
      </c>
      <c r="V8" s="67" t="str">
        <f>IF(B8="","",VLOOKUP(AD8,Varsayımlar!$B:$Q,13,0))</f>
        <v>YURTDIŞI</v>
      </c>
      <c r="W8" s="67">
        <f>IF(B8="","",VLOOKUP(AD8,Varsayımlar!$B:$Q,14,0))</f>
        <v>9</v>
      </c>
      <c r="X8" s="69">
        <v>46188</v>
      </c>
      <c r="Y8" s="69">
        <v>46461</v>
      </c>
      <c r="Z8" s="67" t="s">
        <v>172</v>
      </c>
      <c r="AA8" s="67" t="str">
        <f>IF(B8="","",VLOOKUP(AD8,Varsayımlar!$B:$Q,15,0))</f>
        <v>Kare Koli-Üretim Tarihli Etiket</v>
      </c>
      <c r="AB8" s="67" t="str">
        <f>IF(B8="","",VLOOKUP(AD8,Varsayımlar!$B:$Q,16,0))</f>
        <v>19-21 cm</v>
      </c>
      <c r="AC8" s="67">
        <f>IF(B8="","",VLOOKUP(Sayfa1!AD9,Varsayımlar!B:S,18,0))</f>
        <v>0</v>
      </c>
      <c r="AD8" s="57" t="str">
        <f t="shared" si="0"/>
        <v>SMART LLCTortillas 20cm Peynirli 4pcs 166g</v>
      </c>
    </row>
    <row r="9" spans="1:30" ht="31.5" x14ac:dyDescent="0.25">
      <c r="A9" s="8" t="s">
        <v>82</v>
      </c>
      <c r="B9" s="67" t="s">
        <v>64</v>
      </c>
      <c r="C9" s="40">
        <f>IF(B9="","",VLOOKUP(AD9,Varsayımlar!$B:$Q,3,0))</f>
        <v>8698829380698</v>
      </c>
      <c r="D9" s="42"/>
      <c r="E9" s="58" t="s">
        <v>296</v>
      </c>
      <c r="F9" s="67">
        <v>28</v>
      </c>
      <c r="G9" s="42" t="s">
        <v>68</v>
      </c>
      <c r="H9" s="67" t="str">
        <f>IF(B9="","",VLOOKUP(AD9,Varsayımlar!$B:$Q,5,0))</f>
        <v>Tortillas 20cm Çok Tahıllı</v>
      </c>
      <c r="I9" s="67">
        <f>IF(B9="","",VLOOKUP(AD9,Varsayımlar!B:T,19,0))</f>
        <v>0</v>
      </c>
      <c r="J9" s="67" t="str">
        <f>IF(B9="","",VLOOKUP(AD9,Varsayımlar!$B:$Q,6,0))</f>
        <v>Çok Tahıllı</v>
      </c>
      <c r="K9" s="67">
        <v>5625</v>
      </c>
      <c r="L9" s="67"/>
      <c r="M9" s="67">
        <f>IFERROR(IF(B9="","",K9/VLOOKUP(AD9,Varsayımlar!B:R,17,0)),"")</f>
        <v>25</v>
      </c>
      <c r="N9" s="67">
        <v>225</v>
      </c>
      <c r="O9" s="67">
        <v>45</v>
      </c>
      <c r="P9" s="67">
        <f>IF(B9="","",VLOOKUP(AD9,Varsayımlar!$B:$Q,7,0)*K9)</f>
        <v>78750</v>
      </c>
      <c r="Q9" s="67">
        <f>IF(B9="","",VLOOKUP(AD9,Varsayımlar!$B:$Q,8,0))</f>
        <v>20</v>
      </c>
      <c r="R9" s="67" t="str">
        <f>IF(B9="","",VLOOKUP(AD9,Varsayımlar!$B:$Q,9,0))</f>
        <v>Irak Soft</v>
      </c>
      <c r="S9" s="67">
        <f>IF(B9="","",VLOOKUP(AD9,Varsayımlar!$B:$Q,10,0))</f>
        <v>4</v>
      </c>
      <c r="T9" s="67">
        <f>IF(B9="","",VLOOKUP(AD9,Varsayımlar!$B:$Q,11,0))</f>
        <v>14</v>
      </c>
      <c r="U9" s="67">
        <f>IF(B9="","",VLOOKUP(AD9,Varsayımlar!$B:$Q,12,0))</f>
        <v>166</v>
      </c>
      <c r="V9" s="67" t="str">
        <f>IF(B9="","",VLOOKUP(AD9,Varsayımlar!$B:$Q,13,0))</f>
        <v>Yurtdışı</v>
      </c>
      <c r="W9" s="67">
        <f>IF(B9="","",VLOOKUP(AD9,Varsayımlar!$B:$Q,14,0))</f>
        <v>9</v>
      </c>
      <c r="X9" s="69">
        <v>46188</v>
      </c>
      <c r="Y9" s="69">
        <v>46461</v>
      </c>
      <c r="Z9" s="67" t="s">
        <v>419</v>
      </c>
      <c r="AA9" s="67" t="str">
        <f>IF(B9="","",VLOOKUP(AD9,Varsayımlar!$B:$Q,15,0))</f>
        <v>SİYAH KARE KOLİ-Üretim Tarihi Etiketli</v>
      </c>
      <c r="AB9" s="67" t="str">
        <f>IF(B9="","",VLOOKUP(AD9,Varsayımlar!$B:$Q,16,0))</f>
        <v>19-21 cm</v>
      </c>
      <c r="AC9" s="58">
        <f>IF(B9="","",VLOOKUP(Sayfa1!AD8,Varsayımlar!B:S,18,0))</f>
        <v>0</v>
      </c>
      <c r="AD9" s="57" t="str">
        <f t="shared" si="0"/>
        <v>SMART LLCTortillas 20cm Çok Tahıllı 4pcs 166g</v>
      </c>
    </row>
    <row r="10" spans="1:30" ht="31.5" customHeight="1" x14ac:dyDescent="0.25">
      <c r="A10" s="8" t="s">
        <v>83</v>
      </c>
      <c r="B10" s="64" t="s">
        <v>335</v>
      </c>
      <c r="C10" s="3">
        <f>IF(B10="","",VLOOKUP(AD10,Varsayımlar!$B:$Q,3,0))</f>
        <v>8698829380698</v>
      </c>
      <c r="D10" s="3"/>
      <c r="E10" s="64" t="s">
        <v>299</v>
      </c>
      <c r="F10" s="64"/>
      <c r="G10" s="3"/>
      <c r="H10" s="64" t="str">
        <f>IF(B10="","",VLOOKUP(AD10,Varsayımlar!$B:$Q,5,0))</f>
        <v>Lazeza 30cm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1700</v>
      </c>
      <c r="L10" s="64"/>
      <c r="M10" s="64" t="str">
        <f>IFERROR(IF(B10="","",K10/VLOOKUP(AD10,Varsayımlar!B:R,17,0)),"")</f>
        <v/>
      </c>
      <c r="N10" s="64"/>
      <c r="O10" s="64">
        <v>27</v>
      </c>
      <c r="P10" s="64">
        <f>IF(B10="","",VLOOKUP(AD10,Varsayımlar!$B:$Q,7,0)*K10)</f>
        <v>30600</v>
      </c>
      <c r="Q10" s="64">
        <f>IF(B10="","",VLOOKUP(AD10,Varsayımlar!$B:$Q,8,0))</f>
        <v>30</v>
      </c>
      <c r="R10" s="64" t="str">
        <f>IF(B10="","",VLOOKUP(AD10,Varsayımlar!$B:$Q,9,0))</f>
        <v>Irak Soft</v>
      </c>
      <c r="S10" s="64">
        <f>IF(B10="","",VLOOKUP(AD10,Varsayımlar!$B:$Q,10,0))</f>
        <v>6</v>
      </c>
      <c r="T10" s="64">
        <f>IF(B10="","",VLOOKUP(AD10,Varsayımlar!$B:$Q,11,0))</f>
        <v>18</v>
      </c>
      <c r="U10" s="64">
        <f>IF(B10="","",VLOOKUP(AD10,Varsayımlar!$B:$Q,12,0))</f>
        <v>510</v>
      </c>
      <c r="V10" s="64" t="str">
        <f>IF(B10="","",VLOOKUP(AD10,Varsayımlar!$B:$Q,13,0))</f>
        <v>Yurtdışı</v>
      </c>
      <c r="W10" s="64">
        <f>IF(B10="","",VLOOKUP(AD10,Varsayımlar!$B:$Q,14,0))</f>
        <v>6</v>
      </c>
      <c r="X10" s="66"/>
      <c r="Y10" s="66"/>
      <c r="Z10" s="64"/>
      <c r="AA10" s="64" t="str">
        <f>IF(B10="","",VLOOKUP(AD10,Varsayımlar!$B:$Q,15,0))</f>
        <v>Lazeza Kolisi</v>
      </c>
      <c r="AB10" s="64" t="str">
        <f>IF(B10="","",VLOOKUP(AD10,Varsayımlar!$B:$Q,16,0))</f>
        <v>29-31 cm</v>
      </c>
      <c r="AC10" s="64">
        <f>IF(B10="","",VLOOKUP(Sayfa1!AD10,Varsayımlar!B:S,18,0))</f>
        <v>0</v>
      </c>
      <c r="AD10" s="57" t="str">
        <f t="shared" si="0"/>
        <v>AjjawiLazeza 30 cm 6pcs 510g</v>
      </c>
    </row>
    <row r="11" spans="1:30" ht="31.5" customHeight="1" x14ac:dyDescent="0.25">
      <c r="A11" s="8" t="s">
        <v>85</v>
      </c>
      <c r="B11" s="80" t="s">
        <v>53</v>
      </c>
      <c r="C11" s="44">
        <f>IF(B11="","",VLOOKUP(AD11,Varsayımlar!$B:$Q,3,0))</f>
        <v>8698829380698</v>
      </c>
      <c r="D11" s="80" t="s">
        <v>394</v>
      </c>
      <c r="E11" s="80" t="s">
        <v>54</v>
      </c>
      <c r="F11" s="80"/>
      <c r="G11" s="80" t="s">
        <v>395</v>
      </c>
      <c r="H11" s="80" t="str">
        <f>IF(B11="","",VLOOKUP(AD11,Varsayımlar!$B:$Q,5,0))</f>
        <v>MAGNİT MAVİ AMBALAJ 25CM</v>
      </c>
      <c r="I11" s="80">
        <f>IF(B11="","",VLOOKUP(AD11,Varsayımlar!B:T,19,0))</f>
        <v>0</v>
      </c>
      <c r="J11" s="80" t="str">
        <f>IF(B11="","",VLOOKUP(AD11,Varsayımlar!$B:$Q,6,0))</f>
        <v>SADE</v>
      </c>
      <c r="K11" s="80">
        <v>2016</v>
      </c>
      <c r="L11" s="80"/>
      <c r="M11" s="80" t="str">
        <f>IFERROR(IF(B11="","",K11/VLOOKUP(AD11,#REF!,17,0)),"")</f>
        <v/>
      </c>
      <c r="N11" s="80"/>
      <c r="O11" s="80">
        <v>18</v>
      </c>
      <c r="P11" s="80">
        <f>IF(B11="","",VLOOKUP(AD11,Varsayımlar!$B:$Q,7,0)*K11)</f>
        <v>60480</v>
      </c>
      <c r="Q11" s="80">
        <f>IF(B11="","",VLOOKUP(AD11,Varsayımlar!$B:$Q,8,0))</f>
        <v>25</v>
      </c>
      <c r="R11" s="80" t="str">
        <f>IF(B11="","",VLOOKUP(AD11,Varsayımlar!$B:$Q,9,0))</f>
        <v>SOFT</v>
      </c>
      <c r="S11" s="80">
        <f>IF(B11="","",VLOOKUP(AD11,Varsayımlar!$B:$Q,10,0))</f>
        <v>4</v>
      </c>
      <c r="T11" s="80">
        <f>IF(B11="","",VLOOKUP(AD11,Varsayımlar!$B:$Q,11,0))</f>
        <v>30</v>
      </c>
      <c r="U11" s="80">
        <f>IF(B11="","",VLOOKUP(AD11,Varsayımlar!$B:$Q,12,0))</f>
        <v>260</v>
      </c>
      <c r="V11" s="80" t="str">
        <f>IF(B11="","",VLOOKUP(AD11,Varsayımlar!$B:$Q,13,0))</f>
        <v>YURTDIŞI</v>
      </c>
      <c r="W11" s="80">
        <f>IF(B11="","",VLOOKUP(AD11,Varsayımlar!$B:$Q,14,0))</f>
        <v>9</v>
      </c>
      <c r="X11" s="81">
        <v>46190</v>
      </c>
      <c r="Y11" s="81">
        <v>46463</v>
      </c>
      <c r="Z11" s="80" t="s">
        <v>396</v>
      </c>
      <c r="AA11" s="80" t="str">
        <f>IF(B11="","",VLOOKUP(AD11,Varsayımlar!$B:$Q,15,0))</f>
        <v>25CM TURUNCU KOLİ-SOL ÜST DİKDÖRTGENE ÜRETİM TARİHİ BASILACAK</v>
      </c>
      <c r="AB11" s="80" t="str">
        <f>IF(B11="","",VLOOKUP(AD11,Varsayımlar!$B:$Q,16,0))</f>
        <v>24-26 CM</v>
      </c>
      <c r="AC11" s="73" t="e">
        <f>IF(B11="","",VLOOKUP(#REF!,#REF!,18,0))</f>
        <v>#REF!</v>
      </c>
      <c r="AD11" s="73" t="str">
        <f>IF(B11="","",CONCATENATE(B11,E11))</f>
        <v>MAGNİTMAGNİT MAVİ AMBALAJ 25 CM 260G</v>
      </c>
    </row>
    <row r="12" spans="1:30" ht="31.5" customHeight="1" x14ac:dyDescent="0.25">
      <c r="A12" s="8" t="s">
        <v>86</v>
      </c>
      <c r="B12" s="64" t="s">
        <v>53</v>
      </c>
      <c r="C12" s="3">
        <f>IF(B12="","",VLOOKUP(AD12,Varsayımlar!$B:$Q,3,0))</f>
        <v>8698829380698</v>
      </c>
      <c r="D12" s="64" t="s">
        <v>397</v>
      </c>
      <c r="E12" s="64" t="s">
        <v>54</v>
      </c>
      <c r="F12" s="64"/>
      <c r="G12" s="64" t="s">
        <v>398</v>
      </c>
      <c r="H12" s="64" t="str">
        <f>IF(B12="","",VLOOKUP(AD12,Varsayımlar!$B:$Q,5,0))</f>
        <v>MAGNİT MAVİ AMBALAJ 25CM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2016</v>
      </c>
      <c r="L12" s="64"/>
      <c r="M12" s="64" t="str">
        <f>IFERROR(IF(B12="","",K12/VLOOKUP(AD12,#REF!,17,0)),"")</f>
        <v/>
      </c>
      <c r="N12" s="64"/>
      <c r="O12" s="64">
        <v>18</v>
      </c>
      <c r="P12" s="64">
        <f>IF(B12="","",VLOOKUP(AD12,Varsayımlar!$B:$Q,7,0)*K12)</f>
        <v>60480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9</v>
      </c>
      <c r="X12" s="66">
        <v>46190</v>
      </c>
      <c r="Y12" s="66">
        <v>46463</v>
      </c>
      <c r="Z12" s="64" t="s">
        <v>399</v>
      </c>
      <c r="AA12" s="64" t="str">
        <f>IF(B12="","",VLOOKUP(AD12,Varsayımlar!$B:$Q,15,0))</f>
        <v>25CM TURUNCU KOLİ-SOL ÜST DİKDÖRTGENE ÜRETİM TARİHİ BASILACAK</v>
      </c>
      <c r="AB12" s="64" t="str">
        <f>IF(B12="","",VLOOKUP(AD12,Varsayımlar!$B:$Q,16,0))</f>
        <v>24-26 CM</v>
      </c>
      <c r="AC12" s="73" t="e">
        <f>IF(B12="","",VLOOKUP(#REF!,#REF!,18,0))</f>
        <v>#REF!</v>
      </c>
      <c r="AD12" s="73" t="str">
        <f>IF(B12="","",CONCATENATE(B12,E12))</f>
        <v>MAGNİTMAGNİT MAVİ AMBALAJ 25 CM 260G</v>
      </c>
    </row>
    <row r="13" spans="1:30" ht="31.5" customHeight="1" x14ac:dyDescent="0.25">
      <c r="A13" s="8" t="s">
        <v>87</v>
      </c>
      <c r="B13" s="67" t="s">
        <v>53</v>
      </c>
      <c r="C13" s="42">
        <f>IF(B13="","",VLOOKUP(AD13,Varsayımlar!$B:$Q,3,0))</f>
        <v>8698829380698</v>
      </c>
      <c r="D13" s="67" t="s">
        <v>400</v>
      </c>
      <c r="E13" s="67" t="s">
        <v>54</v>
      </c>
      <c r="F13" s="67"/>
      <c r="G13" s="67" t="s">
        <v>401</v>
      </c>
      <c r="H13" s="67" t="str">
        <f>IF(B13="","",VLOOKUP(AD13,Varsayımlar!$B:$Q,5,0))</f>
        <v>MAGNİT MAVİ AMBALAJ 25CM</v>
      </c>
      <c r="I13" s="67">
        <f>IF(B13="","",VLOOKUP(AD13,Varsayımlar!B:T,19,0))</f>
        <v>0</v>
      </c>
      <c r="J13" s="67" t="str">
        <f>IF(B13="","",VLOOKUP(AD13,Varsayımlar!$B:$Q,6,0))</f>
        <v>SADE</v>
      </c>
      <c r="K13" s="67">
        <v>2016</v>
      </c>
      <c r="L13" s="67"/>
      <c r="M13" s="67" t="str">
        <f>IFERROR(IF(B13="","",K13/VLOOKUP(AD13,#REF!,17,0)),"")</f>
        <v/>
      </c>
      <c r="N13" s="67"/>
      <c r="O13" s="67">
        <v>18</v>
      </c>
      <c r="P13" s="67">
        <f>IF(B13="","",VLOOKUP(AD13,Varsayımlar!$B:$Q,7,0)*K13)</f>
        <v>60480</v>
      </c>
      <c r="Q13" s="67">
        <f>IF(B13="","",VLOOKUP(AD13,Varsayımlar!$B:$Q,8,0))</f>
        <v>25</v>
      </c>
      <c r="R13" s="67" t="str">
        <f>IF(B13="","",VLOOKUP(AD13,Varsayımlar!$B:$Q,9,0))</f>
        <v>SOFT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260</v>
      </c>
      <c r="V13" s="67" t="str">
        <f>IF(B13="","",VLOOKUP(AD13,Varsayımlar!$B:$Q,13,0))</f>
        <v>YURTDIŞI</v>
      </c>
      <c r="W13" s="67">
        <f>IF(B13="","",VLOOKUP(AD13,Varsayımlar!$B:$Q,14,0))</f>
        <v>9</v>
      </c>
      <c r="X13" s="69">
        <v>46191</v>
      </c>
      <c r="Y13" s="69">
        <v>46464</v>
      </c>
      <c r="Z13" s="67" t="s">
        <v>402</v>
      </c>
      <c r="AA13" s="67" t="str">
        <f>IF(B13="","",VLOOKUP(AD13,Varsayımlar!$B:$Q,15,0))</f>
        <v>25CM TURUNCU KOLİ-SOL ÜST DİKDÖRTGENE ÜRETİM TARİHİ BASILACAK</v>
      </c>
      <c r="AB13" s="67" t="str">
        <f>IF(B13="","",VLOOKUP(AD13,Varsayımlar!$B:$Q,16,0))</f>
        <v>24-26 CM</v>
      </c>
      <c r="AC13" s="73" t="e">
        <f>IF(B13="","",VLOOKUP(#REF!,#REF!,18,0))</f>
        <v>#REF!</v>
      </c>
      <c r="AD13" s="73" t="str">
        <f>IF(B13="","",CONCATENATE(B13,E13))</f>
        <v>MAGNİTMAGNİT MAVİ AMBALAJ 25 CM 260G</v>
      </c>
    </row>
    <row r="14" spans="1:30" ht="31.5" customHeight="1" x14ac:dyDescent="0.25">
      <c r="A14" s="8" t="s">
        <v>88</v>
      </c>
      <c r="B14" s="117" t="s">
        <v>53</v>
      </c>
      <c r="C14" s="118">
        <f>IF(B14="","",VLOOKUP(AD14,Varsayımlar!$B:$Q,3,0))</f>
        <v>8698829380698</v>
      </c>
      <c r="D14" s="117" t="s">
        <v>403</v>
      </c>
      <c r="E14" s="117" t="s">
        <v>54</v>
      </c>
      <c r="F14" s="117"/>
      <c r="G14" s="117" t="s">
        <v>404</v>
      </c>
      <c r="H14" s="117" t="str">
        <f>IF(B14="","",VLOOKUP(AD14,Varsayımlar!$B:$Q,5,0))</f>
        <v>MAGNİT MAVİ AMBALAJ 25CM</v>
      </c>
      <c r="I14" s="117">
        <f>IF(B14="","",VLOOKUP(AD14,Varsayımlar!B:T,19,0))</f>
        <v>0</v>
      </c>
      <c r="J14" s="117" t="str">
        <f>IF(B14="","",VLOOKUP(AD14,Varsayımlar!$B:$Q,6,0))</f>
        <v>SADE</v>
      </c>
      <c r="K14" s="117">
        <v>2016</v>
      </c>
      <c r="L14" s="117"/>
      <c r="M14" s="117" t="str">
        <f>IFERROR(IF(B14="","",K14/VLOOKUP(AD14,#REF!,17,0)),"")</f>
        <v/>
      </c>
      <c r="N14" s="117"/>
      <c r="O14" s="117">
        <v>18</v>
      </c>
      <c r="P14" s="117">
        <f>IF(B14="","",VLOOKUP(AD14,Varsayımlar!$B:$Q,7,0)*K14)</f>
        <v>60480</v>
      </c>
      <c r="Q14" s="117">
        <f>IF(B14="","",VLOOKUP(AD14,Varsayımlar!$B:$Q,8,0))</f>
        <v>25</v>
      </c>
      <c r="R14" s="117" t="str">
        <f>IF(B14="","",VLOOKUP(AD14,Varsayımlar!$B:$Q,9,0))</f>
        <v>SOFT</v>
      </c>
      <c r="S14" s="117">
        <f>IF(B14="","",VLOOKUP(AD14,Varsayımlar!$B:$Q,10,0))</f>
        <v>4</v>
      </c>
      <c r="T14" s="117">
        <f>IF(B14="","",VLOOKUP(AD14,Varsayımlar!$B:$Q,11,0))</f>
        <v>30</v>
      </c>
      <c r="U14" s="117">
        <f>IF(B14="","",VLOOKUP(AD14,Varsayımlar!$B:$Q,12,0))</f>
        <v>260</v>
      </c>
      <c r="V14" s="117" t="str">
        <f>IF(B14="","",VLOOKUP(AD14,Varsayımlar!$B:$Q,13,0))</f>
        <v>YURTDIŞI</v>
      </c>
      <c r="W14" s="117">
        <f>IF(B14="","",VLOOKUP(AD14,Varsayımlar!$B:$Q,14,0))</f>
        <v>9</v>
      </c>
      <c r="X14" s="122">
        <v>46193</v>
      </c>
      <c r="Y14" s="122">
        <v>46466</v>
      </c>
      <c r="Z14" s="117" t="s">
        <v>405</v>
      </c>
      <c r="AA14" s="117" t="str">
        <f>IF(B14="","",VLOOKUP(AD14,Varsayımlar!$B:$Q,15,0))</f>
        <v>25CM TURUNCU KOLİ-SOL ÜST DİKDÖRTGENE ÜRETİM TARİHİ BASILACAK</v>
      </c>
      <c r="AB14" s="117" t="str">
        <f>IF(B14="","",VLOOKUP(AD14,Varsayımlar!$B:$Q,16,0))</f>
        <v>24-26 CM</v>
      </c>
      <c r="AC14" s="73" t="e">
        <f>IF(B14="","",VLOOKUP(#REF!,#REF!,18,0))</f>
        <v>#REF!</v>
      </c>
      <c r="AD14" s="73" t="str">
        <f>IF(B14="","",CONCATENATE(B14,E14))</f>
        <v>MAGNİTMAGNİT MAVİ AMBALAJ 25 CM 260G</v>
      </c>
    </row>
    <row r="15" spans="1:30" ht="31.5" customHeight="1" x14ac:dyDescent="0.25">
      <c r="A15" s="8" t="s">
        <v>89</v>
      </c>
      <c r="B15" s="67" t="s">
        <v>53</v>
      </c>
      <c r="C15" s="42">
        <f>IF(B15="","",VLOOKUP(AD15,Varsayımlar!$B:$Q,3,0))</f>
        <v>8698829380698</v>
      </c>
      <c r="D15" s="67" t="s">
        <v>406</v>
      </c>
      <c r="E15" s="67" t="s">
        <v>54</v>
      </c>
      <c r="F15" s="67"/>
      <c r="G15" s="67" t="s">
        <v>407</v>
      </c>
      <c r="H15" s="67" t="str">
        <f>IF(B15="","",VLOOKUP(AD15,Varsayımlar!$B:$Q,5,0))</f>
        <v>MAGNİT MAVİ AMBALAJ 25CM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2016</v>
      </c>
      <c r="L15" s="67"/>
      <c r="M15" s="67" t="str">
        <f>IFERROR(IF(B15="","",K15/VLOOKUP(AD15,#REF!,17,0)),"")</f>
        <v/>
      </c>
      <c r="N15" s="67"/>
      <c r="O15" s="67">
        <v>18</v>
      </c>
      <c r="P15" s="67">
        <f>IF(B15="","",VLOOKUP(AD15,Varsayımlar!$B:$Q,7,0)*K15)</f>
        <v>60480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9</v>
      </c>
      <c r="X15" s="69">
        <v>46193</v>
      </c>
      <c r="Y15" s="69">
        <v>46466</v>
      </c>
      <c r="Z15" s="67" t="s">
        <v>408</v>
      </c>
      <c r="AA15" s="67" t="str">
        <f>IF(B15="","",VLOOKUP(AD15,Varsayımlar!$B:$Q,15,0))</f>
        <v>25CM TURUNCU KOLİ-SOL ÜST DİKDÖRTGENE ÜRETİM TARİHİ BASILACAK</v>
      </c>
      <c r="AB15" s="67" t="str">
        <f>IF(B15="","",VLOOKUP(AD15,Varsayımlar!$B:$Q,16,0))</f>
        <v>24-26 CM</v>
      </c>
      <c r="AC15" s="73" t="e">
        <f>IF(B15="","",VLOOKUP(#REF!,#REF!,18,0))</f>
        <v>#REF!</v>
      </c>
      <c r="AD15" s="73" t="str">
        <f>IF(B15="","",CONCATENATE(B15,E15))</f>
        <v>MAGNİTMAGNİT MAVİ AMBALAJ 25 CM 260G</v>
      </c>
    </row>
    <row r="16" spans="1:30" ht="31.5" x14ac:dyDescent="0.25">
      <c r="A16" s="8" t="s">
        <v>90</v>
      </c>
      <c r="B16" s="67" t="s">
        <v>64</v>
      </c>
      <c r="C16" s="42">
        <f>IF(B16="","",VLOOKUP(AD16,Varsayımlar!$B:$Q,3,0))</f>
        <v>8698829380698</v>
      </c>
      <c r="D16" s="42"/>
      <c r="E16" s="67" t="s">
        <v>296</v>
      </c>
      <c r="F16" s="67">
        <v>30</v>
      </c>
      <c r="G16" s="42" t="s">
        <v>68</v>
      </c>
      <c r="H16" s="67" t="str">
        <f>IF(B16="","",VLOOKUP(AD16,Varsayımlar!$B:$Q,5,0))</f>
        <v>Tortillas 20cm Çok Tahıllı</v>
      </c>
      <c r="I16" s="67">
        <f>IF(B16="","",VLOOKUP(AD16,Varsayımlar!B:T,19,0))</f>
        <v>0</v>
      </c>
      <c r="J16" s="67" t="str">
        <f>IF(B16="","",VLOOKUP(AD16,Varsayımlar!$B:$Q,6,0))</f>
        <v>Çok Tahıllı</v>
      </c>
      <c r="K16" s="67">
        <v>225</v>
      </c>
      <c r="L16" s="67"/>
      <c r="M16" s="67">
        <f>IFERROR(IF(B16="","",K16/VLOOKUP(AD16,Varsayımlar!B:R,17,0)),"")</f>
        <v>1</v>
      </c>
      <c r="N16" s="67"/>
      <c r="O16" s="67">
        <v>2</v>
      </c>
      <c r="P16" s="67">
        <f>IF(B16="","",VLOOKUP(AD16,Varsayımlar!$B:$Q,7,0)*K16)</f>
        <v>3150</v>
      </c>
      <c r="Q16" s="67">
        <f>IF(B16="","",VLOOKUP(AD16,Varsayımlar!$B:$Q,8,0))</f>
        <v>20</v>
      </c>
      <c r="R16" s="67" t="str">
        <f>IF(B16="","",VLOOKUP(AD16,Varsayımlar!$B:$Q,9,0))</f>
        <v>Irak Soft</v>
      </c>
      <c r="S16" s="67">
        <f>IF(B16="","",VLOOKUP(AD16,Varsayımlar!$B:$Q,10,0))</f>
        <v>4</v>
      </c>
      <c r="T16" s="67">
        <f>IF(B16="","",VLOOKUP(AD16,Varsayımlar!$B:$Q,11,0))</f>
        <v>14</v>
      </c>
      <c r="U16" s="67">
        <f>IF(B16="","",VLOOKUP(AD16,Varsayımlar!$B:$Q,12,0))</f>
        <v>166</v>
      </c>
      <c r="V16" s="67" t="str">
        <f>IF(B16="","",VLOOKUP(AD16,Varsayımlar!$B:$Q,13,0))</f>
        <v>Yurtdışı</v>
      </c>
      <c r="W16" s="67">
        <f>IF(B16="","",VLOOKUP(AD16,Varsayımlar!$B:$Q,14,0))</f>
        <v>9</v>
      </c>
      <c r="X16" s="69">
        <v>46195</v>
      </c>
      <c r="Y16" s="69">
        <v>46468</v>
      </c>
      <c r="Z16" s="67" t="s">
        <v>338</v>
      </c>
      <c r="AA16" s="67" t="str">
        <f>IF(B16="","",VLOOKUP(AD16,Varsayımlar!$B:$Q,15,0))</f>
        <v>SİYAH KARE KOLİ-Üretim Tarihi Etiketli</v>
      </c>
      <c r="AB16" s="67" t="str">
        <f>IF(B16="","",VLOOKUP(AD16,Varsayımlar!$B:$Q,16,0))</f>
        <v>19-21 cm</v>
      </c>
      <c r="AC16" s="67">
        <f>IF(B16="","",VLOOKUP(Sayfa1!AD14,Varsayımlar!B:S,18,0))</f>
        <v>0</v>
      </c>
      <c r="AD16" s="57" t="str">
        <f t="shared" si="0"/>
        <v>SMART LLCTortillas 20cm Çok Tahıllı 4pcs 166g</v>
      </c>
    </row>
    <row r="17" spans="1:30" ht="31.5" x14ac:dyDescent="0.25">
      <c r="A17" s="8" t="s">
        <v>91</v>
      </c>
      <c r="B17" s="64" t="s">
        <v>64</v>
      </c>
      <c r="C17" s="3">
        <f>IF(B17="","",VLOOKUP(AD17,Varsayımlar!$B:$Q,3,0))</f>
        <v>8698829380698</v>
      </c>
      <c r="D17" s="3"/>
      <c r="E17" s="64" t="s">
        <v>296</v>
      </c>
      <c r="F17" s="64">
        <v>31</v>
      </c>
      <c r="G17" s="3" t="s">
        <v>68</v>
      </c>
      <c r="H17" s="64" t="str">
        <f>IF(B17="","",VLOOKUP(AD17,Varsayımlar!$B:$Q,5,0))</f>
        <v>Tortillas 20cm Çok Tahıllı</v>
      </c>
      <c r="I17" s="64">
        <f>IF(B17="","",VLOOKUP(AD17,Varsayımlar!B:T,19,0))</f>
        <v>0</v>
      </c>
      <c r="J17" s="64" t="str">
        <f>IF(B17="","",VLOOKUP(AD17,Varsayımlar!$B:$Q,6,0))</f>
        <v>Çok Tahıllı</v>
      </c>
      <c r="K17" s="64">
        <v>1800</v>
      </c>
      <c r="L17" s="64"/>
      <c r="M17" s="64">
        <f>IFERROR(IF(B17="","",K17/VLOOKUP(AD17,Varsayımlar!B:R,17,0)),"")</f>
        <v>8</v>
      </c>
      <c r="N17" s="64"/>
      <c r="O17" s="64">
        <v>15</v>
      </c>
      <c r="P17" s="64">
        <f>IF(B17="","",VLOOKUP(AD17,Varsayımlar!$B:$Q,7,0)*K17)</f>
        <v>25200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4</v>
      </c>
      <c r="T17" s="64">
        <f>IF(B17="","",VLOOKUP(AD17,Varsayımlar!$B:$Q,11,0))</f>
        <v>14</v>
      </c>
      <c r="U17" s="64">
        <f>IF(B17="","",VLOOKUP(AD17,Varsayımlar!$B:$Q,12,0))</f>
        <v>166</v>
      </c>
      <c r="V17" s="64" t="str">
        <f>IF(B17="","",VLOOKUP(AD17,Varsayımlar!$B:$Q,13,0))</f>
        <v>Yurtdışı</v>
      </c>
      <c r="W17" s="64">
        <f>IF(B17="","",VLOOKUP(AD17,Varsayımlar!$B:$Q,14,0))</f>
        <v>9</v>
      </c>
      <c r="X17" s="66">
        <v>46196</v>
      </c>
      <c r="Y17" s="66">
        <v>46469</v>
      </c>
      <c r="Z17" s="64" t="s">
        <v>339</v>
      </c>
      <c r="AA17" s="64" t="str">
        <f>IF(B17="","",VLOOKUP(AD17,Varsayımlar!$B:$Q,15,0))</f>
        <v>SİYAH KARE KOLİ-Üretim Tarihi Etiketli</v>
      </c>
      <c r="AB17" s="64" t="str">
        <f>IF(B17="","",VLOOKUP(AD17,Varsayımlar!$B:$Q,16,0))</f>
        <v>19-21 cm</v>
      </c>
      <c r="AC17" s="64">
        <f>IF(B17="","",VLOOKUP(Sayfa1!AD15,Varsayımlar!B:S,18,0))</f>
        <v>0</v>
      </c>
      <c r="AD17" s="57" t="str">
        <f t="shared" si="0"/>
        <v>SMART LLCTortillas 20cm Çok Tahıllı 4pcs 166g</v>
      </c>
    </row>
    <row r="18" spans="1:30" ht="31.5" x14ac:dyDescent="0.25">
      <c r="A18" s="8" t="s">
        <v>92</v>
      </c>
      <c r="B18" s="67" t="s">
        <v>64</v>
      </c>
      <c r="C18" s="42">
        <f>IF(B18="","",VLOOKUP(AD18,Varsayımlar!$B:$Q,3,0))</f>
        <v>8698829380698</v>
      </c>
      <c r="D18" s="42"/>
      <c r="E18" s="67" t="s">
        <v>65</v>
      </c>
      <c r="F18" s="67">
        <v>30</v>
      </c>
      <c r="G18" s="42" t="s">
        <v>68</v>
      </c>
      <c r="H18" s="67" t="str">
        <f>IF(B18="","",VLOOKUP(AD18,Varsayımlar!$B:$Q,5,0))</f>
        <v>TORTİLLAS 20CM (SAMAKAT BİLGİLERİ EKLİ)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6975</v>
      </c>
      <c r="L18" s="67">
        <v>225</v>
      </c>
      <c r="M18" s="67">
        <f>IFERROR(IF(B18="","",K18/VLOOKUP(AD18,Varsayımlar!B:R,17,0)),"")</f>
        <v>31</v>
      </c>
      <c r="N18" s="67"/>
      <c r="O18" s="67">
        <v>56</v>
      </c>
      <c r="P18" s="67">
        <f>IF(B18="","",VLOOKUP(AD18,Varsayımlar!$B:$Q,7,0)*K18)</f>
        <v>97650</v>
      </c>
      <c r="Q18" s="67">
        <f>IF(B18="","",VLOOKUP(AD18,Varsayımlar!$B:$Q,8,0))</f>
        <v>20</v>
      </c>
      <c r="R18" s="67" t="str">
        <f>IF(B18="","",VLOOKUP(AD18,Varsayımlar!$B:$Q,9,0))</f>
        <v>IRAK SOFT</v>
      </c>
      <c r="S18" s="67">
        <f>IF(B18="","",VLOOKUP(AD18,Varsayımlar!$B:$Q,10,0))</f>
        <v>4</v>
      </c>
      <c r="T18" s="67">
        <f>IF(B18="","",VLOOKUP(AD18,Varsayımlar!$B:$Q,11,0))</f>
        <v>14</v>
      </c>
      <c r="U18" s="67">
        <f>IF(B18="","",VLOOKUP(AD18,Varsayımlar!$B:$Q,12,0))</f>
        <v>166</v>
      </c>
      <c r="V18" s="67" t="str">
        <f>IF(B18="","",VLOOKUP(AD18,Varsayımlar!$B:$Q,13,0))</f>
        <v>YURTDIŞI</v>
      </c>
      <c r="W18" s="67">
        <f>IF(B18="","",VLOOKUP(AD18,Varsayımlar!$B:$Q,14,0))</f>
        <v>9</v>
      </c>
      <c r="X18" s="69">
        <v>46195</v>
      </c>
      <c r="Y18" s="69">
        <v>46468</v>
      </c>
      <c r="Z18" s="67">
        <v>26062220</v>
      </c>
      <c r="AA18" s="67" t="str">
        <f>IF(B18="","",VLOOKUP(AD18,Varsayımlar!$B:$Q,15,0))</f>
        <v>SİYAH KARE KOLİ- Üretim Tarihi Etiketli</v>
      </c>
      <c r="AB18" s="67" t="str">
        <f>IF(B18="","",VLOOKUP(AD18,Varsayımlar!$B:$Q,16,0))</f>
        <v>19-21 CM</v>
      </c>
      <c r="AC18" s="67">
        <f>IF(B18="","",VLOOKUP(Sayfa1!AD16,Varsayımlar!B:S,18,0))</f>
        <v>0</v>
      </c>
      <c r="AD18" s="57" t="str">
        <f>IF(B18="","",CONCATENATE(B18,E18))</f>
        <v>SMART LLCTORTİLLAS SAMAKAT 20CM 166G</v>
      </c>
    </row>
    <row r="19" spans="1:30" ht="31.5" x14ac:dyDescent="0.25">
      <c r="A19" s="8" t="s">
        <v>93</v>
      </c>
      <c r="B19" s="64" t="s">
        <v>64</v>
      </c>
      <c r="C19" s="3">
        <f>IF(B19="","",VLOOKUP(AD19,Varsayımlar!$B:$Q,3,0))</f>
        <v>8698829380698</v>
      </c>
      <c r="D19" s="3"/>
      <c r="E19" s="64" t="s">
        <v>176</v>
      </c>
      <c r="F19" s="64">
        <v>31</v>
      </c>
      <c r="G19" s="3" t="s">
        <v>68</v>
      </c>
      <c r="H19" s="64" t="str">
        <f>IF(B19="","",VLOOKUP(AD19,Varsayımlar!$B:$Q,5,0))</f>
        <v>Tortillas 20cm (Samakat Bilgileri Ekli)</v>
      </c>
      <c r="I19" s="64">
        <f>IF(B19="","",VLOOKUP(AD19,Varsayımlar!B:T,19,0))</f>
        <v>0</v>
      </c>
      <c r="J19" s="64" t="str">
        <f>IF(B19="","",VLOOKUP(AD19,Varsayımlar!$B:$Q,6,0))</f>
        <v>PEYNİRLİ</v>
      </c>
      <c r="K19" s="64">
        <v>2925</v>
      </c>
      <c r="L19" s="64"/>
      <c r="M19" s="64">
        <f>IFERROR(IF(B19="","",K19/VLOOKUP(AD19,Varsayımlar!B:R,17,0)),"")</f>
        <v>13</v>
      </c>
      <c r="N19" s="64"/>
      <c r="O19" s="64">
        <v>24</v>
      </c>
      <c r="P19" s="64">
        <f>IF(B19="","",VLOOKUP(AD19,Varsayımlar!$B:$Q,7,0)*K19)</f>
        <v>40950</v>
      </c>
      <c r="Q19" s="64">
        <f>IF(B19="","",VLOOKUP(AD19,Varsayımlar!$B:$Q,8,0))</f>
        <v>20</v>
      </c>
      <c r="R19" s="64" t="str">
        <f>IF(B19="","",VLOOKUP(AD19,Varsayımlar!$B:$Q,9,0))</f>
        <v>IRAK SOFT-AT</v>
      </c>
      <c r="S19" s="64">
        <f>IF(B19="","",VLOOKUP(AD19,Varsayımlar!$B:$Q,10,0))</f>
        <v>4</v>
      </c>
      <c r="T19" s="64">
        <f>IF(B19="","",VLOOKUP(AD19,Varsayımlar!$B:$Q,11,0))</f>
        <v>14</v>
      </c>
      <c r="U19" s="64">
        <f>IF(B19="","",VLOOKUP(AD19,Varsayımlar!$B:$Q,12,0))</f>
        <v>166</v>
      </c>
      <c r="V19" s="64" t="str">
        <f>IF(B19="","",VLOOKUP(AD19,Varsayımlar!$B:$Q,13,0))</f>
        <v>YURTDIŞI</v>
      </c>
      <c r="W19" s="64">
        <f>IF(B19="","",VLOOKUP(AD19,Varsayımlar!$B:$Q,14,0))</f>
        <v>9</v>
      </c>
      <c r="X19" s="66">
        <v>46196</v>
      </c>
      <c r="Y19" s="66">
        <v>46469</v>
      </c>
      <c r="Z19" s="64" t="s">
        <v>340</v>
      </c>
      <c r="AA19" s="64" t="str">
        <f>IF(B19="","",VLOOKUP(AD19,Varsayımlar!$B:$Q,15,0))</f>
        <v>Kare Koli-Üretim Tarihli Etiket</v>
      </c>
      <c r="AB19" s="64" t="str">
        <f>IF(B19="","",VLOOKUP(AD19,Varsayımlar!$B:$Q,16,0))</f>
        <v>19-21 cm</v>
      </c>
      <c r="AC19" s="64">
        <f>IF(B19="","",VLOOKUP(Sayfa1!AD17,Varsayımlar!B:S,18,0))</f>
        <v>0</v>
      </c>
      <c r="AD19" s="57" t="str">
        <f t="shared" si="0"/>
        <v>SMART LLCTortillas 20cm Peynirli 4pcs 166g</v>
      </c>
    </row>
    <row r="20" spans="1:30" ht="47.25" x14ac:dyDescent="0.25">
      <c r="A20" s="8" t="s">
        <v>135</v>
      </c>
      <c r="B20" s="67" t="s">
        <v>268</v>
      </c>
      <c r="C20" s="42">
        <f>IF(B20="","",VLOOKUP(AD20,Varsayımlar!$B:$Q,3,0))</f>
        <v>8698829380698</v>
      </c>
      <c r="D20" s="42" t="s">
        <v>159</v>
      </c>
      <c r="E20" s="67" t="s">
        <v>269</v>
      </c>
      <c r="F20" s="67">
        <v>20250825</v>
      </c>
      <c r="G20" s="42" t="s">
        <v>68</v>
      </c>
      <c r="H20" s="67" t="str">
        <f>IF(B20="","",VLOOKUP(AD20,Varsayımlar!$B:$Q,5,0))</f>
        <v>Tortillas 25cm Tam Buğday</v>
      </c>
      <c r="I20" s="67">
        <f>IF(B20="","",VLOOKUP(AD20,Varsayımlar!B:T,19,0))</f>
        <v>0</v>
      </c>
      <c r="J20" s="67" t="str">
        <f>IF(B20="","",VLOOKUP(AD20,Varsayımlar!$B:$Q,6,0))</f>
        <v>Tam Buğdaylı</v>
      </c>
      <c r="K20" s="67">
        <v>252</v>
      </c>
      <c r="L20" s="67"/>
      <c r="M20" s="67">
        <f>IFERROR(IF(B20="","",K20/VLOOKUP(AD20,Varsayımlar!B:R,17,0)),"")</f>
        <v>3</v>
      </c>
      <c r="N20" s="67"/>
      <c r="O20" s="67">
        <v>5</v>
      </c>
      <c r="P20" s="67">
        <f>IF(B20="","",VLOOKUP(AD20,Varsayımlar!$B:$Q,7,0)*K20)</f>
        <v>7560</v>
      </c>
      <c r="Q20" s="67">
        <f>IF(B20="","",VLOOKUP(AD20,Varsayımlar!$B:$Q,8,0))</f>
        <v>25</v>
      </c>
      <c r="R20" s="67" t="str">
        <f>IF(B20="","",VLOOKUP(AD20,Varsayımlar!$B:$Q,9,0))</f>
        <v>Soft-PA3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240</v>
      </c>
      <c r="V20" s="67" t="str">
        <f>IF(B20="","",VLOOKUP(AD20,Varsayımlar!$B:$Q,13,0))</f>
        <v>Yurtdışı</v>
      </c>
      <c r="W20" s="67">
        <f>IF(B20="","",VLOOKUP(AD20,Varsayımlar!$B:$Q,14,0))</f>
        <v>12</v>
      </c>
      <c r="X20" s="69">
        <v>46199</v>
      </c>
      <c r="Y20" s="69">
        <v>46564</v>
      </c>
      <c r="Z20" s="67" t="s">
        <v>374</v>
      </c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IF(B20="","",VLOOKUP(Sayfa1!AD23,Varsayımlar!B:S,18,0))</f>
        <v>80x120cm</v>
      </c>
      <c r="AD20" s="57" t="str">
        <f t="shared" si="0"/>
        <v>LAIKYUZHN-BELARUSTortillas 25cm Tam buğday 4pcs 240g</v>
      </c>
    </row>
    <row r="21" spans="1:30" ht="47.25" x14ac:dyDescent="0.25">
      <c r="A21" s="8" t="s">
        <v>136</v>
      </c>
      <c r="B21" s="67" t="s">
        <v>268</v>
      </c>
      <c r="C21" s="42">
        <f>IF(B21="","",VLOOKUP(AD21,Varsayımlar!$B:$Q,3,0))</f>
        <v>8698829380698</v>
      </c>
      <c r="D21" s="42" t="s">
        <v>159</v>
      </c>
      <c r="E21" s="67" t="s">
        <v>274</v>
      </c>
      <c r="F21" s="67">
        <v>20250825</v>
      </c>
      <c r="G21" s="42" t="s">
        <v>68</v>
      </c>
      <c r="H21" s="67" t="str">
        <f>IF(B21="","",VLOOKUP(AD21,Varsayımlar!$B:$Q,5,0))</f>
        <v>Tortillas 25cm Domatesli</v>
      </c>
      <c r="I21" s="67">
        <f>IF(B21="","",VLOOKUP(AD21,Varsayımlar!B:T,19,0))</f>
        <v>0</v>
      </c>
      <c r="J21" s="67" t="str">
        <f>IF(B21="","",VLOOKUP(AD21,Varsayımlar!$B:$Q,6,0))</f>
        <v>Domatesli</v>
      </c>
      <c r="K21" s="67">
        <v>252</v>
      </c>
      <c r="L21" s="67"/>
      <c r="M21" s="67">
        <f>IFERROR(IF(B21="","",K21/VLOOKUP(AD21,Varsayımlar!B:R,17,0)),"")</f>
        <v>3</v>
      </c>
      <c r="N21" s="67"/>
      <c r="O21" s="67">
        <v>5</v>
      </c>
      <c r="P21" s="67">
        <f>IF(B21="","",VLOOKUP(AD21,Varsayımlar!$B:$Q,7,0)*K21)</f>
        <v>7560</v>
      </c>
      <c r="Q21" s="67">
        <f>IF(B21="","",VLOOKUP(AD21,Varsayımlar!$B:$Q,8,0))</f>
        <v>25</v>
      </c>
      <c r="R21" s="67" t="str">
        <f>IF(B21="","",VLOOKUP(AD21,Varsayımlar!$B:$Q,9,0))</f>
        <v>Soft-PA3</v>
      </c>
      <c r="S21" s="67">
        <f>IF(B21="","",VLOOKUP(AD21,Varsayımlar!$B:$Q,10,0))</f>
        <v>4</v>
      </c>
      <c r="T21" s="67">
        <f>IF(B21="","",VLOOKUP(AD21,Varsayımlar!$B:$Q,11,0))</f>
        <v>30</v>
      </c>
      <c r="U21" s="67">
        <f>IF(B21="","",VLOOKUP(AD21,Varsayımlar!$B:$Q,12,0))</f>
        <v>240</v>
      </c>
      <c r="V21" s="67" t="str">
        <f>IF(B21="","",VLOOKUP(AD21,Varsayımlar!$B:$Q,13,0))</f>
        <v>Yurtdışı</v>
      </c>
      <c r="W21" s="67">
        <f>IF(B21="","",VLOOKUP(AD21,Varsayımlar!$B:$Q,14,0))</f>
        <v>12</v>
      </c>
      <c r="X21" s="69">
        <v>46199</v>
      </c>
      <c r="Y21" s="69">
        <v>46564</v>
      </c>
      <c r="Z21" s="67" t="s">
        <v>375</v>
      </c>
      <c r="AA21" s="67" t="str">
        <f>IF(B21="","",VLOOKUP(AD21,Varsayımlar!$B:$Q,15,0))</f>
        <v>25cm Kolisi-Etiketli</v>
      </c>
      <c r="AB21" s="67" t="str">
        <f>IF(B21="","",VLOOKUP(AD21,Varsayımlar!$B:$Q,16,0))</f>
        <v>24-26 cm (Macca Hetto Inkjet Uzun Tarih)</v>
      </c>
      <c r="AC21" s="67" t="str">
        <f>IF(B21="","",VLOOKUP(Sayfa1!AD24,Varsayımlar!B:S,18,0))</f>
        <v>80x120cm</v>
      </c>
      <c r="AD21" s="57" t="str">
        <f t="shared" si="0"/>
        <v>LAIKYUZHN-BELARUSTortillas 25cm Domatesli 4pcs 240g</v>
      </c>
    </row>
    <row r="22" spans="1:30" ht="47.25" x14ac:dyDescent="0.25">
      <c r="A22" s="8" t="s">
        <v>137</v>
      </c>
      <c r="B22" s="67" t="s">
        <v>268</v>
      </c>
      <c r="C22" s="42">
        <f>IF(B22="","",VLOOKUP(AD22,Varsayımlar!$B:$Q,3,0))</f>
        <v>8698829380698</v>
      </c>
      <c r="D22" s="42" t="s">
        <v>159</v>
      </c>
      <c r="E22" s="67" t="s">
        <v>276</v>
      </c>
      <c r="F22" s="67">
        <v>20250825</v>
      </c>
      <c r="G22" s="42" t="s">
        <v>68</v>
      </c>
      <c r="H22" s="67" t="str">
        <f>IF(B22="","",VLOOKUP(AD22,Varsayımlar!$B:$Q,5,0))</f>
        <v>Tortillas 25cm Ispanaklı</v>
      </c>
      <c r="I22" s="67">
        <f>IF(B22="","",VLOOKUP(AD22,Varsayımlar!B:T,19,0))</f>
        <v>0</v>
      </c>
      <c r="J22" s="67" t="str">
        <f>IF(B22="","",VLOOKUP(AD22,Varsayımlar!$B:$Q,6,0))</f>
        <v>Ispanaklı</v>
      </c>
      <c r="K22" s="67">
        <v>420</v>
      </c>
      <c r="L22" s="67"/>
      <c r="M22" s="67">
        <f>IFERROR(IF(B22="","",K22/VLOOKUP(AD22,Varsayımlar!B:R,17,0)),"")</f>
        <v>5</v>
      </c>
      <c r="N22" s="67"/>
      <c r="O22" s="67">
        <v>7</v>
      </c>
      <c r="P22" s="67">
        <f>IF(B22="","",VLOOKUP(AD22,Varsayımlar!$B:$Q,7,0)*K22)</f>
        <v>12600</v>
      </c>
      <c r="Q22" s="67">
        <f>IF(B22="","",VLOOKUP(AD22,Varsayımlar!$B:$Q,8,0))</f>
        <v>25</v>
      </c>
      <c r="R22" s="67" t="str">
        <f>IF(B22="","",VLOOKUP(AD22,Varsayımlar!$B:$Q,9,0))</f>
        <v>Soft-PA3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240</v>
      </c>
      <c r="V22" s="67" t="str">
        <f>IF(B22="","",VLOOKUP(AD22,Varsayımlar!$B:$Q,13,0))</f>
        <v>Yurtdışı</v>
      </c>
      <c r="W22" s="67">
        <f>IF(B22="","",VLOOKUP(AD22,Varsayımlar!$B:$Q,14,0))</f>
        <v>12</v>
      </c>
      <c r="X22" s="69">
        <v>46199</v>
      </c>
      <c r="Y22" s="69">
        <v>46564</v>
      </c>
      <c r="Z22" s="67" t="s">
        <v>376</v>
      </c>
      <c r="AA22" s="67" t="str">
        <f>IF(B22="","",VLOOKUP(AD22,Varsayımlar!$B:$Q,15,0))</f>
        <v>25cm Kolisi-Etiketli</v>
      </c>
      <c r="AB22" s="67" t="str">
        <f>IF(B22="","",VLOOKUP(AD22,Varsayımlar!$B:$Q,16,0))</f>
        <v>24-26 cm (Macca Hetto Inkjet Uzun Tarih)</v>
      </c>
      <c r="AC22" s="67" t="str">
        <f>IF(B22="","",VLOOKUP(Sayfa1!AD25,Varsayımlar!B:S,18,0))</f>
        <v>80x120cm</v>
      </c>
      <c r="AD22" s="57" t="str">
        <f t="shared" si="0"/>
        <v>LAIKYUZHN-BELARUSTortillas 25cm Ispanaklı 4pcs 240g</v>
      </c>
    </row>
    <row r="23" spans="1:30" ht="47.25" x14ac:dyDescent="0.25">
      <c r="A23" s="8" t="s">
        <v>138</v>
      </c>
      <c r="B23" s="67" t="s">
        <v>268</v>
      </c>
      <c r="C23" s="42">
        <f>IF(B23="","",VLOOKUP(AD23,Varsayımlar!$B:$Q,3,0))</f>
        <v>8698829380698</v>
      </c>
      <c r="D23" s="42" t="s">
        <v>159</v>
      </c>
      <c r="E23" s="67" t="s">
        <v>278</v>
      </c>
      <c r="F23" s="67">
        <v>20250825</v>
      </c>
      <c r="G23" s="42" t="s">
        <v>68</v>
      </c>
      <c r="H23" s="67" t="str">
        <f>IF(B23="","",VLOOKUP(AD23,Varsayımlar!$B:$Q,5,0))</f>
        <v>Magnit Tortillas 25cm Peynirli</v>
      </c>
      <c r="I23" s="67" t="str">
        <f>IF(B23="","",VLOOKUP(AD23,Varsayımlar!B:T,19,0))</f>
        <v>Etiketli</v>
      </c>
      <c r="J23" s="67" t="str">
        <f>IF(B23="","",VLOOKUP(AD23,Varsayımlar!$B:$Q,6,0))</f>
        <v>Peynirli</v>
      </c>
      <c r="K23" s="67">
        <v>420</v>
      </c>
      <c r="L23" s="67"/>
      <c r="M23" s="67">
        <f>IFERROR(IF(B23="","",K23/VLOOKUP(AD23,Varsayımlar!B:R,17,0)),"")</f>
        <v>5</v>
      </c>
      <c r="N23" s="67"/>
      <c r="O23" s="67">
        <v>7</v>
      </c>
      <c r="P23" s="67">
        <f>IF(B23="","",VLOOKUP(AD23,Varsayımlar!$B:$Q,7,0)*K23)</f>
        <v>12600</v>
      </c>
      <c r="Q23" s="67">
        <f>IF(B23="","",VLOOKUP(AD23,Varsayımlar!$B:$Q,8,0))</f>
        <v>25</v>
      </c>
      <c r="R23" s="67" t="str">
        <f>IF(B23="","",VLOOKUP(AD23,Varsayımlar!$B:$Q,9,0))</f>
        <v>Soft-PA3-AT</v>
      </c>
      <c r="S23" s="67">
        <f>IF(B23="","",VLOOKUP(AD23,Varsayımlar!$B:$Q,10,0))</f>
        <v>4</v>
      </c>
      <c r="T23" s="67">
        <f>IF(B23="","",VLOOKUP(AD23,Varsayımlar!$B:$Q,11,0))</f>
        <v>30</v>
      </c>
      <c r="U23" s="67">
        <f>IF(B23="","",VLOOKUP(AD23,Varsayımlar!$B:$Q,12,0))</f>
        <v>250</v>
      </c>
      <c r="V23" s="67" t="str">
        <f>IF(B23="","",VLOOKUP(AD23,Varsayımlar!$B:$Q,13,0))</f>
        <v>Yurtdışı</v>
      </c>
      <c r="W23" s="67">
        <f>IF(B23="","",VLOOKUP(AD23,Varsayımlar!$B:$Q,14,0))</f>
        <v>9</v>
      </c>
      <c r="X23" s="69">
        <v>46199</v>
      </c>
      <c r="Y23" s="69">
        <v>46472</v>
      </c>
      <c r="Z23" s="67" t="s">
        <v>377</v>
      </c>
      <c r="AA23" s="67" t="str">
        <f>IF(B23="","",VLOOKUP(AD23,Varsayımlar!$B:$Q,15,0))</f>
        <v>25cm Kolisi-Etiketli</v>
      </c>
      <c r="AB23" s="67" t="str">
        <f>IF(B23="","",VLOOKUP(AD23,Varsayımlar!$B:$Q,16,0))</f>
        <v>24-26 cm (Macca Hetto Inkjet Uzun Tarih)</v>
      </c>
      <c r="AC23" s="67" t="str">
        <f>IF(B23="","",VLOOKUP(Sayfa1!AD26,Varsayımlar!B:S,18,0))</f>
        <v>80x120cm</v>
      </c>
      <c r="AD23" s="57" t="str">
        <f t="shared" si="0"/>
        <v>LAIKYUZHN-BELARUSMagnit Tortillas 25cm Peynirli 4pcs 240g</v>
      </c>
    </row>
    <row r="24" spans="1:30" ht="47.25" x14ac:dyDescent="0.25">
      <c r="A24" s="8" t="s">
        <v>139</v>
      </c>
      <c r="B24" s="62" t="s">
        <v>181</v>
      </c>
      <c r="C24" s="32">
        <f>IF(B24="","",VLOOKUP(AD24,Varsayımlar!$B:$Q,3,0))</f>
        <v>8698829380698</v>
      </c>
      <c r="D24" s="32"/>
      <c r="E24" s="62" t="s">
        <v>182</v>
      </c>
      <c r="F24" s="62">
        <v>26060101</v>
      </c>
      <c r="G24" s="32"/>
      <c r="H24" s="62" t="str">
        <f>IF(B24="","",VLOOKUP(AD24,Varsayımlar!$B:$Q,5,0))</f>
        <v>Tortillove 30cm</v>
      </c>
      <c r="I24" s="62" t="str">
        <f>IF(B24="","",VLOOKUP(AD24,Varsayımlar!B:T,19,0))</f>
        <v>Arka kısma Arnavutça içerik-Tortillove</v>
      </c>
      <c r="J24" s="62" t="str">
        <f>IF(B24="","",VLOOKUP(AD24,Varsayımlar!$B:$Q,6,0))</f>
        <v>SADE</v>
      </c>
      <c r="K24" s="62">
        <v>100</v>
      </c>
      <c r="L24" s="62"/>
      <c r="M24" s="62">
        <f>IFERROR(IF(B24="","",K24/VLOOKUP(AD24,Varsayımlar!B:R,17,0)),"")</f>
        <v>2</v>
      </c>
      <c r="N24" s="62"/>
      <c r="O24" s="62">
        <v>2</v>
      </c>
      <c r="P24" s="62">
        <f>IF(B24="","",VLOOKUP(AD24,Varsayımlar!$B:$Q,7,0)*K24)</f>
        <v>1200</v>
      </c>
      <c r="Q24" s="62">
        <f>IF(B24="","",VLOOKUP(AD24,Varsayımlar!$B:$Q,8,0))</f>
        <v>30</v>
      </c>
      <c r="R24" s="62" t="str">
        <f>IF(B24="","",VLOOKUP(AD24,Varsayımlar!$B:$Q,9,0))</f>
        <v>Irak Soft</v>
      </c>
      <c r="S24" s="62">
        <f>IF(B24="","",VLOOKUP(AD24,Varsayımlar!$B:$Q,10,0))</f>
        <v>10</v>
      </c>
      <c r="T24" s="62">
        <f>IF(B24="","",VLOOKUP(AD24,Varsayımlar!$B:$Q,11,0))</f>
        <v>12</v>
      </c>
      <c r="U24" s="62">
        <f>IF(B24="","",VLOOKUP(AD24,Varsayımlar!$B:$Q,12,0))</f>
        <v>900</v>
      </c>
      <c r="V24" s="62" t="str">
        <f>IF(B24="","",VLOOKUP(AD24,Varsayımlar!$B:$Q,13,0))</f>
        <v>Yurtdışı</v>
      </c>
      <c r="W24" s="62">
        <f>IF(B24="","",VLOOKUP(AD24,Varsayımlar!$B:$Q,14,0))</f>
        <v>12</v>
      </c>
      <c r="X24" s="63">
        <v>46200</v>
      </c>
      <c r="Y24" s="63">
        <v>46565</v>
      </c>
      <c r="Z24" s="62">
        <v>26062730</v>
      </c>
      <c r="AA24" s="62" t="str">
        <f>IF(B24="","",VLOOKUP(AD24,Varsayımlar!$B:$Q,15,0))</f>
        <v>30cm Koli - Tortillove 900g Etiketli</v>
      </c>
      <c r="AB24" s="62" t="str">
        <f>IF(B24="","",VLOOKUP(AD24,Varsayımlar!$B:$Q,16,0))</f>
        <v>29-31 cm</v>
      </c>
      <c r="AC24" s="62">
        <f>IF(B24="","",VLOOKUP(Sayfa1!AD27,Varsayımlar!B:S,18,0))</f>
        <v>0</v>
      </c>
      <c r="AD24" s="57" t="str">
        <f t="shared" si="0"/>
        <v>ALDİ - KOSOVATortillove 30cm 10pcs 900g</v>
      </c>
    </row>
    <row r="25" spans="1:30" ht="47.25" x14ac:dyDescent="0.25">
      <c r="A25" s="8" t="s">
        <v>140</v>
      </c>
      <c r="B25" s="62" t="s">
        <v>181</v>
      </c>
      <c r="C25" s="32">
        <f>IF(B25="","",VLOOKUP(AD25,Varsayımlar!$B:$Q,3,0))</f>
        <v>8698829380698</v>
      </c>
      <c r="D25" s="32"/>
      <c r="E25" s="62" t="s">
        <v>185</v>
      </c>
      <c r="F25" s="62">
        <v>26060101</v>
      </c>
      <c r="G25" s="32"/>
      <c r="H25" s="62" t="str">
        <f>IF(B25="","",VLOOKUP(AD25,Varsayımlar!$B:$Q,5,0))</f>
        <v>Tortillas 30cm</v>
      </c>
      <c r="I25" s="62" t="str">
        <f>IF(B25="","",VLOOKUP(AD25,Varsayımlar!B:T,19,0))</f>
        <v>Arka kısma Arnavutça içerik-Tortillas</v>
      </c>
      <c r="J25" s="62" t="str">
        <f>IF(B25="","",VLOOKUP(AD25,Varsayımlar!$B:$Q,6,0))</f>
        <v>SADE</v>
      </c>
      <c r="K25" s="62">
        <v>50</v>
      </c>
      <c r="L25" s="62"/>
      <c r="M25" s="62">
        <f>IFERROR(IF(B25="","",K25/VLOOKUP(AD25,Varsayımlar!B:R,17,0)),"")</f>
        <v>1</v>
      </c>
      <c r="N25" s="62"/>
      <c r="O25" s="62">
        <v>1</v>
      </c>
      <c r="P25" s="62">
        <f>IF(B25="","",VLOOKUP(AD25,Varsayımlar!$B:$Q,7,0)*K25)</f>
        <v>600</v>
      </c>
      <c r="Q25" s="62">
        <f>IF(B25="","",VLOOKUP(AD25,Varsayımlar!$B:$Q,8,0))</f>
        <v>30</v>
      </c>
      <c r="R25" s="62" t="str">
        <f>IF(B25="","",VLOOKUP(AD25,Varsayımlar!$B:$Q,9,0))</f>
        <v>Irak Soft</v>
      </c>
      <c r="S25" s="62">
        <f>IF(B25="","",VLOOKUP(AD25,Varsayımlar!$B:$Q,10,0))</f>
        <v>10</v>
      </c>
      <c r="T25" s="62">
        <f>IF(B25="","",VLOOKUP(AD25,Varsayımlar!$B:$Q,11,0))</f>
        <v>12</v>
      </c>
      <c r="U25" s="62">
        <f>IF(B25="","",VLOOKUP(AD25,Varsayımlar!$B:$Q,12,0))</f>
        <v>900</v>
      </c>
      <c r="V25" s="62" t="str">
        <f>IF(B25="","",VLOOKUP(AD25,Varsayımlar!$B:$Q,13,0))</f>
        <v>Yurtdışı</v>
      </c>
      <c r="W25" s="62">
        <f>IF(B25="","",VLOOKUP(AD25,Varsayımlar!$B:$Q,14,0))</f>
        <v>12</v>
      </c>
      <c r="X25" s="63">
        <v>46200</v>
      </c>
      <c r="Y25" s="63">
        <v>46565</v>
      </c>
      <c r="Z25" s="62">
        <v>26062730</v>
      </c>
      <c r="AA25" s="62" t="str">
        <f>IF(B25="","",VLOOKUP(AD25,Varsayımlar!$B:$Q,15,0))</f>
        <v>30cm Koli - Tortillas 900g Etiketli</v>
      </c>
      <c r="AB25" s="62" t="str">
        <f>IF(B25="","",VLOOKUP(AD25,Varsayımlar!$B:$Q,16,0))</f>
        <v>29-31 cm</v>
      </c>
      <c r="AC25" s="62">
        <f>IF(B25="","",VLOOKUP(Sayfa1!AD28,Varsayımlar!B:S,18,0))</f>
        <v>0</v>
      </c>
      <c r="AD25" s="57" t="str">
        <f t="shared" si="0"/>
        <v>ALDİ - KOSOVATortillas 30cm 10pcs 900g</v>
      </c>
    </row>
    <row r="26" spans="1:30" ht="63" x14ac:dyDescent="0.25">
      <c r="A26" s="8" t="s">
        <v>141</v>
      </c>
      <c r="B26" s="62" t="s">
        <v>181</v>
      </c>
      <c r="C26" s="32">
        <f>IF(B26="","",VLOOKUP(AD26,Varsayımlar!$B:$Q,3,0))</f>
        <v>8698829380698</v>
      </c>
      <c r="D26" s="32"/>
      <c r="E26" s="32" t="s">
        <v>372</v>
      </c>
      <c r="F26" s="62">
        <v>26060101</v>
      </c>
      <c r="G26" s="32"/>
      <c r="H26" s="62" t="str">
        <f>IF(B26="","",VLOOKUP(AD26,Varsayımlar!$B:$Q,5,0))</f>
        <v>Tortillove Tam Buğday 25cm</v>
      </c>
      <c r="I26" s="62" t="str">
        <f>IF(B26="","",VLOOKUP(AD26,Varsayımlar!B:T,19,0))</f>
        <v>Barkod üzerine Arnavutça TB içerik+Barkod-Tortillove</v>
      </c>
      <c r="J26" s="62" t="str">
        <f>IF(B26="","",VLOOKUP(AD26,Varsayımlar!$B:$Q,6,0))</f>
        <v>Tam Buğdaylı</v>
      </c>
      <c r="K26" s="62">
        <v>84</v>
      </c>
      <c r="L26" s="62"/>
      <c r="M26" s="62">
        <f>IFERROR(IF(B26="","",K26/VLOOKUP(AD26,Varsayımlar!B:R,17,0)),"")</f>
        <v>1</v>
      </c>
      <c r="N26" s="62"/>
      <c r="O26" s="62">
        <v>2</v>
      </c>
      <c r="P26" s="62">
        <f>IF(B26="","",VLOOKUP(AD26,Varsayımlar!$B:$Q,7,0)*K26)</f>
        <v>1512</v>
      </c>
      <c r="Q26" s="62">
        <f>IF(B26="","",VLOOKUP(AD26,Varsayımlar!$B:$Q,8,0))</f>
        <v>25</v>
      </c>
      <c r="R26" s="62" t="str">
        <f>IF(B26="","",VLOOKUP(AD26,Varsayımlar!$B:$Q,9,0))</f>
        <v>Irak Soft</v>
      </c>
      <c r="S26" s="62">
        <f>IF(B26="","",VLOOKUP(AD26,Varsayımlar!$B:$Q,10,0))</f>
        <v>6</v>
      </c>
      <c r="T26" s="62">
        <f>IF(B26="","",VLOOKUP(AD26,Varsayımlar!$B:$Q,11,0))</f>
        <v>18</v>
      </c>
      <c r="U26" s="62">
        <f>IF(B26="","",VLOOKUP(AD26,Varsayımlar!$B:$Q,12,0))</f>
        <v>390</v>
      </c>
      <c r="V26" s="62" t="str">
        <f>IF(B26="","",VLOOKUP(AD26,Varsayımlar!$B:$Q,13,0))</f>
        <v>Yurtdışı</v>
      </c>
      <c r="W26" s="62">
        <f>IF(B26="","",VLOOKUP(AD26,Varsayımlar!$B:$Q,14,0))</f>
        <v>12</v>
      </c>
      <c r="X26" s="63">
        <v>46200</v>
      </c>
      <c r="Y26" s="63">
        <v>46565</v>
      </c>
      <c r="Z26" s="62">
        <v>26062725</v>
      </c>
      <c r="AA26" s="62" t="str">
        <f>IF(B26="","",VLOOKUP(AD26,Varsayımlar!$B:$Q,15,0))</f>
        <v>25cm Koli - Tortillove 390g TB Etiketli</v>
      </c>
      <c r="AB26" s="62" t="str">
        <f>IF(B26="","",VLOOKUP(AD26,Varsayımlar!$B:$Q,16,0))</f>
        <v>24-26 cm</v>
      </c>
      <c r="AC26" s="62">
        <f>IF(B26="","",VLOOKUP(Sayfa1!AD29,Varsayımlar!B:S,18,0))</f>
        <v>0</v>
      </c>
      <c r="AD26" s="57" t="str">
        <f t="shared" si="0"/>
        <v>ALDİ - KOSOVATortillove 25cm TB 6pcs 390g</v>
      </c>
    </row>
    <row r="27" spans="1:30" ht="63" x14ac:dyDescent="0.25">
      <c r="A27" s="8" t="s">
        <v>142</v>
      </c>
      <c r="B27" s="62" t="s">
        <v>181</v>
      </c>
      <c r="C27" s="32">
        <f>IF(B27="","",VLOOKUP(AD27,Varsayımlar!$B:$Q,3,0))</f>
        <v>8698829380698</v>
      </c>
      <c r="D27" s="32"/>
      <c r="E27" s="32" t="s">
        <v>251</v>
      </c>
      <c r="F27" s="62">
        <v>26060101</v>
      </c>
      <c r="G27" s="32"/>
      <c r="H27" s="62" t="str">
        <f>IF(B27="","",VLOOKUP(AD27,Varsayımlar!$B:$Q,5,0))</f>
        <v>Tortillas Tam Buğday 25cm</v>
      </c>
      <c r="I27" s="62" t="str">
        <f>IF(B27="","",VLOOKUP(AD27,Varsayımlar!B:T,19,0))</f>
        <v>Barkod üzerine Arnavutça TB içerik+Barkod-Tortillas</v>
      </c>
      <c r="J27" s="62" t="str">
        <f>IF(B27="","",VLOOKUP(AD27,Varsayımlar!$B:$Q,6,0))</f>
        <v>Tam Buğdaylı</v>
      </c>
      <c r="K27" s="62">
        <v>84</v>
      </c>
      <c r="L27" s="62"/>
      <c r="M27" s="62">
        <f>IFERROR(IF(B27="","",K27/VLOOKUP(AD27,Varsayımlar!B:R,17,0)),"")</f>
        <v>1</v>
      </c>
      <c r="N27" s="62"/>
      <c r="O27" s="62">
        <v>2</v>
      </c>
      <c r="P27" s="62">
        <f>IF(B27="","",VLOOKUP(AD27,Varsayımlar!$B:$Q,7,0)*K27)</f>
        <v>1512</v>
      </c>
      <c r="Q27" s="62">
        <f>IF(B27="","",VLOOKUP(AD27,Varsayımlar!$B:$Q,8,0))</f>
        <v>25</v>
      </c>
      <c r="R27" s="62" t="str">
        <f>IF(B27="","",VLOOKUP(AD27,Varsayımlar!$B:$Q,9,0))</f>
        <v>Irak Soft</v>
      </c>
      <c r="S27" s="62">
        <f>IF(B27="","",VLOOKUP(AD27,Varsayımlar!$B:$Q,10,0))</f>
        <v>6</v>
      </c>
      <c r="T27" s="62">
        <f>IF(B27="","",VLOOKUP(AD27,Varsayımlar!$B:$Q,11,0))</f>
        <v>18</v>
      </c>
      <c r="U27" s="62">
        <f>IF(B27="","",VLOOKUP(AD27,Varsayımlar!$B:$Q,12,0))</f>
        <v>390</v>
      </c>
      <c r="V27" s="62" t="str">
        <f>IF(B27="","",VLOOKUP(AD27,Varsayımlar!$B:$Q,13,0))</f>
        <v>Yurtdışı</v>
      </c>
      <c r="W27" s="62">
        <f>IF(B27="","",VLOOKUP(AD27,Varsayımlar!$B:$Q,14,0))</f>
        <v>12</v>
      </c>
      <c r="X27" s="63">
        <v>46200</v>
      </c>
      <c r="Y27" s="63">
        <v>46565</v>
      </c>
      <c r="Z27" s="62">
        <v>26062725</v>
      </c>
      <c r="AA27" s="62" t="str">
        <f>IF(B27="","",VLOOKUP(AD27,Varsayımlar!$B:$Q,15,0))</f>
        <v>25cm Koli - Tortillas 390g TB Etiketli</v>
      </c>
      <c r="AB27" s="62" t="str">
        <f>IF(B27="","",VLOOKUP(AD27,Varsayımlar!$B:$Q,16,0))</f>
        <v>24-26 cm</v>
      </c>
      <c r="AC27" s="62">
        <f>IF(B27="","",VLOOKUP(Sayfa1!AD30,Varsayımlar!B:S,18,0))</f>
        <v>0</v>
      </c>
      <c r="AD27" s="57" t="str">
        <f t="shared" si="0"/>
        <v>ALDİ - KOSOVATortillas 25cm TB 6pcs 390g</v>
      </c>
    </row>
    <row r="28" spans="1:30" ht="31.5" x14ac:dyDescent="0.25">
      <c r="A28" s="8" t="s">
        <v>143</v>
      </c>
      <c r="B28" s="64" t="s">
        <v>288</v>
      </c>
      <c r="C28" s="3">
        <f>IF(B28="","",VLOOKUP(AD28,Varsayımlar!$B:$Q,3,0))</f>
        <v>8698829380698</v>
      </c>
      <c r="D28" s="3"/>
      <c r="E28" s="64" t="s">
        <v>289</v>
      </c>
      <c r="F28" s="64">
        <v>20201016</v>
      </c>
      <c r="G28" s="3" t="s">
        <v>68</v>
      </c>
      <c r="H28" s="64" t="str">
        <f>IF(B28="","",VLOOKUP(AD28,Varsayımlar!$B:$Q,5,0))</f>
        <v>Tortillas 25cm Tam Buğday</v>
      </c>
      <c r="I28" s="64" t="str">
        <f>IF(B28="","",VLOOKUP(AD28,Varsayımlar!B:T,19,0))</f>
        <v>Arka kısma İçerik</v>
      </c>
      <c r="J28" s="64" t="str">
        <f>IF(B28="","",VLOOKUP(AD28,Varsayımlar!$B:$Q,6,0))</f>
        <v>Tam Buğdaylı</v>
      </c>
      <c r="K28" s="64">
        <v>250</v>
      </c>
      <c r="L28" s="64"/>
      <c r="M28" s="64">
        <f>IFERROR(IF(B28="","",K28/VLOOKUP(AD28,Varsayımlar!B:R,17,0)),"")</f>
        <v>5</v>
      </c>
      <c r="N28" s="64"/>
      <c r="O28" s="64">
        <v>4</v>
      </c>
      <c r="P28" s="64">
        <f>IF(B28="","",VLOOKUP(AD28,Varsayımlar!$B:$Q,7,0)*K28)</f>
        <v>4500</v>
      </c>
      <c r="Q28" s="64">
        <f>IF(B28="","",VLOOKUP(AD28,Varsayımlar!$B:$Q,8,0))</f>
        <v>25</v>
      </c>
      <c r="R28" s="64" t="str">
        <f>IF(B28="","",VLOOKUP(AD28,Varsayımlar!$B:$Q,9,0))</f>
        <v>Irak Soft</v>
      </c>
      <c r="S28" s="64">
        <f>IF(B28="","",VLOOKUP(AD28,Varsayımlar!$B:$Q,10,0))</f>
        <v>6</v>
      </c>
      <c r="T28" s="64">
        <f>IF(B28="","",VLOOKUP(AD28,Varsayımlar!$B:$Q,11,0))</f>
        <v>18</v>
      </c>
      <c r="U28" s="64">
        <f>IF(B28="","",VLOOKUP(AD28,Varsayımlar!$B:$Q,12,0))</f>
        <v>390</v>
      </c>
      <c r="V28" s="64" t="str">
        <f>IF(B28="","",VLOOKUP(AD28,Varsayımlar!$B:$Q,13,0))</f>
        <v>YURTDIŞI</v>
      </c>
      <c r="W28" s="64">
        <f>IF(B28="","",VLOOKUP(AD28,Varsayımlar!$B:$Q,14,0))</f>
        <v>9</v>
      </c>
      <c r="X28" s="66">
        <v>46202</v>
      </c>
      <c r="Y28" s="66">
        <v>46475</v>
      </c>
      <c r="Z28" s="64" t="s">
        <v>378</v>
      </c>
      <c r="AA28" s="64" t="str">
        <f>IF(B28="","",VLOOKUP(AD28,Varsayımlar!$B:$Q,15,0))</f>
        <v>25cm Koli-Kazakça Etiketli</v>
      </c>
      <c r="AB28" s="64" t="str">
        <f>IF(B28="","",VLOOKUP(AD28,Varsayımlar!$B:$Q,16,0))</f>
        <v>24-26 cm</v>
      </c>
      <c r="AC28" s="64" t="str">
        <f>IF(B28="","",VLOOKUP(Sayfa1!AD40,Varsayımlar!B:S,18,0))</f>
        <v>80x120cm</v>
      </c>
      <c r="AD28" s="57" t="str">
        <f t="shared" si="0"/>
        <v>UNITERA-KAZAKİSTANTortillas 25cm Tam Buğday 6pcs 390g</v>
      </c>
    </row>
    <row r="29" spans="1:30" ht="31.5" x14ac:dyDescent="0.25">
      <c r="A29" s="8" t="s">
        <v>144</v>
      </c>
      <c r="B29" s="64" t="s">
        <v>288</v>
      </c>
      <c r="C29" s="3">
        <f>IF(B29="","",VLOOKUP(AD29,Varsayımlar!$B:$Q,3,0))</f>
        <v>8698829380698</v>
      </c>
      <c r="D29" s="3"/>
      <c r="E29" s="64" t="s">
        <v>252</v>
      </c>
      <c r="F29" s="64">
        <v>20201016</v>
      </c>
      <c r="G29" s="3" t="s">
        <v>68</v>
      </c>
      <c r="H29" s="64" t="str">
        <f>IF(B29="","",VLOOKUP(AD29,Varsayımlar!$B:$Q,5,0))</f>
        <v>Tortillas 20cm Sade</v>
      </c>
      <c r="I29" s="64" t="str">
        <f>IF(B29="","",VLOOKUP(AD29,Varsayımlar!B:T,19,0))</f>
        <v>Arka kısma İçerik</v>
      </c>
      <c r="J29" s="64" t="str">
        <f>IF(B29="","",VLOOKUP(AD29,Varsayımlar!$B:$Q,6,0))</f>
        <v>SADE</v>
      </c>
      <c r="K29" s="64">
        <v>300</v>
      </c>
      <c r="L29" s="64"/>
      <c r="M29" s="64">
        <f>IFERROR(IF(B29="","",K29/VLOOKUP(AD29,Varsayımlar!B:R,17,0)),"")</f>
        <v>3</v>
      </c>
      <c r="N29" s="64"/>
      <c r="O29" s="64">
        <v>5</v>
      </c>
      <c r="P29" s="64">
        <f>IF(B29="","",VLOOKUP(AD29,Varsayımlar!$B:$Q,7,0)*K29)</f>
        <v>5400</v>
      </c>
      <c r="Q29" s="64">
        <f>IF(B29="","",VLOOKUP(AD29,Varsayımlar!$B:$Q,8,0))</f>
        <v>20</v>
      </c>
      <c r="R29" s="64" t="str">
        <f>IF(B29="","",VLOOKUP(AD29,Varsayımlar!$B:$Q,9,0))</f>
        <v>Irak Soft</v>
      </c>
      <c r="S29" s="64">
        <f>IF(B29="","",VLOOKUP(AD29,Varsayımlar!$B:$Q,10,0))</f>
        <v>6</v>
      </c>
      <c r="T29" s="64">
        <f>IF(B29="","",VLOOKUP(AD29,Varsayımlar!$B:$Q,11,0))</f>
        <v>18</v>
      </c>
      <c r="U29" s="64">
        <f>IF(B29="","",VLOOKUP(AD29,Varsayımlar!$B:$Q,12,0))</f>
        <v>270</v>
      </c>
      <c r="V29" s="64" t="str">
        <f>IF(B29="","",VLOOKUP(AD29,Varsayımlar!$B:$Q,13,0))</f>
        <v>YURTDIŞI</v>
      </c>
      <c r="W29" s="64">
        <f>IF(B29="","",VLOOKUP(AD29,Varsayımlar!$B:$Q,14,0))</f>
        <v>9</v>
      </c>
      <c r="X29" s="66">
        <v>46202</v>
      </c>
      <c r="Y29" s="66">
        <v>46475</v>
      </c>
      <c r="Z29" s="64">
        <v>26062920</v>
      </c>
      <c r="AA29" s="64" t="str">
        <f>IF(B29="","",VLOOKUP(AD29,Varsayımlar!$B:$Q,15,0))</f>
        <v>20cm Koli</v>
      </c>
      <c r="AB29" s="64" t="str">
        <f>IF(B29="","",VLOOKUP(AD29,Varsayımlar!$B:$Q,16,0))</f>
        <v>19-21cm</v>
      </c>
      <c r="AC29" s="64" t="str">
        <f>IF(B29="","",VLOOKUP(Sayfa1!AD41,Varsayımlar!B:S,18,0))</f>
        <v>80x120cm</v>
      </c>
      <c r="AD29" s="57" t="str">
        <f t="shared" si="0"/>
        <v>UNITERA-KAZAKİSTANTortillas 20cm Sade 6pcs 270g</v>
      </c>
    </row>
    <row r="30" spans="1:30" ht="31.5" x14ac:dyDescent="0.25">
      <c r="A30" s="8" t="s">
        <v>145</v>
      </c>
      <c r="B30" s="80" t="s">
        <v>218</v>
      </c>
      <c r="C30" s="44">
        <f>IF(B30="","",VLOOKUP(AD30,Varsayımlar!$B:$Q,3,0))</f>
        <v>8698829380698</v>
      </c>
      <c r="D30" s="44" t="s">
        <v>160</v>
      </c>
      <c r="E30" s="80" t="s">
        <v>229</v>
      </c>
      <c r="F30" s="80">
        <v>26042907</v>
      </c>
      <c r="G30" s="44"/>
      <c r="H30" s="80" t="str">
        <f>IF(B30="","",VLOOKUP(AD30,Varsayımlar!$B:$Q,5,0))</f>
        <v>Tortillas Avrupa 25cm Tam Buğday (711)</v>
      </c>
      <c r="I30" s="80">
        <f>IF(B30="","",VLOOKUP(AD30,Varsayımlar!B:T,19,0))</f>
        <v>0</v>
      </c>
      <c r="J30" s="80" t="str">
        <f>IF(B30="","",VLOOKUP(AD30,Varsayımlar!$B:$Q,6,0))</f>
        <v>Tam Buğdaylı</v>
      </c>
      <c r="K30" s="80">
        <v>840</v>
      </c>
      <c r="L30" s="80"/>
      <c r="M30" s="80">
        <f>IFERROR(IF(B30="","",K30/VLOOKUP(AD30,Varsayımlar!B:R,17,0)),"")</f>
        <v>7</v>
      </c>
      <c r="N30" s="80"/>
      <c r="O30" s="80">
        <v>9</v>
      </c>
      <c r="P30" s="80">
        <f>IF(B30="","",VLOOKUP(AD30,Varsayımlar!$B:$Q,7,0)*K30)</f>
        <v>6720</v>
      </c>
      <c r="Q30" s="80">
        <f>IF(B30="","",VLOOKUP(AD30,Varsayımlar!$B:$Q,8,0))</f>
        <v>25</v>
      </c>
      <c r="R30" s="80" t="str">
        <f>IF(B30="","",VLOOKUP(AD30,Varsayımlar!$B:$Q,9,0))</f>
        <v>Irak Soft</v>
      </c>
      <c r="S30" s="80">
        <f>IF(B30="","",VLOOKUP(AD30,Varsayımlar!$B:$Q,10,0))</f>
        <v>10</v>
      </c>
      <c r="T30" s="80">
        <f>IF(B30="","",VLOOKUP(AD30,Varsayımlar!$B:$Q,11,0))</f>
        <v>8</v>
      </c>
      <c r="U30" s="80">
        <f>IF(B30="","",VLOOKUP(AD30,Varsayımlar!$B:$Q,12,0))</f>
        <v>650</v>
      </c>
      <c r="V30" s="80" t="str">
        <f>IF(B30="","",VLOOKUP(AD30,Varsayımlar!$B:$Q,13,0))</f>
        <v>Yurtdışı</v>
      </c>
      <c r="W30" s="80">
        <f>IF(B30="","",VLOOKUP(AD30,Varsayımlar!$B:$Q,14,0))</f>
        <v>9</v>
      </c>
      <c r="X30" s="81">
        <v>46203</v>
      </c>
      <c r="Y30" s="81">
        <v>46476</v>
      </c>
      <c r="Z30" s="80" t="s">
        <v>379</v>
      </c>
      <c r="AA30" s="80" t="str">
        <f>IF(B30="","",VLOOKUP(AD30,Varsayımlar!$B:$Q,15,0))</f>
        <v>25cm Perforeli-Bulgarca TB etiket</v>
      </c>
      <c r="AB30" s="80" t="str">
        <f>IF(B30="","",VLOOKUP(AD30,Varsayımlar!$B:$Q,16,0))</f>
        <v>24-26 cm</v>
      </c>
      <c r="AC30" s="80" t="str">
        <f>IF(B30="","",VLOOKUP(Sayfa1!AD57,Varsayımlar!B:S,18,0))</f>
        <v>80x120cm -Epal+Epal</v>
      </c>
      <c r="AD30" s="57" t="str">
        <f t="shared" si="0"/>
        <v>TASTE LAND-BULGARİSTANTortillas 25cm Tam Buğday 10pcs 650g</v>
      </c>
    </row>
    <row r="31" spans="1:30" ht="47.25" x14ac:dyDescent="0.25">
      <c r="A31" s="8" t="s">
        <v>146</v>
      </c>
      <c r="B31" s="80" t="s">
        <v>218</v>
      </c>
      <c r="C31" s="44">
        <f>IF(B31="","",VLOOKUP(AD31,Varsayımlar!$B:$Q,3,0))</f>
        <v>8698829380698</v>
      </c>
      <c r="D31" s="44" t="s">
        <v>160</v>
      </c>
      <c r="E31" s="80" t="s">
        <v>232</v>
      </c>
      <c r="F31" s="80">
        <v>26042907</v>
      </c>
      <c r="G31" s="44"/>
      <c r="H31" s="80" t="str">
        <f>IF(B31="","",VLOOKUP(AD31,Varsayımlar!$B:$Q,5,0))</f>
        <v>Tortillas Avrupa 25cm Domatesli (074)</v>
      </c>
      <c r="I31" s="80">
        <f>IF(B31="","",VLOOKUP(AD31,Varsayımlar!B:T,19,0))</f>
        <v>0</v>
      </c>
      <c r="J31" s="80" t="str">
        <f>IF(B31="","",VLOOKUP(AD31,Varsayımlar!$B:$Q,6,0))</f>
        <v>Domatesli</v>
      </c>
      <c r="K31" s="80">
        <v>480</v>
      </c>
      <c r="L31" s="80"/>
      <c r="M31" s="80">
        <f>IFERROR(IF(B31="","",K31/VLOOKUP(AD31,Varsayımlar!B:R,17,0)),"")</f>
        <v>4</v>
      </c>
      <c r="N31" s="80"/>
      <c r="O31" s="80">
        <v>5</v>
      </c>
      <c r="P31" s="80">
        <f>IF(B31="","",VLOOKUP(AD31,Varsayımlar!$B:$Q,7,0)*K31)</f>
        <v>5760</v>
      </c>
      <c r="Q31" s="80">
        <f>IF(B31="","",VLOOKUP(AD31,Varsayımlar!$B:$Q,8,0))</f>
        <v>25</v>
      </c>
      <c r="R31" s="80" t="str">
        <f>IF(B31="","",VLOOKUP(AD31,Varsayımlar!$B:$Q,9,0))</f>
        <v>Irak Soft</v>
      </c>
      <c r="S31" s="80">
        <f>IF(B31="","",VLOOKUP(AD31,Varsayımlar!$B:$Q,10,0))</f>
        <v>6</v>
      </c>
      <c r="T31" s="80">
        <f>IF(B31="","",VLOOKUP(AD31,Varsayımlar!$B:$Q,11,0))</f>
        <v>12</v>
      </c>
      <c r="U31" s="80">
        <f>IF(B31="","",VLOOKUP(AD31,Varsayımlar!$B:$Q,12,0))</f>
        <v>390</v>
      </c>
      <c r="V31" s="80" t="str">
        <f>IF(B31="","",VLOOKUP(AD31,Varsayımlar!$B:$Q,13,0))</f>
        <v>Yurtdışı</v>
      </c>
      <c r="W31" s="80">
        <f>IF(B31="","",VLOOKUP(AD31,Varsayımlar!$B:$Q,14,0))</f>
        <v>9</v>
      </c>
      <c r="X31" s="81">
        <v>46203</v>
      </c>
      <c r="Y31" s="81">
        <v>46476</v>
      </c>
      <c r="Z31" s="80" t="s">
        <v>380</v>
      </c>
      <c r="AA31" s="80" t="str">
        <f>IF(B31="","",VLOOKUP(AD31,Varsayımlar!$B:$Q,15,0))</f>
        <v>25cm Perforeli-Bulgarca Domatesli etiket</v>
      </c>
      <c r="AB31" s="80" t="str">
        <f>IF(B31="","",VLOOKUP(AD31,Varsayımlar!$B:$Q,16,0))</f>
        <v>24-26 cm</v>
      </c>
      <c r="AC31" s="80" t="str">
        <f>IF(B31="","",VLOOKUP(Sayfa1!AD58,Varsayımlar!B:S,18,0))</f>
        <v>80x120cm -Epal+Epal</v>
      </c>
      <c r="AD31" s="57" t="str">
        <f t="shared" si="0"/>
        <v>TASTE LAND-BULGARİSTANTortillas 25cm Domatesli 6pcs 390g</v>
      </c>
    </row>
    <row r="32" spans="1:30" ht="47.25" x14ac:dyDescent="0.25">
      <c r="A32" s="8" t="s">
        <v>147</v>
      </c>
      <c r="B32" s="80" t="s">
        <v>218</v>
      </c>
      <c r="C32" s="44">
        <f>IF(B32="","",VLOOKUP(AD32,Varsayımlar!$B:$Q,3,0))</f>
        <v>8698829380698</v>
      </c>
      <c r="D32" s="44" t="s">
        <v>160</v>
      </c>
      <c r="E32" s="80" t="s">
        <v>235</v>
      </c>
      <c r="F32" s="80">
        <v>26042907</v>
      </c>
      <c r="G32" s="44"/>
      <c r="H32" s="80" t="str">
        <f>IF(B32="","",VLOOKUP(AD32,Varsayımlar!$B:$Q,5,0))</f>
        <v>Tortillas Avrupa 25cm Ispanaklı (081)</v>
      </c>
      <c r="I32" s="80">
        <f>IF(B32="","",VLOOKUP(AD32,Varsayımlar!B:T,19,0))</f>
        <v>0</v>
      </c>
      <c r="J32" s="80" t="str">
        <f>IF(B32="","",VLOOKUP(AD32,Varsayımlar!$B:$Q,6,0))</f>
        <v>Ispanaklı</v>
      </c>
      <c r="K32" s="80">
        <v>480</v>
      </c>
      <c r="L32" s="80"/>
      <c r="M32" s="80">
        <f>IFERROR(IF(B32="","",K32/VLOOKUP(AD32,Varsayımlar!B:R,17,0)),"")</f>
        <v>4</v>
      </c>
      <c r="N32" s="80"/>
      <c r="O32" s="80">
        <v>5</v>
      </c>
      <c r="P32" s="80">
        <f>IF(B32="","",VLOOKUP(AD32,Varsayımlar!$B:$Q,7,0)*K32)</f>
        <v>5760</v>
      </c>
      <c r="Q32" s="80">
        <f>IF(B32="","",VLOOKUP(AD32,Varsayımlar!$B:$Q,8,0))</f>
        <v>25</v>
      </c>
      <c r="R32" s="80" t="str">
        <f>IF(B32="","",VLOOKUP(AD32,Varsayımlar!$B:$Q,9,0))</f>
        <v>Irak Soft</v>
      </c>
      <c r="S32" s="80">
        <f>IF(B32="","",VLOOKUP(AD32,Varsayımlar!$B:$Q,10,0))</f>
        <v>6</v>
      </c>
      <c r="T32" s="80">
        <f>IF(B32="","",VLOOKUP(AD32,Varsayımlar!$B:$Q,11,0))</f>
        <v>12</v>
      </c>
      <c r="U32" s="80">
        <f>IF(B32="","",VLOOKUP(AD32,Varsayımlar!$B:$Q,12,0))</f>
        <v>390</v>
      </c>
      <c r="V32" s="80" t="str">
        <f>IF(B32="","",VLOOKUP(AD32,Varsayımlar!$B:$Q,13,0))</f>
        <v>Yurtdışı</v>
      </c>
      <c r="W32" s="80">
        <f>IF(B32="","",VLOOKUP(AD32,Varsayımlar!$B:$Q,14,0))</f>
        <v>9</v>
      </c>
      <c r="X32" s="81">
        <v>46203</v>
      </c>
      <c r="Y32" s="81">
        <v>46476</v>
      </c>
      <c r="Z32" s="80" t="s">
        <v>381</v>
      </c>
      <c r="AA32" s="80" t="str">
        <f>IF(B32="","",VLOOKUP(AD32,Varsayımlar!$B:$Q,15,0))</f>
        <v>25cm Perforeli-Bulgarca Ispanaklı etiket</v>
      </c>
      <c r="AB32" s="80" t="str">
        <f>IF(B32="","",VLOOKUP(AD32,Varsayımlar!$B:$Q,16,0))</f>
        <v>24-26 cm</v>
      </c>
      <c r="AC32" s="80" t="str">
        <f>IF(B32="","",VLOOKUP(Sayfa1!AD59,Varsayımlar!B:S,18,0))</f>
        <v>80x120cm -Epal+Epal</v>
      </c>
      <c r="AD32" s="57" t="str">
        <f t="shared" si="0"/>
        <v>TASTE LAND-BULGARİSTANTortillas 25cm Ispanaklı 6pcs 390g</v>
      </c>
    </row>
    <row r="33" spans="1:30" ht="47.25" x14ac:dyDescent="0.25">
      <c r="A33" s="8" t="s">
        <v>148</v>
      </c>
      <c r="B33" s="80" t="s">
        <v>218</v>
      </c>
      <c r="C33" s="44">
        <f>IF(B33="","",VLOOKUP(AD33,Varsayımlar!$B:$Q,3,0))</f>
        <v>8698829380698</v>
      </c>
      <c r="D33" s="44" t="s">
        <v>160</v>
      </c>
      <c r="E33" s="80" t="s">
        <v>240</v>
      </c>
      <c r="F33" s="80">
        <v>26042907</v>
      </c>
      <c r="G33" s="44"/>
      <c r="H33" s="80" t="str">
        <f>IF(B33="","",VLOOKUP(AD33,Varsayımlar!$B:$Q,5,0))</f>
        <v>Tortillas Avrupa 25cm Peynirli (098)</v>
      </c>
      <c r="I33" s="80">
        <f>IF(B33="","",VLOOKUP(AD33,Varsayımlar!B:T,19,0))</f>
        <v>0</v>
      </c>
      <c r="J33" s="80" t="str">
        <f>IF(B33="","",VLOOKUP(AD33,Varsayımlar!$B:$Q,6,0))</f>
        <v>Peynirli</v>
      </c>
      <c r="K33" s="80">
        <v>360</v>
      </c>
      <c r="L33" s="80"/>
      <c r="M33" s="80">
        <f>IFERROR(IF(B33="","",K33/VLOOKUP(AD33,Varsayımlar!B:R,17,0)),"")</f>
        <v>3</v>
      </c>
      <c r="N33" s="80"/>
      <c r="O33" s="80">
        <v>4</v>
      </c>
      <c r="P33" s="80">
        <f>IF(B33="","",VLOOKUP(AD33,Varsayımlar!$B:$Q,7,0)*K33)</f>
        <v>4320</v>
      </c>
      <c r="Q33" s="80">
        <f>IF(B33="","",VLOOKUP(AD33,Varsayımlar!$B:$Q,8,0))</f>
        <v>25</v>
      </c>
      <c r="R33" s="80" t="str">
        <f>IF(B33="","",VLOOKUP(AD33,Varsayımlar!$B:$Q,9,0))</f>
        <v>Irak Soft-AT</v>
      </c>
      <c r="S33" s="80">
        <f>IF(B33="","",VLOOKUP(AD33,Varsayımlar!$B:$Q,10,0))</f>
        <v>6</v>
      </c>
      <c r="T33" s="80">
        <f>IF(B33="","",VLOOKUP(AD33,Varsayımlar!$B:$Q,11,0))</f>
        <v>12</v>
      </c>
      <c r="U33" s="80">
        <f>IF(B33="","",VLOOKUP(AD33,Varsayımlar!$B:$Q,12,0))</f>
        <v>390</v>
      </c>
      <c r="V33" s="80" t="str">
        <f>IF(B33="","",VLOOKUP(AD33,Varsayımlar!$B:$Q,13,0))</f>
        <v>Yurtdışı</v>
      </c>
      <c r="W33" s="80">
        <f>IF(B33="","",VLOOKUP(AD33,Varsayımlar!$B:$Q,14,0))</f>
        <v>9</v>
      </c>
      <c r="X33" s="81">
        <v>46203</v>
      </c>
      <c r="Y33" s="81">
        <v>46476</v>
      </c>
      <c r="Z33" s="80" t="s">
        <v>382</v>
      </c>
      <c r="AA33" s="80" t="str">
        <f>IF(B33="","",VLOOKUP(AD33,Varsayımlar!$B:$Q,15,0))</f>
        <v>25cm Perforeli-Bulgarca Peynirli etiket</v>
      </c>
      <c r="AB33" s="80" t="str">
        <f>IF(B33="","",VLOOKUP(AD33,Varsayımlar!$B:$Q,16,0))</f>
        <v>24-26 cm</v>
      </c>
      <c r="AC33" s="80" t="str">
        <f>IF(B33="","",VLOOKUP(Sayfa1!AD60,Varsayımlar!B:S,18,0))</f>
        <v>80x120cm -Epal+Epal</v>
      </c>
      <c r="AD33" s="57" t="str">
        <f t="shared" si="0"/>
        <v>TASTE LAND-BULGARİSTANTortillas 25cm Peynirli 6pcs 390g</v>
      </c>
    </row>
    <row r="34" spans="1:30" ht="47.25" x14ac:dyDescent="0.25">
      <c r="A34" s="8" t="s">
        <v>149</v>
      </c>
      <c r="B34" s="54" t="s">
        <v>268</v>
      </c>
      <c r="C34" s="39">
        <f>IF(B34="","",VLOOKUP(AD34,Varsayımlar!$B:$Q,3,0))</f>
        <v>8698829380698</v>
      </c>
      <c r="D34" s="39" t="s">
        <v>160</v>
      </c>
      <c r="E34" s="54" t="s">
        <v>269</v>
      </c>
      <c r="F34" s="54" t="s">
        <v>343</v>
      </c>
      <c r="G34" s="39" t="s">
        <v>68</v>
      </c>
      <c r="H34" s="54" t="str">
        <f>IF(B34="","",VLOOKUP(AD34,Varsayımlar!$B:$Q,5,0))</f>
        <v>Tortillas 25cm Tam Buğday</v>
      </c>
      <c r="I34" s="54">
        <f>IF(B34="","",VLOOKUP(AD34,Varsayımlar!B:T,19,0))</f>
        <v>0</v>
      </c>
      <c r="J34" s="54" t="str">
        <f>IF(B34="","",VLOOKUP(AD34,Varsayımlar!$B:$Q,6,0))</f>
        <v>Tam Buğdaylı</v>
      </c>
      <c r="K34" s="54">
        <v>336</v>
      </c>
      <c r="L34" s="54"/>
      <c r="M34" s="54">
        <f>IFERROR(IF(B34="","",K34/VLOOKUP(AD34,Varsayımlar!B:R,17,0)),"")</f>
        <v>4</v>
      </c>
      <c r="N34" s="54"/>
      <c r="O34" s="54">
        <v>6</v>
      </c>
      <c r="P34" s="54">
        <f>IF(B34="","",VLOOKUP(AD34,Varsayımlar!$B:$Q,7,0)*K34)</f>
        <v>10080</v>
      </c>
      <c r="Q34" s="54">
        <f>IF(B34="","",VLOOKUP(AD34,Varsayımlar!$B:$Q,8,0))</f>
        <v>25</v>
      </c>
      <c r="R34" s="54" t="str">
        <f>IF(B34="","",VLOOKUP(AD34,Varsayımlar!$B:$Q,9,0))</f>
        <v>Soft-PA3</v>
      </c>
      <c r="S34" s="54">
        <f>IF(B34="","",VLOOKUP(AD34,Varsayımlar!$B:$Q,10,0))</f>
        <v>4</v>
      </c>
      <c r="T34" s="54">
        <f>IF(B34="","",VLOOKUP(AD34,Varsayımlar!$B:$Q,11,0))</f>
        <v>30</v>
      </c>
      <c r="U34" s="54">
        <f>IF(B34="","",VLOOKUP(AD34,Varsayımlar!$B:$Q,12,0))</f>
        <v>240</v>
      </c>
      <c r="V34" s="54" t="str">
        <f>IF(B34="","",VLOOKUP(AD34,Varsayımlar!$B:$Q,13,0))</f>
        <v>Yurtdışı</v>
      </c>
      <c r="W34" s="54">
        <f>IF(B34="","",VLOOKUP(AD34,Varsayımlar!$B:$Q,14,0))</f>
        <v>12</v>
      </c>
      <c r="X34" s="56">
        <v>46205</v>
      </c>
      <c r="Y34" s="56">
        <v>46570</v>
      </c>
      <c r="Z34" s="54" t="s">
        <v>383</v>
      </c>
      <c r="AA34" s="54" t="str">
        <f>IF(B34="","",VLOOKUP(AD34,Varsayımlar!$B:$Q,15,0))</f>
        <v>25cm Kolisi-Etiketli</v>
      </c>
      <c r="AB34" s="54" t="str">
        <f>IF(B34="","",VLOOKUP(AD34,Varsayımlar!$B:$Q,16,0))</f>
        <v>24-26 cm (Macca Hetto Inkjet Uzun Tarih)</v>
      </c>
      <c r="AC34" s="54" t="str">
        <f>IF(B34="","",VLOOKUP(Sayfa1!AD36,Varsayımlar!B:S,18,0))</f>
        <v>80x120cm</v>
      </c>
      <c r="AD34" s="57" t="str">
        <f t="shared" si="0"/>
        <v>LAIKYUZHN-BELARUSTortillas 25cm Tam buğday 4pcs 240g</v>
      </c>
    </row>
    <row r="35" spans="1:30" ht="47.25" x14ac:dyDescent="0.25">
      <c r="A35" s="8" t="s">
        <v>150</v>
      </c>
      <c r="B35" s="54" t="s">
        <v>268</v>
      </c>
      <c r="C35" s="39">
        <f>IF(B35="","",VLOOKUP(AD35,Varsayımlar!$B:$Q,3,0))</f>
        <v>8698829380698</v>
      </c>
      <c r="D35" s="39" t="s">
        <v>160</v>
      </c>
      <c r="E35" s="54" t="s">
        <v>274</v>
      </c>
      <c r="F35" s="54" t="s">
        <v>343</v>
      </c>
      <c r="G35" s="39" t="s">
        <v>68</v>
      </c>
      <c r="H35" s="54" t="str">
        <f>IF(B35="","",VLOOKUP(AD35,Varsayımlar!$B:$Q,5,0))</f>
        <v>Tortillas 25cm Domatesli</v>
      </c>
      <c r="I35" s="54">
        <f>IF(B35="","",VLOOKUP(AD35,Varsayımlar!B:T,19,0))</f>
        <v>0</v>
      </c>
      <c r="J35" s="54" t="str">
        <f>IF(B35="","",VLOOKUP(AD35,Varsayımlar!$B:$Q,6,0))</f>
        <v>Domatesli</v>
      </c>
      <c r="K35" s="54">
        <v>420</v>
      </c>
      <c r="L35" s="54"/>
      <c r="M35" s="54">
        <f>IFERROR(IF(B35="","",K35/VLOOKUP(AD35,Varsayımlar!B:R,17,0)),"")</f>
        <v>5</v>
      </c>
      <c r="N35" s="54"/>
      <c r="O35" s="54">
        <v>7</v>
      </c>
      <c r="P35" s="54">
        <f>IF(B35="","",VLOOKUP(AD35,Varsayımlar!$B:$Q,7,0)*K35)</f>
        <v>12600</v>
      </c>
      <c r="Q35" s="54">
        <f>IF(B35="","",VLOOKUP(AD35,Varsayımlar!$B:$Q,8,0))</f>
        <v>25</v>
      </c>
      <c r="R35" s="54" t="str">
        <f>IF(B35="","",VLOOKUP(AD35,Varsayımlar!$B:$Q,9,0))</f>
        <v>Soft-PA3</v>
      </c>
      <c r="S35" s="54">
        <f>IF(B35="","",VLOOKUP(AD35,Varsayımlar!$B:$Q,10,0))</f>
        <v>4</v>
      </c>
      <c r="T35" s="54">
        <f>IF(B35="","",VLOOKUP(AD35,Varsayımlar!$B:$Q,11,0))</f>
        <v>30</v>
      </c>
      <c r="U35" s="54">
        <f>IF(B35="","",VLOOKUP(AD35,Varsayımlar!$B:$Q,12,0))</f>
        <v>240</v>
      </c>
      <c r="V35" s="54" t="str">
        <f>IF(B35="","",VLOOKUP(AD35,Varsayımlar!$B:$Q,13,0))</f>
        <v>Yurtdışı</v>
      </c>
      <c r="W35" s="54">
        <f>IF(B35="","",VLOOKUP(AD35,Varsayımlar!$B:$Q,14,0))</f>
        <v>12</v>
      </c>
      <c r="X35" s="56">
        <v>46205</v>
      </c>
      <c r="Y35" s="56">
        <v>46570</v>
      </c>
      <c r="Z35" s="54" t="s">
        <v>384</v>
      </c>
      <c r="AA35" s="54" t="str">
        <f>IF(B35="","",VLOOKUP(AD35,Varsayımlar!$B:$Q,15,0))</f>
        <v>25cm Kolisi-Etiketli</v>
      </c>
      <c r="AB35" s="54" t="str">
        <f>IF(B35="","",VLOOKUP(AD35,Varsayımlar!$B:$Q,16,0))</f>
        <v>24-26 cm (Macca Hetto Inkjet Uzun Tarih)</v>
      </c>
      <c r="AC35" s="54" t="str">
        <f>IF(B35="","",VLOOKUP(Sayfa1!AD37,Varsayımlar!B:S,18,0))</f>
        <v>80x120cm</v>
      </c>
      <c r="AD35" s="57" t="str">
        <f t="shared" si="0"/>
        <v>LAIKYUZHN-BELARUSTortillas 25cm Domatesli 4pcs 240g</v>
      </c>
    </row>
    <row r="36" spans="1:30" ht="47.25" x14ac:dyDescent="0.25">
      <c r="A36" s="8" t="s">
        <v>151</v>
      </c>
      <c r="B36" s="54" t="s">
        <v>268</v>
      </c>
      <c r="C36" s="39">
        <f>IF(B36="","",VLOOKUP(AD36,Varsayımlar!$B:$Q,3,0))</f>
        <v>8698829380698</v>
      </c>
      <c r="D36" s="39" t="s">
        <v>160</v>
      </c>
      <c r="E36" s="54" t="s">
        <v>276</v>
      </c>
      <c r="F36" s="54" t="s">
        <v>343</v>
      </c>
      <c r="G36" s="39" t="s">
        <v>68</v>
      </c>
      <c r="H36" s="54" t="str">
        <f>IF(B36="","",VLOOKUP(AD36,Varsayımlar!$B:$Q,5,0))</f>
        <v>Tortillas 25cm Ispanaklı</v>
      </c>
      <c r="I36" s="54">
        <f>IF(B36="","",VLOOKUP(AD36,Varsayımlar!B:T,19,0))</f>
        <v>0</v>
      </c>
      <c r="J36" s="54" t="str">
        <f>IF(B36="","",VLOOKUP(AD36,Varsayımlar!$B:$Q,6,0))</f>
        <v>Ispanaklı</v>
      </c>
      <c r="K36" s="54">
        <v>336</v>
      </c>
      <c r="L36" s="54"/>
      <c r="M36" s="54">
        <f>IFERROR(IF(B36="","",K36/VLOOKUP(AD36,Varsayımlar!B:R,17,0)),"")</f>
        <v>4</v>
      </c>
      <c r="N36" s="54"/>
      <c r="O36" s="54">
        <v>6</v>
      </c>
      <c r="P36" s="54">
        <f>IF(B36="","",VLOOKUP(AD36,Varsayımlar!$B:$Q,7,0)*K36)</f>
        <v>10080</v>
      </c>
      <c r="Q36" s="54">
        <f>IF(B36="","",VLOOKUP(AD36,Varsayımlar!$B:$Q,8,0))</f>
        <v>25</v>
      </c>
      <c r="R36" s="54" t="str">
        <f>IF(B36="","",VLOOKUP(AD36,Varsayımlar!$B:$Q,9,0))</f>
        <v>Soft-PA3</v>
      </c>
      <c r="S36" s="54">
        <f>IF(B36="","",VLOOKUP(AD36,Varsayımlar!$B:$Q,10,0))</f>
        <v>4</v>
      </c>
      <c r="T36" s="54">
        <f>IF(B36="","",VLOOKUP(AD36,Varsayımlar!$B:$Q,11,0))</f>
        <v>30</v>
      </c>
      <c r="U36" s="54">
        <f>IF(B36="","",VLOOKUP(AD36,Varsayımlar!$B:$Q,12,0))</f>
        <v>240</v>
      </c>
      <c r="V36" s="54" t="str">
        <f>IF(B36="","",VLOOKUP(AD36,Varsayımlar!$B:$Q,13,0))</f>
        <v>Yurtdışı</v>
      </c>
      <c r="W36" s="54">
        <f>IF(B36="","",VLOOKUP(AD36,Varsayımlar!$B:$Q,14,0))</f>
        <v>12</v>
      </c>
      <c r="X36" s="56">
        <v>46205</v>
      </c>
      <c r="Y36" s="56">
        <v>46570</v>
      </c>
      <c r="Z36" s="54" t="s">
        <v>385</v>
      </c>
      <c r="AA36" s="54" t="str">
        <f>IF(B36="","",VLOOKUP(AD36,Varsayımlar!$B:$Q,15,0))</f>
        <v>25cm Kolisi-Etiketli</v>
      </c>
      <c r="AB36" s="54" t="str">
        <f>IF(B36="","",VLOOKUP(AD36,Varsayımlar!$B:$Q,16,0))</f>
        <v>24-26 cm (Macca Hetto Inkjet Uzun Tarih)</v>
      </c>
      <c r="AC36" s="54" t="str">
        <f>IF(B36="","",VLOOKUP(Sayfa1!AD38,Varsayımlar!B:S,18,0))</f>
        <v>80x120cm</v>
      </c>
      <c r="AD36" s="57" t="str">
        <f t="shared" si="0"/>
        <v>LAIKYUZHN-BELARUSTortillas 25cm Ispanaklı 4pcs 240g</v>
      </c>
    </row>
    <row r="37" spans="1:30" ht="47.25" x14ac:dyDescent="0.25">
      <c r="A37" s="8" t="s">
        <v>152</v>
      </c>
      <c r="B37" s="54" t="s">
        <v>268</v>
      </c>
      <c r="C37" s="39">
        <f>IF(B37="","",VLOOKUP(AD37,Varsayımlar!$B:$Q,3,0))</f>
        <v>8698829380698</v>
      </c>
      <c r="D37" s="39" t="s">
        <v>160</v>
      </c>
      <c r="E37" s="54" t="s">
        <v>278</v>
      </c>
      <c r="F37" s="54" t="s">
        <v>343</v>
      </c>
      <c r="G37" s="39" t="s">
        <v>68</v>
      </c>
      <c r="H37" s="54" t="str">
        <f>IF(B37="","",VLOOKUP(AD37,Varsayımlar!$B:$Q,5,0))</f>
        <v>Magnit Tortillas 25cm Peynirli</v>
      </c>
      <c r="I37" s="54" t="str">
        <f>IF(B37="","",VLOOKUP(AD37,Varsayımlar!B:T,19,0))</f>
        <v>Etiketli</v>
      </c>
      <c r="J37" s="54" t="str">
        <f>IF(B37="","",VLOOKUP(AD37,Varsayımlar!$B:$Q,6,0))</f>
        <v>Peynirli</v>
      </c>
      <c r="K37" s="54">
        <v>504</v>
      </c>
      <c r="L37" s="54"/>
      <c r="M37" s="54">
        <f>IFERROR(IF(B37="","",K37/VLOOKUP(AD37,Varsayımlar!B:R,17,0)),"")</f>
        <v>6</v>
      </c>
      <c r="N37" s="54"/>
      <c r="O37" s="54">
        <v>9</v>
      </c>
      <c r="P37" s="54">
        <f>IF(B37="","",VLOOKUP(AD37,Varsayımlar!$B:$Q,7,0)*K37)</f>
        <v>15120</v>
      </c>
      <c r="Q37" s="54">
        <f>IF(B37="","",VLOOKUP(AD37,Varsayımlar!$B:$Q,8,0))</f>
        <v>25</v>
      </c>
      <c r="R37" s="54" t="str">
        <f>IF(B37="","",VLOOKUP(AD37,Varsayımlar!$B:$Q,9,0))</f>
        <v>Soft-PA3-AT</v>
      </c>
      <c r="S37" s="54">
        <f>IF(B37="","",VLOOKUP(AD37,Varsayımlar!$B:$Q,10,0))</f>
        <v>4</v>
      </c>
      <c r="T37" s="54">
        <f>IF(B37="","",VLOOKUP(AD37,Varsayımlar!$B:$Q,11,0))</f>
        <v>30</v>
      </c>
      <c r="U37" s="54">
        <f>IF(B37="","",VLOOKUP(AD37,Varsayımlar!$B:$Q,12,0))</f>
        <v>250</v>
      </c>
      <c r="V37" s="54" t="str">
        <f>IF(B37="","",VLOOKUP(AD37,Varsayımlar!$B:$Q,13,0))</f>
        <v>Yurtdışı</v>
      </c>
      <c r="W37" s="54">
        <f>IF(B37="","",VLOOKUP(AD37,Varsayımlar!$B:$Q,14,0))</f>
        <v>9</v>
      </c>
      <c r="X37" s="56">
        <v>46205</v>
      </c>
      <c r="Y37" s="56">
        <v>46479</v>
      </c>
      <c r="Z37" s="54" t="s">
        <v>386</v>
      </c>
      <c r="AA37" s="54" t="str">
        <f>IF(B37="","",VLOOKUP(AD37,Varsayımlar!$B:$Q,15,0))</f>
        <v>25cm Kolisi-Etiketli</v>
      </c>
      <c r="AB37" s="54" t="str">
        <f>IF(B37="","",VLOOKUP(AD37,Varsayımlar!$B:$Q,16,0))</f>
        <v>24-26 cm (Macca Hetto Inkjet Uzun Tarih)</v>
      </c>
      <c r="AC37" s="54" t="str">
        <f>IF(B37="","",VLOOKUP(Sayfa1!AD39,Varsayımlar!B:S,18,0))</f>
        <v>80x120cm</v>
      </c>
      <c r="AD37" s="57" t="str">
        <f t="shared" si="0"/>
        <v>LAIKYUZHN-BELARUSMagnit Tortillas 25cm Peynirli 4pcs 240g</v>
      </c>
    </row>
    <row r="38" spans="1:30" ht="47.25" x14ac:dyDescent="0.25">
      <c r="A38" s="8" t="s">
        <v>153</v>
      </c>
      <c r="B38" s="75" t="s">
        <v>218</v>
      </c>
      <c r="C38" s="43">
        <f>IF(B38="","",VLOOKUP(AD38,Varsayımlar!$B:$Q,3,0))</f>
        <v>8698829380698</v>
      </c>
      <c r="D38" s="43" t="s">
        <v>161</v>
      </c>
      <c r="E38" s="75" t="s">
        <v>252</v>
      </c>
      <c r="F38" s="75" t="s">
        <v>341</v>
      </c>
      <c r="G38" s="43"/>
      <c r="H38" s="75" t="str">
        <f>IF(B38="","",VLOOKUP(AD38,Varsayımlar!$B:$Q,5,0))</f>
        <v xml:space="preserve">Tortillas 20cm Sade </v>
      </c>
      <c r="I38" s="75" t="str">
        <f>IF(B38="","",VLOOKUP(AD38,Varsayımlar!B:T,19,0))</f>
        <v>Barkod üzerine Barkod Etiketi (104)</v>
      </c>
      <c r="J38" s="75" t="str">
        <f>IF(B38="","",VLOOKUP(AD38,Varsayımlar!$B:$Q,6,0))</f>
        <v>SADE</v>
      </c>
      <c r="K38" s="75">
        <v>120</v>
      </c>
      <c r="L38" s="75"/>
      <c r="M38" s="75">
        <f>IFERROR(IF(B38="","",K38/VLOOKUP(AD38,Varsayımlar!B:R,17,0)),"")</f>
        <v>1</v>
      </c>
      <c r="N38" s="75"/>
      <c r="O38" s="75">
        <v>2</v>
      </c>
      <c r="P38" s="75">
        <f>IF(B38="","",VLOOKUP(AD38,Varsayımlar!$B:$Q,7,0)*K38)</f>
        <v>2160</v>
      </c>
      <c r="Q38" s="75">
        <f>IF(B38="","",VLOOKUP(AD38,Varsayımlar!$B:$Q,8,0))</f>
        <v>20</v>
      </c>
      <c r="R38" s="75" t="str">
        <f>IF(B38="","",VLOOKUP(AD38,Varsayımlar!$B:$Q,9,0))</f>
        <v>Irak Soft</v>
      </c>
      <c r="S38" s="75">
        <f>IF(B38="","",VLOOKUP(AD38,Varsayımlar!$B:$Q,10,0))</f>
        <v>6</v>
      </c>
      <c r="T38" s="75">
        <f>IF(B38="","",VLOOKUP(AD38,Varsayımlar!$B:$Q,11,0))</f>
        <v>18</v>
      </c>
      <c r="U38" s="75">
        <f>IF(B38="","",VLOOKUP(AD38,Varsayımlar!$B:$Q,12,0))</f>
        <v>270</v>
      </c>
      <c r="V38" s="75" t="str">
        <f>IF(B38="","",VLOOKUP(AD38,Varsayımlar!$B:$Q,13,0))</f>
        <v>Yurtdışı</v>
      </c>
      <c r="W38" s="75">
        <f>IF(B38="","",VLOOKUP(AD38,Varsayımlar!$B:$Q,14,0))</f>
        <v>9</v>
      </c>
      <c r="X38" s="76"/>
      <c r="Y38" s="76"/>
      <c r="Z38" s="75"/>
      <c r="AA38" s="75" t="str">
        <f>IF(B38="","",VLOOKUP(AD38,Varsayımlar!$B:$Q,15,0))</f>
        <v>20cm Lacivert-Bulgarca Etiket</v>
      </c>
      <c r="AB38" s="75" t="str">
        <f>IF(B38="","",VLOOKUP(AD38,Varsayımlar!$B:$Q,16,0))</f>
        <v>19-21 cm</v>
      </c>
      <c r="AC38" s="75" t="str">
        <f>IF(B38="","",VLOOKUP(Sayfa1!AD21,Varsayımlar!B:S,18,0))</f>
        <v>100x120cm-Epal+Epal</v>
      </c>
      <c r="AD38" s="57" t="str">
        <f t="shared" si="0"/>
        <v>TASTE LAND-BULGARİSTANTortillas 20cm Sade 6pcs 270g</v>
      </c>
    </row>
    <row r="39" spans="1:30" ht="78.75" x14ac:dyDescent="0.25">
      <c r="A39" s="8" t="s">
        <v>154</v>
      </c>
      <c r="B39" s="75" t="s">
        <v>218</v>
      </c>
      <c r="C39" s="43">
        <f>IF(B39="","",VLOOKUP(AD39,Varsayımlar!$B:$Q,3,0))</f>
        <v>8698829380698</v>
      </c>
      <c r="D39" s="43" t="s">
        <v>161</v>
      </c>
      <c r="E39" s="75" t="s">
        <v>222</v>
      </c>
      <c r="F39" s="75" t="s">
        <v>341</v>
      </c>
      <c r="G39" s="43"/>
      <c r="H39" s="75" t="str">
        <f>IF(B39="","",VLOOKUP(AD39,Varsayımlar!$B:$Q,5,0))</f>
        <v xml:space="preserve">Tortillas 30cm Tam Buğday </v>
      </c>
      <c r="I39" s="75" t="str">
        <f>IF(B39="","",VLOOKUP(AD39,Varsayımlar!B:T,19,0))</f>
        <v>Barkod üzerine-Bulgarca Barkodlu TB içerik etiketi (029)</v>
      </c>
      <c r="J39" s="75" t="str">
        <f>IF(B39="","",VLOOKUP(AD39,Varsayımlar!$B:$Q,6,0))</f>
        <v>Tam Buğdaylı</v>
      </c>
      <c r="K39" s="75">
        <v>60</v>
      </c>
      <c r="L39" s="75"/>
      <c r="M39" s="75">
        <f>IFERROR(IF(B39="","",K39/VLOOKUP(AD39,Varsayımlar!B:R,17,0)),"")</f>
        <v>1</v>
      </c>
      <c r="N39" s="75"/>
      <c r="O39" s="75">
        <v>1</v>
      </c>
      <c r="P39" s="75">
        <f>IF(B39="","",VLOOKUP(AD39,Varsayımlar!$B:$Q,7,0)*K39)</f>
        <v>360</v>
      </c>
      <c r="Q39" s="75">
        <f>IF(B39="","",VLOOKUP(AD39,Varsayımlar!$B:$Q,8,0))</f>
        <v>30</v>
      </c>
      <c r="R39" s="75" t="str">
        <f>IF(B39="","",VLOOKUP(AD39,Varsayımlar!$B:$Q,9,0))</f>
        <v>Irak Soft</v>
      </c>
      <c r="S39" s="75">
        <f>IF(B39="","",VLOOKUP(AD39,Varsayımlar!$B:$Q,10,0))</f>
        <v>18</v>
      </c>
      <c r="T39" s="75">
        <f>IF(B39="","",VLOOKUP(AD39,Varsayımlar!$B:$Q,11,0))</f>
        <v>6</v>
      </c>
      <c r="U39" s="75">
        <f>IF(B39="","",VLOOKUP(AD39,Varsayımlar!$B:$Q,12,0))</f>
        <v>1620</v>
      </c>
      <c r="V39" s="75" t="str">
        <f>IF(B39="","",VLOOKUP(AD39,Varsayımlar!$B:$Q,13,0))</f>
        <v>Yurtdışı</v>
      </c>
      <c r="W39" s="75">
        <f>IF(B39="","",VLOOKUP(AD39,Varsayımlar!$B:$Q,14,0))</f>
        <v>9</v>
      </c>
      <c r="X39" s="76"/>
      <c r="Y39" s="76"/>
      <c r="Z39" s="75"/>
      <c r="AA39" s="75" t="str">
        <f>IF(B39="","",VLOOKUP(AD39,Varsayımlar!$B:$Q,15,0))</f>
        <v>30cm Lacivert Koli- Bulgarca TB Etiket</v>
      </c>
      <c r="AB39" s="75" t="str">
        <f>IF(B39="","",VLOOKUP(AD39,Varsayımlar!$B:$Q,16,0))</f>
        <v>29-31 cm</v>
      </c>
      <c r="AC39" s="75" t="str">
        <f>IF(B39="","",VLOOKUP(Sayfa1!AD20,Varsayımlar!B:S,18,0))</f>
        <v>95x130cm</v>
      </c>
      <c r="AD39" s="57" t="str">
        <f t="shared" si="0"/>
        <v>TASTE LAND-BULGARİSTANTortillas 30cm Tam Buğday 18pcs 1620g</v>
      </c>
    </row>
    <row r="40" spans="1:30" ht="31.5" x14ac:dyDescent="0.25">
      <c r="A40" s="8" t="s">
        <v>155</v>
      </c>
      <c r="B40" s="75" t="s">
        <v>218</v>
      </c>
      <c r="C40" s="43">
        <f>IF(B40="","",VLOOKUP(AD40,Varsayımlar!$B:$Q,3,0))</f>
        <v>8698829380698</v>
      </c>
      <c r="D40" s="43" t="s">
        <v>161</v>
      </c>
      <c r="E40" s="75" t="s">
        <v>229</v>
      </c>
      <c r="F40" s="75" t="s">
        <v>341</v>
      </c>
      <c r="G40" s="43"/>
      <c r="H40" s="75" t="str">
        <f>IF(B40="","",VLOOKUP(AD40,Varsayımlar!$B:$Q,5,0))</f>
        <v>Tortillas Avrupa 25cm Tam Buğday (711)</v>
      </c>
      <c r="I40" s="75">
        <f>IF(B40="","",VLOOKUP(AD40,Varsayımlar!B:T,19,0))</f>
        <v>0</v>
      </c>
      <c r="J40" s="75" t="str">
        <f>IF(B40="","",VLOOKUP(AD40,Varsayımlar!$B:$Q,6,0))</f>
        <v>Tam Buğdaylı</v>
      </c>
      <c r="K40" s="75">
        <v>840</v>
      </c>
      <c r="L40" s="75"/>
      <c r="M40" s="75">
        <f>IFERROR(IF(B40="","",K40/VLOOKUP(AD40,Varsayımlar!B:R,17,0)),"")</f>
        <v>7</v>
      </c>
      <c r="N40" s="75"/>
      <c r="O40" s="75">
        <v>9</v>
      </c>
      <c r="P40" s="75">
        <f>IF(B40="","",VLOOKUP(AD40,Varsayımlar!$B:$Q,7,0)*K40)</f>
        <v>6720</v>
      </c>
      <c r="Q40" s="75">
        <f>IF(B40="","",VLOOKUP(AD40,Varsayımlar!$B:$Q,8,0))</f>
        <v>25</v>
      </c>
      <c r="R40" s="75" t="str">
        <f>IF(B40="","",VLOOKUP(AD40,Varsayımlar!$B:$Q,9,0))</f>
        <v>Irak Soft</v>
      </c>
      <c r="S40" s="75">
        <f>IF(B40="","",VLOOKUP(AD40,Varsayımlar!$B:$Q,10,0))</f>
        <v>10</v>
      </c>
      <c r="T40" s="75">
        <f>IF(B40="","",VLOOKUP(AD40,Varsayımlar!$B:$Q,11,0))</f>
        <v>8</v>
      </c>
      <c r="U40" s="75">
        <f>IF(B40="","",VLOOKUP(AD40,Varsayımlar!$B:$Q,12,0))</f>
        <v>650</v>
      </c>
      <c r="V40" s="75" t="str">
        <f>IF(B40="","",VLOOKUP(AD40,Varsayımlar!$B:$Q,13,0))</f>
        <v>Yurtdışı</v>
      </c>
      <c r="W40" s="75">
        <f>IF(B40="","",VLOOKUP(AD40,Varsayımlar!$B:$Q,14,0))</f>
        <v>9</v>
      </c>
      <c r="X40" s="76"/>
      <c r="Y40" s="76"/>
      <c r="Z40" s="75"/>
      <c r="AA40" s="75" t="str">
        <f>IF(B40="","",VLOOKUP(AD40,Varsayımlar!$B:$Q,15,0))</f>
        <v>25cm Perforeli-Bulgarca TB etiket</v>
      </c>
      <c r="AB40" s="75" t="str">
        <f>IF(B40="","",VLOOKUP(AD40,Varsayımlar!$B:$Q,16,0))</f>
        <v>24-26 cm</v>
      </c>
      <c r="AC40" s="75" t="str">
        <f>IF(B40="","",VLOOKUP(Sayfa1!AD63,Varsayımlar!B:S,18,0))</f>
        <v>80x120cm -Epal+Epal</v>
      </c>
      <c r="AD40" s="57" t="str">
        <f t="shared" si="0"/>
        <v>TASTE LAND-BULGARİSTANTortillas 25cm Tam Buğday 10pcs 650g</v>
      </c>
    </row>
    <row r="41" spans="1:30" ht="47.25" x14ac:dyDescent="0.25">
      <c r="A41" s="8" t="s">
        <v>156</v>
      </c>
      <c r="B41" s="75" t="s">
        <v>218</v>
      </c>
      <c r="C41" s="43">
        <f>IF(B41="","",VLOOKUP(AD41,Varsayımlar!$B:$Q,3,0))</f>
        <v>8698829380698</v>
      </c>
      <c r="D41" s="43" t="s">
        <v>161</v>
      </c>
      <c r="E41" s="75" t="s">
        <v>251</v>
      </c>
      <c r="F41" s="75" t="s">
        <v>341</v>
      </c>
      <c r="G41" s="43"/>
      <c r="H41" s="75" t="str">
        <f>IF(B41="","",VLOOKUP(AD41,Varsayımlar!$B:$Q,5,0))</f>
        <v>Tortillas Avrupa 25cm TB (711)</v>
      </c>
      <c r="I41" s="75" t="str">
        <f>IF(B41="","",VLOOKUP(AD41,Varsayımlar!B:T,19,0))</f>
        <v>Barkod üzerine Barkod Etiketi (067)</v>
      </c>
      <c r="J41" s="75" t="str">
        <f>IF(B41="","",VLOOKUP(AD41,Varsayımlar!$B:$Q,6,0))</f>
        <v>Tam Buğdaylı</v>
      </c>
      <c r="K41" s="75">
        <v>84</v>
      </c>
      <c r="L41" s="75"/>
      <c r="M41" s="75">
        <f>IFERROR(IF(B41="","",K41/VLOOKUP(AD41,Varsayımlar!B:R,17,0)),"")</f>
        <v>1</v>
      </c>
      <c r="N41" s="75"/>
      <c r="O41" s="75">
        <v>2</v>
      </c>
      <c r="P41" s="75">
        <f>IF(B41="","",VLOOKUP(AD41,Varsayımlar!$B:$Q,7,0)*K41)</f>
        <v>1512</v>
      </c>
      <c r="Q41" s="75">
        <f>IF(B41="","",VLOOKUP(AD41,Varsayımlar!$B:$Q,8,0))</f>
        <v>25</v>
      </c>
      <c r="R41" s="75" t="str">
        <f>IF(B41="","",VLOOKUP(AD41,Varsayımlar!$B:$Q,9,0))</f>
        <v>Irak Soft</v>
      </c>
      <c r="S41" s="75">
        <f>IF(B41="","",VLOOKUP(AD41,Varsayımlar!$B:$Q,10,0))</f>
        <v>6</v>
      </c>
      <c r="T41" s="75">
        <f>IF(B41="","",VLOOKUP(AD41,Varsayımlar!$B:$Q,11,0))</f>
        <v>18</v>
      </c>
      <c r="U41" s="75">
        <f>IF(B41="","",VLOOKUP(AD41,Varsayımlar!$B:$Q,12,0))</f>
        <v>390</v>
      </c>
      <c r="V41" s="75" t="str">
        <f>IF(B41="","",VLOOKUP(AD41,Varsayımlar!$B:$Q,13,0))</f>
        <v>Yurtdışı</v>
      </c>
      <c r="W41" s="75">
        <f>IF(B41="","",VLOOKUP(AD41,Varsayımlar!$B:$Q,14,0))</f>
        <v>9</v>
      </c>
      <c r="X41" s="76"/>
      <c r="Y41" s="76"/>
      <c r="Z41" s="75"/>
      <c r="AA41" s="75" t="str">
        <f>IF(B41="","",VLOOKUP(AD41,Varsayımlar!$B:$Q,15,0))</f>
        <v>25cm Kırmızı koli-Bulgarca TB Etiket</v>
      </c>
      <c r="AB41" s="75" t="str">
        <f>IF(B41="","",VLOOKUP(AD41,Varsayımlar!$B:$Q,16,0))</f>
        <v>24-26 cm</v>
      </c>
      <c r="AC41" s="75" t="str">
        <f>IF(B41="","",VLOOKUP(Sayfa1!AD64,Varsayımlar!B:S,18,0))</f>
        <v>80x120cm -Epal+Epal</v>
      </c>
      <c r="AD41" s="57" t="str">
        <f t="shared" si="0"/>
        <v>TASTE LAND-BULGARİSTANTortillas 25cm TB 6pcs 390g</v>
      </c>
    </row>
    <row r="42" spans="1:30" ht="47.25" x14ac:dyDescent="0.25">
      <c r="A42" s="8" t="s">
        <v>157</v>
      </c>
      <c r="B42" s="75" t="s">
        <v>218</v>
      </c>
      <c r="C42" s="43">
        <f>IF(B42="","",VLOOKUP(AD42,Varsayımlar!$B:$Q,3,0))</f>
        <v>8698829380698</v>
      </c>
      <c r="D42" s="43" t="s">
        <v>161</v>
      </c>
      <c r="E42" s="75" t="s">
        <v>232</v>
      </c>
      <c r="F42" s="75" t="s">
        <v>341</v>
      </c>
      <c r="G42" s="43"/>
      <c r="H42" s="75" t="str">
        <f>IF(B42="","",VLOOKUP(AD42,Varsayımlar!$B:$Q,5,0))</f>
        <v>Tortillas Avrupa 25cm Domatesli (074)</v>
      </c>
      <c r="I42" s="75">
        <f>IF(B42="","",VLOOKUP(AD42,Varsayımlar!B:T,19,0))</f>
        <v>0</v>
      </c>
      <c r="J42" s="75" t="str">
        <f>IF(B42="","",VLOOKUP(AD42,Varsayımlar!$B:$Q,6,0))</f>
        <v>Domatesli</v>
      </c>
      <c r="K42" s="75">
        <v>240</v>
      </c>
      <c r="L42" s="75"/>
      <c r="M42" s="75">
        <f>IFERROR(IF(B42="","",K42/VLOOKUP(AD42,Varsayımlar!B:R,17,0)),"")</f>
        <v>2</v>
      </c>
      <c r="N42" s="75"/>
      <c r="O42" s="75">
        <v>3</v>
      </c>
      <c r="P42" s="75">
        <f>IF(B42="","",VLOOKUP(AD42,Varsayımlar!$B:$Q,7,0)*K42)</f>
        <v>2880</v>
      </c>
      <c r="Q42" s="75">
        <f>IF(B42="","",VLOOKUP(AD42,Varsayımlar!$B:$Q,8,0))</f>
        <v>25</v>
      </c>
      <c r="R42" s="75" t="str">
        <f>IF(B42="","",VLOOKUP(AD42,Varsayımlar!$B:$Q,9,0))</f>
        <v>Irak Soft</v>
      </c>
      <c r="S42" s="75">
        <f>IF(B42="","",VLOOKUP(AD42,Varsayımlar!$B:$Q,10,0))</f>
        <v>6</v>
      </c>
      <c r="T42" s="75">
        <f>IF(B42="","",VLOOKUP(AD42,Varsayımlar!$B:$Q,11,0))</f>
        <v>12</v>
      </c>
      <c r="U42" s="75">
        <f>IF(B42="","",VLOOKUP(AD42,Varsayımlar!$B:$Q,12,0))</f>
        <v>390</v>
      </c>
      <c r="V42" s="75" t="str">
        <f>IF(B42="","",VLOOKUP(AD42,Varsayımlar!$B:$Q,13,0))</f>
        <v>Yurtdışı</v>
      </c>
      <c r="W42" s="75">
        <f>IF(B42="","",VLOOKUP(AD42,Varsayımlar!$B:$Q,14,0))</f>
        <v>9</v>
      </c>
      <c r="X42" s="76"/>
      <c r="Y42" s="76"/>
      <c r="Z42" s="75"/>
      <c r="AA42" s="75" t="str">
        <f>IF(B42="","",VLOOKUP(AD42,Varsayımlar!$B:$Q,15,0))</f>
        <v>25cm Perforeli-Bulgarca Domatesli etiket</v>
      </c>
      <c r="AB42" s="75" t="str">
        <f>IF(B42="","",VLOOKUP(AD42,Varsayımlar!$B:$Q,16,0))</f>
        <v>24-26 cm</v>
      </c>
      <c r="AC42" s="75" t="str">
        <f>IF(B42="","",VLOOKUP(Sayfa1!AD65,Varsayımlar!B:S,18,0))</f>
        <v>80x120cm -Epal+Epal</v>
      </c>
      <c r="AD42" s="57" t="str">
        <f t="shared" si="0"/>
        <v>TASTE LAND-BULGARİSTANTortillas 25cm Domatesli 6pcs 390g</v>
      </c>
    </row>
    <row r="43" spans="1:30" ht="47.25" x14ac:dyDescent="0.25">
      <c r="A43" s="8" t="s">
        <v>158</v>
      </c>
      <c r="B43" s="75" t="s">
        <v>218</v>
      </c>
      <c r="C43" s="43">
        <f>IF(B43="","",VLOOKUP(AD43,Varsayımlar!$B:$Q,3,0))</f>
        <v>8698829380698</v>
      </c>
      <c r="D43" s="43" t="s">
        <v>161</v>
      </c>
      <c r="E43" s="75" t="s">
        <v>235</v>
      </c>
      <c r="F43" s="75" t="s">
        <v>341</v>
      </c>
      <c r="G43" s="43"/>
      <c r="H43" s="75" t="str">
        <f>IF(B43="","",VLOOKUP(AD43,Varsayımlar!$B:$Q,5,0))</f>
        <v>Tortillas Avrupa 25cm Ispanaklı (081)</v>
      </c>
      <c r="I43" s="75">
        <f>IF(B43="","",VLOOKUP(AD43,Varsayımlar!B:T,19,0))</f>
        <v>0</v>
      </c>
      <c r="J43" s="75" t="str">
        <f>IF(B43="","",VLOOKUP(AD43,Varsayımlar!$B:$Q,6,0))</f>
        <v>Ispanaklı</v>
      </c>
      <c r="K43" s="75">
        <v>240</v>
      </c>
      <c r="L43" s="75"/>
      <c r="M43" s="75">
        <f>IFERROR(IF(B43="","",K43/VLOOKUP(AD43,Varsayımlar!B:R,17,0)),"")</f>
        <v>2</v>
      </c>
      <c r="N43" s="75"/>
      <c r="O43" s="75">
        <v>3</v>
      </c>
      <c r="P43" s="75">
        <f>IF(B43="","",VLOOKUP(AD43,Varsayımlar!$B:$Q,7,0)*K43)</f>
        <v>2880</v>
      </c>
      <c r="Q43" s="75">
        <f>IF(B43="","",VLOOKUP(AD43,Varsayımlar!$B:$Q,8,0))</f>
        <v>25</v>
      </c>
      <c r="R43" s="75" t="str">
        <f>IF(B43="","",VLOOKUP(AD43,Varsayımlar!$B:$Q,9,0))</f>
        <v>Irak Soft</v>
      </c>
      <c r="S43" s="75">
        <f>IF(B43="","",VLOOKUP(AD43,Varsayımlar!$B:$Q,10,0))</f>
        <v>6</v>
      </c>
      <c r="T43" s="75">
        <f>IF(B43="","",VLOOKUP(AD43,Varsayımlar!$B:$Q,11,0))</f>
        <v>12</v>
      </c>
      <c r="U43" s="75">
        <f>IF(B43="","",VLOOKUP(AD43,Varsayımlar!$B:$Q,12,0))</f>
        <v>390</v>
      </c>
      <c r="V43" s="75" t="str">
        <f>IF(B43="","",VLOOKUP(AD43,Varsayımlar!$B:$Q,13,0))</f>
        <v>Yurtdışı</v>
      </c>
      <c r="W43" s="75">
        <f>IF(B43="","",VLOOKUP(AD43,Varsayımlar!$B:$Q,14,0))</f>
        <v>9</v>
      </c>
      <c r="X43" s="76"/>
      <c r="Y43" s="76"/>
      <c r="Z43" s="75"/>
      <c r="AA43" s="75" t="str">
        <f>IF(B43="","",VLOOKUP(AD43,Varsayımlar!$B:$Q,15,0))</f>
        <v>25cm Perforeli-Bulgarca Ispanaklı etiket</v>
      </c>
      <c r="AB43" s="75" t="str">
        <f>IF(B43="","",VLOOKUP(AD43,Varsayımlar!$B:$Q,16,0))</f>
        <v>24-26 cm</v>
      </c>
      <c r="AC43" s="75" t="str">
        <f>IF(B43="","",VLOOKUP(Sayfa1!AD66,Varsayımlar!B:S,18,0))</f>
        <v>80x120cm -Epal+Epal</v>
      </c>
      <c r="AD43" s="57" t="str">
        <f t="shared" si="0"/>
        <v>TASTE LAND-BULGARİSTANTortillas 25cm Ispanaklı 6pcs 390g</v>
      </c>
    </row>
    <row r="44" spans="1:30" ht="47.25" x14ac:dyDescent="0.25">
      <c r="A44" s="8" t="s">
        <v>388</v>
      </c>
      <c r="B44" s="75" t="s">
        <v>218</v>
      </c>
      <c r="C44" s="43">
        <f>IF(B44="","",VLOOKUP(AD44,Varsayımlar!$B:$Q,3,0))</f>
        <v>8698829380698</v>
      </c>
      <c r="D44" s="43" t="s">
        <v>161</v>
      </c>
      <c r="E44" s="75" t="s">
        <v>240</v>
      </c>
      <c r="F44" s="75" t="s">
        <v>341</v>
      </c>
      <c r="G44" s="43"/>
      <c r="H44" s="75" t="str">
        <f>IF(B44="","",VLOOKUP(AD44,Varsayımlar!$B:$Q,5,0))</f>
        <v>Tortillas Avrupa 25cm Peynirli (098)</v>
      </c>
      <c r="I44" s="75">
        <f>IF(B44="","",VLOOKUP(AD44,Varsayımlar!B:T,19,0))</f>
        <v>0</v>
      </c>
      <c r="J44" s="75" t="str">
        <f>IF(B44="","",VLOOKUP(AD44,Varsayımlar!$B:$Q,6,0))</f>
        <v>Peynirli</v>
      </c>
      <c r="K44" s="75">
        <v>120</v>
      </c>
      <c r="L44" s="75"/>
      <c r="M44" s="75">
        <f>IFERROR(IF(B44="","",K44/VLOOKUP(AD44,Varsayımlar!B:R,17,0)),"")</f>
        <v>1</v>
      </c>
      <c r="N44" s="75"/>
      <c r="O44" s="75">
        <v>2</v>
      </c>
      <c r="P44" s="75">
        <f>IF(B44="","",VLOOKUP(AD44,Varsayımlar!$B:$Q,7,0)*K44)</f>
        <v>1440</v>
      </c>
      <c r="Q44" s="75">
        <f>IF(B44="","",VLOOKUP(AD44,Varsayımlar!$B:$Q,8,0))</f>
        <v>25</v>
      </c>
      <c r="R44" s="75" t="str">
        <f>IF(B44="","",VLOOKUP(AD44,Varsayımlar!$B:$Q,9,0))</f>
        <v>Irak Soft-AT</v>
      </c>
      <c r="S44" s="75">
        <f>IF(B44="","",VLOOKUP(AD44,Varsayımlar!$B:$Q,10,0))</f>
        <v>6</v>
      </c>
      <c r="T44" s="75">
        <f>IF(B44="","",VLOOKUP(AD44,Varsayımlar!$B:$Q,11,0))</f>
        <v>12</v>
      </c>
      <c r="U44" s="75">
        <f>IF(B44="","",VLOOKUP(AD44,Varsayımlar!$B:$Q,12,0))</f>
        <v>390</v>
      </c>
      <c r="V44" s="75" t="str">
        <f>IF(B44="","",VLOOKUP(AD44,Varsayımlar!$B:$Q,13,0))</f>
        <v>Yurtdışı</v>
      </c>
      <c r="W44" s="75">
        <f>IF(B44="","",VLOOKUP(AD44,Varsayımlar!$B:$Q,14,0))</f>
        <v>9</v>
      </c>
      <c r="X44" s="76"/>
      <c r="Y44" s="76"/>
      <c r="Z44" s="75"/>
      <c r="AA44" s="75" t="str">
        <f>IF(B44="","",VLOOKUP(AD44,Varsayımlar!$B:$Q,15,0))</f>
        <v>25cm Perforeli-Bulgarca Peynirli etiket</v>
      </c>
      <c r="AB44" s="75" t="str">
        <f>IF(B44="","",VLOOKUP(AD44,Varsayımlar!$B:$Q,16,0))</f>
        <v>24-26 cm</v>
      </c>
      <c r="AC44" s="75" t="str">
        <f>IF(B44="","",VLOOKUP(Sayfa1!AD67,Varsayımlar!B:S,18,0))</f>
        <v>80x120cm -Epal+Epal</v>
      </c>
      <c r="AD44" s="57" t="str">
        <f t="shared" si="0"/>
        <v>TASTE LAND-BULGARİSTANTortillas 25cm Peynirli 6pcs 390g</v>
      </c>
    </row>
    <row r="45" spans="1:30" x14ac:dyDescent="0.25">
      <c r="A45" s="8" t="s">
        <v>389</v>
      </c>
      <c r="B45" s="64"/>
      <c r="C45" s="3" t="str">
        <f>IF(B45="","",VLOOKUP(AD45,Varsayımlar!$B:$Q,3,0))</f>
        <v/>
      </c>
      <c r="D45" s="3"/>
      <c r="E45" s="3"/>
      <c r="F45" s="64"/>
      <c r="G45" s="3"/>
      <c r="H45" s="64" t="str">
        <f>IF(B45="","",VLOOKUP(AD45,Varsayımlar!$B:$Q,5,0))</f>
        <v/>
      </c>
      <c r="I45" s="64" t="str">
        <f>IF(B45="","",VLOOKUP(AD45,Varsayımlar!B:T,19,0))</f>
        <v/>
      </c>
      <c r="J45" s="64" t="str">
        <f>IF(B45="","",VLOOKUP(AD45,Varsayımlar!$B:$Q,6,0))</f>
        <v/>
      </c>
      <c r="K45" s="64"/>
      <c r="L45" s="64"/>
      <c r="M45" s="64" t="str">
        <f>IFERROR(IF(B45="","",K45/VLOOKUP(AD45,Varsayımlar!B:R,17,0)),"")</f>
        <v/>
      </c>
      <c r="N45" s="64"/>
      <c r="O45" s="64"/>
      <c r="P45" s="64" t="str">
        <f>IF(B45="","",VLOOKUP(AD45,Varsayımlar!$B:$Q,7,0)*K45)</f>
        <v/>
      </c>
      <c r="Q45" s="64" t="str">
        <f>IF(B45="","",VLOOKUP(AD45,Varsayımlar!$B:$Q,8,0))</f>
        <v/>
      </c>
      <c r="R45" s="64" t="str">
        <f>IF(B45="","",VLOOKUP(AD45,Varsayımlar!$B:$Q,9,0))</f>
        <v/>
      </c>
      <c r="S45" s="64" t="str">
        <f>IF(B45="","",VLOOKUP(AD45,Varsayımlar!$B:$Q,10,0))</f>
        <v/>
      </c>
      <c r="T45" s="64" t="str">
        <f>IF(B45="","",VLOOKUP(AD45,Varsayımlar!$B:$Q,11,0))</f>
        <v/>
      </c>
      <c r="U45" s="64" t="str">
        <f>IF(B45="","",VLOOKUP(AD45,Varsayımlar!$B:$Q,12,0))</f>
        <v/>
      </c>
      <c r="V45" s="64" t="str">
        <f>IF(B45="","",VLOOKUP(AD45,Varsayımlar!$B:$Q,13,0))</f>
        <v/>
      </c>
      <c r="W45" s="64" t="str">
        <f>IF(B45="","",VLOOKUP(AD45,Varsayımlar!$B:$Q,14,0))</f>
        <v/>
      </c>
      <c r="X45" s="66"/>
      <c r="Y45" s="66"/>
      <c r="Z45" s="64"/>
      <c r="AA45" s="64" t="str">
        <f>IF(B45="","",VLOOKUP(AD45,Varsayımlar!$B:$Q,15,0))</f>
        <v/>
      </c>
      <c r="AB45" s="64" t="str">
        <f>IF(B45="","",VLOOKUP(AD45,Varsayımlar!$B:$Q,16,0))</f>
        <v/>
      </c>
      <c r="AC45" s="64" t="str">
        <f>IF(B45="","",VLOOKUP(Sayfa1!AD43,Varsayımlar!B:S,18,0))</f>
        <v/>
      </c>
      <c r="AD45" s="57" t="str">
        <f t="shared" si="0"/>
        <v/>
      </c>
    </row>
    <row r="46" spans="1:30" x14ac:dyDescent="0.25">
      <c r="A46" s="8" t="s">
        <v>390</v>
      </c>
      <c r="B46" s="64"/>
      <c r="C46" s="3" t="str">
        <f>IF(B46="","",VLOOKUP(AD46,Varsayımlar!$B:$Q,3,0))</f>
        <v/>
      </c>
      <c r="D46" s="3"/>
      <c r="E46" s="3"/>
      <c r="F46" s="64"/>
      <c r="G46" s="3"/>
      <c r="H46" s="64" t="str">
        <f>IF(B46="","",VLOOKUP(AD46,Varsayımlar!$B:$Q,5,0))</f>
        <v/>
      </c>
      <c r="I46" s="64" t="str">
        <f>IF(B46="","",VLOOKUP(AD46,Varsayımlar!B:T,19,0))</f>
        <v/>
      </c>
      <c r="J46" s="64" t="str">
        <f>IF(B46="","",VLOOKUP(AD46,Varsayımlar!$B:$Q,6,0))</f>
        <v/>
      </c>
      <c r="K46" s="64"/>
      <c r="L46" s="64"/>
      <c r="M46" s="64" t="str">
        <f>IFERROR(IF(B46="","",K46/VLOOKUP(AD46,Varsayımlar!B:R,17,0)),"")</f>
        <v/>
      </c>
      <c r="N46" s="64"/>
      <c r="O46" s="64"/>
      <c r="P46" s="64" t="str">
        <f>IF(B46="","",VLOOKUP(AD46,Varsayımlar!$B:$Q,7,0)*K46)</f>
        <v/>
      </c>
      <c r="Q46" s="64" t="str">
        <f>IF(B46="","",VLOOKUP(AD46,Varsayımlar!$B:$Q,8,0))</f>
        <v/>
      </c>
      <c r="R46" s="64" t="str">
        <f>IF(B46="","",VLOOKUP(AD46,Varsayımlar!$B:$Q,9,0))</f>
        <v/>
      </c>
      <c r="S46" s="64" t="str">
        <f>IF(B46="","",VLOOKUP(AD46,Varsayımlar!$B:$Q,10,0))</f>
        <v/>
      </c>
      <c r="T46" s="64" t="str">
        <f>IF(B46="","",VLOOKUP(AD46,Varsayımlar!$B:$Q,11,0))</f>
        <v/>
      </c>
      <c r="U46" s="64" t="str">
        <f>IF(B46="","",VLOOKUP(AD46,Varsayımlar!$B:$Q,12,0))</f>
        <v/>
      </c>
      <c r="V46" s="64" t="str">
        <f>IF(B46="","",VLOOKUP(AD46,Varsayımlar!$B:$Q,13,0))</f>
        <v/>
      </c>
      <c r="W46" s="64" t="str">
        <f>IF(B46="","",VLOOKUP(AD46,Varsayımlar!$B:$Q,14,0))</f>
        <v/>
      </c>
      <c r="X46" s="66"/>
      <c r="Y46" s="66"/>
      <c r="Z46" s="64"/>
      <c r="AA46" s="64" t="str">
        <f>IF(B46="","",VLOOKUP(AD46,Varsayımlar!$B:$Q,15,0))</f>
        <v/>
      </c>
      <c r="AB46" s="64" t="str">
        <f>IF(B46="","",VLOOKUP(AD46,Varsayımlar!$B:$Q,16,0))</f>
        <v/>
      </c>
      <c r="AC46" s="64" t="str">
        <f>IF(B46="","",VLOOKUP(Sayfa1!AD44,Varsayımlar!B:S,18,0))</f>
        <v/>
      </c>
      <c r="AD46" s="57" t="str">
        <f t="shared" si="0"/>
        <v/>
      </c>
    </row>
    <row r="47" spans="1:30" x14ac:dyDescent="0.25">
      <c r="A47" s="8" t="s">
        <v>391</v>
      </c>
      <c r="B47" s="64"/>
      <c r="C47" s="3" t="str">
        <f>IF(B47="","",VLOOKUP(AD47,Varsayımlar!$B:$Q,3,0))</f>
        <v/>
      </c>
      <c r="D47" s="3"/>
      <c r="E47" s="3"/>
      <c r="F47" s="64"/>
      <c r="G47" s="3"/>
      <c r="H47" s="64" t="str">
        <f>IF(B47="","",VLOOKUP(AD47,Varsayımlar!$B:$Q,5,0))</f>
        <v/>
      </c>
      <c r="I47" s="64" t="str">
        <f>IF(B47="","",VLOOKUP(AD47,Varsayımlar!B:T,19,0))</f>
        <v/>
      </c>
      <c r="J47" s="64" t="str">
        <f>IF(B47="","",VLOOKUP(AD47,Varsayımlar!$B:$Q,6,0))</f>
        <v/>
      </c>
      <c r="K47" s="64"/>
      <c r="L47" s="64"/>
      <c r="M47" s="64" t="str">
        <f>IFERROR(IF(B47="","",K47/VLOOKUP(AD47,Varsayımlar!B:R,17,0)),"")</f>
        <v/>
      </c>
      <c r="N47" s="64"/>
      <c r="O47" s="64"/>
      <c r="P47" s="64" t="str">
        <f>IF(B47="","",VLOOKUP(AD47,Varsayımlar!$B:$Q,7,0)*K47)</f>
        <v/>
      </c>
      <c r="Q47" s="64" t="str">
        <f>IF(B47="","",VLOOKUP(AD47,Varsayımlar!$B:$Q,8,0))</f>
        <v/>
      </c>
      <c r="R47" s="64" t="str">
        <f>IF(B47="","",VLOOKUP(AD47,Varsayımlar!$B:$Q,9,0))</f>
        <v/>
      </c>
      <c r="S47" s="64" t="str">
        <f>IF(B47="","",VLOOKUP(AD47,Varsayımlar!$B:$Q,10,0))</f>
        <v/>
      </c>
      <c r="T47" s="64" t="str">
        <f>IF(B47="","",VLOOKUP(AD47,Varsayımlar!$B:$Q,11,0))</f>
        <v/>
      </c>
      <c r="U47" s="64" t="str">
        <f>IF(B47="","",VLOOKUP(AD47,Varsayımlar!$B:$Q,12,0))</f>
        <v/>
      </c>
      <c r="V47" s="64" t="str">
        <f>IF(B47="","",VLOOKUP(AD47,Varsayımlar!$B:$Q,13,0))</f>
        <v/>
      </c>
      <c r="W47" s="64" t="str">
        <f>IF(B47="","",VLOOKUP(AD47,Varsayımlar!$B:$Q,14,0))</f>
        <v/>
      </c>
      <c r="X47" s="66"/>
      <c r="Y47" s="66"/>
      <c r="Z47" s="64"/>
      <c r="AA47" s="64" t="str">
        <f>IF(B47="","",VLOOKUP(AD47,Varsayımlar!$B:$Q,15,0))</f>
        <v/>
      </c>
      <c r="AB47" s="64" t="str">
        <f>IF(B47="","",VLOOKUP(AD47,Varsayımlar!$B:$Q,16,0))</f>
        <v/>
      </c>
      <c r="AC47" s="64" t="str">
        <f>IF(B47="","",VLOOKUP(Sayfa1!AD45,Varsayımlar!B:S,18,0))</f>
        <v/>
      </c>
      <c r="AD47" s="57" t="str">
        <f t="shared" si="0"/>
        <v/>
      </c>
    </row>
    <row r="48" spans="1:30" ht="31.5" customHeight="1" x14ac:dyDescent="0.25">
      <c r="A48" s="182" t="s">
        <v>344</v>
      </c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4"/>
      <c r="AC48" s="38"/>
    </row>
    <row r="49" spans="1:30" ht="63" x14ac:dyDescent="0.25">
      <c r="A49" s="8" t="s">
        <v>0</v>
      </c>
      <c r="B49" s="8" t="s">
        <v>1</v>
      </c>
      <c r="C49" s="9" t="s">
        <v>31</v>
      </c>
      <c r="D49" s="9" t="s">
        <v>124</v>
      </c>
      <c r="E49" s="9" t="s">
        <v>36</v>
      </c>
      <c r="F49" s="8" t="s">
        <v>37</v>
      </c>
      <c r="G49" s="8" t="s">
        <v>13</v>
      </c>
      <c r="H49" s="8" t="s">
        <v>2</v>
      </c>
      <c r="I49" s="8" t="s">
        <v>49</v>
      </c>
      <c r="J49" s="8" t="s">
        <v>3</v>
      </c>
      <c r="K49" s="8" t="s">
        <v>21</v>
      </c>
      <c r="L49" s="8" t="s">
        <v>94</v>
      </c>
      <c r="M49" s="8" t="s">
        <v>20</v>
      </c>
      <c r="N49" s="8" t="s">
        <v>165</v>
      </c>
      <c r="O49" s="8" t="s">
        <v>123</v>
      </c>
      <c r="P49" s="8" t="s">
        <v>16</v>
      </c>
      <c r="Q49" s="8" t="s">
        <v>4</v>
      </c>
      <c r="R49" s="8" t="s">
        <v>5</v>
      </c>
      <c r="S49" s="8" t="s">
        <v>6</v>
      </c>
      <c r="T49" s="8" t="s">
        <v>28</v>
      </c>
      <c r="U49" s="8" t="s">
        <v>7</v>
      </c>
      <c r="V49" s="8" t="s">
        <v>8</v>
      </c>
      <c r="W49" s="8" t="s">
        <v>267</v>
      </c>
      <c r="X49" s="8" t="s">
        <v>10</v>
      </c>
      <c r="Y49" s="8" t="s">
        <v>11</v>
      </c>
      <c r="Z49" s="8" t="s">
        <v>12</v>
      </c>
      <c r="AA49" s="8" t="s">
        <v>14</v>
      </c>
      <c r="AB49" s="8" t="s">
        <v>15</v>
      </c>
      <c r="AC49" s="8" t="s">
        <v>208</v>
      </c>
      <c r="AD49" s="7" t="s">
        <v>41</v>
      </c>
    </row>
    <row r="50" spans="1:30" ht="31.5" x14ac:dyDescent="0.25">
      <c r="A50" s="8" t="s">
        <v>26</v>
      </c>
      <c r="B50" s="64" t="s">
        <v>95</v>
      </c>
      <c r="C50" s="3">
        <f>IF(B50="","",VLOOKUP(AD50,Varsayımlar!$B:$Q,3,0))</f>
        <v>8698829380698</v>
      </c>
      <c r="D50" s="3"/>
      <c r="E50" s="65" t="s">
        <v>114</v>
      </c>
      <c r="F50" s="64"/>
      <c r="G50" s="64"/>
      <c r="H50" s="64" t="str">
        <f>IF(B50="","",VLOOKUP(AD50,Varsayımlar!$B:$Q,5,0))</f>
        <v>Bisto 25 cm</v>
      </c>
      <c r="I50" s="64"/>
      <c r="J50" s="64" t="str">
        <f>IF(B50="","",VLOOKUP(AD50,Varsayımlar!$B:$Q,6,0))</f>
        <v>SADE</v>
      </c>
      <c r="K50" s="64">
        <v>288</v>
      </c>
      <c r="L50" s="64"/>
      <c r="M50" s="64">
        <f>IFERROR(IF(B50="","",K50/VLOOKUP(AD50,Varsayımlar!B:R,17,0)),"")</f>
        <v>6</v>
      </c>
      <c r="N50" s="64"/>
      <c r="O50" s="64">
        <v>3</v>
      </c>
      <c r="P50" s="64">
        <f>IF(B50="","",VLOOKUP(AD50,Varsayımlar!$B:$Q,7,0)*K50)</f>
        <v>3456</v>
      </c>
      <c r="Q50" s="64">
        <f>IF(B50="","",VLOOKUP(AD50,Varsayımlar!$B:$Q,8,0))</f>
        <v>25</v>
      </c>
      <c r="R50" s="64" t="str">
        <f>IF(B50="","",VLOOKUP(AD50,Varsayımlar!$B:$Q,9,0))</f>
        <v>Standart</v>
      </c>
      <c r="S50" s="64">
        <f>IF(B50="","",VLOOKUP(AD50,Varsayımlar!$B:$Q,10,0))</f>
        <v>12</v>
      </c>
      <c r="T50" s="64">
        <f>IF(B50="","",VLOOKUP(AD50,Varsayımlar!$B:$Q,11,0))</f>
        <v>12</v>
      </c>
      <c r="U50" s="64">
        <f>IF(B50="","",VLOOKUP(AD50,Varsayımlar!$B:$Q,12,0))</f>
        <v>840</v>
      </c>
      <c r="V50" s="64" t="str">
        <f>IF(B50="","",VLOOKUP(AD50,Varsayımlar!$B:$Q,13,0))</f>
        <v>Yurtiçi</v>
      </c>
      <c r="W50" s="64">
        <f>IF(B50="","",VLOOKUP(AD50,Varsayımlar!$B:$Q,14,0))</f>
        <v>6</v>
      </c>
      <c r="X50" s="66" t="s">
        <v>113</v>
      </c>
      <c r="Y50" s="66" t="s">
        <v>113</v>
      </c>
      <c r="Z50" s="64" t="s">
        <v>113</v>
      </c>
      <c r="AA50" s="64" t="str">
        <f>IF(B50="","",VLOOKUP(AD50,Varsayımlar!$B:$Q,15,0))</f>
        <v>Bisto Kolisi</v>
      </c>
      <c r="AB50" s="64" t="str">
        <f>IF(B50="","",VLOOKUP(AD50,Varsayımlar!$B:$Q,16,0))</f>
        <v>24-26 Cm</v>
      </c>
      <c r="AC50" s="64" t="s">
        <v>362</v>
      </c>
      <c r="AD50" s="57" t="str">
        <f t="shared" ref="AD50" si="1">IF(B50="","",CONCATENATE(B50,E50))</f>
        <v>Şok MarketBisto 25 cm 12 pcs 840g</v>
      </c>
    </row>
    <row r="51" spans="1:30" ht="23.25" customHeight="1" x14ac:dyDescent="0.25">
      <c r="A51" s="8" t="s">
        <v>77</v>
      </c>
      <c r="B51" s="64" t="s">
        <v>119</v>
      </c>
      <c r="C51" s="3">
        <f>IF(B51="","",VLOOKUP(AD51,Varsayımlar!$B:$Q,3,0))</f>
        <v>8698829380698</v>
      </c>
      <c r="D51" s="3"/>
      <c r="E51" s="64" t="s">
        <v>120</v>
      </c>
      <c r="F51" s="64"/>
      <c r="G51" s="64"/>
      <c r="H51" s="64" t="str">
        <f>IF(B51="","",VLOOKUP(AD51,Varsayımlar!$B:$Q,5,0))</f>
        <v>Nimet 25 cm</v>
      </c>
      <c r="I51" s="64"/>
      <c r="J51" s="64" t="str">
        <f>IF(B51="","",VLOOKUP(AD51,Varsayımlar!$B:$Q,6,0))</f>
        <v>SADE</v>
      </c>
      <c r="K51" s="64">
        <v>4000</v>
      </c>
      <c r="L51" s="64"/>
      <c r="M51" s="64">
        <f>IFERROR(IF(B51="","",K51/VLOOKUP(AD51,Varsayımlar!B:R,17,0)),"")</f>
        <v>80</v>
      </c>
      <c r="N51" s="64"/>
      <c r="O51" s="64">
        <v>40</v>
      </c>
      <c r="P51" s="64">
        <f>IF(B51="","",VLOOKUP(AD51,Varsayımlar!$B:$Q,7,0)*K51)</f>
        <v>48000</v>
      </c>
      <c r="Q51" s="64">
        <f>IF(B51="","",VLOOKUP(AD51,Varsayımlar!$B:$Q,8,0))</f>
        <v>25</v>
      </c>
      <c r="R51" s="64" t="str">
        <f>IF(B51="","",VLOOKUP(AD51,Varsayımlar!$B:$Q,9,0))</f>
        <v>Standart</v>
      </c>
      <c r="S51" s="64">
        <f>IF(B51="","",VLOOKUP(AD51,Varsayımlar!$B:$Q,10,0))</f>
        <v>12</v>
      </c>
      <c r="T51" s="64">
        <f>IF(B51="","",VLOOKUP(AD51,Varsayımlar!$B:$Q,11,0))</f>
        <v>12</v>
      </c>
      <c r="U51" s="64">
        <f>IF(B51="","",VLOOKUP(AD51,Varsayımlar!$B:$Q,12,0))</f>
        <v>840</v>
      </c>
      <c r="V51" s="64" t="str">
        <f>IF(B51="","",VLOOKUP(AD51,Varsayımlar!$B:$Q,13,0))</f>
        <v>YURTİÇİ</v>
      </c>
      <c r="W51" s="64">
        <f>IF(B51="","",VLOOKUP(AD51,Varsayımlar!$B:$Q,14,0))</f>
        <v>5</v>
      </c>
      <c r="X51" s="66" t="s">
        <v>113</v>
      </c>
      <c r="Y51" s="66" t="s">
        <v>113</v>
      </c>
      <c r="Z51" s="64" t="s">
        <v>113</v>
      </c>
      <c r="AA51" s="64" t="str">
        <f>IF(B51="","",VLOOKUP(AD51,Varsayımlar!$B:$Q,15,0))</f>
        <v>Nimet Kolisi</v>
      </c>
      <c r="AB51" s="64" t="str">
        <f>IF(B51="","",VLOOKUP(AD51,Varsayımlar!$B:$Q,16,0))</f>
        <v>24-26 CM</v>
      </c>
      <c r="AC51" s="64" t="e">
        <f>IF(B51="","",VLOOKUP(Sayfa1!AD46,Varsayımlar!B:S,18,0))</f>
        <v>#N/A</v>
      </c>
      <c r="AD51" s="57" t="str">
        <f t="shared" ref="AD51:AD63" si="2">IF(B51="","",CONCATENATE(B51,E51))</f>
        <v>A101Nimet 25cm 12 pcs 840g</v>
      </c>
    </row>
    <row r="52" spans="1:30" ht="31.5" x14ac:dyDescent="0.25">
      <c r="A52" s="8" t="s">
        <v>78</v>
      </c>
      <c r="B52" s="62" t="s">
        <v>218</v>
      </c>
      <c r="C52" s="32">
        <f>IF(B52="","",VLOOKUP(AD52,Varsayımlar!$B:$Q,3,0))</f>
        <v>8698829380698</v>
      </c>
      <c r="D52" s="32" t="s">
        <v>159</v>
      </c>
      <c r="E52" s="62" t="s">
        <v>228</v>
      </c>
      <c r="F52" s="62">
        <v>26042906</v>
      </c>
      <c r="G52" s="32"/>
      <c r="H52" s="62" t="str">
        <f>IF(B52="","",VLOOKUP(AD52,Varsayımlar!$B:$Q,5,0))</f>
        <v>Tortillas Avrupa 25cm (698)</v>
      </c>
      <c r="I52" s="62">
        <f>IF(B52="","",VLOOKUP(AD52,Varsayımlar!B:T,19,0))</f>
        <v>0</v>
      </c>
      <c r="J52" s="62" t="str">
        <f>IF(B52="","",VLOOKUP(AD52,Varsayımlar!$B:$Q,6,0))</f>
        <v>SADE</v>
      </c>
      <c r="K52" s="62">
        <v>720</v>
      </c>
      <c r="L52" s="62"/>
      <c r="M52" s="62">
        <f>IFERROR(IF(B52="","",K52/VLOOKUP(AD52,Varsayımlar!B:R,17,0)),"")</f>
        <v>6</v>
      </c>
      <c r="N52" s="62"/>
      <c r="O52" s="62">
        <v>1</v>
      </c>
      <c r="P52" s="62">
        <f>IF(B52="","",VLOOKUP(AD52,Varsayımlar!$B:$Q,7,0)*K52)</f>
        <v>5760</v>
      </c>
      <c r="Q52" s="62">
        <f>IF(B52="","",VLOOKUP(AD52,Varsayımlar!$B:$Q,8,0))</f>
        <v>25</v>
      </c>
      <c r="R52" s="62" t="str">
        <f>IF(B52="","",VLOOKUP(AD52,Varsayımlar!$B:$Q,9,0))</f>
        <v>Irak Soft</v>
      </c>
      <c r="S52" s="62">
        <f>IF(B52="","",VLOOKUP(AD52,Varsayımlar!$B:$Q,10,0))</f>
        <v>10</v>
      </c>
      <c r="T52" s="62">
        <f>IF(B52="","",VLOOKUP(AD52,Varsayımlar!$B:$Q,11,0))</f>
        <v>8</v>
      </c>
      <c r="U52" s="62">
        <f>IF(B52="","",VLOOKUP(AD52,Varsayımlar!$B:$Q,12,0))</f>
        <v>650</v>
      </c>
      <c r="V52" s="62" t="str">
        <f>IF(B52="","",VLOOKUP(AD52,Varsayımlar!$B:$Q,13,0))</f>
        <v>Yurtdışı</v>
      </c>
      <c r="W52" s="62">
        <f>IF(B52="","",VLOOKUP(AD52,Varsayımlar!$B:$Q,14,0))</f>
        <v>9</v>
      </c>
      <c r="X52" s="63">
        <v>46183</v>
      </c>
      <c r="Y52" s="63">
        <v>46456</v>
      </c>
      <c r="Z52" s="62">
        <v>26061025</v>
      </c>
      <c r="AA52" s="62" t="str">
        <f>IF(B52="","",VLOOKUP(AD52,Varsayımlar!$B:$Q,15,0))</f>
        <v>25cm Perforeli-Bulgarca etiket</v>
      </c>
      <c r="AB52" s="62" t="str">
        <f>IF(B52="","",VLOOKUP(AD52,Varsayımlar!$B:$Q,16,0))</f>
        <v>24-26 cm</v>
      </c>
      <c r="AC52" s="62" t="str">
        <f>IF(B52="","",VLOOKUP(Sayfa1!AD51,Varsayımlar!B:S,18,0))</f>
        <v>80x120cm -Epal+Epal</v>
      </c>
      <c r="AD52" s="57" t="str">
        <f t="shared" si="2"/>
        <v>TASTE LAND-BULGARİSTANTortillas 25cm Sade 10pcs 650g</v>
      </c>
    </row>
    <row r="53" spans="1:30" ht="31.5" x14ac:dyDescent="0.25">
      <c r="A53" s="8" t="s">
        <v>79</v>
      </c>
      <c r="B53" s="67" t="s">
        <v>321</v>
      </c>
      <c r="C53" s="42">
        <f>IF(B53="","",VLOOKUP(AD53,Varsayımlar!$B:$Q,3,0))</f>
        <v>8698829380698</v>
      </c>
      <c r="D53" s="42"/>
      <c r="E53" s="67" t="s">
        <v>322</v>
      </c>
      <c r="F53" s="67"/>
      <c r="G53" s="67"/>
      <c r="H53" s="67" t="str">
        <f>IF(B53="","",VLOOKUP(AD53,Varsayımlar!$B:$Q,5,0))</f>
        <v>Baskısız 25 cm</v>
      </c>
      <c r="I53" s="67" t="str">
        <f>IF(B53="","",VLOOKUP(AD53,Varsayımlar!B:T,19,0))</f>
        <v>Lana 25cm 8pcs 480g Yuvarlak</v>
      </c>
      <c r="J53" s="67" t="str">
        <f>IF(B53="","",VLOOKUP(AD53,Varsayımlar!$B:$Q,6,0))</f>
        <v>SADE</v>
      </c>
      <c r="K53" s="67">
        <v>750</v>
      </c>
      <c r="L53" s="67"/>
      <c r="M53" s="67" t="str">
        <f>IFERROR(IF(B53="","",K53/VLOOKUP(AD53,Varsayımlar!B:R,17,0)),"")</f>
        <v/>
      </c>
      <c r="N53" s="67"/>
      <c r="O53" s="67">
        <v>10</v>
      </c>
      <c r="P53" s="67">
        <f>IF(B53="","",VLOOKUP(AD53,Varsayımlar!$B:$Q,7,0)*K53)</f>
        <v>10500</v>
      </c>
      <c r="Q53" s="67">
        <f>IF(B53="","",VLOOKUP(AD53,Varsayımlar!$B:$Q,8,0))</f>
        <v>25</v>
      </c>
      <c r="R53" s="67" t="str">
        <f>IF(B53="","",VLOOKUP(AD53,Varsayımlar!$B:$Q,9,0))</f>
        <v>Irak Soft</v>
      </c>
      <c r="S53" s="67">
        <f>IF(B53="","",VLOOKUP(AD53,Varsayımlar!$B:$Q,10,0))</f>
        <v>8</v>
      </c>
      <c r="T53" s="67">
        <f>IF(B53="","",VLOOKUP(AD53,Varsayımlar!$B:$Q,11,0))</f>
        <v>14</v>
      </c>
      <c r="U53" s="67">
        <f>IF(B53="","",VLOOKUP(AD53,Varsayımlar!$B:$Q,12,0))</f>
        <v>480</v>
      </c>
      <c r="V53" s="67" t="str">
        <f>IF(B53="","",VLOOKUP(AD53,Varsayımlar!$B:$Q,13,0))</f>
        <v>Yurtdışı</v>
      </c>
      <c r="W53" s="67">
        <f>IF(B53="","",VLOOKUP(AD53,Varsayımlar!$B:$Q,14,0))</f>
        <v>6</v>
      </c>
      <c r="X53" s="69">
        <v>46185</v>
      </c>
      <c r="Y53" s="69">
        <v>46368</v>
      </c>
      <c r="Z53" s="67">
        <v>26061225</v>
      </c>
      <c r="AA53" s="67" t="str">
        <f>IF(B53="","",VLOOKUP(AD53,Varsayımlar!$B:$Q,15,0))</f>
        <v>Kırmızı Koli</v>
      </c>
      <c r="AB53" s="67" t="str">
        <f>IF(B53="","",VLOOKUP(AD53,Varsayımlar!$B:$Q,16,0))</f>
        <v>24-26 cm</v>
      </c>
      <c r="AC53" s="67" t="str">
        <f>IF(B53="","",VLOOKUP(Sayfa1!AD57,Varsayımlar!B:S,18,0))</f>
        <v>80x120cm -Epal+Epal</v>
      </c>
      <c r="AD53" s="57" t="str">
        <f t="shared" si="2"/>
        <v>Gülbahar CompanyBaskısız 25cm Sade 8pcs 480g</v>
      </c>
    </row>
    <row r="54" spans="1:30" ht="23.25" customHeight="1" x14ac:dyDescent="0.25">
      <c r="A54" s="8" t="s">
        <v>80</v>
      </c>
      <c r="B54" s="64" t="s">
        <v>335</v>
      </c>
      <c r="C54" s="3">
        <f>IF(B54="","",VLOOKUP(AD54,Varsayımlar!$B:$Q,3,0))</f>
        <v>8698829380698</v>
      </c>
      <c r="D54" s="3"/>
      <c r="E54" s="64" t="s">
        <v>319</v>
      </c>
      <c r="F54" s="64"/>
      <c r="G54" s="64"/>
      <c r="H54" s="64" t="str">
        <f>IF(B54="","",VLOOKUP(AD54,Varsayımlar!$B:$Q,5,0))</f>
        <v>Lazeza 25cm</v>
      </c>
      <c r="I54" s="64"/>
      <c r="J54" s="64" t="str">
        <f>IF(B54="","",VLOOKUP(AD54,Varsayımlar!$B:$Q,6,0))</f>
        <v>SADE</v>
      </c>
      <c r="K54" s="64">
        <v>1120</v>
      </c>
      <c r="L54" s="64"/>
      <c r="M54" s="64" t="str">
        <f>IFERROR(IF(B54="","",K54/VLOOKUP(AD54,Varsayımlar!B:R,17,0)),"")</f>
        <v/>
      </c>
      <c r="N54" s="64"/>
      <c r="O54" s="64">
        <v>15</v>
      </c>
      <c r="P54" s="64">
        <f>IF(B54="","",VLOOKUP(AD54,Varsayımlar!$B:$Q,7,0)*K54)</f>
        <v>20160</v>
      </c>
      <c r="Q54" s="64">
        <f>IF(B54="","",VLOOKUP(AD54,Varsayımlar!$B:$Q,8,0))</f>
        <v>25</v>
      </c>
      <c r="R54" s="64" t="str">
        <f>IF(B54="","",VLOOKUP(AD54,Varsayımlar!$B:$Q,9,0))</f>
        <v>Irak Soft</v>
      </c>
      <c r="S54" s="64">
        <f>IF(B54="","",VLOOKUP(AD54,Varsayımlar!$B:$Q,10,0))</f>
        <v>6</v>
      </c>
      <c r="T54" s="64">
        <f>IF(B54="","",VLOOKUP(AD54,Varsayımlar!$B:$Q,11,0))</f>
        <v>18</v>
      </c>
      <c r="U54" s="64">
        <f>IF(B54="","",VLOOKUP(AD54,Varsayımlar!$B:$Q,12,0))</f>
        <v>390</v>
      </c>
      <c r="V54" s="64" t="str">
        <f>IF(B54="","",VLOOKUP(AD54,Varsayımlar!$B:$Q,13,0))</f>
        <v>Yurtdışı</v>
      </c>
      <c r="W54" s="64">
        <f>IF(B54="","",VLOOKUP(AD54,Varsayımlar!$B:$Q,14,0))</f>
        <v>6</v>
      </c>
      <c r="X54" s="66"/>
      <c r="Y54" s="66"/>
      <c r="Z54" s="64"/>
      <c r="AA54" s="64" t="str">
        <f>IF(B54="","",VLOOKUP(AD54,Varsayımlar!$B:$Q,15,0))</f>
        <v>Lazeza Kolisi</v>
      </c>
      <c r="AB54" s="64" t="str">
        <f>IF(B54="","",VLOOKUP(AD54,Varsayımlar!$B:$Q,16,0))</f>
        <v>24-26 cm</v>
      </c>
      <c r="AC54" s="64">
        <f>IF(B54="","",VLOOKUP(Sayfa1!AD48,Varsayımlar!B:S,18,0))</f>
        <v>0</v>
      </c>
      <c r="AD54" s="57" t="str">
        <f t="shared" si="2"/>
        <v>AjjawiLazeza 25 cm 6pcs 390g</v>
      </c>
    </row>
    <row r="55" spans="1:30" ht="33" customHeight="1" x14ac:dyDescent="0.25">
      <c r="A55" s="8" t="s">
        <v>81</v>
      </c>
      <c r="B55" s="3" t="s">
        <v>64</v>
      </c>
      <c r="C55" s="3">
        <f>IF(B55="","",VLOOKUP(AD55,Varsayımlar!$B:$Q,3,0))</f>
        <v>8698829380698</v>
      </c>
      <c r="D55" s="3"/>
      <c r="E55" s="3" t="s">
        <v>108</v>
      </c>
      <c r="F55" s="3">
        <v>31</v>
      </c>
      <c r="G55" s="3"/>
      <c r="H55" s="3" t="str">
        <f>IF(B55="","",VLOOKUP(AD55,Varsayımlar!$B:$Q,5,0))</f>
        <v>Kırmızı Tortillas 25 cm</v>
      </c>
      <c r="I55" s="3">
        <f>IF(B55="","",VLOOKUP(AD55,Varsayımlar!B:T,19,0))</f>
        <v>0</v>
      </c>
      <c r="J55" s="3" t="str">
        <f>IF(B55="","",VLOOKUP(AD55,Varsayımlar!$B:$Q,6,0))</f>
        <v>SADE</v>
      </c>
      <c r="K55" s="3">
        <v>924</v>
      </c>
      <c r="L55" s="3"/>
      <c r="M55" s="3">
        <f>IFERROR(IF(B55="","",K55/VLOOKUP(AD55,Varsayımlar!B:R,17,0)),"")</f>
        <v>11</v>
      </c>
      <c r="N55" s="3"/>
      <c r="O55" s="3">
        <v>14</v>
      </c>
      <c r="P55" s="3">
        <f>IF(B55="","",VLOOKUP(AD55,Varsayımlar!$B:$Q,7,0)*K55)</f>
        <v>27720</v>
      </c>
      <c r="Q55" s="3">
        <f>IF(B55="","",VLOOKUP(AD55,Varsayımlar!$B:$Q,8,0))</f>
        <v>25</v>
      </c>
      <c r="R55" s="3" t="str">
        <f>IF(B55="","",VLOOKUP(AD55,Varsayımlar!$B:$Q,9,0))</f>
        <v>Soft</v>
      </c>
      <c r="S55" s="3">
        <f>IF(B55="","",VLOOKUP(AD55,Varsayımlar!$B:$Q,10,0))</f>
        <v>4</v>
      </c>
      <c r="T55" s="3">
        <f>IF(B55="","",VLOOKUP(AD55,Varsayımlar!$B:$Q,11,0))</f>
        <v>30</v>
      </c>
      <c r="U55" s="3">
        <f>IF(B55="","",VLOOKUP(AD55,Varsayımlar!$B:$Q,12,0))</f>
        <v>250</v>
      </c>
      <c r="V55" s="3" t="str">
        <f>IF(B55="","",VLOOKUP(AD55,Varsayımlar!$B:$Q,13,0))</f>
        <v>Yurtdışı</v>
      </c>
      <c r="W55" s="3">
        <f>IF(B55="","",VLOOKUP(AD55,Varsayımlar!$B:$Q,14,0))</f>
        <v>9</v>
      </c>
      <c r="X55" s="66">
        <v>46196</v>
      </c>
      <c r="Y55" s="66">
        <v>46469</v>
      </c>
      <c r="Z55" s="3">
        <v>26062325</v>
      </c>
      <c r="AA55" s="3" t="str">
        <f>IF(B55="","",VLOOKUP(AD55,Varsayımlar!$B:$Q,15,0))</f>
        <v>Kırmızı Koli- Üretim Tarihi Etiketli</v>
      </c>
      <c r="AB55" s="3" t="str">
        <f>IF(B55="","",VLOOKUP(AD55,Varsayımlar!$B:$Q,16,0))</f>
        <v>24-26 CM</v>
      </c>
      <c r="AC55" s="67" t="str">
        <f>IF(B55="","",VLOOKUP(Sayfa1!AD58,Varsayımlar!B:S,18,0))</f>
        <v>80x120cm -Epal+Epal</v>
      </c>
      <c r="AD55" s="57" t="str">
        <f t="shared" si="2"/>
        <v>SMART LLCKırmızı tortillas 25cm 4 lü 250g</v>
      </c>
    </row>
    <row r="56" spans="1:30" ht="45.75" customHeight="1" x14ac:dyDescent="0.25">
      <c r="A56" s="8" t="s">
        <v>82</v>
      </c>
      <c r="B56" s="64" t="s">
        <v>119</v>
      </c>
      <c r="C56" s="3">
        <f>IF(B56="","",VLOOKUP(AD56,Varsayımlar!$B:$Q,3,0))</f>
        <v>8698829380698</v>
      </c>
      <c r="D56" s="3"/>
      <c r="E56" s="65" t="s">
        <v>120</v>
      </c>
      <c r="F56" s="64"/>
      <c r="G56" s="64"/>
      <c r="H56" s="64" t="str">
        <f>IF(B56="","",VLOOKUP(AD56,Varsayımlar!$B:$Q,5,0))</f>
        <v>Nimet 25 cm</v>
      </c>
      <c r="I56" s="64"/>
      <c r="J56" s="64" t="str">
        <f>IF(B56="","",VLOOKUP(AD56,Varsayımlar!$B:$Q,6,0))</f>
        <v>SADE</v>
      </c>
      <c r="K56" s="64">
        <v>4000</v>
      </c>
      <c r="L56" s="64"/>
      <c r="M56" s="64">
        <f>IFERROR(IF(B56="","",K56/VLOOKUP(AD56,Varsayımlar!B:R,17,0)),"")</f>
        <v>80</v>
      </c>
      <c r="N56" s="64"/>
      <c r="O56" s="64">
        <v>60</v>
      </c>
      <c r="P56" s="64">
        <f>IF(B56="","",VLOOKUP(AD56,Varsayımlar!$B:$Q,7,0)*K56)</f>
        <v>48000</v>
      </c>
      <c r="Q56" s="64">
        <f>IF(B56="","",VLOOKUP(AD56,Varsayımlar!$B:$Q,8,0))</f>
        <v>25</v>
      </c>
      <c r="R56" s="64" t="str">
        <f>IF(B56="","",VLOOKUP(AD56,Varsayımlar!$B:$Q,9,0))</f>
        <v>Standart</v>
      </c>
      <c r="S56" s="64">
        <f>IF(B56="","",VLOOKUP(AD56,Varsayımlar!$B:$Q,10,0))</f>
        <v>12</v>
      </c>
      <c r="T56" s="64">
        <f>IF(B56="","",VLOOKUP(AD56,Varsayımlar!$B:$Q,11,0))</f>
        <v>12</v>
      </c>
      <c r="U56" s="64">
        <f>IF(B56="","",VLOOKUP(AD56,Varsayımlar!$B:$Q,12,0))</f>
        <v>840</v>
      </c>
      <c r="V56" s="64" t="str">
        <f>IF(B56="","",VLOOKUP(AD56,Varsayımlar!$B:$Q,13,0))</f>
        <v>YURTİÇİ</v>
      </c>
      <c r="W56" s="64">
        <f>IF(B56="","",VLOOKUP(AD56,Varsayımlar!$B:$Q,14,0))</f>
        <v>5</v>
      </c>
      <c r="X56" s="66" t="s">
        <v>113</v>
      </c>
      <c r="Y56" s="66" t="s">
        <v>113</v>
      </c>
      <c r="Z56" s="64" t="s">
        <v>113</v>
      </c>
      <c r="AA56" s="64" t="str">
        <f>IF(B56="","",VLOOKUP(AD56,Varsayımlar!$B:$Q,15,0))</f>
        <v>Nimet Kolisi</v>
      </c>
      <c r="AB56" s="64" t="str">
        <f>IF(B56="","",VLOOKUP(AD56,Varsayımlar!$B:$Q,16,0))</f>
        <v>24-26 CM</v>
      </c>
      <c r="AC56" s="64" t="s">
        <v>360</v>
      </c>
      <c r="AD56" s="57" t="str">
        <f t="shared" si="2"/>
        <v>A101Nimet 25cm 12 pcs 840g</v>
      </c>
    </row>
    <row r="57" spans="1:30" ht="47.25" x14ac:dyDescent="0.25">
      <c r="A57" s="8" t="s">
        <v>83</v>
      </c>
      <c r="B57" s="67" t="s">
        <v>268</v>
      </c>
      <c r="C57" s="42">
        <f>IF(B57="","",VLOOKUP(AD57,Varsayımlar!$B:$Q,3,0))</f>
        <v>8698829380698</v>
      </c>
      <c r="D57" s="42" t="s">
        <v>159</v>
      </c>
      <c r="E57" s="67" t="s">
        <v>342</v>
      </c>
      <c r="F57" s="67">
        <v>20250825</v>
      </c>
      <c r="G57" s="42" t="s">
        <v>68</v>
      </c>
      <c r="H57" s="67" t="str">
        <f>IF(B57="","",VLOOKUP(AD57,Varsayımlar!$B:$Q,5,0))</f>
        <v>Tortillas 25cm Sade</v>
      </c>
      <c r="I57" s="67">
        <f>IF(B57="","",VLOOKUP(AD57,Varsayımlar!B:T,19,0))</f>
        <v>0</v>
      </c>
      <c r="J57" s="67" t="str">
        <f>IF(B57="","",VLOOKUP(AD57,Varsayımlar!$B:$Q,6,0))</f>
        <v>SADE</v>
      </c>
      <c r="K57" s="67">
        <v>672</v>
      </c>
      <c r="L57" s="67"/>
      <c r="M57" s="67">
        <f>IFERROR(IF(B57="","",K57/VLOOKUP(AD57,Varsayımlar!B:R,17,0)),"")</f>
        <v>8</v>
      </c>
      <c r="N57" s="67"/>
      <c r="O57" s="67">
        <v>10</v>
      </c>
      <c r="P57" s="67">
        <f>IF(B57="","",VLOOKUP(AD57,Varsayımlar!$B:$Q,7,0)*K57)</f>
        <v>20160</v>
      </c>
      <c r="Q57" s="67">
        <f>IF(B57="","",VLOOKUP(AD57,Varsayımlar!$B:$Q,8,0))</f>
        <v>25</v>
      </c>
      <c r="R57" s="67" t="str">
        <f>IF(B57="","",VLOOKUP(AD57,Varsayımlar!$B:$Q,9,0))</f>
        <v>Soft-PA3</v>
      </c>
      <c r="S57" s="67">
        <f>IF(B57="","",VLOOKUP(AD57,Varsayımlar!$B:$Q,10,0))</f>
        <v>4</v>
      </c>
      <c r="T57" s="67">
        <f>IF(B57="","",VLOOKUP(AD57,Varsayımlar!$B:$Q,11,0))</f>
        <v>30</v>
      </c>
      <c r="U57" s="67">
        <f>IF(B57="","",VLOOKUP(AD57,Varsayımlar!$B:$Q,12,0))</f>
        <v>240</v>
      </c>
      <c r="V57" s="67" t="str">
        <f>IF(B57="","",VLOOKUP(AD57,Varsayımlar!$B:$Q,13,0))</f>
        <v>Yurtdışı</v>
      </c>
      <c r="W57" s="67">
        <f>IF(B57="","",VLOOKUP(AD57,Varsayımlar!$B:$Q,14,0))</f>
        <v>12</v>
      </c>
      <c r="X57" s="69">
        <v>46199</v>
      </c>
      <c r="Y57" s="69">
        <v>46564</v>
      </c>
      <c r="Z57" s="67">
        <v>26062625</v>
      </c>
      <c r="AA57" s="67" t="str">
        <f>IF(B57="","",VLOOKUP(AD57,Varsayımlar!$B:$Q,15,0))</f>
        <v>25cm Kolisi-Etiketli</v>
      </c>
      <c r="AB57" s="67" t="str">
        <f>IF(B57="","",VLOOKUP(AD57,Varsayımlar!$B:$Q,16,0))</f>
        <v>24-26 cm (Macca Hetto Inkjet Uzun Tarih)</v>
      </c>
      <c r="AC57" s="67" t="str">
        <f>IF(B57="","",VLOOKUP(Sayfa1!AD22,Varsayımlar!B:S,18,0))</f>
        <v>80x120cm</v>
      </c>
      <c r="AD57" s="57" t="str">
        <f t="shared" ref="AD57:AD62" si="3">IF(B57="","",CONCATENATE(B57,E57))</f>
        <v>LAIKYUZHN-BELARUSTortillas 25cm Sade 4pcs 240g</v>
      </c>
    </row>
    <row r="58" spans="1:30" ht="63" x14ac:dyDescent="0.25">
      <c r="A58" s="8" t="s">
        <v>84</v>
      </c>
      <c r="B58" s="62" t="s">
        <v>181</v>
      </c>
      <c r="C58" s="32">
        <f>IF(B58="","",VLOOKUP(AD58,Varsayımlar!$B:$Q,3,0))</f>
        <v>8698829380698</v>
      </c>
      <c r="D58" s="32"/>
      <c r="E58" s="62" t="s">
        <v>187</v>
      </c>
      <c r="F58" s="62">
        <v>26060101</v>
      </c>
      <c r="G58" s="32"/>
      <c r="H58" s="62" t="str">
        <f>IF(B58="","",VLOOKUP(AD58,Varsayımlar!$B:$Q,5,0))</f>
        <v>Tortillove 25cm</v>
      </c>
      <c r="I58" s="62" t="str">
        <f>IF(B58="","",VLOOKUP(AD58,Varsayımlar!B:T,19,0))</f>
        <v>Barkod üzerine Arnavutça içerik+Barkod-Tortillove</v>
      </c>
      <c r="J58" s="62" t="str">
        <f>IF(B58="","",VLOOKUP(AD58,Varsayımlar!$B:$Q,6,0))</f>
        <v>SADE</v>
      </c>
      <c r="K58" s="62">
        <v>168</v>
      </c>
      <c r="L58" s="62"/>
      <c r="M58" s="62">
        <f>IFERROR(IF(B58="","",K58/VLOOKUP(AD58,Varsayımlar!B:R,17,0)),"")</f>
        <v>2</v>
      </c>
      <c r="N58" s="62"/>
      <c r="O58" s="62">
        <v>2</v>
      </c>
      <c r="P58" s="62">
        <f>IF(B58="","",VLOOKUP(AD58,Varsayımlar!$B:$Q,7,0)*K58)</f>
        <v>3024</v>
      </c>
      <c r="Q58" s="62">
        <f>IF(B58="","",VLOOKUP(AD58,Varsayımlar!$B:$Q,8,0))</f>
        <v>25</v>
      </c>
      <c r="R58" s="62" t="str">
        <f>IF(B58="","",VLOOKUP(AD58,Varsayımlar!$B:$Q,9,0))</f>
        <v>Irak Soft</v>
      </c>
      <c r="S58" s="62">
        <f>IF(B58="","",VLOOKUP(AD58,Varsayımlar!$B:$Q,10,0))</f>
        <v>6</v>
      </c>
      <c r="T58" s="62">
        <f>IF(B58="","",VLOOKUP(AD58,Varsayımlar!$B:$Q,11,0))</f>
        <v>18</v>
      </c>
      <c r="U58" s="62">
        <f>IF(B58="","",VLOOKUP(AD58,Varsayımlar!$B:$Q,12,0))</f>
        <v>390</v>
      </c>
      <c r="V58" s="62" t="str">
        <f>IF(B58="","",VLOOKUP(AD58,Varsayımlar!$B:$Q,13,0))</f>
        <v>Yurtdışı</v>
      </c>
      <c r="W58" s="62">
        <f>IF(B58="","",VLOOKUP(AD58,Varsayımlar!$B:$Q,14,0))</f>
        <v>12</v>
      </c>
      <c r="X58" s="63">
        <v>46200</v>
      </c>
      <c r="Y58" s="63">
        <v>46565</v>
      </c>
      <c r="Z58" s="62">
        <v>26062725</v>
      </c>
      <c r="AA58" s="62" t="str">
        <f>IF(B58="","",VLOOKUP(AD58,Varsayımlar!$B:$Q,15,0))</f>
        <v>25cm Koli - Tortillove 390g Etiketli</v>
      </c>
      <c r="AB58" s="62" t="str">
        <f>IF(B58="","",VLOOKUP(AD58,Varsayımlar!$B:$Q,16,0))</f>
        <v>24-26 cm</v>
      </c>
      <c r="AC58" s="62">
        <f>IF(B58="","",VLOOKUP(Sayfa1!AD31,Varsayımlar!B:S,18,0))</f>
        <v>0</v>
      </c>
      <c r="AD58" s="57" t="str">
        <f t="shared" si="3"/>
        <v>ALDİ - KOSOVATortillove 25cm 6pcs 390g</v>
      </c>
    </row>
    <row r="59" spans="1:30" ht="63" x14ac:dyDescent="0.25">
      <c r="A59" s="8" t="s">
        <v>85</v>
      </c>
      <c r="B59" s="62" t="s">
        <v>181</v>
      </c>
      <c r="C59" s="32">
        <f>IF(B59="","",VLOOKUP(AD59,Varsayımlar!$B:$Q,3,0))</f>
        <v>8698829380698</v>
      </c>
      <c r="D59" s="32"/>
      <c r="E59" s="62" t="s">
        <v>189</v>
      </c>
      <c r="F59" s="62">
        <v>26060101</v>
      </c>
      <c r="G59" s="32"/>
      <c r="H59" s="62" t="str">
        <f>IF(B59="","",VLOOKUP(AD59,Varsayımlar!$B:$Q,5,0))</f>
        <v>Tortillas 25cm</v>
      </c>
      <c r="I59" s="62" t="str">
        <f>IF(B59="","",VLOOKUP(AD59,Varsayımlar!B:T,19,0))</f>
        <v>Barkod üzerine Arnavutça içerik+Barkod-Tortillas</v>
      </c>
      <c r="J59" s="62" t="str">
        <f>IF(B59="","",VLOOKUP(AD59,Varsayımlar!$B:$Q,6,0))</f>
        <v>SADE</v>
      </c>
      <c r="K59" s="62">
        <v>84</v>
      </c>
      <c r="L59" s="62"/>
      <c r="M59" s="62">
        <f>IFERROR(IF(B59="","",K59/VLOOKUP(AD59,Varsayımlar!B:R,17,0)),"")</f>
        <v>1</v>
      </c>
      <c r="N59" s="62"/>
      <c r="O59" s="62">
        <v>1</v>
      </c>
      <c r="P59" s="62">
        <f>IF(B59="","",VLOOKUP(AD59,Varsayımlar!$B:$Q,7,0)*K59)</f>
        <v>1512</v>
      </c>
      <c r="Q59" s="62">
        <f>IF(B59="","",VLOOKUP(AD59,Varsayımlar!$B:$Q,8,0))</f>
        <v>25</v>
      </c>
      <c r="R59" s="62" t="str">
        <f>IF(B59="","",VLOOKUP(AD59,Varsayımlar!$B:$Q,9,0))</f>
        <v>Irak Soft</v>
      </c>
      <c r="S59" s="62">
        <f>IF(B59="","",VLOOKUP(AD59,Varsayımlar!$B:$Q,10,0))</f>
        <v>6</v>
      </c>
      <c r="T59" s="62">
        <f>IF(B59="","",VLOOKUP(AD59,Varsayımlar!$B:$Q,11,0))</f>
        <v>18</v>
      </c>
      <c r="U59" s="62">
        <f>IF(B59="","",VLOOKUP(AD59,Varsayımlar!$B:$Q,12,0))</f>
        <v>390</v>
      </c>
      <c r="V59" s="62" t="str">
        <f>IF(B59="","",VLOOKUP(AD59,Varsayımlar!$B:$Q,13,0))</f>
        <v>Yurtdışı</v>
      </c>
      <c r="W59" s="62">
        <f>IF(B59="","",VLOOKUP(AD59,Varsayımlar!$B:$Q,14,0))</f>
        <v>12</v>
      </c>
      <c r="X59" s="63">
        <v>46200</v>
      </c>
      <c r="Y59" s="63">
        <v>46565</v>
      </c>
      <c r="Z59" s="62">
        <v>26062725</v>
      </c>
      <c r="AA59" s="62" t="str">
        <f>IF(B59="","",VLOOKUP(AD59,Varsayımlar!$B:$Q,15,0))</f>
        <v>25cm Koli - Tortillas 390g Etiketli</v>
      </c>
      <c r="AB59" s="62" t="str">
        <f>IF(B59="","",VLOOKUP(AD59,Varsayımlar!$B:$Q,16,0))</f>
        <v>24-26 cm</v>
      </c>
      <c r="AC59" s="62">
        <f>IF(B59="","",VLOOKUP(Sayfa1!AD32,Varsayımlar!B:S,18,0))</f>
        <v>0</v>
      </c>
      <c r="AD59" s="57" t="str">
        <f t="shared" si="3"/>
        <v>ALDİ - KOSOVATortillas 25cm 6pcs 390g</v>
      </c>
    </row>
    <row r="60" spans="1:30" ht="47.25" x14ac:dyDescent="0.25">
      <c r="A60" s="8" t="s">
        <v>86</v>
      </c>
      <c r="B60" s="62" t="s">
        <v>181</v>
      </c>
      <c r="C60" s="32">
        <f>IF(B60="","",VLOOKUP(AD60,Varsayımlar!$B:$Q,3,0))</f>
        <v>8698829380698</v>
      </c>
      <c r="D60" s="32"/>
      <c r="E60" s="62" t="s">
        <v>192</v>
      </c>
      <c r="F60" s="62">
        <v>26060101</v>
      </c>
      <c r="G60" s="32"/>
      <c r="H60" s="62" t="str">
        <f>IF(B60="","",VLOOKUP(AD60,Varsayımlar!$B:$Q,5,0))</f>
        <v>Tortillove 25cm</v>
      </c>
      <c r="I60" s="62" t="str">
        <f>IF(B60="","",VLOOKUP(AD60,Varsayımlar!B:T,19,0))</f>
        <v>Arka kısma Arnavutça içerik-Tortillove</v>
      </c>
      <c r="J60" s="62" t="str">
        <f>IF(B60="","",VLOOKUP(AD60,Varsayımlar!$B:$Q,6,0))</f>
        <v>SADE</v>
      </c>
      <c r="K60" s="62">
        <v>168</v>
      </c>
      <c r="L60" s="62"/>
      <c r="M60" s="62">
        <f>IFERROR(IF(B60="","",K60/VLOOKUP(AD60,Varsayımlar!B:R,17,0)),"")</f>
        <v>2</v>
      </c>
      <c r="N60" s="62"/>
      <c r="O60" s="62">
        <v>2</v>
      </c>
      <c r="P60" s="62">
        <f>IF(B60="","",VLOOKUP(AD60,Varsayımlar!$B:$Q,7,0)*K60)</f>
        <v>2016</v>
      </c>
      <c r="Q60" s="62">
        <f>IF(B60="","",VLOOKUP(AD60,Varsayımlar!$B:$Q,8,0))</f>
        <v>25</v>
      </c>
      <c r="R60" s="62" t="str">
        <f>IF(B60="","",VLOOKUP(AD60,Varsayımlar!$B:$Q,9,0))</f>
        <v>Irak Soft</v>
      </c>
      <c r="S60" s="62">
        <f>IF(B60="","",VLOOKUP(AD60,Varsayımlar!$B:$Q,10,0))</f>
        <v>10</v>
      </c>
      <c r="T60" s="62">
        <f>IF(B60="","",VLOOKUP(AD60,Varsayımlar!$B:$Q,11,0))</f>
        <v>12</v>
      </c>
      <c r="U60" s="62">
        <f>IF(B60="","",VLOOKUP(AD60,Varsayımlar!$B:$Q,12,0))</f>
        <v>650</v>
      </c>
      <c r="V60" s="62" t="str">
        <f>IF(B60="","",VLOOKUP(AD60,Varsayımlar!$B:$Q,13,0))</f>
        <v>Yurtdışı</v>
      </c>
      <c r="W60" s="62">
        <f>IF(B60="","",VLOOKUP(AD60,Varsayımlar!$B:$Q,14,0))</f>
        <v>12</v>
      </c>
      <c r="X60" s="63">
        <v>46200</v>
      </c>
      <c r="Y60" s="63">
        <v>46565</v>
      </c>
      <c r="Z60" s="62">
        <v>26062725</v>
      </c>
      <c r="AA60" s="62" t="str">
        <f>IF(B60="","",VLOOKUP(AD60,Varsayımlar!$B:$Q,15,0))</f>
        <v>25cm Koli - Tortillove 650g Etiketli</v>
      </c>
      <c r="AB60" s="62" t="str">
        <f>IF(B60="","",VLOOKUP(AD60,Varsayımlar!$B:$Q,16,0))</f>
        <v>24-26 cm</v>
      </c>
      <c r="AC60" s="62">
        <f>IF(B60="","",VLOOKUP(Sayfa1!AD33,Varsayımlar!B:S,18,0))</f>
        <v>0</v>
      </c>
      <c r="AD60" s="57" t="str">
        <f t="shared" si="3"/>
        <v>ALDİ - KOSOVATortillove 25cm 10pcs 650g</v>
      </c>
    </row>
    <row r="61" spans="1:30" ht="47.25" x14ac:dyDescent="0.25">
      <c r="A61" s="8" t="s">
        <v>87</v>
      </c>
      <c r="B61" s="62" t="s">
        <v>181</v>
      </c>
      <c r="C61" s="32">
        <f>IF(B61="","",VLOOKUP(AD61,Varsayımlar!$B:$Q,3,0))</f>
        <v>8698829380698</v>
      </c>
      <c r="D61" s="32"/>
      <c r="E61" s="62" t="s">
        <v>193</v>
      </c>
      <c r="F61" s="62">
        <v>26060101</v>
      </c>
      <c r="G61" s="32"/>
      <c r="H61" s="62" t="str">
        <f>IF(B61="","",VLOOKUP(AD61,Varsayımlar!$B:$Q,5,0))</f>
        <v>Tortillas 25cm</v>
      </c>
      <c r="I61" s="62" t="str">
        <f>IF(B61="","",VLOOKUP(AD61,Varsayımlar!B:T,19,0))</f>
        <v>Arka kısma Arnavutça içerik-Tortillas</v>
      </c>
      <c r="J61" s="62" t="str">
        <f>IF(B61="","",VLOOKUP(AD61,Varsayımlar!$B:$Q,6,0))</f>
        <v>SADE</v>
      </c>
      <c r="K61" s="62">
        <v>84</v>
      </c>
      <c r="L61" s="62"/>
      <c r="M61" s="62">
        <f>IFERROR(IF(B61="","",K61/VLOOKUP(AD61,Varsayımlar!B:R,17,0)),"")</f>
        <v>1</v>
      </c>
      <c r="N61" s="62"/>
      <c r="O61" s="62">
        <v>2</v>
      </c>
      <c r="P61" s="62">
        <f>IF(B61="","",VLOOKUP(AD61,Varsayımlar!$B:$Q,7,0)*K61)</f>
        <v>1008</v>
      </c>
      <c r="Q61" s="62">
        <f>IF(B61="","",VLOOKUP(AD61,Varsayımlar!$B:$Q,8,0))</f>
        <v>25</v>
      </c>
      <c r="R61" s="62" t="str">
        <f>IF(B61="","",VLOOKUP(AD61,Varsayımlar!$B:$Q,9,0))</f>
        <v>Irak Soft</v>
      </c>
      <c r="S61" s="62">
        <f>IF(B61="","",VLOOKUP(AD61,Varsayımlar!$B:$Q,10,0))</f>
        <v>10</v>
      </c>
      <c r="T61" s="62">
        <f>IF(B61="","",VLOOKUP(AD61,Varsayımlar!$B:$Q,11,0))</f>
        <v>12</v>
      </c>
      <c r="U61" s="62">
        <f>IF(B61="","",VLOOKUP(AD61,Varsayımlar!$B:$Q,12,0))</f>
        <v>650</v>
      </c>
      <c r="V61" s="62" t="str">
        <f>IF(B61="","",VLOOKUP(AD61,Varsayımlar!$B:$Q,13,0))</f>
        <v>Yurtdışı</v>
      </c>
      <c r="W61" s="62">
        <f>IF(B61="","",VLOOKUP(AD61,Varsayımlar!$B:$Q,14,0))</f>
        <v>12</v>
      </c>
      <c r="X61" s="63">
        <v>46200</v>
      </c>
      <c r="Y61" s="63">
        <v>46565</v>
      </c>
      <c r="Z61" s="62">
        <v>26062725</v>
      </c>
      <c r="AA61" s="62" t="str">
        <f>IF(B61="","",VLOOKUP(AD61,Varsayımlar!$B:$Q,15,0))</f>
        <v>25cm Koli - Tortillas 650g Etiketli</v>
      </c>
      <c r="AB61" s="62" t="str">
        <f>IF(B61="","",VLOOKUP(AD61,Varsayımlar!$B:$Q,16,0))</f>
        <v>24-26 cm</v>
      </c>
      <c r="AC61" s="62">
        <f>IF(B61="","",VLOOKUP(Sayfa1!AD34,Varsayımlar!B:S,18,0))</f>
        <v>0</v>
      </c>
      <c r="AD61" s="57" t="str">
        <f t="shared" si="3"/>
        <v>ALDİ - KOSOVATortillas 25cm 10pcs 650g</v>
      </c>
    </row>
    <row r="62" spans="1:30" ht="31.5" x14ac:dyDescent="0.25">
      <c r="A62" s="8" t="s">
        <v>88</v>
      </c>
      <c r="B62" s="64" t="s">
        <v>288</v>
      </c>
      <c r="C62" s="3">
        <f>IF(B62="","",VLOOKUP(AD62,Varsayımlar!$B:$Q,3,0))</f>
        <v>8698829380698</v>
      </c>
      <c r="D62" s="3"/>
      <c r="E62" s="64" t="s">
        <v>292</v>
      </c>
      <c r="F62" s="64">
        <v>20201016</v>
      </c>
      <c r="G62" s="3" t="s">
        <v>68</v>
      </c>
      <c r="H62" s="64" t="str">
        <f>IF(B62="","",VLOOKUP(AD62,Varsayımlar!$B:$Q,5,0))</f>
        <v>Kırmızı Tortillas 25cm Sade</v>
      </c>
      <c r="I62" s="64" t="str">
        <f>IF(B62="","",VLOOKUP(AD62,Varsayımlar!B:T,19,0))</f>
        <v>Arka kısma İçerik</v>
      </c>
      <c r="J62" s="64" t="str">
        <f>IF(B62="","",VLOOKUP(AD62,Varsayımlar!$B:$Q,6,0))</f>
        <v>SADE</v>
      </c>
      <c r="K62" s="64">
        <v>250</v>
      </c>
      <c r="L62" s="64"/>
      <c r="M62" s="64">
        <f>IFERROR(IF(B62="","",K62/VLOOKUP(AD62,Varsayımlar!B:R,17,0)),"")</f>
        <v>5</v>
      </c>
      <c r="N62" s="64"/>
      <c r="O62" s="64">
        <v>4</v>
      </c>
      <c r="P62" s="64">
        <f>IF(B62="","",VLOOKUP(AD62,Varsayımlar!$B:$Q,7,0)*K62)</f>
        <v>4500</v>
      </c>
      <c r="Q62" s="64">
        <f>IF(B62="","",VLOOKUP(AD62,Varsayımlar!$B:$Q,8,0))</f>
        <v>25</v>
      </c>
      <c r="R62" s="64" t="str">
        <f>IF(B62="","",VLOOKUP(AD62,Varsayımlar!$B:$Q,9,0))</f>
        <v>Irak Soft</v>
      </c>
      <c r="S62" s="64">
        <f>IF(B62="","",VLOOKUP(AD62,Varsayımlar!$B:$Q,10,0))</f>
        <v>6</v>
      </c>
      <c r="T62" s="64">
        <f>IF(B62="","",VLOOKUP(AD62,Varsayımlar!$B:$Q,11,0))</f>
        <v>18</v>
      </c>
      <c r="U62" s="64">
        <f>IF(B62="","",VLOOKUP(AD62,Varsayımlar!$B:$Q,12,0))</f>
        <v>390</v>
      </c>
      <c r="V62" s="64" t="str">
        <f>IF(B62="","",VLOOKUP(AD62,Varsayımlar!$B:$Q,13,0))</f>
        <v>YURTDIŞI</v>
      </c>
      <c r="W62" s="64">
        <f>IF(B62="","",VLOOKUP(AD62,Varsayımlar!$B:$Q,14,0))</f>
        <v>9</v>
      </c>
      <c r="X62" s="66">
        <v>46202</v>
      </c>
      <c r="Y62" s="66">
        <v>46475</v>
      </c>
      <c r="Z62" s="64">
        <v>26062925</v>
      </c>
      <c r="AA62" s="64" t="str">
        <f>IF(B62="","",VLOOKUP(AD62,Varsayımlar!$B:$Q,15,0))</f>
        <v>25cm Koli</v>
      </c>
      <c r="AB62" s="64" t="str">
        <f>IF(B62="","",VLOOKUP(AD62,Varsayımlar!$B:$Q,16,0))</f>
        <v>24-26 cm</v>
      </c>
      <c r="AC62" s="64" t="str">
        <f>IF(B62="","",VLOOKUP(Sayfa1!AD42,Varsayımlar!B:S,18,0))</f>
        <v>80x120cm</v>
      </c>
      <c r="AD62" s="57" t="str">
        <f t="shared" si="3"/>
        <v>UNITERA-KAZAKİSTANKırmızı Tortillas 25cm Sade 6pcs 390g</v>
      </c>
    </row>
    <row r="63" spans="1:30" ht="31.5" x14ac:dyDescent="0.25">
      <c r="A63" s="8" t="s">
        <v>89</v>
      </c>
      <c r="B63" s="80" t="s">
        <v>218</v>
      </c>
      <c r="C63" s="44">
        <f>IF(B63="","",VLOOKUP(AD63,Varsayımlar!$B:$Q,3,0))</f>
        <v>8698829380698</v>
      </c>
      <c r="D63" s="44" t="s">
        <v>160</v>
      </c>
      <c r="E63" s="80" t="s">
        <v>228</v>
      </c>
      <c r="F63" s="80">
        <v>26042907</v>
      </c>
      <c r="G63" s="44"/>
      <c r="H63" s="80" t="str">
        <f>IF(B63="","",VLOOKUP(AD63,Varsayımlar!$B:$Q,5,0))</f>
        <v>Tortillas Avrupa 25cm (698)</v>
      </c>
      <c r="I63" s="80">
        <f>IF(B63="","",VLOOKUP(AD63,Varsayımlar!B:T,19,0))</f>
        <v>0</v>
      </c>
      <c r="J63" s="80" t="str">
        <f>IF(B63="","",VLOOKUP(AD63,Varsayımlar!$B:$Q,6,0))</f>
        <v>SADE</v>
      </c>
      <c r="K63" s="80">
        <v>720</v>
      </c>
      <c r="L63" s="80"/>
      <c r="M63" s="80">
        <f>IFERROR(IF(B63="","",K63/VLOOKUP(AD63,Varsayımlar!B:R,17,0)),"")</f>
        <v>6</v>
      </c>
      <c r="N63" s="80"/>
      <c r="O63" s="80">
        <v>7</v>
      </c>
      <c r="P63" s="80">
        <f>IF(B63="","",VLOOKUP(AD63,Varsayımlar!$B:$Q,7,0)*K63)</f>
        <v>5760</v>
      </c>
      <c r="Q63" s="80">
        <f>IF(B63="","",VLOOKUP(AD63,Varsayımlar!$B:$Q,8,0))</f>
        <v>25</v>
      </c>
      <c r="R63" s="80" t="str">
        <f>IF(B63="","",VLOOKUP(AD63,Varsayımlar!$B:$Q,9,0))</f>
        <v>Irak Soft</v>
      </c>
      <c r="S63" s="80">
        <f>IF(B63="","",VLOOKUP(AD63,Varsayımlar!$B:$Q,10,0))</f>
        <v>10</v>
      </c>
      <c r="T63" s="80">
        <f>IF(B63="","",VLOOKUP(AD63,Varsayımlar!$B:$Q,11,0))</f>
        <v>8</v>
      </c>
      <c r="U63" s="80">
        <f>IF(B63="","",VLOOKUP(AD63,Varsayımlar!$B:$Q,12,0))</f>
        <v>650</v>
      </c>
      <c r="V63" s="80" t="str">
        <f>IF(B63="","",VLOOKUP(AD63,Varsayımlar!$B:$Q,13,0))</f>
        <v>Yurtdışı</v>
      </c>
      <c r="W63" s="80">
        <f>IF(B63="","",VLOOKUP(AD63,Varsayımlar!$B:$Q,14,0))</f>
        <v>9</v>
      </c>
      <c r="X63" s="81">
        <v>46203</v>
      </c>
      <c r="Y63" s="81">
        <v>46476</v>
      </c>
      <c r="Z63" s="80">
        <v>26063025</v>
      </c>
      <c r="AA63" s="80" t="str">
        <f>IF(B63="","",VLOOKUP(AD63,Varsayımlar!$B:$Q,15,0))</f>
        <v>25cm Perforeli-Bulgarca etiket</v>
      </c>
      <c r="AB63" s="80" t="str">
        <f>IF(B63="","",VLOOKUP(AD63,Varsayımlar!$B:$Q,16,0))</f>
        <v>24-26 cm</v>
      </c>
      <c r="AC63" s="80" t="str">
        <f>IF(B63="","",VLOOKUP(Sayfa1!AD56,Varsayımlar!B:S,18,0))</f>
        <v>80x120cm -Epal+Epal</v>
      </c>
      <c r="AD63" s="57" t="str">
        <f t="shared" si="2"/>
        <v>TASTE LAND-BULGARİSTANTortillas 25cm Sade 10pcs 650g</v>
      </c>
    </row>
    <row r="64" spans="1:30" ht="47.25" x14ac:dyDescent="0.25">
      <c r="A64" s="8" t="s">
        <v>90</v>
      </c>
      <c r="B64" s="54" t="s">
        <v>268</v>
      </c>
      <c r="C64" s="39">
        <f>IF(B64="","",VLOOKUP(AD64,Varsayımlar!$B:$Q,3,0))</f>
        <v>8698829380698</v>
      </c>
      <c r="D64" s="39" t="s">
        <v>160</v>
      </c>
      <c r="E64" s="54" t="s">
        <v>342</v>
      </c>
      <c r="F64" s="54" t="s">
        <v>343</v>
      </c>
      <c r="G64" s="39" t="s">
        <v>68</v>
      </c>
      <c r="H64" s="54" t="str">
        <f>IF(B64="","",VLOOKUP(AD64,Varsayımlar!$B:$Q,5,0))</f>
        <v>Tortillas 25cm Sade</v>
      </c>
      <c r="I64" s="54">
        <f>IF(B64="","",VLOOKUP(AD64,Varsayımlar!B:T,19,0))</f>
        <v>0</v>
      </c>
      <c r="J64" s="54" t="str">
        <f>IF(B64="","",VLOOKUP(AD64,Varsayımlar!$B:$Q,6,0))</f>
        <v>SADE</v>
      </c>
      <c r="K64" s="54">
        <v>420</v>
      </c>
      <c r="L64" s="54"/>
      <c r="M64" s="54">
        <f>IFERROR(IF(B64="","",K64/VLOOKUP(AD64,Varsayımlar!B:R,17,0)),"")</f>
        <v>5</v>
      </c>
      <c r="N64" s="54"/>
      <c r="O64" s="54">
        <v>7</v>
      </c>
      <c r="P64" s="54">
        <f>IF(B64="","",VLOOKUP(AD64,Varsayımlar!$B:$Q,7,0)*K64)</f>
        <v>12600</v>
      </c>
      <c r="Q64" s="54">
        <f>IF(B64="","",VLOOKUP(AD64,Varsayımlar!$B:$Q,8,0))</f>
        <v>25</v>
      </c>
      <c r="R64" s="54" t="str">
        <f>IF(B64="","",VLOOKUP(AD64,Varsayımlar!$B:$Q,9,0))</f>
        <v>Soft-PA3</v>
      </c>
      <c r="S64" s="54">
        <f>IF(B64="","",VLOOKUP(AD64,Varsayımlar!$B:$Q,10,0))</f>
        <v>4</v>
      </c>
      <c r="T64" s="54">
        <f>IF(B64="","",VLOOKUP(AD64,Varsayımlar!$B:$Q,11,0))</f>
        <v>30</v>
      </c>
      <c r="U64" s="54">
        <f>IF(B64="","",VLOOKUP(AD64,Varsayımlar!$B:$Q,12,0))</f>
        <v>240</v>
      </c>
      <c r="V64" s="54" t="str">
        <f>IF(B64="","",VLOOKUP(AD64,Varsayımlar!$B:$Q,13,0))</f>
        <v>Yurtdışı</v>
      </c>
      <c r="W64" s="54">
        <f>IF(B64="","",VLOOKUP(AD64,Varsayımlar!$B:$Q,14,0))</f>
        <v>12</v>
      </c>
      <c r="X64" s="56">
        <v>46205</v>
      </c>
      <c r="Y64" s="56">
        <v>46570</v>
      </c>
      <c r="Z64" s="54">
        <v>26070225</v>
      </c>
      <c r="AA64" s="54" t="str">
        <f>IF(B64="","",VLOOKUP(AD64,Varsayımlar!$B:$Q,15,0))</f>
        <v>25cm Kolisi-Etiketli</v>
      </c>
      <c r="AB64" s="54" t="str">
        <f>IF(B64="","",VLOOKUP(AD64,Varsayımlar!$B:$Q,16,0))</f>
        <v>24-26 cm (Macca Hetto Inkjet Uzun Tarih)</v>
      </c>
      <c r="AC64" s="54" t="str">
        <f>IF(B64="","",VLOOKUP(Sayfa1!AD35,Varsayımlar!B:S,18,0))</f>
        <v>80x120cm</v>
      </c>
      <c r="AD64" s="57" t="str">
        <f>IF(B64="","",CONCATENATE(B64,E64))</f>
        <v>LAIKYUZHN-BELARUSTortillas 25cm Sade 4pcs 240g</v>
      </c>
    </row>
    <row r="65" spans="1:30" ht="47.25" x14ac:dyDescent="0.25">
      <c r="A65" s="8" t="s">
        <v>91</v>
      </c>
      <c r="B65" s="64" t="s">
        <v>119</v>
      </c>
      <c r="C65" s="3">
        <f>IF(B65="","",VLOOKUP(AD65,Varsayımlar!$B:$Q,3,0))</f>
        <v>8698829380698</v>
      </c>
      <c r="D65" s="3"/>
      <c r="E65" s="65" t="s">
        <v>120</v>
      </c>
      <c r="F65" s="64"/>
      <c r="G65" s="64"/>
      <c r="H65" s="64" t="str">
        <f>IF(B65="","",VLOOKUP(AD65,Varsayımlar!$B:$Q,5,0))</f>
        <v>Nimet 25 cm</v>
      </c>
      <c r="I65" s="64"/>
      <c r="J65" s="64" t="str">
        <f>IF(B65="","",VLOOKUP(AD65,Varsayımlar!$B:$Q,6,0))</f>
        <v>SADE</v>
      </c>
      <c r="K65" s="64">
        <v>4000</v>
      </c>
      <c r="L65" s="64"/>
      <c r="M65" s="64">
        <f>IFERROR(IF(B65="","",K65/VLOOKUP(AD65,Varsayımlar!B:R,17,0)),"")</f>
        <v>80</v>
      </c>
      <c r="N65" s="64"/>
      <c r="O65" s="64">
        <v>60</v>
      </c>
      <c r="P65" s="64">
        <f>IF(B65="","",VLOOKUP(AD65,Varsayımlar!$B:$Q,7,0)*K65)</f>
        <v>48000</v>
      </c>
      <c r="Q65" s="64">
        <f>IF(B65="","",VLOOKUP(AD65,Varsayımlar!$B:$Q,8,0))</f>
        <v>25</v>
      </c>
      <c r="R65" s="64" t="str">
        <f>IF(B65="","",VLOOKUP(AD65,Varsayımlar!$B:$Q,9,0))</f>
        <v>Standart</v>
      </c>
      <c r="S65" s="64">
        <f>IF(B65="","",VLOOKUP(AD65,Varsayımlar!$B:$Q,10,0))</f>
        <v>12</v>
      </c>
      <c r="T65" s="64">
        <f>IF(B65="","",VLOOKUP(AD65,Varsayımlar!$B:$Q,11,0))</f>
        <v>12</v>
      </c>
      <c r="U65" s="64">
        <f>IF(B65="","",VLOOKUP(AD65,Varsayımlar!$B:$Q,12,0))</f>
        <v>840</v>
      </c>
      <c r="V65" s="64" t="str">
        <f>IF(B65="","",VLOOKUP(AD65,Varsayımlar!$B:$Q,13,0))</f>
        <v>YURTİÇİ</v>
      </c>
      <c r="W65" s="64">
        <f>IF(B65="","",VLOOKUP(AD65,Varsayımlar!$B:$Q,14,0))</f>
        <v>5</v>
      </c>
      <c r="X65" s="66" t="s">
        <v>113</v>
      </c>
      <c r="Y65" s="66" t="s">
        <v>113</v>
      </c>
      <c r="Z65" s="64" t="s">
        <v>113</v>
      </c>
      <c r="AA65" s="64" t="str">
        <f>IF(B65="","",VLOOKUP(AD65,Varsayımlar!$B:$Q,15,0))</f>
        <v>Nimet Kolisi</v>
      </c>
      <c r="AB65" s="64" t="str">
        <f>IF(B65="","",VLOOKUP(AD65,Varsayımlar!$B:$Q,16,0))</f>
        <v>24-26 CM</v>
      </c>
      <c r="AC65" s="64" t="s">
        <v>360</v>
      </c>
      <c r="AD65" s="57" t="str">
        <f t="shared" ref="AD65:AD72" si="4">IF(B65="","",CONCATENATE(B65,E65))</f>
        <v>A101Nimet 25cm 12 pcs 840g</v>
      </c>
    </row>
    <row r="66" spans="1:30" ht="31.5" x14ac:dyDescent="0.25">
      <c r="A66" s="8" t="s">
        <v>92</v>
      </c>
      <c r="B66" s="75" t="s">
        <v>218</v>
      </c>
      <c r="C66" s="43">
        <f>IF(B66="","",VLOOKUP(AD66,Varsayımlar!$B:$Q,3,0))</f>
        <v>8698829380698</v>
      </c>
      <c r="D66" s="43" t="s">
        <v>161</v>
      </c>
      <c r="E66" s="75" t="s">
        <v>228</v>
      </c>
      <c r="F66" s="75" t="s">
        <v>341</v>
      </c>
      <c r="G66" s="43"/>
      <c r="H66" s="75" t="str">
        <f>IF(B66="","",VLOOKUP(AD66,Varsayımlar!$B:$Q,5,0))</f>
        <v>Tortillas Avrupa 25cm (698)</v>
      </c>
      <c r="I66" s="75">
        <f>IF(B66="","",VLOOKUP(AD66,Varsayımlar!B:T,19,0))</f>
        <v>0</v>
      </c>
      <c r="J66" s="75" t="str">
        <f>IF(B66="","",VLOOKUP(AD66,Varsayımlar!$B:$Q,6,0))</f>
        <v>SADE</v>
      </c>
      <c r="K66" s="75">
        <v>720</v>
      </c>
      <c r="L66" s="75"/>
      <c r="M66" s="75">
        <f>IFERROR(IF(B66="","",K66/VLOOKUP(AD66,Varsayımlar!B:R,17,0)),"")</f>
        <v>6</v>
      </c>
      <c r="N66" s="75"/>
      <c r="O66" s="75">
        <v>7</v>
      </c>
      <c r="P66" s="75">
        <f>IF(B66="","",VLOOKUP(AD66,Varsayımlar!$B:$Q,7,0)*K66)</f>
        <v>5760</v>
      </c>
      <c r="Q66" s="75">
        <f>IF(B66="","",VLOOKUP(AD66,Varsayımlar!$B:$Q,8,0))</f>
        <v>25</v>
      </c>
      <c r="R66" s="75" t="str">
        <f>IF(B66="","",VLOOKUP(AD66,Varsayımlar!$B:$Q,9,0))</f>
        <v>Irak Soft</v>
      </c>
      <c r="S66" s="75">
        <f>IF(B66="","",VLOOKUP(AD66,Varsayımlar!$B:$Q,10,0))</f>
        <v>10</v>
      </c>
      <c r="T66" s="75">
        <f>IF(B66="","",VLOOKUP(AD66,Varsayımlar!$B:$Q,11,0))</f>
        <v>8</v>
      </c>
      <c r="U66" s="75">
        <f>IF(B66="","",VLOOKUP(AD66,Varsayımlar!$B:$Q,12,0))</f>
        <v>650</v>
      </c>
      <c r="V66" s="75" t="str">
        <f>IF(B66="","",VLOOKUP(AD66,Varsayımlar!$B:$Q,13,0))</f>
        <v>Yurtdışı</v>
      </c>
      <c r="W66" s="75">
        <f>IF(B66="","",VLOOKUP(AD66,Varsayımlar!$B:$Q,14,0))</f>
        <v>9</v>
      </c>
      <c r="X66" s="76"/>
      <c r="Y66" s="76"/>
      <c r="Z66" s="75"/>
      <c r="AA66" s="75" t="str">
        <f>IF(B66="","",VLOOKUP(AD66,Varsayımlar!$B:$Q,15,0))</f>
        <v>25cm Perforeli-Bulgarca etiket</v>
      </c>
      <c r="AB66" s="75" t="str">
        <f>IF(B66="","",VLOOKUP(AD66,Varsayımlar!$B:$Q,16,0))</f>
        <v>24-26 cm</v>
      </c>
      <c r="AC66" s="75" t="str">
        <f>IF(B66="","",VLOOKUP(Sayfa1!AD61,Varsayımlar!B:S,18,0))</f>
        <v>80x120cm -Epal+Epal</v>
      </c>
      <c r="AD66" s="57" t="str">
        <f t="shared" si="4"/>
        <v>TASTE LAND-BULGARİSTANTortillas 25cm Sade 10pcs 650g</v>
      </c>
    </row>
    <row r="67" spans="1:30" ht="47.25" x14ac:dyDescent="0.25">
      <c r="A67" s="8" t="s">
        <v>93</v>
      </c>
      <c r="B67" s="75" t="s">
        <v>218</v>
      </c>
      <c r="C67" s="43">
        <f>IF(B67="","",VLOOKUP(AD67,Varsayımlar!$B:$Q,3,0))</f>
        <v>8698829380698</v>
      </c>
      <c r="D67" s="43" t="s">
        <v>161</v>
      </c>
      <c r="E67" s="75" t="s">
        <v>250</v>
      </c>
      <c r="F67" s="75" t="s">
        <v>341</v>
      </c>
      <c r="G67" s="43"/>
      <c r="H67" s="75" t="str">
        <f>IF(B67="","",VLOOKUP(AD67,Varsayımlar!$B:$Q,5,0))</f>
        <v>Tortillas Avrupa 25cm (698)</v>
      </c>
      <c r="I67" s="75" t="str">
        <f>IF(B67="","",VLOOKUP(AD67,Varsayımlar!B:T,19,0))</f>
        <v>Barkod üzerine Barkod Etiketi (050)</v>
      </c>
      <c r="J67" s="75" t="str">
        <f>IF(B67="","",VLOOKUP(AD67,Varsayımlar!$B:$Q,6,0))</f>
        <v>SADE</v>
      </c>
      <c r="K67" s="75">
        <v>168</v>
      </c>
      <c r="L67" s="75"/>
      <c r="M67" s="75">
        <f>IFERROR(IF(B67="","",K67/VLOOKUP(AD67,Varsayımlar!B:R,17,0)),"")</f>
        <v>2</v>
      </c>
      <c r="N67" s="75"/>
      <c r="O67" s="75">
        <v>3</v>
      </c>
      <c r="P67" s="75">
        <f>IF(B67="","",VLOOKUP(AD67,Varsayımlar!$B:$Q,7,0)*K67)</f>
        <v>3024</v>
      </c>
      <c r="Q67" s="75">
        <f>IF(B67="","",VLOOKUP(AD67,Varsayımlar!$B:$Q,8,0))</f>
        <v>25</v>
      </c>
      <c r="R67" s="75" t="str">
        <f>IF(B67="","",VLOOKUP(AD67,Varsayımlar!$B:$Q,9,0))</f>
        <v>Irak Soft</v>
      </c>
      <c r="S67" s="75">
        <f>IF(B67="","",VLOOKUP(AD67,Varsayımlar!$B:$Q,10,0))</f>
        <v>6</v>
      </c>
      <c r="T67" s="75">
        <f>IF(B67="","",VLOOKUP(AD67,Varsayımlar!$B:$Q,11,0))</f>
        <v>18</v>
      </c>
      <c r="U67" s="75">
        <f>IF(B67="","",VLOOKUP(AD67,Varsayımlar!$B:$Q,12,0))</f>
        <v>390</v>
      </c>
      <c r="V67" s="75" t="str">
        <f>IF(B67="","",VLOOKUP(AD67,Varsayımlar!$B:$Q,13,0))</f>
        <v>Yurtdışı</v>
      </c>
      <c r="W67" s="75">
        <f>IF(B67="","",VLOOKUP(AD67,Varsayımlar!$B:$Q,14,0))</f>
        <v>9</v>
      </c>
      <c r="X67" s="76"/>
      <c r="Y67" s="76"/>
      <c r="Z67" s="75"/>
      <c r="AA67" s="75" t="str">
        <f>IF(B67="","",VLOOKUP(AD67,Varsayımlar!$B:$Q,15,0))</f>
        <v>25cm Kırmızı koli-Bulgarca Etiket</v>
      </c>
      <c r="AB67" s="75" t="str">
        <f>IF(B67="","",VLOOKUP(AD67,Varsayımlar!$B:$Q,16,0))</f>
        <v>24-26 cm</v>
      </c>
      <c r="AC67" s="75" t="str">
        <f>IF(B67="","",VLOOKUP(Sayfa1!AD62,Varsayımlar!B:S,18,0))</f>
        <v>80x120cm -Epal+Epal</v>
      </c>
      <c r="AD67" s="57" t="str">
        <f t="shared" si="4"/>
        <v>TASTE LAND-BULGARİSTANTortillas 25cm Sade 6pcs 390g</v>
      </c>
    </row>
    <row r="68" spans="1:30" x14ac:dyDescent="0.25">
      <c r="A68" s="8" t="s">
        <v>135</v>
      </c>
      <c r="B68" s="67"/>
      <c r="C68" s="42" t="str">
        <f>IF(B68="","",VLOOKUP(AD68,Varsayımlar!$B:$Q,3,0))</f>
        <v/>
      </c>
      <c r="D68" s="42"/>
      <c r="E68" s="42"/>
      <c r="F68" s="67"/>
      <c r="G68" s="67"/>
      <c r="H68" s="67" t="str">
        <f>IF(B68="","",VLOOKUP(AD68,Varsayımlar!$B:$Q,5,0))</f>
        <v/>
      </c>
      <c r="I68" s="67"/>
      <c r="J68" s="67" t="str">
        <f>IF(B68="","",VLOOKUP(AD68,Varsayımlar!$B:$Q,6,0))</f>
        <v/>
      </c>
      <c r="K68" s="67"/>
      <c r="L68" s="67"/>
      <c r="M68" s="67" t="str">
        <f>IFERROR(IF(B68="","",K68/VLOOKUP(AD68,Varsayımlar!B:R,17,0)),"")</f>
        <v/>
      </c>
      <c r="N68" s="67"/>
      <c r="O68" s="67"/>
      <c r="P68" s="67" t="str">
        <f>IF(B68="","",VLOOKUP(AD68,Varsayımlar!$B:$Q,7,0)*K68)</f>
        <v/>
      </c>
      <c r="Q68" s="67" t="str">
        <f>IF(B68="","",VLOOKUP(AD68,Varsayımlar!$B:$Q,8,0))</f>
        <v/>
      </c>
      <c r="R68" s="67" t="str">
        <f>IF(B68="","",VLOOKUP(AD68,Varsayımlar!$B:$Q,9,0))</f>
        <v/>
      </c>
      <c r="S68" s="67" t="str">
        <f>IF(B68="","",VLOOKUP(AD68,Varsayımlar!$B:$Q,10,0))</f>
        <v/>
      </c>
      <c r="T68" s="67" t="str">
        <f>IF(B68="","",VLOOKUP(AD68,Varsayımlar!$B:$Q,11,0))</f>
        <v/>
      </c>
      <c r="U68" s="67" t="str">
        <f>IF(B68="","",VLOOKUP(AD68,Varsayımlar!$B:$Q,12,0))</f>
        <v/>
      </c>
      <c r="V68" s="67" t="str">
        <f>IF(B68="","",VLOOKUP(AD68,Varsayımlar!$B:$Q,13,0))</f>
        <v/>
      </c>
      <c r="W68" s="67" t="str">
        <f>IF(B68="","",VLOOKUP(AD68,Varsayımlar!$B:$Q,14,0))</f>
        <v/>
      </c>
      <c r="X68" s="69"/>
      <c r="Y68" s="69"/>
      <c r="Z68" s="67"/>
      <c r="AA68" s="67" t="str">
        <f>IF(B68="","",VLOOKUP(AD68,Varsayımlar!$B:$Q,15,0))</f>
        <v/>
      </c>
      <c r="AB68" s="67" t="str">
        <f>IF(B68="","",VLOOKUP(AD68,Varsayımlar!$B:$Q,16,0))</f>
        <v/>
      </c>
      <c r="AC68" s="67"/>
      <c r="AD68" s="57" t="str">
        <f t="shared" si="4"/>
        <v/>
      </c>
    </row>
    <row r="69" spans="1:30" x14ac:dyDescent="0.25">
      <c r="A69" s="8" t="s">
        <v>90</v>
      </c>
      <c r="B69" s="67"/>
      <c r="C69" s="42" t="str">
        <f>IF(B69="","",VLOOKUP(AD69,Varsayımlar!$B:$Q,3,0))</f>
        <v/>
      </c>
      <c r="D69" s="42"/>
      <c r="E69" s="42"/>
      <c r="F69" s="67"/>
      <c r="G69" s="67"/>
      <c r="H69" s="67" t="str">
        <f>IF(B69="","",VLOOKUP(AD69,Varsayımlar!$B:$Q,5,0))</f>
        <v/>
      </c>
      <c r="I69" s="67"/>
      <c r="J69" s="67" t="str">
        <f>IF(B69="","",VLOOKUP(AD69,Varsayımlar!$B:$Q,6,0))</f>
        <v/>
      </c>
      <c r="K69" s="67"/>
      <c r="L69" s="67"/>
      <c r="M69" s="67" t="str">
        <f>IFERROR(IF(B69="","",K69/VLOOKUP(AD69,Varsayımlar!B:R,17,0)),"")</f>
        <v/>
      </c>
      <c r="N69" s="67"/>
      <c r="O69" s="67"/>
      <c r="P69" s="67" t="str">
        <f>IF(B69="","",VLOOKUP(AD69,Varsayımlar!$B:$Q,7,0)*K69)</f>
        <v/>
      </c>
      <c r="Q69" s="67" t="str">
        <f>IF(B69="","",VLOOKUP(AD69,Varsayımlar!$B:$Q,8,0))</f>
        <v/>
      </c>
      <c r="R69" s="67" t="str">
        <f>IF(B69="","",VLOOKUP(AD69,Varsayımlar!$B:$Q,9,0))</f>
        <v/>
      </c>
      <c r="S69" s="67" t="str">
        <f>IF(B69="","",VLOOKUP(AD69,Varsayımlar!$B:$Q,10,0))</f>
        <v/>
      </c>
      <c r="T69" s="67" t="str">
        <f>IF(B69="","",VLOOKUP(AD69,Varsayımlar!$B:$Q,11,0))</f>
        <v/>
      </c>
      <c r="U69" s="67" t="str">
        <f>IF(B69="","",VLOOKUP(AD69,Varsayımlar!$B:$Q,12,0))</f>
        <v/>
      </c>
      <c r="V69" s="67" t="str">
        <f>IF(B69="","",VLOOKUP(AD69,Varsayımlar!$B:$Q,13,0))</f>
        <v/>
      </c>
      <c r="W69" s="67" t="str">
        <f>IF(B69="","",VLOOKUP(AD69,Varsayımlar!$B:$Q,14,0))</f>
        <v/>
      </c>
      <c r="X69" s="69"/>
      <c r="Y69" s="69"/>
      <c r="Z69" s="67"/>
      <c r="AA69" s="67" t="str">
        <f>IF(B69="","",VLOOKUP(AD69,Varsayımlar!$B:$Q,15,0))</f>
        <v/>
      </c>
      <c r="AB69" s="67" t="str">
        <f>IF(B69="","",VLOOKUP(AD69,Varsayımlar!$B:$Q,16,0))</f>
        <v/>
      </c>
      <c r="AC69" s="67"/>
      <c r="AD69" s="57" t="str">
        <f t="shared" si="4"/>
        <v/>
      </c>
    </row>
    <row r="70" spans="1:30" x14ac:dyDescent="0.25">
      <c r="A70" s="8" t="s">
        <v>91</v>
      </c>
      <c r="B70" s="67"/>
      <c r="C70" s="42" t="str">
        <f>IF(B70="","",VLOOKUP(AD70,Varsayımlar!$B:$Q,3,0))</f>
        <v/>
      </c>
      <c r="D70" s="42"/>
      <c r="E70" s="42"/>
      <c r="F70" s="67"/>
      <c r="G70" s="67"/>
      <c r="H70" s="67" t="str">
        <f>IF(B70="","",VLOOKUP(AD70,Varsayımlar!$B:$Q,5,0))</f>
        <v/>
      </c>
      <c r="I70" s="67"/>
      <c r="J70" s="67" t="str">
        <f>IF(B70="","",VLOOKUP(AD70,Varsayımlar!$B:$Q,6,0))</f>
        <v/>
      </c>
      <c r="K70" s="67"/>
      <c r="L70" s="67"/>
      <c r="M70" s="67" t="str">
        <f>IFERROR(IF(B70="","",K70/VLOOKUP(AD70,Varsayımlar!B:R,17,0)),"")</f>
        <v/>
      </c>
      <c r="N70" s="67"/>
      <c r="O70" s="67"/>
      <c r="P70" s="67" t="str">
        <f>IF(B70="","",VLOOKUP(AD70,Varsayımlar!$B:$Q,7,0)*K70)</f>
        <v/>
      </c>
      <c r="Q70" s="67" t="str">
        <f>IF(B70="","",VLOOKUP(AD70,Varsayımlar!$B:$Q,8,0))</f>
        <v/>
      </c>
      <c r="R70" s="67" t="str">
        <f>IF(B70="","",VLOOKUP(AD70,Varsayımlar!$B:$Q,9,0))</f>
        <v/>
      </c>
      <c r="S70" s="67" t="str">
        <f>IF(B70="","",VLOOKUP(AD70,Varsayımlar!$B:$Q,10,0))</f>
        <v/>
      </c>
      <c r="T70" s="67" t="str">
        <f>IF(B70="","",VLOOKUP(AD70,Varsayımlar!$B:$Q,11,0))</f>
        <v/>
      </c>
      <c r="U70" s="67" t="str">
        <f>IF(B70="","",VLOOKUP(AD70,Varsayımlar!$B:$Q,12,0))</f>
        <v/>
      </c>
      <c r="V70" s="67" t="str">
        <f>IF(B70="","",VLOOKUP(AD70,Varsayımlar!$B:$Q,13,0))</f>
        <v/>
      </c>
      <c r="W70" s="67" t="str">
        <f>IF(B70="","",VLOOKUP(AD70,Varsayımlar!$B:$Q,14,0))</f>
        <v/>
      </c>
      <c r="X70" s="69"/>
      <c r="Y70" s="69"/>
      <c r="Z70" s="67"/>
      <c r="AA70" s="67" t="str">
        <f>IF(B70="","",VLOOKUP(AD70,Varsayımlar!$B:$Q,15,0))</f>
        <v/>
      </c>
      <c r="AB70" s="67" t="str">
        <f>IF(B70="","",VLOOKUP(AD70,Varsayımlar!$B:$Q,16,0))</f>
        <v/>
      </c>
      <c r="AC70" s="67"/>
      <c r="AD70" s="57" t="str">
        <f t="shared" si="4"/>
        <v/>
      </c>
    </row>
    <row r="71" spans="1:30" x14ac:dyDescent="0.25">
      <c r="A71" s="8" t="s">
        <v>92</v>
      </c>
      <c r="B71" s="67"/>
      <c r="C71" s="42" t="str">
        <f>IF(B71="","",VLOOKUP(AD71,Varsayımlar!$B:$Q,3,0))</f>
        <v/>
      </c>
      <c r="D71" s="42"/>
      <c r="E71" s="42"/>
      <c r="F71" s="67"/>
      <c r="G71" s="67"/>
      <c r="H71" s="67" t="str">
        <f>IF(B71="","",VLOOKUP(AD71,Varsayımlar!$B:$Q,5,0))</f>
        <v/>
      </c>
      <c r="I71" s="67"/>
      <c r="J71" s="67" t="str">
        <f>IF(B71="","",VLOOKUP(AD71,Varsayımlar!$B:$Q,6,0))</f>
        <v/>
      </c>
      <c r="K71" s="67"/>
      <c r="L71" s="67"/>
      <c r="M71" s="67" t="str">
        <f>IFERROR(IF(B71="","",K71/VLOOKUP(AD71,Varsayımlar!B:R,17,0)),"")</f>
        <v/>
      </c>
      <c r="N71" s="67"/>
      <c r="O71" s="67"/>
      <c r="P71" s="67" t="str">
        <f>IF(B71="","",VLOOKUP(AD71,Varsayımlar!$B:$Q,7,0)*K71)</f>
        <v/>
      </c>
      <c r="Q71" s="67" t="str">
        <f>IF(B71="","",VLOOKUP(AD71,Varsayımlar!$B:$Q,8,0))</f>
        <v/>
      </c>
      <c r="R71" s="67" t="str">
        <f>IF(B71="","",VLOOKUP(AD71,Varsayımlar!$B:$Q,9,0))</f>
        <v/>
      </c>
      <c r="S71" s="67" t="str">
        <f>IF(B71="","",VLOOKUP(AD71,Varsayımlar!$B:$Q,10,0))</f>
        <v/>
      </c>
      <c r="T71" s="67" t="str">
        <f>IF(B71="","",VLOOKUP(AD71,Varsayımlar!$B:$Q,11,0))</f>
        <v/>
      </c>
      <c r="U71" s="67" t="str">
        <f>IF(B71="","",VLOOKUP(AD71,Varsayımlar!$B:$Q,12,0))</f>
        <v/>
      </c>
      <c r="V71" s="67" t="str">
        <f>IF(B71="","",VLOOKUP(AD71,Varsayımlar!$B:$Q,13,0))</f>
        <v/>
      </c>
      <c r="W71" s="67" t="str">
        <f>IF(B71="","",VLOOKUP(AD71,Varsayımlar!$B:$Q,14,0))</f>
        <v/>
      </c>
      <c r="X71" s="69"/>
      <c r="Y71" s="69"/>
      <c r="Z71" s="67"/>
      <c r="AA71" s="67" t="str">
        <f>IF(B71="","",VLOOKUP(AD71,Varsayımlar!$B:$Q,15,0))</f>
        <v/>
      </c>
      <c r="AB71" s="67" t="str">
        <f>IF(B71="","",VLOOKUP(AD71,Varsayımlar!$B:$Q,16,0))</f>
        <v/>
      </c>
      <c r="AC71" s="67"/>
      <c r="AD71" s="57" t="str">
        <f t="shared" si="4"/>
        <v/>
      </c>
    </row>
    <row r="72" spans="1:30" x14ac:dyDescent="0.25">
      <c r="C72" s="53" t="str">
        <f>IF(B72="","",VLOOKUP(AD72,Varsayımlar!$B:$Q,3,0))</f>
        <v/>
      </c>
      <c r="H72" s="7" t="str">
        <f>IF(B72="","",VLOOKUP(AD72,Varsayımlar!$B:$Q,5,0))</f>
        <v/>
      </c>
      <c r="J72" s="7" t="str">
        <f>IF(B72="","",VLOOKUP(AD72,Varsayımlar!$B:$Q,6,0))</f>
        <v/>
      </c>
      <c r="P72" s="7" t="str">
        <f>IF(B72="","",VLOOKUP(AD72,Varsayımlar!$B:$Q,7,0)*K72)</f>
        <v/>
      </c>
      <c r="Q72" s="7" t="str">
        <f>IF(B72="","",VLOOKUP(AD72,Varsayımlar!$B:$Q,8,0))</f>
        <v/>
      </c>
      <c r="R72" s="7" t="str">
        <f>IF(B72="","",VLOOKUP(AD72,Varsayımlar!$B:$Q,9,0))</f>
        <v/>
      </c>
      <c r="S72" s="7" t="str">
        <f>IF(B72="","",VLOOKUP(AD72,Varsayımlar!$B:$Q,10,0))</f>
        <v/>
      </c>
      <c r="T72" s="7" t="str">
        <f>IF(B72="","",VLOOKUP(AD72,Varsayımlar!$B:$Q,11,0))</f>
        <v/>
      </c>
      <c r="U72" s="7" t="str">
        <f>IF(B72="","",VLOOKUP(AD72,Varsayımlar!$B:$Q,12,0))</f>
        <v/>
      </c>
      <c r="V72" s="7" t="str">
        <f>IF(B72="","",VLOOKUP(AD72,Varsayımlar!$B:$Q,13,0))</f>
        <v/>
      </c>
      <c r="W72" s="7" t="str">
        <f>IF(B72="","",VLOOKUP(AD72,Varsayımlar!$B:$Q,14,0))</f>
        <v/>
      </c>
      <c r="AA72" s="7" t="str">
        <f>IF(B72="","",VLOOKUP(AD72,Varsayımlar!$B:$Q,15,0))</f>
        <v/>
      </c>
      <c r="AB72" s="7" t="str">
        <f>IF(B72="","",VLOOKUP(AD72,Varsayımlar!$B:$Q,16,0))</f>
        <v/>
      </c>
      <c r="AD72" s="7" t="str">
        <f t="shared" si="4"/>
        <v/>
      </c>
    </row>
    <row r="73" spans="1:30" ht="31.5" customHeight="1" x14ac:dyDescent="0.25">
      <c r="A73" s="182" t="s">
        <v>345</v>
      </c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4"/>
      <c r="AC73" s="38"/>
    </row>
    <row r="74" spans="1:30" ht="63" x14ac:dyDescent="0.25">
      <c r="A74" s="8" t="s">
        <v>0</v>
      </c>
      <c r="B74" s="8" t="s">
        <v>1</v>
      </c>
      <c r="C74" s="9" t="s">
        <v>31</v>
      </c>
      <c r="D74" s="9" t="s">
        <v>124</v>
      </c>
      <c r="E74" s="9" t="s">
        <v>36</v>
      </c>
      <c r="F74" s="8" t="s">
        <v>37</v>
      </c>
      <c r="G74" s="8" t="s">
        <v>13</v>
      </c>
      <c r="H74" s="8" t="s">
        <v>2</v>
      </c>
      <c r="I74" s="8" t="s">
        <v>49</v>
      </c>
      <c r="J74" s="8" t="s">
        <v>3</v>
      </c>
      <c r="K74" s="8" t="s">
        <v>21</v>
      </c>
      <c r="L74" s="8" t="s">
        <v>94</v>
      </c>
      <c r="M74" s="8" t="s">
        <v>20</v>
      </c>
      <c r="N74" s="8" t="s">
        <v>165</v>
      </c>
      <c r="O74" s="8" t="s">
        <v>123</v>
      </c>
      <c r="P74" s="8" t="s">
        <v>16</v>
      </c>
      <c r="Q74" s="8" t="s">
        <v>4</v>
      </c>
      <c r="R74" s="8" t="s">
        <v>5</v>
      </c>
      <c r="S74" s="8" t="s">
        <v>6</v>
      </c>
      <c r="T74" s="8" t="s">
        <v>28</v>
      </c>
      <c r="U74" s="8" t="s">
        <v>7</v>
      </c>
      <c r="V74" s="8" t="s">
        <v>8</v>
      </c>
      <c r="W74" s="8" t="s">
        <v>9</v>
      </c>
      <c r="X74" s="8" t="s">
        <v>10</v>
      </c>
      <c r="Y74" s="8" t="s">
        <v>11</v>
      </c>
      <c r="Z74" s="8" t="s">
        <v>12</v>
      </c>
      <c r="AA74" s="8" t="s">
        <v>14</v>
      </c>
      <c r="AB74" s="8" t="s">
        <v>15</v>
      </c>
      <c r="AC74" s="8" t="s">
        <v>208</v>
      </c>
      <c r="AD74" s="7" t="s">
        <v>41</v>
      </c>
    </row>
    <row r="75" spans="1:30" ht="31.5" x14ac:dyDescent="0.25">
      <c r="A75" s="8" t="s">
        <v>26</v>
      </c>
      <c r="B75" s="64" t="s">
        <v>95</v>
      </c>
      <c r="C75" s="3">
        <f>IF(B75="","",VLOOKUP(AD75,Varsayımlar!$B:$Q,3,0))</f>
        <v>8698829380698</v>
      </c>
      <c r="D75" s="3"/>
      <c r="E75" s="65" t="s">
        <v>114</v>
      </c>
      <c r="F75" s="64"/>
      <c r="G75" s="64"/>
      <c r="H75" s="64" t="str">
        <f>IF(B75="","",VLOOKUP(AD75,Varsayımlar!$B:$Q,5,0))</f>
        <v>Bisto 25 cm</v>
      </c>
      <c r="I75" s="64"/>
      <c r="J75" s="64" t="str">
        <f>IF(B75="","",VLOOKUP(AD75,Varsayımlar!$B:$Q,6,0))</f>
        <v>SADE</v>
      </c>
      <c r="K75" s="64">
        <v>288</v>
      </c>
      <c r="L75" s="64"/>
      <c r="M75" s="64">
        <f>IFERROR(IF(B75="","",K75/VLOOKUP(AD75,Varsayımlar!B:R,17,0)),"")</f>
        <v>6</v>
      </c>
      <c r="N75" s="64"/>
      <c r="O75" s="64">
        <v>15</v>
      </c>
      <c r="P75" s="64">
        <f>IF(B75="","",VLOOKUP(AD75,Varsayımlar!$B:$Q,7,0)*K75)</f>
        <v>3456</v>
      </c>
      <c r="Q75" s="64">
        <f>IF(B75="","",VLOOKUP(AD75,Varsayımlar!$B:$Q,8,0))</f>
        <v>25</v>
      </c>
      <c r="R75" s="64" t="str">
        <f>IF(B75="","",VLOOKUP(AD75,Varsayımlar!$B:$Q,9,0))</f>
        <v>Standart</v>
      </c>
      <c r="S75" s="64">
        <f>IF(B75="","",VLOOKUP(AD75,Varsayımlar!$B:$Q,10,0))</f>
        <v>12</v>
      </c>
      <c r="T75" s="64">
        <f>IF(B75="","",VLOOKUP(AD75,Varsayımlar!$B:$Q,11,0))</f>
        <v>12</v>
      </c>
      <c r="U75" s="64">
        <f>IF(B75="","",VLOOKUP(AD75,Varsayımlar!$B:$Q,12,0))</f>
        <v>840</v>
      </c>
      <c r="V75" s="64" t="str">
        <f>IF(B75="","",VLOOKUP(AD75,Varsayımlar!$B:$Q,13,0))</f>
        <v>Yurtiçi</v>
      </c>
      <c r="W75" s="64">
        <f>IF(B75="","",VLOOKUP(AD75,Varsayımlar!$B:$Q,14,0))</f>
        <v>6</v>
      </c>
      <c r="X75" s="66" t="s">
        <v>113</v>
      </c>
      <c r="Y75" s="66" t="s">
        <v>113</v>
      </c>
      <c r="Z75" s="64" t="s">
        <v>113</v>
      </c>
      <c r="AA75" s="64" t="str">
        <f>IF(B75="","",VLOOKUP(AD75,Varsayımlar!$B:$Q,15,0))</f>
        <v>Bisto Kolisi</v>
      </c>
      <c r="AB75" s="64" t="str">
        <f>IF(B75="","",VLOOKUP(AD75,Varsayımlar!$B:$Q,16,0))</f>
        <v>24-26 Cm</v>
      </c>
      <c r="AC75" s="64" t="s">
        <v>362</v>
      </c>
      <c r="AD75" s="57" t="str">
        <f t="shared" ref="AD75" si="5">IF(B75="","",CONCATENATE(B75,E75))</f>
        <v>Şok MarketBisto 25 cm 12 pcs 840g</v>
      </c>
    </row>
    <row r="76" spans="1:30" ht="36" customHeight="1" x14ac:dyDescent="0.25">
      <c r="A76" s="8" t="s">
        <v>77</v>
      </c>
      <c r="B76" s="84" t="s">
        <v>119</v>
      </c>
      <c r="C76" s="83">
        <f>IF(B76="","",VLOOKUP(AD76,Varsayımlar!$B:$Q,3,0))</f>
        <v>8698829380698</v>
      </c>
      <c r="D76" s="83"/>
      <c r="E76" s="84" t="s">
        <v>120</v>
      </c>
      <c r="F76" s="84"/>
      <c r="G76" s="84"/>
      <c r="H76" s="84" t="str">
        <f>IF(B76="","",VLOOKUP(AD76,Varsayımlar!$B:$Q,5,0))</f>
        <v>Nimet 25 cm</v>
      </c>
      <c r="I76" s="84">
        <f>IF(B76="","",VLOOKUP(AD76,Varsayımlar!B:T,19,0))</f>
        <v>0</v>
      </c>
      <c r="J76" s="84" t="str">
        <f>IF(B76="","",VLOOKUP(AD76,Varsayımlar!$B:$Q,6,0))</f>
        <v>SADE</v>
      </c>
      <c r="K76" s="84">
        <v>4000</v>
      </c>
      <c r="L76" s="84"/>
      <c r="M76" s="84">
        <f>IFERROR(IF(B76="","",K76/VLOOKUP(AD76,Varsayımlar!B:R,17,0)),"")</f>
        <v>80</v>
      </c>
      <c r="N76" s="84">
        <v>50</v>
      </c>
      <c r="O76" s="84">
        <v>40</v>
      </c>
      <c r="P76" s="84">
        <f>IF(B76="","",VLOOKUP(AD76,Varsayımlar!$B:$Q,7,0)*K76)</f>
        <v>48000</v>
      </c>
      <c r="Q76" s="84">
        <f>IF(B76="","",VLOOKUP(AD76,Varsayımlar!$B:$Q,8,0))</f>
        <v>25</v>
      </c>
      <c r="R76" s="84" t="str">
        <f>IF(B76="","",VLOOKUP(AD76,Varsayımlar!$B:$Q,9,0))</f>
        <v>Standart</v>
      </c>
      <c r="S76" s="84">
        <f>IF(B76="","",VLOOKUP(AD76,Varsayımlar!$B:$Q,10,0))</f>
        <v>12</v>
      </c>
      <c r="T76" s="84">
        <f>IF(B76="","",VLOOKUP(AD76,Varsayımlar!$B:$Q,11,0))</f>
        <v>12</v>
      </c>
      <c r="U76" s="84">
        <f>IF(B76="","",VLOOKUP(AD76,Varsayımlar!$B:$Q,12,0))</f>
        <v>840</v>
      </c>
      <c r="V76" s="84" t="str">
        <f>IF(B76="","",VLOOKUP(AD76,Varsayımlar!$B:$Q,13,0))</f>
        <v>YURTİÇİ</v>
      </c>
      <c r="W76" s="84">
        <f>IF(B76="","",VLOOKUP(AD76,Varsayımlar!$B:$Q,14,0))</f>
        <v>5</v>
      </c>
      <c r="X76" s="85" t="s">
        <v>113</v>
      </c>
      <c r="Y76" s="85" t="s">
        <v>113</v>
      </c>
      <c r="Z76" s="85" t="s">
        <v>113</v>
      </c>
      <c r="AA76" s="84" t="str">
        <f>IF(B76="","",VLOOKUP(AD76,Varsayımlar!$B:$Q,15,0))</f>
        <v>Nimet Kolisi</v>
      </c>
      <c r="AB76" s="84" t="str">
        <f>IF(B76="","",VLOOKUP(AD76,Varsayımlar!$B:$Q,16,0))</f>
        <v>24-26 CM</v>
      </c>
      <c r="AC76" s="64">
        <f>IF(B76="","",VLOOKUP(Sayfa1!AD76,Varsayımlar!B:S,18,0))</f>
        <v>0</v>
      </c>
      <c r="AD76" s="57" t="str">
        <f>IF(B76="","",CONCATENATE(B76,E76))</f>
        <v>A101Nimet 25cm 12 pcs 840g</v>
      </c>
    </row>
    <row r="77" spans="1:30" ht="47.25" x14ac:dyDescent="0.25">
      <c r="A77" s="8" t="s">
        <v>79</v>
      </c>
      <c r="B77" s="62" t="s">
        <v>409</v>
      </c>
      <c r="C77" s="32">
        <f>IF(B77="","",VLOOKUP(AD77,Varsayımlar!$B:$Q,3,0))</f>
        <v>8698829380698</v>
      </c>
      <c r="D77" s="32"/>
      <c r="E77" s="32" t="s">
        <v>410</v>
      </c>
      <c r="F77" s="62"/>
      <c r="G77" s="32"/>
      <c r="H77" s="62" t="str">
        <f>IF(B77="","",VLOOKUP(AD77,Varsayımlar!$B:$Q,5,0))</f>
        <v>Baskısız 30cm</v>
      </c>
      <c r="I77" s="62" t="str">
        <f>IF(B77="","",VLOOKUP(AD77,Varsayımlar!B:T,19,0))</f>
        <v>Donipa 30cm 18pcs 1710g etiketli</v>
      </c>
      <c r="J77" s="62" t="str">
        <f>IF(B77="","",VLOOKUP(AD77,Varsayımlar!$B:$Q,6,0))</f>
        <v>SADE</v>
      </c>
      <c r="K77" s="62">
        <v>100</v>
      </c>
      <c r="L77" s="62"/>
      <c r="M77" s="62" t="str">
        <f>IFERROR(IF(B77="","",K77/VLOOKUP(AD77,Varsayımlar!B:R,17,0)),"")</f>
        <v/>
      </c>
      <c r="N77" s="62"/>
      <c r="O77" s="62">
        <v>3</v>
      </c>
      <c r="P77" s="62">
        <f>IF(B77="","",VLOOKUP(AD77,Varsayımlar!$B:$Q,7,0)*K77)</f>
        <v>600</v>
      </c>
      <c r="Q77" s="62">
        <f>IF(B77="","",VLOOKUP(AD77,Varsayımlar!$B:$Q,8,0))</f>
        <v>30</v>
      </c>
      <c r="R77" s="62" t="str">
        <f>IF(B77="","",VLOOKUP(AD77,Varsayımlar!$B:$Q,9,0))</f>
        <v>Irak soft</v>
      </c>
      <c r="S77" s="62">
        <f>IF(B77="","",VLOOKUP(AD77,Varsayımlar!$B:$Q,10,0))</f>
        <v>18</v>
      </c>
      <c r="T77" s="62">
        <f>IF(B77="","",VLOOKUP(AD77,Varsayımlar!$B:$Q,11,0))</f>
        <v>6</v>
      </c>
      <c r="U77" s="62">
        <f>IF(B77="","",VLOOKUP(AD77,Varsayımlar!$B:$Q,12,0))</f>
        <v>1710</v>
      </c>
      <c r="V77" s="62" t="str">
        <f>IF(B77="","",VLOOKUP(AD77,Varsayımlar!$B:$Q,13,0))</f>
        <v>Yurtiçi</v>
      </c>
      <c r="W77" s="62">
        <f>IF(B77="","",VLOOKUP(AD77,Varsayımlar!$B:$Q,14,0))</f>
        <v>6</v>
      </c>
      <c r="X77" s="63" t="s">
        <v>113</v>
      </c>
      <c r="Y77" s="63" t="s">
        <v>113</v>
      </c>
      <c r="Z77" s="63" t="s">
        <v>113</v>
      </c>
      <c r="AA77" s="62" t="str">
        <f>IF(B77="","",VLOOKUP(AD77,Varsayımlar!$B:$Q,15,0))</f>
        <v>30cm koli-Etiketli</v>
      </c>
      <c r="AB77" s="62" t="str">
        <f>IF(B77="","",VLOOKUP(AD77,Varsayımlar!$B:$Q,16,0))</f>
        <v>29-31 cm</v>
      </c>
      <c r="AC77" s="62">
        <f>IF(B77="","",VLOOKUP(Sayfa1!AD14,Varsayımlar!B:S,18,0))</f>
        <v>0</v>
      </c>
      <c r="AD77" s="57" t="str">
        <f>IF(B77="","",CONCATENATE(B77,E77))</f>
        <v>DonipaDonipa 30cm 18pcs 1710g</v>
      </c>
    </row>
    <row r="78" spans="1:30" ht="31.5" customHeight="1" x14ac:dyDescent="0.25">
      <c r="A78" s="8" t="s">
        <v>84</v>
      </c>
      <c r="B78" s="119" t="s">
        <v>363</v>
      </c>
      <c r="C78" s="120">
        <f>IF(B78="","",VLOOKUP(AD78,Varsayımlar!$B:$Q,3,0))</f>
        <v>8698829380698</v>
      </c>
      <c r="D78" s="120"/>
      <c r="E78" s="120" t="s">
        <v>364</v>
      </c>
      <c r="F78" s="119"/>
      <c r="G78" s="120" t="s">
        <v>373</v>
      </c>
      <c r="H78" s="119" t="str">
        <f>IF(B78="","",VLOOKUP(AD78,Varsayımlar!$B:$Q,5,0))</f>
        <v>Durum 30cm Sade 18pcs 1620g</v>
      </c>
      <c r="I78" s="119">
        <f>IF(B78="","",VLOOKUP(AD78,Varsayımlar!B:T,19,0))</f>
        <v>0</v>
      </c>
      <c r="J78" s="119" t="str">
        <f>IF(B78="","",VLOOKUP(AD78,Varsayımlar!$B:$Q,6,0))</f>
        <v>SADE</v>
      </c>
      <c r="K78" s="119">
        <v>360</v>
      </c>
      <c r="L78" s="119"/>
      <c r="M78" s="119" t="str">
        <f>IFERROR(IF(B78="","",K78/VLOOKUP(AD78,Varsayımlar!B:R,17,0)),"")</f>
        <v/>
      </c>
      <c r="N78" s="119"/>
      <c r="O78" s="119">
        <v>6</v>
      </c>
      <c r="P78" s="119">
        <f>IF(B78="","",VLOOKUP(AD78,Varsayımlar!$B:$Q,7,0)*K78)</f>
        <v>6480</v>
      </c>
      <c r="Q78" s="119">
        <f>IF(B78="","",VLOOKUP(AD78,Varsayımlar!$B:$Q,8,0))</f>
        <v>30</v>
      </c>
      <c r="R78" s="119" t="str">
        <f>IF(B78="","",VLOOKUP(AD78,Varsayımlar!$B:$Q,9,0))</f>
        <v>Irak Soft</v>
      </c>
      <c r="S78" s="119">
        <f>IF(B78="","",VLOOKUP(AD78,Varsayımlar!$B:$Q,10,0))</f>
        <v>18</v>
      </c>
      <c r="T78" s="119">
        <f>IF(B78="","",VLOOKUP(AD78,Varsayımlar!$B:$Q,11,0))</f>
        <v>6</v>
      </c>
      <c r="U78" s="119">
        <f>IF(B78="","",VLOOKUP(AD78,Varsayımlar!$B:$Q,12,0))</f>
        <v>1620</v>
      </c>
      <c r="V78" s="119" t="str">
        <f>IF(B78="","",VLOOKUP(AD78,Varsayımlar!$B:$Q,13,0))</f>
        <v>Yurtdışı</v>
      </c>
      <c r="W78" s="119">
        <f>IF(B78="","",VLOOKUP(AD78,Varsayımlar!$B:$Q,14,0))</f>
        <v>0</v>
      </c>
      <c r="X78" s="121"/>
      <c r="Y78" s="121"/>
      <c r="Z78" s="119"/>
      <c r="AA78" s="119" t="str">
        <f>IF(B78="","",VLOOKUP(AD78,Varsayımlar!$B:$Q,15,0))</f>
        <v>30cm kolisi-Etiketli</v>
      </c>
      <c r="AB78" s="119" t="str">
        <f>IF(B78="","",VLOOKUP(AD78,Varsayımlar!$B:$Q,16,0))</f>
        <v>29-31 cm</v>
      </c>
      <c r="AC78" s="64">
        <f>IF(B78="","",VLOOKUP(Sayfa1!AD11,Varsayımlar!B:S,18,0))</f>
        <v>0</v>
      </c>
      <c r="AD78" s="57" t="str">
        <f>IF(B78="","",CONCATENATE(B78,E78))</f>
        <v>EyalDurum 30cm sade 18 li 1620g</v>
      </c>
    </row>
    <row r="79" spans="1:30" ht="31.5" customHeight="1" x14ac:dyDescent="0.25">
      <c r="A79" s="8" t="s">
        <v>83</v>
      </c>
      <c r="B79" s="64" t="s">
        <v>335</v>
      </c>
      <c r="C79" s="3">
        <f>IF(B79="","",VLOOKUP(AD79,Varsayımlar!$B:$Q,3,0))</f>
        <v>8698829380698</v>
      </c>
      <c r="D79" s="3"/>
      <c r="E79" s="64" t="s">
        <v>299</v>
      </c>
      <c r="F79" s="64"/>
      <c r="G79" s="3"/>
      <c r="H79" s="64" t="str">
        <f>IF(B79="","",VLOOKUP(AD79,Varsayımlar!$B:$Q,5,0))</f>
        <v>Lazeza 30cm</v>
      </c>
      <c r="I79" s="64">
        <f>IF(B79="","",VLOOKUP(AD79,Varsayımlar!B:T,19,0))</f>
        <v>0</v>
      </c>
      <c r="J79" s="64" t="str">
        <f>IF(B79="","",VLOOKUP(AD79,Varsayımlar!$B:$Q,6,0))</f>
        <v>SADE</v>
      </c>
      <c r="K79" s="64">
        <v>1700</v>
      </c>
      <c r="L79" s="64"/>
      <c r="M79" s="64" t="str">
        <f>IFERROR(IF(B79="","",K79/VLOOKUP(AD79,Varsayımlar!B:R,17,0)),"")</f>
        <v/>
      </c>
      <c r="N79" s="64"/>
      <c r="O79" s="64">
        <v>27</v>
      </c>
      <c r="P79" s="64">
        <f>IF(B79="","",VLOOKUP(AD79,Varsayımlar!$B:$Q,7,0)*K79)</f>
        <v>30600</v>
      </c>
      <c r="Q79" s="64">
        <f>IF(B79="","",VLOOKUP(AD79,Varsayımlar!$B:$Q,8,0))</f>
        <v>30</v>
      </c>
      <c r="R79" s="64" t="str">
        <f>IF(B79="","",VLOOKUP(AD79,Varsayımlar!$B:$Q,9,0))</f>
        <v>Irak Soft</v>
      </c>
      <c r="S79" s="64">
        <f>IF(B79="","",VLOOKUP(AD79,Varsayımlar!$B:$Q,10,0))</f>
        <v>6</v>
      </c>
      <c r="T79" s="64">
        <f>IF(B79="","",VLOOKUP(AD79,Varsayımlar!$B:$Q,11,0))</f>
        <v>18</v>
      </c>
      <c r="U79" s="64">
        <f>IF(B79="","",VLOOKUP(AD79,Varsayımlar!$B:$Q,12,0))</f>
        <v>510</v>
      </c>
      <c r="V79" s="64" t="str">
        <f>IF(B79="","",VLOOKUP(AD79,Varsayımlar!$B:$Q,13,0))</f>
        <v>Yurtdışı</v>
      </c>
      <c r="W79" s="64">
        <f>IF(B79="","",VLOOKUP(AD79,Varsayımlar!$B:$Q,14,0))</f>
        <v>6</v>
      </c>
      <c r="X79" s="66"/>
      <c r="Y79" s="66"/>
      <c r="Z79" s="64"/>
      <c r="AA79" s="64" t="str">
        <f>IF(B79="","",VLOOKUP(AD79,Varsayımlar!$B:$Q,15,0))</f>
        <v>Lazeza Kolisi</v>
      </c>
      <c r="AB79" s="64" t="str">
        <f>IF(B79="","",VLOOKUP(AD79,Varsayımlar!$B:$Q,16,0))</f>
        <v>29-31 cm</v>
      </c>
      <c r="AC79" s="64" t="str">
        <f>IF(B79="","",VLOOKUP(Sayfa1!AD79,Varsayımlar!B:S,18,0))</f>
        <v>80x120cm -Epal+Epal</v>
      </c>
      <c r="AD79" s="57" t="str">
        <f t="shared" ref="AD79" si="6">IF(B79="","",CONCATENATE(B79,E79))</f>
        <v>AjjawiLazeza 30 cm 6pcs 510g</v>
      </c>
    </row>
    <row r="80" spans="1:30" ht="31.5" x14ac:dyDescent="0.25">
      <c r="A80" s="8" t="s">
        <v>78</v>
      </c>
      <c r="B80" s="54" t="s">
        <v>321</v>
      </c>
      <c r="C80" s="39">
        <f>IF(B80="","",VLOOKUP(AD80,Varsayımlar!$B:$Q,3,0))</f>
        <v>8698829380698</v>
      </c>
      <c r="D80" s="39"/>
      <c r="E80" s="54" t="s">
        <v>329</v>
      </c>
      <c r="F80" s="54"/>
      <c r="G80" s="54"/>
      <c r="H80" s="54" t="str">
        <f>IF(B80="","",VLOOKUP(AD80,Varsayımlar!$B:$Q,5,0))</f>
        <v>Baskısız 15 cm</v>
      </c>
      <c r="I80" s="54" t="str">
        <f>IF(B80="","",VLOOKUP(AD80,Varsayımlar!B:T,19,0))</f>
        <v>Lana 15cm 8pcs 220g Yuvarlak</v>
      </c>
      <c r="J80" s="54" t="str">
        <f>IF(B80="","",VLOOKUP(AD80,Varsayımlar!$B:$Q,6,0))</f>
        <v>SADE</v>
      </c>
      <c r="K80" s="54">
        <v>250</v>
      </c>
      <c r="L80" s="54">
        <v>9</v>
      </c>
      <c r="M80" s="54" t="str">
        <f>IFERROR(IF(B80="","",K80/VLOOKUP(AD80,Varsayımlar!B:R,17,0)),"")</f>
        <v/>
      </c>
      <c r="N80" s="54"/>
      <c r="O80" s="54">
        <v>8</v>
      </c>
      <c r="P80" s="54">
        <f>IF(B80="","",VLOOKUP(AD80,Varsayımlar!$B:$Q,7,0)*K80)</f>
        <v>3500</v>
      </c>
      <c r="Q80" s="54">
        <f>IF(B80="","",VLOOKUP(AD80,Varsayımlar!$B:$Q,8,0))</f>
        <v>15</v>
      </c>
      <c r="R80" s="54" t="str">
        <f>IF(B80="","",VLOOKUP(AD80,Varsayımlar!$B:$Q,9,0))</f>
        <v>Irak Soft</v>
      </c>
      <c r="S80" s="54">
        <f>IF(B80="","",VLOOKUP(AD80,Varsayımlar!$B:$Q,10,0))</f>
        <v>8</v>
      </c>
      <c r="T80" s="54">
        <f>IF(B80="","",VLOOKUP(AD80,Varsayımlar!$B:$Q,11,0))</f>
        <v>14</v>
      </c>
      <c r="U80" s="54">
        <f>IF(B80="","",VLOOKUP(AD80,Varsayımlar!$B:$Q,12,0))</f>
        <v>220</v>
      </c>
      <c r="V80" s="54" t="str">
        <f>IF(B80="","",VLOOKUP(AD80,Varsayımlar!$B:$Q,13,0))</f>
        <v>Yurtdışı</v>
      </c>
      <c r="W80" s="54">
        <f>IF(B80="","",VLOOKUP(AD80,Varsayımlar!$B:$Q,14,0))</f>
        <v>6</v>
      </c>
      <c r="X80" s="56">
        <v>46185</v>
      </c>
      <c r="Y80" s="56">
        <v>46368</v>
      </c>
      <c r="Z80" s="54">
        <v>26061215</v>
      </c>
      <c r="AA80" s="54" t="str">
        <f>IF(B80="","",VLOOKUP(AD80,Varsayımlar!$B:$Q,15,0))</f>
        <v>15cm koli</v>
      </c>
      <c r="AB80" s="54" t="str">
        <f>IF(B80="","",VLOOKUP(AD80,Varsayımlar!$B:$Q,16,0))</f>
        <v>24-26 cm (Inkjet ile Bilgiler Atılacak)</v>
      </c>
      <c r="AC80" s="64">
        <f>IF(B80="","",VLOOKUP(Sayfa1!AD75,Varsayımlar!B:S,18,0))</f>
        <v>0</v>
      </c>
      <c r="AD80" s="57" t="str">
        <f t="shared" ref="AD80:AD96" si="7">IF(B80="","",CONCATENATE(B80,E80))</f>
        <v>Gülbahar CompanyBaskısız 15cm Sade 8pcs 220g</v>
      </c>
    </row>
    <row r="81" spans="1:30" ht="26.25" customHeight="1" x14ac:dyDescent="0.25">
      <c r="A81" s="8" t="s">
        <v>79</v>
      </c>
      <c r="B81" s="67" t="s">
        <v>119</v>
      </c>
      <c r="C81" s="42">
        <v>8698829380698</v>
      </c>
      <c r="D81" s="42"/>
      <c r="E81" s="42" t="s">
        <v>120</v>
      </c>
      <c r="F81" s="67"/>
      <c r="G81" s="42"/>
      <c r="H81" s="67" t="s">
        <v>121</v>
      </c>
      <c r="I81" s="67">
        <v>0</v>
      </c>
      <c r="J81" s="67" t="s">
        <v>19</v>
      </c>
      <c r="K81" s="67">
        <v>4000</v>
      </c>
      <c r="L81" s="67"/>
      <c r="M81" s="67">
        <v>80</v>
      </c>
      <c r="N81" s="67">
        <v>50</v>
      </c>
      <c r="O81" s="67">
        <v>145</v>
      </c>
      <c r="P81" s="67">
        <v>48000</v>
      </c>
      <c r="Q81" s="67">
        <v>25</v>
      </c>
      <c r="R81" s="67" t="s">
        <v>116</v>
      </c>
      <c r="S81" s="67">
        <v>12</v>
      </c>
      <c r="T81" s="67">
        <v>12</v>
      </c>
      <c r="U81" s="67">
        <v>840</v>
      </c>
      <c r="V81" s="67" t="s">
        <v>72</v>
      </c>
      <c r="W81" s="67">
        <v>5</v>
      </c>
      <c r="X81" s="69" t="s">
        <v>113</v>
      </c>
      <c r="Y81" s="69" t="s">
        <v>113</v>
      </c>
      <c r="Z81" s="67" t="s">
        <v>113</v>
      </c>
      <c r="AA81" s="67" t="s">
        <v>122</v>
      </c>
      <c r="AB81" s="67" t="s">
        <v>25</v>
      </c>
      <c r="AC81" s="67">
        <v>0</v>
      </c>
      <c r="AD81" s="57" t="s">
        <v>387</v>
      </c>
    </row>
    <row r="82" spans="1:30" ht="47.25" x14ac:dyDescent="0.25">
      <c r="A82" s="8" t="s">
        <v>80</v>
      </c>
      <c r="B82" s="67" t="s">
        <v>268</v>
      </c>
      <c r="C82" s="42">
        <f>IF(B82="","",VLOOKUP(AD82,Varsayımlar!$B:$Q,3,0))</f>
        <v>8698829380698</v>
      </c>
      <c r="D82" s="42" t="s">
        <v>159</v>
      </c>
      <c r="E82" s="42" t="s">
        <v>244</v>
      </c>
      <c r="F82" s="67">
        <v>20250825</v>
      </c>
      <c r="G82" s="42" t="s">
        <v>68</v>
      </c>
      <c r="H82" s="67" t="str">
        <f>IF(B82="","",VLOOKUP(AD82,Varsayımlar!$B:$Q,5,0))</f>
        <v xml:space="preserve">Tortillas Pizza 26cm </v>
      </c>
      <c r="I82" s="67">
        <f>IF(B82="","",VLOOKUP(AD82,Varsayımlar!B:T,19,0))</f>
        <v>0</v>
      </c>
      <c r="J82" s="67" t="str">
        <f>IF(B82="","",VLOOKUP(AD82,Varsayımlar!$B:$Q,6,0))</f>
        <v>SADE</v>
      </c>
      <c r="K82" s="67">
        <v>960</v>
      </c>
      <c r="L82" s="67"/>
      <c r="M82" s="67">
        <f>IFERROR(IF(B82="","",K82/VLOOKUP(AD82,Varsayımlar!B:R,17,0)),"")</f>
        <v>5</v>
      </c>
      <c r="N82" s="67"/>
      <c r="O82" s="67">
        <v>11</v>
      </c>
      <c r="P82" s="67">
        <f>IF(B82="","",VLOOKUP(AD82,Varsayımlar!$B:$Q,7,0)*K82)</f>
        <v>11520</v>
      </c>
      <c r="Q82" s="67">
        <f>IF(B82="","",VLOOKUP(AD82,Varsayımlar!$B:$Q,8,0))</f>
        <v>26</v>
      </c>
      <c r="R82" s="67" t="str">
        <f>IF(B82="","",VLOOKUP(AD82,Varsayımlar!$B:$Q,9,0))</f>
        <v>Soft-PA3</v>
      </c>
      <c r="S82" s="67">
        <f>IF(B82="","",VLOOKUP(AD82,Varsayımlar!$B:$Q,10,0))</f>
        <v>2</v>
      </c>
      <c r="T82" s="67">
        <f>IF(B82="","",VLOOKUP(AD82,Varsayımlar!$B:$Q,11,0))</f>
        <v>12</v>
      </c>
      <c r="U82" s="67">
        <f>IF(B82="","",VLOOKUP(AD82,Varsayımlar!$B:$Q,12,0))</f>
        <v>240</v>
      </c>
      <c r="V82" s="67" t="str">
        <f>IF(B82="","",VLOOKUP(AD82,Varsayımlar!$B:$Q,13,0))</f>
        <v>Yurtdışı</v>
      </c>
      <c r="W82" s="67">
        <f>IF(B82="","",VLOOKUP(AD82,Varsayımlar!$B:$Q,14,0))</f>
        <v>9</v>
      </c>
      <c r="X82" s="69">
        <v>46199</v>
      </c>
      <c r="Y82" s="69">
        <v>46472</v>
      </c>
      <c r="Z82" s="67">
        <v>26062626</v>
      </c>
      <c r="AA82" s="67" t="str">
        <f>IF(B82="","",VLOOKUP(AD82,Varsayımlar!$B:$Q,15,0))</f>
        <v>26 cm pizza kolisi-Etiketli</v>
      </c>
      <c r="AB82" s="67" t="str">
        <f>IF(B82="","",VLOOKUP(AD82,Varsayımlar!$B:$Q,16,0))</f>
        <v>24-26 cm (Macca Hetto Inkjet Uzun Tarih)</v>
      </c>
      <c r="AC82" s="67" t="e">
        <f>IF(B82="","",VLOOKUP(Sayfa1!AD83,Varsayımlar!B:S,18,0))</f>
        <v>#N/A</v>
      </c>
      <c r="AD82" s="57" t="str">
        <f>IF(B82="","",CONCATENATE(B82,E82))</f>
        <v>LAIKYUZHN-BELARUSTortillas Pizza 26cm 4pcs 480g</v>
      </c>
    </row>
    <row r="83" spans="1:30" ht="94.5" x14ac:dyDescent="0.25">
      <c r="A83" s="8" t="s">
        <v>81</v>
      </c>
      <c r="B83" s="62" t="s">
        <v>181</v>
      </c>
      <c r="C83" s="32">
        <f>IF(B83="","",VLOOKUP(AD83,Varsayımlar!$B:$Q,3,0))</f>
        <v>8698829380698</v>
      </c>
      <c r="D83" s="32"/>
      <c r="E83" s="62" t="s">
        <v>206</v>
      </c>
      <c r="F83" s="62">
        <v>26060101</v>
      </c>
      <c r="G83" s="32"/>
      <c r="H83" s="62" t="str">
        <f>IF(B83="","",VLOOKUP(AD83,Varsayımlar!$B:$Q,5,0))</f>
        <v>Pizza-6 26 cm</v>
      </c>
      <c r="I83" s="62" t="str">
        <f>IF(B83="","",VLOOKUP(AD83,Varsayımlar!B:T,19,0))</f>
        <v>Arka kısma Arnavutça içerik-Pizza 6</v>
      </c>
      <c r="J83" s="62" t="str">
        <f>IF(B83="","",VLOOKUP(AD83,Varsayımlar!$B:$Q,6,0))</f>
        <v>SADE</v>
      </c>
      <c r="K83" s="62">
        <v>120</v>
      </c>
      <c r="L83" s="62"/>
      <c r="M83" s="62">
        <f>IFERROR(IF(B83="","",K83/VLOOKUP(AD83,Varsayımlar!B:R,17,0)),"")</f>
        <v>1</v>
      </c>
      <c r="N83" s="62"/>
      <c r="O83" s="62">
        <v>2</v>
      </c>
      <c r="P83" s="62">
        <f>IF(B83="","",VLOOKUP(AD83,Varsayımlar!$B:$Q,7,0)*K83)</f>
        <v>720</v>
      </c>
      <c r="Q83" s="62">
        <f>IF(B83="","",VLOOKUP(AD83,Varsayımlar!$B:$Q,8,0))</f>
        <v>26</v>
      </c>
      <c r="R83" s="62" t="str">
        <f>IF(B83="","",VLOOKUP(AD83,Varsayımlar!$B:$Q,9,0))</f>
        <v>Irak Soft</v>
      </c>
      <c r="S83" s="62">
        <f>IF(B83="","",VLOOKUP(AD83,Varsayımlar!$B:$Q,10,0))</f>
        <v>4</v>
      </c>
      <c r="T83" s="62">
        <f>IF(B83="","",VLOOKUP(AD83,Varsayımlar!$B:$Q,11,0))</f>
        <v>6</v>
      </c>
      <c r="U83" s="62">
        <f>IF(B83="","",VLOOKUP(AD83,Varsayımlar!$B:$Q,12,0))</f>
        <v>480</v>
      </c>
      <c r="V83" s="62" t="str">
        <f>IF(B83="","",VLOOKUP(AD83,Varsayımlar!$B:$Q,13,0))</f>
        <v>YURTDIŞI</v>
      </c>
      <c r="W83" s="62">
        <f>IF(B83="","",VLOOKUP(AD83,Varsayımlar!$B:$Q,14,0))</f>
        <v>12</v>
      </c>
      <c r="X83" s="63">
        <v>46200</v>
      </c>
      <c r="Y83" s="63">
        <v>46565</v>
      </c>
      <c r="Z83" s="62">
        <v>26062726</v>
      </c>
      <c r="AA83" s="62" t="str">
        <f>IF(B83="","",VLOOKUP(AD83,Varsayımlar!$B:$Q,15,0))</f>
        <v>Pizza kolisi</v>
      </c>
      <c r="AB83" s="62" t="str">
        <f>IF(B83="","",VLOOKUP(AD83,Varsayımlar!$B:$Q,16,0))</f>
        <v>26 cm kesme -Beze 145-150g, Kesilmmeiş çap 27-28cm, Kesilmemiş ağı: 520-540g, Kesilmiş:475-485g</v>
      </c>
      <c r="AC83" s="62">
        <f>IF(B83="","",VLOOKUP(Sayfa1!AD84,Varsayımlar!B:S,18,0))</f>
        <v>0</v>
      </c>
      <c r="AD83" s="57" t="str">
        <f>IF(B83="","",CONCATENATE(B83,E83))</f>
        <v>ALDİ - KOSOVAPizza-6 26cm 4pcs 480g</v>
      </c>
    </row>
    <row r="84" spans="1:30" ht="94.5" x14ac:dyDescent="0.25">
      <c r="A84" s="8" t="s">
        <v>82</v>
      </c>
      <c r="B84" s="80" t="s">
        <v>218</v>
      </c>
      <c r="C84" s="44">
        <f>IF(B84="","",VLOOKUP(AD84,Varsayımlar!$B:$Q,3,0))</f>
        <v>8698829380698</v>
      </c>
      <c r="D84" s="44" t="s">
        <v>160</v>
      </c>
      <c r="E84" s="80" t="s">
        <v>244</v>
      </c>
      <c r="F84" s="80">
        <v>26042907</v>
      </c>
      <c r="G84" s="44"/>
      <c r="H84" s="80" t="str">
        <f>IF(B84="","",VLOOKUP(AD84,Varsayımlar!$B:$Q,5,0))</f>
        <v>Tortillas Avrupa Pizza 26cm (742)</v>
      </c>
      <c r="I84" s="80">
        <f>IF(B84="","",VLOOKUP(AD84,Varsayımlar!B:T,19,0))</f>
        <v>0</v>
      </c>
      <c r="J84" s="80" t="str">
        <f>IF(B84="","",VLOOKUP(AD84,Varsayımlar!$B:$Q,6,0))</f>
        <v>SADE</v>
      </c>
      <c r="K84" s="80">
        <v>720</v>
      </c>
      <c r="L84" s="80"/>
      <c r="M84" s="80">
        <f>IFERROR(IF(B84="","",K84/VLOOKUP(AD84,Varsayımlar!B:R,17,0)),"")</f>
        <v>6</v>
      </c>
      <c r="N84" s="80"/>
      <c r="O84" s="80">
        <v>9</v>
      </c>
      <c r="P84" s="80">
        <f>IF(B84="","",VLOOKUP(AD84,Varsayımlar!$B:$Q,7,0)*K84)</f>
        <v>5760</v>
      </c>
      <c r="Q84" s="80">
        <f>IF(B84="","",VLOOKUP(AD84,Varsayımlar!$B:$Q,8,0))</f>
        <v>26</v>
      </c>
      <c r="R84" s="80" t="str">
        <f>IF(B84="","",VLOOKUP(AD84,Varsayımlar!$B:$Q,9,0))</f>
        <v>Irak Soft</v>
      </c>
      <c r="S84" s="80">
        <f>IF(B84="","",VLOOKUP(AD84,Varsayımlar!$B:$Q,10,0))</f>
        <v>4</v>
      </c>
      <c r="T84" s="80">
        <f>IF(B84="","",VLOOKUP(AD84,Varsayımlar!$B:$Q,11,0))</f>
        <v>8</v>
      </c>
      <c r="U84" s="80">
        <f>IF(B84="","",VLOOKUP(AD84,Varsayımlar!$B:$Q,12,0))</f>
        <v>480</v>
      </c>
      <c r="V84" s="80" t="str">
        <f>IF(B84="","",VLOOKUP(AD84,Varsayımlar!$B:$Q,13,0))</f>
        <v>Yurtdışı</v>
      </c>
      <c r="W84" s="80">
        <f>IF(B84="","",VLOOKUP(AD84,Varsayımlar!$B:$Q,14,0))</f>
        <v>9</v>
      </c>
      <c r="X84" s="81">
        <v>46203</v>
      </c>
      <c r="Y84" s="81">
        <v>46476</v>
      </c>
      <c r="Z84" s="80">
        <v>26063026</v>
      </c>
      <c r="AA84" s="80" t="str">
        <f>IF(B84="","",VLOOKUP(AD84,Varsayımlar!$B:$Q,15,0))</f>
        <v>26cm Pizza Perforeli-Bulgarca Etiket</v>
      </c>
      <c r="AB84" s="80" t="str">
        <f>IF(B84="","",VLOOKUP(AD84,Varsayımlar!$B:$Q,16,0))</f>
        <v>26 cm kesme -Beze 145-150g, Kesilmmeiş çap 27-28cm, Kesilmemiş ağı: 520-540g, Kesilmiş:475-485g</v>
      </c>
      <c r="AC84" s="80" t="str">
        <f>IF(B84="","",VLOOKUP(Sayfa1!AD80,Varsayımlar!B:S,18,0))</f>
        <v>80x120cm -Epal+Epal</v>
      </c>
      <c r="AD84" s="57" t="str">
        <f t="shared" si="7"/>
        <v>TASTE LAND-BULGARİSTANTortillas Pizza 26cm 4pcs 480g</v>
      </c>
    </row>
    <row r="85" spans="1:30" ht="47.25" x14ac:dyDescent="0.25">
      <c r="A85" s="8" t="s">
        <v>83</v>
      </c>
      <c r="B85" s="54" t="s">
        <v>268</v>
      </c>
      <c r="C85" s="39">
        <f>IF(B85="","",VLOOKUP(AD85,Varsayımlar!$B:$Q,3,0))</f>
        <v>8698829380698</v>
      </c>
      <c r="D85" s="39" t="s">
        <v>160</v>
      </c>
      <c r="E85" s="39" t="s">
        <v>244</v>
      </c>
      <c r="F85" s="54" t="s">
        <v>343</v>
      </c>
      <c r="G85" s="39" t="s">
        <v>68</v>
      </c>
      <c r="H85" s="54" t="str">
        <f>IF(B85="","",VLOOKUP(AD85,Varsayımlar!$B:$Q,5,0))</f>
        <v xml:space="preserve">Tortillas Pizza 26cm </v>
      </c>
      <c r="I85" s="54">
        <f>IF(B85="","",VLOOKUP(AD85,Varsayımlar!B:T,19,0))</f>
        <v>0</v>
      </c>
      <c r="J85" s="54" t="str">
        <f>IF(B85="","",VLOOKUP(AD85,Varsayımlar!$B:$Q,6,0))</f>
        <v>SADE</v>
      </c>
      <c r="K85" s="54">
        <v>768</v>
      </c>
      <c r="L85" s="54"/>
      <c r="M85" s="54">
        <f>IFERROR(IF(B85="","",K85/VLOOKUP(AD85,Varsayımlar!B:R,17,0)),"")</f>
        <v>4</v>
      </c>
      <c r="N85" s="54"/>
      <c r="O85" s="54">
        <v>9</v>
      </c>
      <c r="P85" s="54">
        <f>IF(B85="","",VLOOKUP(AD85,Varsayımlar!$B:$Q,7,0)*K85)</f>
        <v>9216</v>
      </c>
      <c r="Q85" s="54">
        <f>IF(B85="","",VLOOKUP(AD85,Varsayımlar!$B:$Q,8,0))</f>
        <v>26</v>
      </c>
      <c r="R85" s="54" t="str">
        <f>IF(B85="","",VLOOKUP(AD85,Varsayımlar!$B:$Q,9,0))</f>
        <v>Soft-PA3</v>
      </c>
      <c r="S85" s="54">
        <f>IF(B85="","",VLOOKUP(AD85,Varsayımlar!$B:$Q,10,0))</f>
        <v>2</v>
      </c>
      <c r="T85" s="54">
        <f>IF(B85="","",VLOOKUP(AD85,Varsayımlar!$B:$Q,11,0))</f>
        <v>12</v>
      </c>
      <c r="U85" s="54">
        <f>IF(B85="","",VLOOKUP(AD85,Varsayımlar!$B:$Q,12,0))</f>
        <v>240</v>
      </c>
      <c r="V85" s="54" t="str">
        <f>IF(B85="","",VLOOKUP(AD85,Varsayımlar!$B:$Q,13,0))</f>
        <v>Yurtdışı</v>
      </c>
      <c r="W85" s="54">
        <f>IF(B85="","",VLOOKUP(AD85,Varsayımlar!$B:$Q,14,0))</f>
        <v>9</v>
      </c>
      <c r="X85" s="56">
        <v>46205</v>
      </c>
      <c r="Y85" s="56">
        <v>46479</v>
      </c>
      <c r="Z85" s="54">
        <v>26070226</v>
      </c>
      <c r="AA85" s="54" t="str">
        <f>IF(B85="","",VLOOKUP(AD85,Varsayımlar!$B:$Q,15,0))</f>
        <v>26 cm pizza kolisi-Etiketli</v>
      </c>
      <c r="AB85" s="54" t="str">
        <f>IF(B85="","",VLOOKUP(AD85,Varsayımlar!$B:$Q,16,0))</f>
        <v>24-26 cm (Macca Hetto Inkjet Uzun Tarih)</v>
      </c>
      <c r="AC85" s="54" t="e">
        <f>IF(B85="","",VLOOKUP(Sayfa1!AD83,Varsayımlar!B:S,18,0))</f>
        <v>#N/A</v>
      </c>
      <c r="AD85" s="57" t="str">
        <f>IF(B85="","",CONCATENATE(B85,E85))</f>
        <v>LAIKYUZHN-BELARUSTortillas Pizza 26cm 4pcs 480g</v>
      </c>
    </row>
    <row r="86" spans="1:30" ht="94.5" x14ac:dyDescent="0.25">
      <c r="A86" s="8" t="s">
        <v>84</v>
      </c>
      <c r="B86" s="75" t="s">
        <v>218</v>
      </c>
      <c r="C86" s="43">
        <f>IF(B86="","",VLOOKUP(AD86,Varsayımlar!$B:$Q,3,0))</f>
        <v>8698829380698</v>
      </c>
      <c r="D86" s="43" t="s">
        <v>161</v>
      </c>
      <c r="E86" s="75" t="s">
        <v>244</v>
      </c>
      <c r="F86" s="75" t="s">
        <v>341</v>
      </c>
      <c r="G86" s="43"/>
      <c r="H86" s="75" t="str">
        <f>IF(B86="","",VLOOKUP(AD86,Varsayımlar!$B:$Q,5,0))</f>
        <v>Tortillas Avrupa Pizza 26cm (742)</v>
      </c>
      <c r="I86" s="75">
        <f>IF(B86="","",VLOOKUP(AD86,Varsayımlar!B:T,19,0))</f>
        <v>0</v>
      </c>
      <c r="J86" s="75" t="str">
        <f>IF(B86="","",VLOOKUP(AD86,Varsayımlar!$B:$Q,6,0))</f>
        <v>SADE</v>
      </c>
      <c r="K86" s="75">
        <v>840</v>
      </c>
      <c r="L86" s="75"/>
      <c r="M86" s="75">
        <f>IFERROR(IF(B86="","",K86/VLOOKUP(AD86,Varsayımlar!B:R,17,0)),"")</f>
        <v>7</v>
      </c>
      <c r="N86" s="75"/>
      <c r="O86" s="75">
        <v>11</v>
      </c>
      <c r="P86" s="75">
        <f>IF(B86="","",VLOOKUP(AD86,Varsayımlar!$B:$Q,7,0)*K86)</f>
        <v>6720</v>
      </c>
      <c r="Q86" s="75">
        <f>IF(B86="","",VLOOKUP(AD86,Varsayımlar!$B:$Q,8,0))</f>
        <v>26</v>
      </c>
      <c r="R86" s="75" t="str">
        <f>IF(B86="","",VLOOKUP(AD86,Varsayımlar!$B:$Q,9,0))</f>
        <v>Irak Soft</v>
      </c>
      <c r="S86" s="75">
        <f>IF(B86="","",VLOOKUP(AD86,Varsayımlar!$B:$Q,10,0))</f>
        <v>4</v>
      </c>
      <c r="T86" s="75">
        <f>IF(B86="","",VLOOKUP(AD86,Varsayımlar!$B:$Q,11,0))</f>
        <v>8</v>
      </c>
      <c r="U86" s="75">
        <f>IF(B86="","",VLOOKUP(AD86,Varsayımlar!$B:$Q,12,0))</f>
        <v>480</v>
      </c>
      <c r="V86" s="75" t="str">
        <f>IF(B86="","",VLOOKUP(AD86,Varsayımlar!$B:$Q,13,0))</f>
        <v>Yurtdışı</v>
      </c>
      <c r="W86" s="75">
        <f>IF(B86="","",VLOOKUP(AD86,Varsayımlar!$B:$Q,14,0))</f>
        <v>9</v>
      </c>
      <c r="X86" s="76"/>
      <c r="Y86" s="76"/>
      <c r="Z86" s="75"/>
      <c r="AA86" s="75" t="str">
        <f>IF(B86="","",VLOOKUP(AD86,Varsayımlar!$B:$Q,15,0))</f>
        <v>26cm Pizza Perforeli-Bulgarca Etiket</v>
      </c>
      <c r="AB86" s="75" t="str">
        <f>IF(B86="","",VLOOKUP(AD86,Varsayımlar!$B:$Q,16,0))</f>
        <v>26 cm kesme -Beze 145-150g, Kesilmmeiş çap 27-28cm, Kesilmemiş ağı: 520-540g, Kesilmiş:475-485g</v>
      </c>
      <c r="AC86" s="75" t="str">
        <f>IF(B86="","",VLOOKUP(Sayfa1!AD81,Varsayımlar!B:S,18,0))</f>
        <v>80x120cm -Epal+Epal</v>
      </c>
      <c r="AD86" s="57" t="str">
        <f t="shared" si="7"/>
        <v>TASTE LAND-BULGARİSTANTortillas Pizza 26cm 4pcs 480g</v>
      </c>
    </row>
    <row r="87" spans="1:30" x14ac:dyDescent="0.25">
      <c r="A87" s="8" t="s">
        <v>85</v>
      </c>
      <c r="B87" s="67"/>
      <c r="C87" s="42" t="str">
        <f>IF(B87="","",VLOOKUP(AD87,Varsayımlar!$B:$Q,3,0))</f>
        <v/>
      </c>
      <c r="D87" s="42"/>
      <c r="E87" s="42"/>
      <c r="F87" s="42"/>
      <c r="G87" s="42"/>
      <c r="H87" s="42" t="str">
        <f>IF(B87="","",VLOOKUP(AD87,Varsayımlar!$B:$Q,5,0))</f>
        <v/>
      </c>
      <c r="I87" s="42"/>
      <c r="J87" s="42" t="str">
        <f>IF(B87="","",VLOOKUP(AD87,Varsayımlar!$B:$Q,6,0))</f>
        <v/>
      </c>
      <c r="K87" s="42"/>
      <c r="L87" s="42"/>
      <c r="M87" s="42" t="str">
        <f>IFERROR(IF(B87="","",K87/VLOOKUP(AD87,Varsayımlar!B:R,17,0)),"")</f>
        <v/>
      </c>
      <c r="N87" s="42"/>
      <c r="O87" s="42"/>
      <c r="P87" s="42" t="str">
        <f>IF(B87="","",VLOOKUP(AD87,Varsayımlar!$B:$Q,7,0)*K87)</f>
        <v/>
      </c>
      <c r="Q87" s="42" t="str">
        <f>IF(B87="","",VLOOKUP(AD87,Varsayımlar!$B:$Q,8,0))</f>
        <v/>
      </c>
      <c r="R87" s="42" t="str">
        <f>IF(B87="","",VLOOKUP(AD87,Varsayımlar!$B:$Q,9,0))</f>
        <v/>
      </c>
      <c r="S87" s="42" t="str">
        <f>IF(B87="","",VLOOKUP(AD87,Varsayımlar!$B:$Q,10,0))</f>
        <v/>
      </c>
      <c r="T87" s="42" t="str">
        <f>IF(B87="","",VLOOKUP(AD87,Varsayımlar!$B:$Q,11,0))</f>
        <v/>
      </c>
      <c r="U87" s="42" t="str">
        <f>IF(B87="","",VLOOKUP(AD87,Varsayımlar!$B:$Q,12,0))</f>
        <v/>
      </c>
      <c r="V87" s="42" t="str">
        <f>IF(B87="","",VLOOKUP(AD87,Varsayımlar!$B:$Q,13,0))</f>
        <v/>
      </c>
      <c r="W87" s="67" t="str">
        <f>IF(B87="","",VLOOKUP(AD87,Varsayımlar!$B:$Q,14,0))</f>
        <v/>
      </c>
      <c r="X87" s="69"/>
      <c r="Y87" s="69"/>
      <c r="Z87" s="67"/>
      <c r="AA87" s="67" t="str">
        <f>IF(B87="","",VLOOKUP(AD87,Varsayımlar!$B:$Q,15,0))</f>
        <v/>
      </c>
      <c r="AB87" s="67" t="str">
        <f>IF(B87="","",VLOOKUP(AD87,Varsayımlar!$B:$Q,16,0))</f>
        <v/>
      </c>
      <c r="AC87" s="67"/>
      <c r="AD87" s="57" t="str">
        <f t="shared" si="7"/>
        <v/>
      </c>
    </row>
    <row r="88" spans="1:30" x14ac:dyDescent="0.25">
      <c r="A88" s="8" t="s">
        <v>86</v>
      </c>
      <c r="B88" s="67"/>
      <c r="C88" s="42" t="str">
        <f>IF(B88="","",VLOOKUP(AD88,Varsayımlar!$B:$Q,3,0))</f>
        <v/>
      </c>
      <c r="D88" s="42"/>
      <c r="E88" s="42"/>
      <c r="F88" s="42"/>
      <c r="G88" s="42"/>
      <c r="H88" s="42" t="str">
        <f>IF(B88="","",VLOOKUP(AD88,Varsayımlar!$B:$Q,5,0))</f>
        <v/>
      </c>
      <c r="I88" s="42"/>
      <c r="J88" s="42" t="str">
        <f>IF(B88="","",VLOOKUP(AD88,Varsayımlar!$B:$Q,6,0))</f>
        <v/>
      </c>
      <c r="K88" s="42"/>
      <c r="L88" s="42"/>
      <c r="M88" s="42" t="str">
        <f>IFERROR(IF(B88="","",K88/VLOOKUP(AD88,Varsayımlar!B:R,17,0)),"")</f>
        <v/>
      </c>
      <c r="N88" s="42"/>
      <c r="O88" s="42"/>
      <c r="P88" s="42" t="str">
        <f>IF(B88="","",VLOOKUP(AD88,Varsayımlar!$B:$Q,7,0)*K88)</f>
        <v/>
      </c>
      <c r="Q88" s="42" t="str">
        <f>IF(B88="","",VLOOKUP(AD88,Varsayımlar!$B:$Q,8,0))</f>
        <v/>
      </c>
      <c r="R88" s="42" t="str">
        <f>IF(B88="","",VLOOKUP(AD88,Varsayımlar!$B:$Q,9,0))</f>
        <v/>
      </c>
      <c r="S88" s="42" t="str">
        <f>IF(B88="","",VLOOKUP(AD88,Varsayımlar!$B:$Q,10,0))</f>
        <v/>
      </c>
      <c r="T88" s="42" t="str">
        <f>IF(B88="","",VLOOKUP(AD88,Varsayımlar!$B:$Q,11,0))</f>
        <v/>
      </c>
      <c r="U88" s="42" t="str">
        <f>IF(B88="","",VLOOKUP(AD88,Varsayımlar!$B:$Q,12,0))</f>
        <v/>
      </c>
      <c r="V88" s="42" t="str">
        <f>IF(B88="","",VLOOKUP(AD88,Varsayımlar!$B:$Q,13,0))</f>
        <v/>
      </c>
      <c r="W88" s="67" t="str">
        <f>IF(B88="","",VLOOKUP(AD88,Varsayımlar!$B:$Q,14,0))</f>
        <v/>
      </c>
      <c r="X88" s="69"/>
      <c r="Y88" s="69"/>
      <c r="Z88" s="67"/>
      <c r="AA88" s="67" t="str">
        <f>IF(B88="","",VLOOKUP(AD88,Varsayımlar!$B:$Q,15,0))</f>
        <v/>
      </c>
      <c r="AB88" s="67" t="str">
        <f>IF(B88="","",VLOOKUP(AD88,Varsayımlar!$B:$Q,16,0))</f>
        <v/>
      </c>
      <c r="AC88" s="67"/>
      <c r="AD88" s="57" t="str">
        <f t="shared" si="7"/>
        <v/>
      </c>
    </row>
    <row r="89" spans="1:30" x14ac:dyDescent="0.25">
      <c r="A89" s="8" t="s">
        <v>87</v>
      </c>
      <c r="B89" s="67"/>
      <c r="C89" s="42" t="str">
        <f>IF(B89="","",VLOOKUP(AD89,Varsayımlar!$B:$Q,3,0))</f>
        <v/>
      </c>
      <c r="D89" s="42"/>
      <c r="E89" s="42"/>
      <c r="F89" s="42"/>
      <c r="G89" s="42"/>
      <c r="H89" s="42" t="str">
        <f>IF(B89="","",VLOOKUP(AD89,Varsayımlar!$B:$Q,5,0))</f>
        <v/>
      </c>
      <c r="I89" s="42"/>
      <c r="J89" s="42" t="str">
        <f>IF(B89="","",VLOOKUP(AD89,Varsayımlar!$B:$Q,6,0))</f>
        <v/>
      </c>
      <c r="K89" s="42"/>
      <c r="L89" s="42"/>
      <c r="M89" s="42" t="str">
        <f>IFERROR(IF(B89="","",K89/VLOOKUP(AD89,Varsayımlar!B:R,17,0)),"")</f>
        <v/>
      </c>
      <c r="N89" s="42"/>
      <c r="O89" s="42"/>
      <c r="P89" s="42" t="str">
        <f>IF(B89="","",VLOOKUP(AD89,Varsayımlar!$B:$Q,7,0)*K89)</f>
        <v/>
      </c>
      <c r="Q89" s="42" t="str">
        <f>IF(B89="","",VLOOKUP(AD89,Varsayımlar!$B:$Q,8,0))</f>
        <v/>
      </c>
      <c r="R89" s="42" t="str">
        <f>IF(B89="","",VLOOKUP(AD89,Varsayımlar!$B:$Q,9,0))</f>
        <v/>
      </c>
      <c r="S89" s="42" t="str">
        <f>IF(B89="","",VLOOKUP(AD89,Varsayımlar!$B:$Q,10,0))</f>
        <v/>
      </c>
      <c r="T89" s="42" t="str">
        <f>IF(B89="","",VLOOKUP(AD89,Varsayımlar!$B:$Q,11,0))</f>
        <v/>
      </c>
      <c r="U89" s="42" t="str">
        <f>IF(B89="","",VLOOKUP(AD89,Varsayımlar!$B:$Q,12,0))</f>
        <v/>
      </c>
      <c r="V89" s="42" t="str">
        <f>IF(B89="","",VLOOKUP(AD89,Varsayımlar!$B:$Q,13,0))</f>
        <v/>
      </c>
      <c r="W89" s="67" t="str">
        <f>IF(B89="","",VLOOKUP(AD89,Varsayımlar!$B:$Q,14,0))</f>
        <v/>
      </c>
      <c r="X89" s="69"/>
      <c r="Y89" s="69"/>
      <c r="Z89" s="67"/>
      <c r="AA89" s="67" t="str">
        <f>IF(B89="","",VLOOKUP(AD89,Varsayımlar!$B:$Q,15,0))</f>
        <v/>
      </c>
      <c r="AB89" s="67" t="str">
        <f>IF(B89="","",VLOOKUP(AD89,Varsayımlar!$B:$Q,16,0))</f>
        <v/>
      </c>
      <c r="AC89" s="67"/>
      <c r="AD89" s="57" t="str">
        <f t="shared" si="7"/>
        <v/>
      </c>
    </row>
    <row r="90" spans="1:30" x14ac:dyDescent="0.25">
      <c r="A90" s="8" t="s">
        <v>88</v>
      </c>
      <c r="B90" s="67"/>
      <c r="C90" s="42" t="str">
        <f>IF(B90="","",VLOOKUP(AD90,Varsayımlar!$B:$Q,3,0))</f>
        <v/>
      </c>
      <c r="D90" s="42"/>
      <c r="E90" s="42"/>
      <c r="F90" s="42"/>
      <c r="G90" s="42"/>
      <c r="H90" s="42" t="str">
        <f>IF(B90="","",VLOOKUP(AD90,Varsayımlar!$B:$Q,5,0))</f>
        <v/>
      </c>
      <c r="I90" s="42"/>
      <c r="J90" s="42" t="str">
        <f>IF(B90="","",VLOOKUP(AD90,Varsayımlar!$B:$Q,6,0))</f>
        <v/>
      </c>
      <c r="K90" s="42"/>
      <c r="L90" s="42"/>
      <c r="M90" s="42" t="str">
        <f>IFERROR(IF(B90="","",K90/VLOOKUP(AD90,Varsayımlar!B:R,17,0)),"")</f>
        <v/>
      </c>
      <c r="N90" s="42"/>
      <c r="O90" s="42"/>
      <c r="P90" s="42" t="str">
        <f>IF(B90="","",VLOOKUP(AD90,Varsayımlar!$B:$Q,7,0)*K90)</f>
        <v/>
      </c>
      <c r="Q90" s="42" t="str">
        <f>IF(B90="","",VLOOKUP(AD90,Varsayımlar!$B:$Q,8,0))</f>
        <v/>
      </c>
      <c r="R90" s="42" t="str">
        <f>IF(B90="","",VLOOKUP(AD90,Varsayımlar!$B:$Q,9,0))</f>
        <v/>
      </c>
      <c r="S90" s="42" t="str">
        <f>IF(B90="","",VLOOKUP(AD90,Varsayımlar!$B:$Q,10,0))</f>
        <v/>
      </c>
      <c r="T90" s="42" t="str">
        <f>IF(B90="","",VLOOKUP(AD90,Varsayımlar!$B:$Q,11,0))</f>
        <v/>
      </c>
      <c r="U90" s="42" t="str">
        <f>IF(B90="","",VLOOKUP(AD90,Varsayımlar!$B:$Q,12,0))</f>
        <v/>
      </c>
      <c r="V90" s="42" t="str">
        <f>IF(B90="","",VLOOKUP(AD90,Varsayımlar!$B:$Q,13,0))</f>
        <v/>
      </c>
      <c r="W90" s="67" t="str">
        <f>IF(B90="","",VLOOKUP(AD90,Varsayımlar!$B:$Q,14,0))</f>
        <v/>
      </c>
      <c r="X90" s="69"/>
      <c r="Y90" s="69"/>
      <c r="Z90" s="67"/>
      <c r="AA90" s="67" t="str">
        <f>IF(B90="","",VLOOKUP(AD90,Varsayımlar!$B:$Q,15,0))</f>
        <v/>
      </c>
      <c r="AB90" s="67" t="str">
        <f>IF(B90="","",VLOOKUP(AD90,Varsayımlar!$B:$Q,16,0))</f>
        <v/>
      </c>
      <c r="AC90" s="67"/>
      <c r="AD90" s="57" t="str">
        <f t="shared" si="7"/>
        <v/>
      </c>
    </row>
    <row r="91" spans="1:30" x14ac:dyDescent="0.25">
      <c r="A91" s="8" t="s">
        <v>89</v>
      </c>
      <c r="B91" s="67"/>
      <c r="C91" s="42" t="str">
        <f>IF(B91="","",VLOOKUP(AD91,Varsayımlar!$B:$Q,3,0))</f>
        <v/>
      </c>
      <c r="D91" s="42"/>
      <c r="E91" s="42"/>
      <c r="F91" s="42"/>
      <c r="G91" s="42"/>
      <c r="H91" s="42" t="str">
        <f>IF(B91="","",VLOOKUP(AD91,Varsayımlar!$B:$Q,5,0))</f>
        <v/>
      </c>
      <c r="I91" s="42"/>
      <c r="J91" s="42" t="str">
        <f>IF(B91="","",VLOOKUP(AD91,Varsayımlar!$B:$Q,6,0))</f>
        <v/>
      </c>
      <c r="K91" s="42"/>
      <c r="L91" s="42"/>
      <c r="M91" s="42" t="str">
        <f>IFERROR(IF(B91="","",K91/VLOOKUP(AD91,Varsayımlar!B:R,17,0)),"")</f>
        <v/>
      </c>
      <c r="N91" s="42"/>
      <c r="O91" s="42"/>
      <c r="P91" s="42" t="str">
        <f>IF(B91="","",VLOOKUP(AD91,Varsayımlar!$B:$Q,7,0)*K91)</f>
        <v/>
      </c>
      <c r="Q91" s="42" t="str">
        <f>IF(B91="","",VLOOKUP(AD91,Varsayımlar!$B:$Q,8,0))</f>
        <v/>
      </c>
      <c r="R91" s="42" t="str">
        <f>IF(B91="","",VLOOKUP(AD91,Varsayımlar!$B:$Q,9,0))</f>
        <v/>
      </c>
      <c r="S91" s="42" t="str">
        <f>IF(B91="","",VLOOKUP(AD91,Varsayımlar!$B:$Q,10,0))</f>
        <v/>
      </c>
      <c r="T91" s="42" t="str">
        <f>IF(B91="","",VLOOKUP(AD91,Varsayımlar!$B:$Q,11,0))</f>
        <v/>
      </c>
      <c r="U91" s="42" t="str">
        <f>IF(B91="","",VLOOKUP(AD91,Varsayımlar!$B:$Q,12,0))</f>
        <v/>
      </c>
      <c r="V91" s="42" t="str">
        <f>IF(B91="","",VLOOKUP(AD91,Varsayımlar!$B:$Q,13,0))</f>
        <v/>
      </c>
      <c r="W91" s="67" t="str">
        <f>IF(B91="","",VLOOKUP(AD91,Varsayımlar!$B:$Q,14,0))</f>
        <v/>
      </c>
      <c r="X91" s="69"/>
      <c r="Y91" s="69"/>
      <c r="Z91" s="67"/>
      <c r="AA91" s="67" t="str">
        <f>IF(B91="","",VLOOKUP(AD91,Varsayımlar!$B:$Q,15,0))</f>
        <v/>
      </c>
      <c r="AB91" s="67" t="str">
        <f>IF(B91="","",VLOOKUP(AD91,Varsayımlar!$B:$Q,16,0))</f>
        <v/>
      </c>
      <c r="AC91" s="67"/>
      <c r="AD91" s="57" t="str">
        <f t="shared" si="7"/>
        <v/>
      </c>
    </row>
    <row r="92" spans="1:30" x14ac:dyDescent="0.25">
      <c r="A92" s="8" t="s">
        <v>90</v>
      </c>
      <c r="B92" s="67"/>
      <c r="C92" s="42" t="str">
        <f>IF(B92="","",VLOOKUP(AD92,Varsayımlar!$B:$Q,3,0))</f>
        <v/>
      </c>
      <c r="D92" s="42"/>
      <c r="E92" s="42"/>
      <c r="F92" s="42"/>
      <c r="G92" s="42"/>
      <c r="H92" s="42" t="str">
        <f>IF(B92="","",VLOOKUP(AD92,Varsayımlar!$B:$Q,5,0))</f>
        <v/>
      </c>
      <c r="I92" s="42"/>
      <c r="J92" s="42" t="str">
        <f>IF(B92="","",VLOOKUP(AD92,Varsayımlar!$B:$Q,6,0))</f>
        <v/>
      </c>
      <c r="K92" s="42"/>
      <c r="L92" s="42"/>
      <c r="M92" s="42" t="str">
        <f>IFERROR(IF(B92="","",K92/VLOOKUP(AD92,Varsayımlar!B:R,17,0)),"")</f>
        <v/>
      </c>
      <c r="N92" s="42"/>
      <c r="O92" s="42"/>
      <c r="P92" s="42" t="str">
        <f>IF(B92="","",VLOOKUP(AD92,Varsayımlar!$B:$Q,7,0)*K92)</f>
        <v/>
      </c>
      <c r="Q92" s="42" t="str">
        <f>IF(B92="","",VLOOKUP(AD92,Varsayımlar!$B:$Q,8,0))</f>
        <v/>
      </c>
      <c r="R92" s="42" t="str">
        <f>IF(B92="","",VLOOKUP(AD92,Varsayımlar!$B:$Q,9,0))</f>
        <v/>
      </c>
      <c r="S92" s="42" t="str">
        <f>IF(B92="","",VLOOKUP(AD92,Varsayımlar!$B:$Q,10,0))</f>
        <v/>
      </c>
      <c r="T92" s="42" t="str">
        <f>IF(B92="","",VLOOKUP(AD92,Varsayımlar!$B:$Q,11,0))</f>
        <v/>
      </c>
      <c r="U92" s="42" t="str">
        <f>IF(B92="","",VLOOKUP(AD92,Varsayımlar!$B:$Q,12,0))</f>
        <v/>
      </c>
      <c r="V92" s="42" t="str">
        <f>IF(B92="","",VLOOKUP(AD92,Varsayımlar!$B:$Q,13,0))</f>
        <v/>
      </c>
      <c r="W92" s="67" t="str">
        <f>IF(B92="","",VLOOKUP(AD92,Varsayımlar!$B:$Q,14,0))</f>
        <v/>
      </c>
      <c r="X92" s="69"/>
      <c r="Y92" s="69"/>
      <c r="Z92" s="67"/>
      <c r="AA92" s="67" t="str">
        <f>IF(B92="","",VLOOKUP(AD92,Varsayımlar!$B:$Q,15,0))</f>
        <v/>
      </c>
      <c r="AB92" s="67" t="str">
        <f>IF(B92="","",VLOOKUP(AD92,Varsayımlar!$B:$Q,16,0))</f>
        <v/>
      </c>
      <c r="AC92" s="67"/>
      <c r="AD92" s="57" t="str">
        <f t="shared" si="7"/>
        <v/>
      </c>
    </row>
    <row r="93" spans="1:30" x14ac:dyDescent="0.25">
      <c r="A93" s="8" t="s">
        <v>91</v>
      </c>
      <c r="B93" s="67"/>
      <c r="C93" s="42" t="str">
        <f>IF(B93="","",VLOOKUP(AD93,Varsayımlar!$B:$Q,3,0))</f>
        <v/>
      </c>
      <c r="D93" s="42"/>
      <c r="E93" s="42"/>
      <c r="F93" s="42"/>
      <c r="G93" s="42"/>
      <c r="H93" s="42" t="str">
        <f>IF(B93="","",VLOOKUP(AD93,Varsayımlar!$B:$Q,5,0))</f>
        <v/>
      </c>
      <c r="I93" s="42"/>
      <c r="J93" s="42" t="str">
        <f>IF(B93="","",VLOOKUP(AD93,Varsayımlar!$B:$Q,6,0))</f>
        <v/>
      </c>
      <c r="K93" s="42"/>
      <c r="L93" s="42"/>
      <c r="M93" s="42" t="str">
        <f>IFERROR(IF(B93="","",K93/VLOOKUP(AD93,Varsayımlar!B:R,17,0)),"")</f>
        <v/>
      </c>
      <c r="N93" s="42"/>
      <c r="O93" s="42"/>
      <c r="P93" s="42" t="str">
        <f>IF(B93="","",VLOOKUP(AD93,Varsayımlar!$B:$Q,7,0)*K93)</f>
        <v/>
      </c>
      <c r="Q93" s="42" t="str">
        <f>IF(B93="","",VLOOKUP(AD93,Varsayımlar!$B:$Q,8,0))</f>
        <v/>
      </c>
      <c r="R93" s="42" t="str">
        <f>IF(B93="","",VLOOKUP(AD93,Varsayımlar!$B:$Q,9,0))</f>
        <v/>
      </c>
      <c r="S93" s="42" t="str">
        <f>IF(B93="","",VLOOKUP(AD93,Varsayımlar!$B:$Q,10,0))</f>
        <v/>
      </c>
      <c r="T93" s="42" t="str">
        <f>IF(B93="","",VLOOKUP(AD93,Varsayımlar!$B:$Q,11,0))</f>
        <v/>
      </c>
      <c r="U93" s="42" t="str">
        <f>IF(B93="","",VLOOKUP(AD93,Varsayımlar!$B:$Q,12,0))</f>
        <v/>
      </c>
      <c r="V93" s="42" t="str">
        <f>IF(B93="","",VLOOKUP(AD93,Varsayımlar!$B:$Q,13,0))</f>
        <v/>
      </c>
      <c r="W93" s="67" t="str">
        <f>IF(B93="","",VLOOKUP(AD93,Varsayımlar!$B:$Q,14,0))</f>
        <v/>
      </c>
      <c r="X93" s="69"/>
      <c r="Y93" s="69"/>
      <c r="Z93" s="67"/>
      <c r="AA93" s="67" t="str">
        <f>IF(B93="","",VLOOKUP(AD93,Varsayımlar!$B:$Q,15,0))</f>
        <v/>
      </c>
      <c r="AB93" s="67" t="str">
        <f>IF(B93="","",VLOOKUP(AD93,Varsayımlar!$B:$Q,16,0))</f>
        <v/>
      </c>
      <c r="AC93" s="67"/>
      <c r="AD93" s="57" t="str">
        <f t="shared" si="7"/>
        <v/>
      </c>
    </row>
    <row r="94" spans="1:30" x14ac:dyDescent="0.25">
      <c r="A94" s="8" t="s">
        <v>92</v>
      </c>
      <c r="B94" s="67"/>
      <c r="C94" s="42" t="str">
        <f>IF(B94="","",VLOOKUP(AD94,Varsayımlar!$B:$Q,3,0))</f>
        <v/>
      </c>
      <c r="D94" s="42"/>
      <c r="E94" s="42"/>
      <c r="F94" s="42"/>
      <c r="G94" s="42"/>
      <c r="H94" s="42" t="str">
        <f>IF(B94="","",VLOOKUP(AD94,Varsayımlar!$B:$Q,5,0))</f>
        <v/>
      </c>
      <c r="I94" s="42"/>
      <c r="J94" s="42" t="str">
        <f>IF(B94="","",VLOOKUP(AD94,Varsayımlar!$B:$Q,6,0))</f>
        <v/>
      </c>
      <c r="K94" s="42"/>
      <c r="L94" s="42"/>
      <c r="M94" s="42" t="str">
        <f>IFERROR(IF(B94="","",K94/VLOOKUP(AD94,Varsayımlar!B:R,17,0)),"")</f>
        <v/>
      </c>
      <c r="N94" s="42"/>
      <c r="O94" s="42"/>
      <c r="P94" s="42" t="str">
        <f>IF(B94="","",VLOOKUP(AD94,Varsayımlar!$B:$Q,7,0)*K94)</f>
        <v/>
      </c>
      <c r="Q94" s="42" t="str">
        <f>IF(B94="","",VLOOKUP(AD94,Varsayımlar!$B:$Q,8,0))</f>
        <v/>
      </c>
      <c r="R94" s="42" t="str">
        <f>IF(B94="","",VLOOKUP(AD94,Varsayımlar!$B:$Q,9,0))</f>
        <v/>
      </c>
      <c r="S94" s="42" t="str">
        <f>IF(B94="","",VLOOKUP(AD94,Varsayımlar!$B:$Q,10,0))</f>
        <v/>
      </c>
      <c r="T94" s="42" t="str">
        <f>IF(B94="","",VLOOKUP(AD94,Varsayımlar!$B:$Q,11,0))</f>
        <v/>
      </c>
      <c r="U94" s="42" t="str">
        <f>IF(B94="","",VLOOKUP(AD94,Varsayımlar!$B:$Q,12,0))</f>
        <v/>
      </c>
      <c r="V94" s="42" t="str">
        <f>IF(B94="","",VLOOKUP(AD94,Varsayımlar!$B:$Q,13,0))</f>
        <v/>
      </c>
      <c r="W94" s="67" t="str">
        <f>IF(B94="","",VLOOKUP(AD94,Varsayımlar!$B:$Q,14,0))</f>
        <v/>
      </c>
      <c r="X94" s="69"/>
      <c r="Y94" s="69"/>
      <c r="Z94" s="67"/>
      <c r="AA94" s="67" t="str">
        <f>IF(B94="","",VLOOKUP(AD94,Varsayımlar!$B:$Q,15,0))</f>
        <v/>
      </c>
      <c r="AB94" s="67" t="str">
        <f>IF(B94="","",VLOOKUP(AD94,Varsayımlar!$B:$Q,16,0))</f>
        <v/>
      </c>
      <c r="AC94" s="67"/>
      <c r="AD94" s="57" t="str">
        <f t="shared" si="7"/>
        <v/>
      </c>
    </row>
    <row r="95" spans="1:30" x14ac:dyDescent="0.25">
      <c r="B95" s="86"/>
      <c r="C95" s="87" t="str">
        <f>IF(B95="","",VLOOKUP(AD95,Varsayımlar!$B:$Q,3,0))</f>
        <v/>
      </c>
      <c r="D95" s="87"/>
      <c r="H95" s="57" t="str">
        <f>IF(B95="","",VLOOKUP(AD95,Varsayımlar!$B:$Q,5,0))</f>
        <v/>
      </c>
      <c r="I95" s="57"/>
      <c r="J95" s="57" t="str">
        <f>IF(B95="","",VLOOKUP(AD95,Varsayımlar!$B:$Q,6,0))</f>
        <v/>
      </c>
      <c r="P95" s="57" t="str">
        <f>IF(B95="","",VLOOKUP(AD95,Varsayımlar!$B:$Q,7,0)*K95)</f>
        <v/>
      </c>
      <c r="Q95" s="57" t="str">
        <f>IF(B95="","",VLOOKUP(AD95,Varsayımlar!$B:$Q,8,0))</f>
        <v/>
      </c>
      <c r="R95" s="57" t="str">
        <f>IF(B95="","",VLOOKUP(AD95,Varsayımlar!$B:$Q,9,0))</f>
        <v/>
      </c>
      <c r="S95" s="57" t="str">
        <f>IF(B95="","",VLOOKUP(AD95,Varsayımlar!$B:$Q,10,0))</f>
        <v/>
      </c>
      <c r="T95" s="57" t="str">
        <f>IF(B95="","",VLOOKUP(AD95,Varsayımlar!$B:$Q,11,0))</f>
        <v/>
      </c>
      <c r="U95" s="57" t="str">
        <f>IF(B95="","",VLOOKUP(AD95,Varsayımlar!$B:$Q,12,0))</f>
        <v/>
      </c>
      <c r="V95" s="57" t="str">
        <f>IF(B95="","",VLOOKUP(AD95,Varsayımlar!$B:$Q,13,0))</f>
        <v/>
      </c>
      <c r="W95" s="57" t="str">
        <f>IF(B95="","",VLOOKUP(AD95,Varsayımlar!$B:$Q,14,0))</f>
        <v/>
      </c>
      <c r="AA95" s="57" t="str">
        <f>IF(B95="","",VLOOKUP(AD95,Varsayımlar!$B:$Q,15,0))</f>
        <v/>
      </c>
      <c r="AB95" s="57" t="str">
        <f>IF(B95="","",VLOOKUP(AD95,Varsayımlar!$B:$Q,16,0))</f>
        <v/>
      </c>
      <c r="AC95" s="57" t="str">
        <f>IF(B95="","",VLOOKUP(Sayfa1!AD93,Varsayımlar!B:S,18,0))</f>
        <v/>
      </c>
      <c r="AD95" s="57" t="str">
        <f t="shared" si="7"/>
        <v/>
      </c>
    </row>
    <row r="96" spans="1:30" x14ac:dyDescent="0.25">
      <c r="C96" s="53" t="str">
        <f>IF(B96="","",VLOOKUP(AD96,Varsayımlar!$B:$Q,3,0))</f>
        <v/>
      </c>
      <c r="H96" s="7" t="str">
        <f>IF(B96="","",VLOOKUP(AD96,Varsayımlar!$B:$Q,5,0))</f>
        <v/>
      </c>
      <c r="J96" s="7" t="str">
        <f>IF(B96="","",VLOOKUP(AD96,Varsayımlar!$B:$Q,6,0))</f>
        <v/>
      </c>
      <c r="P96" s="7" t="str">
        <f>IF(B96="","",VLOOKUP(AD96,Varsayımlar!$B:$Q,7,0)*K96)</f>
        <v/>
      </c>
      <c r="Q96" s="7" t="str">
        <f>IF(B96="","",VLOOKUP(AD96,Varsayımlar!$B:$Q,8,0))</f>
        <v/>
      </c>
      <c r="R96" s="7" t="str">
        <f>IF(B96="","",VLOOKUP(AD96,Varsayımlar!$B:$Q,9,0))</f>
        <v/>
      </c>
      <c r="S96" s="7" t="str">
        <f>IF(B96="","",VLOOKUP(AD96,Varsayımlar!$B:$Q,10,0))</f>
        <v/>
      </c>
      <c r="T96" s="7" t="str">
        <f>IF(B96="","",VLOOKUP(AD96,Varsayımlar!$B:$Q,11,0))</f>
        <v/>
      </c>
      <c r="U96" s="7" t="str">
        <f>IF(B96="","",VLOOKUP(AD96,Varsayımlar!$B:$Q,12,0))</f>
        <v/>
      </c>
      <c r="V96" s="7" t="str">
        <f>IF(B96="","",VLOOKUP(AD96,Varsayımlar!$B:$Q,13,0))</f>
        <v/>
      </c>
      <c r="W96" s="7" t="str">
        <f>IF(B96="","",VLOOKUP(AD96,Varsayımlar!$B:$Q,14,0))</f>
        <v/>
      </c>
      <c r="AA96" s="7" t="str">
        <f>IF(B96="","",VLOOKUP(AD96,Varsayımlar!$B:$Q,15,0))</f>
        <v/>
      </c>
      <c r="AB96" s="7" t="str">
        <f>IF(B96="","",VLOOKUP(AD96,Varsayımlar!$B:$Q,16,0))</f>
        <v/>
      </c>
      <c r="AC96" s="7" t="str">
        <f>IF(B96="","",VLOOKUP(Sayfa1!AD94,Varsayımlar!B:S,18,0))</f>
        <v/>
      </c>
      <c r="AD96" s="7" t="str">
        <f t="shared" si="7"/>
        <v/>
      </c>
    </row>
  </sheetData>
  <mergeCells count="5">
    <mergeCell ref="A1:AC1"/>
    <mergeCell ref="A2:Z2"/>
    <mergeCell ref="AB2:AC2"/>
    <mergeCell ref="A48:AB48"/>
    <mergeCell ref="A73:AB7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4"/>
  <sheetViews>
    <sheetView topLeftCell="A60" zoomScale="70" zoomScaleNormal="70" workbookViewId="0">
      <selection activeCell="A73" sqref="A73:XFD73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28515625" style="53" customWidth="1"/>
    <col min="4" max="4" width="10.85546875" style="53" customWidth="1"/>
    <col min="5" max="5" width="42" style="53" customWidth="1"/>
    <col min="6" max="6" width="17.7109375" style="7" hidden="1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0.28515625" style="7" bestFit="1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7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46183</v>
      </c>
      <c r="AB2" s="185">
        <v>0.66666666666666663</v>
      </c>
      <c r="AC2" s="186"/>
    </row>
    <row r="3" spans="1:30" ht="63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47.25" x14ac:dyDescent="0.25">
      <c r="A4" s="8" t="s">
        <v>26</v>
      </c>
      <c r="B4" s="62" t="s">
        <v>218</v>
      </c>
      <c r="C4" s="32">
        <f>IF(B4="","",VLOOKUP(AD4,Varsayımlar!$B:$Q,3,0))</f>
        <v>8698829380698</v>
      </c>
      <c r="D4" s="32" t="s">
        <v>159</v>
      </c>
      <c r="E4" s="62" t="s">
        <v>235</v>
      </c>
      <c r="F4" s="62">
        <v>26042906</v>
      </c>
      <c r="G4" s="32"/>
      <c r="H4" s="62" t="str">
        <f>IF(B4="","",VLOOKUP(AD4,Varsayımlar!$B:$Q,5,0))</f>
        <v>Tortillas Avrupa 25cm Ispanaklı (081)</v>
      </c>
      <c r="I4" s="62">
        <f>IF(B4="","",VLOOKUP(AD4,Varsayımlar!B:T,19,0))</f>
        <v>0</v>
      </c>
      <c r="J4" s="62" t="str">
        <f>IF(B4="","",VLOOKUP(AD4,Varsayımlar!$B:$Q,6,0))</f>
        <v>Ispanaklı</v>
      </c>
      <c r="K4" s="62">
        <v>360</v>
      </c>
      <c r="L4" s="62">
        <v>4</v>
      </c>
      <c r="M4" s="62">
        <f>IFERROR(IF(B4="","",K4/VLOOKUP(AD4,Varsayımlar!B:R,17,0)),"")</f>
        <v>3</v>
      </c>
      <c r="N4" s="62"/>
      <c r="O4" s="62">
        <v>4</v>
      </c>
      <c r="P4" s="62">
        <f>IF(B4="","",VLOOKUP(AD4,Varsayımlar!$B:$Q,7,0)*K4)</f>
        <v>4320</v>
      </c>
      <c r="Q4" s="62">
        <f>IF(B4="","",VLOOKUP(AD4,Varsayımlar!$B:$Q,8,0))</f>
        <v>25</v>
      </c>
      <c r="R4" s="62" t="str">
        <f>IF(B4="","",VLOOKUP(AD4,Varsayımlar!$B:$Q,9,0))</f>
        <v>Irak Soft</v>
      </c>
      <c r="S4" s="62">
        <f>IF(B4="","",VLOOKUP(AD4,Varsayımlar!$B:$Q,10,0))</f>
        <v>6</v>
      </c>
      <c r="T4" s="62">
        <f>IF(B4="","",VLOOKUP(AD4,Varsayımlar!$B:$Q,11,0))</f>
        <v>12</v>
      </c>
      <c r="U4" s="62">
        <f>IF(B4="","",VLOOKUP(AD4,Varsayımlar!$B:$Q,12,0))</f>
        <v>390</v>
      </c>
      <c r="V4" s="62" t="str">
        <f>IF(B4="","",VLOOKUP(AD4,Varsayımlar!$B:$Q,13,0))</f>
        <v>Yurtdışı</v>
      </c>
      <c r="W4" s="62">
        <f>IF(B4="","",VLOOKUP(AD4,Varsayımlar!$B:$Q,14,0))</f>
        <v>9</v>
      </c>
      <c r="X4" s="63">
        <v>46183</v>
      </c>
      <c r="Y4" s="63">
        <v>46456</v>
      </c>
      <c r="Z4" s="62" t="s">
        <v>357</v>
      </c>
      <c r="AA4" s="62" t="str">
        <f>IF(B4="","",VLOOKUP(AD4,Varsayımlar!$B:$Q,15,0))</f>
        <v>25cm Perforeli-Bulgarca Ispanaklı etiket</v>
      </c>
      <c r="AB4" s="62" t="str">
        <f>IF(B4="","",VLOOKUP(AD4,Varsayımlar!$B:$Q,16,0))</f>
        <v>24-26 cm</v>
      </c>
      <c r="AC4" s="62" t="str">
        <f>IF(B4="","",VLOOKUP(Sayfa1!AD54,Varsayımlar!B:S,18,0))</f>
        <v>80x120cm -Epal+Epal</v>
      </c>
      <c r="AD4" s="57" t="str">
        <f t="shared" ref="AD4:AD47" si="0">IF(B4="","",CONCATENATE(B4,E4))</f>
        <v>TASTE LAND-BULGARİSTANTortillas 25cm Ispanaklı 6pcs 390g</v>
      </c>
    </row>
    <row r="5" spans="1:30" ht="47.25" x14ac:dyDescent="0.25">
      <c r="A5" s="8" t="s">
        <v>77</v>
      </c>
      <c r="B5" s="62" t="s">
        <v>218</v>
      </c>
      <c r="C5" s="32">
        <f>IF(B5="","",VLOOKUP(AD5,Varsayımlar!$B:$Q,3,0))</f>
        <v>8698829380698</v>
      </c>
      <c r="D5" s="32" t="s">
        <v>159</v>
      </c>
      <c r="E5" s="62" t="s">
        <v>240</v>
      </c>
      <c r="F5" s="62">
        <v>26042906</v>
      </c>
      <c r="G5" s="32"/>
      <c r="H5" s="62" t="str">
        <f>IF(B5="","",VLOOKUP(AD5,Varsayımlar!$B:$Q,5,0))</f>
        <v>Tortillas Avrupa 25cm Peynirli (098)</v>
      </c>
      <c r="I5" s="62">
        <f>IF(B5="","",VLOOKUP(AD5,Varsayımlar!B:T,19,0))</f>
        <v>0</v>
      </c>
      <c r="J5" s="62" t="str">
        <f>IF(B5="","",VLOOKUP(AD5,Varsayımlar!$B:$Q,6,0))</f>
        <v>Peynirli</v>
      </c>
      <c r="K5" s="62">
        <v>240</v>
      </c>
      <c r="L5" s="62">
        <v>4</v>
      </c>
      <c r="M5" s="62">
        <f>IFERROR(IF(B5="","",K5/VLOOKUP(AD5,Varsayımlar!B:R,17,0)),"")</f>
        <v>2</v>
      </c>
      <c r="N5" s="62"/>
      <c r="O5" s="62">
        <v>3</v>
      </c>
      <c r="P5" s="62">
        <f>IF(B5="","",VLOOKUP(AD5,Varsayımlar!$B:$Q,7,0)*K5)</f>
        <v>2880</v>
      </c>
      <c r="Q5" s="62">
        <f>IF(B5="","",VLOOKUP(AD5,Varsayımlar!$B:$Q,8,0))</f>
        <v>25</v>
      </c>
      <c r="R5" s="62" t="str">
        <f>IF(B5="","",VLOOKUP(AD5,Varsayımlar!$B:$Q,9,0))</f>
        <v>Irak Soft-AT</v>
      </c>
      <c r="S5" s="62">
        <f>IF(B5="","",VLOOKUP(AD5,Varsayımlar!$B:$Q,10,0))</f>
        <v>6</v>
      </c>
      <c r="T5" s="62">
        <f>IF(B5="","",VLOOKUP(AD5,Varsayımlar!$B:$Q,11,0))</f>
        <v>12</v>
      </c>
      <c r="U5" s="62">
        <f>IF(B5="","",VLOOKUP(AD5,Varsayımlar!$B:$Q,12,0))</f>
        <v>390</v>
      </c>
      <c r="V5" s="62" t="str">
        <f>IF(B5="","",VLOOKUP(AD5,Varsayımlar!$B:$Q,13,0))</f>
        <v>Yurtdışı</v>
      </c>
      <c r="W5" s="62">
        <f>IF(B5="","",VLOOKUP(AD5,Varsayımlar!$B:$Q,14,0))</f>
        <v>9</v>
      </c>
      <c r="X5" s="63">
        <v>46183</v>
      </c>
      <c r="Y5" s="63">
        <v>46456</v>
      </c>
      <c r="Z5" s="62" t="s">
        <v>358</v>
      </c>
      <c r="AA5" s="62" t="str">
        <f>IF(B5="","",VLOOKUP(AD5,Varsayımlar!$B:$Q,15,0))</f>
        <v>25cm Perforeli-Bulgarca Peynirli etiket</v>
      </c>
      <c r="AB5" s="62" t="str">
        <f>IF(B5="","",VLOOKUP(AD5,Varsayımlar!$B:$Q,16,0))</f>
        <v>24-26 cm</v>
      </c>
      <c r="AC5" s="62" t="str">
        <f>IF(B5="","",VLOOKUP(Sayfa1!AD55,Varsayımlar!B:S,18,0))</f>
        <v>80x120cm -Epal+Epal</v>
      </c>
      <c r="AD5" s="57" t="str">
        <f t="shared" si="0"/>
        <v>TASTE LAND-BULGARİSTANTortillas 25cm Peynirli 6pcs 390g</v>
      </c>
    </row>
    <row r="6" spans="1:30" ht="31.5" x14ac:dyDescent="0.25">
      <c r="A6" s="8" t="s">
        <v>78</v>
      </c>
      <c r="B6" s="67" t="s">
        <v>321</v>
      </c>
      <c r="C6" s="42">
        <f>IF(B6="","",VLOOKUP(AD6,Varsayımlar!$B:$Q,3,0))</f>
        <v>8698829380698</v>
      </c>
      <c r="D6" s="42"/>
      <c r="E6" s="67" t="s">
        <v>322</v>
      </c>
      <c r="F6" s="67"/>
      <c r="G6" s="67"/>
      <c r="H6" s="67" t="str">
        <f>IF(B6="","",VLOOKUP(AD6,Varsayımlar!$B:$Q,5,0))</f>
        <v>Baskısız 25 cm</v>
      </c>
      <c r="I6" s="67" t="str">
        <f>IF(B6="","",VLOOKUP(AD6,Varsayımlar!B:T,19,0))</f>
        <v>Lana 25cm 8pcs 480g Yuvarlak</v>
      </c>
      <c r="J6" s="67" t="str">
        <f>IF(B6="","",VLOOKUP(AD6,Varsayımlar!$B:$Q,6,0))</f>
        <v>SADE</v>
      </c>
      <c r="K6" s="67">
        <v>750</v>
      </c>
      <c r="L6" s="67"/>
      <c r="M6" s="67" t="str">
        <f>IFERROR(IF(B6="","",K6/VLOOKUP(AD6,Varsayımlar!B:R,17,0)),"")</f>
        <v/>
      </c>
      <c r="N6" s="67"/>
      <c r="O6" s="67">
        <v>10</v>
      </c>
      <c r="P6" s="67">
        <f>IF(B6="","",VLOOKUP(AD6,Varsayımlar!$B:$Q,7,0)*K6)</f>
        <v>10500</v>
      </c>
      <c r="Q6" s="67">
        <f>IF(B6="","",VLOOKUP(AD6,Varsayımlar!$B:$Q,8,0))</f>
        <v>25</v>
      </c>
      <c r="R6" s="67" t="str">
        <f>IF(B6="","",VLOOKUP(AD6,Varsayımlar!$B:$Q,9,0))</f>
        <v>Irak Soft</v>
      </c>
      <c r="S6" s="67">
        <f>IF(B6="","",VLOOKUP(AD6,Varsayımlar!$B:$Q,10,0))</f>
        <v>8</v>
      </c>
      <c r="T6" s="67">
        <f>IF(B6="","",VLOOKUP(AD6,Varsayımlar!$B:$Q,11,0))</f>
        <v>14</v>
      </c>
      <c r="U6" s="67">
        <f>IF(B6="","",VLOOKUP(AD6,Varsayımlar!$B:$Q,12,0))</f>
        <v>480</v>
      </c>
      <c r="V6" s="67" t="str">
        <f>IF(B6="","",VLOOKUP(AD6,Varsayımlar!$B:$Q,13,0))</f>
        <v>Yurtdışı</v>
      </c>
      <c r="W6" s="67">
        <f>IF(B6="","",VLOOKUP(AD6,Varsayımlar!$B:$Q,14,0))</f>
        <v>6</v>
      </c>
      <c r="X6" s="69">
        <v>46185</v>
      </c>
      <c r="Y6" s="69">
        <v>46368</v>
      </c>
      <c r="Z6" s="67">
        <v>26061225</v>
      </c>
      <c r="AA6" s="67" t="str">
        <f>IF(B6="","",VLOOKUP(AD6,Varsayımlar!$B:$Q,15,0))</f>
        <v>Kırmızı Koli</v>
      </c>
      <c r="AB6" s="67" t="str">
        <f>IF(B6="","",VLOOKUP(AD6,Varsayımlar!$B:$Q,16,0))</f>
        <v>24-26 cm</v>
      </c>
      <c r="AC6" s="67" t="str">
        <f>IF(B6="","",VLOOKUP(Sayfa1!AD57,Varsayımlar!B:S,18,0))</f>
        <v>80x120cm -Epal+Epal</v>
      </c>
      <c r="AD6" s="57" t="str">
        <f>IF(B6="","",CONCATENATE(B6,E6))</f>
        <v>Gülbahar CompanyBaskısız 25cm Sade 8pcs 480g</v>
      </c>
    </row>
    <row r="7" spans="1:30" ht="39" customHeight="1" x14ac:dyDescent="0.25">
      <c r="A7" s="8" t="s">
        <v>79</v>
      </c>
      <c r="B7" s="54" t="s">
        <v>64</v>
      </c>
      <c r="C7" s="39">
        <f>IF(B7="","",VLOOKUP(AD7,Varsayımlar!$B:$Q,3,0))</f>
        <v>8698829380698</v>
      </c>
      <c r="D7" s="39"/>
      <c r="E7" s="54" t="s">
        <v>176</v>
      </c>
      <c r="F7" s="54">
        <v>29</v>
      </c>
      <c r="G7" s="39" t="s">
        <v>68</v>
      </c>
      <c r="H7" s="54" t="str">
        <f>IF(B7="","",VLOOKUP(AD7,Varsayımlar!$B:$Q,5,0))</f>
        <v>Tortillas 20cm (Samakat Bilgileri Ekli)</v>
      </c>
      <c r="I7" s="54">
        <f>IF(B7="","",VLOOKUP(AD7,Varsayımlar!B:T,19,0))</f>
        <v>0</v>
      </c>
      <c r="J7" s="54" t="str">
        <f>IF(B7="","",VLOOKUP(AD7,Varsayımlar!$B:$Q,6,0))</f>
        <v>PEYNİRLİ</v>
      </c>
      <c r="K7" s="54">
        <v>7200</v>
      </c>
      <c r="L7" s="54">
        <v>6945</v>
      </c>
      <c r="M7" s="54">
        <f>IFERROR(IF(B7="","",K7/VLOOKUP(AD7,Varsayımlar!B:R,17,0)),"")</f>
        <v>32</v>
      </c>
      <c r="N7" s="54">
        <v>225</v>
      </c>
      <c r="O7" s="54">
        <v>2</v>
      </c>
      <c r="P7" s="54">
        <f>IF(B7="","",VLOOKUP(AD7,Varsayımlar!$B:$Q,7,0)*K7)</f>
        <v>100800</v>
      </c>
      <c r="Q7" s="54">
        <f>IF(B7="","",VLOOKUP(AD7,Varsayımlar!$B:$Q,8,0))</f>
        <v>20</v>
      </c>
      <c r="R7" s="54" t="str">
        <f>IF(B7="","",VLOOKUP(AD7,Varsayımlar!$B:$Q,9,0))</f>
        <v>IRAK SOFT-AT</v>
      </c>
      <c r="S7" s="54">
        <f>IF(B7="","",VLOOKUP(AD7,Varsayımlar!$B:$Q,10,0))</f>
        <v>4</v>
      </c>
      <c r="T7" s="54">
        <f>IF(B7="","",VLOOKUP(AD7,Varsayımlar!$B:$Q,11,0))</f>
        <v>14</v>
      </c>
      <c r="U7" s="54">
        <f>IF(B7="","",VLOOKUP(AD7,Varsayımlar!$B:$Q,12,0))</f>
        <v>166</v>
      </c>
      <c r="V7" s="54" t="str">
        <f>IF(B7="","",VLOOKUP(AD7,Varsayımlar!$B:$Q,13,0))</f>
        <v>YURTDIŞI</v>
      </c>
      <c r="W7" s="54">
        <f>IF(B7="","",VLOOKUP(AD7,Varsayımlar!$B:$Q,14,0))</f>
        <v>9</v>
      </c>
      <c r="X7" s="56">
        <v>46184</v>
      </c>
      <c r="Y7" s="56">
        <v>46457</v>
      </c>
      <c r="Z7" s="54" t="s">
        <v>333</v>
      </c>
      <c r="AA7" s="54" t="str">
        <f>IF(B7="","",VLOOKUP(AD7,Varsayımlar!$B:$Q,15,0))</f>
        <v>Kare Koli-Üretim Tarihli Etiket</v>
      </c>
      <c r="AB7" s="54" t="str">
        <f>IF(B7="","",VLOOKUP(AD7,Varsayımlar!$B:$Q,16,0))</f>
        <v>19-21 cm</v>
      </c>
      <c r="AC7" s="54">
        <f>IF(B7="","",VLOOKUP(Sayfa1!AD5,Varsayımlar!B:S,18,0))</f>
        <v>0</v>
      </c>
      <c r="AD7" s="57" t="str">
        <f>IF(B7="","",CONCATENATE(B7,E7))</f>
        <v>SMART LLCTortillas 20cm Peynirli 4pcs 166g</v>
      </c>
    </row>
    <row r="8" spans="1:30" ht="31.5" x14ac:dyDescent="0.25">
      <c r="A8" s="8" t="s">
        <v>80</v>
      </c>
      <c r="B8" s="67" t="s">
        <v>64</v>
      </c>
      <c r="C8" s="42">
        <f>IF(B8="","",VLOOKUP(AD8,Varsayımlar!$B:$Q,3,0))</f>
        <v>8698829380698</v>
      </c>
      <c r="D8" s="42"/>
      <c r="E8" s="67" t="s">
        <v>176</v>
      </c>
      <c r="F8" s="67">
        <v>28</v>
      </c>
      <c r="G8" s="42" t="s">
        <v>68</v>
      </c>
      <c r="H8" s="67" t="str">
        <f>IF(B8="","",VLOOKUP(AD8,Varsayımlar!$B:$Q,5,0))</f>
        <v>Tortillas 20cm (Samakat Bilgileri Ekli)</v>
      </c>
      <c r="I8" s="67">
        <f>IF(B8="","",VLOOKUP(AD8,Varsayımlar!B:T,19,0))</f>
        <v>0</v>
      </c>
      <c r="J8" s="67" t="str">
        <f>IF(B8="","",VLOOKUP(AD8,Varsayımlar!$B:$Q,6,0))</f>
        <v>PEYNİRLİ</v>
      </c>
      <c r="K8" s="67">
        <v>1575</v>
      </c>
      <c r="L8" s="67"/>
      <c r="M8" s="67">
        <f>IFERROR(IF(B8="","",K8/VLOOKUP(AD8,Varsayımlar!B:R,17,0)),"")</f>
        <v>7</v>
      </c>
      <c r="N8" s="67">
        <v>225</v>
      </c>
      <c r="O8" s="67">
        <v>11</v>
      </c>
      <c r="P8" s="67">
        <f>IF(B8="","",VLOOKUP(AD8,Varsayımlar!$B:$Q,7,0)*K8)</f>
        <v>22050</v>
      </c>
      <c r="Q8" s="67">
        <f>IF(B8="","",VLOOKUP(AD8,Varsayımlar!$B:$Q,8,0))</f>
        <v>20</v>
      </c>
      <c r="R8" s="67" t="str">
        <f>IF(B8="","",VLOOKUP(AD8,Varsayımlar!$B:$Q,9,0))</f>
        <v>IRAK SOFT-AT</v>
      </c>
      <c r="S8" s="67">
        <f>IF(B8="","",VLOOKUP(AD8,Varsayımlar!$B:$Q,10,0))</f>
        <v>4</v>
      </c>
      <c r="T8" s="67">
        <f>IF(B8="","",VLOOKUP(AD8,Varsayımlar!$B:$Q,11,0))</f>
        <v>14</v>
      </c>
      <c r="U8" s="67">
        <f>IF(B8="","",VLOOKUP(AD8,Varsayımlar!$B:$Q,12,0))</f>
        <v>166</v>
      </c>
      <c r="V8" s="67" t="str">
        <f>IF(B8="","",VLOOKUP(AD8,Varsayımlar!$B:$Q,13,0))</f>
        <v>YURTDIŞI</v>
      </c>
      <c r="W8" s="67">
        <f>IF(B8="","",VLOOKUP(AD8,Varsayımlar!$B:$Q,14,0))</f>
        <v>9</v>
      </c>
      <c r="X8" s="69">
        <v>46188</v>
      </c>
      <c r="Y8" s="69">
        <v>46461</v>
      </c>
      <c r="Z8" s="67" t="s">
        <v>172</v>
      </c>
      <c r="AA8" s="67" t="str">
        <f>IF(B8="","",VLOOKUP(AD8,Varsayımlar!$B:$Q,15,0))</f>
        <v>Kare Koli-Üretim Tarihli Etiket</v>
      </c>
      <c r="AB8" s="67" t="str">
        <f>IF(B8="","",VLOOKUP(AD8,Varsayımlar!$B:$Q,16,0))</f>
        <v>19-21 cm</v>
      </c>
      <c r="AC8" s="67">
        <f>IF(B8="","",VLOOKUP(Sayfa1!AD9,Varsayımlar!B:S,18,0))</f>
        <v>0</v>
      </c>
      <c r="AD8" s="57" t="str">
        <f t="shared" si="0"/>
        <v>SMART LLCTortillas 20cm Peynirli 4pcs 166g</v>
      </c>
    </row>
    <row r="9" spans="1:30" ht="31.5" x14ac:dyDescent="0.25">
      <c r="A9" s="8" t="s">
        <v>81</v>
      </c>
      <c r="B9" s="67" t="s">
        <v>64</v>
      </c>
      <c r="C9" s="40">
        <f>IF(B9="","",VLOOKUP(AD9,Varsayımlar!$B:$Q,3,0))</f>
        <v>8698829380698</v>
      </c>
      <c r="D9" s="42"/>
      <c r="E9" s="58" t="s">
        <v>296</v>
      </c>
      <c r="F9" s="67">
        <v>28</v>
      </c>
      <c r="G9" s="42" t="s">
        <v>68</v>
      </c>
      <c r="H9" s="67" t="str">
        <f>IF(B9="","",VLOOKUP(AD9,Varsayımlar!$B:$Q,5,0))</f>
        <v>Tortillas 20cm Çok Tahıllı</v>
      </c>
      <c r="I9" s="67">
        <f>IF(B9="","",VLOOKUP(AD9,Varsayımlar!B:T,19,0))</f>
        <v>0</v>
      </c>
      <c r="J9" s="67" t="str">
        <f>IF(B9="","",VLOOKUP(AD9,Varsayımlar!$B:$Q,6,0))</f>
        <v>Çok Tahıllı</v>
      </c>
      <c r="K9" s="67">
        <v>5625</v>
      </c>
      <c r="L9" s="67"/>
      <c r="M9" s="67">
        <f>IFERROR(IF(B9="","",K9/VLOOKUP(AD9,Varsayımlar!B:R,17,0)),"")</f>
        <v>25</v>
      </c>
      <c r="N9" s="67">
        <v>225</v>
      </c>
      <c r="O9" s="67">
        <v>45</v>
      </c>
      <c r="P9" s="67">
        <f>IF(B9="","",VLOOKUP(AD9,Varsayımlar!$B:$Q,7,0)*K9)</f>
        <v>78750</v>
      </c>
      <c r="Q9" s="67">
        <f>IF(B9="","",VLOOKUP(AD9,Varsayımlar!$B:$Q,8,0))</f>
        <v>20</v>
      </c>
      <c r="R9" s="67" t="str">
        <f>IF(B9="","",VLOOKUP(AD9,Varsayımlar!$B:$Q,9,0))</f>
        <v>Irak Soft</v>
      </c>
      <c r="S9" s="67">
        <f>IF(B9="","",VLOOKUP(AD9,Varsayımlar!$B:$Q,10,0))</f>
        <v>4</v>
      </c>
      <c r="T9" s="67">
        <f>IF(B9="","",VLOOKUP(AD9,Varsayımlar!$B:$Q,11,0))</f>
        <v>14</v>
      </c>
      <c r="U9" s="67">
        <f>IF(B9="","",VLOOKUP(AD9,Varsayımlar!$B:$Q,12,0))</f>
        <v>166</v>
      </c>
      <c r="V9" s="67" t="str">
        <f>IF(B9="","",VLOOKUP(AD9,Varsayımlar!$B:$Q,13,0))</f>
        <v>Yurtdışı</v>
      </c>
      <c r="W9" s="67">
        <f>IF(B9="","",VLOOKUP(AD9,Varsayımlar!$B:$Q,14,0))</f>
        <v>9</v>
      </c>
      <c r="X9" s="69">
        <v>46188</v>
      </c>
      <c r="Y9" s="69">
        <v>46461</v>
      </c>
      <c r="Z9" s="67" t="s">
        <v>419</v>
      </c>
      <c r="AA9" s="67" t="str">
        <f>IF(B9="","",VLOOKUP(AD9,Varsayımlar!$B:$Q,15,0))</f>
        <v>SİYAH KARE KOLİ-Üretim Tarihi Etiketli</v>
      </c>
      <c r="AB9" s="67" t="str">
        <f>IF(B9="","",VLOOKUP(AD9,Varsayımlar!$B:$Q,16,0))</f>
        <v>19-21 cm</v>
      </c>
      <c r="AC9" s="58">
        <f>IF(B9="","",VLOOKUP(Sayfa1!AD8,Varsayımlar!B:S,18,0))</f>
        <v>0</v>
      </c>
      <c r="AD9" s="57" t="str">
        <f t="shared" si="0"/>
        <v>SMART LLCTortillas 20cm Çok Tahıllı 4pcs 166g</v>
      </c>
    </row>
    <row r="10" spans="1:30" ht="31.5" customHeight="1" x14ac:dyDescent="0.25">
      <c r="A10" s="8" t="s">
        <v>82</v>
      </c>
      <c r="B10" s="64" t="s">
        <v>335</v>
      </c>
      <c r="C10" s="3">
        <f>IF(B10="","",VLOOKUP(AD10,Varsayımlar!$B:$Q,3,0))</f>
        <v>8698829380698</v>
      </c>
      <c r="D10" s="3"/>
      <c r="E10" s="64" t="s">
        <v>299</v>
      </c>
      <c r="F10" s="64"/>
      <c r="G10" s="3"/>
      <c r="H10" s="64" t="str">
        <f>IF(B10="","",VLOOKUP(AD10,Varsayımlar!$B:$Q,5,0))</f>
        <v>Lazeza 30cm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1700</v>
      </c>
      <c r="L10" s="64"/>
      <c r="M10" s="64" t="str">
        <f>IFERROR(IF(B10="","",K10/VLOOKUP(AD10,Varsayımlar!B:R,17,0)),"")</f>
        <v/>
      </c>
      <c r="N10" s="64"/>
      <c r="O10" s="64">
        <v>17</v>
      </c>
      <c r="P10" s="64">
        <f>IF(B10="","",VLOOKUP(AD10,Varsayımlar!$B:$Q,7,0)*K10)</f>
        <v>30600</v>
      </c>
      <c r="Q10" s="64">
        <f>IF(B10="","",VLOOKUP(AD10,Varsayımlar!$B:$Q,8,0))</f>
        <v>30</v>
      </c>
      <c r="R10" s="64" t="str">
        <f>IF(B10="","",VLOOKUP(AD10,Varsayımlar!$B:$Q,9,0))</f>
        <v>Irak Soft</v>
      </c>
      <c r="S10" s="64">
        <f>IF(B10="","",VLOOKUP(AD10,Varsayımlar!$B:$Q,10,0))</f>
        <v>6</v>
      </c>
      <c r="T10" s="64">
        <f>IF(B10="","",VLOOKUP(AD10,Varsayımlar!$B:$Q,11,0))</f>
        <v>18</v>
      </c>
      <c r="U10" s="64">
        <f>IF(B10="","",VLOOKUP(AD10,Varsayımlar!$B:$Q,12,0))</f>
        <v>510</v>
      </c>
      <c r="V10" s="64" t="str">
        <f>IF(B10="","",VLOOKUP(AD10,Varsayımlar!$B:$Q,13,0))</f>
        <v>Yurtdışı</v>
      </c>
      <c r="W10" s="64">
        <f>IF(B10="","",VLOOKUP(AD10,Varsayımlar!$B:$Q,14,0))</f>
        <v>6</v>
      </c>
      <c r="X10" s="66"/>
      <c r="Y10" s="66"/>
      <c r="Z10" s="64"/>
      <c r="AA10" s="64" t="str">
        <f>IF(B10="","",VLOOKUP(AD10,Varsayımlar!$B:$Q,15,0))</f>
        <v>Lazeza Kolisi</v>
      </c>
      <c r="AB10" s="64" t="str">
        <f>IF(B10="","",VLOOKUP(AD10,Varsayımlar!$B:$Q,16,0))</f>
        <v>29-31 cm</v>
      </c>
      <c r="AC10" s="64">
        <f>IF(B10="","",VLOOKUP(Sayfa1!AD10,Varsayımlar!B:S,18,0))</f>
        <v>0</v>
      </c>
      <c r="AD10" s="57" t="str">
        <f t="shared" si="0"/>
        <v>AjjawiLazeza 30 cm 6pcs 510g</v>
      </c>
    </row>
    <row r="11" spans="1:30" ht="31.5" customHeight="1" x14ac:dyDescent="0.25">
      <c r="A11" s="8" t="s">
        <v>83</v>
      </c>
      <c r="B11" s="80" t="s">
        <v>53</v>
      </c>
      <c r="C11" s="44">
        <f>IF(B11="","",VLOOKUP(AD11,Varsayımlar!$B:$Q,3,0))</f>
        <v>8698829380698</v>
      </c>
      <c r="D11" s="80" t="s">
        <v>394</v>
      </c>
      <c r="E11" s="80" t="s">
        <v>54</v>
      </c>
      <c r="F11" s="80"/>
      <c r="G11" s="80" t="s">
        <v>395</v>
      </c>
      <c r="H11" s="80" t="str">
        <f>IF(B11="","",VLOOKUP(AD11,Varsayımlar!$B:$Q,5,0))</f>
        <v>MAGNİT MAVİ AMBALAJ 25CM</v>
      </c>
      <c r="I11" s="80">
        <f>IF(B11="","",VLOOKUP(AD11,Varsayımlar!B:T,19,0))</f>
        <v>0</v>
      </c>
      <c r="J11" s="80" t="str">
        <f>IF(B11="","",VLOOKUP(AD11,Varsayımlar!$B:$Q,6,0))</f>
        <v>SADE</v>
      </c>
      <c r="K11" s="80">
        <v>2016</v>
      </c>
      <c r="L11" s="80"/>
      <c r="M11" s="80" t="str">
        <f>IFERROR(IF(B11="","",K11/VLOOKUP(AD11,#REF!,17,0)),"")</f>
        <v/>
      </c>
      <c r="N11" s="80"/>
      <c r="O11" s="80">
        <v>18</v>
      </c>
      <c r="P11" s="80">
        <f>IF(B11="","",VLOOKUP(AD11,Varsayımlar!$B:$Q,7,0)*K11)</f>
        <v>60480</v>
      </c>
      <c r="Q11" s="80">
        <f>IF(B11="","",VLOOKUP(AD11,Varsayımlar!$B:$Q,8,0))</f>
        <v>25</v>
      </c>
      <c r="R11" s="80" t="str">
        <f>IF(B11="","",VLOOKUP(AD11,Varsayımlar!$B:$Q,9,0))</f>
        <v>SOFT</v>
      </c>
      <c r="S11" s="80">
        <f>IF(B11="","",VLOOKUP(AD11,Varsayımlar!$B:$Q,10,0))</f>
        <v>4</v>
      </c>
      <c r="T11" s="80">
        <f>IF(B11="","",VLOOKUP(AD11,Varsayımlar!$B:$Q,11,0))</f>
        <v>30</v>
      </c>
      <c r="U11" s="80">
        <f>IF(B11="","",VLOOKUP(AD11,Varsayımlar!$B:$Q,12,0))</f>
        <v>260</v>
      </c>
      <c r="V11" s="80" t="str">
        <f>IF(B11="","",VLOOKUP(AD11,Varsayımlar!$B:$Q,13,0))</f>
        <v>YURTDIŞI</v>
      </c>
      <c r="W11" s="80">
        <f>IF(B11="","",VLOOKUP(AD11,Varsayımlar!$B:$Q,14,0))</f>
        <v>9</v>
      </c>
      <c r="X11" s="81">
        <v>46190</v>
      </c>
      <c r="Y11" s="81">
        <v>46463</v>
      </c>
      <c r="Z11" s="80" t="s">
        <v>396</v>
      </c>
      <c r="AA11" s="80" t="str">
        <f>IF(B11="","",VLOOKUP(AD11,Varsayımlar!$B:$Q,15,0))</f>
        <v>25CM TURUNCU KOLİ-SOL ÜST DİKDÖRTGENE ÜRETİM TARİHİ BASILACAK</v>
      </c>
      <c r="AB11" s="80" t="str">
        <f>IF(B11="","",VLOOKUP(AD11,Varsayımlar!$B:$Q,16,0))</f>
        <v>24-26 CM</v>
      </c>
      <c r="AC11" s="73" t="e">
        <f>IF(B11="","",VLOOKUP(#REF!,#REF!,18,0))</f>
        <v>#REF!</v>
      </c>
      <c r="AD11" s="73" t="str">
        <f>IF(B11="","",CONCATENATE(B11,E11))</f>
        <v>MAGNİTMAGNİT MAVİ AMBALAJ 25 CM 260G</v>
      </c>
    </row>
    <row r="12" spans="1:30" ht="31.5" customHeight="1" x14ac:dyDescent="0.25">
      <c r="A12" s="8" t="s">
        <v>84</v>
      </c>
      <c r="B12" s="64" t="s">
        <v>53</v>
      </c>
      <c r="C12" s="3">
        <f>IF(B12="","",VLOOKUP(AD12,Varsayımlar!$B:$Q,3,0))</f>
        <v>8698829380698</v>
      </c>
      <c r="D12" s="64" t="s">
        <v>397</v>
      </c>
      <c r="E12" s="64" t="s">
        <v>54</v>
      </c>
      <c r="F12" s="64"/>
      <c r="G12" s="64" t="s">
        <v>398</v>
      </c>
      <c r="H12" s="64" t="str">
        <f>IF(B12="","",VLOOKUP(AD12,Varsayımlar!$B:$Q,5,0))</f>
        <v>MAGNİT MAVİ AMBALAJ 25CM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2016</v>
      </c>
      <c r="L12" s="64"/>
      <c r="M12" s="64" t="str">
        <f>IFERROR(IF(B12="","",K12/VLOOKUP(AD12,#REF!,17,0)),"")</f>
        <v/>
      </c>
      <c r="N12" s="64"/>
      <c r="O12" s="64">
        <v>18</v>
      </c>
      <c r="P12" s="64">
        <f>IF(B12="","",VLOOKUP(AD12,Varsayımlar!$B:$Q,7,0)*K12)</f>
        <v>60480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9</v>
      </c>
      <c r="X12" s="66">
        <v>46190</v>
      </c>
      <c r="Y12" s="66">
        <v>46463</v>
      </c>
      <c r="Z12" s="64" t="s">
        <v>399</v>
      </c>
      <c r="AA12" s="64" t="str">
        <f>IF(B12="","",VLOOKUP(AD12,Varsayımlar!$B:$Q,15,0))</f>
        <v>25CM TURUNCU KOLİ-SOL ÜST DİKDÖRTGENE ÜRETİM TARİHİ BASILACAK</v>
      </c>
      <c r="AB12" s="64" t="str">
        <f>IF(B12="","",VLOOKUP(AD12,Varsayımlar!$B:$Q,16,0))</f>
        <v>24-26 CM</v>
      </c>
      <c r="AC12" s="73" t="e">
        <f>IF(B12="","",VLOOKUP(#REF!,#REF!,18,0))</f>
        <v>#REF!</v>
      </c>
      <c r="AD12" s="73" t="str">
        <f>IF(B12="","",CONCATENATE(B12,E12))</f>
        <v>MAGNİTMAGNİT MAVİ AMBALAJ 25 CM 260G</v>
      </c>
    </row>
    <row r="13" spans="1:30" ht="31.5" customHeight="1" x14ac:dyDescent="0.25">
      <c r="A13" s="8" t="s">
        <v>85</v>
      </c>
      <c r="B13" s="67" t="s">
        <v>53</v>
      </c>
      <c r="C13" s="42">
        <f>IF(B13="","",VLOOKUP(AD13,Varsayımlar!$B:$Q,3,0))</f>
        <v>8698829380698</v>
      </c>
      <c r="D13" s="67" t="s">
        <v>400</v>
      </c>
      <c r="E13" s="67" t="s">
        <v>54</v>
      </c>
      <c r="F13" s="67"/>
      <c r="G13" s="67" t="s">
        <v>401</v>
      </c>
      <c r="H13" s="67" t="str">
        <f>IF(B13="","",VLOOKUP(AD13,Varsayımlar!$B:$Q,5,0))</f>
        <v>MAGNİT MAVİ AMBALAJ 25CM</v>
      </c>
      <c r="I13" s="67">
        <f>IF(B13="","",VLOOKUP(AD13,Varsayımlar!B:T,19,0))</f>
        <v>0</v>
      </c>
      <c r="J13" s="67" t="str">
        <f>IF(B13="","",VLOOKUP(AD13,Varsayımlar!$B:$Q,6,0))</f>
        <v>SADE</v>
      </c>
      <c r="K13" s="67">
        <v>2016</v>
      </c>
      <c r="L13" s="67"/>
      <c r="M13" s="67" t="str">
        <f>IFERROR(IF(B13="","",K13/VLOOKUP(AD13,#REF!,17,0)),"")</f>
        <v/>
      </c>
      <c r="N13" s="67"/>
      <c r="O13" s="67">
        <v>18</v>
      </c>
      <c r="P13" s="67">
        <f>IF(B13="","",VLOOKUP(AD13,Varsayımlar!$B:$Q,7,0)*K13)</f>
        <v>60480</v>
      </c>
      <c r="Q13" s="67">
        <f>IF(B13="","",VLOOKUP(AD13,Varsayımlar!$B:$Q,8,0))</f>
        <v>25</v>
      </c>
      <c r="R13" s="67" t="str">
        <f>IF(B13="","",VLOOKUP(AD13,Varsayımlar!$B:$Q,9,0))</f>
        <v>SOFT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260</v>
      </c>
      <c r="V13" s="67" t="str">
        <f>IF(B13="","",VLOOKUP(AD13,Varsayımlar!$B:$Q,13,0))</f>
        <v>YURTDIŞI</v>
      </c>
      <c r="W13" s="67">
        <f>IF(B13="","",VLOOKUP(AD13,Varsayımlar!$B:$Q,14,0))</f>
        <v>9</v>
      </c>
      <c r="X13" s="69">
        <v>46191</v>
      </c>
      <c r="Y13" s="69">
        <v>46464</v>
      </c>
      <c r="Z13" s="67" t="s">
        <v>402</v>
      </c>
      <c r="AA13" s="67" t="str">
        <f>IF(B13="","",VLOOKUP(AD13,Varsayımlar!$B:$Q,15,0))</f>
        <v>25CM TURUNCU KOLİ-SOL ÜST DİKDÖRTGENE ÜRETİM TARİHİ BASILACAK</v>
      </c>
      <c r="AB13" s="67" t="str">
        <f>IF(B13="","",VLOOKUP(AD13,Varsayımlar!$B:$Q,16,0))</f>
        <v>24-26 CM</v>
      </c>
      <c r="AC13" s="73" t="e">
        <f>IF(B13="","",VLOOKUP(#REF!,#REF!,18,0))</f>
        <v>#REF!</v>
      </c>
      <c r="AD13" s="73" t="str">
        <f>IF(B13="","",CONCATENATE(B13,E13))</f>
        <v>MAGNİTMAGNİT MAVİ AMBALAJ 25 CM 260G</v>
      </c>
    </row>
    <row r="14" spans="1:30" ht="31.5" customHeight="1" x14ac:dyDescent="0.25">
      <c r="A14" s="8" t="s">
        <v>86</v>
      </c>
      <c r="B14" s="117" t="s">
        <v>53</v>
      </c>
      <c r="C14" s="118">
        <f>IF(B14="","",VLOOKUP(AD14,Varsayımlar!$B:$Q,3,0))</f>
        <v>8698829380698</v>
      </c>
      <c r="D14" s="117" t="s">
        <v>403</v>
      </c>
      <c r="E14" s="117" t="s">
        <v>54</v>
      </c>
      <c r="F14" s="117"/>
      <c r="G14" s="117" t="s">
        <v>404</v>
      </c>
      <c r="H14" s="117" t="str">
        <f>IF(B14="","",VLOOKUP(AD14,Varsayımlar!$B:$Q,5,0))</f>
        <v>MAGNİT MAVİ AMBALAJ 25CM</v>
      </c>
      <c r="I14" s="117">
        <f>IF(B14="","",VLOOKUP(AD14,Varsayımlar!B:T,19,0))</f>
        <v>0</v>
      </c>
      <c r="J14" s="117" t="str">
        <f>IF(B14="","",VLOOKUP(AD14,Varsayımlar!$B:$Q,6,0))</f>
        <v>SADE</v>
      </c>
      <c r="K14" s="117">
        <v>2016</v>
      </c>
      <c r="L14" s="117"/>
      <c r="M14" s="117" t="str">
        <f>IFERROR(IF(B14="","",K14/VLOOKUP(AD14,#REF!,17,0)),"")</f>
        <v/>
      </c>
      <c r="N14" s="117"/>
      <c r="O14" s="117">
        <v>18</v>
      </c>
      <c r="P14" s="117">
        <f>IF(B14="","",VLOOKUP(AD14,Varsayımlar!$B:$Q,7,0)*K14)</f>
        <v>60480</v>
      </c>
      <c r="Q14" s="117">
        <f>IF(B14="","",VLOOKUP(AD14,Varsayımlar!$B:$Q,8,0))</f>
        <v>25</v>
      </c>
      <c r="R14" s="117" t="str">
        <f>IF(B14="","",VLOOKUP(AD14,Varsayımlar!$B:$Q,9,0))</f>
        <v>SOFT</v>
      </c>
      <c r="S14" s="117">
        <f>IF(B14="","",VLOOKUP(AD14,Varsayımlar!$B:$Q,10,0))</f>
        <v>4</v>
      </c>
      <c r="T14" s="117">
        <f>IF(B14="","",VLOOKUP(AD14,Varsayımlar!$B:$Q,11,0))</f>
        <v>30</v>
      </c>
      <c r="U14" s="117">
        <f>IF(B14="","",VLOOKUP(AD14,Varsayımlar!$B:$Q,12,0))</f>
        <v>260</v>
      </c>
      <c r="V14" s="117" t="str">
        <f>IF(B14="","",VLOOKUP(AD14,Varsayımlar!$B:$Q,13,0))</f>
        <v>YURTDIŞI</v>
      </c>
      <c r="W14" s="117">
        <f>IF(B14="","",VLOOKUP(AD14,Varsayımlar!$B:$Q,14,0))</f>
        <v>9</v>
      </c>
      <c r="X14" s="122">
        <v>46193</v>
      </c>
      <c r="Y14" s="122">
        <v>46466</v>
      </c>
      <c r="Z14" s="117" t="s">
        <v>405</v>
      </c>
      <c r="AA14" s="117" t="str">
        <f>IF(B14="","",VLOOKUP(AD14,Varsayımlar!$B:$Q,15,0))</f>
        <v>25CM TURUNCU KOLİ-SOL ÜST DİKDÖRTGENE ÜRETİM TARİHİ BASILACAK</v>
      </c>
      <c r="AB14" s="117" t="str">
        <f>IF(B14="","",VLOOKUP(AD14,Varsayımlar!$B:$Q,16,0))</f>
        <v>24-26 CM</v>
      </c>
      <c r="AC14" s="73" t="e">
        <f>IF(B14="","",VLOOKUP(#REF!,#REF!,18,0))</f>
        <v>#REF!</v>
      </c>
      <c r="AD14" s="73" t="str">
        <f>IF(B14="","",CONCATENATE(B14,E14))</f>
        <v>MAGNİTMAGNİT MAVİ AMBALAJ 25 CM 260G</v>
      </c>
    </row>
    <row r="15" spans="1:30" ht="31.5" customHeight="1" x14ac:dyDescent="0.25">
      <c r="A15" s="8" t="s">
        <v>87</v>
      </c>
      <c r="B15" s="67" t="s">
        <v>53</v>
      </c>
      <c r="C15" s="42">
        <f>IF(B15="","",VLOOKUP(AD15,Varsayımlar!$B:$Q,3,0))</f>
        <v>8698829380698</v>
      </c>
      <c r="D15" s="67" t="s">
        <v>406</v>
      </c>
      <c r="E15" s="67" t="s">
        <v>54</v>
      </c>
      <c r="F15" s="67"/>
      <c r="G15" s="67" t="s">
        <v>407</v>
      </c>
      <c r="H15" s="67" t="str">
        <f>IF(B15="","",VLOOKUP(AD15,Varsayımlar!$B:$Q,5,0))</f>
        <v>MAGNİT MAVİ AMBALAJ 25CM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2016</v>
      </c>
      <c r="L15" s="67"/>
      <c r="M15" s="67" t="str">
        <f>IFERROR(IF(B15="","",K15/VLOOKUP(AD15,#REF!,17,0)),"")</f>
        <v/>
      </c>
      <c r="N15" s="67"/>
      <c r="O15" s="67">
        <v>18</v>
      </c>
      <c r="P15" s="67">
        <f>IF(B15="","",VLOOKUP(AD15,Varsayımlar!$B:$Q,7,0)*K15)</f>
        <v>60480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9</v>
      </c>
      <c r="X15" s="69">
        <v>46193</v>
      </c>
      <c r="Y15" s="69">
        <v>46466</v>
      </c>
      <c r="Z15" s="67" t="s">
        <v>408</v>
      </c>
      <c r="AA15" s="67" t="str">
        <f>IF(B15="","",VLOOKUP(AD15,Varsayımlar!$B:$Q,15,0))</f>
        <v>25CM TURUNCU KOLİ-SOL ÜST DİKDÖRTGENE ÜRETİM TARİHİ BASILACAK</v>
      </c>
      <c r="AB15" s="67" t="str">
        <f>IF(B15="","",VLOOKUP(AD15,Varsayımlar!$B:$Q,16,0))</f>
        <v>24-26 CM</v>
      </c>
      <c r="AC15" s="73" t="e">
        <f>IF(B15="","",VLOOKUP(#REF!,#REF!,18,0))</f>
        <v>#REF!</v>
      </c>
      <c r="AD15" s="73" t="str">
        <f>IF(B15="","",CONCATENATE(B15,E15))</f>
        <v>MAGNİTMAGNİT MAVİ AMBALAJ 25 CM 260G</v>
      </c>
    </row>
    <row r="16" spans="1:30" ht="31.5" x14ac:dyDescent="0.25">
      <c r="A16" s="8" t="s">
        <v>88</v>
      </c>
      <c r="B16" s="67" t="s">
        <v>64</v>
      </c>
      <c r="C16" s="42">
        <f>IF(B16="","",VLOOKUP(AD16,Varsayımlar!$B:$Q,3,0))</f>
        <v>8698829380698</v>
      </c>
      <c r="D16" s="42"/>
      <c r="E16" s="67" t="s">
        <v>296</v>
      </c>
      <c r="F16" s="67">
        <v>30</v>
      </c>
      <c r="G16" s="42" t="s">
        <v>68</v>
      </c>
      <c r="H16" s="67" t="str">
        <f>IF(B16="","",VLOOKUP(AD16,Varsayımlar!$B:$Q,5,0))</f>
        <v>Tortillas 20cm Çok Tahıllı</v>
      </c>
      <c r="I16" s="67">
        <f>IF(B16="","",VLOOKUP(AD16,Varsayımlar!B:T,19,0))</f>
        <v>0</v>
      </c>
      <c r="J16" s="67" t="str">
        <f>IF(B16="","",VLOOKUP(AD16,Varsayımlar!$B:$Q,6,0))</f>
        <v>Çok Tahıllı</v>
      </c>
      <c r="K16" s="67">
        <v>225</v>
      </c>
      <c r="L16" s="67"/>
      <c r="M16" s="67">
        <f>IFERROR(IF(B16="","",K16/VLOOKUP(AD16,Varsayımlar!B:R,17,0)),"")</f>
        <v>1</v>
      </c>
      <c r="N16" s="67"/>
      <c r="O16" s="67">
        <v>2</v>
      </c>
      <c r="P16" s="67">
        <f>IF(B16="","",VLOOKUP(AD16,Varsayımlar!$B:$Q,7,0)*K16)</f>
        <v>3150</v>
      </c>
      <c r="Q16" s="67">
        <f>IF(B16="","",VLOOKUP(AD16,Varsayımlar!$B:$Q,8,0))</f>
        <v>20</v>
      </c>
      <c r="R16" s="67" t="str">
        <f>IF(B16="","",VLOOKUP(AD16,Varsayımlar!$B:$Q,9,0))</f>
        <v>Irak Soft</v>
      </c>
      <c r="S16" s="67">
        <f>IF(B16="","",VLOOKUP(AD16,Varsayımlar!$B:$Q,10,0))</f>
        <v>4</v>
      </c>
      <c r="T16" s="67">
        <f>IF(B16="","",VLOOKUP(AD16,Varsayımlar!$B:$Q,11,0))</f>
        <v>14</v>
      </c>
      <c r="U16" s="67">
        <f>IF(B16="","",VLOOKUP(AD16,Varsayımlar!$B:$Q,12,0))</f>
        <v>166</v>
      </c>
      <c r="V16" s="67" t="str">
        <f>IF(B16="","",VLOOKUP(AD16,Varsayımlar!$B:$Q,13,0))</f>
        <v>Yurtdışı</v>
      </c>
      <c r="W16" s="67">
        <f>IF(B16="","",VLOOKUP(AD16,Varsayımlar!$B:$Q,14,0))</f>
        <v>9</v>
      </c>
      <c r="X16" s="69">
        <v>46195</v>
      </c>
      <c r="Y16" s="69">
        <v>46468</v>
      </c>
      <c r="Z16" s="67" t="s">
        <v>338</v>
      </c>
      <c r="AA16" s="67" t="str">
        <f>IF(B16="","",VLOOKUP(AD16,Varsayımlar!$B:$Q,15,0))</f>
        <v>SİYAH KARE KOLİ-Üretim Tarihi Etiketli</v>
      </c>
      <c r="AB16" s="67" t="str">
        <f>IF(B16="","",VLOOKUP(AD16,Varsayımlar!$B:$Q,16,0))</f>
        <v>19-21 cm</v>
      </c>
      <c r="AC16" s="67">
        <f>IF(B16="","",VLOOKUP(Sayfa1!AD14,Varsayımlar!B:S,18,0))</f>
        <v>0</v>
      </c>
      <c r="AD16" s="57" t="str">
        <f t="shared" si="0"/>
        <v>SMART LLCTortillas 20cm Çok Tahıllı 4pcs 166g</v>
      </c>
    </row>
    <row r="17" spans="1:30" ht="31.5" x14ac:dyDescent="0.25">
      <c r="A17" s="8" t="s">
        <v>89</v>
      </c>
      <c r="B17" s="64" t="s">
        <v>64</v>
      </c>
      <c r="C17" s="3">
        <f>IF(B17="","",VLOOKUP(AD17,Varsayımlar!$B:$Q,3,0))</f>
        <v>8698829380698</v>
      </c>
      <c r="D17" s="3"/>
      <c r="E17" s="64" t="s">
        <v>296</v>
      </c>
      <c r="F17" s="64">
        <v>31</v>
      </c>
      <c r="G17" s="3" t="s">
        <v>68</v>
      </c>
      <c r="H17" s="64" t="str">
        <f>IF(B17="","",VLOOKUP(AD17,Varsayımlar!$B:$Q,5,0))</f>
        <v>Tortillas 20cm Çok Tahıllı</v>
      </c>
      <c r="I17" s="64">
        <f>IF(B17="","",VLOOKUP(AD17,Varsayımlar!B:T,19,0))</f>
        <v>0</v>
      </c>
      <c r="J17" s="64" t="str">
        <f>IF(B17="","",VLOOKUP(AD17,Varsayımlar!$B:$Q,6,0))</f>
        <v>Çok Tahıllı</v>
      </c>
      <c r="K17" s="64">
        <v>1800</v>
      </c>
      <c r="L17" s="64"/>
      <c r="M17" s="64">
        <f>IFERROR(IF(B17="","",K17/VLOOKUP(AD17,Varsayımlar!B:R,17,0)),"")</f>
        <v>8</v>
      </c>
      <c r="N17" s="64"/>
      <c r="O17" s="64">
        <v>15</v>
      </c>
      <c r="P17" s="64">
        <f>IF(B17="","",VLOOKUP(AD17,Varsayımlar!$B:$Q,7,0)*K17)</f>
        <v>25200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4</v>
      </c>
      <c r="T17" s="64">
        <f>IF(B17="","",VLOOKUP(AD17,Varsayımlar!$B:$Q,11,0))</f>
        <v>14</v>
      </c>
      <c r="U17" s="64">
        <f>IF(B17="","",VLOOKUP(AD17,Varsayımlar!$B:$Q,12,0))</f>
        <v>166</v>
      </c>
      <c r="V17" s="64" t="str">
        <f>IF(B17="","",VLOOKUP(AD17,Varsayımlar!$B:$Q,13,0))</f>
        <v>Yurtdışı</v>
      </c>
      <c r="W17" s="64">
        <f>IF(B17="","",VLOOKUP(AD17,Varsayımlar!$B:$Q,14,0))</f>
        <v>9</v>
      </c>
      <c r="X17" s="66">
        <v>46196</v>
      </c>
      <c r="Y17" s="66">
        <v>46469</v>
      </c>
      <c r="Z17" s="64" t="s">
        <v>339</v>
      </c>
      <c r="AA17" s="64" t="str">
        <f>IF(B17="","",VLOOKUP(AD17,Varsayımlar!$B:$Q,15,0))</f>
        <v>SİYAH KARE KOLİ-Üretim Tarihi Etiketli</v>
      </c>
      <c r="AB17" s="64" t="str">
        <f>IF(B17="","",VLOOKUP(AD17,Varsayımlar!$B:$Q,16,0))</f>
        <v>19-21 cm</v>
      </c>
      <c r="AC17" s="64">
        <f>IF(B17="","",VLOOKUP(Sayfa1!AD15,Varsayımlar!B:S,18,0))</f>
        <v>0</v>
      </c>
      <c r="AD17" s="57" t="str">
        <f t="shared" si="0"/>
        <v>SMART LLCTortillas 20cm Çok Tahıllı 4pcs 166g</v>
      </c>
    </row>
    <row r="18" spans="1:30" ht="31.5" x14ac:dyDescent="0.25">
      <c r="A18" s="8" t="s">
        <v>90</v>
      </c>
      <c r="B18" s="67" t="s">
        <v>64</v>
      </c>
      <c r="C18" s="42">
        <f>IF(B18="","",VLOOKUP(AD18,Varsayımlar!$B:$Q,3,0))</f>
        <v>8698829380698</v>
      </c>
      <c r="D18" s="42"/>
      <c r="E18" s="67" t="s">
        <v>65</v>
      </c>
      <c r="F18" s="67">
        <v>30</v>
      </c>
      <c r="G18" s="42" t="s">
        <v>68</v>
      </c>
      <c r="H18" s="67" t="str">
        <f>IF(B18="","",VLOOKUP(AD18,Varsayımlar!$B:$Q,5,0))</f>
        <v>TORTİLLAS 20CM (SAMAKAT BİLGİLERİ EKLİ)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6975</v>
      </c>
      <c r="L18" s="67">
        <v>225</v>
      </c>
      <c r="M18" s="67">
        <f>IFERROR(IF(B18="","",K18/VLOOKUP(AD18,Varsayımlar!B:R,17,0)),"")</f>
        <v>31</v>
      </c>
      <c r="N18" s="67"/>
      <c r="O18" s="67">
        <v>56</v>
      </c>
      <c r="P18" s="67">
        <f>IF(B18="","",VLOOKUP(AD18,Varsayımlar!$B:$Q,7,0)*K18)</f>
        <v>97650</v>
      </c>
      <c r="Q18" s="67">
        <f>IF(B18="","",VLOOKUP(AD18,Varsayımlar!$B:$Q,8,0))</f>
        <v>20</v>
      </c>
      <c r="R18" s="67" t="str">
        <f>IF(B18="","",VLOOKUP(AD18,Varsayımlar!$B:$Q,9,0))</f>
        <v>IRAK SOFT</v>
      </c>
      <c r="S18" s="67">
        <f>IF(B18="","",VLOOKUP(AD18,Varsayımlar!$B:$Q,10,0))</f>
        <v>4</v>
      </c>
      <c r="T18" s="67">
        <f>IF(B18="","",VLOOKUP(AD18,Varsayımlar!$B:$Q,11,0))</f>
        <v>14</v>
      </c>
      <c r="U18" s="67">
        <f>IF(B18="","",VLOOKUP(AD18,Varsayımlar!$B:$Q,12,0))</f>
        <v>166</v>
      </c>
      <c r="V18" s="67" t="str">
        <f>IF(B18="","",VLOOKUP(AD18,Varsayımlar!$B:$Q,13,0))</f>
        <v>YURTDIŞI</v>
      </c>
      <c r="W18" s="67">
        <f>IF(B18="","",VLOOKUP(AD18,Varsayımlar!$B:$Q,14,0))</f>
        <v>9</v>
      </c>
      <c r="X18" s="69">
        <v>46195</v>
      </c>
      <c r="Y18" s="69">
        <v>46468</v>
      </c>
      <c r="Z18" s="67">
        <v>26062220</v>
      </c>
      <c r="AA18" s="67" t="str">
        <f>IF(B18="","",VLOOKUP(AD18,Varsayımlar!$B:$Q,15,0))</f>
        <v>SİYAH KARE KOLİ- Üretim Tarihi Etiketli</v>
      </c>
      <c r="AB18" s="67" t="str">
        <f>IF(B18="","",VLOOKUP(AD18,Varsayımlar!$B:$Q,16,0))</f>
        <v>19-21 CM</v>
      </c>
      <c r="AC18" s="67">
        <f>IF(B18="","",VLOOKUP(Sayfa1!AD16,Varsayımlar!B:S,18,0))</f>
        <v>0</v>
      </c>
      <c r="AD18" s="57" t="str">
        <f>IF(B18="","",CONCATENATE(B18,E18))</f>
        <v>SMART LLCTORTİLLAS SAMAKAT 20CM 166G</v>
      </c>
    </row>
    <row r="19" spans="1:30" ht="31.5" x14ac:dyDescent="0.25">
      <c r="A19" s="8" t="s">
        <v>91</v>
      </c>
      <c r="B19" s="64" t="s">
        <v>64</v>
      </c>
      <c r="C19" s="3">
        <f>IF(B19="","",VLOOKUP(AD19,Varsayımlar!$B:$Q,3,0))</f>
        <v>8698829380698</v>
      </c>
      <c r="D19" s="3"/>
      <c r="E19" s="64" t="s">
        <v>176</v>
      </c>
      <c r="F19" s="64">
        <v>31</v>
      </c>
      <c r="G19" s="3" t="s">
        <v>68</v>
      </c>
      <c r="H19" s="64" t="str">
        <f>IF(B19="","",VLOOKUP(AD19,Varsayımlar!$B:$Q,5,0))</f>
        <v>Tortillas 20cm (Samakat Bilgileri Ekli)</v>
      </c>
      <c r="I19" s="64">
        <f>IF(B19="","",VLOOKUP(AD19,Varsayımlar!B:T,19,0))</f>
        <v>0</v>
      </c>
      <c r="J19" s="64" t="str">
        <f>IF(B19="","",VLOOKUP(AD19,Varsayımlar!$B:$Q,6,0))</f>
        <v>PEYNİRLİ</v>
      </c>
      <c r="K19" s="64">
        <v>2925</v>
      </c>
      <c r="L19" s="64"/>
      <c r="M19" s="64">
        <f>IFERROR(IF(B19="","",K19/VLOOKUP(AD19,Varsayımlar!B:R,17,0)),"")</f>
        <v>13</v>
      </c>
      <c r="N19" s="64"/>
      <c r="O19" s="64">
        <v>24</v>
      </c>
      <c r="P19" s="64">
        <f>IF(B19="","",VLOOKUP(AD19,Varsayımlar!$B:$Q,7,0)*K19)</f>
        <v>40950</v>
      </c>
      <c r="Q19" s="64">
        <f>IF(B19="","",VLOOKUP(AD19,Varsayımlar!$B:$Q,8,0))</f>
        <v>20</v>
      </c>
      <c r="R19" s="64" t="str">
        <f>IF(B19="","",VLOOKUP(AD19,Varsayımlar!$B:$Q,9,0))</f>
        <v>IRAK SOFT-AT</v>
      </c>
      <c r="S19" s="64">
        <f>IF(B19="","",VLOOKUP(AD19,Varsayımlar!$B:$Q,10,0))</f>
        <v>4</v>
      </c>
      <c r="T19" s="64">
        <f>IF(B19="","",VLOOKUP(AD19,Varsayımlar!$B:$Q,11,0))</f>
        <v>14</v>
      </c>
      <c r="U19" s="64">
        <f>IF(B19="","",VLOOKUP(AD19,Varsayımlar!$B:$Q,12,0))</f>
        <v>166</v>
      </c>
      <c r="V19" s="64" t="str">
        <f>IF(B19="","",VLOOKUP(AD19,Varsayımlar!$B:$Q,13,0))</f>
        <v>YURTDIŞI</v>
      </c>
      <c r="W19" s="64">
        <f>IF(B19="","",VLOOKUP(AD19,Varsayımlar!$B:$Q,14,0))</f>
        <v>9</v>
      </c>
      <c r="X19" s="66">
        <v>46196</v>
      </c>
      <c r="Y19" s="66">
        <v>46469</v>
      </c>
      <c r="Z19" s="64" t="s">
        <v>340</v>
      </c>
      <c r="AA19" s="64" t="str">
        <f>IF(B19="","",VLOOKUP(AD19,Varsayımlar!$B:$Q,15,0))</f>
        <v>Kare Koli-Üretim Tarihli Etiket</v>
      </c>
      <c r="AB19" s="64" t="str">
        <f>IF(B19="","",VLOOKUP(AD19,Varsayımlar!$B:$Q,16,0))</f>
        <v>19-21 cm</v>
      </c>
      <c r="AC19" s="64">
        <f>IF(B19="","",VLOOKUP(Sayfa1!AD17,Varsayımlar!B:S,18,0))</f>
        <v>0</v>
      </c>
      <c r="AD19" s="57" t="str">
        <f t="shared" si="0"/>
        <v>SMART LLCTortillas 20cm Peynirli 4pcs 166g</v>
      </c>
    </row>
    <row r="20" spans="1:30" ht="47.25" x14ac:dyDescent="0.25">
      <c r="A20" s="8" t="s">
        <v>92</v>
      </c>
      <c r="B20" s="67" t="s">
        <v>268</v>
      </c>
      <c r="C20" s="42">
        <f>IF(B20="","",VLOOKUP(AD20,Varsayımlar!$B:$Q,3,0))</f>
        <v>8698829380698</v>
      </c>
      <c r="D20" s="42" t="s">
        <v>159</v>
      </c>
      <c r="E20" s="67" t="s">
        <v>269</v>
      </c>
      <c r="F20" s="67">
        <v>20250825</v>
      </c>
      <c r="G20" s="42" t="s">
        <v>68</v>
      </c>
      <c r="H20" s="67" t="str">
        <f>IF(B20="","",VLOOKUP(AD20,Varsayımlar!$B:$Q,5,0))</f>
        <v>Tortillas 25cm Tam Buğday</v>
      </c>
      <c r="I20" s="67">
        <f>IF(B20="","",VLOOKUP(AD20,Varsayımlar!B:T,19,0))</f>
        <v>0</v>
      </c>
      <c r="J20" s="67" t="str">
        <f>IF(B20="","",VLOOKUP(AD20,Varsayımlar!$B:$Q,6,0))</f>
        <v>Tam Buğdaylı</v>
      </c>
      <c r="K20" s="67">
        <v>252</v>
      </c>
      <c r="L20" s="67"/>
      <c r="M20" s="67">
        <f>IFERROR(IF(B20="","",K20/VLOOKUP(AD20,Varsayımlar!B:R,17,0)),"")</f>
        <v>3</v>
      </c>
      <c r="N20" s="67"/>
      <c r="O20" s="67">
        <v>5</v>
      </c>
      <c r="P20" s="67">
        <f>IF(B20="","",VLOOKUP(AD20,Varsayımlar!$B:$Q,7,0)*K20)</f>
        <v>7560</v>
      </c>
      <c r="Q20" s="67">
        <f>IF(B20="","",VLOOKUP(AD20,Varsayımlar!$B:$Q,8,0))</f>
        <v>25</v>
      </c>
      <c r="R20" s="67" t="str">
        <f>IF(B20="","",VLOOKUP(AD20,Varsayımlar!$B:$Q,9,0))</f>
        <v>Soft-PA3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240</v>
      </c>
      <c r="V20" s="67" t="str">
        <f>IF(B20="","",VLOOKUP(AD20,Varsayımlar!$B:$Q,13,0))</f>
        <v>Yurtdışı</v>
      </c>
      <c r="W20" s="67">
        <f>IF(B20="","",VLOOKUP(AD20,Varsayımlar!$B:$Q,14,0))</f>
        <v>12</v>
      </c>
      <c r="X20" s="69">
        <v>46199</v>
      </c>
      <c r="Y20" s="69">
        <v>46564</v>
      </c>
      <c r="Z20" s="67" t="s">
        <v>374</v>
      </c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IF(B20="","",VLOOKUP(Sayfa1!AD23,Varsayımlar!B:S,18,0))</f>
        <v>80x120cm</v>
      </c>
      <c r="AD20" s="57" t="str">
        <f t="shared" si="0"/>
        <v>LAIKYUZHN-BELARUSTortillas 25cm Tam buğday 4pcs 240g</v>
      </c>
    </row>
    <row r="21" spans="1:30" ht="47.25" x14ac:dyDescent="0.25">
      <c r="A21" s="8" t="s">
        <v>93</v>
      </c>
      <c r="B21" s="67" t="s">
        <v>268</v>
      </c>
      <c r="C21" s="42">
        <f>IF(B21="","",VLOOKUP(AD21,Varsayımlar!$B:$Q,3,0))</f>
        <v>8698829380698</v>
      </c>
      <c r="D21" s="42" t="s">
        <v>159</v>
      </c>
      <c r="E21" s="67" t="s">
        <v>274</v>
      </c>
      <c r="F21" s="67">
        <v>20250825</v>
      </c>
      <c r="G21" s="42" t="s">
        <v>68</v>
      </c>
      <c r="H21" s="67" t="str">
        <f>IF(B21="","",VLOOKUP(AD21,Varsayımlar!$B:$Q,5,0))</f>
        <v>Tortillas 25cm Domatesli</v>
      </c>
      <c r="I21" s="67">
        <f>IF(B21="","",VLOOKUP(AD21,Varsayımlar!B:T,19,0))</f>
        <v>0</v>
      </c>
      <c r="J21" s="67" t="str">
        <f>IF(B21="","",VLOOKUP(AD21,Varsayımlar!$B:$Q,6,0))</f>
        <v>Domatesli</v>
      </c>
      <c r="K21" s="67">
        <v>252</v>
      </c>
      <c r="L21" s="67"/>
      <c r="M21" s="67">
        <f>IFERROR(IF(B21="","",K21/VLOOKUP(AD21,Varsayımlar!B:R,17,0)),"")</f>
        <v>3</v>
      </c>
      <c r="N21" s="67"/>
      <c r="O21" s="67">
        <v>5</v>
      </c>
      <c r="P21" s="67">
        <f>IF(B21="","",VLOOKUP(AD21,Varsayımlar!$B:$Q,7,0)*K21)</f>
        <v>7560</v>
      </c>
      <c r="Q21" s="67">
        <f>IF(B21="","",VLOOKUP(AD21,Varsayımlar!$B:$Q,8,0))</f>
        <v>25</v>
      </c>
      <c r="R21" s="67" t="str">
        <f>IF(B21="","",VLOOKUP(AD21,Varsayımlar!$B:$Q,9,0))</f>
        <v>Soft-PA3</v>
      </c>
      <c r="S21" s="67">
        <f>IF(B21="","",VLOOKUP(AD21,Varsayımlar!$B:$Q,10,0))</f>
        <v>4</v>
      </c>
      <c r="T21" s="67">
        <f>IF(B21="","",VLOOKUP(AD21,Varsayımlar!$B:$Q,11,0))</f>
        <v>30</v>
      </c>
      <c r="U21" s="67">
        <f>IF(B21="","",VLOOKUP(AD21,Varsayımlar!$B:$Q,12,0))</f>
        <v>240</v>
      </c>
      <c r="V21" s="67" t="str">
        <f>IF(B21="","",VLOOKUP(AD21,Varsayımlar!$B:$Q,13,0))</f>
        <v>Yurtdışı</v>
      </c>
      <c r="W21" s="67">
        <f>IF(B21="","",VLOOKUP(AD21,Varsayımlar!$B:$Q,14,0))</f>
        <v>12</v>
      </c>
      <c r="X21" s="69">
        <v>46199</v>
      </c>
      <c r="Y21" s="69">
        <v>46564</v>
      </c>
      <c r="Z21" s="67" t="s">
        <v>375</v>
      </c>
      <c r="AA21" s="67" t="str">
        <f>IF(B21="","",VLOOKUP(AD21,Varsayımlar!$B:$Q,15,0))</f>
        <v>25cm Kolisi-Etiketli</v>
      </c>
      <c r="AB21" s="67" t="str">
        <f>IF(B21="","",VLOOKUP(AD21,Varsayımlar!$B:$Q,16,0))</f>
        <v>24-26 cm (Macca Hetto Inkjet Uzun Tarih)</v>
      </c>
      <c r="AC21" s="67" t="str">
        <f>IF(B21="","",VLOOKUP(Sayfa1!AD24,Varsayımlar!B:S,18,0))</f>
        <v>80x120cm</v>
      </c>
      <c r="AD21" s="57" t="str">
        <f t="shared" si="0"/>
        <v>LAIKYUZHN-BELARUSTortillas 25cm Domatesli 4pcs 240g</v>
      </c>
    </row>
    <row r="22" spans="1:30" ht="47.25" x14ac:dyDescent="0.25">
      <c r="A22" s="8" t="s">
        <v>135</v>
      </c>
      <c r="B22" s="67" t="s">
        <v>268</v>
      </c>
      <c r="C22" s="42">
        <f>IF(B22="","",VLOOKUP(AD22,Varsayımlar!$B:$Q,3,0))</f>
        <v>8698829380698</v>
      </c>
      <c r="D22" s="42" t="s">
        <v>159</v>
      </c>
      <c r="E22" s="67" t="s">
        <v>276</v>
      </c>
      <c r="F22" s="67">
        <v>20250825</v>
      </c>
      <c r="G22" s="42" t="s">
        <v>68</v>
      </c>
      <c r="H22" s="67" t="str">
        <f>IF(B22="","",VLOOKUP(AD22,Varsayımlar!$B:$Q,5,0))</f>
        <v>Tortillas 25cm Ispanaklı</v>
      </c>
      <c r="I22" s="67">
        <f>IF(B22="","",VLOOKUP(AD22,Varsayımlar!B:T,19,0))</f>
        <v>0</v>
      </c>
      <c r="J22" s="67" t="str">
        <f>IF(B22="","",VLOOKUP(AD22,Varsayımlar!$B:$Q,6,0))</f>
        <v>Ispanaklı</v>
      </c>
      <c r="K22" s="67">
        <v>420</v>
      </c>
      <c r="L22" s="67"/>
      <c r="M22" s="67">
        <f>IFERROR(IF(B22="","",K22/VLOOKUP(AD22,Varsayımlar!B:R,17,0)),"")</f>
        <v>5</v>
      </c>
      <c r="N22" s="67"/>
      <c r="O22" s="67">
        <v>7</v>
      </c>
      <c r="P22" s="67">
        <f>IF(B22="","",VLOOKUP(AD22,Varsayımlar!$B:$Q,7,0)*K22)</f>
        <v>12600</v>
      </c>
      <c r="Q22" s="67">
        <f>IF(B22="","",VLOOKUP(AD22,Varsayımlar!$B:$Q,8,0))</f>
        <v>25</v>
      </c>
      <c r="R22" s="67" t="str">
        <f>IF(B22="","",VLOOKUP(AD22,Varsayımlar!$B:$Q,9,0))</f>
        <v>Soft-PA3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240</v>
      </c>
      <c r="V22" s="67" t="str">
        <f>IF(B22="","",VLOOKUP(AD22,Varsayımlar!$B:$Q,13,0))</f>
        <v>Yurtdışı</v>
      </c>
      <c r="W22" s="67">
        <f>IF(B22="","",VLOOKUP(AD22,Varsayımlar!$B:$Q,14,0))</f>
        <v>12</v>
      </c>
      <c r="X22" s="69">
        <v>46199</v>
      </c>
      <c r="Y22" s="69">
        <v>46564</v>
      </c>
      <c r="Z22" s="67" t="s">
        <v>376</v>
      </c>
      <c r="AA22" s="67" t="str">
        <f>IF(B22="","",VLOOKUP(AD22,Varsayımlar!$B:$Q,15,0))</f>
        <v>25cm Kolisi-Etiketli</v>
      </c>
      <c r="AB22" s="67" t="str">
        <f>IF(B22="","",VLOOKUP(AD22,Varsayımlar!$B:$Q,16,0))</f>
        <v>24-26 cm (Macca Hetto Inkjet Uzun Tarih)</v>
      </c>
      <c r="AC22" s="67" t="str">
        <f>IF(B22="","",VLOOKUP(Sayfa1!AD25,Varsayımlar!B:S,18,0))</f>
        <v>80x120cm</v>
      </c>
      <c r="AD22" s="57" t="str">
        <f t="shared" si="0"/>
        <v>LAIKYUZHN-BELARUSTortillas 25cm Ispanaklı 4pcs 240g</v>
      </c>
    </row>
    <row r="23" spans="1:30" ht="47.25" x14ac:dyDescent="0.25">
      <c r="A23" s="8" t="s">
        <v>136</v>
      </c>
      <c r="B23" s="67" t="s">
        <v>268</v>
      </c>
      <c r="C23" s="42">
        <f>IF(B23="","",VLOOKUP(AD23,Varsayımlar!$B:$Q,3,0))</f>
        <v>8698829380698</v>
      </c>
      <c r="D23" s="42" t="s">
        <v>159</v>
      </c>
      <c r="E23" s="67" t="s">
        <v>278</v>
      </c>
      <c r="F23" s="67">
        <v>20250825</v>
      </c>
      <c r="G23" s="42" t="s">
        <v>68</v>
      </c>
      <c r="H23" s="67" t="str">
        <f>IF(B23="","",VLOOKUP(AD23,Varsayımlar!$B:$Q,5,0))</f>
        <v>Magnit Tortillas 25cm Peynirli</v>
      </c>
      <c r="I23" s="67" t="str">
        <f>IF(B23="","",VLOOKUP(AD23,Varsayımlar!B:T,19,0))</f>
        <v>Etiketli</v>
      </c>
      <c r="J23" s="67" t="str">
        <f>IF(B23="","",VLOOKUP(AD23,Varsayımlar!$B:$Q,6,0))</f>
        <v>Peynirli</v>
      </c>
      <c r="K23" s="67">
        <v>420</v>
      </c>
      <c r="L23" s="67"/>
      <c r="M23" s="67">
        <f>IFERROR(IF(B23="","",K23/VLOOKUP(AD23,Varsayımlar!B:R,17,0)),"")</f>
        <v>5</v>
      </c>
      <c r="N23" s="67"/>
      <c r="O23" s="67">
        <v>7</v>
      </c>
      <c r="P23" s="67">
        <f>IF(B23="","",VLOOKUP(AD23,Varsayımlar!$B:$Q,7,0)*K23)</f>
        <v>12600</v>
      </c>
      <c r="Q23" s="67">
        <f>IF(B23="","",VLOOKUP(AD23,Varsayımlar!$B:$Q,8,0))</f>
        <v>25</v>
      </c>
      <c r="R23" s="67" t="str">
        <f>IF(B23="","",VLOOKUP(AD23,Varsayımlar!$B:$Q,9,0))</f>
        <v>Soft-PA3-AT</v>
      </c>
      <c r="S23" s="67">
        <f>IF(B23="","",VLOOKUP(AD23,Varsayımlar!$B:$Q,10,0))</f>
        <v>4</v>
      </c>
      <c r="T23" s="67">
        <f>IF(B23="","",VLOOKUP(AD23,Varsayımlar!$B:$Q,11,0))</f>
        <v>30</v>
      </c>
      <c r="U23" s="67">
        <f>IF(B23="","",VLOOKUP(AD23,Varsayımlar!$B:$Q,12,0))</f>
        <v>250</v>
      </c>
      <c r="V23" s="67" t="str">
        <f>IF(B23="","",VLOOKUP(AD23,Varsayımlar!$B:$Q,13,0))</f>
        <v>Yurtdışı</v>
      </c>
      <c r="W23" s="67">
        <f>IF(B23="","",VLOOKUP(AD23,Varsayımlar!$B:$Q,14,0))</f>
        <v>9</v>
      </c>
      <c r="X23" s="69">
        <v>46199</v>
      </c>
      <c r="Y23" s="69">
        <v>46472</v>
      </c>
      <c r="Z23" s="67" t="s">
        <v>377</v>
      </c>
      <c r="AA23" s="67" t="str">
        <f>IF(B23="","",VLOOKUP(AD23,Varsayımlar!$B:$Q,15,0))</f>
        <v>25cm Kolisi-Etiketli</v>
      </c>
      <c r="AB23" s="67" t="str">
        <f>IF(B23="","",VLOOKUP(AD23,Varsayımlar!$B:$Q,16,0))</f>
        <v>24-26 cm (Macca Hetto Inkjet Uzun Tarih)</v>
      </c>
      <c r="AC23" s="67" t="str">
        <f>IF(B23="","",VLOOKUP(Sayfa1!AD26,Varsayımlar!B:S,18,0))</f>
        <v>80x120cm</v>
      </c>
      <c r="AD23" s="57" t="str">
        <f t="shared" si="0"/>
        <v>LAIKYUZHN-BELARUSMagnit Tortillas 25cm Peynirli 4pcs 240g</v>
      </c>
    </row>
    <row r="24" spans="1:30" ht="47.25" x14ac:dyDescent="0.25">
      <c r="A24" s="8" t="s">
        <v>137</v>
      </c>
      <c r="B24" s="62" t="s">
        <v>181</v>
      </c>
      <c r="C24" s="32">
        <f>IF(B24="","",VLOOKUP(AD24,Varsayımlar!$B:$Q,3,0))</f>
        <v>8698829380698</v>
      </c>
      <c r="D24" s="32"/>
      <c r="E24" s="62" t="s">
        <v>182</v>
      </c>
      <c r="F24" s="62">
        <v>26060101</v>
      </c>
      <c r="G24" s="32"/>
      <c r="H24" s="62" t="str">
        <f>IF(B24="","",VLOOKUP(AD24,Varsayımlar!$B:$Q,5,0))</f>
        <v>Tortillove 30cm</v>
      </c>
      <c r="I24" s="62" t="str">
        <f>IF(B24="","",VLOOKUP(AD24,Varsayımlar!B:T,19,0))</f>
        <v>Arka kısma Arnavutça içerik-Tortillove</v>
      </c>
      <c r="J24" s="62" t="str">
        <f>IF(B24="","",VLOOKUP(AD24,Varsayımlar!$B:$Q,6,0))</f>
        <v>SADE</v>
      </c>
      <c r="K24" s="62">
        <v>100</v>
      </c>
      <c r="L24" s="62"/>
      <c r="M24" s="62">
        <f>IFERROR(IF(B24="","",K24/VLOOKUP(AD24,Varsayımlar!B:R,17,0)),"")</f>
        <v>2</v>
      </c>
      <c r="N24" s="62"/>
      <c r="O24" s="62">
        <v>2</v>
      </c>
      <c r="P24" s="62">
        <f>IF(B24="","",VLOOKUP(AD24,Varsayımlar!$B:$Q,7,0)*K24)</f>
        <v>1200</v>
      </c>
      <c r="Q24" s="62">
        <f>IF(B24="","",VLOOKUP(AD24,Varsayımlar!$B:$Q,8,0))</f>
        <v>30</v>
      </c>
      <c r="R24" s="62" t="str">
        <f>IF(B24="","",VLOOKUP(AD24,Varsayımlar!$B:$Q,9,0))</f>
        <v>Irak Soft</v>
      </c>
      <c r="S24" s="62">
        <f>IF(B24="","",VLOOKUP(AD24,Varsayımlar!$B:$Q,10,0))</f>
        <v>10</v>
      </c>
      <c r="T24" s="62">
        <f>IF(B24="","",VLOOKUP(AD24,Varsayımlar!$B:$Q,11,0))</f>
        <v>12</v>
      </c>
      <c r="U24" s="62">
        <f>IF(B24="","",VLOOKUP(AD24,Varsayımlar!$B:$Q,12,0))</f>
        <v>900</v>
      </c>
      <c r="V24" s="62" t="str">
        <f>IF(B24="","",VLOOKUP(AD24,Varsayımlar!$B:$Q,13,0))</f>
        <v>Yurtdışı</v>
      </c>
      <c r="W24" s="62">
        <f>IF(B24="","",VLOOKUP(AD24,Varsayımlar!$B:$Q,14,0))</f>
        <v>12</v>
      </c>
      <c r="X24" s="63">
        <v>46200</v>
      </c>
      <c r="Y24" s="63">
        <v>46565</v>
      </c>
      <c r="Z24" s="62">
        <v>26062730</v>
      </c>
      <c r="AA24" s="62" t="str">
        <f>IF(B24="","",VLOOKUP(AD24,Varsayımlar!$B:$Q,15,0))</f>
        <v>30cm Koli - Tortillove 900g Etiketli</v>
      </c>
      <c r="AB24" s="62" t="str">
        <f>IF(B24="","",VLOOKUP(AD24,Varsayımlar!$B:$Q,16,0))</f>
        <v>29-31 cm</v>
      </c>
      <c r="AC24" s="62">
        <f>IF(B24="","",VLOOKUP(Sayfa1!AD27,Varsayımlar!B:S,18,0))</f>
        <v>0</v>
      </c>
      <c r="AD24" s="57" t="str">
        <f t="shared" si="0"/>
        <v>ALDİ - KOSOVATortillove 30cm 10pcs 900g</v>
      </c>
    </row>
    <row r="25" spans="1:30" ht="47.25" x14ac:dyDescent="0.25">
      <c r="A25" s="8" t="s">
        <v>138</v>
      </c>
      <c r="B25" s="62" t="s">
        <v>181</v>
      </c>
      <c r="C25" s="32">
        <f>IF(B25="","",VLOOKUP(AD25,Varsayımlar!$B:$Q,3,0))</f>
        <v>8698829380698</v>
      </c>
      <c r="D25" s="32"/>
      <c r="E25" s="62" t="s">
        <v>185</v>
      </c>
      <c r="F25" s="62">
        <v>26060101</v>
      </c>
      <c r="G25" s="32"/>
      <c r="H25" s="62" t="str">
        <f>IF(B25="","",VLOOKUP(AD25,Varsayımlar!$B:$Q,5,0))</f>
        <v>Tortillas 30cm</v>
      </c>
      <c r="I25" s="62" t="str">
        <f>IF(B25="","",VLOOKUP(AD25,Varsayımlar!B:T,19,0))</f>
        <v>Arka kısma Arnavutça içerik-Tortillas</v>
      </c>
      <c r="J25" s="62" t="str">
        <f>IF(B25="","",VLOOKUP(AD25,Varsayımlar!$B:$Q,6,0))</f>
        <v>SADE</v>
      </c>
      <c r="K25" s="62">
        <v>50</v>
      </c>
      <c r="L25" s="62"/>
      <c r="M25" s="62">
        <f>IFERROR(IF(B25="","",K25/VLOOKUP(AD25,Varsayımlar!B:R,17,0)),"")</f>
        <v>1</v>
      </c>
      <c r="N25" s="62"/>
      <c r="O25" s="62">
        <v>1</v>
      </c>
      <c r="P25" s="62">
        <f>IF(B25="","",VLOOKUP(AD25,Varsayımlar!$B:$Q,7,0)*K25)</f>
        <v>600</v>
      </c>
      <c r="Q25" s="62">
        <f>IF(B25="","",VLOOKUP(AD25,Varsayımlar!$B:$Q,8,0))</f>
        <v>30</v>
      </c>
      <c r="R25" s="62" t="str">
        <f>IF(B25="","",VLOOKUP(AD25,Varsayımlar!$B:$Q,9,0))</f>
        <v>Irak Soft</v>
      </c>
      <c r="S25" s="62">
        <f>IF(B25="","",VLOOKUP(AD25,Varsayımlar!$B:$Q,10,0))</f>
        <v>10</v>
      </c>
      <c r="T25" s="62">
        <f>IF(B25="","",VLOOKUP(AD25,Varsayımlar!$B:$Q,11,0))</f>
        <v>12</v>
      </c>
      <c r="U25" s="62">
        <f>IF(B25="","",VLOOKUP(AD25,Varsayımlar!$B:$Q,12,0))</f>
        <v>900</v>
      </c>
      <c r="V25" s="62" t="str">
        <f>IF(B25="","",VLOOKUP(AD25,Varsayımlar!$B:$Q,13,0))</f>
        <v>Yurtdışı</v>
      </c>
      <c r="W25" s="62">
        <f>IF(B25="","",VLOOKUP(AD25,Varsayımlar!$B:$Q,14,0))</f>
        <v>12</v>
      </c>
      <c r="X25" s="63">
        <v>46200</v>
      </c>
      <c r="Y25" s="63">
        <v>46565</v>
      </c>
      <c r="Z25" s="62">
        <v>26062730</v>
      </c>
      <c r="AA25" s="62" t="str">
        <f>IF(B25="","",VLOOKUP(AD25,Varsayımlar!$B:$Q,15,0))</f>
        <v>30cm Koli - Tortillas 900g Etiketli</v>
      </c>
      <c r="AB25" s="62" t="str">
        <f>IF(B25="","",VLOOKUP(AD25,Varsayımlar!$B:$Q,16,0))</f>
        <v>29-31 cm</v>
      </c>
      <c r="AC25" s="62">
        <f>IF(B25="","",VLOOKUP(Sayfa1!AD28,Varsayımlar!B:S,18,0))</f>
        <v>0</v>
      </c>
      <c r="AD25" s="57" t="str">
        <f t="shared" si="0"/>
        <v>ALDİ - KOSOVATortillas 30cm 10pcs 900g</v>
      </c>
    </row>
    <row r="26" spans="1:30" ht="63" x14ac:dyDescent="0.25">
      <c r="A26" s="8" t="s">
        <v>139</v>
      </c>
      <c r="B26" s="62" t="s">
        <v>181</v>
      </c>
      <c r="C26" s="32">
        <f>IF(B26="","",VLOOKUP(AD26,Varsayımlar!$B:$Q,3,0))</f>
        <v>8698829380698</v>
      </c>
      <c r="D26" s="32"/>
      <c r="E26" s="32" t="s">
        <v>372</v>
      </c>
      <c r="F26" s="62">
        <v>26060101</v>
      </c>
      <c r="G26" s="32"/>
      <c r="H26" s="62" t="str">
        <f>IF(B26="","",VLOOKUP(AD26,Varsayımlar!$B:$Q,5,0))</f>
        <v>Tortillove Tam Buğday 25cm</v>
      </c>
      <c r="I26" s="62" t="str">
        <f>IF(B26="","",VLOOKUP(AD26,Varsayımlar!B:T,19,0))</f>
        <v>Barkod üzerine Arnavutça TB içerik+Barkod-Tortillove</v>
      </c>
      <c r="J26" s="62" t="str">
        <f>IF(B26="","",VLOOKUP(AD26,Varsayımlar!$B:$Q,6,0))</f>
        <v>Tam Buğdaylı</v>
      </c>
      <c r="K26" s="62">
        <v>84</v>
      </c>
      <c r="L26" s="62"/>
      <c r="M26" s="62">
        <f>IFERROR(IF(B26="","",K26/VLOOKUP(AD26,Varsayımlar!B:R,17,0)),"")</f>
        <v>1</v>
      </c>
      <c r="N26" s="62"/>
      <c r="O26" s="62">
        <v>2</v>
      </c>
      <c r="P26" s="62">
        <f>IF(B26="","",VLOOKUP(AD26,Varsayımlar!$B:$Q,7,0)*K26)</f>
        <v>1512</v>
      </c>
      <c r="Q26" s="62">
        <f>IF(B26="","",VLOOKUP(AD26,Varsayımlar!$B:$Q,8,0))</f>
        <v>25</v>
      </c>
      <c r="R26" s="62" t="str">
        <f>IF(B26="","",VLOOKUP(AD26,Varsayımlar!$B:$Q,9,0))</f>
        <v>Irak Soft</v>
      </c>
      <c r="S26" s="62">
        <f>IF(B26="","",VLOOKUP(AD26,Varsayımlar!$B:$Q,10,0))</f>
        <v>6</v>
      </c>
      <c r="T26" s="62">
        <f>IF(B26="","",VLOOKUP(AD26,Varsayımlar!$B:$Q,11,0))</f>
        <v>18</v>
      </c>
      <c r="U26" s="62">
        <f>IF(B26="","",VLOOKUP(AD26,Varsayımlar!$B:$Q,12,0))</f>
        <v>390</v>
      </c>
      <c r="V26" s="62" t="str">
        <f>IF(B26="","",VLOOKUP(AD26,Varsayımlar!$B:$Q,13,0))</f>
        <v>Yurtdışı</v>
      </c>
      <c r="W26" s="62">
        <f>IF(B26="","",VLOOKUP(AD26,Varsayımlar!$B:$Q,14,0))</f>
        <v>12</v>
      </c>
      <c r="X26" s="63">
        <v>46200</v>
      </c>
      <c r="Y26" s="63">
        <v>46565</v>
      </c>
      <c r="Z26" s="62">
        <v>26062725</v>
      </c>
      <c r="AA26" s="62" t="str">
        <f>IF(B26="","",VLOOKUP(AD26,Varsayımlar!$B:$Q,15,0))</f>
        <v>25cm Koli - Tortillove 390g TB Etiketli</v>
      </c>
      <c r="AB26" s="62" t="str">
        <f>IF(B26="","",VLOOKUP(AD26,Varsayımlar!$B:$Q,16,0))</f>
        <v>24-26 cm</v>
      </c>
      <c r="AC26" s="62">
        <f>IF(B26="","",VLOOKUP(Sayfa1!AD29,Varsayımlar!B:S,18,0))</f>
        <v>0</v>
      </c>
      <c r="AD26" s="57" t="str">
        <f t="shared" si="0"/>
        <v>ALDİ - KOSOVATortillove 25cm TB 6pcs 390g</v>
      </c>
    </row>
    <row r="27" spans="1:30" ht="63" x14ac:dyDescent="0.25">
      <c r="A27" s="8" t="s">
        <v>140</v>
      </c>
      <c r="B27" s="62" t="s">
        <v>181</v>
      </c>
      <c r="C27" s="32">
        <f>IF(B27="","",VLOOKUP(AD27,Varsayımlar!$B:$Q,3,0))</f>
        <v>8698829380698</v>
      </c>
      <c r="D27" s="32"/>
      <c r="E27" s="32" t="s">
        <v>251</v>
      </c>
      <c r="F27" s="62">
        <v>26060101</v>
      </c>
      <c r="G27" s="32"/>
      <c r="H27" s="62" t="str">
        <f>IF(B27="","",VLOOKUP(AD27,Varsayımlar!$B:$Q,5,0))</f>
        <v>Tortillas Tam Buğday 25cm</v>
      </c>
      <c r="I27" s="62" t="str">
        <f>IF(B27="","",VLOOKUP(AD27,Varsayımlar!B:T,19,0))</f>
        <v>Barkod üzerine Arnavutça TB içerik+Barkod-Tortillas</v>
      </c>
      <c r="J27" s="62" t="str">
        <f>IF(B27="","",VLOOKUP(AD27,Varsayımlar!$B:$Q,6,0))</f>
        <v>Tam Buğdaylı</v>
      </c>
      <c r="K27" s="62">
        <v>84</v>
      </c>
      <c r="L27" s="62"/>
      <c r="M27" s="62">
        <f>IFERROR(IF(B27="","",K27/VLOOKUP(AD27,Varsayımlar!B:R,17,0)),"")</f>
        <v>1</v>
      </c>
      <c r="N27" s="62"/>
      <c r="O27" s="62">
        <v>2</v>
      </c>
      <c r="P27" s="62">
        <f>IF(B27="","",VLOOKUP(AD27,Varsayımlar!$B:$Q,7,0)*K27)</f>
        <v>1512</v>
      </c>
      <c r="Q27" s="62">
        <f>IF(B27="","",VLOOKUP(AD27,Varsayımlar!$B:$Q,8,0))</f>
        <v>25</v>
      </c>
      <c r="R27" s="62" t="str">
        <f>IF(B27="","",VLOOKUP(AD27,Varsayımlar!$B:$Q,9,0))</f>
        <v>Irak Soft</v>
      </c>
      <c r="S27" s="62">
        <f>IF(B27="","",VLOOKUP(AD27,Varsayımlar!$B:$Q,10,0))</f>
        <v>6</v>
      </c>
      <c r="T27" s="62">
        <f>IF(B27="","",VLOOKUP(AD27,Varsayımlar!$B:$Q,11,0))</f>
        <v>18</v>
      </c>
      <c r="U27" s="62">
        <f>IF(B27="","",VLOOKUP(AD27,Varsayımlar!$B:$Q,12,0))</f>
        <v>390</v>
      </c>
      <c r="V27" s="62" t="str">
        <f>IF(B27="","",VLOOKUP(AD27,Varsayımlar!$B:$Q,13,0))</f>
        <v>Yurtdışı</v>
      </c>
      <c r="W27" s="62">
        <f>IF(B27="","",VLOOKUP(AD27,Varsayımlar!$B:$Q,14,0))</f>
        <v>12</v>
      </c>
      <c r="X27" s="63">
        <v>46200</v>
      </c>
      <c r="Y27" s="63">
        <v>46565</v>
      </c>
      <c r="Z27" s="62">
        <v>26062725</v>
      </c>
      <c r="AA27" s="62" t="str">
        <f>IF(B27="","",VLOOKUP(AD27,Varsayımlar!$B:$Q,15,0))</f>
        <v>25cm Koli - Tortillas 390g TB Etiketli</v>
      </c>
      <c r="AB27" s="62" t="str">
        <f>IF(B27="","",VLOOKUP(AD27,Varsayımlar!$B:$Q,16,0))</f>
        <v>24-26 cm</v>
      </c>
      <c r="AC27" s="62">
        <f>IF(B27="","",VLOOKUP(Sayfa1!AD30,Varsayımlar!B:S,18,0))</f>
        <v>0</v>
      </c>
      <c r="AD27" s="57" t="str">
        <f t="shared" si="0"/>
        <v>ALDİ - KOSOVATortillas 25cm TB 6pcs 390g</v>
      </c>
    </row>
    <row r="28" spans="1:30" ht="31.5" x14ac:dyDescent="0.25">
      <c r="A28" s="8" t="s">
        <v>141</v>
      </c>
      <c r="B28" s="64" t="s">
        <v>288</v>
      </c>
      <c r="C28" s="3">
        <f>IF(B28="","",VLOOKUP(AD28,Varsayımlar!$B:$Q,3,0))</f>
        <v>8698829380698</v>
      </c>
      <c r="D28" s="3"/>
      <c r="E28" s="64" t="s">
        <v>289</v>
      </c>
      <c r="F28" s="64">
        <v>20201016</v>
      </c>
      <c r="G28" s="3" t="s">
        <v>68</v>
      </c>
      <c r="H28" s="64" t="str">
        <f>IF(B28="","",VLOOKUP(AD28,Varsayımlar!$B:$Q,5,0))</f>
        <v>Tortillas 25cm Tam Buğday</v>
      </c>
      <c r="I28" s="64" t="str">
        <f>IF(B28="","",VLOOKUP(AD28,Varsayımlar!B:T,19,0))</f>
        <v>Arka kısma İçerik</v>
      </c>
      <c r="J28" s="64" t="str">
        <f>IF(B28="","",VLOOKUP(AD28,Varsayımlar!$B:$Q,6,0))</f>
        <v>Tam Buğdaylı</v>
      </c>
      <c r="K28" s="64">
        <v>250</v>
      </c>
      <c r="L28" s="64"/>
      <c r="M28" s="64">
        <f>IFERROR(IF(B28="","",K28/VLOOKUP(AD28,Varsayımlar!B:R,17,0)),"")</f>
        <v>5</v>
      </c>
      <c r="N28" s="64"/>
      <c r="O28" s="64">
        <v>4</v>
      </c>
      <c r="P28" s="64">
        <f>IF(B28="","",VLOOKUP(AD28,Varsayımlar!$B:$Q,7,0)*K28)</f>
        <v>4500</v>
      </c>
      <c r="Q28" s="64">
        <f>IF(B28="","",VLOOKUP(AD28,Varsayımlar!$B:$Q,8,0))</f>
        <v>25</v>
      </c>
      <c r="R28" s="64" t="str">
        <f>IF(B28="","",VLOOKUP(AD28,Varsayımlar!$B:$Q,9,0))</f>
        <v>Irak Soft</v>
      </c>
      <c r="S28" s="64">
        <f>IF(B28="","",VLOOKUP(AD28,Varsayımlar!$B:$Q,10,0))</f>
        <v>6</v>
      </c>
      <c r="T28" s="64">
        <f>IF(B28="","",VLOOKUP(AD28,Varsayımlar!$B:$Q,11,0))</f>
        <v>18</v>
      </c>
      <c r="U28" s="64">
        <f>IF(B28="","",VLOOKUP(AD28,Varsayımlar!$B:$Q,12,0))</f>
        <v>390</v>
      </c>
      <c r="V28" s="64" t="str">
        <f>IF(B28="","",VLOOKUP(AD28,Varsayımlar!$B:$Q,13,0))</f>
        <v>YURTDIŞI</v>
      </c>
      <c r="W28" s="64">
        <f>IF(B28="","",VLOOKUP(AD28,Varsayımlar!$B:$Q,14,0))</f>
        <v>9</v>
      </c>
      <c r="X28" s="66">
        <v>46202</v>
      </c>
      <c r="Y28" s="66">
        <v>46475</v>
      </c>
      <c r="Z28" s="64" t="s">
        <v>378</v>
      </c>
      <c r="AA28" s="64" t="str">
        <f>IF(B28="","",VLOOKUP(AD28,Varsayımlar!$B:$Q,15,0))</f>
        <v>25cm Koli-Kazakça Etiketli</v>
      </c>
      <c r="AB28" s="64" t="str">
        <f>IF(B28="","",VLOOKUP(AD28,Varsayımlar!$B:$Q,16,0))</f>
        <v>24-26 cm</v>
      </c>
      <c r="AC28" s="64" t="str">
        <f>IF(B28="","",VLOOKUP(Sayfa1!AD40,Varsayımlar!B:S,18,0))</f>
        <v>80x120cm</v>
      </c>
      <c r="AD28" s="57" t="str">
        <f t="shared" si="0"/>
        <v>UNITERA-KAZAKİSTANTortillas 25cm Tam Buğday 6pcs 390g</v>
      </c>
    </row>
    <row r="29" spans="1:30" ht="31.5" x14ac:dyDescent="0.25">
      <c r="A29" s="8" t="s">
        <v>142</v>
      </c>
      <c r="B29" s="64" t="s">
        <v>288</v>
      </c>
      <c r="C29" s="3">
        <f>IF(B29="","",VLOOKUP(AD29,Varsayımlar!$B:$Q,3,0))</f>
        <v>8698829380698</v>
      </c>
      <c r="D29" s="3"/>
      <c r="E29" s="64" t="s">
        <v>252</v>
      </c>
      <c r="F29" s="64">
        <v>20201016</v>
      </c>
      <c r="G29" s="3" t="s">
        <v>68</v>
      </c>
      <c r="H29" s="64" t="str">
        <f>IF(B29="","",VLOOKUP(AD29,Varsayımlar!$B:$Q,5,0))</f>
        <v>Tortillas 20cm Sade</v>
      </c>
      <c r="I29" s="64" t="str">
        <f>IF(B29="","",VLOOKUP(AD29,Varsayımlar!B:T,19,0))</f>
        <v>Arka kısma İçerik</v>
      </c>
      <c r="J29" s="64" t="str">
        <f>IF(B29="","",VLOOKUP(AD29,Varsayımlar!$B:$Q,6,0))</f>
        <v>SADE</v>
      </c>
      <c r="K29" s="64">
        <v>300</v>
      </c>
      <c r="L29" s="64"/>
      <c r="M29" s="64">
        <f>IFERROR(IF(B29="","",K29/VLOOKUP(AD29,Varsayımlar!B:R,17,0)),"")</f>
        <v>3</v>
      </c>
      <c r="N29" s="64"/>
      <c r="O29" s="64">
        <v>5</v>
      </c>
      <c r="P29" s="64">
        <f>IF(B29="","",VLOOKUP(AD29,Varsayımlar!$B:$Q,7,0)*K29)</f>
        <v>5400</v>
      </c>
      <c r="Q29" s="64">
        <f>IF(B29="","",VLOOKUP(AD29,Varsayımlar!$B:$Q,8,0))</f>
        <v>20</v>
      </c>
      <c r="R29" s="64" t="str">
        <f>IF(B29="","",VLOOKUP(AD29,Varsayımlar!$B:$Q,9,0))</f>
        <v>Irak Soft</v>
      </c>
      <c r="S29" s="64">
        <f>IF(B29="","",VLOOKUP(AD29,Varsayımlar!$B:$Q,10,0))</f>
        <v>6</v>
      </c>
      <c r="T29" s="64">
        <f>IF(B29="","",VLOOKUP(AD29,Varsayımlar!$B:$Q,11,0))</f>
        <v>18</v>
      </c>
      <c r="U29" s="64">
        <f>IF(B29="","",VLOOKUP(AD29,Varsayımlar!$B:$Q,12,0))</f>
        <v>270</v>
      </c>
      <c r="V29" s="64" t="str">
        <f>IF(B29="","",VLOOKUP(AD29,Varsayımlar!$B:$Q,13,0))</f>
        <v>YURTDIŞI</v>
      </c>
      <c r="W29" s="64">
        <f>IF(B29="","",VLOOKUP(AD29,Varsayımlar!$B:$Q,14,0))</f>
        <v>9</v>
      </c>
      <c r="X29" s="66">
        <v>46202</v>
      </c>
      <c r="Y29" s="66">
        <v>46475</v>
      </c>
      <c r="Z29" s="64">
        <v>26062920</v>
      </c>
      <c r="AA29" s="64" t="str">
        <f>IF(B29="","",VLOOKUP(AD29,Varsayımlar!$B:$Q,15,0))</f>
        <v>20cm Koli</v>
      </c>
      <c r="AB29" s="64" t="str">
        <f>IF(B29="","",VLOOKUP(AD29,Varsayımlar!$B:$Q,16,0))</f>
        <v>19-21cm</v>
      </c>
      <c r="AC29" s="64" t="str">
        <f>IF(B29="","",VLOOKUP(Sayfa1!AD41,Varsayımlar!B:S,18,0))</f>
        <v>80x120cm</v>
      </c>
      <c r="AD29" s="57" t="str">
        <f t="shared" si="0"/>
        <v>UNITERA-KAZAKİSTANTortillas 20cm Sade 6pcs 270g</v>
      </c>
    </row>
    <row r="30" spans="1:30" ht="31.5" x14ac:dyDescent="0.25">
      <c r="A30" s="8" t="s">
        <v>143</v>
      </c>
      <c r="B30" s="80" t="s">
        <v>218</v>
      </c>
      <c r="C30" s="44">
        <f>IF(B30="","",VLOOKUP(AD30,Varsayımlar!$B:$Q,3,0))</f>
        <v>8698829380698</v>
      </c>
      <c r="D30" s="44" t="s">
        <v>160</v>
      </c>
      <c r="E30" s="80" t="s">
        <v>229</v>
      </c>
      <c r="F30" s="80">
        <v>26042907</v>
      </c>
      <c r="G30" s="44"/>
      <c r="H30" s="80" t="str">
        <f>IF(B30="","",VLOOKUP(AD30,Varsayımlar!$B:$Q,5,0))</f>
        <v>Tortillas Avrupa 25cm Tam Buğday (711)</v>
      </c>
      <c r="I30" s="80">
        <f>IF(B30="","",VLOOKUP(AD30,Varsayımlar!B:T,19,0))</f>
        <v>0</v>
      </c>
      <c r="J30" s="80" t="str">
        <f>IF(B30="","",VLOOKUP(AD30,Varsayımlar!$B:$Q,6,0))</f>
        <v>Tam Buğdaylı</v>
      </c>
      <c r="K30" s="80">
        <v>840</v>
      </c>
      <c r="L30" s="80"/>
      <c r="M30" s="80">
        <f>IFERROR(IF(B30="","",K30/VLOOKUP(AD30,Varsayımlar!B:R,17,0)),"")</f>
        <v>7</v>
      </c>
      <c r="N30" s="80"/>
      <c r="O30" s="80">
        <v>9</v>
      </c>
      <c r="P30" s="80">
        <f>IF(B30="","",VLOOKUP(AD30,Varsayımlar!$B:$Q,7,0)*K30)</f>
        <v>6720</v>
      </c>
      <c r="Q30" s="80">
        <f>IF(B30="","",VLOOKUP(AD30,Varsayımlar!$B:$Q,8,0))</f>
        <v>25</v>
      </c>
      <c r="R30" s="80" t="str">
        <f>IF(B30="","",VLOOKUP(AD30,Varsayımlar!$B:$Q,9,0))</f>
        <v>Irak Soft</v>
      </c>
      <c r="S30" s="80">
        <f>IF(B30="","",VLOOKUP(AD30,Varsayımlar!$B:$Q,10,0))</f>
        <v>10</v>
      </c>
      <c r="T30" s="80">
        <f>IF(B30="","",VLOOKUP(AD30,Varsayımlar!$B:$Q,11,0))</f>
        <v>8</v>
      </c>
      <c r="U30" s="80">
        <f>IF(B30="","",VLOOKUP(AD30,Varsayımlar!$B:$Q,12,0))</f>
        <v>650</v>
      </c>
      <c r="V30" s="80" t="str">
        <f>IF(B30="","",VLOOKUP(AD30,Varsayımlar!$B:$Q,13,0))</f>
        <v>Yurtdışı</v>
      </c>
      <c r="W30" s="80">
        <f>IF(B30="","",VLOOKUP(AD30,Varsayımlar!$B:$Q,14,0))</f>
        <v>9</v>
      </c>
      <c r="X30" s="81">
        <v>46203</v>
      </c>
      <c r="Y30" s="81">
        <v>46476</v>
      </c>
      <c r="Z30" s="80" t="s">
        <v>379</v>
      </c>
      <c r="AA30" s="80" t="str">
        <f>IF(B30="","",VLOOKUP(AD30,Varsayımlar!$B:$Q,15,0))</f>
        <v>25cm Perforeli-Bulgarca TB etiket</v>
      </c>
      <c r="AB30" s="80" t="str">
        <f>IF(B30="","",VLOOKUP(AD30,Varsayımlar!$B:$Q,16,0))</f>
        <v>24-26 cm</v>
      </c>
      <c r="AC30" s="80" t="str">
        <f>IF(B30="","",VLOOKUP(Sayfa1!AD57,Varsayımlar!B:S,18,0))</f>
        <v>80x120cm -Epal+Epal</v>
      </c>
      <c r="AD30" s="57" t="str">
        <f t="shared" si="0"/>
        <v>TASTE LAND-BULGARİSTANTortillas 25cm Tam Buğday 10pcs 650g</v>
      </c>
    </row>
    <row r="31" spans="1:30" ht="47.25" x14ac:dyDescent="0.25">
      <c r="A31" s="8" t="s">
        <v>144</v>
      </c>
      <c r="B31" s="80" t="s">
        <v>218</v>
      </c>
      <c r="C31" s="44">
        <f>IF(B31="","",VLOOKUP(AD31,Varsayımlar!$B:$Q,3,0))</f>
        <v>8698829380698</v>
      </c>
      <c r="D31" s="44" t="s">
        <v>160</v>
      </c>
      <c r="E31" s="80" t="s">
        <v>232</v>
      </c>
      <c r="F31" s="80">
        <v>26042907</v>
      </c>
      <c r="G31" s="44"/>
      <c r="H31" s="80" t="str">
        <f>IF(B31="","",VLOOKUP(AD31,Varsayımlar!$B:$Q,5,0))</f>
        <v>Tortillas Avrupa 25cm Domatesli (074)</v>
      </c>
      <c r="I31" s="80">
        <f>IF(B31="","",VLOOKUP(AD31,Varsayımlar!B:T,19,0))</f>
        <v>0</v>
      </c>
      <c r="J31" s="80" t="str">
        <f>IF(B31="","",VLOOKUP(AD31,Varsayımlar!$B:$Q,6,0))</f>
        <v>Domatesli</v>
      </c>
      <c r="K31" s="80">
        <v>480</v>
      </c>
      <c r="L31" s="80"/>
      <c r="M31" s="80">
        <f>IFERROR(IF(B31="","",K31/VLOOKUP(AD31,Varsayımlar!B:R,17,0)),"")</f>
        <v>4</v>
      </c>
      <c r="N31" s="80"/>
      <c r="O31" s="80">
        <v>5</v>
      </c>
      <c r="P31" s="80">
        <f>IF(B31="","",VLOOKUP(AD31,Varsayımlar!$B:$Q,7,0)*K31)</f>
        <v>5760</v>
      </c>
      <c r="Q31" s="80">
        <f>IF(B31="","",VLOOKUP(AD31,Varsayımlar!$B:$Q,8,0))</f>
        <v>25</v>
      </c>
      <c r="R31" s="80" t="str">
        <f>IF(B31="","",VLOOKUP(AD31,Varsayımlar!$B:$Q,9,0))</f>
        <v>Irak Soft</v>
      </c>
      <c r="S31" s="80">
        <f>IF(B31="","",VLOOKUP(AD31,Varsayımlar!$B:$Q,10,0))</f>
        <v>6</v>
      </c>
      <c r="T31" s="80">
        <f>IF(B31="","",VLOOKUP(AD31,Varsayımlar!$B:$Q,11,0))</f>
        <v>12</v>
      </c>
      <c r="U31" s="80">
        <f>IF(B31="","",VLOOKUP(AD31,Varsayımlar!$B:$Q,12,0))</f>
        <v>390</v>
      </c>
      <c r="V31" s="80" t="str">
        <f>IF(B31="","",VLOOKUP(AD31,Varsayımlar!$B:$Q,13,0))</f>
        <v>Yurtdışı</v>
      </c>
      <c r="W31" s="80">
        <f>IF(B31="","",VLOOKUP(AD31,Varsayımlar!$B:$Q,14,0))</f>
        <v>9</v>
      </c>
      <c r="X31" s="81">
        <v>46203</v>
      </c>
      <c r="Y31" s="81">
        <v>46476</v>
      </c>
      <c r="Z31" s="80" t="s">
        <v>380</v>
      </c>
      <c r="AA31" s="80" t="str">
        <f>IF(B31="","",VLOOKUP(AD31,Varsayımlar!$B:$Q,15,0))</f>
        <v>25cm Perforeli-Bulgarca Domatesli etiket</v>
      </c>
      <c r="AB31" s="80" t="str">
        <f>IF(B31="","",VLOOKUP(AD31,Varsayımlar!$B:$Q,16,0))</f>
        <v>24-26 cm</v>
      </c>
      <c r="AC31" s="80" t="str">
        <f>IF(B31="","",VLOOKUP(Sayfa1!AD58,Varsayımlar!B:S,18,0))</f>
        <v>80x120cm -Epal+Epal</v>
      </c>
      <c r="AD31" s="57" t="str">
        <f t="shared" si="0"/>
        <v>TASTE LAND-BULGARİSTANTortillas 25cm Domatesli 6pcs 390g</v>
      </c>
    </row>
    <row r="32" spans="1:30" ht="47.25" x14ac:dyDescent="0.25">
      <c r="A32" s="8" t="s">
        <v>145</v>
      </c>
      <c r="B32" s="80" t="s">
        <v>218</v>
      </c>
      <c r="C32" s="44">
        <f>IF(B32="","",VLOOKUP(AD32,Varsayımlar!$B:$Q,3,0))</f>
        <v>8698829380698</v>
      </c>
      <c r="D32" s="44" t="s">
        <v>160</v>
      </c>
      <c r="E32" s="80" t="s">
        <v>235</v>
      </c>
      <c r="F32" s="80">
        <v>26042907</v>
      </c>
      <c r="G32" s="44"/>
      <c r="H32" s="80" t="str">
        <f>IF(B32="","",VLOOKUP(AD32,Varsayımlar!$B:$Q,5,0))</f>
        <v>Tortillas Avrupa 25cm Ispanaklı (081)</v>
      </c>
      <c r="I32" s="80">
        <f>IF(B32="","",VLOOKUP(AD32,Varsayımlar!B:T,19,0))</f>
        <v>0</v>
      </c>
      <c r="J32" s="80" t="str">
        <f>IF(B32="","",VLOOKUP(AD32,Varsayımlar!$B:$Q,6,0))</f>
        <v>Ispanaklı</v>
      </c>
      <c r="K32" s="80">
        <v>480</v>
      </c>
      <c r="L32" s="80"/>
      <c r="M32" s="80">
        <f>IFERROR(IF(B32="","",K32/VLOOKUP(AD32,Varsayımlar!B:R,17,0)),"")</f>
        <v>4</v>
      </c>
      <c r="N32" s="80"/>
      <c r="O32" s="80">
        <v>5</v>
      </c>
      <c r="P32" s="80">
        <f>IF(B32="","",VLOOKUP(AD32,Varsayımlar!$B:$Q,7,0)*K32)</f>
        <v>5760</v>
      </c>
      <c r="Q32" s="80">
        <f>IF(B32="","",VLOOKUP(AD32,Varsayımlar!$B:$Q,8,0))</f>
        <v>25</v>
      </c>
      <c r="R32" s="80" t="str">
        <f>IF(B32="","",VLOOKUP(AD32,Varsayımlar!$B:$Q,9,0))</f>
        <v>Irak Soft</v>
      </c>
      <c r="S32" s="80">
        <f>IF(B32="","",VLOOKUP(AD32,Varsayımlar!$B:$Q,10,0))</f>
        <v>6</v>
      </c>
      <c r="T32" s="80">
        <f>IF(B32="","",VLOOKUP(AD32,Varsayımlar!$B:$Q,11,0))</f>
        <v>12</v>
      </c>
      <c r="U32" s="80">
        <f>IF(B32="","",VLOOKUP(AD32,Varsayımlar!$B:$Q,12,0))</f>
        <v>390</v>
      </c>
      <c r="V32" s="80" t="str">
        <f>IF(B32="","",VLOOKUP(AD32,Varsayımlar!$B:$Q,13,0))</f>
        <v>Yurtdışı</v>
      </c>
      <c r="W32" s="80">
        <f>IF(B32="","",VLOOKUP(AD32,Varsayımlar!$B:$Q,14,0))</f>
        <v>9</v>
      </c>
      <c r="X32" s="81">
        <v>46203</v>
      </c>
      <c r="Y32" s="81">
        <v>46476</v>
      </c>
      <c r="Z32" s="80" t="s">
        <v>381</v>
      </c>
      <c r="AA32" s="80" t="str">
        <f>IF(B32="","",VLOOKUP(AD32,Varsayımlar!$B:$Q,15,0))</f>
        <v>25cm Perforeli-Bulgarca Ispanaklı etiket</v>
      </c>
      <c r="AB32" s="80" t="str">
        <f>IF(B32="","",VLOOKUP(AD32,Varsayımlar!$B:$Q,16,0))</f>
        <v>24-26 cm</v>
      </c>
      <c r="AC32" s="80" t="str">
        <f>IF(B32="","",VLOOKUP(Sayfa1!AD59,Varsayımlar!B:S,18,0))</f>
        <v>80x120cm -Epal+Epal</v>
      </c>
      <c r="AD32" s="57" t="str">
        <f t="shared" si="0"/>
        <v>TASTE LAND-BULGARİSTANTortillas 25cm Ispanaklı 6pcs 390g</v>
      </c>
    </row>
    <row r="33" spans="1:30" ht="47.25" x14ac:dyDescent="0.25">
      <c r="A33" s="8" t="s">
        <v>146</v>
      </c>
      <c r="B33" s="80" t="s">
        <v>218</v>
      </c>
      <c r="C33" s="44">
        <f>IF(B33="","",VLOOKUP(AD33,Varsayımlar!$B:$Q,3,0))</f>
        <v>8698829380698</v>
      </c>
      <c r="D33" s="44" t="s">
        <v>160</v>
      </c>
      <c r="E33" s="80" t="s">
        <v>240</v>
      </c>
      <c r="F33" s="80">
        <v>26042907</v>
      </c>
      <c r="G33" s="44"/>
      <c r="H33" s="80" t="str">
        <f>IF(B33="","",VLOOKUP(AD33,Varsayımlar!$B:$Q,5,0))</f>
        <v>Tortillas Avrupa 25cm Peynirli (098)</v>
      </c>
      <c r="I33" s="80">
        <f>IF(B33="","",VLOOKUP(AD33,Varsayımlar!B:T,19,0))</f>
        <v>0</v>
      </c>
      <c r="J33" s="80" t="str">
        <f>IF(B33="","",VLOOKUP(AD33,Varsayımlar!$B:$Q,6,0))</f>
        <v>Peynirli</v>
      </c>
      <c r="K33" s="80">
        <v>360</v>
      </c>
      <c r="L33" s="80"/>
      <c r="M33" s="80">
        <f>IFERROR(IF(B33="","",K33/VLOOKUP(AD33,Varsayımlar!B:R,17,0)),"")</f>
        <v>3</v>
      </c>
      <c r="N33" s="80"/>
      <c r="O33" s="80">
        <v>4</v>
      </c>
      <c r="P33" s="80">
        <f>IF(B33="","",VLOOKUP(AD33,Varsayımlar!$B:$Q,7,0)*K33)</f>
        <v>4320</v>
      </c>
      <c r="Q33" s="80">
        <f>IF(B33="","",VLOOKUP(AD33,Varsayımlar!$B:$Q,8,0))</f>
        <v>25</v>
      </c>
      <c r="R33" s="80" t="str">
        <f>IF(B33="","",VLOOKUP(AD33,Varsayımlar!$B:$Q,9,0))</f>
        <v>Irak Soft-AT</v>
      </c>
      <c r="S33" s="80">
        <f>IF(B33="","",VLOOKUP(AD33,Varsayımlar!$B:$Q,10,0))</f>
        <v>6</v>
      </c>
      <c r="T33" s="80">
        <f>IF(B33="","",VLOOKUP(AD33,Varsayımlar!$B:$Q,11,0))</f>
        <v>12</v>
      </c>
      <c r="U33" s="80">
        <f>IF(B33="","",VLOOKUP(AD33,Varsayımlar!$B:$Q,12,0))</f>
        <v>390</v>
      </c>
      <c r="V33" s="80" t="str">
        <f>IF(B33="","",VLOOKUP(AD33,Varsayımlar!$B:$Q,13,0))</f>
        <v>Yurtdışı</v>
      </c>
      <c r="W33" s="80">
        <f>IF(B33="","",VLOOKUP(AD33,Varsayımlar!$B:$Q,14,0))</f>
        <v>9</v>
      </c>
      <c r="X33" s="81">
        <v>46203</v>
      </c>
      <c r="Y33" s="81">
        <v>46476</v>
      </c>
      <c r="Z33" s="80" t="s">
        <v>382</v>
      </c>
      <c r="AA33" s="80" t="str">
        <f>IF(B33="","",VLOOKUP(AD33,Varsayımlar!$B:$Q,15,0))</f>
        <v>25cm Perforeli-Bulgarca Peynirli etiket</v>
      </c>
      <c r="AB33" s="80" t="str">
        <f>IF(B33="","",VLOOKUP(AD33,Varsayımlar!$B:$Q,16,0))</f>
        <v>24-26 cm</v>
      </c>
      <c r="AC33" s="80" t="str">
        <f>IF(B33="","",VLOOKUP(Sayfa1!AD60,Varsayımlar!B:S,18,0))</f>
        <v>80x120cm -Epal+Epal</v>
      </c>
      <c r="AD33" s="57" t="str">
        <f t="shared" si="0"/>
        <v>TASTE LAND-BULGARİSTANTortillas 25cm Peynirli 6pcs 390g</v>
      </c>
    </row>
    <row r="34" spans="1:30" ht="47.25" x14ac:dyDescent="0.25">
      <c r="A34" s="8" t="s">
        <v>147</v>
      </c>
      <c r="B34" s="54" t="s">
        <v>268</v>
      </c>
      <c r="C34" s="39">
        <f>IF(B34="","",VLOOKUP(AD34,Varsayımlar!$B:$Q,3,0))</f>
        <v>8698829380698</v>
      </c>
      <c r="D34" s="39" t="s">
        <v>160</v>
      </c>
      <c r="E34" s="54" t="s">
        <v>269</v>
      </c>
      <c r="F34" s="54" t="s">
        <v>343</v>
      </c>
      <c r="G34" s="39" t="s">
        <v>68</v>
      </c>
      <c r="H34" s="54" t="str">
        <f>IF(B34="","",VLOOKUP(AD34,Varsayımlar!$B:$Q,5,0))</f>
        <v>Tortillas 25cm Tam Buğday</v>
      </c>
      <c r="I34" s="54">
        <f>IF(B34="","",VLOOKUP(AD34,Varsayımlar!B:T,19,0))</f>
        <v>0</v>
      </c>
      <c r="J34" s="54" t="str">
        <f>IF(B34="","",VLOOKUP(AD34,Varsayımlar!$B:$Q,6,0))</f>
        <v>Tam Buğdaylı</v>
      </c>
      <c r="K34" s="54">
        <v>336</v>
      </c>
      <c r="L34" s="54"/>
      <c r="M34" s="54">
        <f>IFERROR(IF(B34="","",K34/VLOOKUP(AD34,Varsayımlar!B:R,17,0)),"")</f>
        <v>4</v>
      </c>
      <c r="N34" s="54"/>
      <c r="O34" s="54">
        <v>6</v>
      </c>
      <c r="P34" s="54">
        <f>IF(B34="","",VLOOKUP(AD34,Varsayımlar!$B:$Q,7,0)*K34)</f>
        <v>10080</v>
      </c>
      <c r="Q34" s="54">
        <f>IF(B34="","",VLOOKUP(AD34,Varsayımlar!$B:$Q,8,0))</f>
        <v>25</v>
      </c>
      <c r="R34" s="54" t="str">
        <f>IF(B34="","",VLOOKUP(AD34,Varsayımlar!$B:$Q,9,0))</f>
        <v>Soft-PA3</v>
      </c>
      <c r="S34" s="54">
        <f>IF(B34="","",VLOOKUP(AD34,Varsayımlar!$B:$Q,10,0))</f>
        <v>4</v>
      </c>
      <c r="T34" s="54">
        <f>IF(B34="","",VLOOKUP(AD34,Varsayımlar!$B:$Q,11,0))</f>
        <v>30</v>
      </c>
      <c r="U34" s="54">
        <f>IF(B34="","",VLOOKUP(AD34,Varsayımlar!$B:$Q,12,0))</f>
        <v>240</v>
      </c>
      <c r="V34" s="54" t="str">
        <f>IF(B34="","",VLOOKUP(AD34,Varsayımlar!$B:$Q,13,0))</f>
        <v>Yurtdışı</v>
      </c>
      <c r="W34" s="54">
        <f>IF(B34="","",VLOOKUP(AD34,Varsayımlar!$B:$Q,14,0))</f>
        <v>12</v>
      </c>
      <c r="X34" s="56">
        <v>46205</v>
      </c>
      <c r="Y34" s="56">
        <v>46570</v>
      </c>
      <c r="Z34" s="54" t="s">
        <v>383</v>
      </c>
      <c r="AA34" s="54" t="str">
        <f>IF(B34="","",VLOOKUP(AD34,Varsayımlar!$B:$Q,15,0))</f>
        <v>25cm Kolisi-Etiketli</v>
      </c>
      <c r="AB34" s="54" t="str">
        <f>IF(B34="","",VLOOKUP(AD34,Varsayımlar!$B:$Q,16,0))</f>
        <v>24-26 cm (Macca Hetto Inkjet Uzun Tarih)</v>
      </c>
      <c r="AC34" s="54" t="str">
        <f>IF(B34="","",VLOOKUP(Sayfa1!AD36,Varsayımlar!B:S,18,0))</f>
        <v>80x120cm</v>
      </c>
      <c r="AD34" s="57" t="str">
        <f t="shared" si="0"/>
        <v>LAIKYUZHN-BELARUSTortillas 25cm Tam buğday 4pcs 240g</v>
      </c>
    </row>
    <row r="35" spans="1:30" ht="47.25" x14ac:dyDescent="0.25">
      <c r="A35" s="8" t="s">
        <v>148</v>
      </c>
      <c r="B35" s="54" t="s">
        <v>268</v>
      </c>
      <c r="C35" s="39">
        <f>IF(B35="","",VLOOKUP(AD35,Varsayımlar!$B:$Q,3,0))</f>
        <v>8698829380698</v>
      </c>
      <c r="D35" s="39" t="s">
        <v>160</v>
      </c>
      <c r="E35" s="54" t="s">
        <v>274</v>
      </c>
      <c r="F35" s="54" t="s">
        <v>343</v>
      </c>
      <c r="G35" s="39" t="s">
        <v>68</v>
      </c>
      <c r="H35" s="54" t="str">
        <f>IF(B35="","",VLOOKUP(AD35,Varsayımlar!$B:$Q,5,0))</f>
        <v>Tortillas 25cm Domatesli</v>
      </c>
      <c r="I35" s="54">
        <f>IF(B35="","",VLOOKUP(AD35,Varsayımlar!B:T,19,0))</f>
        <v>0</v>
      </c>
      <c r="J35" s="54" t="str">
        <f>IF(B35="","",VLOOKUP(AD35,Varsayımlar!$B:$Q,6,0))</f>
        <v>Domatesli</v>
      </c>
      <c r="K35" s="54">
        <v>420</v>
      </c>
      <c r="L35" s="54"/>
      <c r="M35" s="54">
        <f>IFERROR(IF(B35="","",K35/VLOOKUP(AD35,Varsayımlar!B:R,17,0)),"")</f>
        <v>5</v>
      </c>
      <c r="N35" s="54"/>
      <c r="O35" s="54">
        <v>7</v>
      </c>
      <c r="P35" s="54">
        <f>IF(B35="","",VLOOKUP(AD35,Varsayımlar!$B:$Q,7,0)*K35)</f>
        <v>12600</v>
      </c>
      <c r="Q35" s="54">
        <f>IF(B35="","",VLOOKUP(AD35,Varsayımlar!$B:$Q,8,0))</f>
        <v>25</v>
      </c>
      <c r="R35" s="54" t="str">
        <f>IF(B35="","",VLOOKUP(AD35,Varsayımlar!$B:$Q,9,0))</f>
        <v>Soft-PA3</v>
      </c>
      <c r="S35" s="54">
        <f>IF(B35="","",VLOOKUP(AD35,Varsayımlar!$B:$Q,10,0))</f>
        <v>4</v>
      </c>
      <c r="T35" s="54">
        <f>IF(B35="","",VLOOKUP(AD35,Varsayımlar!$B:$Q,11,0))</f>
        <v>30</v>
      </c>
      <c r="U35" s="54">
        <f>IF(B35="","",VLOOKUP(AD35,Varsayımlar!$B:$Q,12,0))</f>
        <v>240</v>
      </c>
      <c r="V35" s="54" t="str">
        <f>IF(B35="","",VLOOKUP(AD35,Varsayımlar!$B:$Q,13,0))</f>
        <v>Yurtdışı</v>
      </c>
      <c r="W35" s="54">
        <f>IF(B35="","",VLOOKUP(AD35,Varsayımlar!$B:$Q,14,0))</f>
        <v>12</v>
      </c>
      <c r="X35" s="56">
        <v>46205</v>
      </c>
      <c r="Y35" s="56">
        <v>46570</v>
      </c>
      <c r="Z35" s="54" t="s">
        <v>384</v>
      </c>
      <c r="AA35" s="54" t="str">
        <f>IF(B35="","",VLOOKUP(AD35,Varsayımlar!$B:$Q,15,0))</f>
        <v>25cm Kolisi-Etiketli</v>
      </c>
      <c r="AB35" s="54" t="str">
        <f>IF(B35="","",VLOOKUP(AD35,Varsayımlar!$B:$Q,16,0))</f>
        <v>24-26 cm (Macca Hetto Inkjet Uzun Tarih)</v>
      </c>
      <c r="AC35" s="54" t="str">
        <f>IF(B35="","",VLOOKUP(Sayfa1!AD37,Varsayımlar!B:S,18,0))</f>
        <v>80x120cm</v>
      </c>
      <c r="AD35" s="57" t="str">
        <f t="shared" si="0"/>
        <v>LAIKYUZHN-BELARUSTortillas 25cm Domatesli 4pcs 240g</v>
      </c>
    </row>
    <row r="36" spans="1:30" ht="47.25" x14ac:dyDescent="0.25">
      <c r="A36" s="8" t="s">
        <v>149</v>
      </c>
      <c r="B36" s="54" t="s">
        <v>268</v>
      </c>
      <c r="C36" s="39">
        <f>IF(B36="","",VLOOKUP(AD36,Varsayımlar!$B:$Q,3,0))</f>
        <v>8698829380698</v>
      </c>
      <c r="D36" s="39" t="s">
        <v>160</v>
      </c>
      <c r="E36" s="54" t="s">
        <v>276</v>
      </c>
      <c r="F36" s="54" t="s">
        <v>343</v>
      </c>
      <c r="G36" s="39" t="s">
        <v>68</v>
      </c>
      <c r="H36" s="54" t="str">
        <f>IF(B36="","",VLOOKUP(AD36,Varsayımlar!$B:$Q,5,0))</f>
        <v>Tortillas 25cm Ispanaklı</v>
      </c>
      <c r="I36" s="54">
        <f>IF(B36="","",VLOOKUP(AD36,Varsayımlar!B:T,19,0))</f>
        <v>0</v>
      </c>
      <c r="J36" s="54" t="str">
        <f>IF(B36="","",VLOOKUP(AD36,Varsayımlar!$B:$Q,6,0))</f>
        <v>Ispanaklı</v>
      </c>
      <c r="K36" s="54">
        <v>336</v>
      </c>
      <c r="L36" s="54"/>
      <c r="M36" s="54">
        <f>IFERROR(IF(B36="","",K36/VLOOKUP(AD36,Varsayımlar!B:R,17,0)),"")</f>
        <v>4</v>
      </c>
      <c r="N36" s="54"/>
      <c r="O36" s="54">
        <v>6</v>
      </c>
      <c r="P36" s="54">
        <f>IF(B36="","",VLOOKUP(AD36,Varsayımlar!$B:$Q,7,0)*K36)</f>
        <v>10080</v>
      </c>
      <c r="Q36" s="54">
        <f>IF(B36="","",VLOOKUP(AD36,Varsayımlar!$B:$Q,8,0))</f>
        <v>25</v>
      </c>
      <c r="R36" s="54" t="str">
        <f>IF(B36="","",VLOOKUP(AD36,Varsayımlar!$B:$Q,9,0))</f>
        <v>Soft-PA3</v>
      </c>
      <c r="S36" s="54">
        <f>IF(B36="","",VLOOKUP(AD36,Varsayımlar!$B:$Q,10,0))</f>
        <v>4</v>
      </c>
      <c r="T36" s="54">
        <f>IF(B36="","",VLOOKUP(AD36,Varsayımlar!$B:$Q,11,0))</f>
        <v>30</v>
      </c>
      <c r="U36" s="54">
        <f>IF(B36="","",VLOOKUP(AD36,Varsayımlar!$B:$Q,12,0))</f>
        <v>240</v>
      </c>
      <c r="V36" s="54" t="str">
        <f>IF(B36="","",VLOOKUP(AD36,Varsayımlar!$B:$Q,13,0))</f>
        <v>Yurtdışı</v>
      </c>
      <c r="W36" s="54">
        <f>IF(B36="","",VLOOKUP(AD36,Varsayımlar!$B:$Q,14,0))</f>
        <v>12</v>
      </c>
      <c r="X36" s="56">
        <v>46205</v>
      </c>
      <c r="Y36" s="56">
        <v>46570</v>
      </c>
      <c r="Z36" s="54" t="s">
        <v>385</v>
      </c>
      <c r="AA36" s="54" t="str">
        <f>IF(B36="","",VLOOKUP(AD36,Varsayımlar!$B:$Q,15,0))</f>
        <v>25cm Kolisi-Etiketli</v>
      </c>
      <c r="AB36" s="54" t="str">
        <f>IF(B36="","",VLOOKUP(AD36,Varsayımlar!$B:$Q,16,0))</f>
        <v>24-26 cm (Macca Hetto Inkjet Uzun Tarih)</v>
      </c>
      <c r="AC36" s="54" t="str">
        <f>IF(B36="","",VLOOKUP(Sayfa1!AD38,Varsayımlar!B:S,18,0))</f>
        <v>80x120cm</v>
      </c>
      <c r="AD36" s="57" t="str">
        <f t="shared" si="0"/>
        <v>LAIKYUZHN-BELARUSTortillas 25cm Ispanaklı 4pcs 240g</v>
      </c>
    </row>
    <row r="37" spans="1:30" ht="47.25" x14ac:dyDescent="0.25">
      <c r="A37" s="8" t="s">
        <v>150</v>
      </c>
      <c r="B37" s="54" t="s">
        <v>268</v>
      </c>
      <c r="C37" s="39">
        <f>IF(B37="","",VLOOKUP(AD37,Varsayımlar!$B:$Q,3,0))</f>
        <v>8698829380698</v>
      </c>
      <c r="D37" s="39" t="s">
        <v>160</v>
      </c>
      <c r="E37" s="54" t="s">
        <v>278</v>
      </c>
      <c r="F37" s="54" t="s">
        <v>343</v>
      </c>
      <c r="G37" s="39" t="s">
        <v>68</v>
      </c>
      <c r="H37" s="54" t="str">
        <f>IF(B37="","",VLOOKUP(AD37,Varsayımlar!$B:$Q,5,0))</f>
        <v>Magnit Tortillas 25cm Peynirli</v>
      </c>
      <c r="I37" s="54" t="str">
        <f>IF(B37="","",VLOOKUP(AD37,Varsayımlar!B:T,19,0))</f>
        <v>Etiketli</v>
      </c>
      <c r="J37" s="54" t="str">
        <f>IF(B37="","",VLOOKUP(AD37,Varsayımlar!$B:$Q,6,0))</f>
        <v>Peynirli</v>
      </c>
      <c r="K37" s="54">
        <v>504</v>
      </c>
      <c r="L37" s="54"/>
      <c r="M37" s="54">
        <f>IFERROR(IF(B37="","",K37/VLOOKUP(AD37,Varsayımlar!B:R,17,0)),"")</f>
        <v>6</v>
      </c>
      <c r="N37" s="54"/>
      <c r="O37" s="54">
        <v>9</v>
      </c>
      <c r="P37" s="54">
        <f>IF(B37="","",VLOOKUP(AD37,Varsayımlar!$B:$Q,7,0)*K37)</f>
        <v>15120</v>
      </c>
      <c r="Q37" s="54">
        <f>IF(B37="","",VLOOKUP(AD37,Varsayımlar!$B:$Q,8,0))</f>
        <v>25</v>
      </c>
      <c r="R37" s="54" t="str">
        <f>IF(B37="","",VLOOKUP(AD37,Varsayımlar!$B:$Q,9,0))</f>
        <v>Soft-PA3-AT</v>
      </c>
      <c r="S37" s="54">
        <f>IF(B37="","",VLOOKUP(AD37,Varsayımlar!$B:$Q,10,0))</f>
        <v>4</v>
      </c>
      <c r="T37" s="54">
        <f>IF(B37="","",VLOOKUP(AD37,Varsayımlar!$B:$Q,11,0))</f>
        <v>30</v>
      </c>
      <c r="U37" s="54">
        <f>IF(B37="","",VLOOKUP(AD37,Varsayımlar!$B:$Q,12,0))</f>
        <v>250</v>
      </c>
      <c r="V37" s="54" t="str">
        <f>IF(B37="","",VLOOKUP(AD37,Varsayımlar!$B:$Q,13,0))</f>
        <v>Yurtdışı</v>
      </c>
      <c r="W37" s="54">
        <f>IF(B37="","",VLOOKUP(AD37,Varsayımlar!$B:$Q,14,0))</f>
        <v>9</v>
      </c>
      <c r="X37" s="56">
        <v>46205</v>
      </c>
      <c r="Y37" s="56">
        <v>46479</v>
      </c>
      <c r="Z37" s="54" t="s">
        <v>386</v>
      </c>
      <c r="AA37" s="54" t="str">
        <f>IF(B37="","",VLOOKUP(AD37,Varsayımlar!$B:$Q,15,0))</f>
        <v>25cm Kolisi-Etiketli</v>
      </c>
      <c r="AB37" s="54" t="str">
        <f>IF(B37="","",VLOOKUP(AD37,Varsayımlar!$B:$Q,16,0))</f>
        <v>24-26 cm (Macca Hetto Inkjet Uzun Tarih)</v>
      </c>
      <c r="AC37" s="54" t="str">
        <f>IF(B37="","",VLOOKUP(Sayfa1!AD39,Varsayımlar!B:S,18,0))</f>
        <v>80x120cm</v>
      </c>
      <c r="AD37" s="57" t="str">
        <f t="shared" si="0"/>
        <v>LAIKYUZHN-BELARUSMagnit Tortillas 25cm Peynirli 4pcs 240g</v>
      </c>
    </row>
    <row r="38" spans="1:30" ht="47.25" x14ac:dyDescent="0.25">
      <c r="A38" s="8" t="s">
        <v>151</v>
      </c>
      <c r="B38" s="75" t="s">
        <v>218</v>
      </c>
      <c r="C38" s="43">
        <f>IF(B38="","",VLOOKUP(AD38,Varsayımlar!$B:$Q,3,0))</f>
        <v>8698829380698</v>
      </c>
      <c r="D38" s="43" t="s">
        <v>161</v>
      </c>
      <c r="E38" s="75" t="s">
        <v>252</v>
      </c>
      <c r="F38" s="75" t="s">
        <v>341</v>
      </c>
      <c r="G38" s="43"/>
      <c r="H38" s="75" t="str">
        <f>IF(B38="","",VLOOKUP(AD38,Varsayımlar!$B:$Q,5,0))</f>
        <v xml:space="preserve">Tortillas 20cm Sade </v>
      </c>
      <c r="I38" s="75" t="str">
        <f>IF(B38="","",VLOOKUP(AD38,Varsayımlar!B:T,19,0))</f>
        <v>Barkod üzerine Barkod Etiketi (104)</v>
      </c>
      <c r="J38" s="75" t="str">
        <f>IF(B38="","",VLOOKUP(AD38,Varsayımlar!$B:$Q,6,0))</f>
        <v>SADE</v>
      </c>
      <c r="K38" s="75">
        <v>120</v>
      </c>
      <c r="L38" s="75"/>
      <c r="M38" s="75">
        <f>IFERROR(IF(B38="","",K38/VLOOKUP(AD38,Varsayımlar!B:R,17,0)),"")</f>
        <v>1</v>
      </c>
      <c r="N38" s="75"/>
      <c r="O38" s="75">
        <v>2</v>
      </c>
      <c r="P38" s="75">
        <f>IF(B38="","",VLOOKUP(AD38,Varsayımlar!$B:$Q,7,0)*K38)</f>
        <v>2160</v>
      </c>
      <c r="Q38" s="75">
        <f>IF(B38="","",VLOOKUP(AD38,Varsayımlar!$B:$Q,8,0))</f>
        <v>20</v>
      </c>
      <c r="R38" s="75" t="str">
        <f>IF(B38="","",VLOOKUP(AD38,Varsayımlar!$B:$Q,9,0))</f>
        <v>Irak Soft</v>
      </c>
      <c r="S38" s="75">
        <f>IF(B38="","",VLOOKUP(AD38,Varsayımlar!$B:$Q,10,0))</f>
        <v>6</v>
      </c>
      <c r="T38" s="75">
        <f>IF(B38="","",VLOOKUP(AD38,Varsayımlar!$B:$Q,11,0))</f>
        <v>18</v>
      </c>
      <c r="U38" s="75">
        <f>IF(B38="","",VLOOKUP(AD38,Varsayımlar!$B:$Q,12,0))</f>
        <v>270</v>
      </c>
      <c r="V38" s="75" t="str">
        <f>IF(B38="","",VLOOKUP(AD38,Varsayımlar!$B:$Q,13,0))</f>
        <v>Yurtdışı</v>
      </c>
      <c r="W38" s="75">
        <f>IF(B38="","",VLOOKUP(AD38,Varsayımlar!$B:$Q,14,0))</f>
        <v>9</v>
      </c>
      <c r="X38" s="76"/>
      <c r="Y38" s="76"/>
      <c r="Z38" s="75"/>
      <c r="AA38" s="75" t="str">
        <f>IF(B38="","",VLOOKUP(AD38,Varsayımlar!$B:$Q,15,0))</f>
        <v>20cm Lacivert-Bulgarca Etiket</v>
      </c>
      <c r="AB38" s="75" t="str">
        <f>IF(B38="","",VLOOKUP(AD38,Varsayımlar!$B:$Q,16,0))</f>
        <v>19-21 cm</v>
      </c>
      <c r="AC38" s="75" t="str">
        <f>IF(B38="","",VLOOKUP(Sayfa1!AD21,Varsayımlar!B:S,18,0))</f>
        <v>100x120cm-Epal+Epal</v>
      </c>
      <c r="AD38" s="57" t="str">
        <f t="shared" si="0"/>
        <v>TASTE LAND-BULGARİSTANTortillas 20cm Sade 6pcs 270g</v>
      </c>
    </row>
    <row r="39" spans="1:30" ht="78.75" x14ac:dyDescent="0.25">
      <c r="A39" s="8" t="s">
        <v>152</v>
      </c>
      <c r="B39" s="75" t="s">
        <v>218</v>
      </c>
      <c r="C39" s="43">
        <f>IF(B39="","",VLOOKUP(AD39,Varsayımlar!$B:$Q,3,0))</f>
        <v>8698829380698</v>
      </c>
      <c r="D39" s="43" t="s">
        <v>161</v>
      </c>
      <c r="E39" s="75" t="s">
        <v>222</v>
      </c>
      <c r="F39" s="75" t="s">
        <v>341</v>
      </c>
      <c r="G39" s="43"/>
      <c r="H39" s="75" t="str">
        <f>IF(B39="","",VLOOKUP(AD39,Varsayımlar!$B:$Q,5,0))</f>
        <v xml:space="preserve">Tortillas 30cm Tam Buğday </v>
      </c>
      <c r="I39" s="75" t="str">
        <f>IF(B39="","",VLOOKUP(AD39,Varsayımlar!B:T,19,0))</f>
        <v>Barkod üzerine-Bulgarca Barkodlu TB içerik etiketi (029)</v>
      </c>
      <c r="J39" s="75" t="str">
        <f>IF(B39="","",VLOOKUP(AD39,Varsayımlar!$B:$Q,6,0))</f>
        <v>Tam Buğdaylı</v>
      </c>
      <c r="K39" s="75">
        <v>60</v>
      </c>
      <c r="L39" s="75"/>
      <c r="M39" s="75">
        <f>IFERROR(IF(B39="","",K39/VLOOKUP(AD39,Varsayımlar!B:R,17,0)),"")</f>
        <v>1</v>
      </c>
      <c r="N39" s="75"/>
      <c r="O39" s="75">
        <v>1</v>
      </c>
      <c r="P39" s="75">
        <f>IF(B39="","",VLOOKUP(AD39,Varsayımlar!$B:$Q,7,0)*K39)</f>
        <v>360</v>
      </c>
      <c r="Q39" s="75">
        <f>IF(B39="","",VLOOKUP(AD39,Varsayımlar!$B:$Q,8,0))</f>
        <v>30</v>
      </c>
      <c r="R39" s="75" t="str">
        <f>IF(B39="","",VLOOKUP(AD39,Varsayımlar!$B:$Q,9,0))</f>
        <v>Irak Soft</v>
      </c>
      <c r="S39" s="75">
        <f>IF(B39="","",VLOOKUP(AD39,Varsayımlar!$B:$Q,10,0))</f>
        <v>18</v>
      </c>
      <c r="T39" s="75">
        <f>IF(B39="","",VLOOKUP(AD39,Varsayımlar!$B:$Q,11,0))</f>
        <v>6</v>
      </c>
      <c r="U39" s="75">
        <f>IF(B39="","",VLOOKUP(AD39,Varsayımlar!$B:$Q,12,0))</f>
        <v>1620</v>
      </c>
      <c r="V39" s="75" t="str">
        <f>IF(B39="","",VLOOKUP(AD39,Varsayımlar!$B:$Q,13,0))</f>
        <v>Yurtdışı</v>
      </c>
      <c r="W39" s="75">
        <f>IF(B39="","",VLOOKUP(AD39,Varsayımlar!$B:$Q,14,0))</f>
        <v>9</v>
      </c>
      <c r="X39" s="76"/>
      <c r="Y39" s="76"/>
      <c r="Z39" s="75"/>
      <c r="AA39" s="75" t="str">
        <f>IF(B39="","",VLOOKUP(AD39,Varsayımlar!$B:$Q,15,0))</f>
        <v>30cm Lacivert Koli- Bulgarca TB Etiket</v>
      </c>
      <c r="AB39" s="75" t="str">
        <f>IF(B39="","",VLOOKUP(AD39,Varsayımlar!$B:$Q,16,0))</f>
        <v>29-31 cm</v>
      </c>
      <c r="AC39" s="75" t="str">
        <f>IF(B39="","",VLOOKUP(Sayfa1!AD20,Varsayımlar!B:S,18,0))</f>
        <v>95x130cm</v>
      </c>
      <c r="AD39" s="57" t="str">
        <f t="shared" si="0"/>
        <v>TASTE LAND-BULGARİSTANTortillas 30cm Tam Buğday 18pcs 1620g</v>
      </c>
    </row>
    <row r="40" spans="1:30" ht="31.5" x14ac:dyDescent="0.25">
      <c r="A40" s="8" t="s">
        <v>153</v>
      </c>
      <c r="B40" s="75" t="s">
        <v>218</v>
      </c>
      <c r="C40" s="43">
        <f>IF(B40="","",VLOOKUP(AD40,Varsayımlar!$B:$Q,3,0))</f>
        <v>8698829380698</v>
      </c>
      <c r="D40" s="43" t="s">
        <v>161</v>
      </c>
      <c r="E40" s="75" t="s">
        <v>229</v>
      </c>
      <c r="F40" s="75" t="s">
        <v>341</v>
      </c>
      <c r="G40" s="43"/>
      <c r="H40" s="75" t="str">
        <f>IF(B40="","",VLOOKUP(AD40,Varsayımlar!$B:$Q,5,0))</f>
        <v>Tortillas Avrupa 25cm Tam Buğday (711)</v>
      </c>
      <c r="I40" s="75">
        <f>IF(B40="","",VLOOKUP(AD40,Varsayımlar!B:T,19,0))</f>
        <v>0</v>
      </c>
      <c r="J40" s="75" t="str">
        <f>IF(B40="","",VLOOKUP(AD40,Varsayımlar!$B:$Q,6,0))</f>
        <v>Tam Buğdaylı</v>
      </c>
      <c r="K40" s="75">
        <v>840</v>
      </c>
      <c r="L40" s="75"/>
      <c r="M40" s="75">
        <f>IFERROR(IF(B40="","",K40/VLOOKUP(AD40,Varsayımlar!B:R,17,0)),"")</f>
        <v>7</v>
      </c>
      <c r="N40" s="75"/>
      <c r="O40" s="75">
        <v>9</v>
      </c>
      <c r="P40" s="75">
        <f>IF(B40="","",VLOOKUP(AD40,Varsayımlar!$B:$Q,7,0)*K40)</f>
        <v>6720</v>
      </c>
      <c r="Q40" s="75">
        <f>IF(B40="","",VLOOKUP(AD40,Varsayımlar!$B:$Q,8,0))</f>
        <v>25</v>
      </c>
      <c r="R40" s="75" t="str">
        <f>IF(B40="","",VLOOKUP(AD40,Varsayımlar!$B:$Q,9,0))</f>
        <v>Irak Soft</v>
      </c>
      <c r="S40" s="75">
        <f>IF(B40="","",VLOOKUP(AD40,Varsayımlar!$B:$Q,10,0))</f>
        <v>10</v>
      </c>
      <c r="T40" s="75">
        <f>IF(B40="","",VLOOKUP(AD40,Varsayımlar!$B:$Q,11,0))</f>
        <v>8</v>
      </c>
      <c r="U40" s="75">
        <f>IF(B40="","",VLOOKUP(AD40,Varsayımlar!$B:$Q,12,0))</f>
        <v>650</v>
      </c>
      <c r="V40" s="75" t="str">
        <f>IF(B40="","",VLOOKUP(AD40,Varsayımlar!$B:$Q,13,0))</f>
        <v>Yurtdışı</v>
      </c>
      <c r="W40" s="75">
        <f>IF(B40="","",VLOOKUP(AD40,Varsayımlar!$B:$Q,14,0))</f>
        <v>9</v>
      </c>
      <c r="X40" s="76"/>
      <c r="Y40" s="76"/>
      <c r="Z40" s="75"/>
      <c r="AA40" s="75" t="str">
        <f>IF(B40="","",VLOOKUP(AD40,Varsayımlar!$B:$Q,15,0))</f>
        <v>25cm Perforeli-Bulgarca TB etiket</v>
      </c>
      <c r="AB40" s="75" t="str">
        <f>IF(B40="","",VLOOKUP(AD40,Varsayımlar!$B:$Q,16,0))</f>
        <v>24-26 cm</v>
      </c>
      <c r="AC40" s="75" t="str">
        <f>IF(B40="","",VLOOKUP(Sayfa1!AD63,Varsayımlar!B:S,18,0))</f>
        <v>80x120cm -Epal+Epal</v>
      </c>
      <c r="AD40" s="57" t="str">
        <f t="shared" si="0"/>
        <v>TASTE LAND-BULGARİSTANTortillas 25cm Tam Buğday 10pcs 650g</v>
      </c>
    </row>
    <row r="41" spans="1:30" ht="47.25" x14ac:dyDescent="0.25">
      <c r="A41" s="8" t="s">
        <v>154</v>
      </c>
      <c r="B41" s="75" t="s">
        <v>218</v>
      </c>
      <c r="C41" s="43">
        <f>IF(B41="","",VLOOKUP(AD41,Varsayımlar!$B:$Q,3,0))</f>
        <v>8698829380698</v>
      </c>
      <c r="D41" s="43" t="s">
        <v>161</v>
      </c>
      <c r="E41" s="75" t="s">
        <v>251</v>
      </c>
      <c r="F41" s="75" t="s">
        <v>341</v>
      </c>
      <c r="G41" s="43"/>
      <c r="H41" s="75" t="str">
        <f>IF(B41="","",VLOOKUP(AD41,Varsayımlar!$B:$Q,5,0))</f>
        <v>Tortillas Avrupa 25cm TB (711)</v>
      </c>
      <c r="I41" s="75" t="str">
        <f>IF(B41="","",VLOOKUP(AD41,Varsayımlar!B:T,19,0))</f>
        <v>Barkod üzerine Barkod Etiketi (067)</v>
      </c>
      <c r="J41" s="75" t="str">
        <f>IF(B41="","",VLOOKUP(AD41,Varsayımlar!$B:$Q,6,0))</f>
        <v>Tam Buğdaylı</v>
      </c>
      <c r="K41" s="75">
        <v>84</v>
      </c>
      <c r="L41" s="75"/>
      <c r="M41" s="75">
        <f>IFERROR(IF(B41="","",K41/VLOOKUP(AD41,Varsayımlar!B:R,17,0)),"")</f>
        <v>1</v>
      </c>
      <c r="N41" s="75"/>
      <c r="O41" s="75">
        <v>2</v>
      </c>
      <c r="P41" s="75">
        <f>IF(B41="","",VLOOKUP(AD41,Varsayımlar!$B:$Q,7,0)*K41)</f>
        <v>1512</v>
      </c>
      <c r="Q41" s="75">
        <f>IF(B41="","",VLOOKUP(AD41,Varsayımlar!$B:$Q,8,0))</f>
        <v>25</v>
      </c>
      <c r="R41" s="75" t="str">
        <f>IF(B41="","",VLOOKUP(AD41,Varsayımlar!$B:$Q,9,0))</f>
        <v>Irak Soft</v>
      </c>
      <c r="S41" s="75">
        <f>IF(B41="","",VLOOKUP(AD41,Varsayımlar!$B:$Q,10,0))</f>
        <v>6</v>
      </c>
      <c r="T41" s="75">
        <f>IF(B41="","",VLOOKUP(AD41,Varsayımlar!$B:$Q,11,0))</f>
        <v>18</v>
      </c>
      <c r="U41" s="75">
        <f>IF(B41="","",VLOOKUP(AD41,Varsayımlar!$B:$Q,12,0))</f>
        <v>390</v>
      </c>
      <c r="V41" s="75" t="str">
        <f>IF(B41="","",VLOOKUP(AD41,Varsayımlar!$B:$Q,13,0))</f>
        <v>Yurtdışı</v>
      </c>
      <c r="W41" s="75">
        <f>IF(B41="","",VLOOKUP(AD41,Varsayımlar!$B:$Q,14,0))</f>
        <v>9</v>
      </c>
      <c r="X41" s="76"/>
      <c r="Y41" s="76"/>
      <c r="Z41" s="75"/>
      <c r="AA41" s="75" t="str">
        <f>IF(B41="","",VLOOKUP(AD41,Varsayımlar!$B:$Q,15,0))</f>
        <v>25cm Kırmızı koli-Bulgarca TB Etiket</v>
      </c>
      <c r="AB41" s="75" t="str">
        <f>IF(B41="","",VLOOKUP(AD41,Varsayımlar!$B:$Q,16,0))</f>
        <v>24-26 cm</v>
      </c>
      <c r="AC41" s="75" t="str">
        <f>IF(B41="","",VLOOKUP(Sayfa1!AD64,Varsayımlar!B:S,18,0))</f>
        <v>80x120cm -Epal+Epal</v>
      </c>
      <c r="AD41" s="57" t="str">
        <f t="shared" si="0"/>
        <v>TASTE LAND-BULGARİSTANTortillas 25cm TB 6pcs 390g</v>
      </c>
    </row>
    <row r="42" spans="1:30" ht="47.25" x14ac:dyDescent="0.25">
      <c r="A42" s="8" t="s">
        <v>155</v>
      </c>
      <c r="B42" s="75" t="s">
        <v>218</v>
      </c>
      <c r="C42" s="43">
        <f>IF(B42="","",VLOOKUP(AD42,Varsayımlar!$B:$Q,3,0))</f>
        <v>8698829380698</v>
      </c>
      <c r="D42" s="43" t="s">
        <v>161</v>
      </c>
      <c r="E42" s="75" t="s">
        <v>232</v>
      </c>
      <c r="F42" s="75" t="s">
        <v>341</v>
      </c>
      <c r="G42" s="43"/>
      <c r="H42" s="75" t="str">
        <f>IF(B42="","",VLOOKUP(AD42,Varsayımlar!$B:$Q,5,0))</f>
        <v>Tortillas Avrupa 25cm Domatesli (074)</v>
      </c>
      <c r="I42" s="75">
        <f>IF(B42="","",VLOOKUP(AD42,Varsayımlar!B:T,19,0))</f>
        <v>0</v>
      </c>
      <c r="J42" s="75" t="str">
        <f>IF(B42="","",VLOOKUP(AD42,Varsayımlar!$B:$Q,6,0))</f>
        <v>Domatesli</v>
      </c>
      <c r="K42" s="75">
        <v>240</v>
      </c>
      <c r="L42" s="75"/>
      <c r="M42" s="75">
        <f>IFERROR(IF(B42="","",K42/VLOOKUP(AD42,Varsayımlar!B:R,17,0)),"")</f>
        <v>2</v>
      </c>
      <c r="N42" s="75"/>
      <c r="O42" s="75">
        <v>3</v>
      </c>
      <c r="P42" s="75">
        <f>IF(B42="","",VLOOKUP(AD42,Varsayımlar!$B:$Q,7,0)*K42)</f>
        <v>2880</v>
      </c>
      <c r="Q42" s="75">
        <f>IF(B42="","",VLOOKUP(AD42,Varsayımlar!$B:$Q,8,0))</f>
        <v>25</v>
      </c>
      <c r="R42" s="75" t="str">
        <f>IF(B42="","",VLOOKUP(AD42,Varsayımlar!$B:$Q,9,0))</f>
        <v>Irak Soft</v>
      </c>
      <c r="S42" s="75">
        <f>IF(B42="","",VLOOKUP(AD42,Varsayımlar!$B:$Q,10,0))</f>
        <v>6</v>
      </c>
      <c r="T42" s="75">
        <f>IF(B42="","",VLOOKUP(AD42,Varsayımlar!$B:$Q,11,0))</f>
        <v>12</v>
      </c>
      <c r="U42" s="75">
        <f>IF(B42="","",VLOOKUP(AD42,Varsayımlar!$B:$Q,12,0))</f>
        <v>390</v>
      </c>
      <c r="V42" s="75" t="str">
        <f>IF(B42="","",VLOOKUP(AD42,Varsayımlar!$B:$Q,13,0))</f>
        <v>Yurtdışı</v>
      </c>
      <c r="W42" s="75">
        <f>IF(B42="","",VLOOKUP(AD42,Varsayımlar!$B:$Q,14,0))</f>
        <v>9</v>
      </c>
      <c r="X42" s="76"/>
      <c r="Y42" s="76"/>
      <c r="Z42" s="75"/>
      <c r="AA42" s="75" t="str">
        <f>IF(B42="","",VLOOKUP(AD42,Varsayımlar!$B:$Q,15,0))</f>
        <v>25cm Perforeli-Bulgarca Domatesli etiket</v>
      </c>
      <c r="AB42" s="75" t="str">
        <f>IF(B42="","",VLOOKUP(AD42,Varsayımlar!$B:$Q,16,0))</f>
        <v>24-26 cm</v>
      </c>
      <c r="AC42" s="75" t="str">
        <f>IF(B42="","",VLOOKUP(Sayfa1!AD65,Varsayımlar!B:S,18,0))</f>
        <v>80x120cm -Epal+Epal</v>
      </c>
      <c r="AD42" s="57" t="str">
        <f t="shared" si="0"/>
        <v>TASTE LAND-BULGARİSTANTortillas 25cm Domatesli 6pcs 390g</v>
      </c>
    </row>
    <row r="43" spans="1:30" ht="47.25" x14ac:dyDescent="0.25">
      <c r="A43" s="8" t="s">
        <v>156</v>
      </c>
      <c r="B43" s="75" t="s">
        <v>218</v>
      </c>
      <c r="C43" s="43">
        <f>IF(B43="","",VLOOKUP(AD43,Varsayımlar!$B:$Q,3,0))</f>
        <v>8698829380698</v>
      </c>
      <c r="D43" s="43" t="s">
        <v>161</v>
      </c>
      <c r="E43" s="75" t="s">
        <v>235</v>
      </c>
      <c r="F43" s="75" t="s">
        <v>341</v>
      </c>
      <c r="G43" s="43"/>
      <c r="H43" s="75" t="str">
        <f>IF(B43="","",VLOOKUP(AD43,Varsayımlar!$B:$Q,5,0))</f>
        <v>Tortillas Avrupa 25cm Ispanaklı (081)</v>
      </c>
      <c r="I43" s="75">
        <f>IF(B43="","",VLOOKUP(AD43,Varsayımlar!B:T,19,0))</f>
        <v>0</v>
      </c>
      <c r="J43" s="75" t="str">
        <f>IF(B43="","",VLOOKUP(AD43,Varsayımlar!$B:$Q,6,0))</f>
        <v>Ispanaklı</v>
      </c>
      <c r="K43" s="75">
        <v>240</v>
      </c>
      <c r="L43" s="75"/>
      <c r="M43" s="75">
        <f>IFERROR(IF(B43="","",K43/VLOOKUP(AD43,Varsayımlar!B:R,17,0)),"")</f>
        <v>2</v>
      </c>
      <c r="N43" s="75"/>
      <c r="O43" s="75">
        <v>3</v>
      </c>
      <c r="P43" s="75">
        <f>IF(B43="","",VLOOKUP(AD43,Varsayımlar!$B:$Q,7,0)*K43)</f>
        <v>2880</v>
      </c>
      <c r="Q43" s="75">
        <f>IF(B43="","",VLOOKUP(AD43,Varsayımlar!$B:$Q,8,0))</f>
        <v>25</v>
      </c>
      <c r="R43" s="75" t="str">
        <f>IF(B43="","",VLOOKUP(AD43,Varsayımlar!$B:$Q,9,0))</f>
        <v>Irak Soft</v>
      </c>
      <c r="S43" s="75">
        <f>IF(B43="","",VLOOKUP(AD43,Varsayımlar!$B:$Q,10,0))</f>
        <v>6</v>
      </c>
      <c r="T43" s="75">
        <f>IF(B43="","",VLOOKUP(AD43,Varsayımlar!$B:$Q,11,0))</f>
        <v>12</v>
      </c>
      <c r="U43" s="75">
        <f>IF(B43="","",VLOOKUP(AD43,Varsayımlar!$B:$Q,12,0))</f>
        <v>390</v>
      </c>
      <c r="V43" s="75" t="str">
        <f>IF(B43="","",VLOOKUP(AD43,Varsayımlar!$B:$Q,13,0))</f>
        <v>Yurtdışı</v>
      </c>
      <c r="W43" s="75">
        <f>IF(B43="","",VLOOKUP(AD43,Varsayımlar!$B:$Q,14,0))</f>
        <v>9</v>
      </c>
      <c r="X43" s="76"/>
      <c r="Y43" s="76"/>
      <c r="Z43" s="75"/>
      <c r="AA43" s="75" t="str">
        <f>IF(B43="","",VLOOKUP(AD43,Varsayımlar!$B:$Q,15,0))</f>
        <v>25cm Perforeli-Bulgarca Ispanaklı etiket</v>
      </c>
      <c r="AB43" s="75" t="str">
        <f>IF(B43="","",VLOOKUP(AD43,Varsayımlar!$B:$Q,16,0))</f>
        <v>24-26 cm</v>
      </c>
      <c r="AC43" s="75" t="str">
        <f>IF(B43="","",VLOOKUP(Sayfa1!AD66,Varsayımlar!B:S,18,0))</f>
        <v>80x120cm -Epal+Epal</v>
      </c>
      <c r="AD43" s="57" t="str">
        <f t="shared" si="0"/>
        <v>TASTE LAND-BULGARİSTANTortillas 25cm Ispanaklı 6pcs 390g</v>
      </c>
    </row>
    <row r="44" spans="1:30" ht="47.25" x14ac:dyDescent="0.25">
      <c r="A44" s="8" t="s">
        <v>157</v>
      </c>
      <c r="B44" s="75" t="s">
        <v>218</v>
      </c>
      <c r="C44" s="43">
        <f>IF(B44="","",VLOOKUP(AD44,Varsayımlar!$B:$Q,3,0))</f>
        <v>8698829380698</v>
      </c>
      <c r="D44" s="43" t="s">
        <v>161</v>
      </c>
      <c r="E44" s="75" t="s">
        <v>240</v>
      </c>
      <c r="F44" s="75" t="s">
        <v>341</v>
      </c>
      <c r="G44" s="43"/>
      <c r="H44" s="75" t="str">
        <f>IF(B44="","",VLOOKUP(AD44,Varsayımlar!$B:$Q,5,0))</f>
        <v>Tortillas Avrupa 25cm Peynirli (098)</v>
      </c>
      <c r="I44" s="75">
        <f>IF(B44="","",VLOOKUP(AD44,Varsayımlar!B:T,19,0))</f>
        <v>0</v>
      </c>
      <c r="J44" s="75" t="str">
        <f>IF(B44="","",VLOOKUP(AD44,Varsayımlar!$B:$Q,6,0))</f>
        <v>Peynirli</v>
      </c>
      <c r="K44" s="75">
        <v>120</v>
      </c>
      <c r="L44" s="75"/>
      <c r="M44" s="75">
        <f>IFERROR(IF(B44="","",K44/VLOOKUP(AD44,Varsayımlar!B:R,17,0)),"")</f>
        <v>1</v>
      </c>
      <c r="N44" s="75"/>
      <c r="O44" s="75">
        <v>2</v>
      </c>
      <c r="P44" s="75">
        <f>IF(B44="","",VLOOKUP(AD44,Varsayımlar!$B:$Q,7,0)*K44)</f>
        <v>1440</v>
      </c>
      <c r="Q44" s="75">
        <f>IF(B44="","",VLOOKUP(AD44,Varsayımlar!$B:$Q,8,0))</f>
        <v>25</v>
      </c>
      <c r="R44" s="75" t="str">
        <f>IF(B44="","",VLOOKUP(AD44,Varsayımlar!$B:$Q,9,0))</f>
        <v>Irak Soft-AT</v>
      </c>
      <c r="S44" s="75">
        <f>IF(B44="","",VLOOKUP(AD44,Varsayımlar!$B:$Q,10,0))</f>
        <v>6</v>
      </c>
      <c r="T44" s="75">
        <f>IF(B44="","",VLOOKUP(AD44,Varsayımlar!$B:$Q,11,0))</f>
        <v>12</v>
      </c>
      <c r="U44" s="75">
        <f>IF(B44="","",VLOOKUP(AD44,Varsayımlar!$B:$Q,12,0))</f>
        <v>390</v>
      </c>
      <c r="V44" s="75" t="str">
        <f>IF(B44="","",VLOOKUP(AD44,Varsayımlar!$B:$Q,13,0))</f>
        <v>Yurtdışı</v>
      </c>
      <c r="W44" s="75">
        <f>IF(B44="","",VLOOKUP(AD44,Varsayımlar!$B:$Q,14,0))</f>
        <v>9</v>
      </c>
      <c r="X44" s="76"/>
      <c r="Y44" s="76"/>
      <c r="Z44" s="75"/>
      <c r="AA44" s="75" t="str">
        <f>IF(B44="","",VLOOKUP(AD44,Varsayımlar!$B:$Q,15,0))</f>
        <v>25cm Perforeli-Bulgarca Peynirli etiket</v>
      </c>
      <c r="AB44" s="75" t="str">
        <f>IF(B44="","",VLOOKUP(AD44,Varsayımlar!$B:$Q,16,0))</f>
        <v>24-26 cm</v>
      </c>
      <c r="AC44" s="75" t="str">
        <f>IF(B44="","",VLOOKUP(Sayfa1!AD67,Varsayımlar!B:S,18,0))</f>
        <v>80x120cm -Epal+Epal</v>
      </c>
      <c r="AD44" s="57" t="str">
        <f t="shared" si="0"/>
        <v>TASTE LAND-BULGARİSTANTortillas 25cm Peynirli 6pcs 390g</v>
      </c>
    </row>
    <row r="45" spans="1:30" hidden="1" x14ac:dyDescent="0.25">
      <c r="A45" s="8" t="s">
        <v>158</v>
      </c>
      <c r="B45" s="64"/>
      <c r="C45" s="3" t="str">
        <f>IF(B45="","",VLOOKUP(AD45,Varsayımlar!$B:$Q,3,0))</f>
        <v/>
      </c>
      <c r="D45" s="3"/>
      <c r="E45" s="3"/>
      <c r="F45" s="64"/>
      <c r="G45" s="3"/>
      <c r="H45" s="64" t="str">
        <f>IF(B45="","",VLOOKUP(AD45,Varsayımlar!$B:$Q,5,0))</f>
        <v/>
      </c>
      <c r="I45" s="64" t="str">
        <f>IF(B45="","",VLOOKUP(AD45,Varsayımlar!B:T,19,0))</f>
        <v/>
      </c>
      <c r="J45" s="64" t="str">
        <f>IF(B45="","",VLOOKUP(AD45,Varsayımlar!$B:$Q,6,0))</f>
        <v/>
      </c>
      <c r="K45" s="64"/>
      <c r="L45" s="64"/>
      <c r="M45" s="64" t="str">
        <f>IFERROR(IF(B45="","",K45/VLOOKUP(AD45,Varsayımlar!B:R,17,0)),"")</f>
        <v/>
      </c>
      <c r="N45" s="64"/>
      <c r="O45" s="64"/>
      <c r="P45" s="64" t="str">
        <f>IF(B45="","",VLOOKUP(AD45,Varsayımlar!$B:$Q,7,0)*K45)</f>
        <v/>
      </c>
      <c r="Q45" s="64" t="str">
        <f>IF(B45="","",VLOOKUP(AD45,Varsayımlar!$B:$Q,8,0))</f>
        <v/>
      </c>
      <c r="R45" s="64" t="str">
        <f>IF(B45="","",VLOOKUP(AD45,Varsayımlar!$B:$Q,9,0))</f>
        <v/>
      </c>
      <c r="S45" s="64" t="str">
        <f>IF(B45="","",VLOOKUP(AD45,Varsayımlar!$B:$Q,10,0))</f>
        <v/>
      </c>
      <c r="T45" s="64" t="str">
        <f>IF(B45="","",VLOOKUP(AD45,Varsayımlar!$B:$Q,11,0))</f>
        <v/>
      </c>
      <c r="U45" s="64" t="str">
        <f>IF(B45="","",VLOOKUP(AD45,Varsayımlar!$B:$Q,12,0))</f>
        <v/>
      </c>
      <c r="V45" s="64" t="str">
        <f>IF(B45="","",VLOOKUP(AD45,Varsayımlar!$B:$Q,13,0))</f>
        <v/>
      </c>
      <c r="W45" s="64" t="str">
        <f>IF(B45="","",VLOOKUP(AD45,Varsayımlar!$B:$Q,14,0))</f>
        <v/>
      </c>
      <c r="X45" s="66"/>
      <c r="Y45" s="66"/>
      <c r="Z45" s="64"/>
      <c r="AA45" s="64" t="str">
        <f>IF(B45="","",VLOOKUP(AD45,Varsayımlar!$B:$Q,15,0))</f>
        <v/>
      </c>
      <c r="AB45" s="64" t="str">
        <f>IF(B45="","",VLOOKUP(AD45,Varsayımlar!$B:$Q,16,0))</f>
        <v/>
      </c>
      <c r="AC45" s="64" t="str">
        <f>IF(B45="","",VLOOKUP(Sayfa1!AD43,Varsayımlar!B:S,18,0))</f>
        <v/>
      </c>
      <c r="AD45" s="57" t="str">
        <f t="shared" si="0"/>
        <v/>
      </c>
    </row>
    <row r="46" spans="1:30" hidden="1" x14ac:dyDescent="0.25">
      <c r="A46" s="8" t="s">
        <v>388</v>
      </c>
      <c r="B46" s="64"/>
      <c r="C46" s="3" t="str">
        <f>IF(B46="","",VLOOKUP(AD46,Varsayımlar!$B:$Q,3,0))</f>
        <v/>
      </c>
      <c r="D46" s="3"/>
      <c r="E46" s="3"/>
      <c r="F46" s="64"/>
      <c r="G46" s="3"/>
      <c r="H46" s="64" t="str">
        <f>IF(B46="","",VLOOKUP(AD46,Varsayımlar!$B:$Q,5,0))</f>
        <v/>
      </c>
      <c r="I46" s="64" t="str">
        <f>IF(B46="","",VLOOKUP(AD46,Varsayımlar!B:T,19,0))</f>
        <v/>
      </c>
      <c r="J46" s="64" t="str">
        <f>IF(B46="","",VLOOKUP(AD46,Varsayımlar!$B:$Q,6,0))</f>
        <v/>
      </c>
      <c r="K46" s="64"/>
      <c r="L46" s="64"/>
      <c r="M46" s="64" t="str">
        <f>IFERROR(IF(B46="","",K46/VLOOKUP(AD46,Varsayımlar!B:R,17,0)),"")</f>
        <v/>
      </c>
      <c r="N46" s="64"/>
      <c r="O46" s="64"/>
      <c r="P46" s="64" t="str">
        <f>IF(B46="","",VLOOKUP(AD46,Varsayımlar!$B:$Q,7,0)*K46)</f>
        <v/>
      </c>
      <c r="Q46" s="64" t="str">
        <f>IF(B46="","",VLOOKUP(AD46,Varsayımlar!$B:$Q,8,0))</f>
        <v/>
      </c>
      <c r="R46" s="64" t="str">
        <f>IF(B46="","",VLOOKUP(AD46,Varsayımlar!$B:$Q,9,0))</f>
        <v/>
      </c>
      <c r="S46" s="64" t="str">
        <f>IF(B46="","",VLOOKUP(AD46,Varsayımlar!$B:$Q,10,0))</f>
        <v/>
      </c>
      <c r="T46" s="64" t="str">
        <f>IF(B46="","",VLOOKUP(AD46,Varsayımlar!$B:$Q,11,0))</f>
        <v/>
      </c>
      <c r="U46" s="64" t="str">
        <f>IF(B46="","",VLOOKUP(AD46,Varsayımlar!$B:$Q,12,0))</f>
        <v/>
      </c>
      <c r="V46" s="64" t="str">
        <f>IF(B46="","",VLOOKUP(AD46,Varsayımlar!$B:$Q,13,0))</f>
        <v/>
      </c>
      <c r="W46" s="64" t="str">
        <f>IF(B46="","",VLOOKUP(AD46,Varsayımlar!$B:$Q,14,0))</f>
        <v/>
      </c>
      <c r="X46" s="66"/>
      <c r="Y46" s="66"/>
      <c r="Z46" s="64"/>
      <c r="AA46" s="64" t="str">
        <f>IF(B46="","",VLOOKUP(AD46,Varsayımlar!$B:$Q,15,0))</f>
        <v/>
      </c>
      <c r="AB46" s="64" t="str">
        <f>IF(B46="","",VLOOKUP(AD46,Varsayımlar!$B:$Q,16,0))</f>
        <v/>
      </c>
      <c r="AC46" s="64" t="str">
        <f>IF(B46="","",VLOOKUP(Sayfa1!AD44,Varsayımlar!B:S,18,0))</f>
        <v/>
      </c>
      <c r="AD46" s="57" t="str">
        <f t="shared" si="0"/>
        <v/>
      </c>
    </row>
    <row r="47" spans="1:30" hidden="1" x14ac:dyDescent="0.25">
      <c r="A47" s="8" t="s">
        <v>389</v>
      </c>
      <c r="B47" s="64"/>
      <c r="C47" s="3" t="str">
        <f>IF(B47="","",VLOOKUP(AD47,Varsayımlar!$B:$Q,3,0))</f>
        <v/>
      </c>
      <c r="D47" s="3"/>
      <c r="E47" s="3"/>
      <c r="F47" s="64"/>
      <c r="G47" s="3"/>
      <c r="H47" s="64" t="str">
        <f>IF(B47="","",VLOOKUP(AD47,Varsayımlar!$B:$Q,5,0))</f>
        <v/>
      </c>
      <c r="I47" s="64" t="str">
        <f>IF(B47="","",VLOOKUP(AD47,Varsayımlar!B:T,19,0))</f>
        <v/>
      </c>
      <c r="J47" s="64" t="str">
        <f>IF(B47="","",VLOOKUP(AD47,Varsayımlar!$B:$Q,6,0))</f>
        <v/>
      </c>
      <c r="K47" s="64"/>
      <c r="L47" s="64"/>
      <c r="M47" s="64" t="str">
        <f>IFERROR(IF(B47="","",K47/VLOOKUP(AD47,Varsayımlar!B:R,17,0)),"")</f>
        <v/>
      </c>
      <c r="N47" s="64"/>
      <c r="O47" s="64"/>
      <c r="P47" s="64" t="str">
        <f>IF(B47="","",VLOOKUP(AD47,Varsayımlar!$B:$Q,7,0)*K47)</f>
        <v/>
      </c>
      <c r="Q47" s="64" t="str">
        <f>IF(B47="","",VLOOKUP(AD47,Varsayımlar!$B:$Q,8,0))</f>
        <v/>
      </c>
      <c r="R47" s="64" t="str">
        <f>IF(B47="","",VLOOKUP(AD47,Varsayımlar!$B:$Q,9,0))</f>
        <v/>
      </c>
      <c r="S47" s="64" t="str">
        <f>IF(B47="","",VLOOKUP(AD47,Varsayımlar!$B:$Q,10,0))</f>
        <v/>
      </c>
      <c r="T47" s="64" t="str">
        <f>IF(B47="","",VLOOKUP(AD47,Varsayımlar!$B:$Q,11,0))</f>
        <v/>
      </c>
      <c r="U47" s="64" t="str">
        <f>IF(B47="","",VLOOKUP(AD47,Varsayımlar!$B:$Q,12,0))</f>
        <v/>
      </c>
      <c r="V47" s="64" t="str">
        <f>IF(B47="","",VLOOKUP(AD47,Varsayımlar!$B:$Q,13,0))</f>
        <v/>
      </c>
      <c r="W47" s="64" t="str">
        <f>IF(B47="","",VLOOKUP(AD47,Varsayımlar!$B:$Q,14,0))</f>
        <v/>
      </c>
      <c r="X47" s="66"/>
      <c r="Y47" s="66"/>
      <c r="Z47" s="64"/>
      <c r="AA47" s="64" t="str">
        <f>IF(B47="","",VLOOKUP(AD47,Varsayımlar!$B:$Q,15,0))</f>
        <v/>
      </c>
      <c r="AB47" s="64" t="str">
        <f>IF(B47="","",VLOOKUP(AD47,Varsayımlar!$B:$Q,16,0))</f>
        <v/>
      </c>
      <c r="AC47" s="64" t="str">
        <f>IF(B47="","",VLOOKUP(Sayfa1!AD45,Varsayımlar!B:S,18,0))</f>
        <v/>
      </c>
      <c r="AD47" s="57" t="str">
        <f t="shared" si="0"/>
        <v/>
      </c>
    </row>
    <row r="48" spans="1:30" ht="31.5" customHeight="1" x14ac:dyDescent="0.25">
      <c r="A48" s="182" t="s">
        <v>344</v>
      </c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4"/>
      <c r="AC48" s="38"/>
    </row>
    <row r="49" spans="1:30" ht="63" x14ac:dyDescent="0.25">
      <c r="A49" s="8" t="s">
        <v>0</v>
      </c>
      <c r="B49" s="8" t="s">
        <v>1</v>
      </c>
      <c r="C49" s="9" t="s">
        <v>31</v>
      </c>
      <c r="D49" s="9" t="s">
        <v>124</v>
      </c>
      <c r="E49" s="9" t="s">
        <v>36</v>
      </c>
      <c r="F49" s="8" t="s">
        <v>37</v>
      </c>
      <c r="G49" s="8" t="s">
        <v>13</v>
      </c>
      <c r="H49" s="8" t="s">
        <v>2</v>
      </c>
      <c r="I49" s="8" t="s">
        <v>49</v>
      </c>
      <c r="J49" s="8" t="s">
        <v>3</v>
      </c>
      <c r="K49" s="8" t="s">
        <v>21</v>
      </c>
      <c r="L49" s="8" t="s">
        <v>94</v>
      </c>
      <c r="M49" s="8" t="s">
        <v>20</v>
      </c>
      <c r="N49" s="8" t="s">
        <v>165</v>
      </c>
      <c r="O49" s="8" t="s">
        <v>123</v>
      </c>
      <c r="P49" s="8" t="s">
        <v>16</v>
      </c>
      <c r="Q49" s="8" t="s">
        <v>4</v>
      </c>
      <c r="R49" s="8" t="s">
        <v>5</v>
      </c>
      <c r="S49" s="8" t="s">
        <v>6</v>
      </c>
      <c r="T49" s="8" t="s">
        <v>28</v>
      </c>
      <c r="U49" s="8" t="s">
        <v>7</v>
      </c>
      <c r="V49" s="8" t="s">
        <v>8</v>
      </c>
      <c r="W49" s="8" t="s">
        <v>267</v>
      </c>
      <c r="X49" s="8" t="s">
        <v>10</v>
      </c>
      <c r="Y49" s="8" t="s">
        <v>11</v>
      </c>
      <c r="Z49" s="8" t="s">
        <v>12</v>
      </c>
      <c r="AA49" s="8" t="s">
        <v>14</v>
      </c>
      <c r="AB49" s="8" t="s">
        <v>15</v>
      </c>
      <c r="AC49" s="8" t="s">
        <v>208</v>
      </c>
      <c r="AD49" s="7" t="s">
        <v>41</v>
      </c>
    </row>
    <row r="50" spans="1:30" ht="31.5" x14ac:dyDescent="0.25">
      <c r="A50" s="8" t="s">
        <v>26</v>
      </c>
      <c r="B50" s="64" t="s">
        <v>95</v>
      </c>
      <c r="C50" s="3">
        <f>IF(B50="","",VLOOKUP(AD50,Varsayımlar!$B:$Q,3,0))</f>
        <v>8698829380698</v>
      </c>
      <c r="D50" s="3"/>
      <c r="E50" s="65" t="s">
        <v>114</v>
      </c>
      <c r="F50" s="64"/>
      <c r="G50" s="64"/>
      <c r="H50" s="64" t="str">
        <f>IF(B50="","",VLOOKUP(AD50,Varsayımlar!$B:$Q,5,0))</f>
        <v>Bisto 25 cm</v>
      </c>
      <c r="I50" s="64"/>
      <c r="J50" s="64" t="str">
        <f>IF(B50="","",VLOOKUP(AD50,Varsayımlar!$B:$Q,6,0))</f>
        <v>SADE</v>
      </c>
      <c r="K50" s="64">
        <v>288</v>
      </c>
      <c r="L50" s="64"/>
      <c r="M50" s="64">
        <f>IFERROR(IF(B50="","",K50/VLOOKUP(AD50,Varsayımlar!B:R,17,0)),"")</f>
        <v>6</v>
      </c>
      <c r="N50" s="64"/>
      <c r="O50" s="64">
        <v>3</v>
      </c>
      <c r="P50" s="64">
        <f>IF(B50="","",VLOOKUP(AD50,Varsayımlar!$B:$Q,7,0)*K50)</f>
        <v>3456</v>
      </c>
      <c r="Q50" s="64">
        <f>IF(B50="","",VLOOKUP(AD50,Varsayımlar!$B:$Q,8,0))</f>
        <v>25</v>
      </c>
      <c r="R50" s="64" t="str">
        <f>IF(B50="","",VLOOKUP(AD50,Varsayımlar!$B:$Q,9,0))</f>
        <v>Standart</v>
      </c>
      <c r="S50" s="64">
        <f>IF(B50="","",VLOOKUP(AD50,Varsayımlar!$B:$Q,10,0))</f>
        <v>12</v>
      </c>
      <c r="T50" s="64">
        <f>IF(B50="","",VLOOKUP(AD50,Varsayımlar!$B:$Q,11,0))</f>
        <v>12</v>
      </c>
      <c r="U50" s="64">
        <f>IF(B50="","",VLOOKUP(AD50,Varsayımlar!$B:$Q,12,0))</f>
        <v>840</v>
      </c>
      <c r="V50" s="64" t="str">
        <f>IF(B50="","",VLOOKUP(AD50,Varsayımlar!$B:$Q,13,0))</f>
        <v>Yurtiçi</v>
      </c>
      <c r="W50" s="64">
        <f>IF(B50="","",VLOOKUP(AD50,Varsayımlar!$B:$Q,14,0))</f>
        <v>6</v>
      </c>
      <c r="X50" s="66" t="s">
        <v>113</v>
      </c>
      <c r="Y50" s="66" t="s">
        <v>113</v>
      </c>
      <c r="Z50" s="64" t="s">
        <v>113</v>
      </c>
      <c r="AA50" s="64" t="str">
        <f>IF(B50="","",VLOOKUP(AD50,Varsayımlar!$B:$Q,15,0))</f>
        <v>Bisto Kolisi</v>
      </c>
      <c r="AB50" s="64" t="str">
        <f>IF(B50="","",VLOOKUP(AD50,Varsayımlar!$B:$Q,16,0))</f>
        <v>24-26 Cm</v>
      </c>
      <c r="AC50" s="64" t="s">
        <v>362</v>
      </c>
      <c r="AD50" s="57" t="str">
        <f t="shared" ref="AD50:AD61" si="1">IF(B50="","",CONCATENATE(B50,E50))</f>
        <v>Şok MarketBisto 25 cm 12 pcs 840g</v>
      </c>
    </row>
    <row r="51" spans="1:30" ht="23.25" customHeight="1" x14ac:dyDescent="0.25">
      <c r="A51" s="8" t="s">
        <v>77</v>
      </c>
      <c r="B51" s="64" t="s">
        <v>119</v>
      </c>
      <c r="C51" s="3">
        <f>IF(B51="","",VLOOKUP(AD51,Varsayımlar!$B:$Q,3,0))</f>
        <v>8698829380698</v>
      </c>
      <c r="D51" s="3"/>
      <c r="E51" s="64" t="s">
        <v>120</v>
      </c>
      <c r="F51" s="64"/>
      <c r="G51" s="64"/>
      <c r="H51" s="64" t="str">
        <f>IF(B51="","",VLOOKUP(AD51,Varsayımlar!$B:$Q,5,0))</f>
        <v>Nimet 25 cm</v>
      </c>
      <c r="I51" s="64"/>
      <c r="J51" s="64" t="str">
        <f>IF(B51="","",VLOOKUP(AD51,Varsayımlar!$B:$Q,6,0))</f>
        <v>SADE</v>
      </c>
      <c r="K51" s="64">
        <v>4000</v>
      </c>
      <c r="L51" s="64"/>
      <c r="M51" s="64">
        <f>IFERROR(IF(B51="","",K51/VLOOKUP(AD51,Varsayımlar!B:R,17,0)),"")</f>
        <v>80</v>
      </c>
      <c r="N51" s="64"/>
      <c r="O51" s="64">
        <v>40</v>
      </c>
      <c r="P51" s="64">
        <f>IF(B51="","",VLOOKUP(AD51,Varsayımlar!$B:$Q,7,0)*K51)</f>
        <v>48000</v>
      </c>
      <c r="Q51" s="64">
        <f>IF(B51="","",VLOOKUP(AD51,Varsayımlar!$B:$Q,8,0))</f>
        <v>25</v>
      </c>
      <c r="R51" s="64" t="str">
        <f>IF(B51="","",VLOOKUP(AD51,Varsayımlar!$B:$Q,9,0))</f>
        <v>Standart</v>
      </c>
      <c r="S51" s="64">
        <f>IF(B51="","",VLOOKUP(AD51,Varsayımlar!$B:$Q,10,0))</f>
        <v>12</v>
      </c>
      <c r="T51" s="64">
        <f>IF(B51="","",VLOOKUP(AD51,Varsayımlar!$B:$Q,11,0))</f>
        <v>12</v>
      </c>
      <c r="U51" s="64">
        <f>IF(B51="","",VLOOKUP(AD51,Varsayımlar!$B:$Q,12,0))</f>
        <v>840</v>
      </c>
      <c r="V51" s="64" t="str">
        <f>IF(B51="","",VLOOKUP(AD51,Varsayımlar!$B:$Q,13,0))</f>
        <v>YURTİÇİ</v>
      </c>
      <c r="W51" s="64">
        <f>IF(B51="","",VLOOKUP(AD51,Varsayımlar!$B:$Q,14,0))</f>
        <v>5</v>
      </c>
      <c r="X51" s="66" t="s">
        <v>113</v>
      </c>
      <c r="Y51" s="66" t="s">
        <v>113</v>
      </c>
      <c r="Z51" s="64" t="s">
        <v>113</v>
      </c>
      <c r="AA51" s="64" t="str">
        <f>IF(B51="","",VLOOKUP(AD51,Varsayımlar!$B:$Q,15,0))</f>
        <v>Nimet Kolisi</v>
      </c>
      <c r="AB51" s="64" t="str">
        <f>IF(B51="","",VLOOKUP(AD51,Varsayımlar!$B:$Q,16,0))</f>
        <v>24-26 CM</v>
      </c>
      <c r="AC51" s="64" t="e">
        <f>IF(B51="","",VLOOKUP(Sayfa1!AD46,Varsayımlar!B:S,18,0))</f>
        <v>#N/A</v>
      </c>
      <c r="AD51" s="57" t="str">
        <f t="shared" si="1"/>
        <v>A101Nimet 25cm 12 pcs 840g</v>
      </c>
    </row>
    <row r="52" spans="1:30" ht="23.25" customHeight="1" x14ac:dyDescent="0.25">
      <c r="A52" s="8" t="s">
        <v>78</v>
      </c>
      <c r="B52" s="64" t="s">
        <v>335</v>
      </c>
      <c r="C52" s="3">
        <f>IF(B52="","",VLOOKUP(AD52,Varsayımlar!$B:$Q,3,0))</f>
        <v>8698829380698</v>
      </c>
      <c r="D52" s="3"/>
      <c r="E52" s="64" t="s">
        <v>319</v>
      </c>
      <c r="F52" s="64"/>
      <c r="G52" s="64"/>
      <c r="H52" s="64" t="str">
        <f>IF(B52="","",VLOOKUP(AD52,Varsayımlar!$B:$Q,5,0))</f>
        <v>Lazeza 25cm</v>
      </c>
      <c r="I52" s="64"/>
      <c r="J52" s="64" t="str">
        <f>IF(B52="","",VLOOKUP(AD52,Varsayımlar!$B:$Q,6,0))</f>
        <v>SADE</v>
      </c>
      <c r="K52" s="64">
        <v>1120</v>
      </c>
      <c r="L52" s="64"/>
      <c r="M52" s="64" t="str">
        <f>IFERROR(IF(B52="","",K52/VLOOKUP(AD52,Varsayımlar!B:R,17,0)),"")</f>
        <v/>
      </c>
      <c r="N52" s="64"/>
      <c r="O52" s="64">
        <v>15</v>
      </c>
      <c r="P52" s="64">
        <f>IF(B52="","",VLOOKUP(AD52,Varsayımlar!$B:$Q,7,0)*K52)</f>
        <v>20160</v>
      </c>
      <c r="Q52" s="64">
        <f>IF(B52="","",VLOOKUP(AD52,Varsayımlar!$B:$Q,8,0))</f>
        <v>25</v>
      </c>
      <c r="R52" s="64" t="str">
        <f>IF(B52="","",VLOOKUP(AD52,Varsayımlar!$B:$Q,9,0))</f>
        <v>Irak Soft</v>
      </c>
      <c r="S52" s="64">
        <f>IF(B52="","",VLOOKUP(AD52,Varsayımlar!$B:$Q,10,0))</f>
        <v>6</v>
      </c>
      <c r="T52" s="64">
        <f>IF(B52="","",VLOOKUP(AD52,Varsayımlar!$B:$Q,11,0))</f>
        <v>18</v>
      </c>
      <c r="U52" s="64">
        <f>IF(B52="","",VLOOKUP(AD52,Varsayımlar!$B:$Q,12,0))</f>
        <v>390</v>
      </c>
      <c r="V52" s="64" t="str">
        <f>IF(B52="","",VLOOKUP(AD52,Varsayımlar!$B:$Q,13,0))</f>
        <v>Yurtdışı</v>
      </c>
      <c r="W52" s="64">
        <f>IF(B52="","",VLOOKUP(AD52,Varsayımlar!$B:$Q,14,0))</f>
        <v>6</v>
      </c>
      <c r="X52" s="66">
        <v>46188</v>
      </c>
      <c r="Y52" s="66">
        <v>46736</v>
      </c>
      <c r="Z52" s="64">
        <v>26061525</v>
      </c>
      <c r="AA52" s="64" t="str">
        <f>IF(B52="","",VLOOKUP(AD52,Varsayımlar!$B:$Q,15,0))</f>
        <v>Lazeza Kolisi</v>
      </c>
      <c r="AB52" s="64" t="str">
        <f>IF(B52="","",VLOOKUP(AD52,Varsayımlar!$B:$Q,16,0))</f>
        <v>24-26 cm</v>
      </c>
      <c r="AC52" s="64">
        <f>IF(B52="","",VLOOKUP(Sayfa1!AD48,Varsayımlar!B:S,18,0))</f>
        <v>0</v>
      </c>
      <c r="AD52" s="57" t="str">
        <f t="shared" si="1"/>
        <v>AjjawiLazeza 25 cm 6pcs 390g</v>
      </c>
    </row>
    <row r="53" spans="1:30" ht="33" customHeight="1" x14ac:dyDescent="0.25">
      <c r="A53" s="8" t="s">
        <v>79</v>
      </c>
      <c r="B53" s="3" t="s">
        <v>64</v>
      </c>
      <c r="C53" s="3">
        <f>IF(B53="","",VLOOKUP(AD53,Varsayımlar!$B:$Q,3,0))</f>
        <v>8698829380698</v>
      </c>
      <c r="D53" s="3"/>
      <c r="E53" s="3" t="s">
        <v>108</v>
      </c>
      <c r="F53" s="3">
        <v>31</v>
      </c>
      <c r="G53" s="3"/>
      <c r="H53" s="3" t="str">
        <f>IF(B53="","",VLOOKUP(AD53,Varsayımlar!$B:$Q,5,0))</f>
        <v>Kırmızı Tortillas 25 cm</v>
      </c>
      <c r="I53" s="3">
        <f>IF(B53="","",VLOOKUP(AD53,Varsayımlar!B:T,19,0))</f>
        <v>0</v>
      </c>
      <c r="J53" s="3" t="str">
        <f>IF(B53="","",VLOOKUP(AD53,Varsayımlar!$B:$Q,6,0))</f>
        <v>SADE</v>
      </c>
      <c r="K53" s="3">
        <v>924</v>
      </c>
      <c r="L53" s="3"/>
      <c r="M53" s="3">
        <f>IFERROR(IF(B53="","",K53/VLOOKUP(AD53,Varsayımlar!B:R,17,0)),"")</f>
        <v>11</v>
      </c>
      <c r="N53" s="3"/>
      <c r="O53" s="3">
        <v>14</v>
      </c>
      <c r="P53" s="3">
        <f>IF(B53="","",VLOOKUP(AD53,Varsayımlar!$B:$Q,7,0)*K53)</f>
        <v>27720</v>
      </c>
      <c r="Q53" s="3">
        <f>IF(B53="","",VLOOKUP(AD53,Varsayımlar!$B:$Q,8,0))</f>
        <v>25</v>
      </c>
      <c r="R53" s="3" t="str">
        <f>IF(B53="","",VLOOKUP(AD53,Varsayımlar!$B:$Q,9,0))</f>
        <v>Soft</v>
      </c>
      <c r="S53" s="3">
        <f>IF(B53="","",VLOOKUP(AD53,Varsayımlar!$B:$Q,10,0))</f>
        <v>4</v>
      </c>
      <c r="T53" s="3">
        <f>IF(B53="","",VLOOKUP(AD53,Varsayımlar!$B:$Q,11,0))</f>
        <v>30</v>
      </c>
      <c r="U53" s="3">
        <f>IF(B53="","",VLOOKUP(AD53,Varsayımlar!$B:$Q,12,0))</f>
        <v>250</v>
      </c>
      <c r="V53" s="3" t="str">
        <f>IF(B53="","",VLOOKUP(AD53,Varsayımlar!$B:$Q,13,0))</f>
        <v>Yurtdışı</v>
      </c>
      <c r="W53" s="3">
        <f>IF(B53="","",VLOOKUP(AD53,Varsayımlar!$B:$Q,14,0))</f>
        <v>9</v>
      </c>
      <c r="X53" s="66">
        <v>46196</v>
      </c>
      <c r="Y53" s="66">
        <v>46469</v>
      </c>
      <c r="Z53" s="3">
        <v>26062325</v>
      </c>
      <c r="AA53" s="3" t="str">
        <f>IF(B53="","",VLOOKUP(AD53,Varsayımlar!$B:$Q,15,0))</f>
        <v>Kırmızı Koli- Üretim Tarihi Etiketli</v>
      </c>
      <c r="AB53" s="3" t="str">
        <f>IF(B53="","",VLOOKUP(AD53,Varsayımlar!$B:$Q,16,0))</f>
        <v>24-26 CM</v>
      </c>
      <c r="AC53" s="67" t="str">
        <f>IF(B53="","",VLOOKUP(Sayfa1!AD58,Varsayımlar!B:S,18,0))</f>
        <v>80x120cm -Epal+Epal</v>
      </c>
      <c r="AD53" s="57" t="str">
        <f t="shared" si="1"/>
        <v>SMART LLCKırmızı tortillas 25cm 4 lü 250g</v>
      </c>
    </row>
    <row r="54" spans="1:30" ht="45.75" customHeight="1" x14ac:dyDescent="0.25">
      <c r="A54" s="8" t="s">
        <v>80</v>
      </c>
      <c r="B54" s="64" t="s">
        <v>119</v>
      </c>
      <c r="C54" s="3">
        <f>IF(B54="","",VLOOKUP(AD54,Varsayımlar!$B:$Q,3,0))</f>
        <v>8698829380698</v>
      </c>
      <c r="D54" s="3"/>
      <c r="E54" s="65" t="s">
        <v>120</v>
      </c>
      <c r="F54" s="64"/>
      <c r="G54" s="64"/>
      <c r="H54" s="64" t="str">
        <f>IF(B54="","",VLOOKUP(AD54,Varsayımlar!$B:$Q,5,0))</f>
        <v>Nimet 25 cm</v>
      </c>
      <c r="I54" s="64"/>
      <c r="J54" s="64" t="str">
        <f>IF(B54="","",VLOOKUP(AD54,Varsayımlar!$B:$Q,6,0))</f>
        <v>SADE</v>
      </c>
      <c r="K54" s="64">
        <v>4000</v>
      </c>
      <c r="L54" s="64"/>
      <c r="M54" s="64">
        <f>IFERROR(IF(B54="","",K54/VLOOKUP(AD54,Varsayımlar!B:R,17,0)),"")</f>
        <v>80</v>
      </c>
      <c r="N54" s="64"/>
      <c r="O54" s="64">
        <v>60</v>
      </c>
      <c r="P54" s="64">
        <f>IF(B54="","",VLOOKUP(AD54,Varsayımlar!$B:$Q,7,0)*K54)</f>
        <v>48000</v>
      </c>
      <c r="Q54" s="64">
        <f>IF(B54="","",VLOOKUP(AD54,Varsayımlar!$B:$Q,8,0))</f>
        <v>25</v>
      </c>
      <c r="R54" s="64" t="str">
        <f>IF(B54="","",VLOOKUP(AD54,Varsayımlar!$B:$Q,9,0))</f>
        <v>Standart</v>
      </c>
      <c r="S54" s="64">
        <f>IF(B54="","",VLOOKUP(AD54,Varsayımlar!$B:$Q,10,0))</f>
        <v>12</v>
      </c>
      <c r="T54" s="64">
        <f>IF(B54="","",VLOOKUP(AD54,Varsayımlar!$B:$Q,11,0))</f>
        <v>12</v>
      </c>
      <c r="U54" s="64">
        <f>IF(B54="","",VLOOKUP(AD54,Varsayımlar!$B:$Q,12,0))</f>
        <v>840</v>
      </c>
      <c r="V54" s="64" t="str">
        <f>IF(B54="","",VLOOKUP(AD54,Varsayımlar!$B:$Q,13,0))</f>
        <v>YURTİÇİ</v>
      </c>
      <c r="W54" s="64">
        <f>IF(B54="","",VLOOKUP(AD54,Varsayımlar!$B:$Q,14,0))</f>
        <v>5</v>
      </c>
      <c r="X54" s="66" t="s">
        <v>113</v>
      </c>
      <c r="Y54" s="66" t="s">
        <v>113</v>
      </c>
      <c r="Z54" s="64" t="s">
        <v>113</v>
      </c>
      <c r="AA54" s="64" t="str">
        <f>IF(B54="","",VLOOKUP(AD54,Varsayımlar!$B:$Q,15,0))</f>
        <v>Nimet Kolisi</v>
      </c>
      <c r="AB54" s="64" t="str">
        <f>IF(B54="","",VLOOKUP(AD54,Varsayımlar!$B:$Q,16,0))</f>
        <v>24-26 CM</v>
      </c>
      <c r="AC54" s="64" t="s">
        <v>360</v>
      </c>
      <c r="AD54" s="57" t="str">
        <f t="shared" si="1"/>
        <v>A101Nimet 25cm 12 pcs 840g</v>
      </c>
    </row>
    <row r="55" spans="1:30" ht="47.25" x14ac:dyDescent="0.25">
      <c r="A55" s="8" t="s">
        <v>81</v>
      </c>
      <c r="B55" s="67" t="s">
        <v>268</v>
      </c>
      <c r="C55" s="42">
        <f>IF(B55="","",VLOOKUP(AD55,Varsayımlar!$B:$Q,3,0))</f>
        <v>8698829380698</v>
      </c>
      <c r="D55" s="42" t="s">
        <v>159</v>
      </c>
      <c r="E55" s="67" t="s">
        <v>342</v>
      </c>
      <c r="F55" s="67">
        <v>20250825</v>
      </c>
      <c r="G55" s="42" t="s">
        <v>68</v>
      </c>
      <c r="H55" s="67" t="str">
        <f>IF(B55="","",VLOOKUP(AD55,Varsayımlar!$B:$Q,5,0))</f>
        <v>Tortillas 25cm Sade</v>
      </c>
      <c r="I55" s="67">
        <f>IF(B55="","",VLOOKUP(AD55,Varsayımlar!B:T,19,0))</f>
        <v>0</v>
      </c>
      <c r="J55" s="67" t="str">
        <f>IF(B55="","",VLOOKUP(AD55,Varsayımlar!$B:$Q,6,0))</f>
        <v>SADE</v>
      </c>
      <c r="K55" s="67">
        <v>672</v>
      </c>
      <c r="L55" s="67"/>
      <c r="M55" s="67">
        <f>IFERROR(IF(B55="","",K55/VLOOKUP(AD55,Varsayımlar!B:R,17,0)),"")</f>
        <v>8</v>
      </c>
      <c r="N55" s="67"/>
      <c r="O55" s="67">
        <v>10</v>
      </c>
      <c r="P55" s="67">
        <f>IF(B55="","",VLOOKUP(AD55,Varsayımlar!$B:$Q,7,0)*K55)</f>
        <v>20160</v>
      </c>
      <c r="Q55" s="67">
        <f>IF(B55="","",VLOOKUP(AD55,Varsayımlar!$B:$Q,8,0))</f>
        <v>25</v>
      </c>
      <c r="R55" s="67" t="str">
        <f>IF(B55="","",VLOOKUP(AD55,Varsayımlar!$B:$Q,9,0))</f>
        <v>Soft-PA3</v>
      </c>
      <c r="S55" s="67">
        <f>IF(B55="","",VLOOKUP(AD55,Varsayımlar!$B:$Q,10,0))</f>
        <v>4</v>
      </c>
      <c r="T55" s="67">
        <f>IF(B55="","",VLOOKUP(AD55,Varsayımlar!$B:$Q,11,0))</f>
        <v>30</v>
      </c>
      <c r="U55" s="67">
        <f>IF(B55="","",VLOOKUP(AD55,Varsayımlar!$B:$Q,12,0))</f>
        <v>240</v>
      </c>
      <c r="V55" s="67" t="str">
        <f>IF(B55="","",VLOOKUP(AD55,Varsayımlar!$B:$Q,13,0))</f>
        <v>Yurtdışı</v>
      </c>
      <c r="W55" s="67">
        <f>IF(B55="","",VLOOKUP(AD55,Varsayımlar!$B:$Q,14,0))</f>
        <v>12</v>
      </c>
      <c r="X55" s="69">
        <v>46199</v>
      </c>
      <c r="Y55" s="69">
        <v>46564</v>
      </c>
      <c r="Z55" s="67">
        <v>26062625</v>
      </c>
      <c r="AA55" s="67" t="str">
        <f>IF(B55="","",VLOOKUP(AD55,Varsayımlar!$B:$Q,15,0))</f>
        <v>25cm Kolisi-Etiketli</v>
      </c>
      <c r="AB55" s="67" t="str">
        <f>IF(B55="","",VLOOKUP(AD55,Varsayımlar!$B:$Q,16,0))</f>
        <v>24-26 cm (Macca Hetto Inkjet Uzun Tarih)</v>
      </c>
      <c r="AC55" s="67" t="str">
        <f>IF(B55="","",VLOOKUP(Sayfa1!AD22,Varsayımlar!B:S,18,0))</f>
        <v>80x120cm</v>
      </c>
      <c r="AD55" s="57" t="str">
        <f t="shared" si="1"/>
        <v>LAIKYUZHN-BELARUSTortillas 25cm Sade 4pcs 240g</v>
      </c>
    </row>
    <row r="56" spans="1:30" ht="63" x14ac:dyDescent="0.25">
      <c r="A56" s="8" t="s">
        <v>82</v>
      </c>
      <c r="B56" s="62" t="s">
        <v>181</v>
      </c>
      <c r="C56" s="32">
        <f>IF(B56="","",VLOOKUP(AD56,Varsayımlar!$B:$Q,3,0))</f>
        <v>8698829380698</v>
      </c>
      <c r="D56" s="32"/>
      <c r="E56" s="62" t="s">
        <v>187</v>
      </c>
      <c r="F56" s="62">
        <v>26060101</v>
      </c>
      <c r="G56" s="32"/>
      <c r="H56" s="62" t="str">
        <f>IF(B56="","",VLOOKUP(AD56,Varsayımlar!$B:$Q,5,0))</f>
        <v>Tortillove 25cm</v>
      </c>
      <c r="I56" s="62" t="str">
        <f>IF(B56="","",VLOOKUP(AD56,Varsayımlar!B:T,19,0))</f>
        <v>Barkod üzerine Arnavutça içerik+Barkod-Tortillove</v>
      </c>
      <c r="J56" s="62" t="str">
        <f>IF(B56="","",VLOOKUP(AD56,Varsayımlar!$B:$Q,6,0))</f>
        <v>SADE</v>
      </c>
      <c r="K56" s="62">
        <v>168</v>
      </c>
      <c r="L56" s="62"/>
      <c r="M56" s="62">
        <f>IFERROR(IF(B56="","",K56/VLOOKUP(AD56,Varsayımlar!B:R,17,0)),"")</f>
        <v>2</v>
      </c>
      <c r="N56" s="62"/>
      <c r="O56" s="62">
        <v>2</v>
      </c>
      <c r="P56" s="62">
        <f>IF(B56="","",VLOOKUP(AD56,Varsayımlar!$B:$Q,7,0)*K56)</f>
        <v>3024</v>
      </c>
      <c r="Q56" s="62">
        <f>IF(B56="","",VLOOKUP(AD56,Varsayımlar!$B:$Q,8,0))</f>
        <v>25</v>
      </c>
      <c r="R56" s="62" t="str">
        <f>IF(B56="","",VLOOKUP(AD56,Varsayımlar!$B:$Q,9,0))</f>
        <v>Irak Soft</v>
      </c>
      <c r="S56" s="62">
        <f>IF(B56="","",VLOOKUP(AD56,Varsayımlar!$B:$Q,10,0))</f>
        <v>6</v>
      </c>
      <c r="T56" s="62">
        <f>IF(B56="","",VLOOKUP(AD56,Varsayımlar!$B:$Q,11,0))</f>
        <v>18</v>
      </c>
      <c r="U56" s="62">
        <f>IF(B56="","",VLOOKUP(AD56,Varsayımlar!$B:$Q,12,0))</f>
        <v>390</v>
      </c>
      <c r="V56" s="62" t="str">
        <f>IF(B56="","",VLOOKUP(AD56,Varsayımlar!$B:$Q,13,0))</f>
        <v>Yurtdışı</v>
      </c>
      <c r="W56" s="62">
        <f>IF(B56="","",VLOOKUP(AD56,Varsayımlar!$B:$Q,14,0))</f>
        <v>12</v>
      </c>
      <c r="X56" s="63">
        <v>46200</v>
      </c>
      <c r="Y56" s="63">
        <v>46565</v>
      </c>
      <c r="Z56" s="62">
        <v>26062725</v>
      </c>
      <c r="AA56" s="62" t="str">
        <f>IF(B56="","",VLOOKUP(AD56,Varsayımlar!$B:$Q,15,0))</f>
        <v>25cm Koli - Tortillove 390g Etiketli</v>
      </c>
      <c r="AB56" s="62" t="str">
        <f>IF(B56="","",VLOOKUP(AD56,Varsayımlar!$B:$Q,16,0))</f>
        <v>24-26 cm</v>
      </c>
      <c r="AC56" s="62">
        <f>IF(B56="","",VLOOKUP(Sayfa1!AD31,Varsayımlar!B:S,18,0))</f>
        <v>0</v>
      </c>
      <c r="AD56" s="57" t="str">
        <f t="shared" si="1"/>
        <v>ALDİ - KOSOVATortillove 25cm 6pcs 390g</v>
      </c>
    </row>
    <row r="57" spans="1:30" ht="63" x14ac:dyDescent="0.25">
      <c r="A57" s="8" t="s">
        <v>83</v>
      </c>
      <c r="B57" s="62" t="s">
        <v>181</v>
      </c>
      <c r="C57" s="32">
        <f>IF(B57="","",VLOOKUP(AD57,Varsayımlar!$B:$Q,3,0))</f>
        <v>8698829380698</v>
      </c>
      <c r="D57" s="32"/>
      <c r="E57" s="62" t="s">
        <v>189</v>
      </c>
      <c r="F57" s="62">
        <v>26060101</v>
      </c>
      <c r="G57" s="32"/>
      <c r="H57" s="62" t="str">
        <f>IF(B57="","",VLOOKUP(AD57,Varsayımlar!$B:$Q,5,0))</f>
        <v>Tortillas 25cm</v>
      </c>
      <c r="I57" s="62" t="str">
        <f>IF(B57="","",VLOOKUP(AD57,Varsayımlar!B:T,19,0))</f>
        <v>Barkod üzerine Arnavutça içerik+Barkod-Tortillas</v>
      </c>
      <c r="J57" s="62" t="str">
        <f>IF(B57="","",VLOOKUP(AD57,Varsayımlar!$B:$Q,6,0))</f>
        <v>SADE</v>
      </c>
      <c r="K57" s="62">
        <v>84</v>
      </c>
      <c r="L57" s="62"/>
      <c r="M57" s="62">
        <f>IFERROR(IF(B57="","",K57/VLOOKUP(AD57,Varsayımlar!B:R,17,0)),"")</f>
        <v>1</v>
      </c>
      <c r="N57" s="62"/>
      <c r="O57" s="62">
        <v>1</v>
      </c>
      <c r="P57" s="62">
        <f>IF(B57="","",VLOOKUP(AD57,Varsayımlar!$B:$Q,7,0)*K57)</f>
        <v>1512</v>
      </c>
      <c r="Q57" s="62">
        <f>IF(B57="","",VLOOKUP(AD57,Varsayımlar!$B:$Q,8,0))</f>
        <v>25</v>
      </c>
      <c r="R57" s="62" t="str">
        <f>IF(B57="","",VLOOKUP(AD57,Varsayımlar!$B:$Q,9,0))</f>
        <v>Irak Soft</v>
      </c>
      <c r="S57" s="62">
        <f>IF(B57="","",VLOOKUP(AD57,Varsayımlar!$B:$Q,10,0))</f>
        <v>6</v>
      </c>
      <c r="T57" s="62">
        <f>IF(B57="","",VLOOKUP(AD57,Varsayımlar!$B:$Q,11,0))</f>
        <v>18</v>
      </c>
      <c r="U57" s="62">
        <f>IF(B57="","",VLOOKUP(AD57,Varsayımlar!$B:$Q,12,0))</f>
        <v>390</v>
      </c>
      <c r="V57" s="62" t="str">
        <f>IF(B57="","",VLOOKUP(AD57,Varsayımlar!$B:$Q,13,0))</f>
        <v>Yurtdışı</v>
      </c>
      <c r="W57" s="62">
        <f>IF(B57="","",VLOOKUP(AD57,Varsayımlar!$B:$Q,14,0))</f>
        <v>12</v>
      </c>
      <c r="X57" s="63">
        <v>46200</v>
      </c>
      <c r="Y57" s="63">
        <v>46565</v>
      </c>
      <c r="Z57" s="62">
        <v>26062725</v>
      </c>
      <c r="AA57" s="62" t="str">
        <f>IF(B57="","",VLOOKUP(AD57,Varsayımlar!$B:$Q,15,0))</f>
        <v>25cm Koli - Tortillas 390g Etiketli</v>
      </c>
      <c r="AB57" s="62" t="str">
        <f>IF(B57="","",VLOOKUP(AD57,Varsayımlar!$B:$Q,16,0))</f>
        <v>24-26 cm</v>
      </c>
      <c r="AC57" s="62">
        <f>IF(B57="","",VLOOKUP(Sayfa1!AD32,Varsayımlar!B:S,18,0))</f>
        <v>0</v>
      </c>
      <c r="AD57" s="57" t="str">
        <f t="shared" si="1"/>
        <v>ALDİ - KOSOVATortillas 25cm 6pcs 390g</v>
      </c>
    </row>
    <row r="58" spans="1:30" ht="47.25" x14ac:dyDescent="0.25">
      <c r="A58" s="8" t="s">
        <v>84</v>
      </c>
      <c r="B58" s="62" t="s">
        <v>181</v>
      </c>
      <c r="C58" s="32">
        <f>IF(B58="","",VLOOKUP(AD58,Varsayımlar!$B:$Q,3,0))</f>
        <v>8698829380698</v>
      </c>
      <c r="D58" s="32"/>
      <c r="E58" s="62" t="s">
        <v>192</v>
      </c>
      <c r="F58" s="62">
        <v>26060101</v>
      </c>
      <c r="G58" s="32"/>
      <c r="H58" s="62" t="str">
        <f>IF(B58="","",VLOOKUP(AD58,Varsayımlar!$B:$Q,5,0))</f>
        <v>Tortillove 25cm</v>
      </c>
      <c r="I58" s="62" t="str">
        <f>IF(B58="","",VLOOKUP(AD58,Varsayımlar!B:T,19,0))</f>
        <v>Arka kısma Arnavutça içerik-Tortillove</v>
      </c>
      <c r="J58" s="62" t="str">
        <f>IF(B58="","",VLOOKUP(AD58,Varsayımlar!$B:$Q,6,0))</f>
        <v>SADE</v>
      </c>
      <c r="K58" s="62">
        <v>168</v>
      </c>
      <c r="L58" s="62"/>
      <c r="M58" s="62">
        <f>IFERROR(IF(B58="","",K58/VLOOKUP(AD58,Varsayımlar!B:R,17,0)),"")</f>
        <v>2</v>
      </c>
      <c r="N58" s="62"/>
      <c r="O58" s="62">
        <v>2</v>
      </c>
      <c r="P58" s="62">
        <f>IF(B58="","",VLOOKUP(AD58,Varsayımlar!$B:$Q,7,0)*K58)</f>
        <v>2016</v>
      </c>
      <c r="Q58" s="62">
        <f>IF(B58="","",VLOOKUP(AD58,Varsayımlar!$B:$Q,8,0))</f>
        <v>25</v>
      </c>
      <c r="R58" s="62" t="str">
        <f>IF(B58="","",VLOOKUP(AD58,Varsayımlar!$B:$Q,9,0))</f>
        <v>Irak Soft</v>
      </c>
      <c r="S58" s="62">
        <f>IF(B58="","",VLOOKUP(AD58,Varsayımlar!$B:$Q,10,0))</f>
        <v>10</v>
      </c>
      <c r="T58" s="62">
        <f>IF(B58="","",VLOOKUP(AD58,Varsayımlar!$B:$Q,11,0))</f>
        <v>12</v>
      </c>
      <c r="U58" s="62">
        <f>IF(B58="","",VLOOKUP(AD58,Varsayımlar!$B:$Q,12,0))</f>
        <v>650</v>
      </c>
      <c r="V58" s="62" t="str">
        <f>IF(B58="","",VLOOKUP(AD58,Varsayımlar!$B:$Q,13,0))</f>
        <v>Yurtdışı</v>
      </c>
      <c r="W58" s="62">
        <f>IF(B58="","",VLOOKUP(AD58,Varsayımlar!$B:$Q,14,0))</f>
        <v>12</v>
      </c>
      <c r="X58" s="63">
        <v>46200</v>
      </c>
      <c r="Y58" s="63">
        <v>46565</v>
      </c>
      <c r="Z58" s="62">
        <v>26062725</v>
      </c>
      <c r="AA58" s="62" t="str">
        <f>IF(B58="","",VLOOKUP(AD58,Varsayımlar!$B:$Q,15,0))</f>
        <v>25cm Koli - Tortillove 650g Etiketli</v>
      </c>
      <c r="AB58" s="62" t="str">
        <f>IF(B58="","",VLOOKUP(AD58,Varsayımlar!$B:$Q,16,0))</f>
        <v>24-26 cm</v>
      </c>
      <c r="AC58" s="62">
        <f>IF(B58="","",VLOOKUP(Sayfa1!AD33,Varsayımlar!B:S,18,0))</f>
        <v>0</v>
      </c>
      <c r="AD58" s="57" t="str">
        <f t="shared" si="1"/>
        <v>ALDİ - KOSOVATortillove 25cm 10pcs 650g</v>
      </c>
    </row>
    <row r="59" spans="1:30" ht="47.25" x14ac:dyDescent="0.25">
      <c r="A59" s="8" t="s">
        <v>85</v>
      </c>
      <c r="B59" s="62" t="s">
        <v>181</v>
      </c>
      <c r="C59" s="32">
        <f>IF(B59="","",VLOOKUP(AD59,Varsayımlar!$B:$Q,3,0))</f>
        <v>8698829380698</v>
      </c>
      <c r="D59" s="32"/>
      <c r="E59" s="62" t="s">
        <v>193</v>
      </c>
      <c r="F59" s="62">
        <v>26060101</v>
      </c>
      <c r="G59" s="32"/>
      <c r="H59" s="62" t="str">
        <f>IF(B59="","",VLOOKUP(AD59,Varsayımlar!$B:$Q,5,0))</f>
        <v>Tortillas 25cm</v>
      </c>
      <c r="I59" s="62" t="str">
        <f>IF(B59="","",VLOOKUP(AD59,Varsayımlar!B:T,19,0))</f>
        <v>Arka kısma Arnavutça içerik-Tortillas</v>
      </c>
      <c r="J59" s="62" t="str">
        <f>IF(B59="","",VLOOKUP(AD59,Varsayımlar!$B:$Q,6,0))</f>
        <v>SADE</v>
      </c>
      <c r="K59" s="62">
        <v>84</v>
      </c>
      <c r="L59" s="62"/>
      <c r="M59" s="62">
        <f>IFERROR(IF(B59="","",K59/VLOOKUP(AD59,Varsayımlar!B:R,17,0)),"")</f>
        <v>1</v>
      </c>
      <c r="N59" s="62"/>
      <c r="O59" s="62">
        <v>2</v>
      </c>
      <c r="P59" s="62">
        <f>IF(B59="","",VLOOKUP(AD59,Varsayımlar!$B:$Q,7,0)*K59)</f>
        <v>1008</v>
      </c>
      <c r="Q59" s="62">
        <f>IF(B59="","",VLOOKUP(AD59,Varsayımlar!$B:$Q,8,0))</f>
        <v>25</v>
      </c>
      <c r="R59" s="62" t="str">
        <f>IF(B59="","",VLOOKUP(AD59,Varsayımlar!$B:$Q,9,0))</f>
        <v>Irak Soft</v>
      </c>
      <c r="S59" s="62">
        <f>IF(B59="","",VLOOKUP(AD59,Varsayımlar!$B:$Q,10,0))</f>
        <v>10</v>
      </c>
      <c r="T59" s="62">
        <f>IF(B59="","",VLOOKUP(AD59,Varsayımlar!$B:$Q,11,0))</f>
        <v>12</v>
      </c>
      <c r="U59" s="62">
        <f>IF(B59="","",VLOOKUP(AD59,Varsayımlar!$B:$Q,12,0))</f>
        <v>650</v>
      </c>
      <c r="V59" s="62" t="str">
        <f>IF(B59="","",VLOOKUP(AD59,Varsayımlar!$B:$Q,13,0))</f>
        <v>Yurtdışı</v>
      </c>
      <c r="W59" s="62">
        <f>IF(B59="","",VLOOKUP(AD59,Varsayımlar!$B:$Q,14,0))</f>
        <v>12</v>
      </c>
      <c r="X59" s="63">
        <v>46200</v>
      </c>
      <c r="Y59" s="63">
        <v>46565</v>
      </c>
      <c r="Z59" s="62">
        <v>26062725</v>
      </c>
      <c r="AA59" s="62" t="str">
        <f>IF(B59="","",VLOOKUP(AD59,Varsayımlar!$B:$Q,15,0))</f>
        <v>25cm Koli - Tortillas 650g Etiketli</v>
      </c>
      <c r="AB59" s="62" t="str">
        <f>IF(B59="","",VLOOKUP(AD59,Varsayımlar!$B:$Q,16,0))</f>
        <v>24-26 cm</v>
      </c>
      <c r="AC59" s="62">
        <f>IF(B59="","",VLOOKUP(Sayfa1!AD34,Varsayımlar!B:S,18,0))</f>
        <v>0</v>
      </c>
      <c r="AD59" s="57" t="str">
        <f t="shared" si="1"/>
        <v>ALDİ - KOSOVATortillas 25cm 10pcs 650g</v>
      </c>
    </row>
    <row r="60" spans="1:30" ht="31.5" x14ac:dyDescent="0.25">
      <c r="A60" s="8" t="s">
        <v>86</v>
      </c>
      <c r="B60" s="64" t="s">
        <v>288</v>
      </c>
      <c r="C60" s="3">
        <f>IF(B60="","",VLOOKUP(AD60,Varsayımlar!$B:$Q,3,0))</f>
        <v>8698829380698</v>
      </c>
      <c r="D60" s="3"/>
      <c r="E60" s="64" t="s">
        <v>292</v>
      </c>
      <c r="F60" s="64">
        <v>20201016</v>
      </c>
      <c r="G60" s="3" t="s">
        <v>68</v>
      </c>
      <c r="H60" s="64" t="str">
        <f>IF(B60="","",VLOOKUP(AD60,Varsayımlar!$B:$Q,5,0))</f>
        <v>Kırmızı Tortillas 25cm Sade</v>
      </c>
      <c r="I60" s="64" t="str">
        <f>IF(B60="","",VLOOKUP(AD60,Varsayımlar!B:T,19,0))</f>
        <v>Arka kısma İçerik</v>
      </c>
      <c r="J60" s="64" t="str">
        <f>IF(B60="","",VLOOKUP(AD60,Varsayımlar!$B:$Q,6,0))</f>
        <v>SADE</v>
      </c>
      <c r="K60" s="64">
        <v>250</v>
      </c>
      <c r="L60" s="64"/>
      <c r="M60" s="64">
        <f>IFERROR(IF(B60="","",K60/VLOOKUP(AD60,Varsayımlar!B:R,17,0)),"")</f>
        <v>5</v>
      </c>
      <c r="N60" s="64"/>
      <c r="O60" s="64">
        <v>4</v>
      </c>
      <c r="P60" s="64">
        <f>IF(B60="","",VLOOKUP(AD60,Varsayımlar!$B:$Q,7,0)*K60)</f>
        <v>4500</v>
      </c>
      <c r="Q60" s="64">
        <f>IF(B60="","",VLOOKUP(AD60,Varsayımlar!$B:$Q,8,0))</f>
        <v>25</v>
      </c>
      <c r="R60" s="64" t="str">
        <f>IF(B60="","",VLOOKUP(AD60,Varsayımlar!$B:$Q,9,0))</f>
        <v>Irak Soft</v>
      </c>
      <c r="S60" s="64">
        <f>IF(B60="","",VLOOKUP(AD60,Varsayımlar!$B:$Q,10,0))</f>
        <v>6</v>
      </c>
      <c r="T60" s="64">
        <f>IF(B60="","",VLOOKUP(AD60,Varsayımlar!$B:$Q,11,0))</f>
        <v>18</v>
      </c>
      <c r="U60" s="64">
        <f>IF(B60="","",VLOOKUP(AD60,Varsayımlar!$B:$Q,12,0))</f>
        <v>390</v>
      </c>
      <c r="V60" s="64" t="str">
        <f>IF(B60="","",VLOOKUP(AD60,Varsayımlar!$B:$Q,13,0))</f>
        <v>YURTDIŞI</v>
      </c>
      <c r="W60" s="64">
        <f>IF(B60="","",VLOOKUP(AD60,Varsayımlar!$B:$Q,14,0))</f>
        <v>9</v>
      </c>
      <c r="X60" s="66">
        <v>46202</v>
      </c>
      <c r="Y60" s="66">
        <v>46475</v>
      </c>
      <c r="Z60" s="64">
        <v>26062925</v>
      </c>
      <c r="AA60" s="64" t="str">
        <f>IF(B60="","",VLOOKUP(AD60,Varsayımlar!$B:$Q,15,0))</f>
        <v>25cm Koli</v>
      </c>
      <c r="AB60" s="64" t="str">
        <f>IF(B60="","",VLOOKUP(AD60,Varsayımlar!$B:$Q,16,0))</f>
        <v>24-26 cm</v>
      </c>
      <c r="AC60" s="64" t="str">
        <f>IF(B60="","",VLOOKUP(Sayfa1!AD42,Varsayımlar!B:S,18,0))</f>
        <v>80x120cm</v>
      </c>
      <c r="AD60" s="57" t="str">
        <f t="shared" si="1"/>
        <v>UNITERA-KAZAKİSTANKırmızı Tortillas 25cm Sade 6pcs 390g</v>
      </c>
    </row>
    <row r="61" spans="1:30" ht="31.5" x14ac:dyDescent="0.25">
      <c r="A61" s="8" t="s">
        <v>87</v>
      </c>
      <c r="B61" s="80" t="s">
        <v>218</v>
      </c>
      <c r="C61" s="44">
        <f>IF(B61="","",VLOOKUP(AD61,Varsayımlar!$B:$Q,3,0))</f>
        <v>8698829380698</v>
      </c>
      <c r="D61" s="44" t="s">
        <v>160</v>
      </c>
      <c r="E61" s="80" t="s">
        <v>228</v>
      </c>
      <c r="F61" s="80">
        <v>26042907</v>
      </c>
      <c r="G61" s="44"/>
      <c r="H61" s="80" t="str">
        <f>IF(B61="","",VLOOKUP(AD61,Varsayımlar!$B:$Q,5,0))</f>
        <v>Tortillas Avrupa 25cm (698)</v>
      </c>
      <c r="I61" s="80">
        <f>IF(B61="","",VLOOKUP(AD61,Varsayımlar!B:T,19,0))</f>
        <v>0</v>
      </c>
      <c r="J61" s="80" t="str">
        <f>IF(B61="","",VLOOKUP(AD61,Varsayımlar!$B:$Q,6,0))</f>
        <v>SADE</v>
      </c>
      <c r="K61" s="80">
        <v>720</v>
      </c>
      <c r="L61" s="80"/>
      <c r="M61" s="80">
        <f>IFERROR(IF(B61="","",K61/VLOOKUP(AD61,Varsayımlar!B:R,17,0)),"")</f>
        <v>6</v>
      </c>
      <c r="N61" s="80"/>
      <c r="O61" s="80">
        <v>7</v>
      </c>
      <c r="P61" s="80">
        <f>IF(B61="","",VLOOKUP(AD61,Varsayımlar!$B:$Q,7,0)*K61)</f>
        <v>5760</v>
      </c>
      <c r="Q61" s="80">
        <f>IF(B61="","",VLOOKUP(AD61,Varsayımlar!$B:$Q,8,0))</f>
        <v>25</v>
      </c>
      <c r="R61" s="80" t="str">
        <f>IF(B61="","",VLOOKUP(AD61,Varsayımlar!$B:$Q,9,0))</f>
        <v>Irak Soft</v>
      </c>
      <c r="S61" s="80">
        <f>IF(B61="","",VLOOKUP(AD61,Varsayımlar!$B:$Q,10,0))</f>
        <v>10</v>
      </c>
      <c r="T61" s="80">
        <f>IF(B61="","",VLOOKUP(AD61,Varsayımlar!$B:$Q,11,0))</f>
        <v>8</v>
      </c>
      <c r="U61" s="80">
        <f>IF(B61="","",VLOOKUP(AD61,Varsayımlar!$B:$Q,12,0))</f>
        <v>650</v>
      </c>
      <c r="V61" s="80" t="str">
        <f>IF(B61="","",VLOOKUP(AD61,Varsayımlar!$B:$Q,13,0))</f>
        <v>Yurtdışı</v>
      </c>
      <c r="W61" s="80">
        <f>IF(B61="","",VLOOKUP(AD61,Varsayımlar!$B:$Q,14,0))</f>
        <v>9</v>
      </c>
      <c r="X61" s="81">
        <v>46203</v>
      </c>
      <c r="Y61" s="81">
        <v>46476</v>
      </c>
      <c r="Z61" s="80">
        <v>26063025</v>
      </c>
      <c r="AA61" s="80" t="str">
        <f>IF(B61="","",VLOOKUP(AD61,Varsayımlar!$B:$Q,15,0))</f>
        <v>25cm Perforeli-Bulgarca etiket</v>
      </c>
      <c r="AB61" s="80" t="str">
        <f>IF(B61="","",VLOOKUP(AD61,Varsayımlar!$B:$Q,16,0))</f>
        <v>24-26 cm</v>
      </c>
      <c r="AC61" s="80" t="str">
        <f>IF(B61="","",VLOOKUP(Sayfa1!AD56,Varsayımlar!B:S,18,0))</f>
        <v>80x120cm -Epal+Epal</v>
      </c>
      <c r="AD61" s="57" t="str">
        <f t="shared" si="1"/>
        <v>TASTE LAND-BULGARİSTANTortillas 25cm Sade 10pcs 650g</v>
      </c>
    </row>
    <row r="62" spans="1:30" ht="47.25" x14ac:dyDescent="0.25">
      <c r="A62" s="8" t="s">
        <v>88</v>
      </c>
      <c r="B62" s="54" t="s">
        <v>268</v>
      </c>
      <c r="C62" s="39">
        <f>IF(B62="","",VLOOKUP(AD62,Varsayımlar!$B:$Q,3,0))</f>
        <v>8698829380698</v>
      </c>
      <c r="D62" s="39" t="s">
        <v>160</v>
      </c>
      <c r="E62" s="54" t="s">
        <v>342</v>
      </c>
      <c r="F62" s="54" t="s">
        <v>343</v>
      </c>
      <c r="G62" s="39" t="s">
        <v>68</v>
      </c>
      <c r="H62" s="54" t="str">
        <f>IF(B62="","",VLOOKUP(AD62,Varsayımlar!$B:$Q,5,0))</f>
        <v>Tortillas 25cm Sade</v>
      </c>
      <c r="I62" s="54">
        <f>IF(B62="","",VLOOKUP(AD62,Varsayımlar!B:T,19,0))</f>
        <v>0</v>
      </c>
      <c r="J62" s="54" t="str">
        <f>IF(B62="","",VLOOKUP(AD62,Varsayımlar!$B:$Q,6,0))</f>
        <v>SADE</v>
      </c>
      <c r="K62" s="54">
        <v>420</v>
      </c>
      <c r="L62" s="54"/>
      <c r="M62" s="54">
        <f>IFERROR(IF(B62="","",K62/VLOOKUP(AD62,Varsayımlar!B:R,17,0)),"")</f>
        <v>5</v>
      </c>
      <c r="N62" s="54"/>
      <c r="O62" s="54">
        <v>7</v>
      </c>
      <c r="P62" s="54">
        <f>IF(B62="","",VLOOKUP(AD62,Varsayımlar!$B:$Q,7,0)*K62)</f>
        <v>12600</v>
      </c>
      <c r="Q62" s="54">
        <f>IF(B62="","",VLOOKUP(AD62,Varsayımlar!$B:$Q,8,0))</f>
        <v>25</v>
      </c>
      <c r="R62" s="54" t="str">
        <f>IF(B62="","",VLOOKUP(AD62,Varsayımlar!$B:$Q,9,0))</f>
        <v>Soft-PA3</v>
      </c>
      <c r="S62" s="54">
        <f>IF(B62="","",VLOOKUP(AD62,Varsayımlar!$B:$Q,10,0))</f>
        <v>4</v>
      </c>
      <c r="T62" s="54">
        <f>IF(B62="","",VLOOKUP(AD62,Varsayımlar!$B:$Q,11,0))</f>
        <v>30</v>
      </c>
      <c r="U62" s="54">
        <f>IF(B62="","",VLOOKUP(AD62,Varsayımlar!$B:$Q,12,0))</f>
        <v>240</v>
      </c>
      <c r="V62" s="54" t="str">
        <f>IF(B62="","",VLOOKUP(AD62,Varsayımlar!$B:$Q,13,0))</f>
        <v>Yurtdışı</v>
      </c>
      <c r="W62" s="54">
        <f>IF(B62="","",VLOOKUP(AD62,Varsayımlar!$B:$Q,14,0))</f>
        <v>12</v>
      </c>
      <c r="X62" s="56">
        <v>46205</v>
      </c>
      <c r="Y62" s="56">
        <v>46570</v>
      </c>
      <c r="Z62" s="54">
        <v>26070225</v>
      </c>
      <c r="AA62" s="54" t="str">
        <f>IF(B62="","",VLOOKUP(AD62,Varsayımlar!$B:$Q,15,0))</f>
        <v>25cm Kolisi-Etiketli</v>
      </c>
      <c r="AB62" s="54" t="str">
        <f>IF(B62="","",VLOOKUP(AD62,Varsayımlar!$B:$Q,16,0))</f>
        <v>24-26 cm (Macca Hetto Inkjet Uzun Tarih)</v>
      </c>
      <c r="AC62" s="54" t="str">
        <f>IF(B62="","",VLOOKUP(Sayfa1!AD35,Varsayımlar!B:S,18,0))</f>
        <v>80x120cm</v>
      </c>
      <c r="AD62" s="57" t="str">
        <f>IF(B62="","",CONCATENATE(B62,E62))</f>
        <v>LAIKYUZHN-BELARUSTortillas 25cm Sade 4pcs 240g</v>
      </c>
    </row>
    <row r="63" spans="1:30" ht="47.25" x14ac:dyDescent="0.25">
      <c r="A63" s="8" t="s">
        <v>89</v>
      </c>
      <c r="B63" s="64" t="s">
        <v>119</v>
      </c>
      <c r="C63" s="3">
        <f>IF(B63="","",VLOOKUP(AD63,Varsayımlar!$B:$Q,3,0))</f>
        <v>8698829380698</v>
      </c>
      <c r="D63" s="3"/>
      <c r="E63" s="65" t="s">
        <v>120</v>
      </c>
      <c r="F63" s="64"/>
      <c r="G63" s="64"/>
      <c r="H63" s="64" t="str">
        <f>IF(B63="","",VLOOKUP(AD63,Varsayımlar!$B:$Q,5,0))</f>
        <v>Nimet 25 cm</v>
      </c>
      <c r="I63" s="64"/>
      <c r="J63" s="64" t="str">
        <f>IF(B63="","",VLOOKUP(AD63,Varsayımlar!$B:$Q,6,0))</f>
        <v>SADE</v>
      </c>
      <c r="K63" s="64">
        <v>4000</v>
      </c>
      <c r="L63" s="64"/>
      <c r="M63" s="64">
        <f>IFERROR(IF(B63="","",K63/VLOOKUP(AD63,Varsayımlar!B:R,17,0)),"")</f>
        <v>80</v>
      </c>
      <c r="N63" s="64"/>
      <c r="O63" s="64">
        <v>60</v>
      </c>
      <c r="P63" s="64">
        <f>IF(B63="","",VLOOKUP(AD63,Varsayımlar!$B:$Q,7,0)*K63)</f>
        <v>48000</v>
      </c>
      <c r="Q63" s="64">
        <f>IF(B63="","",VLOOKUP(AD63,Varsayımlar!$B:$Q,8,0))</f>
        <v>25</v>
      </c>
      <c r="R63" s="64" t="str">
        <f>IF(B63="","",VLOOKUP(AD63,Varsayımlar!$B:$Q,9,0))</f>
        <v>Standart</v>
      </c>
      <c r="S63" s="64">
        <f>IF(B63="","",VLOOKUP(AD63,Varsayımlar!$B:$Q,10,0))</f>
        <v>12</v>
      </c>
      <c r="T63" s="64">
        <f>IF(B63="","",VLOOKUP(AD63,Varsayımlar!$B:$Q,11,0))</f>
        <v>12</v>
      </c>
      <c r="U63" s="64">
        <f>IF(B63="","",VLOOKUP(AD63,Varsayımlar!$B:$Q,12,0))</f>
        <v>840</v>
      </c>
      <c r="V63" s="64" t="str">
        <f>IF(B63="","",VLOOKUP(AD63,Varsayımlar!$B:$Q,13,0))</f>
        <v>YURTİÇİ</v>
      </c>
      <c r="W63" s="64">
        <f>IF(B63="","",VLOOKUP(AD63,Varsayımlar!$B:$Q,14,0))</f>
        <v>5</v>
      </c>
      <c r="X63" s="66" t="s">
        <v>113</v>
      </c>
      <c r="Y63" s="66" t="s">
        <v>113</v>
      </c>
      <c r="Z63" s="64" t="s">
        <v>113</v>
      </c>
      <c r="AA63" s="64" t="str">
        <f>IF(B63="","",VLOOKUP(AD63,Varsayımlar!$B:$Q,15,0))</f>
        <v>Nimet Kolisi</v>
      </c>
      <c r="AB63" s="64" t="str">
        <f>IF(B63="","",VLOOKUP(AD63,Varsayımlar!$B:$Q,16,0))</f>
        <v>24-26 CM</v>
      </c>
      <c r="AC63" s="64" t="s">
        <v>360</v>
      </c>
      <c r="AD63" s="57" t="str">
        <f t="shared" ref="AD63:AD70" si="2">IF(B63="","",CONCATENATE(B63,E63))</f>
        <v>A101Nimet 25cm 12 pcs 840g</v>
      </c>
    </row>
    <row r="64" spans="1:30" ht="31.5" x14ac:dyDescent="0.25">
      <c r="A64" s="8" t="s">
        <v>90</v>
      </c>
      <c r="B64" s="75" t="s">
        <v>218</v>
      </c>
      <c r="C64" s="43">
        <f>IF(B64="","",VLOOKUP(AD64,Varsayımlar!$B:$Q,3,0))</f>
        <v>8698829380698</v>
      </c>
      <c r="D64" s="43" t="s">
        <v>161</v>
      </c>
      <c r="E64" s="75" t="s">
        <v>228</v>
      </c>
      <c r="F64" s="75" t="s">
        <v>341</v>
      </c>
      <c r="G64" s="43"/>
      <c r="H64" s="75" t="str">
        <f>IF(B64="","",VLOOKUP(AD64,Varsayımlar!$B:$Q,5,0))</f>
        <v>Tortillas Avrupa 25cm (698)</v>
      </c>
      <c r="I64" s="75">
        <f>IF(B64="","",VLOOKUP(AD64,Varsayımlar!B:T,19,0))</f>
        <v>0</v>
      </c>
      <c r="J64" s="75" t="str">
        <f>IF(B64="","",VLOOKUP(AD64,Varsayımlar!$B:$Q,6,0))</f>
        <v>SADE</v>
      </c>
      <c r="K64" s="75">
        <v>720</v>
      </c>
      <c r="L64" s="75"/>
      <c r="M64" s="75">
        <f>IFERROR(IF(B64="","",K64/VLOOKUP(AD64,Varsayımlar!B:R,17,0)),"")</f>
        <v>6</v>
      </c>
      <c r="N64" s="75"/>
      <c r="O64" s="75">
        <v>7</v>
      </c>
      <c r="P64" s="75">
        <f>IF(B64="","",VLOOKUP(AD64,Varsayımlar!$B:$Q,7,0)*K64)</f>
        <v>5760</v>
      </c>
      <c r="Q64" s="75">
        <f>IF(B64="","",VLOOKUP(AD64,Varsayımlar!$B:$Q,8,0))</f>
        <v>25</v>
      </c>
      <c r="R64" s="75" t="str">
        <f>IF(B64="","",VLOOKUP(AD64,Varsayımlar!$B:$Q,9,0))</f>
        <v>Irak Soft</v>
      </c>
      <c r="S64" s="75">
        <f>IF(B64="","",VLOOKUP(AD64,Varsayımlar!$B:$Q,10,0))</f>
        <v>10</v>
      </c>
      <c r="T64" s="75">
        <f>IF(B64="","",VLOOKUP(AD64,Varsayımlar!$B:$Q,11,0))</f>
        <v>8</v>
      </c>
      <c r="U64" s="75">
        <f>IF(B64="","",VLOOKUP(AD64,Varsayımlar!$B:$Q,12,0))</f>
        <v>650</v>
      </c>
      <c r="V64" s="75" t="str">
        <f>IF(B64="","",VLOOKUP(AD64,Varsayımlar!$B:$Q,13,0))</f>
        <v>Yurtdışı</v>
      </c>
      <c r="W64" s="75">
        <f>IF(B64="","",VLOOKUP(AD64,Varsayımlar!$B:$Q,14,0))</f>
        <v>9</v>
      </c>
      <c r="X64" s="76"/>
      <c r="Y64" s="76"/>
      <c r="Z64" s="75"/>
      <c r="AA64" s="75" t="str">
        <f>IF(B64="","",VLOOKUP(AD64,Varsayımlar!$B:$Q,15,0))</f>
        <v>25cm Perforeli-Bulgarca etiket</v>
      </c>
      <c r="AB64" s="75" t="str">
        <f>IF(B64="","",VLOOKUP(AD64,Varsayımlar!$B:$Q,16,0))</f>
        <v>24-26 cm</v>
      </c>
      <c r="AC64" s="75" t="str">
        <f>IF(B64="","",VLOOKUP(Sayfa1!AD61,Varsayımlar!B:S,18,0))</f>
        <v>80x120cm -Epal+Epal</v>
      </c>
      <c r="AD64" s="57" t="str">
        <f t="shared" si="2"/>
        <v>TASTE LAND-BULGARİSTANTortillas 25cm Sade 10pcs 650g</v>
      </c>
    </row>
    <row r="65" spans="1:30" ht="47.25" x14ac:dyDescent="0.25">
      <c r="A65" s="8" t="s">
        <v>91</v>
      </c>
      <c r="B65" s="75" t="s">
        <v>218</v>
      </c>
      <c r="C65" s="43">
        <f>IF(B65="","",VLOOKUP(AD65,Varsayımlar!$B:$Q,3,0))</f>
        <v>8698829380698</v>
      </c>
      <c r="D65" s="43" t="s">
        <v>161</v>
      </c>
      <c r="E65" s="75" t="s">
        <v>250</v>
      </c>
      <c r="F65" s="75" t="s">
        <v>341</v>
      </c>
      <c r="G65" s="43"/>
      <c r="H65" s="75" t="str">
        <f>IF(B65="","",VLOOKUP(AD65,Varsayımlar!$B:$Q,5,0))</f>
        <v>Tortillas Avrupa 25cm (698)</v>
      </c>
      <c r="I65" s="75" t="str">
        <f>IF(B65="","",VLOOKUP(AD65,Varsayımlar!B:T,19,0))</f>
        <v>Barkod üzerine Barkod Etiketi (050)</v>
      </c>
      <c r="J65" s="75" t="str">
        <f>IF(B65="","",VLOOKUP(AD65,Varsayımlar!$B:$Q,6,0))</f>
        <v>SADE</v>
      </c>
      <c r="K65" s="75">
        <v>168</v>
      </c>
      <c r="L65" s="75"/>
      <c r="M65" s="75">
        <f>IFERROR(IF(B65="","",K65/VLOOKUP(AD65,Varsayımlar!B:R,17,0)),"")</f>
        <v>2</v>
      </c>
      <c r="N65" s="75"/>
      <c r="O65" s="75">
        <v>3</v>
      </c>
      <c r="P65" s="75">
        <f>IF(B65="","",VLOOKUP(AD65,Varsayımlar!$B:$Q,7,0)*K65)</f>
        <v>3024</v>
      </c>
      <c r="Q65" s="75">
        <f>IF(B65="","",VLOOKUP(AD65,Varsayımlar!$B:$Q,8,0))</f>
        <v>25</v>
      </c>
      <c r="R65" s="75" t="str">
        <f>IF(B65="","",VLOOKUP(AD65,Varsayımlar!$B:$Q,9,0))</f>
        <v>Irak Soft</v>
      </c>
      <c r="S65" s="75">
        <f>IF(B65="","",VLOOKUP(AD65,Varsayımlar!$B:$Q,10,0))</f>
        <v>6</v>
      </c>
      <c r="T65" s="75">
        <f>IF(B65="","",VLOOKUP(AD65,Varsayımlar!$B:$Q,11,0))</f>
        <v>18</v>
      </c>
      <c r="U65" s="75">
        <f>IF(B65="","",VLOOKUP(AD65,Varsayımlar!$B:$Q,12,0))</f>
        <v>390</v>
      </c>
      <c r="V65" s="75" t="str">
        <f>IF(B65="","",VLOOKUP(AD65,Varsayımlar!$B:$Q,13,0))</f>
        <v>Yurtdışı</v>
      </c>
      <c r="W65" s="75">
        <f>IF(B65="","",VLOOKUP(AD65,Varsayımlar!$B:$Q,14,0))</f>
        <v>9</v>
      </c>
      <c r="X65" s="76"/>
      <c r="Y65" s="76"/>
      <c r="Z65" s="75"/>
      <c r="AA65" s="75" t="str">
        <f>IF(B65="","",VLOOKUP(AD65,Varsayımlar!$B:$Q,15,0))</f>
        <v>25cm Kırmızı koli-Bulgarca Etiket</v>
      </c>
      <c r="AB65" s="75" t="str">
        <f>IF(B65="","",VLOOKUP(AD65,Varsayımlar!$B:$Q,16,0))</f>
        <v>24-26 cm</v>
      </c>
      <c r="AC65" s="75" t="str">
        <f>IF(B65="","",VLOOKUP(Sayfa1!AD62,Varsayımlar!B:S,18,0))</f>
        <v>80x120cm -Epal+Epal</v>
      </c>
      <c r="AD65" s="57" t="str">
        <f t="shared" si="2"/>
        <v>TASTE LAND-BULGARİSTANTortillas 25cm Sade 6pcs 390g</v>
      </c>
    </row>
    <row r="66" spans="1:30" hidden="1" x14ac:dyDescent="0.25">
      <c r="A66" s="8" t="s">
        <v>92</v>
      </c>
      <c r="B66" s="67"/>
      <c r="C66" s="42" t="str">
        <f>IF(B66="","",VLOOKUP(AD66,Varsayımlar!$B:$Q,3,0))</f>
        <v/>
      </c>
      <c r="D66" s="42"/>
      <c r="E66" s="42"/>
      <c r="F66" s="67"/>
      <c r="G66" s="67"/>
      <c r="H66" s="67" t="str">
        <f>IF(B66="","",VLOOKUP(AD66,Varsayımlar!$B:$Q,5,0))</f>
        <v/>
      </c>
      <c r="I66" s="67"/>
      <c r="J66" s="67" t="str">
        <f>IF(B66="","",VLOOKUP(AD66,Varsayımlar!$B:$Q,6,0))</f>
        <v/>
      </c>
      <c r="K66" s="67"/>
      <c r="L66" s="67"/>
      <c r="M66" s="67" t="str">
        <f>IFERROR(IF(B66="","",K66/VLOOKUP(AD66,Varsayımlar!B:R,17,0)),"")</f>
        <v/>
      </c>
      <c r="N66" s="67"/>
      <c r="O66" s="67"/>
      <c r="P66" s="67" t="str">
        <f>IF(B66="","",VLOOKUP(AD66,Varsayımlar!$B:$Q,7,0)*K66)</f>
        <v/>
      </c>
      <c r="Q66" s="67" t="str">
        <f>IF(B66="","",VLOOKUP(AD66,Varsayımlar!$B:$Q,8,0))</f>
        <v/>
      </c>
      <c r="R66" s="67" t="str">
        <f>IF(B66="","",VLOOKUP(AD66,Varsayımlar!$B:$Q,9,0))</f>
        <v/>
      </c>
      <c r="S66" s="67" t="str">
        <f>IF(B66="","",VLOOKUP(AD66,Varsayımlar!$B:$Q,10,0))</f>
        <v/>
      </c>
      <c r="T66" s="67" t="str">
        <f>IF(B66="","",VLOOKUP(AD66,Varsayımlar!$B:$Q,11,0))</f>
        <v/>
      </c>
      <c r="U66" s="67" t="str">
        <f>IF(B66="","",VLOOKUP(AD66,Varsayımlar!$B:$Q,12,0))</f>
        <v/>
      </c>
      <c r="V66" s="67" t="str">
        <f>IF(B66="","",VLOOKUP(AD66,Varsayımlar!$B:$Q,13,0))</f>
        <v/>
      </c>
      <c r="W66" s="67" t="str">
        <f>IF(B66="","",VLOOKUP(AD66,Varsayımlar!$B:$Q,14,0))</f>
        <v/>
      </c>
      <c r="X66" s="69"/>
      <c r="Y66" s="69"/>
      <c r="Z66" s="67"/>
      <c r="AA66" s="67" t="str">
        <f>IF(B66="","",VLOOKUP(AD66,Varsayımlar!$B:$Q,15,0))</f>
        <v/>
      </c>
      <c r="AB66" s="67" t="str">
        <f>IF(B66="","",VLOOKUP(AD66,Varsayımlar!$B:$Q,16,0))</f>
        <v/>
      </c>
      <c r="AC66" s="67"/>
      <c r="AD66" s="57" t="str">
        <f t="shared" si="2"/>
        <v/>
      </c>
    </row>
    <row r="67" spans="1:30" hidden="1" x14ac:dyDescent="0.25">
      <c r="A67" s="8" t="s">
        <v>93</v>
      </c>
      <c r="B67" s="67"/>
      <c r="C67" s="42" t="str">
        <f>IF(B67="","",VLOOKUP(AD67,Varsayımlar!$B:$Q,3,0))</f>
        <v/>
      </c>
      <c r="D67" s="42"/>
      <c r="E67" s="42"/>
      <c r="F67" s="67"/>
      <c r="G67" s="67"/>
      <c r="H67" s="67" t="str">
        <f>IF(B67="","",VLOOKUP(AD67,Varsayımlar!$B:$Q,5,0))</f>
        <v/>
      </c>
      <c r="I67" s="67"/>
      <c r="J67" s="67" t="str">
        <f>IF(B67="","",VLOOKUP(AD67,Varsayımlar!$B:$Q,6,0))</f>
        <v/>
      </c>
      <c r="K67" s="67"/>
      <c r="L67" s="67"/>
      <c r="M67" s="67" t="str">
        <f>IFERROR(IF(B67="","",K67/VLOOKUP(AD67,Varsayımlar!B:R,17,0)),"")</f>
        <v/>
      </c>
      <c r="N67" s="67"/>
      <c r="O67" s="67"/>
      <c r="P67" s="67" t="str">
        <f>IF(B67="","",VLOOKUP(AD67,Varsayımlar!$B:$Q,7,0)*K67)</f>
        <v/>
      </c>
      <c r="Q67" s="67" t="str">
        <f>IF(B67="","",VLOOKUP(AD67,Varsayımlar!$B:$Q,8,0))</f>
        <v/>
      </c>
      <c r="R67" s="67" t="str">
        <f>IF(B67="","",VLOOKUP(AD67,Varsayımlar!$B:$Q,9,0))</f>
        <v/>
      </c>
      <c r="S67" s="67" t="str">
        <f>IF(B67="","",VLOOKUP(AD67,Varsayımlar!$B:$Q,10,0))</f>
        <v/>
      </c>
      <c r="T67" s="67" t="str">
        <f>IF(B67="","",VLOOKUP(AD67,Varsayımlar!$B:$Q,11,0))</f>
        <v/>
      </c>
      <c r="U67" s="67" t="str">
        <f>IF(B67="","",VLOOKUP(AD67,Varsayımlar!$B:$Q,12,0))</f>
        <v/>
      </c>
      <c r="V67" s="67" t="str">
        <f>IF(B67="","",VLOOKUP(AD67,Varsayımlar!$B:$Q,13,0))</f>
        <v/>
      </c>
      <c r="W67" s="67" t="str">
        <f>IF(B67="","",VLOOKUP(AD67,Varsayımlar!$B:$Q,14,0))</f>
        <v/>
      </c>
      <c r="X67" s="69"/>
      <c r="Y67" s="69"/>
      <c r="Z67" s="67"/>
      <c r="AA67" s="67" t="str">
        <f>IF(B67="","",VLOOKUP(AD67,Varsayımlar!$B:$Q,15,0))</f>
        <v/>
      </c>
      <c r="AB67" s="67" t="str">
        <f>IF(B67="","",VLOOKUP(AD67,Varsayımlar!$B:$Q,16,0))</f>
        <v/>
      </c>
      <c r="AC67" s="67"/>
      <c r="AD67" s="57" t="str">
        <f t="shared" si="2"/>
        <v/>
      </c>
    </row>
    <row r="68" spans="1:30" hidden="1" x14ac:dyDescent="0.25">
      <c r="A68" s="8" t="s">
        <v>135</v>
      </c>
      <c r="B68" s="67"/>
      <c r="C68" s="42" t="str">
        <f>IF(B68="","",VLOOKUP(AD68,Varsayımlar!$B:$Q,3,0))</f>
        <v/>
      </c>
      <c r="D68" s="42"/>
      <c r="E68" s="42"/>
      <c r="F68" s="67"/>
      <c r="G68" s="67"/>
      <c r="H68" s="67" t="str">
        <f>IF(B68="","",VLOOKUP(AD68,Varsayımlar!$B:$Q,5,0))</f>
        <v/>
      </c>
      <c r="I68" s="67"/>
      <c r="J68" s="67" t="str">
        <f>IF(B68="","",VLOOKUP(AD68,Varsayımlar!$B:$Q,6,0))</f>
        <v/>
      </c>
      <c r="K68" s="67"/>
      <c r="L68" s="67"/>
      <c r="M68" s="67" t="str">
        <f>IFERROR(IF(B68="","",K68/VLOOKUP(AD68,Varsayımlar!B:R,17,0)),"")</f>
        <v/>
      </c>
      <c r="N68" s="67"/>
      <c r="O68" s="67"/>
      <c r="P68" s="67" t="str">
        <f>IF(B68="","",VLOOKUP(AD68,Varsayımlar!$B:$Q,7,0)*K68)</f>
        <v/>
      </c>
      <c r="Q68" s="67" t="str">
        <f>IF(B68="","",VLOOKUP(AD68,Varsayımlar!$B:$Q,8,0))</f>
        <v/>
      </c>
      <c r="R68" s="67" t="str">
        <f>IF(B68="","",VLOOKUP(AD68,Varsayımlar!$B:$Q,9,0))</f>
        <v/>
      </c>
      <c r="S68" s="67" t="str">
        <f>IF(B68="","",VLOOKUP(AD68,Varsayımlar!$B:$Q,10,0))</f>
        <v/>
      </c>
      <c r="T68" s="67" t="str">
        <f>IF(B68="","",VLOOKUP(AD68,Varsayımlar!$B:$Q,11,0))</f>
        <v/>
      </c>
      <c r="U68" s="67" t="str">
        <f>IF(B68="","",VLOOKUP(AD68,Varsayımlar!$B:$Q,12,0))</f>
        <v/>
      </c>
      <c r="V68" s="67" t="str">
        <f>IF(B68="","",VLOOKUP(AD68,Varsayımlar!$B:$Q,13,0))</f>
        <v/>
      </c>
      <c r="W68" s="67" t="str">
        <f>IF(B68="","",VLOOKUP(AD68,Varsayımlar!$B:$Q,14,0))</f>
        <v/>
      </c>
      <c r="X68" s="69"/>
      <c r="Y68" s="69"/>
      <c r="Z68" s="67"/>
      <c r="AA68" s="67" t="str">
        <f>IF(B68="","",VLOOKUP(AD68,Varsayımlar!$B:$Q,15,0))</f>
        <v/>
      </c>
      <c r="AB68" s="67" t="str">
        <f>IF(B68="","",VLOOKUP(AD68,Varsayımlar!$B:$Q,16,0))</f>
        <v/>
      </c>
      <c r="AC68" s="67"/>
      <c r="AD68" s="57" t="str">
        <f t="shared" si="2"/>
        <v/>
      </c>
    </row>
    <row r="69" spans="1:30" hidden="1" x14ac:dyDescent="0.25">
      <c r="A69" s="8" t="s">
        <v>136</v>
      </c>
      <c r="B69" s="67"/>
      <c r="C69" s="42" t="str">
        <f>IF(B69="","",VLOOKUP(AD69,Varsayımlar!$B:$Q,3,0))</f>
        <v/>
      </c>
      <c r="D69" s="42"/>
      <c r="E69" s="42"/>
      <c r="F69" s="67"/>
      <c r="G69" s="67"/>
      <c r="H69" s="67" t="str">
        <f>IF(B69="","",VLOOKUP(AD69,Varsayımlar!$B:$Q,5,0))</f>
        <v/>
      </c>
      <c r="I69" s="67"/>
      <c r="J69" s="67" t="str">
        <f>IF(B69="","",VLOOKUP(AD69,Varsayımlar!$B:$Q,6,0))</f>
        <v/>
      </c>
      <c r="K69" s="67"/>
      <c r="L69" s="67"/>
      <c r="M69" s="67" t="str">
        <f>IFERROR(IF(B69="","",K69/VLOOKUP(AD69,Varsayımlar!B:R,17,0)),"")</f>
        <v/>
      </c>
      <c r="N69" s="67"/>
      <c r="O69" s="67"/>
      <c r="P69" s="67" t="str">
        <f>IF(B69="","",VLOOKUP(AD69,Varsayımlar!$B:$Q,7,0)*K69)</f>
        <v/>
      </c>
      <c r="Q69" s="67" t="str">
        <f>IF(B69="","",VLOOKUP(AD69,Varsayımlar!$B:$Q,8,0))</f>
        <v/>
      </c>
      <c r="R69" s="67" t="str">
        <f>IF(B69="","",VLOOKUP(AD69,Varsayımlar!$B:$Q,9,0))</f>
        <v/>
      </c>
      <c r="S69" s="67" t="str">
        <f>IF(B69="","",VLOOKUP(AD69,Varsayımlar!$B:$Q,10,0))</f>
        <v/>
      </c>
      <c r="T69" s="67" t="str">
        <f>IF(B69="","",VLOOKUP(AD69,Varsayımlar!$B:$Q,11,0))</f>
        <v/>
      </c>
      <c r="U69" s="67" t="str">
        <f>IF(B69="","",VLOOKUP(AD69,Varsayımlar!$B:$Q,12,0))</f>
        <v/>
      </c>
      <c r="V69" s="67" t="str">
        <f>IF(B69="","",VLOOKUP(AD69,Varsayımlar!$B:$Q,13,0))</f>
        <v/>
      </c>
      <c r="W69" s="67" t="str">
        <f>IF(B69="","",VLOOKUP(AD69,Varsayımlar!$B:$Q,14,0))</f>
        <v/>
      </c>
      <c r="X69" s="69"/>
      <c r="Y69" s="69"/>
      <c r="Z69" s="67"/>
      <c r="AA69" s="67" t="str">
        <f>IF(B69="","",VLOOKUP(AD69,Varsayımlar!$B:$Q,15,0))</f>
        <v/>
      </c>
      <c r="AB69" s="67" t="str">
        <f>IF(B69="","",VLOOKUP(AD69,Varsayımlar!$B:$Q,16,0))</f>
        <v/>
      </c>
      <c r="AC69" s="67"/>
      <c r="AD69" s="57" t="str">
        <f t="shared" si="2"/>
        <v/>
      </c>
    </row>
    <row r="70" spans="1:30" x14ac:dyDescent="0.25">
      <c r="C70" s="53" t="str">
        <f>IF(B70="","",VLOOKUP(AD70,Varsayımlar!$B:$Q,3,0))</f>
        <v/>
      </c>
      <c r="H70" s="7" t="str">
        <f>IF(B70="","",VLOOKUP(AD70,Varsayımlar!$B:$Q,5,0))</f>
        <v/>
      </c>
      <c r="J70" s="7" t="str">
        <f>IF(B70="","",VLOOKUP(AD70,Varsayımlar!$B:$Q,6,0))</f>
        <v/>
      </c>
      <c r="P70" s="7" t="str">
        <f>IF(B70="","",VLOOKUP(AD70,Varsayımlar!$B:$Q,7,0)*K70)</f>
        <v/>
      </c>
      <c r="Q70" s="7" t="str">
        <f>IF(B70="","",VLOOKUP(AD70,Varsayımlar!$B:$Q,8,0))</f>
        <v/>
      </c>
      <c r="R70" s="7" t="str">
        <f>IF(B70="","",VLOOKUP(AD70,Varsayımlar!$B:$Q,9,0))</f>
        <v/>
      </c>
      <c r="S70" s="7" t="str">
        <f>IF(B70="","",VLOOKUP(AD70,Varsayımlar!$B:$Q,10,0))</f>
        <v/>
      </c>
      <c r="T70" s="7" t="str">
        <f>IF(B70="","",VLOOKUP(AD70,Varsayımlar!$B:$Q,11,0))</f>
        <v/>
      </c>
      <c r="U70" s="7" t="str">
        <f>IF(B70="","",VLOOKUP(AD70,Varsayımlar!$B:$Q,12,0))</f>
        <v/>
      </c>
      <c r="V70" s="7" t="str">
        <f>IF(B70="","",VLOOKUP(AD70,Varsayımlar!$B:$Q,13,0))</f>
        <v/>
      </c>
      <c r="W70" s="7" t="str">
        <f>IF(B70="","",VLOOKUP(AD70,Varsayımlar!$B:$Q,14,0))</f>
        <v/>
      </c>
      <c r="AA70" s="7" t="str">
        <f>IF(B70="","",VLOOKUP(AD70,Varsayımlar!$B:$Q,15,0))</f>
        <v/>
      </c>
      <c r="AB70" s="7" t="str">
        <f>IF(B70="","",VLOOKUP(AD70,Varsayımlar!$B:$Q,16,0))</f>
        <v/>
      </c>
      <c r="AD70" s="7" t="str">
        <f t="shared" si="2"/>
        <v/>
      </c>
    </row>
    <row r="71" spans="1:30" ht="31.5" customHeight="1" x14ac:dyDescent="0.25">
      <c r="A71" s="182" t="s">
        <v>345</v>
      </c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4"/>
      <c r="AC71" s="38"/>
    </row>
    <row r="72" spans="1:30" ht="63" x14ac:dyDescent="0.25">
      <c r="A72" s="8" t="s">
        <v>0</v>
      </c>
      <c r="B72" s="8" t="s">
        <v>1</v>
      </c>
      <c r="C72" s="9" t="s">
        <v>31</v>
      </c>
      <c r="D72" s="9" t="s">
        <v>124</v>
      </c>
      <c r="E72" s="9" t="s">
        <v>36</v>
      </c>
      <c r="F72" s="8" t="s">
        <v>37</v>
      </c>
      <c r="G72" s="8" t="s">
        <v>13</v>
      </c>
      <c r="H72" s="8" t="s">
        <v>2</v>
      </c>
      <c r="I72" s="8" t="s">
        <v>49</v>
      </c>
      <c r="J72" s="8" t="s">
        <v>3</v>
      </c>
      <c r="K72" s="8" t="s">
        <v>21</v>
      </c>
      <c r="L72" s="8" t="s">
        <v>94</v>
      </c>
      <c r="M72" s="8" t="s">
        <v>20</v>
      </c>
      <c r="N72" s="8" t="s">
        <v>165</v>
      </c>
      <c r="O72" s="8" t="s">
        <v>123</v>
      </c>
      <c r="P72" s="8" t="s">
        <v>16</v>
      </c>
      <c r="Q72" s="8" t="s">
        <v>4</v>
      </c>
      <c r="R72" s="8" t="s">
        <v>5</v>
      </c>
      <c r="S72" s="8" t="s">
        <v>6</v>
      </c>
      <c r="T72" s="8" t="s">
        <v>28</v>
      </c>
      <c r="U72" s="8" t="s">
        <v>7</v>
      </c>
      <c r="V72" s="8" t="s">
        <v>8</v>
      </c>
      <c r="W72" s="8" t="s">
        <v>9</v>
      </c>
      <c r="X72" s="8" t="s">
        <v>10</v>
      </c>
      <c r="Y72" s="8" t="s">
        <v>11</v>
      </c>
      <c r="Z72" s="8" t="s">
        <v>12</v>
      </c>
      <c r="AA72" s="8" t="s">
        <v>14</v>
      </c>
      <c r="AB72" s="8" t="s">
        <v>15</v>
      </c>
      <c r="AC72" s="8" t="s">
        <v>208</v>
      </c>
      <c r="AD72" s="7" t="s">
        <v>41</v>
      </c>
    </row>
    <row r="73" spans="1:30" ht="31.5" x14ac:dyDescent="0.25">
      <c r="A73" s="8" t="s">
        <v>26</v>
      </c>
      <c r="B73" s="64" t="s">
        <v>95</v>
      </c>
      <c r="C73" s="3">
        <f>IF(B73="","",VLOOKUP(AD73,Varsayımlar!$B:$Q,3,0))</f>
        <v>8698829380698</v>
      </c>
      <c r="D73" s="3"/>
      <c r="E73" s="65" t="s">
        <v>114</v>
      </c>
      <c r="F73" s="64"/>
      <c r="G73" s="64"/>
      <c r="H73" s="64" t="str">
        <f>IF(B73="","",VLOOKUP(AD73,Varsayımlar!$B:$Q,5,0))</f>
        <v>Bisto 25 cm</v>
      </c>
      <c r="I73" s="64"/>
      <c r="J73" s="64" t="str">
        <f>IF(B73="","",VLOOKUP(AD73,Varsayımlar!$B:$Q,6,0))</f>
        <v>SADE</v>
      </c>
      <c r="K73" s="64">
        <v>288</v>
      </c>
      <c r="L73" s="64"/>
      <c r="M73" s="64">
        <f>IFERROR(IF(B73="","",K73/VLOOKUP(AD73,Varsayımlar!B:R,17,0)),"")</f>
        <v>6</v>
      </c>
      <c r="N73" s="64"/>
      <c r="O73" s="64">
        <v>15</v>
      </c>
      <c r="P73" s="64">
        <f>IF(B73="","",VLOOKUP(AD73,Varsayımlar!$B:$Q,7,0)*K73)</f>
        <v>3456</v>
      </c>
      <c r="Q73" s="64">
        <f>IF(B73="","",VLOOKUP(AD73,Varsayımlar!$B:$Q,8,0))</f>
        <v>25</v>
      </c>
      <c r="R73" s="64" t="str">
        <f>IF(B73="","",VLOOKUP(AD73,Varsayımlar!$B:$Q,9,0))</f>
        <v>Standart</v>
      </c>
      <c r="S73" s="64">
        <f>IF(B73="","",VLOOKUP(AD73,Varsayımlar!$B:$Q,10,0))</f>
        <v>12</v>
      </c>
      <c r="T73" s="64">
        <f>IF(B73="","",VLOOKUP(AD73,Varsayımlar!$B:$Q,11,0))</f>
        <v>12</v>
      </c>
      <c r="U73" s="64">
        <f>IF(B73="","",VLOOKUP(AD73,Varsayımlar!$B:$Q,12,0))</f>
        <v>840</v>
      </c>
      <c r="V73" s="64" t="str">
        <f>IF(B73="","",VLOOKUP(AD73,Varsayımlar!$B:$Q,13,0))</f>
        <v>Yurtiçi</v>
      </c>
      <c r="W73" s="64">
        <f>IF(B73="","",VLOOKUP(AD73,Varsayımlar!$B:$Q,14,0))</f>
        <v>6</v>
      </c>
      <c r="X73" s="66" t="s">
        <v>113</v>
      </c>
      <c r="Y73" s="66" t="s">
        <v>113</v>
      </c>
      <c r="Z73" s="64" t="s">
        <v>113</v>
      </c>
      <c r="AA73" s="64" t="str">
        <f>IF(B73="","",VLOOKUP(AD73,Varsayımlar!$B:$Q,15,0))</f>
        <v>Bisto Kolisi</v>
      </c>
      <c r="AB73" s="64" t="str">
        <f>IF(B73="","",VLOOKUP(AD73,Varsayımlar!$B:$Q,16,0))</f>
        <v>24-26 Cm</v>
      </c>
      <c r="AC73" s="64" t="s">
        <v>362</v>
      </c>
      <c r="AD73" s="57" t="str">
        <f t="shared" ref="AD73" si="3">IF(B73="","",CONCATENATE(B73,E73))</f>
        <v>Şok MarketBisto 25 cm 12 pcs 840g</v>
      </c>
    </row>
    <row r="74" spans="1:30" ht="36" customHeight="1" x14ac:dyDescent="0.25">
      <c r="A74" s="8" t="s">
        <v>77</v>
      </c>
      <c r="B74" s="84" t="s">
        <v>119</v>
      </c>
      <c r="C74" s="83">
        <f>IF(B74="","",VLOOKUP(AD74,Varsayımlar!$B:$Q,3,0))</f>
        <v>8698829380698</v>
      </c>
      <c r="D74" s="83"/>
      <c r="E74" s="84" t="s">
        <v>120</v>
      </c>
      <c r="F74" s="84"/>
      <c r="G74" s="84"/>
      <c r="H74" s="84" t="str">
        <f>IF(B74="","",VLOOKUP(AD74,Varsayımlar!$B:$Q,5,0))</f>
        <v>Nimet 25 cm</v>
      </c>
      <c r="I74" s="84">
        <f>IF(B74="","",VLOOKUP(AD74,Varsayımlar!B:T,19,0))</f>
        <v>0</v>
      </c>
      <c r="J74" s="84" t="str">
        <f>IF(B74="","",VLOOKUP(AD74,Varsayımlar!$B:$Q,6,0))</f>
        <v>SADE</v>
      </c>
      <c r="K74" s="84">
        <v>4000</v>
      </c>
      <c r="L74" s="84"/>
      <c r="M74" s="84">
        <f>IFERROR(IF(B74="","",K74/VLOOKUP(AD74,Varsayımlar!B:R,17,0)),"")</f>
        <v>80</v>
      </c>
      <c r="N74" s="84">
        <v>50</v>
      </c>
      <c r="O74" s="84">
        <v>40</v>
      </c>
      <c r="P74" s="84">
        <f>IF(B74="","",VLOOKUP(AD74,Varsayımlar!$B:$Q,7,0)*K74)</f>
        <v>48000</v>
      </c>
      <c r="Q74" s="84">
        <f>IF(B74="","",VLOOKUP(AD74,Varsayımlar!$B:$Q,8,0))</f>
        <v>25</v>
      </c>
      <c r="R74" s="84" t="str">
        <f>IF(B74="","",VLOOKUP(AD74,Varsayımlar!$B:$Q,9,0))</f>
        <v>Standart</v>
      </c>
      <c r="S74" s="84">
        <f>IF(B74="","",VLOOKUP(AD74,Varsayımlar!$B:$Q,10,0))</f>
        <v>12</v>
      </c>
      <c r="T74" s="84">
        <f>IF(B74="","",VLOOKUP(AD74,Varsayımlar!$B:$Q,11,0))</f>
        <v>12</v>
      </c>
      <c r="U74" s="84">
        <f>IF(B74="","",VLOOKUP(AD74,Varsayımlar!$B:$Q,12,0))</f>
        <v>840</v>
      </c>
      <c r="V74" s="84" t="str">
        <f>IF(B74="","",VLOOKUP(AD74,Varsayımlar!$B:$Q,13,0))</f>
        <v>YURTİÇİ</v>
      </c>
      <c r="W74" s="84">
        <f>IF(B74="","",VLOOKUP(AD74,Varsayımlar!$B:$Q,14,0))</f>
        <v>5</v>
      </c>
      <c r="X74" s="85" t="s">
        <v>113</v>
      </c>
      <c r="Y74" s="85" t="s">
        <v>113</v>
      </c>
      <c r="Z74" s="85" t="s">
        <v>113</v>
      </c>
      <c r="AA74" s="84" t="str">
        <f>IF(B74="","",VLOOKUP(AD74,Varsayımlar!$B:$Q,15,0))</f>
        <v>Nimet Kolisi</v>
      </c>
      <c r="AB74" s="84" t="str">
        <f>IF(B74="","",VLOOKUP(AD74,Varsayımlar!$B:$Q,16,0))</f>
        <v>24-26 CM</v>
      </c>
      <c r="AC74" s="64">
        <f>IF(B74="","",VLOOKUP(Sayfa1!AD76,Varsayımlar!B:S,18,0))</f>
        <v>0</v>
      </c>
      <c r="AD74" s="57" t="str">
        <f>IF(B74="","",CONCATENATE(B74,E74))</f>
        <v>A101Nimet 25cm 12 pcs 840g</v>
      </c>
    </row>
    <row r="75" spans="1:30" ht="31.5" x14ac:dyDescent="0.25">
      <c r="A75" s="8" t="s">
        <v>78</v>
      </c>
      <c r="B75" s="54" t="s">
        <v>321</v>
      </c>
      <c r="C75" s="39">
        <f>IF(B75="","",VLOOKUP(AD75,Varsayımlar!$B:$Q,3,0))</f>
        <v>8698829380698</v>
      </c>
      <c r="D75" s="39"/>
      <c r="E75" s="54" t="s">
        <v>329</v>
      </c>
      <c r="F75" s="54"/>
      <c r="G75" s="54"/>
      <c r="H75" s="54" t="str">
        <f>IF(B75="","",VLOOKUP(AD75,Varsayımlar!$B:$Q,5,0))</f>
        <v>Baskısız 15 cm</v>
      </c>
      <c r="I75" s="54" t="str">
        <f>IF(B75="","",VLOOKUP(AD75,Varsayımlar!B:T,19,0))</f>
        <v>Lana 15cm 8pcs 220g Yuvarlak</v>
      </c>
      <c r="J75" s="54" t="str">
        <f>IF(B75="","",VLOOKUP(AD75,Varsayımlar!$B:$Q,6,0))</f>
        <v>SADE</v>
      </c>
      <c r="K75" s="54">
        <v>250</v>
      </c>
      <c r="L75" s="54">
        <v>9</v>
      </c>
      <c r="M75" s="54" t="str">
        <f>IFERROR(IF(B75="","",K75/VLOOKUP(AD75,Varsayımlar!B:R,17,0)),"")</f>
        <v/>
      </c>
      <c r="N75" s="54"/>
      <c r="O75" s="54">
        <v>8</v>
      </c>
      <c r="P75" s="54">
        <f>IF(B75="","",VLOOKUP(AD75,Varsayımlar!$B:$Q,7,0)*K75)</f>
        <v>3500</v>
      </c>
      <c r="Q75" s="54">
        <f>IF(B75="","",VLOOKUP(AD75,Varsayımlar!$B:$Q,8,0))</f>
        <v>15</v>
      </c>
      <c r="R75" s="54" t="str">
        <f>IF(B75="","",VLOOKUP(AD75,Varsayımlar!$B:$Q,9,0))</f>
        <v>Irak Soft</v>
      </c>
      <c r="S75" s="54">
        <f>IF(B75="","",VLOOKUP(AD75,Varsayımlar!$B:$Q,10,0))</f>
        <v>8</v>
      </c>
      <c r="T75" s="54">
        <f>IF(B75="","",VLOOKUP(AD75,Varsayımlar!$B:$Q,11,0))</f>
        <v>14</v>
      </c>
      <c r="U75" s="54">
        <f>IF(B75="","",VLOOKUP(AD75,Varsayımlar!$B:$Q,12,0))</f>
        <v>220</v>
      </c>
      <c r="V75" s="54" t="str">
        <f>IF(B75="","",VLOOKUP(AD75,Varsayımlar!$B:$Q,13,0))</f>
        <v>Yurtdışı</v>
      </c>
      <c r="W75" s="54">
        <f>IF(B75="","",VLOOKUP(AD75,Varsayımlar!$B:$Q,14,0))</f>
        <v>6</v>
      </c>
      <c r="X75" s="56">
        <v>46185</v>
      </c>
      <c r="Y75" s="56">
        <v>46368</v>
      </c>
      <c r="Z75" s="54">
        <v>26061215</v>
      </c>
      <c r="AA75" s="54" t="str">
        <f>IF(B75="","",VLOOKUP(AD75,Varsayımlar!$B:$Q,15,0))</f>
        <v>15cm koli</v>
      </c>
      <c r="AB75" s="54" t="str">
        <f>IF(B75="","",VLOOKUP(AD75,Varsayımlar!$B:$Q,16,0))</f>
        <v>24-26 cm (Inkjet ile Bilgiler Atılacak)</v>
      </c>
      <c r="AC75" s="64">
        <f>IF(B75="","",VLOOKUP(Sayfa1!AD75,Varsayımlar!B:S,18,0))</f>
        <v>0</v>
      </c>
      <c r="AD75" s="57" t="str">
        <f>IF(B75="","",CONCATENATE(B75,E75))</f>
        <v>Gülbahar CompanyBaskısız 15cm Sade 8pcs 220g</v>
      </c>
    </row>
    <row r="76" spans="1:30" ht="47.25" x14ac:dyDescent="0.25">
      <c r="A76" s="8" t="s">
        <v>79</v>
      </c>
      <c r="B76" s="62" t="s">
        <v>409</v>
      </c>
      <c r="C76" s="32">
        <f>IF(B76="","",VLOOKUP(AD76,Varsayımlar!$B:$Q,3,0))</f>
        <v>8698829380698</v>
      </c>
      <c r="D76" s="32"/>
      <c r="E76" s="32" t="s">
        <v>410</v>
      </c>
      <c r="F76" s="62"/>
      <c r="G76" s="32"/>
      <c r="H76" s="62" t="str">
        <f>IF(B76="","",VLOOKUP(AD76,Varsayımlar!$B:$Q,5,0))</f>
        <v>Baskısız 30cm</v>
      </c>
      <c r="I76" s="62" t="str">
        <f>IF(B76="","",VLOOKUP(AD76,Varsayımlar!B:T,19,0))</f>
        <v>Donipa 30cm 18pcs 1710g etiketli</v>
      </c>
      <c r="J76" s="62" t="str">
        <f>IF(B76="","",VLOOKUP(AD76,Varsayımlar!$B:$Q,6,0))</f>
        <v>SADE</v>
      </c>
      <c r="K76" s="62">
        <v>100</v>
      </c>
      <c r="L76" s="62"/>
      <c r="M76" s="62" t="str">
        <f>IFERROR(IF(B76="","",K76/VLOOKUP(AD76,Varsayımlar!B:R,17,0)),"")</f>
        <v/>
      </c>
      <c r="N76" s="62"/>
      <c r="O76" s="62">
        <v>3</v>
      </c>
      <c r="P76" s="62">
        <f>IF(B76="","",VLOOKUP(AD76,Varsayımlar!$B:$Q,7,0)*K76)</f>
        <v>600</v>
      </c>
      <c r="Q76" s="62">
        <f>IF(B76="","",VLOOKUP(AD76,Varsayımlar!$B:$Q,8,0))</f>
        <v>30</v>
      </c>
      <c r="R76" s="62" t="str">
        <f>IF(B76="","",VLOOKUP(AD76,Varsayımlar!$B:$Q,9,0))</f>
        <v>Irak soft</v>
      </c>
      <c r="S76" s="62">
        <f>IF(B76="","",VLOOKUP(AD76,Varsayımlar!$B:$Q,10,0))</f>
        <v>18</v>
      </c>
      <c r="T76" s="62">
        <f>IF(B76="","",VLOOKUP(AD76,Varsayımlar!$B:$Q,11,0))</f>
        <v>6</v>
      </c>
      <c r="U76" s="62">
        <f>IF(B76="","",VLOOKUP(AD76,Varsayımlar!$B:$Q,12,0))</f>
        <v>1710</v>
      </c>
      <c r="V76" s="62" t="str">
        <f>IF(B76="","",VLOOKUP(AD76,Varsayımlar!$B:$Q,13,0))</f>
        <v>Yurtiçi</v>
      </c>
      <c r="W76" s="62">
        <f>IF(B76="","",VLOOKUP(AD76,Varsayımlar!$B:$Q,14,0))</f>
        <v>6</v>
      </c>
      <c r="X76" s="63" t="s">
        <v>113</v>
      </c>
      <c r="Y76" s="63" t="s">
        <v>113</v>
      </c>
      <c r="Z76" s="63" t="s">
        <v>113</v>
      </c>
      <c r="AA76" s="62" t="str">
        <f>IF(B76="","",VLOOKUP(AD76,Varsayımlar!$B:$Q,15,0))</f>
        <v>30cm koli-Etiketli</v>
      </c>
      <c r="AB76" s="62" t="str">
        <f>IF(B76="","",VLOOKUP(AD76,Varsayımlar!$B:$Q,16,0))</f>
        <v>29-31 cm</v>
      </c>
      <c r="AC76" s="62">
        <f>IF(B76="","",VLOOKUP(Sayfa1!AD14,Varsayımlar!B:S,18,0))</f>
        <v>0</v>
      </c>
      <c r="AD76" s="57" t="str">
        <f>IF(B76="","",CONCATENATE(B76,E76))</f>
        <v>DonipaDonipa 30cm 18pcs 1710g</v>
      </c>
    </row>
    <row r="77" spans="1:30" ht="31.5" customHeight="1" x14ac:dyDescent="0.25">
      <c r="A77" s="8" t="s">
        <v>80</v>
      </c>
      <c r="B77" s="119" t="s">
        <v>363</v>
      </c>
      <c r="C77" s="120">
        <f>IF(B77="","",VLOOKUP(AD77,Varsayımlar!$B:$Q,3,0))</f>
        <v>8698829380698</v>
      </c>
      <c r="D77" s="120"/>
      <c r="E77" s="120" t="s">
        <v>364</v>
      </c>
      <c r="F77" s="119"/>
      <c r="G77" s="120" t="s">
        <v>373</v>
      </c>
      <c r="H77" s="119" t="str">
        <f>IF(B77="","",VLOOKUP(AD77,Varsayımlar!$B:$Q,5,0))</f>
        <v>Durum 30cm Sade 18pcs 1620g</v>
      </c>
      <c r="I77" s="119">
        <f>IF(B77="","",VLOOKUP(AD77,Varsayımlar!B:T,19,0))</f>
        <v>0</v>
      </c>
      <c r="J77" s="119" t="str">
        <f>IF(B77="","",VLOOKUP(AD77,Varsayımlar!$B:$Q,6,0))</f>
        <v>SADE</v>
      </c>
      <c r="K77" s="119">
        <v>360</v>
      </c>
      <c r="L77" s="119"/>
      <c r="M77" s="119" t="str">
        <f>IFERROR(IF(B77="","",K77/VLOOKUP(AD77,Varsayımlar!B:R,17,0)),"")</f>
        <v/>
      </c>
      <c r="N77" s="119"/>
      <c r="O77" s="119">
        <v>9</v>
      </c>
      <c r="P77" s="119">
        <f>IF(B77="","",VLOOKUP(AD77,Varsayımlar!$B:$Q,7,0)*K77)</f>
        <v>6480</v>
      </c>
      <c r="Q77" s="119">
        <f>IF(B77="","",VLOOKUP(AD77,Varsayımlar!$B:$Q,8,0))</f>
        <v>30</v>
      </c>
      <c r="R77" s="119" t="str">
        <f>IF(B77="","",VLOOKUP(AD77,Varsayımlar!$B:$Q,9,0))</f>
        <v>Irak Soft</v>
      </c>
      <c r="S77" s="119">
        <f>IF(B77="","",VLOOKUP(AD77,Varsayımlar!$B:$Q,10,0))</f>
        <v>18</v>
      </c>
      <c r="T77" s="119">
        <f>IF(B77="","",VLOOKUP(AD77,Varsayımlar!$B:$Q,11,0))</f>
        <v>6</v>
      </c>
      <c r="U77" s="119">
        <f>IF(B77="","",VLOOKUP(AD77,Varsayımlar!$B:$Q,12,0))</f>
        <v>1620</v>
      </c>
      <c r="V77" s="119" t="str">
        <f>IF(B77="","",VLOOKUP(AD77,Varsayımlar!$B:$Q,13,0))</f>
        <v>Yurtdışı</v>
      </c>
      <c r="W77" s="119">
        <f>IF(B77="","",VLOOKUP(AD77,Varsayımlar!$B:$Q,14,0))</f>
        <v>0</v>
      </c>
      <c r="X77" s="121"/>
      <c r="Y77" s="121"/>
      <c r="Z77" s="119"/>
      <c r="AA77" s="119" t="str">
        <f>IF(B77="","",VLOOKUP(AD77,Varsayımlar!$B:$Q,15,0))</f>
        <v>30cm kolisi-Etiketli</v>
      </c>
      <c r="AB77" s="119" t="str">
        <f>IF(B77="","",VLOOKUP(AD77,Varsayımlar!$B:$Q,16,0))</f>
        <v>29-31 cm</v>
      </c>
      <c r="AC77" s="64">
        <f>IF(B77="","",VLOOKUP(Sayfa1!AD11,Varsayımlar!B:S,18,0))</f>
        <v>0</v>
      </c>
      <c r="AD77" s="57" t="str">
        <f>IF(B77="","",CONCATENATE(B77,E77))</f>
        <v>EyalDurum 30cm sade 18 li 1620g</v>
      </c>
    </row>
    <row r="78" spans="1:30" ht="31.5" customHeight="1" x14ac:dyDescent="0.25">
      <c r="A78" s="8" t="s">
        <v>81</v>
      </c>
      <c r="B78" s="64" t="s">
        <v>335</v>
      </c>
      <c r="C78" s="3">
        <f>IF(B78="","",VLOOKUP(AD78,Varsayımlar!$B:$Q,3,0))</f>
        <v>8698829380698</v>
      </c>
      <c r="D78" s="3"/>
      <c r="E78" s="64" t="s">
        <v>299</v>
      </c>
      <c r="F78" s="64"/>
      <c r="G78" s="3"/>
      <c r="H78" s="64" t="str">
        <f>IF(B78="","",VLOOKUP(AD78,Varsayımlar!$B:$Q,5,0))</f>
        <v>Lazeza 30cm</v>
      </c>
      <c r="I78" s="64">
        <f>IF(B78="","",VLOOKUP(AD78,Varsayımlar!B:T,19,0))</f>
        <v>0</v>
      </c>
      <c r="J78" s="64" t="str">
        <f>IF(B78="","",VLOOKUP(AD78,Varsayımlar!$B:$Q,6,0))</f>
        <v>SADE</v>
      </c>
      <c r="K78" s="64">
        <v>1700</v>
      </c>
      <c r="L78" s="64"/>
      <c r="M78" s="64" t="str">
        <f>IFERROR(IF(B78="","",K78/VLOOKUP(AD78,Varsayımlar!B:R,17,0)),"")</f>
        <v/>
      </c>
      <c r="N78" s="64"/>
      <c r="O78" s="64">
        <v>10</v>
      </c>
      <c r="P78" s="64">
        <f>IF(B78="","",VLOOKUP(AD78,Varsayımlar!$B:$Q,7,0)*K78)</f>
        <v>30600</v>
      </c>
      <c r="Q78" s="64">
        <f>IF(B78="","",VLOOKUP(AD78,Varsayımlar!$B:$Q,8,0))</f>
        <v>30</v>
      </c>
      <c r="R78" s="64" t="str">
        <f>IF(B78="","",VLOOKUP(AD78,Varsayımlar!$B:$Q,9,0))</f>
        <v>Irak Soft</v>
      </c>
      <c r="S78" s="64">
        <f>IF(B78="","",VLOOKUP(AD78,Varsayımlar!$B:$Q,10,0))</f>
        <v>6</v>
      </c>
      <c r="T78" s="64">
        <f>IF(B78="","",VLOOKUP(AD78,Varsayımlar!$B:$Q,11,0))</f>
        <v>18</v>
      </c>
      <c r="U78" s="64">
        <f>IF(B78="","",VLOOKUP(AD78,Varsayımlar!$B:$Q,12,0))</f>
        <v>510</v>
      </c>
      <c r="V78" s="64" t="str">
        <f>IF(B78="","",VLOOKUP(AD78,Varsayımlar!$B:$Q,13,0))</f>
        <v>Yurtdışı</v>
      </c>
      <c r="W78" s="64">
        <f>IF(B78="","",VLOOKUP(AD78,Varsayımlar!$B:$Q,14,0))</f>
        <v>6</v>
      </c>
      <c r="X78" s="66"/>
      <c r="Y78" s="66"/>
      <c r="Z78" s="64"/>
      <c r="AA78" s="64" t="str">
        <f>IF(B78="","",VLOOKUP(AD78,Varsayımlar!$B:$Q,15,0))</f>
        <v>Lazeza Kolisi</v>
      </c>
      <c r="AB78" s="64" t="str">
        <f>IF(B78="","",VLOOKUP(AD78,Varsayımlar!$B:$Q,16,0))</f>
        <v>29-31 cm</v>
      </c>
      <c r="AC78" s="64" t="str">
        <f>IF(B78="","",VLOOKUP(Sayfa1!AD79,Varsayımlar!B:S,18,0))</f>
        <v>80x120cm -Epal+Epal</v>
      </c>
      <c r="AD78" s="57" t="str">
        <f t="shared" ref="AD78:AD94" si="4">IF(B78="","",CONCATENATE(B78,E78))</f>
        <v>AjjawiLazeza 30 cm 6pcs 510g</v>
      </c>
    </row>
    <row r="79" spans="1:30" ht="26.25" customHeight="1" x14ac:dyDescent="0.25">
      <c r="A79" s="8" t="s">
        <v>82</v>
      </c>
      <c r="B79" s="67" t="s">
        <v>119</v>
      </c>
      <c r="C79" s="42">
        <v>8698829380698</v>
      </c>
      <c r="D79" s="42"/>
      <c r="E79" s="42" t="s">
        <v>120</v>
      </c>
      <c r="F79" s="67"/>
      <c r="G79" s="42"/>
      <c r="H79" s="67" t="s">
        <v>121</v>
      </c>
      <c r="I79" s="67">
        <v>0</v>
      </c>
      <c r="J79" s="67" t="s">
        <v>19</v>
      </c>
      <c r="K79" s="67">
        <v>4000</v>
      </c>
      <c r="L79" s="67"/>
      <c r="M79" s="67">
        <v>80</v>
      </c>
      <c r="N79" s="67">
        <v>50</v>
      </c>
      <c r="O79" s="67">
        <v>145</v>
      </c>
      <c r="P79" s="67">
        <v>48000</v>
      </c>
      <c r="Q79" s="67">
        <v>25</v>
      </c>
      <c r="R79" s="67" t="s">
        <v>116</v>
      </c>
      <c r="S79" s="67">
        <v>12</v>
      </c>
      <c r="T79" s="67">
        <v>12</v>
      </c>
      <c r="U79" s="67">
        <v>840</v>
      </c>
      <c r="V79" s="67" t="s">
        <v>72</v>
      </c>
      <c r="W79" s="67">
        <v>5</v>
      </c>
      <c r="X79" s="69" t="s">
        <v>113</v>
      </c>
      <c r="Y79" s="69" t="s">
        <v>113</v>
      </c>
      <c r="Z79" s="67" t="s">
        <v>113</v>
      </c>
      <c r="AA79" s="67" t="s">
        <v>122</v>
      </c>
      <c r="AB79" s="67" t="s">
        <v>25</v>
      </c>
      <c r="AC79" s="67">
        <v>0</v>
      </c>
      <c r="AD79" s="57" t="s">
        <v>387</v>
      </c>
    </row>
    <row r="80" spans="1:30" ht="47.25" x14ac:dyDescent="0.25">
      <c r="A80" s="8" t="s">
        <v>83</v>
      </c>
      <c r="B80" s="67" t="s">
        <v>268</v>
      </c>
      <c r="C80" s="42">
        <f>IF(B80="","",VLOOKUP(AD80,Varsayımlar!$B:$Q,3,0))</f>
        <v>8698829380698</v>
      </c>
      <c r="D80" s="42" t="s">
        <v>159</v>
      </c>
      <c r="E80" s="42" t="s">
        <v>244</v>
      </c>
      <c r="F80" s="67">
        <v>20250825</v>
      </c>
      <c r="G80" s="42" t="s">
        <v>68</v>
      </c>
      <c r="H80" s="67" t="str">
        <f>IF(B80="","",VLOOKUP(AD80,Varsayımlar!$B:$Q,5,0))</f>
        <v xml:space="preserve">Tortillas Pizza 26cm </v>
      </c>
      <c r="I80" s="67">
        <f>IF(B80="","",VLOOKUP(AD80,Varsayımlar!B:T,19,0))</f>
        <v>0</v>
      </c>
      <c r="J80" s="67" t="str">
        <f>IF(B80="","",VLOOKUP(AD80,Varsayımlar!$B:$Q,6,0))</f>
        <v>SADE</v>
      </c>
      <c r="K80" s="67">
        <v>960</v>
      </c>
      <c r="L80" s="67"/>
      <c r="M80" s="67">
        <f>IFERROR(IF(B80="","",K80/VLOOKUP(AD80,Varsayımlar!B:R,17,0)),"")</f>
        <v>5</v>
      </c>
      <c r="N80" s="67"/>
      <c r="O80" s="67">
        <v>11</v>
      </c>
      <c r="P80" s="67">
        <f>IF(B80="","",VLOOKUP(AD80,Varsayımlar!$B:$Q,7,0)*K80)</f>
        <v>11520</v>
      </c>
      <c r="Q80" s="67">
        <f>IF(B80="","",VLOOKUP(AD80,Varsayımlar!$B:$Q,8,0))</f>
        <v>26</v>
      </c>
      <c r="R80" s="67" t="str">
        <f>IF(B80="","",VLOOKUP(AD80,Varsayımlar!$B:$Q,9,0))</f>
        <v>Soft-PA3</v>
      </c>
      <c r="S80" s="67">
        <f>IF(B80="","",VLOOKUP(AD80,Varsayımlar!$B:$Q,10,0))</f>
        <v>2</v>
      </c>
      <c r="T80" s="67">
        <f>IF(B80="","",VLOOKUP(AD80,Varsayımlar!$B:$Q,11,0))</f>
        <v>12</v>
      </c>
      <c r="U80" s="67">
        <f>IF(B80="","",VLOOKUP(AD80,Varsayımlar!$B:$Q,12,0))</f>
        <v>240</v>
      </c>
      <c r="V80" s="67" t="str">
        <f>IF(B80="","",VLOOKUP(AD80,Varsayımlar!$B:$Q,13,0))</f>
        <v>Yurtdışı</v>
      </c>
      <c r="W80" s="67">
        <f>IF(B80="","",VLOOKUP(AD80,Varsayımlar!$B:$Q,14,0))</f>
        <v>9</v>
      </c>
      <c r="X80" s="69">
        <v>46199</v>
      </c>
      <c r="Y80" s="69">
        <v>46472</v>
      </c>
      <c r="Z80" s="67">
        <v>26062626</v>
      </c>
      <c r="AA80" s="67" t="str">
        <f>IF(B80="","",VLOOKUP(AD80,Varsayımlar!$B:$Q,15,0))</f>
        <v>26 cm pizza kolisi-Etiketli</v>
      </c>
      <c r="AB80" s="67" t="str">
        <f>IF(B80="","",VLOOKUP(AD80,Varsayımlar!$B:$Q,16,0))</f>
        <v>24-26 cm (Macca Hetto Inkjet Uzun Tarih)</v>
      </c>
      <c r="AC80" s="67" t="e">
        <f>IF(B80="","",VLOOKUP(Sayfa1!AD83,Varsayımlar!B:S,18,0))</f>
        <v>#N/A</v>
      </c>
      <c r="AD80" s="57" t="str">
        <f>IF(B80="","",CONCATENATE(B80,E80))</f>
        <v>LAIKYUZHN-BELARUSTortillas Pizza 26cm 4pcs 480g</v>
      </c>
    </row>
    <row r="81" spans="1:30" ht="94.5" x14ac:dyDescent="0.25">
      <c r="A81" s="8" t="s">
        <v>84</v>
      </c>
      <c r="B81" s="62" t="s">
        <v>181</v>
      </c>
      <c r="C81" s="32">
        <f>IF(B81="","",VLOOKUP(AD81,Varsayımlar!$B:$Q,3,0))</f>
        <v>8698829380698</v>
      </c>
      <c r="D81" s="32"/>
      <c r="E81" s="62" t="s">
        <v>206</v>
      </c>
      <c r="F81" s="62">
        <v>26060101</v>
      </c>
      <c r="G81" s="32"/>
      <c r="H81" s="62" t="str">
        <f>IF(B81="","",VLOOKUP(AD81,Varsayımlar!$B:$Q,5,0))</f>
        <v>Pizza-6 26 cm</v>
      </c>
      <c r="I81" s="62" t="str">
        <f>IF(B81="","",VLOOKUP(AD81,Varsayımlar!B:T,19,0))</f>
        <v>Arka kısma Arnavutça içerik-Pizza 6</v>
      </c>
      <c r="J81" s="62" t="str">
        <f>IF(B81="","",VLOOKUP(AD81,Varsayımlar!$B:$Q,6,0))</f>
        <v>SADE</v>
      </c>
      <c r="K81" s="62">
        <v>120</v>
      </c>
      <c r="L81" s="62"/>
      <c r="M81" s="62">
        <f>IFERROR(IF(B81="","",K81/VLOOKUP(AD81,Varsayımlar!B:R,17,0)),"")</f>
        <v>1</v>
      </c>
      <c r="N81" s="62"/>
      <c r="O81" s="62">
        <v>2</v>
      </c>
      <c r="P81" s="62">
        <f>IF(B81="","",VLOOKUP(AD81,Varsayımlar!$B:$Q,7,0)*K81)</f>
        <v>720</v>
      </c>
      <c r="Q81" s="62">
        <f>IF(B81="","",VLOOKUP(AD81,Varsayımlar!$B:$Q,8,0))</f>
        <v>26</v>
      </c>
      <c r="R81" s="62" t="str">
        <f>IF(B81="","",VLOOKUP(AD81,Varsayımlar!$B:$Q,9,0))</f>
        <v>Irak Soft</v>
      </c>
      <c r="S81" s="62">
        <f>IF(B81="","",VLOOKUP(AD81,Varsayımlar!$B:$Q,10,0))</f>
        <v>4</v>
      </c>
      <c r="T81" s="62">
        <f>IF(B81="","",VLOOKUP(AD81,Varsayımlar!$B:$Q,11,0))</f>
        <v>6</v>
      </c>
      <c r="U81" s="62">
        <f>IF(B81="","",VLOOKUP(AD81,Varsayımlar!$B:$Q,12,0))</f>
        <v>480</v>
      </c>
      <c r="V81" s="62" t="str">
        <f>IF(B81="","",VLOOKUP(AD81,Varsayımlar!$B:$Q,13,0))</f>
        <v>YURTDIŞI</v>
      </c>
      <c r="W81" s="62">
        <f>IF(B81="","",VLOOKUP(AD81,Varsayımlar!$B:$Q,14,0))</f>
        <v>12</v>
      </c>
      <c r="X81" s="63">
        <v>46200</v>
      </c>
      <c r="Y81" s="63">
        <v>46565</v>
      </c>
      <c r="Z81" s="62">
        <v>26062726</v>
      </c>
      <c r="AA81" s="62" t="str">
        <f>IF(B81="","",VLOOKUP(AD81,Varsayımlar!$B:$Q,15,0))</f>
        <v>Pizza kolisi</v>
      </c>
      <c r="AB81" s="62" t="str">
        <f>IF(B81="","",VLOOKUP(AD81,Varsayımlar!$B:$Q,16,0))</f>
        <v>26 cm kesme -Beze 145-150g, Kesilmmeiş çap 27-28cm, Kesilmemiş ağı: 520-540g, Kesilmiş:475-485g</v>
      </c>
      <c r="AC81" s="62">
        <f>IF(B81="","",VLOOKUP(Sayfa1!AD84,Varsayımlar!B:S,18,0))</f>
        <v>0</v>
      </c>
      <c r="AD81" s="57" t="str">
        <f>IF(B81="","",CONCATENATE(B81,E81))</f>
        <v>ALDİ - KOSOVAPizza-6 26cm 4pcs 480g</v>
      </c>
    </row>
    <row r="82" spans="1:30" ht="94.5" x14ac:dyDescent="0.25">
      <c r="A82" s="8" t="s">
        <v>85</v>
      </c>
      <c r="B82" s="80" t="s">
        <v>218</v>
      </c>
      <c r="C82" s="44">
        <f>IF(B82="","",VLOOKUP(AD82,Varsayımlar!$B:$Q,3,0))</f>
        <v>8698829380698</v>
      </c>
      <c r="D82" s="44" t="s">
        <v>160</v>
      </c>
      <c r="E82" s="80" t="s">
        <v>244</v>
      </c>
      <c r="F82" s="80">
        <v>26042907</v>
      </c>
      <c r="G82" s="44"/>
      <c r="H82" s="80" t="str">
        <f>IF(B82="","",VLOOKUP(AD82,Varsayımlar!$B:$Q,5,0))</f>
        <v>Tortillas Avrupa Pizza 26cm (742)</v>
      </c>
      <c r="I82" s="80">
        <f>IF(B82="","",VLOOKUP(AD82,Varsayımlar!B:T,19,0))</f>
        <v>0</v>
      </c>
      <c r="J82" s="80" t="str">
        <f>IF(B82="","",VLOOKUP(AD82,Varsayımlar!$B:$Q,6,0))</f>
        <v>SADE</v>
      </c>
      <c r="K82" s="80">
        <v>720</v>
      </c>
      <c r="L82" s="80"/>
      <c r="M82" s="80">
        <f>IFERROR(IF(B82="","",K82/VLOOKUP(AD82,Varsayımlar!B:R,17,0)),"")</f>
        <v>6</v>
      </c>
      <c r="N82" s="80"/>
      <c r="O82" s="80">
        <v>9</v>
      </c>
      <c r="P82" s="80">
        <f>IF(B82="","",VLOOKUP(AD82,Varsayımlar!$B:$Q,7,0)*K82)</f>
        <v>5760</v>
      </c>
      <c r="Q82" s="80">
        <f>IF(B82="","",VLOOKUP(AD82,Varsayımlar!$B:$Q,8,0))</f>
        <v>26</v>
      </c>
      <c r="R82" s="80" t="str">
        <f>IF(B82="","",VLOOKUP(AD82,Varsayımlar!$B:$Q,9,0))</f>
        <v>Irak Soft</v>
      </c>
      <c r="S82" s="80">
        <f>IF(B82="","",VLOOKUP(AD82,Varsayımlar!$B:$Q,10,0))</f>
        <v>4</v>
      </c>
      <c r="T82" s="80">
        <f>IF(B82="","",VLOOKUP(AD82,Varsayımlar!$B:$Q,11,0))</f>
        <v>8</v>
      </c>
      <c r="U82" s="80">
        <f>IF(B82="","",VLOOKUP(AD82,Varsayımlar!$B:$Q,12,0))</f>
        <v>480</v>
      </c>
      <c r="V82" s="80" t="str">
        <f>IF(B82="","",VLOOKUP(AD82,Varsayımlar!$B:$Q,13,0))</f>
        <v>Yurtdışı</v>
      </c>
      <c r="W82" s="80">
        <f>IF(B82="","",VLOOKUP(AD82,Varsayımlar!$B:$Q,14,0))</f>
        <v>9</v>
      </c>
      <c r="X82" s="81">
        <v>46203</v>
      </c>
      <c r="Y82" s="81">
        <v>46476</v>
      </c>
      <c r="Z82" s="80">
        <v>26063026</v>
      </c>
      <c r="AA82" s="80" t="str">
        <f>IF(B82="","",VLOOKUP(AD82,Varsayımlar!$B:$Q,15,0))</f>
        <v>26cm Pizza Perforeli-Bulgarca Etiket</v>
      </c>
      <c r="AB82" s="80" t="str">
        <f>IF(B82="","",VLOOKUP(AD82,Varsayımlar!$B:$Q,16,0))</f>
        <v>26 cm kesme -Beze 145-150g, Kesilmmeiş çap 27-28cm, Kesilmemiş ağı: 520-540g, Kesilmiş:475-485g</v>
      </c>
      <c r="AC82" s="80" t="str">
        <f>IF(B82="","",VLOOKUP(Sayfa1!AD80,Varsayımlar!B:S,18,0))</f>
        <v>80x120cm -Epal+Epal</v>
      </c>
      <c r="AD82" s="57" t="str">
        <f t="shared" si="4"/>
        <v>TASTE LAND-BULGARİSTANTortillas Pizza 26cm 4pcs 480g</v>
      </c>
    </row>
    <row r="83" spans="1:30" ht="47.25" x14ac:dyDescent="0.25">
      <c r="A83" s="8" t="s">
        <v>86</v>
      </c>
      <c r="B83" s="54" t="s">
        <v>268</v>
      </c>
      <c r="C83" s="39">
        <f>IF(B83="","",VLOOKUP(AD83,Varsayımlar!$B:$Q,3,0))</f>
        <v>8698829380698</v>
      </c>
      <c r="D83" s="39" t="s">
        <v>160</v>
      </c>
      <c r="E83" s="39" t="s">
        <v>244</v>
      </c>
      <c r="F83" s="54" t="s">
        <v>343</v>
      </c>
      <c r="G83" s="39" t="s">
        <v>68</v>
      </c>
      <c r="H83" s="54" t="str">
        <f>IF(B83="","",VLOOKUP(AD83,Varsayımlar!$B:$Q,5,0))</f>
        <v xml:space="preserve">Tortillas Pizza 26cm </v>
      </c>
      <c r="I83" s="54">
        <f>IF(B83="","",VLOOKUP(AD83,Varsayımlar!B:T,19,0))</f>
        <v>0</v>
      </c>
      <c r="J83" s="54" t="str">
        <f>IF(B83="","",VLOOKUP(AD83,Varsayımlar!$B:$Q,6,0))</f>
        <v>SADE</v>
      </c>
      <c r="K83" s="54">
        <v>768</v>
      </c>
      <c r="L83" s="54"/>
      <c r="M83" s="54">
        <f>IFERROR(IF(B83="","",K83/VLOOKUP(AD83,Varsayımlar!B:R,17,0)),"")</f>
        <v>4</v>
      </c>
      <c r="N83" s="54"/>
      <c r="O83" s="54">
        <v>9</v>
      </c>
      <c r="P83" s="54">
        <f>IF(B83="","",VLOOKUP(AD83,Varsayımlar!$B:$Q,7,0)*K83)</f>
        <v>9216</v>
      </c>
      <c r="Q83" s="54">
        <f>IF(B83="","",VLOOKUP(AD83,Varsayımlar!$B:$Q,8,0))</f>
        <v>26</v>
      </c>
      <c r="R83" s="54" t="str">
        <f>IF(B83="","",VLOOKUP(AD83,Varsayımlar!$B:$Q,9,0))</f>
        <v>Soft-PA3</v>
      </c>
      <c r="S83" s="54">
        <f>IF(B83="","",VLOOKUP(AD83,Varsayımlar!$B:$Q,10,0))</f>
        <v>2</v>
      </c>
      <c r="T83" s="54">
        <f>IF(B83="","",VLOOKUP(AD83,Varsayımlar!$B:$Q,11,0))</f>
        <v>12</v>
      </c>
      <c r="U83" s="54">
        <f>IF(B83="","",VLOOKUP(AD83,Varsayımlar!$B:$Q,12,0))</f>
        <v>240</v>
      </c>
      <c r="V83" s="54" t="str">
        <f>IF(B83="","",VLOOKUP(AD83,Varsayımlar!$B:$Q,13,0))</f>
        <v>Yurtdışı</v>
      </c>
      <c r="W83" s="54">
        <f>IF(B83="","",VLOOKUP(AD83,Varsayımlar!$B:$Q,14,0))</f>
        <v>9</v>
      </c>
      <c r="X83" s="56">
        <v>46205</v>
      </c>
      <c r="Y83" s="56">
        <v>46479</v>
      </c>
      <c r="Z83" s="54">
        <v>26070226</v>
      </c>
      <c r="AA83" s="54" t="str">
        <f>IF(B83="","",VLOOKUP(AD83,Varsayımlar!$B:$Q,15,0))</f>
        <v>26 cm pizza kolisi-Etiketli</v>
      </c>
      <c r="AB83" s="54" t="str">
        <f>IF(B83="","",VLOOKUP(AD83,Varsayımlar!$B:$Q,16,0))</f>
        <v>24-26 cm (Macca Hetto Inkjet Uzun Tarih)</v>
      </c>
      <c r="AC83" s="54" t="e">
        <f>IF(B83="","",VLOOKUP(Sayfa1!AD83,Varsayımlar!B:S,18,0))</f>
        <v>#N/A</v>
      </c>
      <c r="AD83" s="57" t="str">
        <f>IF(B83="","",CONCATENATE(B83,E83))</f>
        <v>LAIKYUZHN-BELARUSTortillas Pizza 26cm 4pcs 480g</v>
      </c>
    </row>
    <row r="84" spans="1:30" ht="94.5" x14ac:dyDescent="0.25">
      <c r="A84" s="8" t="s">
        <v>87</v>
      </c>
      <c r="B84" s="75" t="s">
        <v>218</v>
      </c>
      <c r="C84" s="43">
        <f>IF(B84="","",VLOOKUP(AD84,Varsayımlar!$B:$Q,3,0))</f>
        <v>8698829380698</v>
      </c>
      <c r="D84" s="43" t="s">
        <v>161</v>
      </c>
      <c r="E84" s="75" t="s">
        <v>244</v>
      </c>
      <c r="F84" s="75" t="s">
        <v>341</v>
      </c>
      <c r="G84" s="43"/>
      <c r="H84" s="75" t="str">
        <f>IF(B84="","",VLOOKUP(AD84,Varsayımlar!$B:$Q,5,0))</f>
        <v>Tortillas Avrupa Pizza 26cm (742)</v>
      </c>
      <c r="I84" s="75">
        <f>IF(B84="","",VLOOKUP(AD84,Varsayımlar!B:T,19,0))</f>
        <v>0</v>
      </c>
      <c r="J84" s="75" t="str">
        <f>IF(B84="","",VLOOKUP(AD84,Varsayımlar!$B:$Q,6,0))</f>
        <v>SADE</v>
      </c>
      <c r="K84" s="75">
        <v>840</v>
      </c>
      <c r="L84" s="75"/>
      <c r="M84" s="75">
        <f>IFERROR(IF(B84="","",K84/VLOOKUP(AD84,Varsayımlar!B:R,17,0)),"")</f>
        <v>7</v>
      </c>
      <c r="N84" s="75"/>
      <c r="O84" s="75">
        <v>11</v>
      </c>
      <c r="P84" s="75">
        <f>IF(B84="","",VLOOKUP(AD84,Varsayımlar!$B:$Q,7,0)*K84)</f>
        <v>6720</v>
      </c>
      <c r="Q84" s="75">
        <f>IF(B84="","",VLOOKUP(AD84,Varsayımlar!$B:$Q,8,0))</f>
        <v>26</v>
      </c>
      <c r="R84" s="75" t="str">
        <f>IF(B84="","",VLOOKUP(AD84,Varsayımlar!$B:$Q,9,0))</f>
        <v>Irak Soft</v>
      </c>
      <c r="S84" s="75">
        <f>IF(B84="","",VLOOKUP(AD84,Varsayımlar!$B:$Q,10,0))</f>
        <v>4</v>
      </c>
      <c r="T84" s="75">
        <f>IF(B84="","",VLOOKUP(AD84,Varsayımlar!$B:$Q,11,0))</f>
        <v>8</v>
      </c>
      <c r="U84" s="75">
        <f>IF(B84="","",VLOOKUP(AD84,Varsayımlar!$B:$Q,12,0))</f>
        <v>480</v>
      </c>
      <c r="V84" s="75" t="str">
        <f>IF(B84="","",VLOOKUP(AD84,Varsayımlar!$B:$Q,13,0))</f>
        <v>Yurtdışı</v>
      </c>
      <c r="W84" s="75">
        <f>IF(B84="","",VLOOKUP(AD84,Varsayımlar!$B:$Q,14,0))</f>
        <v>9</v>
      </c>
      <c r="X84" s="76"/>
      <c r="Y84" s="76"/>
      <c r="Z84" s="75"/>
      <c r="AA84" s="75" t="str">
        <f>IF(B84="","",VLOOKUP(AD84,Varsayımlar!$B:$Q,15,0))</f>
        <v>26cm Pizza Perforeli-Bulgarca Etiket</v>
      </c>
      <c r="AB84" s="75" t="str">
        <f>IF(B84="","",VLOOKUP(AD84,Varsayımlar!$B:$Q,16,0))</f>
        <v>26 cm kesme -Beze 145-150g, Kesilmmeiş çap 27-28cm, Kesilmemiş ağı: 520-540g, Kesilmiş:475-485g</v>
      </c>
      <c r="AC84" s="75" t="str">
        <f>IF(B84="","",VLOOKUP(Sayfa1!AD81,Varsayımlar!B:S,18,0))</f>
        <v>80x120cm -Epal+Epal</v>
      </c>
      <c r="AD84" s="57" t="str">
        <f t="shared" si="4"/>
        <v>TASTE LAND-BULGARİSTANTortillas Pizza 26cm 4pcs 480g</v>
      </c>
    </row>
    <row r="85" spans="1:30" hidden="1" x14ac:dyDescent="0.25">
      <c r="A85" s="8" t="s">
        <v>88</v>
      </c>
      <c r="B85" s="67"/>
      <c r="C85" s="42" t="str">
        <f>IF(B85="","",VLOOKUP(AD85,Varsayımlar!$B:$Q,3,0))</f>
        <v/>
      </c>
      <c r="D85" s="42"/>
      <c r="E85" s="42"/>
      <c r="F85" s="42"/>
      <c r="G85" s="42"/>
      <c r="H85" s="42" t="str">
        <f>IF(B85="","",VLOOKUP(AD85,Varsayımlar!$B:$Q,5,0))</f>
        <v/>
      </c>
      <c r="I85" s="42"/>
      <c r="J85" s="42" t="str">
        <f>IF(B85="","",VLOOKUP(AD85,Varsayımlar!$B:$Q,6,0))</f>
        <v/>
      </c>
      <c r="K85" s="42"/>
      <c r="L85" s="42"/>
      <c r="M85" s="42" t="str">
        <f>IFERROR(IF(B85="","",K85/VLOOKUP(AD85,Varsayımlar!B:R,17,0)),"")</f>
        <v/>
      </c>
      <c r="N85" s="42"/>
      <c r="O85" s="42"/>
      <c r="P85" s="42" t="str">
        <f>IF(B85="","",VLOOKUP(AD85,Varsayımlar!$B:$Q,7,0)*K85)</f>
        <v/>
      </c>
      <c r="Q85" s="42" t="str">
        <f>IF(B85="","",VLOOKUP(AD85,Varsayımlar!$B:$Q,8,0))</f>
        <v/>
      </c>
      <c r="R85" s="42" t="str">
        <f>IF(B85="","",VLOOKUP(AD85,Varsayımlar!$B:$Q,9,0))</f>
        <v/>
      </c>
      <c r="S85" s="42" t="str">
        <f>IF(B85="","",VLOOKUP(AD85,Varsayımlar!$B:$Q,10,0))</f>
        <v/>
      </c>
      <c r="T85" s="42" t="str">
        <f>IF(B85="","",VLOOKUP(AD85,Varsayımlar!$B:$Q,11,0))</f>
        <v/>
      </c>
      <c r="U85" s="42" t="str">
        <f>IF(B85="","",VLOOKUP(AD85,Varsayımlar!$B:$Q,12,0))</f>
        <v/>
      </c>
      <c r="V85" s="42" t="str">
        <f>IF(B85="","",VLOOKUP(AD85,Varsayımlar!$B:$Q,13,0))</f>
        <v/>
      </c>
      <c r="W85" s="67" t="str">
        <f>IF(B85="","",VLOOKUP(AD85,Varsayımlar!$B:$Q,14,0))</f>
        <v/>
      </c>
      <c r="X85" s="69"/>
      <c r="Y85" s="69"/>
      <c r="Z85" s="67"/>
      <c r="AA85" s="67" t="str">
        <f>IF(B85="","",VLOOKUP(AD85,Varsayımlar!$B:$Q,15,0))</f>
        <v/>
      </c>
      <c r="AB85" s="67" t="str">
        <f>IF(B85="","",VLOOKUP(AD85,Varsayımlar!$B:$Q,16,0))</f>
        <v/>
      </c>
      <c r="AC85" s="67"/>
      <c r="AD85" s="57" t="str">
        <f t="shared" si="4"/>
        <v/>
      </c>
    </row>
    <row r="86" spans="1:30" hidden="1" x14ac:dyDescent="0.25">
      <c r="A86" s="8" t="s">
        <v>89</v>
      </c>
      <c r="B86" s="67"/>
      <c r="C86" s="42" t="str">
        <f>IF(B86="","",VLOOKUP(AD86,Varsayımlar!$B:$Q,3,0))</f>
        <v/>
      </c>
      <c r="D86" s="42"/>
      <c r="E86" s="42"/>
      <c r="F86" s="42"/>
      <c r="G86" s="42"/>
      <c r="H86" s="42" t="str">
        <f>IF(B86="","",VLOOKUP(AD86,Varsayımlar!$B:$Q,5,0))</f>
        <v/>
      </c>
      <c r="I86" s="42"/>
      <c r="J86" s="42" t="str">
        <f>IF(B86="","",VLOOKUP(AD86,Varsayımlar!$B:$Q,6,0))</f>
        <v/>
      </c>
      <c r="K86" s="42"/>
      <c r="L86" s="42"/>
      <c r="M86" s="42" t="str">
        <f>IFERROR(IF(B86="","",K86/VLOOKUP(AD86,Varsayımlar!B:R,17,0)),"")</f>
        <v/>
      </c>
      <c r="N86" s="42"/>
      <c r="O86" s="42"/>
      <c r="P86" s="42" t="str">
        <f>IF(B86="","",VLOOKUP(AD86,Varsayımlar!$B:$Q,7,0)*K86)</f>
        <v/>
      </c>
      <c r="Q86" s="42" t="str">
        <f>IF(B86="","",VLOOKUP(AD86,Varsayımlar!$B:$Q,8,0))</f>
        <v/>
      </c>
      <c r="R86" s="42" t="str">
        <f>IF(B86="","",VLOOKUP(AD86,Varsayımlar!$B:$Q,9,0))</f>
        <v/>
      </c>
      <c r="S86" s="42" t="str">
        <f>IF(B86="","",VLOOKUP(AD86,Varsayımlar!$B:$Q,10,0))</f>
        <v/>
      </c>
      <c r="T86" s="42" t="str">
        <f>IF(B86="","",VLOOKUP(AD86,Varsayımlar!$B:$Q,11,0))</f>
        <v/>
      </c>
      <c r="U86" s="42" t="str">
        <f>IF(B86="","",VLOOKUP(AD86,Varsayımlar!$B:$Q,12,0))</f>
        <v/>
      </c>
      <c r="V86" s="42" t="str">
        <f>IF(B86="","",VLOOKUP(AD86,Varsayımlar!$B:$Q,13,0))</f>
        <v/>
      </c>
      <c r="W86" s="67" t="str">
        <f>IF(B86="","",VLOOKUP(AD86,Varsayımlar!$B:$Q,14,0))</f>
        <v/>
      </c>
      <c r="X86" s="69"/>
      <c r="Y86" s="69"/>
      <c r="Z86" s="67"/>
      <c r="AA86" s="67" t="str">
        <f>IF(B86="","",VLOOKUP(AD86,Varsayımlar!$B:$Q,15,0))</f>
        <v/>
      </c>
      <c r="AB86" s="67" t="str">
        <f>IF(B86="","",VLOOKUP(AD86,Varsayımlar!$B:$Q,16,0))</f>
        <v/>
      </c>
      <c r="AC86" s="67"/>
      <c r="AD86" s="57" t="str">
        <f t="shared" si="4"/>
        <v/>
      </c>
    </row>
    <row r="87" spans="1:30" hidden="1" x14ac:dyDescent="0.25">
      <c r="A87" s="8" t="s">
        <v>90</v>
      </c>
      <c r="B87" s="67"/>
      <c r="C87" s="42" t="str">
        <f>IF(B87="","",VLOOKUP(AD87,Varsayımlar!$B:$Q,3,0))</f>
        <v/>
      </c>
      <c r="D87" s="42"/>
      <c r="E87" s="42"/>
      <c r="F87" s="42"/>
      <c r="G87" s="42"/>
      <c r="H87" s="42" t="str">
        <f>IF(B87="","",VLOOKUP(AD87,Varsayımlar!$B:$Q,5,0))</f>
        <v/>
      </c>
      <c r="I87" s="42"/>
      <c r="J87" s="42" t="str">
        <f>IF(B87="","",VLOOKUP(AD87,Varsayımlar!$B:$Q,6,0))</f>
        <v/>
      </c>
      <c r="K87" s="42"/>
      <c r="L87" s="42"/>
      <c r="M87" s="42" t="str">
        <f>IFERROR(IF(B87="","",K87/VLOOKUP(AD87,Varsayımlar!B:R,17,0)),"")</f>
        <v/>
      </c>
      <c r="N87" s="42"/>
      <c r="O87" s="42"/>
      <c r="P87" s="42" t="str">
        <f>IF(B87="","",VLOOKUP(AD87,Varsayımlar!$B:$Q,7,0)*K87)</f>
        <v/>
      </c>
      <c r="Q87" s="42" t="str">
        <f>IF(B87="","",VLOOKUP(AD87,Varsayımlar!$B:$Q,8,0))</f>
        <v/>
      </c>
      <c r="R87" s="42" t="str">
        <f>IF(B87="","",VLOOKUP(AD87,Varsayımlar!$B:$Q,9,0))</f>
        <v/>
      </c>
      <c r="S87" s="42" t="str">
        <f>IF(B87="","",VLOOKUP(AD87,Varsayımlar!$B:$Q,10,0))</f>
        <v/>
      </c>
      <c r="T87" s="42" t="str">
        <f>IF(B87="","",VLOOKUP(AD87,Varsayımlar!$B:$Q,11,0))</f>
        <v/>
      </c>
      <c r="U87" s="42" t="str">
        <f>IF(B87="","",VLOOKUP(AD87,Varsayımlar!$B:$Q,12,0))</f>
        <v/>
      </c>
      <c r="V87" s="42" t="str">
        <f>IF(B87="","",VLOOKUP(AD87,Varsayımlar!$B:$Q,13,0))</f>
        <v/>
      </c>
      <c r="W87" s="67" t="str">
        <f>IF(B87="","",VLOOKUP(AD87,Varsayımlar!$B:$Q,14,0))</f>
        <v/>
      </c>
      <c r="X87" s="69"/>
      <c r="Y87" s="69"/>
      <c r="Z87" s="67"/>
      <c r="AA87" s="67" t="str">
        <f>IF(B87="","",VLOOKUP(AD87,Varsayımlar!$B:$Q,15,0))</f>
        <v/>
      </c>
      <c r="AB87" s="67" t="str">
        <f>IF(B87="","",VLOOKUP(AD87,Varsayımlar!$B:$Q,16,0))</f>
        <v/>
      </c>
      <c r="AC87" s="67"/>
      <c r="AD87" s="57" t="str">
        <f t="shared" si="4"/>
        <v/>
      </c>
    </row>
    <row r="88" spans="1:30" hidden="1" x14ac:dyDescent="0.25">
      <c r="A88" s="8" t="s">
        <v>91</v>
      </c>
      <c r="B88" s="67"/>
      <c r="C88" s="42" t="str">
        <f>IF(B88="","",VLOOKUP(AD88,Varsayımlar!$B:$Q,3,0))</f>
        <v/>
      </c>
      <c r="D88" s="42"/>
      <c r="E88" s="42"/>
      <c r="F88" s="42"/>
      <c r="G88" s="42"/>
      <c r="H88" s="42" t="str">
        <f>IF(B88="","",VLOOKUP(AD88,Varsayımlar!$B:$Q,5,0))</f>
        <v/>
      </c>
      <c r="I88" s="42"/>
      <c r="J88" s="42" t="str">
        <f>IF(B88="","",VLOOKUP(AD88,Varsayımlar!$B:$Q,6,0))</f>
        <v/>
      </c>
      <c r="K88" s="42"/>
      <c r="L88" s="42"/>
      <c r="M88" s="42" t="str">
        <f>IFERROR(IF(B88="","",K88/VLOOKUP(AD88,Varsayımlar!B:R,17,0)),"")</f>
        <v/>
      </c>
      <c r="N88" s="42"/>
      <c r="O88" s="42"/>
      <c r="P88" s="42" t="str">
        <f>IF(B88="","",VLOOKUP(AD88,Varsayımlar!$B:$Q,7,0)*K88)</f>
        <v/>
      </c>
      <c r="Q88" s="42" t="str">
        <f>IF(B88="","",VLOOKUP(AD88,Varsayımlar!$B:$Q,8,0))</f>
        <v/>
      </c>
      <c r="R88" s="42" t="str">
        <f>IF(B88="","",VLOOKUP(AD88,Varsayımlar!$B:$Q,9,0))</f>
        <v/>
      </c>
      <c r="S88" s="42" t="str">
        <f>IF(B88="","",VLOOKUP(AD88,Varsayımlar!$B:$Q,10,0))</f>
        <v/>
      </c>
      <c r="T88" s="42" t="str">
        <f>IF(B88="","",VLOOKUP(AD88,Varsayımlar!$B:$Q,11,0))</f>
        <v/>
      </c>
      <c r="U88" s="42" t="str">
        <f>IF(B88="","",VLOOKUP(AD88,Varsayımlar!$B:$Q,12,0))</f>
        <v/>
      </c>
      <c r="V88" s="42" t="str">
        <f>IF(B88="","",VLOOKUP(AD88,Varsayımlar!$B:$Q,13,0))</f>
        <v/>
      </c>
      <c r="W88" s="67" t="str">
        <f>IF(B88="","",VLOOKUP(AD88,Varsayımlar!$B:$Q,14,0))</f>
        <v/>
      </c>
      <c r="X88" s="69"/>
      <c r="Y88" s="69"/>
      <c r="Z88" s="67"/>
      <c r="AA88" s="67" t="str">
        <f>IF(B88="","",VLOOKUP(AD88,Varsayımlar!$B:$Q,15,0))</f>
        <v/>
      </c>
      <c r="AB88" s="67" t="str">
        <f>IF(B88="","",VLOOKUP(AD88,Varsayımlar!$B:$Q,16,0))</f>
        <v/>
      </c>
      <c r="AC88" s="67"/>
      <c r="AD88" s="57" t="str">
        <f t="shared" si="4"/>
        <v/>
      </c>
    </row>
    <row r="89" spans="1:30" hidden="1" x14ac:dyDescent="0.25">
      <c r="A89" s="8" t="s">
        <v>92</v>
      </c>
      <c r="B89" s="67"/>
      <c r="C89" s="42" t="str">
        <f>IF(B89="","",VLOOKUP(AD89,Varsayımlar!$B:$Q,3,0))</f>
        <v/>
      </c>
      <c r="D89" s="42"/>
      <c r="E89" s="42"/>
      <c r="F89" s="42"/>
      <c r="G89" s="42"/>
      <c r="H89" s="42" t="str">
        <f>IF(B89="","",VLOOKUP(AD89,Varsayımlar!$B:$Q,5,0))</f>
        <v/>
      </c>
      <c r="I89" s="42"/>
      <c r="J89" s="42" t="str">
        <f>IF(B89="","",VLOOKUP(AD89,Varsayımlar!$B:$Q,6,0))</f>
        <v/>
      </c>
      <c r="K89" s="42"/>
      <c r="L89" s="42"/>
      <c r="M89" s="42" t="str">
        <f>IFERROR(IF(B89="","",K89/VLOOKUP(AD89,Varsayımlar!B:R,17,0)),"")</f>
        <v/>
      </c>
      <c r="N89" s="42"/>
      <c r="O89" s="42"/>
      <c r="P89" s="42" t="str">
        <f>IF(B89="","",VLOOKUP(AD89,Varsayımlar!$B:$Q,7,0)*K89)</f>
        <v/>
      </c>
      <c r="Q89" s="42" t="str">
        <f>IF(B89="","",VLOOKUP(AD89,Varsayımlar!$B:$Q,8,0))</f>
        <v/>
      </c>
      <c r="R89" s="42" t="str">
        <f>IF(B89="","",VLOOKUP(AD89,Varsayımlar!$B:$Q,9,0))</f>
        <v/>
      </c>
      <c r="S89" s="42" t="str">
        <f>IF(B89="","",VLOOKUP(AD89,Varsayımlar!$B:$Q,10,0))</f>
        <v/>
      </c>
      <c r="T89" s="42" t="str">
        <f>IF(B89="","",VLOOKUP(AD89,Varsayımlar!$B:$Q,11,0))</f>
        <v/>
      </c>
      <c r="U89" s="42" t="str">
        <f>IF(B89="","",VLOOKUP(AD89,Varsayımlar!$B:$Q,12,0))</f>
        <v/>
      </c>
      <c r="V89" s="42" t="str">
        <f>IF(B89="","",VLOOKUP(AD89,Varsayımlar!$B:$Q,13,0))</f>
        <v/>
      </c>
      <c r="W89" s="67" t="str">
        <f>IF(B89="","",VLOOKUP(AD89,Varsayımlar!$B:$Q,14,0))</f>
        <v/>
      </c>
      <c r="X89" s="69"/>
      <c r="Y89" s="69"/>
      <c r="Z89" s="67"/>
      <c r="AA89" s="67" t="str">
        <f>IF(B89="","",VLOOKUP(AD89,Varsayımlar!$B:$Q,15,0))</f>
        <v/>
      </c>
      <c r="AB89" s="67" t="str">
        <f>IF(B89="","",VLOOKUP(AD89,Varsayımlar!$B:$Q,16,0))</f>
        <v/>
      </c>
      <c r="AC89" s="67"/>
      <c r="AD89" s="57" t="str">
        <f t="shared" si="4"/>
        <v/>
      </c>
    </row>
    <row r="90" spans="1:30" hidden="1" x14ac:dyDescent="0.25">
      <c r="A90" s="8" t="s">
        <v>93</v>
      </c>
      <c r="B90" s="67"/>
      <c r="C90" s="42" t="str">
        <f>IF(B90="","",VLOOKUP(AD90,Varsayımlar!$B:$Q,3,0))</f>
        <v/>
      </c>
      <c r="D90" s="42"/>
      <c r="E90" s="42"/>
      <c r="F90" s="42"/>
      <c r="G90" s="42"/>
      <c r="H90" s="42" t="str">
        <f>IF(B90="","",VLOOKUP(AD90,Varsayımlar!$B:$Q,5,0))</f>
        <v/>
      </c>
      <c r="I90" s="42"/>
      <c r="J90" s="42" t="str">
        <f>IF(B90="","",VLOOKUP(AD90,Varsayımlar!$B:$Q,6,0))</f>
        <v/>
      </c>
      <c r="K90" s="42"/>
      <c r="L90" s="42"/>
      <c r="M90" s="42" t="str">
        <f>IFERROR(IF(B90="","",K90/VLOOKUP(AD90,Varsayımlar!B:R,17,0)),"")</f>
        <v/>
      </c>
      <c r="N90" s="42"/>
      <c r="O90" s="42"/>
      <c r="P90" s="42" t="str">
        <f>IF(B90="","",VLOOKUP(AD90,Varsayımlar!$B:$Q,7,0)*K90)</f>
        <v/>
      </c>
      <c r="Q90" s="42" t="str">
        <f>IF(B90="","",VLOOKUP(AD90,Varsayımlar!$B:$Q,8,0))</f>
        <v/>
      </c>
      <c r="R90" s="42" t="str">
        <f>IF(B90="","",VLOOKUP(AD90,Varsayımlar!$B:$Q,9,0))</f>
        <v/>
      </c>
      <c r="S90" s="42" t="str">
        <f>IF(B90="","",VLOOKUP(AD90,Varsayımlar!$B:$Q,10,0))</f>
        <v/>
      </c>
      <c r="T90" s="42" t="str">
        <f>IF(B90="","",VLOOKUP(AD90,Varsayımlar!$B:$Q,11,0))</f>
        <v/>
      </c>
      <c r="U90" s="42" t="str">
        <f>IF(B90="","",VLOOKUP(AD90,Varsayımlar!$B:$Q,12,0))</f>
        <v/>
      </c>
      <c r="V90" s="42" t="str">
        <f>IF(B90="","",VLOOKUP(AD90,Varsayımlar!$B:$Q,13,0))</f>
        <v/>
      </c>
      <c r="W90" s="67" t="str">
        <f>IF(B90="","",VLOOKUP(AD90,Varsayımlar!$B:$Q,14,0))</f>
        <v/>
      </c>
      <c r="X90" s="69"/>
      <c r="Y90" s="69"/>
      <c r="Z90" s="67"/>
      <c r="AA90" s="67" t="str">
        <f>IF(B90="","",VLOOKUP(AD90,Varsayımlar!$B:$Q,15,0))</f>
        <v/>
      </c>
      <c r="AB90" s="67" t="str">
        <f>IF(B90="","",VLOOKUP(AD90,Varsayımlar!$B:$Q,16,0))</f>
        <v/>
      </c>
      <c r="AC90" s="67"/>
      <c r="AD90" s="57" t="str">
        <f t="shared" si="4"/>
        <v/>
      </c>
    </row>
    <row r="91" spans="1:30" hidden="1" x14ac:dyDescent="0.25">
      <c r="A91" s="8" t="s">
        <v>135</v>
      </c>
      <c r="B91" s="67"/>
      <c r="C91" s="42" t="str">
        <f>IF(B91="","",VLOOKUP(AD91,Varsayımlar!$B:$Q,3,0))</f>
        <v/>
      </c>
      <c r="D91" s="42"/>
      <c r="E91" s="42"/>
      <c r="F91" s="42"/>
      <c r="G91" s="42"/>
      <c r="H91" s="42" t="str">
        <f>IF(B91="","",VLOOKUP(AD91,Varsayımlar!$B:$Q,5,0))</f>
        <v/>
      </c>
      <c r="I91" s="42"/>
      <c r="J91" s="42" t="str">
        <f>IF(B91="","",VLOOKUP(AD91,Varsayımlar!$B:$Q,6,0))</f>
        <v/>
      </c>
      <c r="K91" s="42"/>
      <c r="L91" s="42"/>
      <c r="M91" s="42" t="str">
        <f>IFERROR(IF(B91="","",K91/VLOOKUP(AD91,Varsayımlar!B:R,17,0)),"")</f>
        <v/>
      </c>
      <c r="N91" s="42"/>
      <c r="O91" s="42"/>
      <c r="P91" s="42" t="str">
        <f>IF(B91="","",VLOOKUP(AD91,Varsayımlar!$B:$Q,7,0)*K91)</f>
        <v/>
      </c>
      <c r="Q91" s="42" t="str">
        <f>IF(B91="","",VLOOKUP(AD91,Varsayımlar!$B:$Q,8,0))</f>
        <v/>
      </c>
      <c r="R91" s="42" t="str">
        <f>IF(B91="","",VLOOKUP(AD91,Varsayımlar!$B:$Q,9,0))</f>
        <v/>
      </c>
      <c r="S91" s="42" t="str">
        <f>IF(B91="","",VLOOKUP(AD91,Varsayımlar!$B:$Q,10,0))</f>
        <v/>
      </c>
      <c r="T91" s="42" t="str">
        <f>IF(B91="","",VLOOKUP(AD91,Varsayımlar!$B:$Q,11,0))</f>
        <v/>
      </c>
      <c r="U91" s="42" t="str">
        <f>IF(B91="","",VLOOKUP(AD91,Varsayımlar!$B:$Q,12,0))</f>
        <v/>
      </c>
      <c r="V91" s="42" t="str">
        <f>IF(B91="","",VLOOKUP(AD91,Varsayımlar!$B:$Q,13,0))</f>
        <v/>
      </c>
      <c r="W91" s="67" t="str">
        <f>IF(B91="","",VLOOKUP(AD91,Varsayımlar!$B:$Q,14,0))</f>
        <v/>
      </c>
      <c r="X91" s="69"/>
      <c r="Y91" s="69"/>
      <c r="Z91" s="67"/>
      <c r="AA91" s="67" t="str">
        <f>IF(B91="","",VLOOKUP(AD91,Varsayımlar!$B:$Q,15,0))</f>
        <v/>
      </c>
      <c r="AB91" s="67" t="str">
        <f>IF(B91="","",VLOOKUP(AD91,Varsayımlar!$B:$Q,16,0))</f>
        <v/>
      </c>
      <c r="AC91" s="67"/>
      <c r="AD91" s="57" t="str">
        <f t="shared" si="4"/>
        <v/>
      </c>
    </row>
    <row r="92" spans="1:30" hidden="1" x14ac:dyDescent="0.25">
      <c r="A92" s="8" t="s">
        <v>136</v>
      </c>
      <c r="B92" s="67"/>
      <c r="C92" s="42" t="str">
        <f>IF(B92="","",VLOOKUP(AD92,Varsayımlar!$B:$Q,3,0))</f>
        <v/>
      </c>
      <c r="D92" s="42"/>
      <c r="E92" s="42"/>
      <c r="F92" s="42"/>
      <c r="G92" s="42"/>
      <c r="H92" s="42" t="str">
        <f>IF(B92="","",VLOOKUP(AD92,Varsayımlar!$B:$Q,5,0))</f>
        <v/>
      </c>
      <c r="I92" s="42"/>
      <c r="J92" s="42" t="str">
        <f>IF(B92="","",VLOOKUP(AD92,Varsayımlar!$B:$Q,6,0))</f>
        <v/>
      </c>
      <c r="K92" s="42"/>
      <c r="L92" s="42"/>
      <c r="M92" s="42" t="str">
        <f>IFERROR(IF(B92="","",K92/VLOOKUP(AD92,Varsayımlar!B:R,17,0)),"")</f>
        <v/>
      </c>
      <c r="N92" s="42"/>
      <c r="O92" s="42"/>
      <c r="P92" s="42" t="str">
        <f>IF(B92="","",VLOOKUP(AD92,Varsayımlar!$B:$Q,7,0)*K92)</f>
        <v/>
      </c>
      <c r="Q92" s="42" t="str">
        <f>IF(B92="","",VLOOKUP(AD92,Varsayımlar!$B:$Q,8,0))</f>
        <v/>
      </c>
      <c r="R92" s="42" t="str">
        <f>IF(B92="","",VLOOKUP(AD92,Varsayımlar!$B:$Q,9,0))</f>
        <v/>
      </c>
      <c r="S92" s="42" t="str">
        <f>IF(B92="","",VLOOKUP(AD92,Varsayımlar!$B:$Q,10,0))</f>
        <v/>
      </c>
      <c r="T92" s="42" t="str">
        <f>IF(B92="","",VLOOKUP(AD92,Varsayımlar!$B:$Q,11,0))</f>
        <v/>
      </c>
      <c r="U92" s="42" t="str">
        <f>IF(B92="","",VLOOKUP(AD92,Varsayımlar!$B:$Q,12,0))</f>
        <v/>
      </c>
      <c r="V92" s="42" t="str">
        <f>IF(B92="","",VLOOKUP(AD92,Varsayımlar!$B:$Q,13,0))</f>
        <v/>
      </c>
      <c r="W92" s="67" t="str">
        <f>IF(B92="","",VLOOKUP(AD92,Varsayımlar!$B:$Q,14,0))</f>
        <v/>
      </c>
      <c r="X92" s="69"/>
      <c r="Y92" s="69"/>
      <c r="Z92" s="67"/>
      <c r="AA92" s="67" t="str">
        <f>IF(B92="","",VLOOKUP(AD92,Varsayımlar!$B:$Q,15,0))</f>
        <v/>
      </c>
      <c r="AB92" s="67" t="str">
        <f>IF(B92="","",VLOOKUP(AD92,Varsayımlar!$B:$Q,16,0))</f>
        <v/>
      </c>
      <c r="AC92" s="67"/>
      <c r="AD92" s="57" t="str">
        <f t="shared" si="4"/>
        <v/>
      </c>
    </row>
    <row r="93" spans="1:30" hidden="1" x14ac:dyDescent="0.25">
      <c r="A93" s="8" t="s">
        <v>137</v>
      </c>
      <c r="B93" s="86"/>
      <c r="C93" s="87" t="str">
        <f>IF(B93="","",VLOOKUP(AD93,Varsayımlar!$B:$Q,3,0))</f>
        <v/>
      </c>
      <c r="D93" s="87"/>
      <c r="H93" s="57" t="str">
        <f>IF(B93="","",VLOOKUP(AD93,Varsayımlar!$B:$Q,5,0))</f>
        <v/>
      </c>
      <c r="I93" s="57"/>
      <c r="J93" s="57" t="str">
        <f>IF(B93="","",VLOOKUP(AD93,Varsayımlar!$B:$Q,6,0))</f>
        <v/>
      </c>
      <c r="P93" s="57" t="str">
        <f>IF(B93="","",VLOOKUP(AD93,Varsayımlar!$B:$Q,7,0)*K93)</f>
        <v/>
      </c>
      <c r="Q93" s="57" t="str">
        <f>IF(B93="","",VLOOKUP(AD93,Varsayımlar!$B:$Q,8,0))</f>
        <v/>
      </c>
      <c r="R93" s="57" t="str">
        <f>IF(B93="","",VLOOKUP(AD93,Varsayımlar!$B:$Q,9,0))</f>
        <v/>
      </c>
      <c r="S93" s="57" t="str">
        <f>IF(B93="","",VLOOKUP(AD93,Varsayımlar!$B:$Q,10,0))</f>
        <v/>
      </c>
      <c r="T93" s="57" t="str">
        <f>IF(B93="","",VLOOKUP(AD93,Varsayımlar!$B:$Q,11,0))</f>
        <v/>
      </c>
      <c r="U93" s="57" t="str">
        <f>IF(B93="","",VLOOKUP(AD93,Varsayımlar!$B:$Q,12,0))</f>
        <v/>
      </c>
      <c r="V93" s="57" t="str">
        <f>IF(B93="","",VLOOKUP(AD93,Varsayımlar!$B:$Q,13,0))</f>
        <v/>
      </c>
      <c r="W93" s="57" t="str">
        <f>IF(B93="","",VLOOKUP(AD93,Varsayımlar!$B:$Q,14,0))</f>
        <v/>
      </c>
      <c r="AA93" s="57" t="str">
        <f>IF(B93="","",VLOOKUP(AD93,Varsayımlar!$B:$Q,15,0))</f>
        <v/>
      </c>
      <c r="AB93" s="57" t="str">
        <f>IF(B93="","",VLOOKUP(AD93,Varsayımlar!$B:$Q,16,0))</f>
        <v/>
      </c>
      <c r="AC93" s="57" t="str">
        <f>IF(B93="","",VLOOKUP(Sayfa1!AD93,Varsayımlar!B:S,18,0))</f>
        <v/>
      </c>
      <c r="AD93" s="57" t="str">
        <f t="shared" si="4"/>
        <v/>
      </c>
    </row>
    <row r="94" spans="1:30" x14ac:dyDescent="0.25">
      <c r="C94" s="53" t="str">
        <f>IF(B94="","",VLOOKUP(AD94,Varsayımlar!$B:$Q,3,0))</f>
        <v/>
      </c>
      <c r="H94" s="7" t="str">
        <f>IF(B94="","",VLOOKUP(AD94,Varsayımlar!$B:$Q,5,0))</f>
        <v/>
      </c>
      <c r="J94" s="7" t="str">
        <f>IF(B94="","",VLOOKUP(AD94,Varsayımlar!$B:$Q,6,0))</f>
        <v/>
      </c>
      <c r="P94" s="7" t="str">
        <f>IF(B94="","",VLOOKUP(AD94,Varsayımlar!$B:$Q,7,0)*K94)</f>
        <v/>
      </c>
      <c r="Q94" s="7" t="str">
        <f>IF(B94="","",VLOOKUP(AD94,Varsayımlar!$B:$Q,8,0))</f>
        <v/>
      </c>
      <c r="R94" s="7" t="str">
        <f>IF(B94="","",VLOOKUP(AD94,Varsayımlar!$B:$Q,9,0))</f>
        <v/>
      </c>
      <c r="S94" s="7" t="str">
        <f>IF(B94="","",VLOOKUP(AD94,Varsayımlar!$B:$Q,10,0))</f>
        <v/>
      </c>
      <c r="T94" s="7" t="str">
        <f>IF(B94="","",VLOOKUP(AD94,Varsayımlar!$B:$Q,11,0))</f>
        <v/>
      </c>
      <c r="U94" s="7" t="str">
        <f>IF(B94="","",VLOOKUP(AD94,Varsayımlar!$B:$Q,12,0))</f>
        <v/>
      </c>
      <c r="V94" s="7" t="str">
        <f>IF(B94="","",VLOOKUP(AD94,Varsayımlar!$B:$Q,13,0))</f>
        <v/>
      </c>
      <c r="W94" s="7" t="str">
        <f>IF(B94="","",VLOOKUP(AD94,Varsayımlar!$B:$Q,14,0))</f>
        <v/>
      </c>
      <c r="AA94" s="7" t="str">
        <f>IF(B94="","",VLOOKUP(AD94,Varsayımlar!$B:$Q,15,0))</f>
        <v/>
      </c>
      <c r="AB94" s="7" t="str">
        <f>IF(B94="","",VLOOKUP(AD94,Varsayımlar!$B:$Q,16,0))</f>
        <v/>
      </c>
      <c r="AC94" s="7" t="str">
        <f>IF(B94="","",VLOOKUP(Sayfa1!AD94,Varsayımlar!B:S,18,0))</f>
        <v/>
      </c>
      <c r="AD94" s="7" t="str">
        <f t="shared" si="4"/>
        <v/>
      </c>
    </row>
  </sheetData>
  <mergeCells count="5">
    <mergeCell ref="A1:AC1"/>
    <mergeCell ref="A2:Z2"/>
    <mergeCell ref="AB2:AC2"/>
    <mergeCell ref="A48:AB48"/>
    <mergeCell ref="A71:AB7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8" fitToHeight="3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89"/>
  <sheetViews>
    <sheetView topLeftCell="A10" zoomScale="55" zoomScaleNormal="55" workbookViewId="0">
      <selection activeCell="H88" sqref="H88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28515625" style="53" customWidth="1"/>
    <col min="4" max="4" width="10.85546875" style="53" customWidth="1"/>
    <col min="5" max="5" width="42" style="53" customWidth="1"/>
    <col min="6" max="6" width="17.7109375" style="7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0.28515625" style="7" bestFit="1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7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46184</v>
      </c>
      <c r="AB2" s="185">
        <v>0.5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customHeight="1" x14ac:dyDescent="0.25">
      <c r="A4" s="8" t="s">
        <v>26</v>
      </c>
      <c r="B4" s="64" t="s">
        <v>119</v>
      </c>
      <c r="C4" s="3">
        <f>IF(B4="","",VLOOKUP(AD4,Varsayımlar!$B:$Q,3,0))</f>
        <v>8698829380698</v>
      </c>
      <c r="D4" s="3"/>
      <c r="E4" s="3" t="s">
        <v>420</v>
      </c>
      <c r="F4" s="64"/>
      <c r="G4" s="64"/>
      <c r="H4" s="64" t="str">
        <f>IF(B4="","",VLOOKUP(AD4,Varsayımlar!$B:$Q,5,0))</f>
        <v xml:space="preserve">Tortillas 25cm </v>
      </c>
      <c r="I4" s="64"/>
      <c r="J4" s="64" t="str">
        <f>IF(B4="","",VLOOKUP(AD4,Varsayımlar!$B:$Q,6,0))</f>
        <v>SADE</v>
      </c>
      <c r="K4" s="64">
        <v>324</v>
      </c>
      <c r="L4" s="64"/>
      <c r="M4" s="64">
        <f>IFERROR(IF(B4="","",K4/VLOOKUP(AD4,Varsayımlar!B:R,17,0)),"")</f>
        <v>6</v>
      </c>
      <c r="N4" s="64"/>
      <c r="O4" s="64">
        <v>15</v>
      </c>
      <c r="P4" s="64">
        <f>IF(B4="","",VLOOKUP(AD4,Varsayımlar!$B:$Q,7,0)*K4)</f>
        <v>6480</v>
      </c>
      <c r="Q4" s="64">
        <f>IF(B4="","",VLOOKUP(AD4,Varsayımlar!$B:$Q,8,0))</f>
        <v>25</v>
      </c>
      <c r="R4" s="64" t="str">
        <f>IF(B4="","",VLOOKUP(AD4,Varsayımlar!$B:$Q,9,0))</f>
        <v>SOFT-PA3</v>
      </c>
      <c r="S4" s="64">
        <f>IF(B4="","",VLOOKUP(AD4,Varsayımlar!$B:$Q,10,0))</f>
        <v>6</v>
      </c>
      <c r="T4" s="64">
        <f>IF(B4="","",VLOOKUP(AD4,Varsayımlar!$B:$Q,11,0))</f>
        <v>20</v>
      </c>
      <c r="U4" s="64">
        <f>IF(B4="","",VLOOKUP(AD4,Varsayımlar!$B:$Q,12,0))</f>
        <v>390</v>
      </c>
      <c r="V4" s="64" t="str">
        <f>IF(B4="","",VLOOKUP(AD4,Varsayımlar!$B:$Q,13,0))</f>
        <v>Yurtiçi</v>
      </c>
      <c r="W4" s="64">
        <f>IF(B4="","",VLOOKUP(AD4,Varsayımlar!$B:$Q,14,0))</f>
        <v>6</v>
      </c>
      <c r="X4" s="66" t="s">
        <v>113</v>
      </c>
      <c r="Y4" s="66" t="s">
        <v>113</v>
      </c>
      <c r="Z4" s="64" t="s">
        <v>113</v>
      </c>
      <c r="AA4" s="64" t="str">
        <f>IF(B4="","",VLOOKUP(AD4,Varsayımlar!$B:$Q,15,0))</f>
        <v>Kırmızı Koli 25cm-Barkod Etiketli</v>
      </c>
      <c r="AB4" s="64" t="str">
        <f>IF(B4="","",VLOOKUP(AD4,Varsayımlar!$B:$Q,16,0))</f>
        <v xml:space="preserve">24-26 cm </v>
      </c>
      <c r="AC4" s="64" t="str">
        <f>IF(B4="","",VLOOKUP(Sayfa1!AD47,Varsayımlar!B:S,18,0))</f>
        <v>PALET ÖLÇÜ</v>
      </c>
      <c r="AD4" s="57" t="str">
        <f>IF(B4="","",CONCATENATE(B4,E4))</f>
        <v>A101Mutlukal Tortillas Sade 25cm 6pcs 390g</v>
      </c>
    </row>
    <row r="5" spans="1:30" ht="31.5" customHeight="1" x14ac:dyDescent="0.25">
      <c r="A5" s="8" t="s">
        <v>77</v>
      </c>
      <c r="B5" s="64" t="s">
        <v>335</v>
      </c>
      <c r="C5" s="3">
        <f>IF(B5="","",VLOOKUP(AD5,Varsayımlar!$B:$Q,3,0))</f>
        <v>8698829380698</v>
      </c>
      <c r="D5" s="3"/>
      <c r="E5" s="64" t="s">
        <v>319</v>
      </c>
      <c r="F5" s="64"/>
      <c r="G5" s="64"/>
      <c r="H5" s="64" t="str">
        <f>IF(B5="","",VLOOKUP(AD5,Varsayımlar!$B:$Q,5,0))</f>
        <v>Lazeza 25cm</v>
      </c>
      <c r="I5" s="64"/>
      <c r="J5" s="64" t="str">
        <f>IF(B5="","",VLOOKUP(AD5,Varsayımlar!$B:$Q,6,0))</f>
        <v>SADE</v>
      </c>
      <c r="K5" s="64">
        <v>1120</v>
      </c>
      <c r="L5" s="64"/>
      <c r="M5" s="64" t="str">
        <f>IFERROR(IF(B5="","",K5/VLOOKUP(AD5,Varsayımlar!B:R,17,0)),"")</f>
        <v/>
      </c>
      <c r="N5" s="64"/>
      <c r="O5" s="64">
        <v>15</v>
      </c>
      <c r="P5" s="64">
        <f>IF(B5="","",VLOOKUP(AD5,Varsayımlar!$B:$Q,7,0)*K5)</f>
        <v>20160</v>
      </c>
      <c r="Q5" s="64">
        <f>IF(B5="","",VLOOKUP(AD5,Varsayımlar!$B:$Q,8,0))</f>
        <v>25</v>
      </c>
      <c r="R5" s="64" t="str">
        <f>IF(B5="","",VLOOKUP(AD5,Varsayımlar!$B:$Q,9,0))</f>
        <v>Irak Soft</v>
      </c>
      <c r="S5" s="64">
        <f>IF(B5="","",VLOOKUP(AD5,Varsayımlar!$B:$Q,10,0))</f>
        <v>6</v>
      </c>
      <c r="T5" s="64">
        <f>IF(B5="","",VLOOKUP(AD5,Varsayımlar!$B:$Q,11,0))</f>
        <v>18</v>
      </c>
      <c r="U5" s="64">
        <f>IF(B5="","",VLOOKUP(AD5,Varsayımlar!$B:$Q,12,0))</f>
        <v>390</v>
      </c>
      <c r="V5" s="64" t="str">
        <f>IF(B5="","",VLOOKUP(AD5,Varsayımlar!$B:$Q,13,0))</f>
        <v>Yurtdışı</v>
      </c>
      <c r="W5" s="64">
        <f>IF(B5="","",VLOOKUP(AD5,Varsayımlar!$B:$Q,14,0))</f>
        <v>6</v>
      </c>
      <c r="X5" s="66">
        <v>46188</v>
      </c>
      <c r="Y5" s="66">
        <v>46736</v>
      </c>
      <c r="Z5" s="64">
        <v>26061525</v>
      </c>
      <c r="AA5" s="64" t="str">
        <f>IF(B5="","",VLOOKUP(AD5,Varsayımlar!$B:$Q,15,0))</f>
        <v>Lazeza Kolisi</v>
      </c>
      <c r="AB5" s="64" t="str">
        <f>IF(B5="","",VLOOKUP(AD5,Varsayımlar!$B:$Q,16,0))</f>
        <v>24-26 cm</v>
      </c>
      <c r="AC5" s="64">
        <f>IF(B5="","",VLOOKUP(Sayfa1!AD48,Varsayımlar!B:S,18,0))</f>
        <v>0</v>
      </c>
      <c r="AD5" s="57" t="str">
        <f>IF(B5="","",CONCATENATE(B5,E5))</f>
        <v>AjjawiLazeza 25 cm 6pcs 390g</v>
      </c>
    </row>
    <row r="6" spans="1:30" ht="31.5" x14ac:dyDescent="0.25">
      <c r="A6" s="8" t="s">
        <v>78</v>
      </c>
      <c r="B6" s="67" t="s">
        <v>64</v>
      </c>
      <c r="C6" s="42">
        <f>IF(B6="","",VLOOKUP(AD6,Varsayımlar!$B:$Q,3,0))</f>
        <v>8698829380698</v>
      </c>
      <c r="D6" s="42"/>
      <c r="E6" s="67" t="s">
        <v>65</v>
      </c>
      <c r="F6" s="67">
        <v>30</v>
      </c>
      <c r="G6" s="42" t="s">
        <v>68</v>
      </c>
      <c r="H6" s="67" t="str">
        <f>IF(B6="","",VLOOKUP(AD6,Varsayımlar!$B:$Q,5,0))</f>
        <v>TORTİLLAS 20CM (SAMAKAT BİLGİLERİ EKLİ)</v>
      </c>
      <c r="I6" s="67">
        <f>IF(B6="","",VLOOKUP(AD6,Varsayımlar!B:T,19,0))</f>
        <v>0</v>
      </c>
      <c r="J6" s="67" t="str">
        <f>IF(B6="","",VLOOKUP(AD6,Varsayımlar!$B:$Q,6,0))</f>
        <v>SADE</v>
      </c>
      <c r="K6" s="67">
        <v>6975</v>
      </c>
      <c r="L6" s="67">
        <v>225</v>
      </c>
      <c r="M6" s="67">
        <f>IFERROR(IF(B6="","",K6/VLOOKUP(AD6,Varsayımlar!B:R,17,0)),"")</f>
        <v>31</v>
      </c>
      <c r="N6" s="67"/>
      <c r="O6" s="67">
        <v>56</v>
      </c>
      <c r="P6" s="67">
        <f>IF(B6="","",VLOOKUP(AD6,Varsayımlar!$B:$Q,7,0)*K6)</f>
        <v>97650</v>
      </c>
      <c r="Q6" s="67">
        <f>IF(B6="","",VLOOKUP(AD6,Varsayımlar!$B:$Q,8,0))</f>
        <v>20</v>
      </c>
      <c r="R6" s="67" t="str">
        <f>IF(B6="","",VLOOKUP(AD6,Varsayımlar!$B:$Q,9,0))</f>
        <v>IRAK SOFT</v>
      </c>
      <c r="S6" s="67">
        <f>IF(B6="","",VLOOKUP(AD6,Varsayımlar!$B:$Q,10,0))</f>
        <v>4</v>
      </c>
      <c r="T6" s="67">
        <f>IF(B6="","",VLOOKUP(AD6,Varsayımlar!$B:$Q,11,0))</f>
        <v>14</v>
      </c>
      <c r="U6" s="67">
        <f>IF(B6="","",VLOOKUP(AD6,Varsayımlar!$B:$Q,12,0))</f>
        <v>166</v>
      </c>
      <c r="V6" s="67" t="str">
        <f>IF(B6="","",VLOOKUP(AD6,Varsayımlar!$B:$Q,13,0))</f>
        <v>YURTDIŞI</v>
      </c>
      <c r="W6" s="67">
        <f>IF(B6="","",VLOOKUP(AD6,Varsayımlar!$B:$Q,14,0))</f>
        <v>9</v>
      </c>
      <c r="X6" s="69">
        <v>46195</v>
      </c>
      <c r="Y6" s="69">
        <v>46468</v>
      </c>
      <c r="Z6" s="67">
        <v>26062220</v>
      </c>
      <c r="AA6" s="67" t="str">
        <f>IF(B6="","",VLOOKUP(AD6,Varsayımlar!$B:$Q,15,0))</f>
        <v>SİYAH KARE KOLİ- Üretim Tarihi Etiketli</v>
      </c>
      <c r="AB6" s="67" t="str">
        <f>IF(B6="","",VLOOKUP(AD6,Varsayımlar!$B:$Q,16,0))</f>
        <v>19-21 CM</v>
      </c>
      <c r="AC6" s="67">
        <f>IF(B6="","",VLOOKUP(Sayfa1!AD16,Varsayımlar!B:S,18,0))</f>
        <v>0</v>
      </c>
      <c r="AD6" s="57" t="str">
        <f>IF(B6="","",CONCATENATE(B6,E6))</f>
        <v>SMART LLCTORTİLLAS SAMAKAT 20CM 166G</v>
      </c>
    </row>
    <row r="7" spans="1:30" ht="39" customHeight="1" x14ac:dyDescent="0.25">
      <c r="A7" s="8" t="s">
        <v>79</v>
      </c>
      <c r="B7" s="54" t="s">
        <v>64</v>
      </c>
      <c r="C7" s="39">
        <f>IF(B7="","",VLOOKUP(AD7,Varsayımlar!$B:$Q,3,0))</f>
        <v>8698829380698</v>
      </c>
      <c r="D7" s="39"/>
      <c r="E7" s="54" t="s">
        <v>176</v>
      </c>
      <c r="F7" s="54">
        <v>29</v>
      </c>
      <c r="G7" s="39" t="s">
        <v>68</v>
      </c>
      <c r="H7" s="54" t="str">
        <f>IF(B7="","",VLOOKUP(AD7,Varsayımlar!$B:$Q,5,0))</f>
        <v>Tortillas 20cm (Samakat Bilgileri Ekli)</v>
      </c>
      <c r="I7" s="54">
        <f>IF(B7="","",VLOOKUP(AD7,Varsayımlar!B:T,19,0))</f>
        <v>0</v>
      </c>
      <c r="J7" s="54" t="str">
        <f>IF(B7="","",VLOOKUP(AD7,Varsayımlar!$B:$Q,6,0))</f>
        <v>PEYNİRLİ</v>
      </c>
      <c r="K7" s="54">
        <v>7200</v>
      </c>
      <c r="L7" s="54">
        <v>6945</v>
      </c>
      <c r="M7" s="54">
        <f>IFERROR(IF(B7="","",K7/VLOOKUP(AD7,Varsayımlar!B:R,17,0)),"")</f>
        <v>32</v>
      </c>
      <c r="N7" s="54">
        <v>225</v>
      </c>
      <c r="O7" s="54">
        <v>2</v>
      </c>
      <c r="P7" s="54">
        <f>IF(B7="","",VLOOKUP(AD7,Varsayımlar!$B:$Q,7,0)*K7)</f>
        <v>100800</v>
      </c>
      <c r="Q7" s="54">
        <f>IF(B7="","",VLOOKUP(AD7,Varsayımlar!$B:$Q,8,0))</f>
        <v>20</v>
      </c>
      <c r="R7" s="54" t="str">
        <f>IF(B7="","",VLOOKUP(AD7,Varsayımlar!$B:$Q,9,0))</f>
        <v>IRAK SOFT-AT</v>
      </c>
      <c r="S7" s="54">
        <f>IF(B7="","",VLOOKUP(AD7,Varsayımlar!$B:$Q,10,0))</f>
        <v>4</v>
      </c>
      <c r="T7" s="54">
        <f>IF(B7="","",VLOOKUP(AD7,Varsayımlar!$B:$Q,11,0))</f>
        <v>14</v>
      </c>
      <c r="U7" s="54">
        <f>IF(B7="","",VLOOKUP(AD7,Varsayımlar!$B:$Q,12,0))</f>
        <v>166</v>
      </c>
      <c r="V7" s="54" t="str">
        <f>IF(B7="","",VLOOKUP(AD7,Varsayımlar!$B:$Q,13,0))</f>
        <v>YURTDIŞI</v>
      </c>
      <c r="W7" s="54">
        <f>IF(B7="","",VLOOKUP(AD7,Varsayımlar!$B:$Q,14,0))</f>
        <v>9</v>
      </c>
      <c r="X7" s="56">
        <v>46184</v>
      </c>
      <c r="Y7" s="56">
        <v>46457</v>
      </c>
      <c r="Z7" s="54" t="s">
        <v>333</v>
      </c>
      <c r="AA7" s="54" t="str">
        <f>IF(B7="","",VLOOKUP(AD7,Varsayımlar!$B:$Q,15,0))</f>
        <v>Kare Koli-Üretim Tarihli Etiket</v>
      </c>
      <c r="AB7" s="54" t="str">
        <f>IF(B7="","",VLOOKUP(AD7,Varsayımlar!$B:$Q,16,0))</f>
        <v>19-21 cm</v>
      </c>
      <c r="AC7" s="54">
        <f>IF(B7="","",VLOOKUP(Sayfa1!AD5,Varsayımlar!B:S,18,0))</f>
        <v>0</v>
      </c>
      <c r="AD7" s="57" t="str">
        <f>IF(B7="","",CONCATENATE(B7,E7))</f>
        <v>SMART LLCTortillas 20cm Peynirli 4pcs 166g</v>
      </c>
    </row>
    <row r="8" spans="1:30" ht="31.5" x14ac:dyDescent="0.25">
      <c r="A8" s="8" t="s">
        <v>80</v>
      </c>
      <c r="B8" s="67" t="s">
        <v>64</v>
      </c>
      <c r="C8" s="42">
        <f>IF(B8="","",VLOOKUP(AD8,Varsayımlar!$B:$Q,3,0))</f>
        <v>8698829380698</v>
      </c>
      <c r="D8" s="42"/>
      <c r="E8" s="67" t="s">
        <v>176</v>
      </c>
      <c r="F8" s="67">
        <v>28</v>
      </c>
      <c r="G8" s="42" t="s">
        <v>68</v>
      </c>
      <c r="H8" s="67" t="str">
        <f>IF(B8="","",VLOOKUP(AD8,Varsayımlar!$B:$Q,5,0))</f>
        <v>Tortillas 20cm (Samakat Bilgileri Ekli)</v>
      </c>
      <c r="I8" s="67">
        <f>IF(B8="","",VLOOKUP(AD8,Varsayımlar!B:T,19,0))</f>
        <v>0</v>
      </c>
      <c r="J8" s="67" t="str">
        <f>IF(B8="","",VLOOKUP(AD8,Varsayımlar!$B:$Q,6,0))</f>
        <v>PEYNİRLİ</v>
      </c>
      <c r="K8" s="67">
        <v>1575</v>
      </c>
      <c r="L8" s="67"/>
      <c r="M8" s="67">
        <f>IFERROR(IF(B8="","",K8/VLOOKUP(AD8,Varsayımlar!B:R,17,0)),"")</f>
        <v>7</v>
      </c>
      <c r="N8" s="67">
        <v>225</v>
      </c>
      <c r="O8" s="67">
        <v>11</v>
      </c>
      <c r="P8" s="67">
        <f>IF(B8="","",VLOOKUP(AD8,Varsayımlar!$B:$Q,7,0)*K8)</f>
        <v>22050</v>
      </c>
      <c r="Q8" s="67">
        <f>IF(B8="","",VLOOKUP(AD8,Varsayımlar!$B:$Q,8,0))</f>
        <v>20</v>
      </c>
      <c r="R8" s="67" t="str">
        <f>IF(B8="","",VLOOKUP(AD8,Varsayımlar!$B:$Q,9,0))</f>
        <v>IRAK SOFT-AT</v>
      </c>
      <c r="S8" s="67">
        <f>IF(B8="","",VLOOKUP(AD8,Varsayımlar!$B:$Q,10,0))</f>
        <v>4</v>
      </c>
      <c r="T8" s="67">
        <f>IF(B8="","",VLOOKUP(AD8,Varsayımlar!$B:$Q,11,0))</f>
        <v>14</v>
      </c>
      <c r="U8" s="67">
        <f>IF(B8="","",VLOOKUP(AD8,Varsayımlar!$B:$Q,12,0))</f>
        <v>166</v>
      </c>
      <c r="V8" s="67" t="str">
        <f>IF(B8="","",VLOOKUP(AD8,Varsayımlar!$B:$Q,13,0))</f>
        <v>YURTDIŞI</v>
      </c>
      <c r="W8" s="67">
        <f>IF(B8="","",VLOOKUP(AD8,Varsayımlar!$B:$Q,14,0))</f>
        <v>9</v>
      </c>
      <c r="X8" s="69">
        <v>46188</v>
      </c>
      <c r="Y8" s="69">
        <v>46461</v>
      </c>
      <c r="Z8" s="67" t="s">
        <v>172</v>
      </c>
      <c r="AA8" s="67" t="str">
        <f>IF(B8="","",VLOOKUP(AD8,Varsayımlar!$B:$Q,15,0))</f>
        <v>Kare Koli-Üretim Tarihli Etiket</v>
      </c>
      <c r="AB8" s="67" t="str">
        <f>IF(B8="","",VLOOKUP(AD8,Varsayımlar!$B:$Q,16,0))</f>
        <v>19-21 cm</v>
      </c>
      <c r="AC8" s="67">
        <f>IF(B8="","",VLOOKUP(Sayfa1!AD9,Varsayımlar!B:S,18,0))</f>
        <v>0</v>
      </c>
      <c r="AD8" s="57" t="str">
        <f t="shared" ref="AD8:AD46" si="0">IF(B8="","",CONCATENATE(B8,E8))</f>
        <v>SMART LLCTortillas 20cm Peynirli 4pcs 166g</v>
      </c>
    </row>
    <row r="9" spans="1:30" ht="31.5" x14ac:dyDescent="0.25">
      <c r="A9" s="8" t="s">
        <v>81</v>
      </c>
      <c r="B9" s="67" t="s">
        <v>64</v>
      </c>
      <c r="C9" s="42">
        <f>IF(B9="","",VLOOKUP(AD9,Varsayımlar!$B:$Q,3,0))</f>
        <v>8698829380698</v>
      </c>
      <c r="D9" s="42"/>
      <c r="E9" s="42" t="s">
        <v>296</v>
      </c>
      <c r="F9" s="67">
        <v>28</v>
      </c>
      <c r="G9" s="42" t="s">
        <v>68</v>
      </c>
      <c r="H9" s="67" t="str">
        <f>IF(B9="","",VLOOKUP(AD9,Varsayımlar!$B:$Q,5,0))</f>
        <v>Tortillas 20cm Çok Tahıllı</v>
      </c>
      <c r="I9" s="67">
        <f>IF(B9="","",VLOOKUP(AD9,Varsayımlar!B:T,19,0))</f>
        <v>0</v>
      </c>
      <c r="J9" s="67" t="str">
        <f>IF(B9="","",VLOOKUP(AD9,Varsayımlar!$B:$Q,6,0))</f>
        <v>Çok Tahıllı</v>
      </c>
      <c r="K9" s="67">
        <v>5625</v>
      </c>
      <c r="L9" s="67"/>
      <c r="M9" s="67">
        <f>IFERROR(IF(B9="","",K9/VLOOKUP(AD9,Varsayımlar!B:R,17,0)),"")</f>
        <v>25</v>
      </c>
      <c r="N9" s="67">
        <v>225</v>
      </c>
      <c r="O9" s="67">
        <v>45</v>
      </c>
      <c r="P9" s="67">
        <f>IF(B9="","",VLOOKUP(AD9,Varsayımlar!$B:$Q,7,0)*K9)</f>
        <v>78750</v>
      </c>
      <c r="Q9" s="67">
        <f>IF(B9="","",VLOOKUP(AD9,Varsayımlar!$B:$Q,8,0))</f>
        <v>20</v>
      </c>
      <c r="R9" s="67" t="str">
        <f>IF(B9="","",VLOOKUP(AD9,Varsayımlar!$B:$Q,9,0))</f>
        <v>Irak Soft</v>
      </c>
      <c r="S9" s="67">
        <f>IF(B9="","",VLOOKUP(AD9,Varsayımlar!$B:$Q,10,0))</f>
        <v>4</v>
      </c>
      <c r="T9" s="67">
        <f>IF(B9="","",VLOOKUP(AD9,Varsayımlar!$B:$Q,11,0))</f>
        <v>14</v>
      </c>
      <c r="U9" s="67">
        <f>IF(B9="","",VLOOKUP(AD9,Varsayımlar!$B:$Q,12,0))</f>
        <v>166</v>
      </c>
      <c r="V9" s="67" t="str">
        <f>IF(B9="","",VLOOKUP(AD9,Varsayımlar!$B:$Q,13,0))</f>
        <v>Yurtdışı</v>
      </c>
      <c r="W9" s="67">
        <f>IF(B9="","",VLOOKUP(AD9,Varsayımlar!$B:$Q,14,0))</f>
        <v>9</v>
      </c>
      <c r="X9" s="69">
        <v>46188</v>
      </c>
      <c r="Y9" s="69">
        <v>46461</v>
      </c>
      <c r="Z9" s="67" t="s">
        <v>419</v>
      </c>
      <c r="AA9" s="67" t="str">
        <f>IF(B9="","",VLOOKUP(AD9,Varsayımlar!$B:$Q,15,0))</f>
        <v>SİYAH KARE KOLİ-Üretim Tarihi Etiketli</v>
      </c>
      <c r="AB9" s="67" t="str">
        <f>IF(B9="","",VLOOKUP(AD9,Varsayımlar!$B:$Q,16,0))</f>
        <v>19-21 cm</v>
      </c>
      <c r="AC9" s="58">
        <f>IF(B9="","",VLOOKUP(Sayfa1!AD8,Varsayımlar!B:S,18,0))</f>
        <v>0</v>
      </c>
      <c r="AD9" s="57" t="str">
        <f t="shared" si="0"/>
        <v>SMART LLCTortillas 20cm Çok Tahıllı 4pcs 166g</v>
      </c>
    </row>
    <row r="10" spans="1:30" ht="31.5" customHeight="1" x14ac:dyDescent="0.25">
      <c r="A10" s="8" t="s">
        <v>82</v>
      </c>
      <c r="B10" s="64" t="s">
        <v>335</v>
      </c>
      <c r="C10" s="3">
        <f>IF(B10="","",VLOOKUP(AD10,Varsayımlar!$B:$Q,3,0))</f>
        <v>8698829380698</v>
      </c>
      <c r="D10" s="3"/>
      <c r="E10" s="64" t="s">
        <v>299</v>
      </c>
      <c r="F10" s="64"/>
      <c r="G10" s="3"/>
      <c r="H10" s="64" t="str">
        <f>IF(B10="","",VLOOKUP(AD10,Varsayımlar!$B:$Q,5,0))</f>
        <v>Lazeza 30cm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1700</v>
      </c>
      <c r="L10" s="64"/>
      <c r="M10" s="64" t="str">
        <f>IFERROR(IF(B10="","",K10/VLOOKUP(AD10,Varsayımlar!B:R,17,0)),"")</f>
        <v/>
      </c>
      <c r="N10" s="64"/>
      <c r="O10" s="64">
        <v>27</v>
      </c>
      <c r="P10" s="64">
        <f>IF(B10="","",VLOOKUP(AD10,Varsayımlar!$B:$Q,7,0)*K10)</f>
        <v>30600</v>
      </c>
      <c r="Q10" s="64">
        <f>IF(B10="","",VLOOKUP(AD10,Varsayımlar!$B:$Q,8,0))</f>
        <v>30</v>
      </c>
      <c r="R10" s="64" t="str">
        <f>IF(B10="","",VLOOKUP(AD10,Varsayımlar!$B:$Q,9,0))</f>
        <v>Irak Soft</v>
      </c>
      <c r="S10" s="64">
        <f>IF(B10="","",VLOOKUP(AD10,Varsayımlar!$B:$Q,10,0))</f>
        <v>6</v>
      </c>
      <c r="T10" s="64">
        <f>IF(B10="","",VLOOKUP(AD10,Varsayımlar!$B:$Q,11,0))</f>
        <v>18</v>
      </c>
      <c r="U10" s="64">
        <f>IF(B10="","",VLOOKUP(AD10,Varsayımlar!$B:$Q,12,0))</f>
        <v>510</v>
      </c>
      <c r="V10" s="64" t="str">
        <f>IF(B10="","",VLOOKUP(AD10,Varsayımlar!$B:$Q,13,0))</f>
        <v>Yurtdışı</v>
      </c>
      <c r="W10" s="64">
        <f>IF(B10="","",VLOOKUP(AD10,Varsayımlar!$B:$Q,14,0))</f>
        <v>6</v>
      </c>
      <c r="X10" s="66"/>
      <c r="Y10" s="66"/>
      <c r="Z10" s="64"/>
      <c r="AA10" s="64" t="str">
        <f>IF(B10="","",VLOOKUP(AD10,Varsayımlar!$B:$Q,15,0))</f>
        <v>Lazeza Kolisi</v>
      </c>
      <c r="AB10" s="64" t="str">
        <f>IF(B10="","",VLOOKUP(AD10,Varsayımlar!$B:$Q,16,0))</f>
        <v>29-31 cm</v>
      </c>
      <c r="AC10" s="64">
        <f>IF(B10="","",VLOOKUP(Sayfa1!AD10,Varsayımlar!B:S,18,0))</f>
        <v>0</v>
      </c>
      <c r="AD10" s="57" t="str">
        <f t="shared" si="0"/>
        <v>AjjawiLazeza 30 cm 6pcs 510g</v>
      </c>
    </row>
    <row r="11" spans="1:30" ht="31.5" customHeight="1" x14ac:dyDescent="0.25">
      <c r="A11" s="8" t="s">
        <v>83</v>
      </c>
      <c r="B11" s="80" t="s">
        <v>53</v>
      </c>
      <c r="C11" s="44">
        <f>IF(B11="","",VLOOKUP(AD11,Varsayımlar!$B:$Q,3,0))</f>
        <v>8698829380698</v>
      </c>
      <c r="D11" s="80" t="s">
        <v>394</v>
      </c>
      <c r="E11" s="80" t="s">
        <v>54</v>
      </c>
      <c r="F11" s="80"/>
      <c r="G11" s="80" t="s">
        <v>395</v>
      </c>
      <c r="H11" s="80" t="str">
        <f>IF(B11="","",VLOOKUP(AD11,Varsayımlar!$B:$Q,5,0))</f>
        <v>MAGNİT MAVİ AMBALAJ 25CM</v>
      </c>
      <c r="I11" s="80">
        <f>IF(B11="","",VLOOKUP(AD11,Varsayımlar!B:T,19,0))</f>
        <v>0</v>
      </c>
      <c r="J11" s="80" t="str">
        <f>IF(B11="","",VLOOKUP(AD11,Varsayımlar!$B:$Q,6,0))</f>
        <v>SADE</v>
      </c>
      <c r="K11" s="80">
        <v>2016</v>
      </c>
      <c r="L11" s="80"/>
      <c r="M11" s="80" t="str">
        <f>IFERROR(IF(B11="","",K11/VLOOKUP(AD11,#REF!,17,0)),"")</f>
        <v/>
      </c>
      <c r="N11" s="80"/>
      <c r="O11" s="80">
        <v>18</v>
      </c>
      <c r="P11" s="80">
        <f>IF(B11="","",VLOOKUP(AD11,Varsayımlar!$B:$Q,7,0)*K11)</f>
        <v>60480</v>
      </c>
      <c r="Q11" s="80">
        <f>IF(B11="","",VLOOKUP(AD11,Varsayımlar!$B:$Q,8,0))</f>
        <v>25</v>
      </c>
      <c r="R11" s="80" t="str">
        <f>IF(B11="","",VLOOKUP(AD11,Varsayımlar!$B:$Q,9,0))</f>
        <v>SOFT</v>
      </c>
      <c r="S11" s="80">
        <f>IF(B11="","",VLOOKUP(AD11,Varsayımlar!$B:$Q,10,0))</f>
        <v>4</v>
      </c>
      <c r="T11" s="80">
        <f>IF(B11="","",VLOOKUP(AD11,Varsayımlar!$B:$Q,11,0))</f>
        <v>30</v>
      </c>
      <c r="U11" s="80">
        <f>IF(B11="","",VLOOKUP(AD11,Varsayımlar!$B:$Q,12,0))</f>
        <v>260</v>
      </c>
      <c r="V11" s="80" t="str">
        <f>IF(B11="","",VLOOKUP(AD11,Varsayımlar!$B:$Q,13,0))</f>
        <v>YURTDIŞI</v>
      </c>
      <c r="W11" s="80">
        <f>IF(B11="","",VLOOKUP(AD11,Varsayımlar!$B:$Q,14,0))</f>
        <v>9</v>
      </c>
      <c r="X11" s="81">
        <v>46190</v>
      </c>
      <c r="Y11" s="81">
        <v>46463</v>
      </c>
      <c r="Z11" s="80" t="s">
        <v>396</v>
      </c>
      <c r="AA11" s="80" t="str">
        <f>IF(B11="","",VLOOKUP(AD11,Varsayımlar!$B:$Q,15,0))</f>
        <v>25CM TURUNCU KOLİ-SOL ÜST DİKDÖRTGENE ÜRETİM TARİHİ BASILACAK</v>
      </c>
      <c r="AB11" s="80" t="str">
        <f>IF(B11="","",VLOOKUP(AD11,Varsayımlar!$B:$Q,16,0))</f>
        <v>24-26 CM</v>
      </c>
      <c r="AC11" s="73" t="e">
        <f>IF(B11="","",VLOOKUP(#REF!,#REF!,18,0))</f>
        <v>#REF!</v>
      </c>
      <c r="AD11" s="73" t="str">
        <f>IF(B11="","",CONCATENATE(B11,E11))</f>
        <v>MAGNİTMAGNİT MAVİ AMBALAJ 25 CM 260G</v>
      </c>
    </row>
    <row r="12" spans="1:30" ht="31.5" customHeight="1" x14ac:dyDescent="0.25">
      <c r="A12" s="8" t="s">
        <v>84</v>
      </c>
      <c r="B12" s="64" t="s">
        <v>53</v>
      </c>
      <c r="C12" s="3">
        <f>IF(B12="","",VLOOKUP(AD12,Varsayımlar!$B:$Q,3,0))</f>
        <v>8698829380698</v>
      </c>
      <c r="D12" s="64" t="s">
        <v>397</v>
      </c>
      <c r="E12" s="64" t="s">
        <v>54</v>
      </c>
      <c r="F12" s="64"/>
      <c r="G12" s="64" t="s">
        <v>398</v>
      </c>
      <c r="H12" s="64" t="str">
        <f>IF(B12="","",VLOOKUP(AD12,Varsayımlar!$B:$Q,5,0))</f>
        <v>MAGNİT MAVİ AMBALAJ 25CM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2016</v>
      </c>
      <c r="L12" s="64"/>
      <c r="M12" s="64" t="str">
        <f>IFERROR(IF(B12="","",K12/VLOOKUP(AD12,#REF!,17,0)),"")</f>
        <v/>
      </c>
      <c r="N12" s="64"/>
      <c r="O12" s="64">
        <v>18</v>
      </c>
      <c r="P12" s="64">
        <f>IF(B12="","",VLOOKUP(AD12,Varsayımlar!$B:$Q,7,0)*K12)</f>
        <v>60480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9</v>
      </c>
      <c r="X12" s="66">
        <v>46190</v>
      </c>
      <c r="Y12" s="66">
        <v>46463</v>
      </c>
      <c r="Z12" s="64" t="s">
        <v>399</v>
      </c>
      <c r="AA12" s="64" t="str">
        <f>IF(B12="","",VLOOKUP(AD12,Varsayımlar!$B:$Q,15,0))</f>
        <v>25CM TURUNCU KOLİ-SOL ÜST DİKDÖRTGENE ÜRETİM TARİHİ BASILACAK</v>
      </c>
      <c r="AB12" s="64" t="str">
        <f>IF(B12="","",VLOOKUP(AD12,Varsayımlar!$B:$Q,16,0))</f>
        <v>24-26 CM</v>
      </c>
      <c r="AC12" s="73" t="e">
        <f>IF(B12="","",VLOOKUP(#REF!,#REF!,18,0))</f>
        <v>#REF!</v>
      </c>
      <c r="AD12" s="73" t="str">
        <f>IF(B12="","",CONCATENATE(B12,E12))</f>
        <v>MAGNİTMAGNİT MAVİ AMBALAJ 25 CM 260G</v>
      </c>
    </row>
    <row r="13" spans="1:30" ht="31.5" customHeight="1" x14ac:dyDescent="0.25">
      <c r="A13" s="8" t="s">
        <v>85</v>
      </c>
      <c r="B13" s="67" t="s">
        <v>53</v>
      </c>
      <c r="C13" s="42">
        <f>IF(B13="","",VLOOKUP(AD13,Varsayımlar!$B:$Q,3,0))</f>
        <v>8698829380698</v>
      </c>
      <c r="D13" s="67" t="s">
        <v>400</v>
      </c>
      <c r="E13" s="67" t="s">
        <v>54</v>
      </c>
      <c r="F13" s="67"/>
      <c r="G13" s="67" t="s">
        <v>401</v>
      </c>
      <c r="H13" s="67" t="str">
        <f>IF(B13="","",VLOOKUP(AD13,Varsayımlar!$B:$Q,5,0))</f>
        <v>MAGNİT MAVİ AMBALAJ 25CM</v>
      </c>
      <c r="I13" s="67">
        <f>IF(B13="","",VLOOKUP(AD13,Varsayımlar!B:T,19,0))</f>
        <v>0</v>
      </c>
      <c r="J13" s="67" t="str">
        <f>IF(B13="","",VLOOKUP(AD13,Varsayımlar!$B:$Q,6,0))</f>
        <v>SADE</v>
      </c>
      <c r="K13" s="67">
        <v>2016</v>
      </c>
      <c r="L13" s="67"/>
      <c r="M13" s="67" t="str">
        <f>IFERROR(IF(B13="","",K13/VLOOKUP(AD13,#REF!,17,0)),"")</f>
        <v/>
      </c>
      <c r="N13" s="67"/>
      <c r="O13" s="67">
        <v>18</v>
      </c>
      <c r="P13" s="67">
        <f>IF(B13="","",VLOOKUP(AD13,Varsayımlar!$B:$Q,7,0)*K13)</f>
        <v>60480</v>
      </c>
      <c r="Q13" s="67">
        <f>IF(B13="","",VLOOKUP(AD13,Varsayımlar!$B:$Q,8,0))</f>
        <v>25</v>
      </c>
      <c r="R13" s="67" t="str">
        <f>IF(B13="","",VLOOKUP(AD13,Varsayımlar!$B:$Q,9,0))</f>
        <v>SOFT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260</v>
      </c>
      <c r="V13" s="67" t="str">
        <f>IF(B13="","",VLOOKUP(AD13,Varsayımlar!$B:$Q,13,0))</f>
        <v>YURTDIŞI</v>
      </c>
      <c r="W13" s="67">
        <f>IF(B13="","",VLOOKUP(AD13,Varsayımlar!$B:$Q,14,0))</f>
        <v>9</v>
      </c>
      <c r="X13" s="69">
        <v>46191</v>
      </c>
      <c r="Y13" s="69">
        <v>46464</v>
      </c>
      <c r="Z13" s="67" t="s">
        <v>402</v>
      </c>
      <c r="AA13" s="67" t="str">
        <f>IF(B13="","",VLOOKUP(AD13,Varsayımlar!$B:$Q,15,0))</f>
        <v>25CM TURUNCU KOLİ-SOL ÜST DİKDÖRTGENE ÜRETİM TARİHİ BASILACAK</v>
      </c>
      <c r="AB13" s="67" t="str">
        <f>IF(B13="","",VLOOKUP(AD13,Varsayımlar!$B:$Q,16,0))</f>
        <v>24-26 CM</v>
      </c>
      <c r="AC13" s="73" t="e">
        <f>IF(B13="","",VLOOKUP(#REF!,#REF!,18,0))</f>
        <v>#REF!</v>
      </c>
      <c r="AD13" s="73" t="str">
        <f>IF(B13="","",CONCATENATE(B13,E13))</f>
        <v>MAGNİTMAGNİT MAVİ AMBALAJ 25 CM 260G</v>
      </c>
    </row>
    <row r="14" spans="1:30" ht="31.5" customHeight="1" x14ac:dyDescent="0.25">
      <c r="A14" s="8" t="s">
        <v>86</v>
      </c>
      <c r="B14" s="117" t="s">
        <v>53</v>
      </c>
      <c r="C14" s="118">
        <f>IF(B14="","",VLOOKUP(AD14,Varsayımlar!$B:$Q,3,0))</f>
        <v>8698829380698</v>
      </c>
      <c r="D14" s="117" t="s">
        <v>403</v>
      </c>
      <c r="E14" s="117" t="s">
        <v>54</v>
      </c>
      <c r="F14" s="117"/>
      <c r="G14" s="117" t="s">
        <v>404</v>
      </c>
      <c r="H14" s="117" t="str">
        <f>IF(B14="","",VLOOKUP(AD14,Varsayımlar!$B:$Q,5,0))</f>
        <v>MAGNİT MAVİ AMBALAJ 25CM</v>
      </c>
      <c r="I14" s="117">
        <f>IF(B14="","",VLOOKUP(AD14,Varsayımlar!B:T,19,0))</f>
        <v>0</v>
      </c>
      <c r="J14" s="117" t="str">
        <f>IF(B14="","",VLOOKUP(AD14,Varsayımlar!$B:$Q,6,0))</f>
        <v>SADE</v>
      </c>
      <c r="K14" s="117">
        <v>2016</v>
      </c>
      <c r="L14" s="117"/>
      <c r="M14" s="117" t="str">
        <f>IFERROR(IF(B14="","",K14/VLOOKUP(AD14,#REF!,17,0)),"")</f>
        <v/>
      </c>
      <c r="N14" s="117"/>
      <c r="O14" s="117">
        <v>18</v>
      </c>
      <c r="P14" s="117">
        <f>IF(B14="","",VLOOKUP(AD14,Varsayımlar!$B:$Q,7,0)*K14)</f>
        <v>60480</v>
      </c>
      <c r="Q14" s="117">
        <f>IF(B14="","",VLOOKUP(AD14,Varsayımlar!$B:$Q,8,0))</f>
        <v>25</v>
      </c>
      <c r="R14" s="117" t="str">
        <f>IF(B14="","",VLOOKUP(AD14,Varsayımlar!$B:$Q,9,0))</f>
        <v>SOFT</v>
      </c>
      <c r="S14" s="117">
        <f>IF(B14="","",VLOOKUP(AD14,Varsayımlar!$B:$Q,10,0))</f>
        <v>4</v>
      </c>
      <c r="T14" s="117">
        <f>IF(B14="","",VLOOKUP(AD14,Varsayımlar!$B:$Q,11,0))</f>
        <v>30</v>
      </c>
      <c r="U14" s="117">
        <f>IF(B14="","",VLOOKUP(AD14,Varsayımlar!$B:$Q,12,0))</f>
        <v>260</v>
      </c>
      <c r="V14" s="117" t="str">
        <f>IF(B14="","",VLOOKUP(AD14,Varsayımlar!$B:$Q,13,0))</f>
        <v>YURTDIŞI</v>
      </c>
      <c r="W14" s="117">
        <f>IF(B14="","",VLOOKUP(AD14,Varsayımlar!$B:$Q,14,0))</f>
        <v>9</v>
      </c>
      <c r="X14" s="122">
        <v>46193</v>
      </c>
      <c r="Y14" s="122">
        <v>46466</v>
      </c>
      <c r="Z14" s="117" t="s">
        <v>405</v>
      </c>
      <c r="AA14" s="117" t="str">
        <f>IF(B14="","",VLOOKUP(AD14,Varsayımlar!$B:$Q,15,0))</f>
        <v>25CM TURUNCU KOLİ-SOL ÜST DİKDÖRTGENE ÜRETİM TARİHİ BASILACAK</v>
      </c>
      <c r="AB14" s="117" t="str">
        <f>IF(B14="","",VLOOKUP(AD14,Varsayımlar!$B:$Q,16,0))</f>
        <v>24-26 CM</v>
      </c>
      <c r="AC14" s="73" t="e">
        <f>IF(B14="","",VLOOKUP(#REF!,#REF!,18,0))</f>
        <v>#REF!</v>
      </c>
      <c r="AD14" s="73" t="str">
        <f>IF(B14="","",CONCATENATE(B14,E14))</f>
        <v>MAGNİTMAGNİT MAVİ AMBALAJ 25 CM 260G</v>
      </c>
    </row>
    <row r="15" spans="1:30" ht="31.5" customHeight="1" x14ac:dyDescent="0.25">
      <c r="A15" s="8" t="s">
        <v>87</v>
      </c>
      <c r="B15" s="67" t="s">
        <v>53</v>
      </c>
      <c r="C15" s="42">
        <f>IF(B15="","",VLOOKUP(AD15,Varsayımlar!$B:$Q,3,0))</f>
        <v>8698829380698</v>
      </c>
      <c r="D15" s="67" t="s">
        <v>406</v>
      </c>
      <c r="E15" s="67" t="s">
        <v>54</v>
      </c>
      <c r="F15" s="67"/>
      <c r="G15" s="67" t="s">
        <v>407</v>
      </c>
      <c r="H15" s="67" t="str">
        <f>IF(B15="","",VLOOKUP(AD15,Varsayımlar!$B:$Q,5,0))</f>
        <v>MAGNİT MAVİ AMBALAJ 25CM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2016</v>
      </c>
      <c r="L15" s="67"/>
      <c r="M15" s="67" t="str">
        <f>IFERROR(IF(B15="","",K15/VLOOKUP(AD15,#REF!,17,0)),"")</f>
        <v/>
      </c>
      <c r="N15" s="67"/>
      <c r="O15" s="67">
        <v>18</v>
      </c>
      <c r="P15" s="67">
        <f>IF(B15="","",VLOOKUP(AD15,Varsayımlar!$B:$Q,7,0)*K15)</f>
        <v>60480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9</v>
      </c>
      <c r="X15" s="69">
        <v>46193</v>
      </c>
      <c r="Y15" s="69">
        <v>46466</v>
      </c>
      <c r="Z15" s="67" t="s">
        <v>408</v>
      </c>
      <c r="AA15" s="67" t="str">
        <f>IF(B15="","",VLOOKUP(AD15,Varsayımlar!$B:$Q,15,0))</f>
        <v>25CM TURUNCU KOLİ-SOL ÜST DİKDÖRTGENE ÜRETİM TARİHİ BASILACAK</v>
      </c>
      <c r="AB15" s="67" t="str">
        <f>IF(B15="","",VLOOKUP(AD15,Varsayımlar!$B:$Q,16,0))</f>
        <v>24-26 CM</v>
      </c>
      <c r="AC15" s="73" t="e">
        <f>IF(B15="","",VLOOKUP(#REF!,#REF!,18,0))</f>
        <v>#REF!</v>
      </c>
      <c r="AD15" s="73" t="str">
        <f>IF(B15="","",CONCATENATE(B15,E15))</f>
        <v>MAGNİTMAGNİT MAVİ AMBALAJ 25 CM 260G</v>
      </c>
    </row>
    <row r="16" spans="1:30" ht="31.5" x14ac:dyDescent="0.25">
      <c r="A16" s="8" t="s">
        <v>88</v>
      </c>
      <c r="B16" s="67" t="s">
        <v>64</v>
      </c>
      <c r="C16" s="42">
        <f>IF(B16="","",VLOOKUP(AD16,Varsayımlar!$B:$Q,3,0))</f>
        <v>8698829380698</v>
      </c>
      <c r="D16" s="42"/>
      <c r="E16" s="67" t="s">
        <v>296</v>
      </c>
      <c r="F16" s="67">
        <v>30</v>
      </c>
      <c r="G16" s="42" t="s">
        <v>68</v>
      </c>
      <c r="H16" s="67" t="str">
        <f>IF(B16="","",VLOOKUP(AD16,Varsayımlar!$B:$Q,5,0))</f>
        <v>Tortillas 20cm Çok Tahıllı</v>
      </c>
      <c r="I16" s="67">
        <f>IF(B16="","",VLOOKUP(AD16,Varsayımlar!B:T,19,0))</f>
        <v>0</v>
      </c>
      <c r="J16" s="67" t="str">
        <f>IF(B16="","",VLOOKUP(AD16,Varsayımlar!$B:$Q,6,0))</f>
        <v>Çok Tahıllı</v>
      </c>
      <c r="K16" s="67">
        <v>225</v>
      </c>
      <c r="L16" s="67"/>
      <c r="M16" s="67">
        <f>IFERROR(IF(B16="","",K16/VLOOKUP(AD16,Varsayımlar!B:R,17,0)),"")</f>
        <v>1</v>
      </c>
      <c r="N16" s="67"/>
      <c r="O16" s="67">
        <v>2</v>
      </c>
      <c r="P16" s="67">
        <f>IF(B16="","",VLOOKUP(AD16,Varsayımlar!$B:$Q,7,0)*K16)</f>
        <v>3150</v>
      </c>
      <c r="Q16" s="67">
        <f>IF(B16="","",VLOOKUP(AD16,Varsayımlar!$B:$Q,8,0))</f>
        <v>20</v>
      </c>
      <c r="R16" s="67" t="str">
        <f>IF(B16="","",VLOOKUP(AD16,Varsayımlar!$B:$Q,9,0))</f>
        <v>Irak Soft</v>
      </c>
      <c r="S16" s="67">
        <f>IF(B16="","",VLOOKUP(AD16,Varsayımlar!$B:$Q,10,0))</f>
        <v>4</v>
      </c>
      <c r="T16" s="67">
        <f>IF(B16="","",VLOOKUP(AD16,Varsayımlar!$B:$Q,11,0))</f>
        <v>14</v>
      </c>
      <c r="U16" s="67">
        <f>IF(B16="","",VLOOKUP(AD16,Varsayımlar!$B:$Q,12,0))</f>
        <v>166</v>
      </c>
      <c r="V16" s="67" t="str">
        <f>IF(B16="","",VLOOKUP(AD16,Varsayımlar!$B:$Q,13,0))</f>
        <v>Yurtdışı</v>
      </c>
      <c r="W16" s="67">
        <f>IF(B16="","",VLOOKUP(AD16,Varsayımlar!$B:$Q,14,0))</f>
        <v>9</v>
      </c>
      <c r="X16" s="69">
        <v>46195</v>
      </c>
      <c r="Y16" s="69">
        <v>46468</v>
      </c>
      <c r="Z16" s="67" t="s">
        <v>338</v>
      </c>
      <c r="AA16" s="67" t="str">
        <f>IF(B16="","",VLOOKUP(AD16,Varsayımlar!$B:$Q,15,0))</f>
        <v>SİYAH KARE KOLİ-Üretim Tarihi Etiketli</v>
      </c>
      <c r="AB16" s="67" t="str">
        <f>IF(B16="","",VLOOKUP(AD16,Varsayımlar!$B:$Q,16,0))</f>
        <v>19-21 cm</v>
      </c>
      <c r="AC16" s="67">
        <f>IF(B16="","",VLOOKUP(Sayfa1!AD14,Varsayımlar!B:S,18,0))</f>
        <v>0</v>
      </c>
      <c r="AD16" s="57" t="str">
        <f t="shared" si="0"/>
        <v>SMART LLCTortillas 20cm Çok Tahıllı 4pcs 166g</v>
      </c>
    </row>
    <row r="17" spans="1:30" ht="31.5" x14ac:dyDescent="0.25">
      <c r="A17" s="8" t="s">
        <v>89</v>
      </c>
      <c r="B17" s="64" t="s">
        <v>64</v>
      </c>
      <c r="C17" s="3">
        <f>IF(B17="","",VLOOKUP(AD17,Varsayımlar!$B:$Q,3,0))</f>
        <v>8698829380698</v>
      </c>
      <c r="D17" s="3"/>
      <c r="E17" s="64" t="s">
        <v>296</v>
      </c>
      <c r="F17" s="64">
        <v>31</v>
      </c>
      <c r="G17" s="3" t="s">
        <v>68</v>
      </c>
      <c r="H17" s="64" t="str">
        <f>IF(B17="","",VLOOKUP(AD17,Varsayımlar!$B:$Q,5,0))</f>
        <v>Tortillas 20cm Çok Tahıllı</v>
      </c>
      <c r="I17" s="64">
        <f>IF(B17="","",VLOOKUP(AD17,Varsayımlar!B:T,19,0))</f>
        <v>0</v>
      </c>
      <c r="J17" s="64" t="str">
        <f>IF(B17="","",VLOOKUP(AD17,Varsayımlar!$B:$Q,6,0))</f>
        <v>Çok Tahıllı</v>
      </c>
      <c r="K17" s="64">
        <v>1800</v>
      </c>
      <c r="L17" s="64"/>
      <c r="M17" s="64">
        <f>IFERROR(IF(B17="","",K17/VLOOKUP(AD17,Varsayımlar!B:R,17,0)),"")</f>
        <v>8</v>
      </c>
      <c r="N17" s="64"/>
      <c r="O17" s="64">
        <v>15</v>
      </c>
      <c r="P17" s="64">
        <f>IF(B17="","",VLOOKUP(AD17,Varsayımlar!$B:$Q,7,0)*K17)</f>
        <v>25200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4</v>
      </c>
      <c r="T17" s="64">
        <f>IF(B17="","",VLOOKUP(AD17,Varsayımlar!$B:$Q,11,0))</f>
        <v>14</v>
      </c>
      <c r="U17" s="64">
        <f>IF(B17="","",VLOOKUP(AD17,Varsayımlar!$B:$Q,12,0))</f>
        <v>166</v>
      </c>
      <c r="V17" s="64" t="str">
        <f>IF(B17="","",VLOOKUP(AD17,Varsayımlar!$B:$Q,13,0))</f>
        <v>Yurtdışı</v>
      </c>
      <c r="W17" s="64">
        <f>IF(B17="","",VLOOKUP(AD17,Varsayımlar!$B:$Q,14,0))</f>
        <v>9</v>
      </c>
      <c r="X17" s="66">
        <v>46196</v>
      </c>
      <c r="Y17" s="66">
        <v>46469</v>
      </c>
      <c r="Z17" s="64" t="s">
        <v>339</v>
      </c>
      <c r="AA17" s="64" t="str">
        <f>IF(B17="","",VLOOKUP(AD17,Varsayımlar!$B:$Q,15,0))</f>
        <v>SİYAH KARE KOLİ-Üretim Tarihi Etiketli</v>
      </c>
      <c r="AB17" s="64" t="str">
        <f>IF(B17="","",VLOOKUP(AD17,Varsayımlar!$B:$Q,16,0))</f>
        <v>19-21 cm</v>
      </c>
      <c r="AC17" s="64">
        <f>IF(B17="","",VLOOKUP(Sayfa1!AD15,Varsayımlar!B:S,18,0))</f>
        <v>0</v>
      </c>
      <c r="AD17" s="57" t="str">
        <f t="shared" si="0"/>
        <v>SMART LLCTortillas 20cm Çok Tahıllı 4pcs 166g</v>
      </c>
    </row>
    <row r="18" spans="1:30" ht="31.5" x14ac:dyDescent="0.25">
      <c r="A18" s="8" t="s">
        <v>90</v>
      </c>
      <c r="B18" s="64" t="s">
        <v>64</v>
      </c>
      <c r="C18" s="3">
        <f>IF(B18="","",VLOOKUP(AD18,Varsayımlar!$B:$Q,3,0))</f>
        <v>8698829380698</v>
      </c>
      <c r="D18" s="3"/>
      <c r="E18" s="64" t="s">
        <v>176</v>
      </c>
      <c r="F18" s="64">
        <v>31</v>
      </c>
      <c r="G18" s="3" t="s">
        <v>68</v>
      </c>
      <c r="H18" s="64" t="str">
        <f>IF(B18="","",VLOOKUP(AD18,Varsayımlar!$B:$Q,5,0))</f>
        <v>Tortillas 20cm (Samakat Bilgileri Ekli)</v>
      </c>
      <c r="I18" s="64">
        <f>IF(B18="","",VLOOKUP(AD18,Varsayımlar!B:T,19,0))</f>
        <v>0</v>
      </c>
      <c r="J18" s="64" t="str">
        <f>IF(B18="","",VLOOKUP(AD18,Varsayımlar!$B:$Q,6,0))</f>
        <v>PEYNİRLİ</v>
      </c>
      <c r="K18" s="64">
        <v>2925</v>
      </c>
      <c r="L18" s="64"/>
      <c r="M18" s="64">
        <f>IFERROR(IF(B18="","",K18/VLOOKUP(AD18,Varsayımlar!B:R,17,0)),"")</f>
        <v>13</v>
      </c>
      <c r="N18" s="64"/>
      <c r="O18" s="64">
        <v>24</v>
      </c>
      <c r="P18" s="64">
        <f>IF(B18="","",VLOOKUP(AD18,Varsayımlar!$B:$Q,7,0)*K18)</f>
        <v>40950</v>
      </c>
      <c r="Q18" s="64">
        <f>IF(B18="","",VLOOKUP(AD18,Varsayımlar!$B:$Q,8,0))</f>
        <v>20</v>
      </c>
      <c r="R18" s="64" t="str">
        <f>IF(B18="","",VLOOKUP(AD18,Varsayımlar!$B:$Q,9,0))</f>
        <v>IRAK SOFT-AT</v>
      </c>
      <c r="S18" s="64">
        <f>IF(B18="","",VLOOKUP(AD18,Varsayımlar!$B:$Q,10,0))</f>
        <v>4</v>
      </c>
      <c r="T18" s="64">
        <f>IF(B18="","",VLOOKUP(AD18,Varsayımlar!$B:$Q,11,0))</f>
        <v>14</v>
      </c>
      <c r="U18" s="64">
        <f>IF(B18="","",VLOOKUP(AD18,Varsayımlar!$B:$Q,12,0))</f>
        <v>166</v>
      </c>
      <c r="V18" s="64" t="str">
        <f>IF(B18="","",VLOOKUP(AD18,Varsayımlar!$B:$Q,13,0))</f>
        <v>YURTDIŞI</v>
      </c>
      <c r="W18" s="64">
        <f>IF(B18="","",VLOOKUP(AD18,Varsayımlar!$B:$Q,14,0))</f>
        <v>9</v>
      </c>
      <c r="X18" s="66">
        <v>46196</v>
      </c>
      <c r="Y18" s="66">
        <v>46469</v>
      </c>
      <c r="Z18" s="64" t="s">
        <v>340</v>
      </c>
      <c r="AA18" s="64" t="str">
        <f>IF(B18="","",VLOOKUP(AD18,Varsayımlar!$B:$Q,15,0))</f>
        <v>Kare Koli-Üretim Tarihli Etiket</v>
      </c>
      <c r="AB18" s="64" t="str">
        <f>IF(B18="","",VLOOKUP(AD18,Varsayımlar!$B:$Q,16,0))</f>
        <v>19-21 cm</v>
      </c>
      <c r="AC18" s="64">
        <f>IF(B18="","",VLOOKUP(Sayfa1!AD17,Varsayımlar!B:S,18,0))</f>
        <v>0</v>
      </c>
      <c r="AD18" s="57" t="str">
        <f t="shared" si="0"/>
        <v>SMART LLCTortillas 20cm Peynirli 4pcs 166g</v>
      </c>
    </row>
    <row r="19" spans="1:30" ht="47.25" x14ac:dyDescent="0.25">
      <c r="A19" s="8" t="s">
        <v>91</v>
      </c>
      <c r="B19" s="67" t="s">
        <v>268</v>
      </c>
      <c r="C19" s="42">
        <f>IF(B19="","",VLOOKUP(AD19,Varsayımlar!$B:$Q,3,0))</f>
        <v>8698829380698</v>
      </c>
      <c r="D19" s="42" t="s">
        <v>159</v>
      </c>
      <c r="E19" s="67" t="s">
        <v>269</v>
      </c>
      <c r="F19" s="67">
        <v>20250825</v>
      </c>
      <c r="G19" s="42" t="s">
        <v>68</v>
      </c>
      <c r="H19" s="67" t="str">
        <f>IF(B19="","",VLOOKUP(AD19,Varsayımlar!$B:$Q,5,0))</f>
        <v>Tortillas 25cm Tam Buğday</v>
      </c>
      <c r="I19" s="67">
        <f>IF(B19="","",VLOOKUP(AD19,Varsayımlar!B:T,19,0))</f>
        <v>0</v>
      </c>
      <c r="J19" s="67" t="str">
        <f>IF(B19="","",VLOOKUP(AD19,Varsayımlar!$B:$Q,6,0))</f>
        <v>Tam Buğdaylı</v>
      </c>
      <c r="K19" s="67">
        <v>252</v>
      </c>
      <c r="L19" s="67"/>
      <c r="M19" s="67">
        <f>IFERROR(IF(B19="","",K19/VLOOKUP(AD19,Varsayımlar!B:R,17,0)),"")</f>
        <v>3</v>
      </c>
      <c r="N19" s="67"/>
      <c r="O19" s="67">
        <v>5</v>
      </c>
      <c r="P19" s="67">
        <f>IF(B19="","",VLOOKUP(AD19,Varsayımlar!$B:$Q,7,0)*K19)</f>
        <v>7560</v>
      </c>
      <c r="Q19" s="67">
        <f>IF(B19="","",VLOOKUP(AD19,Varsayımlar!$B:$Q,8,0))</f>
        <v>25</v>
      </c>
      <c r="R19" s="67" t="str">
        <f>IF(B19="","",VLOOKUP(AD19,Varsayımlar!$B:$Q,9,0))</f>
        <v>Soft-PA3</v>
      </c>
      <c r="S19" s="67">
        <f>IF(B19="","",VLOOKUP(AD19,Varsayımlar!$B:$Q,10,0))</f>
        <v>4</v>
      </c>
      <c r="T19" s="67">
        <f>IF(B19="","",VLOOKUP(AD19,Varsayımlar!$B:$Q,11,0))</f>
        <v>30</v>
      </c>
      <c r="U19" s="67">
        <f>IF(B19="","",VLOOKUP(AD19,Varsayımlar!$B:$Q,12,0))</f>
        <v>240</v>
      </c>
      <c r="V19" s="67" t="str">
        <f>IF(B19="","",VLOOKUP(AD19,Varsayımlar!$B:$Q,13,0))</f>
        <v>Yurtdışı</v>
      </c>
      <c r="W19" s="67">
        <f>IF(B19="","",VLOOKUP(AD19,Varsayımlar!$B:$Q,14,0))</f>
        <v>12</v>
      </c>
      <c r="X19" s="69">
        <v>46199</v>
      </c>
      <c r="Y19" s="69">
        <v>46564</v>
      </c>
      <c r="Z19" s="67" t="s">
        <v>374</v>
      </c>
      <c r="AA19" s="67" t="str">
        <f>IF(B19="","",VLOOKUP(AD19,Varsayımlar!$B:$Q,15,0))</f>
        <v>25cm Kolisi-Etiketli</v>
      </c>
      <c r="AB19" s="67" t="str">
        <f>IF(B19="","",VLOOKUP(AD19,Varsayımlar!$B:$Q,16,0))</f>
        <v>24-26 cm (Macca Hetto Inkjet Uzun Tarih)</v>
      </c>
      <c r="AC19" s="67" t="str">
        <f>IF(B19="","",VLOOKUP(Sayfa1!AD23,Varsayımlar!B:S,18,0))</f>
        <v>80x120cm</v>
      </c>
      <c r="AD19" s="57" t="str">
        <f t="shared" si="0"/>
        <v>LAIKYUZHN-BELARUSTortillas 25cm Tam buğday 4pcs 240g</v>
      </c>
    </row>
    <row r="20" spans="1:30" ht="47.25" x14ac:dyDescent="0.25">
      <c r="A20" s="8" t="s">
        <v>92</v>
      </c>
      <c r="B20" s="67" t="s">
        <v>268</v>
      </c>
      <c r="C20" s="42">
        <f>IF(B20="","",VLOOKUP(AD20,Varsayımlar!$B:$Q,3,0))</f>
        <v>8698829380698</v>
      </c>
      <c r="D20" s="42" t="s">
        <v>159</v>
      </c>
      <c r="E20" s="67" t="s">
        <v>274</v>
      </c>
      <c r="F20" s="67">
        <v>20250825</v>
      </c>
      <c r="G20" s="42" t="s">
        <v>68</v>
      </c>
      <c r="H20" s="67" t="str">
        <f>IF(B20="","",VLOOKUP(AD20,Varsayımlar!$B:$Q,5,0))</f>
        <v>Tortillas 25cm Domatesli</v>
      </c>
      <c r="I20" s="67">
        <f>IF(B20="","",VLOOKUP(AD20,Varsayımlar!B:T,19,0))</f>
        <v>0</v>
      </c>
      <c r="J20" s="67" t="str">
        <f>IF(B20="","",VLOOKUP(AD20,Varsayımlar!$B:$Q,6,0))</f>
        <v>Domatesli</v>
      </c>
      <c r="K20" s="67">
        <v>252</v>
      </c>
      <c r="L20" s="67"/>
      <c r="M20" s="67">
        <f>IFERROR(IF(B20="","",K20/VLOOKUP(AD20,Varsayımlar!B:R,17,0)),"")</f>
        <v>3</v>
      </c>
      <c r="N20" s="67"/>
      <c r="O20" s="67">
        <v>5</v>
      </c>
      <c r="P20" s="67">
        <f>IF(B20="","",VLOOKUP(AD20,Varsayımlar!$B:$Q,7,0)*K20)</f>
        <v>7560</v>
      </c>
      <c r="Q20" s="67">
        <f>IF(B20="","",VLOOKUP(AD20,Varsayımlar!$B:$Q,8,0))</f>
        <v>25</v>
      </c>
      <c r="R20" s="67" t="str">
        <f>IF(B20="","",VLOOKUP(AD20,Varsayımlar!$B:$Q,9,0))</f>
        <v>Soft-PA3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240</v>
      </c>
      <c r="V20" s="67" t="str">
        <f>IF(B20="","",VLOOKUP(AD20,Varsayımlar!$B:$Q,13,0))</f>
        <v>Yurtdışı</v>
      </c>
      <c r="W20" s="67">
        <f>IF(B20="","",VLOOKUP(AD20,Varsayımlar!$B:$Q,14,0))</f>
        <v>12</v>
      </c>
      <c r="X20" s="69">
        <v>46199</v>
      </c>
      <c r="Y20" s="69">
        <v>46564</v>
      </c>
      <c r="Z20" s="67" t="s">
        <v>375</v>
      </c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IF(B20="","",VLOOKUP(Sayfa1!AD24,Varsayımlar!B:S,18,0))</f>
        <v>80x120cm</v>
      </c>
      <c r="AD20" s="57" t="str">
        <f t="shared" si="0"/>
        <v>LAIKYUZHN-BELARUSTortillas 25cm Domatesli 4pcs 240g</v>
      </c>
    </row>
    <row r="21" spans="1:30" ht="47.25" x14ac:dyDescent="0.25">
      <c r="A21" s="8" t="s">
        <v>93</v>
      </c>
      <c r="B21" s="67" t="s">
        <v>268</v>
      </c>
      <c r="C21" s="42">
        <f>IF(B21="","",VLOOKUP(AD21,Varsayımlar!$B:$Q,3,0))</f>
        <v>8698829380698</v>
      </c>
      <c r="D21" s="42" t="s">
        <v>159</v>
      </c>
      <c r="E21" s="67" t="s">
        <v>276</v>
      </c>
      <c r="F21" s="67">
        <v>20250825</v>
      </c>
      <c r="G21" s="42" t="s">
        <v>68</v>
      </c>
      <c r="H21" s="67" t="str">
        <f>IF(B21="","",VLOOKUP(AD21,Varsayımlar!$B:$Q,5,0))</f>
        <v>Tortillas 25cm Ispanaklı</v>
      </c>
      <c r="I21" s="67">
        <f>IF(B21="","",VLOOKUP(AD21,Varsayımlar!B:T,19,0))</f>
        <v>0</v>
      </c>
      <c r="J21" s="67" t="str">
        <f>IF(B21="","",VLOOKUP(AD21,Varsayımlar!$B:$Q,6,0))</f>
        <v>Ispanaklı</v>
      </c>
      <c r="K21" s="67">
        <v>420</v>
      </c>
      <c r="L21" s="67"/>
      <c r="M21" s="67">
        <f>IFERROR(IF(B21="","",K21/VLOOKUP(AD21,Varsayımlar!B:R,17,0)),"")</f>
        <v>5</v>
      </c>
      <c r="N21" s="67"/>
      <c r="O21" s="67">
        <v>7</v>
      </c>
      <c r="P21" s="67">
        <f>IF(B21="","",VLOOKUP(AD21,Varsayımlar!$B:$Q,7,0)*K21)</f>
        <v>12600</v>
      </c>
      <c r="Q21" s="67">
        <f>IF(B21="","",VLOOKUP(AD21,Varsayımlar!$B:$Q,8,0))</f>
        <v>25</v>
      </c>
      <c r="R21" s="67" t="str">
        <f>IF(B21="","",VLOOKUP(AD21,Varsayımlar!$B:$Q,9,0))</f>
        <v>Soft-PA3</v>
      </c>
      <c r="S21" s="67">
        <f>IF(B21="","",VLOOKUP(AD21,Varsayımlar!$B:$Q,10,0))</f>
        <v>4</v>
      </c>
      <c r="T21" s="67">
        <f>IF(B21="","",VLOOKUP(AD21,Varsayımlar!$B:$Q,11,0))</f>
        <v>30</v>
      </c>
      <c r="U21" s="67">
        <f>IF(B21="","",VLOOKUP(AD21,Varsayımlar!$B:$Q,12,0))</f>
        <v>240</v>
      </c>
      <c r="V21" s="67" t="str">
        <f>IF(B21="","",VLOOKUP(AD21,Varsayımlar!$B:$Q,13,0))</f>
        <v>Yurtdışı</v>
      </c>
      <c r="W21" s="67">
        <f>IF(B21="","",VLOOKUP(AD21,Varsayımlar!$B:$Q,14,0))</f>
        <v>12</v>
      </c>
      <c r="X21" s="69">
        <v>46199</v>
      </c>
      <c r="Y21" s="69">
        <v>46564</v>
      </c>
      <c r="Z21" s="67" t="s">
        <v>376</v>
      </c>
      <c r="AA21" s="67" t="str">
        <f>IF(B21="","",VLOOKUP(AD21,Varsayımlar!$B:$Q,15,0))</f>
        <v>25cm Kolisi-Etiketli</v>
      </c>
      <c r="AB21" s="67" t="str">
        <f>IF(B21="","",VLOOKUP(AD21,Varsayımlar!$B:$Q,16,0))</f>
        <v>24-26 cm (Macca Hetto Inkjet Uzun Tarih)</v>
      </c>
      <c r="AC21" s="67" t="str">
        <f>IF(B21="","",VLOOKUP(Sayfa1!AD25,Varsayımlar!B:S,18,0))</f>
        <v>80x120cm</v>
      </c>
      <c r="AD21" s="57" t="str">
        <f t="shared" si="0"/>
        <v>LAIKYUZHN-BELARUSTortillas 25cm Ispanaklı 4pcs 240g</v>
      </c>
    </row>
    <row r="22" spans="1:30" ht="47.25" x14ac:dyDescent="0.25">
      <c r="A22" s="8" t="s">
        <v>135</v>
      </c>
      <c r="B22" s="67" t="s">
        <v>268</v>
      </c>
      <c r="C22" s="42">
        <f>IF(B22="","",VLOOKUP(AD22,Varsayımlar!$B:$Q,3,0))</f>
        <v>8698829380698</v>
      </c>
      <c r="D22" s="42" t="s">
        <v>159</v>
      </c>
      <c r="E22" s="67" t="s">
        <v>278</v>
      </c>
      <c r="F22" s="67">
        <v>20250825</v>
      </c>
      <c r="G22" s="42" t="s">
        <v>68</v>
      </c>
      <c r="H22" s="67" t="str">
        <f>IF(B22="","",VLOOKUP(AD22,Varsayımlar!$B:$Q,5,0))</f>
        <v>Magnit Tortillas 25cm Peynirli</v>
      </c>
      <c r="I22" s="67" t="str">
        <f>IF(B22="","",VLOOKUP(AD22,Varsayımlar!B:T,19,0))</f>
        <v>Etiketli</v>
      </c>
      <c r="J22" s="67" t="str">
        <f>IF(B22="","",VLOOKUP(AD22,Varsayımlar!$B:$Q,6,0))</f>
        <v>Peynirli</v>
      </c>
      <c r="K22" s="67">
        <v>420</v>
      </c>
      <c r="L22" s="67"/>
      <c r="M22" s="67">
        <f>IFERROR(IF(B22="","",K22/VLOOKUP(AD22,Varsayımlar!B:R,17,0)),"")</f>
        <v>5</v>
      </c>
      <c r="N22" s="67"/>
      <c r="O22" s="67">
        <v>7</v>
      </c>
      <c r="P22" s="67">
        <f>IF(B22="","",VLOOKUP(AD22,Varsayımlar!$B:$Q,7,0)*K22)</f>
        <v>12600</v>
      </c>
      <c r="Q22" s="67">
        <f>IF(B22="","",VLOOKUP(AD22,Varsayımlar!$B:$Q,8,0))</f>
        <v>25</v>
      </c>
      <c r="R22" s="67" t="str">
        <f>IF(B22="","",VLOOKUP(AD22,Varsayımlar!$B:$Q,9,0))</f>
        <v>Soft-PA3-AT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250</v>
      </c>
      <c r="V22" s="67" t="str">
        <f>IF(B22="","",VLOOKUP(AD22,Varsayımlar!$B:$Q,13,0))</f>
        <v>Yurtdışı</v>
      </c>
      <c r="W22" s="67">
        <f>IF(B22="","",VLOOKUP(AD22,Varsayımlar!$B:$Q,14,0))</f>
        <v>9</v>
      </c>
      <c r="X22" s="69">
        <v>46199</v>
      </c>
      <c r="Y22" s="69">
        <v>46472</v>
      </c>
      <c r="Z22" s="67" t="s">
        <v>377</v>
      </c>
      <c r="AA22" s="67" t="str">
        <f>IF(B22="","",VLOOKUP(AD22,Varsayımlar!$B:$Q,15,0))</f>
        <v>25cm Kolisi-Etiketli</v>
      </c>
      <c r="AB22" s="67" t="str">
        <f>IF(B22="","",VLOOKUP(AD22,Varsayımlar!$B:$Q,16,0))</f>
        <v>24-26 cm (Macca Hetto Inkjet Uzun Tarih)</v>
      </c>
      <c r="AC22" s="67" t="str">
        <f>IF(B22="","",VLOOKUP(Sayfa1!AD26,Varsayımlar!B:S,18,0))</f>
        <v>80x120cm</v>
      </c>
      <c r="AD22" s="57" t="str">
        <f t="shared" si="0"/>
        <v>LAIKYUZHN-BELARUSMagnit Tortillas 25cm Peynirli 4pcs 240g</v>
      </c>
    </row>
    <row r="23" spans="1:30" ht="47.25" x14ac:dyDescent="0.25">
      <c r="A23" s="8" t="s">
        <v>136</v>
      </c>
      <c r="B23" s="62" t="s">
        <v>181</v>
      </c>
      <c r="C23" s="32">
        <f>IF(B23="","",VLOOKUP(AD23,Varsayımlar!$B:$Q,3,0))</f>
        <v>8698829380698</v>
      </c>
      <c r="D23" s="32"/>
      <c r="E23" s="62" t="s">
        <v>182</v>
      </c>
      <c r="F23" s="62">
        <v>26060101</v>
      </c>
      <c r="G23" s="32"/>
      <c r="H23" s="62" t="str">
        <f>IF(B23="","",VLOOKUP(AD23,Varsayımlar!$B:$Q,5,0))</f>
        <v>Tortillove 30cm</v>
      </c>
      <c r="I23" s="62" t="str">
        <f>IF(B23="","",VLOOKUP(AD23,Varsayımlar!B:T,19,0))</f>
        <v>Arka kısma Arnavutça içerik-Tortillove</v>
      </c>
      <c r="J23" s="62" t="str">
        <f>IF(B23="","",VLOOKUP(AD23,Varsayımlar!$B:$Q,6,0))</f>
        <v>SADE</v>
      </c>
      <c r="K23" s="62">
        <v>100</v>
      </c>
      <c r="L23" s="62"/>
      <c r="M23" s="62">
        <f>IFERROR(IF(B23="","",K23/VLOOKUP(AD23,Varsayımlar!B:R,17,0)),"")</f>
        <v>2</v>
      </c>
      <c r="N23" s="62"/>
      <c r="O23" s="62">
        <v>2</v>
      </c>
      <c r="P23" s="62">
        <f>IF(B23="","",VLOOKUP(AD23,Varsayımlar!$B:$Q,7,0)*K23)</f>
        <v>1200</v>
      </c>
      <c r="Q23" s="62">
        <f>IF(B23="","",VLOOKUP(AD23,Varsayımlar!$B:$Q,8,0))</f>
        <v>30</v>
      </c>
      <c r="R23" s="62" t="str">
        <f>IF(B23="","",VLOOKUP(AD23,Varsayımlar!$B:$Q,9,0))</f>
        <v>Irak Soft</v>
      </c>
      <c r="S23" s="62">
        <f>IF(B23="","",VLOOKUP(AD23,Varsayımlar!$B:$Q,10,0))</f>
        <v>10</v>
      </c>
      <c r="T23" s="62">
        <f>IF(B23="","",VLOOKUP(AD23,Varsayımlar!$B:$Q,11,0))</f>
        <v>12</v>
      </c>
      <c r="U23" s="62">
        <f>IF(B23="","",VLOOKUP(AD23,Varsayımlar!$B:$Q,12,0))</f>
        <v>900</v>
      </c>
      <c r="V23" s="62" t="str">
        <f>IF(B23="","",VLOOKUP(AD23,Varsayımlar!$B:$Q,13,0))</f>
        <v>Yurtdışı</v>
      </c>
      <c r="W23" s="62">
        <f>IF(B23="","",VLOOKUP(AD23,Varsayımlar!$B:$Q,14,0))</f>
        <v>12</v>
      </c>
      <c r="X23" s="63">
        <v>46200</v>
      </c>
      <c r="Y23" s="63">
        <v>46565</v>
      </c>
      <c r="Z23" s="62">
        <v>26062730</v>
      </c>
      <c r="AA23" s="62" t="str">
        <f>IF(B23="","",VLOOKUP(AD23,Varsayımlar!$B:$Q,15,0))</f>
        <v>30cm Koli - Tortillove 900g Etiketli</v>
      </c>
      <c r="AB23" s="62" t="str">
        <f>IF(B23="","",VLOOKUP(AD23,Varsayımlar!$B:$Q,16,0))</f>
        <v>29-31 cm</v>
      </c>
      <c r="AC23" s="62">
        <f>IF(B23="","",VLOOKUP(Sayfa1!AD27,Varsayımlar!B:S,18,0))</f>
        <v>0</v>
      </c>
      <c r="AD23" s="57" t="str">
        <f t="shared" si="0"/>
        <v>ALDİ - KOSOVATortillove 30cm 10pcs 900g</v>
      </c>
    </row>
    <row r="24" spans="1:30" ht="47.25" x14ac:dyDescent="0.25">
      <c r="A24" s="8" t="s">
        <v>137</v>
      </c>
      <c r="B24" s="62" t="s">
        <v>181</v>
      </c>
      <c r="C24" s="32">
        <f>IF(B24="","",VLOOKUP(AD24,Varsayımlar!$B:$Q,3,0))</f>
        <v>8698829380698</v>
      </c>
      <c r="D24" s="32"/>
      <c r="E24" s="62" t="s">
        <v>185</v>
      </c>
      <c r="F24" s="62">
        <v>26060101</v>
      </c>
      <c r="G24" s="32"/>
      <c r="H24" s="62" t="str">
        <f>IF(B24="","",VLOOKUP(AD24,Varsayımlar!$B:$Q,5,0))</f>
        <v>Tortillas 30cm</v>
      </c>
      <c r="I24" s="62" t="str">
        <f>IF(B24="","",VLOOKUP(AD24,Varsayımlar!B:T,19,0))</f>
        <v>Arka kısma Arnavutça içerik-Tortillas</v>
      </c>
      <c r="J24" s="62" t="str">
        <f>IF(B24="","",VLOOKUP(AD24,Varsayımlar!$B:$Q,6,0))</f>
        <v>SADE</v>
      </c>
      <c r="K24" s="62">
        <v>50</v>
      </c>
      <c r="L24" s="62"/>
      <c r="M24" s="62">
        <f>IFERROR(IF(B24="","",K24/VLOOKUP(AD24,Varsayımlar!B:R,17,0)),"")</f>
        <v>1</v>
      </c>
      <c r="N24" s="62"/>
      <c r="O24" s="62">
        <v>1</v>
      </c>
      <c r="P24" s="62">
        <f>IF(B24="","",VLOOKUP(AD24,Varsayımlar!$B:$Q,7,0)*K24)</f>
        <v>600</v>
      </c>
      <c r="Q24" s="62">
        <f>IF(B24="","",VLOOKUP(AD24,Varsayımlar!$B:$Q,8,0))</f>
        <v>30</v>
      </c>
      <c r="R24" s="62" t="str">
        <f>IF(B24="","",VLOOKUP(AD24,Varsayımlar!$B:$Q,9,0))</f>
        <v>Irak Soft</v>
      </c>
      <c r="S24" s="62">
        <f>IF(B24="","",VLOOKUP(AD24,Varsayımlar!$B:$Q,10,0))</f>
        <v>10</v>
      </c>
      <c r="T24" s="62">
        <f>IF(B24="","",VLOOKUP(AD24,Varsayımlar!$B:$Q,11,0))</f>
        <v>12</v>
      </c>
      <c r="U24" s="62">
        <f>IF(B24="","",VLOOKUP(AD24,Varsayımlar!$B:$Q,12,0))</f>
        <v>900</v>
      </c>
      <c r="V24" s="62" t="str">
        <f>IF(B24="","",VLOOKUP(AD24,Varsayımlar!$B:$Q,13,0))</f>
        <v>Yurtdışı</v>
      </c>
      <c r="W24" s="62">
        <f>IF(B24="","",VLOOKUP(AD24,Varsayımlar!$B:$Q,14,0))</f>
        <v>12</v>
      </c>
      <c r="X24" s="63">
        <v>46200</v>
      </c>
      <c r="Y24" s="63">
        <v>46565</v>
      </c>
      <c r="Z24" s="62">
        <v>26062730</v>
      </c>
      <c r="AA24" s="62" t="str">
        <f>IF(B24="","",VLOOKUP(AD24,Varsayımlar!$B:$Q,15,0))</f>
        <v>30cm Koli - Tortillas 900g Etiketli</v>
      </c>
      <c r="AB24" s="62" t="str">
        <f>IF(B24="","",VLOOKUP(AD24,Varsayımlar!$B:$Q,16,0))</f>
        <v>29-31 cm</v>
      </c>
      <c r="AC24" s="62">
        <f>IF(B24="","",VLOOKUP(Sayfa1!AD28,Varsayımlar!B:S,18,0))</f>
        <v>0</v>
      </c>
      <c r="AD24" s="57" t="str">
        <f t="shared" si="0"/>
        <v>ALDİ - KOSOVATortillas 30cm 10pcs 900g</v>
      </c>
    </row>
    <row r="25" spans="1:30" ht="63" x14ac:dyDescent="0.25">
      <c r="A25" s="8" t="s">
        <v>138</v>
      </c>
      <c r="B25" s="62" t="s">
        <v>181</v>
      </c>
      <c r="C25" s="32">
        <f>IF(B25="","",VLOOKUP(AD25,Varsayımlar!$B:$Q,3,0))</f>
        <v>8698829380698</v>
      </c>
      <c r="D25" s="32"/>
      <c r="E25" s="32" t="s">
        <v>372</v>
      </c>
      <c r="F25" s="62">
        <v>26060101</v>
      </c>
      <c r="G25" s="32"/>
      <c r="H25" s="62" t="str">
        <f>IF(B25="","",VLOOKUP(AD25,Varsayımlar!$B:$Q,5,0))</f>
        <v>Tortillove Tam Buğday 25cm</v>
      </c>
      <c r="I25" s="62" t="str">
        <f>IF(B25="","",VLOOKUP(AD25,Varsayımlar!B:T,19,0))</f>
        <v>Barkod üzerine Arnavutça TB içerik+Barkod-Tortillove</v>
      </c>
      <c r="J25" s="62" t="str">
        <f>IF(B25="","",VLOOKUP(AD25,Varsayımlar!$B:$Q,6,0))</f>
        <v>Tam Buğdaylı</v>
      </c>
      <c r="K25" s="62">
        <v>84</v>
      </c>
      <c r="L25" s="62"/>
      <c r="M25" s="62">
        <f>IFERROR(IF(B25="","",K25/VLOOKUP(AD25,Varsayımlar!B:R,17,0)),"")</f>
        <v>1</v>
      </c>
      <c r="N25" s="62"/>
      <c r="O25" s="62">
        <v>2</v>
      </c>
      <c r="P25" s="62">
        <f>IF(B25="","",VLOOKUP(AD25,Varsayımlar!$B:$Q,7,0)*K25)</f>
        <v>1512</v>
      </c>
      <c r="Q25" s="62">
        <f>IF(B25="","",VLOOKUP(AD25,Varsayımlar!$B:$Q,8,0))</f>
        <v>25</v>
      </c>
      <c r="R25" s="62" t="str">
        <f>IF(B25="","",VLOOKUP(AD25,Varsayımlar!$B:$Q,9,0))</f>
        <v>Irak Soft</v>
      </c>
      <c r="S25" s="62">
        <f>IF(B25="","",VLOOKUP(AD25,Varsayımlar!$B:$Q,10,0))</f>
        <v>6</v>
      </c>
      <c r="T25" s="62">
        <f>IF(B25="","",VLOOKUP(AD25,Varsayımlar!$B:$Q,11,0))</f>
        <v>18</v>
      </c>
      <c r="U25" s="62">
        <f>IF(B25="","",VLOOKUP(AD25,Varsayımlar!$B:$Q,12,0))</f>
        <v>390</v>
      </c>
      <c r="V25" s="62" t="str">
        <f>IF(B25="","",VLOOKUP(AD25,Varsayımlar!$B:$Q,13,0))</f>
        <v>Yurtdışı</v>
      </c>
      <c r="W25" s="62">
        <f>IF(B25="","",VLOOKUP(AD25,Varsayımlar!$B:$Q,14,0))</f>
        <v>12</v>
      </c>
      <c r="X25" s="63">
        <v>46200</v>
      </c>
      <c r="Y25" s="63">
        <v>46565</v>
      </c>
      <c r="Z25" s="62">
        <v>26062725</v>
      </c>
      <c r="AA25" s="62" t="str">
        <f>IF(B25="","",VLOOKUP(AD25,Varsayımlar!$B:$Q,15,0))</f>
        <v>25cm Koli - Tortillove 390g TB Etiketli</v>
      </c>
      <c r="AB25" s="62" t="str">
        <f>IF(B25="","",VLOOKUP(AD25,Varsayımlar!$B:$Q,16,0))</f>
        <v>24-26 cm</v>
      </c>
      <c r="AC25" s="62">
        <f>IF(B25="","",VLOOKUP(Sayfa1!AD29,Varsayımlar!B:S,18,0))</f>
        <v>0</v>
      </c>
      <c r="AD25" s="57" t="str">
        <f t="shared" si="0"/>
        <v>ALDİ - KOSOVATortillove 25cm TB 6pcs 390g</v>
      </c>
    </row>
    <row r="26" spans="1:30" ht="63" x14ac:dyDescent="0.25">
      <c r="A26" s="8" t="s">
        <v>139</v>
      </c>
      <c r="B26" s="62" t="s">
        <v>181</v>
      </c>
      <c r="C26" s="32">
        <f>IF(B26="","",VLOOKUP(AD26,Varsayımlar!$B:$Q,3,0))</f>
        <v>8698829380698</v>
      </c>
      <c r="D26" s="32"/>
      <c r="E26" s="32" t="s">
        <v>251</v>
      </c>
      <c r="F26" s="62">
        <v>26060101</v>
      </c>
      <c r="G26" s="32"/>
      <c r="H26" s="62" t="str">
        <f>IF(B26="","",VLOOKUP(AD26,Varsayımlar!$B:$Q,5,0))</f>
        <v>Tortillas Tam Buğday 25cm</v>
      </c>
      <c r="I26" s="62" t="str">
        <f>IF(B26="","",VLOOKUP(AD26,Varsayımlar!B:T,19,0))</f>
        <v>Barkod üzerine Arnavutça TB içerik+Barkod-Tortillas</v>
      </c>
      <c r="J26" s="62" t="str">
        <f>IF(B26="","",VLOOKUP(AD26,Varsayımlar!$B:$Q,6,0))</f>
        <v>Tam Buğdaylı</v>
      </c>
      <c r="K26" s="62">
        <v>84</v>
      </c>
      <c r="L26" s="62"/>
      <c r="M26" s="62">
        <f>IFERROR(IF(B26="","",K26/VLOOKUP(AD26,Varsayımlar!B:R,17,0)),"")</f>
        <v>1</v>
      </c>
      <c r="N26" s="62"/>
      <c r="O26" s="62">
        <v>2</v>
      </c>
      <c r="P26" s="62">
        <f>IF(B26="","",VLOOKUP(AD26,Varsayımlar!$B:$Q,7,0)*K26)</f>
        <v>1512</v>
      </c>
      <c r="Q26" s="62">
        <f>IF(B26="","",VLOOKUP(AD26,Varsayımlar!$B:$Q,8,0))</f>
        <v>25</v>
      </c>
      <c r="R26" s="62" t="str">
        <f>IF(B26="","",VLOOKUP(AD26,Varsayımlar!$B:$Q,9,0))</f>
        <v>Irak Soft</v>
      </c>
      <c r="S26" s="62">
        <f>IF(B26="","",VLOOKUP(AD26,Varsayımlar!$B:$Q,10,0))</f>
        <v>6</v>
      </c>
      <c r="T26" s="62">
        <f>IF(B26="","",VLOOKUP(AD26,Varsayımlar!$B:$Q,11,0))</f>
        <v>18</v>
      </c>
      <c r="U26" s="62">
        <f>IF(B26="","",VLOOKUP(AD26,Varsayımlar!$B:$Q,12,0))</f>
        <v>390</v>
      </c>
      <c r="V26" s="62" t="str">
        <f>IF(B26="","",VLOOKUP(AD26,Varsayımlar!$B:$Q,13,0))</f>
        <v>Yurtdışı</v>
      </c>
      <c r="W26" s="62">
        <f>IF(B26="","",VLOOKUP(AD26,Varsayımlar!$B:$Q,14,0))</f>
        <v>12</v>
      </c>
      <c r="X26" s="63">
        <v>46200</v>
      </c>
      <c r="Y26" s="63">
        <v>46565</v>
      </c>
      <c r="Z26" s="62">
        <v>26062725</v>
      </c>
      <c r="AA26" s="62" t="str">
        <f>IF(B26="","",VLOOKUP(AD26,Varsayımlar!$B:$Q,15,0))</f>
        <v>25cm Koli - Tortillas 390g TB Etiketli</v>
      </c>
      <c r="AB26" s="62" t="str">
        <f>IF(B26="","",VLOOKUP(AD26,Varsayımlar!$B:$Q,16,0))</f>
        <v>24-26 cm</v>
      </c>
      <c r="AC26" s="62">
        <f>IF(B26="","",VLOOKUP(Sayfa1!AD30,Varsayımlar!B:S,18,0))</f>
        <v>0</v>
      </c>
      <c r="AD26" s="57" t="str">
        <f t="shared" si="0"/>
        <v>ALDİ - KOSOVATortillas 25cm TB 6pcs 390g</v>
      </c>
    </row>
    <row r="27" spans="1:30" ht="31.5" x14ac:dyDescent="0.25">
      <c r="A27" s="8" t="s">
        <v>140</v>
      </c>
      <c r="B27" s="64" t="s">
        <v>288</v>
      </c>
      <c r="C27" s="3">
        <f>IF(B27="","",VLOOKUP(AD27,Varsayımlar!$B:$Q,3,0))</f>
        <v>8698829380698</v>
      </c>
      <c r="D27" s="3"/>
      <c r="E27" s="64" t="s">
        <v>289</v>
      </c>
      <c r="F27" s="64">
        <v>20201016</v>
      </c>
      <c r="G27" s="3" t="s">
        <v>68</v>
      </c>
      <c r="H27" s="64" t="str">
        <f>IF(B27="","",VLOOKUP(AD27,Varsayımlar!$B:$Q,5,0))</f>
        <v>Tortillas 25cm Tam Buğday</v>
      </c>
      <c r="I27" s="64" t="str">
        <f>IF(B27="","",VLOOKUP(AD27,Varsayımlar!B:T,19,0))</f>
        <v>Arka kısma İçerik</v>
      </c>
      <c r="J27" s="64" t="str">
        <f>IF(B27="","",VLOOKUP(AD27,Varsayımlar!$B:$Q,6,0))</f>
        <v>Tam Buğdaylı</v>
      </c>
      <c r="K27" s="64">
        <v>250</v>
      </c>
      <c r="L27" s="64"/>
      <c r="M27" s="64">
        <f>IFERROR(IF(B27="","",K27/VLOOKUP(AD27,Varsayımlar!B:R,17,0)),"")</f>
        <v>5</v>
      </c>
      <c r="N27" s="64"/>
      <c r="O27" s="64">
        <v>4</v>
      </c>
      <c r="P27" s="64">
        <f>IF(B27="","",VLOOKUP(AD27,Varsayımlar!$B:$Q,7,0)*K27)</f>
        <v>4500</v>
      </c>
      <c r="Q27" s="64">
        <f>IF(B27="","",VLOOKUP(AD27,Varsayımlar!$B:$Q,8,0))</f>
        <v>25</v>
      </c>
      <c r="R27" s="64" t="str">
        <f>IF(B27="","",VLOOKUP(AD27,Varsayımlar!$B:$Q,9,0))</f>
        <v>Irak Soft</v>
      </c>
      <c r="S27" s="64">
        <f>IF(B27="","",VLOOKUP(AD27,Varsayımlar!$B:$Q,10,0))</f>
        <v>6</v>
      </c>
      <c r="T27" s="64">
        <f>IF(B27="","",VLOOKUP(AD27,Varsayımlar!$B:$Q,11,0))</f>
        <v>18</v>
      </c>
      <c r="U27" s="64">
        <f>IF(B27="","",VLOOKUP(AD27,Varsayımlar!$B:$Q,12,0))</f>
        <v>390</v>
      </c>
      <c r="V27" s="64" t="str">
        <f>IF(B27="","",VLOOKUP(AD27,Varsayımlar!$B:$Q,13,0))</f>
        <v>YURTDIŞI</v>
      </c>
      <c r="W27" s="64">
        <f>IF(B27="","",VLOOKUP(AD27,Varsayımlar!$B:$Q,14,0))</f>
        <v>9</v>
      </c>
      <c r="X27" s="66">
        <v>46202</v>
      </c>
      <c r="Y27" s="66">
        <v>46475</v>
      </c>
      <c r="Z27" s="64" t="s">
        <v>378</v>
      </c>
      <c r="AA27" s="64" t="str">
        <f>IF(B27="","",VLOOKUP(AD27,Varsayımlar!$B:$Q,15,0))</f>
        <v>25cm Koli-Kazakça Etiketli</v>
      </c>
      <c r="AB27" s="64" t="str">
        <f>IF(B27="","",VLOOKUP(AD27,Varsayımlar!$B:$Q,16,0))</f>
        <v>24-26 cm</v>
      </c>
      <c r="AC27" s="64" t="str">
        <f>IF(B27="","",VLOOKUP(Sayfa1!AD40,Varsayımlar!B:S,18,0))</f>
        <v>80x120cm</v>
      </c>
      <c r="AD27" s="57" t="str">
        <f t="shared" si="0"/>
        <v>UNITERA-KAZAKİSTANTortillas 25cm Tam Buğday 6pcs 390g</v>
      </c>
    </row>
    <row r="28" spans="1:30" ht="31.5" x14ac:dyDescent="0.25">
      <c r="A28" s="8" t="s">
        <v>141</v>
      </c>
      <c r="B28" s="64" t="s">
        <v>288</v>
      </c>
      <c r="C28" s="3">
        <f>IF(B28="","",VLOOKUP(AD28,Varsayımlar!$B:$Q,3,0))</f>
        <v>8698829380698</v>
      </c>
      <c r="D28" s="3"/>
      <c r="E28" s="64" t="s">
        <v>252</v>
      </c>
      <c r="F28" s="64">
        <v>20201016</v>
      </c>
      <c r="G28" s="3" t="s">
        <v>68</v>
      </c>
      <c r="H28" s="64" t="str">
        <f>IF(B28="","",VLOOKUP(AD28,Varsayımlar!$B:$Q,5,0))</f>
        <v>Tortillas 20cm Sade</v>
      </c>
      <c r="I28" s="64" t="str">
        <f>IF(B28="","",VLOOKUP(AD28,Varsayımlar!B:T,19,0))</f>
        <v>Arka kısma İçerik</v>
      </c>
      <c r="J28" s="64" t="str">
        <f>IF(B28="","",VLOOKUP(AD28,Varsayımlar!$B:$Q,6,0))</f>
        <v>SADE</v>
      </c>
      <c r="K28" s="64">
        <v>300</v>
      </c>
      <c r="L28" s="64"/>
      <c r="M28" s="64">
        <f>IFERROR(IF(B28="","",K28/VLOOKUP(AD28,Varsayımlar!B:R,17,0)),"")</f>
        <v>3</v>
      </c>
      <c r="N28" s="64"/>
      <c r="O28" s="64">
        <v>5</v>
      </c>
      <c r="P28" s="64">
        <f>IF(B28="","",VLOOKUP(AD28,Varsayımlar!$B:$Q,7,0)*K28)</f>
        <v>5400</v>
      </c>
      <c r="Q28" s="64">
        <f>IF(B28="","",VLOOKUP(AD28,Varsayımlar!$B:$Q,8,0))</f>
        <v>20</v>
      </c>
      <c r="R28" s="64" t="str">
        <f>IF(B28="","",VLOOKUP(AD28,Varsayımlar!$B:$Q,9,0))</f>
        <v>Irak Soft</v>
      </c>
      <c r="S28" s="64">
        <f>IF(B28="","",VLOOKUP(AD28,Varsayımlar!$B:$Q,10,0))</f>
        <v>6</v>
      </c>
      <c r="T28" s="64">
        <f>IF(B28="","",VLOOKUP(AD28,Varsayımlar!$B:$Q,11,0))</f>
        <v>18</v>
      </c>
      <c r="U28" s="64">
        <f>IF(B28="","",VLOOKUP(AD28,Varsayımlar!$B:$Q,12,0))</f>
        <v>270</v>
      </c>
      <c r="V28" s="64" t="str">
        <f>IF(B28="","",VLOOKUP(AD28,Varsayımlar!$B:$Q,13,0))</f>
        <v>YURTDIŞI</v>
      </c>
      <c r="W28" s="64">
        <f>IF(B28="","",VLOOKUP(AD28,Varsayımlar!$B:$Q,14,0))</f>
        <v>9</v>
      </c>
      <c r="X28" s="66">
        <v>46202</v>
      </c>
      <c r="Y28" s="66">
        <v>46475</v>
      </c>
      <c r="Z28" s="64">
        <v>26062920</v>
      </c>
      <c r="AA28" s="64" t="str">
        <f>IF(B28="","",VLOOKUP(AD28,Varsayımlar!$B:$Q,15,0))</f>
        <v>20cm Koli</v>
      </c>
      <c r="AB28" s="64" t="str">
        <f>IF(B28="","",VLOOKUP(AD28,Varsayımlar!$B:$Q,16,0))</f>
        <v>19-21cm</v>
      </c>
      <c r="AC28" s="64" t="str">
        <f>IF(B28="","",VLOOKUP(Sayfa1!AD41,Varsayımlar!B:S,18,0))</f>
        <v>80x120cm</v>
      </c>
      <c r="AD28" s="57" t="str">
        <f t="shared" si="0"/>
        <v>UNITERA-KAZAKİSTANTortillas 20cm Sade 6pcs 270g</v>
      </c>
    </row>
    <row r="29" spans="1:30" ht="31.5" x14ac:dyDescent="0.25">
      <c r="A29" s="8" t="s">
        <v>142</v>
      </c>
      <c r="B29" s="80" t="s">
        <v>218</v>
      </c>
      <c r="C29" s="44">
        <f>IF(B29="","",VLOOKUP(AD29,Varsayımlar!$B:$Q,3,0))</f>
        <v>8698829380698</v>
      </c>
      <c r="D29" s="44" t="s">
        <v>160</v>
      </c>
      <c r="E29" s="80" t="s">
        <v>229</v>
      </c>
      <c r="F29" s="80">
        <v>26042907</v>
      </c>
      <c r="G29" s="44"/>
      <c r="H29" s="80" t="str">
        <f>IF(B29="","",VLOOKUP(AD29,Varsayımlar!$B:$Q,5,0))</f>
        <v>Tortillas Avrupa 25cm Tam Buğday (711)</v>
      </c>
      <c r="I29" s="80">
        <f>IF(B29="","",VLOOKUP(AD29,Varsayımlar!B:T,19,0))</f>
        <v>0</v>
      </c>
      <c r="J29" s="80" t="str">
        <f>IF(B29="","",VLOOKUP(AD29,Varsayımlar!$B:$Q,6,0))</f>
        <v>Tam Buğdaylı</v>
      </c>
      <c r="K29" s="80">
        <v>840</v>
      </c>
      <c r="L29" s="80"/>
      <c r="M29" s="80">
        <f>IFERROR(IF(B29="","",K29/VLOOKUP(AD29,Varsayımlar!B:R,17,0)),"")</f>
        <v>7</v>
      </c>
      <c r="N29" s="80"/>
      <c r="O29" s="80">
        <v>9</v>
      </c>
      <c r="P29" s="80">
        <f>IF(B29="","",VLOOKUP(AD29,Varsayımlar!$B:$Q,7,0)*K29)</f>
        <v>6720</v>
      </c>
      <c r="Q29" s="80">
        <f>IF(B29="","",VLOOKUP(AD29,Varsayımlar!$B:$Q,8,0))</f>
        <v>25</v>
      </c>
      <c r="R29" s="80" t="str">
        <f>IF(B29="","",VLOOKUP(AD29,Varsayımlar!$B:$Q,9,0))</f>
        <v>Irak Soft</v>
      </c>
      <c r="S29" s="80">
        <f>IF(B29="","",VLOOKUP(AD29,Varsayımlar!$B:$Q,10,0))</f>
        <v>10</v>
      </c>
      <c r="T29" s="80">
        <f>IF(B29="","",VLOOKUP(AD29,Varsayımlar!$B:$Q,11,0))</f>
        <v>8</v>
      </c>
      <c r="U29" s="80">
        <f>IF(B29="","",VLOOKUP(AD29,Varsayımlar!$B:$Q,12,0))</f>
        <v>650</v>
      </c>
      <c r="V29" s="80" t="str">
        <f>IF(B29="","",VLOOKUP(AD29,Varsayımlar!$B:$Q,13,0))</f>
        <v>Yurtdışı</v>
      </c>
      <c r="W29" s="80">
        <f>IF(B29="","",VLOOKUP(AD29,Varsayımlar!$B:$Q,14,0))</f>
        <v>9</v>
      </c>
      <c r="X29" s="81">
        <v>46203</v>
      </c>
      <c r="Y29" s="81">
        <v>46476</v>
      </c>
      <c r="Z29" s="80" t="s">
        <v>379</v>
      </c>
      <c r="AA29" s="80" t="str">
        <f>IF(B29="","",VLOOKUP(AD29,Varsayımlar!$B:$Q,15,0))</f>
        <v>25cm Perforeli-Bulgarca TB etiket</v>
      </c>
      <c r="AB29" s="80" t="str">
        <f>IF(B29="","",VLOOKUP(AD29,Varsayımlar!$B:$Q,16,0))</f>
        <v>24-26 cm</v>
      </c>
      <c r="AC29" s="80" t="str">
        <f>IF(B29="","",VLOOKUP(Sayfa1!AD57,Varsayımlar!B:S,18,0))</f>
        <v>80x120cm -Epal+Epal</v>
      </c>
      <c r="AD29" s="57" t="str">
        <f t="shared" si="0"/>
        <v>TASTE LAND-BULGARİSTANTortillas 25cm Tam Buğday 10pcs 650g</v>
      </c>
    </row>
    <row r="30" spans="1:30" ht="47.25" x14ac:dyDescent="0.25">
      <c r="A30" s="8" t="s">
        <v>143</v>
      </c>
      <c r="B30" s="80" t="s">
        <v>218</v>
      </c>
      <c r="C30" s="44">
        <f>IF(B30="","",VLOOKUP(AD30,Varsayımlar!$B:$Q,3,0))</f>
        <v>8698829380698</v>
      </c>
      <c r="D30" s="44" t="s">
        <v>160</v>
      </c>
      <c r="E30" s="80" t="s">
        <v>232</v>
      </c>
      <c r="F30" s="80">
        <v>26042907</v>
      </c>
      <c r="G30" s="44"/>
      <c r="H30" s="80" t="str">
        <f>IF(B30="","",VLOOKUP(AD30,Varsayımlar!$B:$Q,5,0))</f>
        <v>Tortillas Avrupa 25cm Domatesli (074)</v>
      </c>
      <c r="I30" s="80">
        <f>IF(B30="","",VLOOKUP(AD30,Varsayımlar!B:T,19,0))</f>
        <v>0</v>
      </c>
      <c r="J30" s="80" t="str">
        <f>IF(B30="","",VLOOKUP(AD30,Varsayımlar!$B:$Q,6,0))</f>
        <v>Domatesli</v>
      </c>
      <c r="K30" s="80">
        <v>480</v>
      </c>
      <c r="L30" s="80"/>
      <c r="M30" s="80">
        <f>IFERROR(IF(B30="","",K30/VLOOKUP(AD30,Varsayımlar!B:R,17,0)),"")</f>
        <v>4</v>
      </c>
      <c r="N30" s="80"/>
      <c r="O30" s="80">
        <v>5</v>
      </c>
      <c r="P30" s="80">
        <f>IF(B30="","",VLOOKUP(AD30,Varsayımlar!$B:$Q,7,0)*K30)</f>
        <v>5760</v>
      </c>
      <c r="Q30" s="80">
        <f>IF(B30="","",VLOOKUP(AD30,Varsayımlar!$B:$Q,8,0))</f>
        <v>25</v>
      </c>
      <c r="R30" s="80" t="str">
        <f>IF(B30="","",VLOOKUP(AD30,Varsayımlar!$B:$Q,9,0))</f>
        <v>Irak Soft</v>
      </c>
      <c r="S30" s="80">
        <f>IF(B30="","",VLOOKUP(AD30,Varsayımlar!$B:$Q,10,0))</f>
        <v>6</v>
      </c>
      <c r="T30" s="80">
        <f>IF(B30="","",VLOOKUP(AD30,Varsayımlar!$B:$Q,11,0))</f>
        <v>12</v>
      </c>
      <c r="U30" s="80">
        <f>IF(B30="","",VLOOKUP(AD30,Varsayımlar!$B:$Q,12,0))</f>
        <v>390</v>
      </c>
      <c r="V30" s="80" t="str">
        <f>IF(B30="","",VLOOKUP(AD30,Varsayımlar!$B:$Q,13,0))</f>
        <v>Yurtdışı</v>
      </c>
      <c r="W30" s="80">
        <f>IF(B30="","",VLOOKUP(AD30,Varsayımlar!$B:$Q,14,0))</f>
        <v>9</v>
      </c>
      <c r="X30" s="81">
        <v>46203</v>
      </c>
      <c r="Y30" s="81">
        <v>46476</v>
      </c>
      <c r="Z30" s="80" t="s">
        <v>380</v>
      </c>
      <c r="AA30" s="80" t="str">
        <f>IF(B30="","",VLOOKUP(AD30,Varsayımlar!$B:$Q,15,0))</f>
        <v>25cm Perforeli-Bulgarca Domatesli etiket</v>
      </c>
      <c r="AB30" s="80" t="str">
        <f>IF(B30="","",VLOOKUP(AD30,Varsayımlar!$B:$Q,16,0))</f>
        <v>24-26 cm</v>
      </c>
      <c r="AC30" s="80" t="str">
        <f>IF(B30="","",VLOOKUP(Sayfa1!AD58,Varsayımlar!B:S,18,0))</f>
        <v>80x120cm -Epal+Epal</v>
      </c>
      <c r="AD30" s="57" t="str">
        <f t="shared" si="0"/>
        <v>TASTE LAND-BULGARİSTANTortillas 25cm Domatesli 6pcs 390g</v>
      </c>
    </row>
    <row r="31" spans="1:30" ht="47.25" x14ac:dyDescent="0.25">
      <c r="A31" s="8" t="s">
        <v>144</v>
      </c>
      <c r="B31" s="80" t="s">
        <v>218</v>
      </c>
      <c r="C31" s="44">
        <f>IF(B31="","",VLOOKUP(AD31,Varsayımlar!$B:$Q,3,0))</f>
        <v>8698829380698</v>
      </c>
      <c r="D31" s="44" t="s">
        <v>160</v>
      </c>
      <c r="E31" s="80" t="s">
        <v>235</v>
      </c>
      <c r="F31" s="80">
        <v>26042907</v>
      </c>
      <c r="G31" s="44"/>
      <c r="H31" s="80" t="str">
        <f>IF(B31="","",VLOOKUP(AD31,Varsayımlar!$B:$Q,5,0))</f>
        <v>Tortillas Avrupa 25cm Ispanaklı (081)</v>
      </c>
      <c r="I31" s="80">
        <f>IF(B31="","",VLOOKUP(AD31,Varsayımlar!B:T,19,0))</f>
        <v>0</v>
      </c>
      <c r="J31" s="80" t="str">
        <f>IF(B31="","",VLOOKUP(AD31,Varsayımlar!$B:$Q,6,0))</f>
        <v>Ispanaklı</v>
      </c>
      <c r="K31" s="80">
        <v>480</v>
      </c>
      <c r="L31" s="80"/>
      <c r="M31" s="80">
        <f>IFERROR(IF(B31="","",K31/VLOOKUP(AD31,Varsayımlar!B:R,17,0)),"")</f>
        <v>4</v>
      </c>
      <c r="N31" s="80"/>
      <c r="O31" s="80">
        <v>5</v>
      </c>
      <c r="P31" s="80">
        <f>IF(B31="","",VLOOKUP(AD31,Varsayımlar!$B:$Q,7,0)*K31)</f>
        <v>5760</v>
      </c>
      <c r="Q31" s="80">
        <f>IF(B31="","",VLOOKUP(AD31,Varsayımlar!$B:$Q,8,0))</f>
        <v>25</v>
      </c>
      <c r="R31" s="80" t="str">
        <f>IF(B31="","",VLOOKUP(AD31,Varsayımlar!$B:$Q,9,0))</f>
        <v>Irak Soft</v>
      </c>
      <c r="S31" s="80">
        <f>IF(B31="","",VLOOKUP(AD31,Varsayımlar!$B:$Q,10,0))</f>
        <v>6</v>
      </c>
      <c r="T31" s="80">
        <f>IF(B31="","",VLOOKUP(AD31,Varsayımlar!$B:$Q,11,0))</f>
        <v>12</v>
      </c>
      <c r="U31" s="80">
        <f>IF(B31="","",VLOOKUP(AD31,Varsayımlar!$B:$Q,12,0))</f>
        <v>390</v>
      </c>
      <c r="V31" s="80" t="str">
        <f>IF(B31="","",VLOOKUP(AD31,Varsayımlar!$B:$Q,13,0))</f>
        <v>Yurtdışı</v>
      </c>
      <c r="W31" s="80">
        <f>IF(B31="","",VLOOKUP(AD31,Varsayımlar!$B:$Q,14,0))</f>
        <v>9</v>
      </c>
      <c r="X31" s="81">
        <v>46203</v>
      </c>
      <c r="Y31" s="81">
        <v>46476</v>
      </c>
      <c r="Z31" s="80" t="s">
        <v>381</v>
      </c>
      <c r="AA31" s="80" t="str">
        <f>IF(B31="","",VLOOKUP(AD31,Varsayımlar!$B:$Q,15,0))</f>
        <v>25cm Perforeli-Bulgarca Ispanaklı etiket</v>
      </c>
      <c r="AB31" s="80" t="str">
        <f>IF(B31="","",VLOOKUP(AD31,Varsayımlar!$B:$Q,16,0))</f>
        <v>24-26 cm</v>
      </c>
      <c r="AC31" s="80" t="str">
        <f>IF(B31="","",VLOOKUP(Sayfa1!AD59,Varsayımlar!B:S,18,0))</f>
        <v>80x120cm -Epal+Epal</v>
      </c>
      <c r="AD31" s="57" t="str">
        <f t="shared" si="0"/>
        <v>TASTE LAND-BULGARİSTANTortillas 25cm Ispanaklı 6pcs 390g</v>
      </c>
    </row>
    <row r="32" spans="1:30" ht="47.25" x14ac:dyDescent="0.25">
      <c r="A32" s="8" t="s">
        <v>145</v>
      </c>
      <c r="B32" s="80" t="s">
        <v>218</v>
      </c>
      <c r="C32" s="44">
        <f>IF(B32="","",VLOOKUP(AD32,Varsayımlar!$B:$Q,3,0))</f>
        <v>8698829380698</v>
      </c>
      <c r="D32" s="44" t="s">
        <v>160</v>
      </c>
      <c r="E32" s="80" t="s">
        <v>240</v>
      </c>
      <c r="F32" s="80">
        <v>26042907</v>
      </c>
      <c r="G32" s="44"/>
      <c r="H32" s="80" t="str">
        <f>IF(B32="","",VLOOKUP(AD32,Varsayımlar!$B:$Q,5,0))</f>
        <v>Tortillas Avrupa 25cm Peynirli (098)</v>
      </c>
      <c r="I32" s="80">
        <f>IF(B32="","",VLOOKUP(AD32,Varsayımlar!B:T,19,0))</f>
        <v>0</v>
      </c>
      <c r="J32" s="80" t="str">
        <f>IF(B32="","",VLOOKUP(AD32,Varsayımlar!$B:$Q,6,0))</f>
        <v>Peynirli</v>
      </c>
      <c r="K32" s="80">
        <v>360</v>
      </c>
      <c r="L32" s="80"/>
      <c r="M32" s="80">
        <f>IFERROR(IF(B32="","",K32/VLOOKUP(AD32,Varsayımlar!B:R,17,0)),"")</f>
        <v>3</v>
      </c>
      <c r="N32" s="80"/>
      <c r="O32" s="80">
        <v>4</v>
      </c>
      <c r="P32" s="80">
        <f>IF(B32="","",VLOOKUP(AD32,Varsayımlar!$B:$Q,7,0)*K32)</f>
        <v>4320</v>
      </c>
      <c r="Q32" s="80">
        <f>IF(B32="","",VLOOKUP(AD32,Varsayımlar!$B:$Q,8,0))</f>
        <v>25</v>
      </c>
      <c r="R32" s="80" t="str">
        <f>IF(B32="","",VLOOKUP(AD32,Varsayımlar!$B:$Q,9,0))</f>
        <v>Irak Soft-AT</v>
      </c>
      <c r="S32" s="80">
        <f>IF(B32="","",VLOOKUP(AD32,Varsayımlar!$B:$Q,10,0))</f>
        <v>6</v>
      </c>
      <c r="T32" s="80">
        <f>IF(B32="","",VLOOKUP(AD32,Varsayımlar!$B:$Q,11,0))</f>
        <v>12</v>
      </c>
      <c r="U32" s="80">
        <f>IF(B32="","",VLOOKUP(AD32,Varsayımlar!$B:$Q,12,0))</f>
        <v>390</v>
      </c>
      <c r="V32" s="80" t="str">
        <f>IF(B32="","",VLOOKUP(AD32,Varsayımlar!$B:$Q,13,0))</f>
        <v>Yurtdışı</v>
      </c>
      <c r="W32" s="80">
        <f>IF(B32="","",VLOOKUP(AD32,Varsayımlar!$B:$Q,14,0))</f>
        <v>9</v>
      </c>
      <c r="X32" s="81">
        <v>46203</v>
      </c>
      <c r="Y32" s="81">
        <v>46476</v>
      </c>
      <c r="Z32" s="80" t="s">
        <v>382</v>
      </c>
      <c r="AA32" s="80" t="str">
        <f>IF(B32="","",VLOOKUP(AD32,Varsayımlar!$B:$Q,15,0))</f>
        <v>25cm Perforeli-Bulgarca Peynirli etiket</v>
      </c>
      <c r="AB32" s="80" t="str">
        <f>IF(B32="","",VLOOKUP(AD32,Varsayımlar!$B:$Q,16,0))</f>
        <v>24-26 cm</v>
      </c>
      <c r="AC32" s="80" t="str">
        <f>IF(B32="","",VLOOKUP(Sayfa1!AD60,Varsayımlar!B:S,18,0))</f>
        <v>80x120cm -Epal+Epal</v>
      </c>
      <c r="AD32" s="57" t="str">
        <f t="shared" si="0"/>
        <v>TASTE LAND-BULGARİSTANTortillas 25cm Peynirli 6pcs 390g</v>
      </c>
    </row>
    <row r="33" spans="1:30" ht="47.25" x14ac:dyDescent="0.25">
      <c r="A33" s="8" t="s">
        <v>146</v>
      </c>
      <c r="B33" s="54" t="s">
        <v>268</v>
      </c>
      <c r="C33" s="39">
        <f>IF(B33="","",VLOOKUP(AD33,Varsayımlar!$B:$Q,3,0))</f>
        <v>8698829380698</v>
      </c>
      <c r="D33" s="39" t="s">
        <v>160</v>
      </c>
      <c r="E33" s="54" t="s">
        <v>269</v>
      </c>
      <c r="F33" s="54" t="s">
        <v>343</v>
      </c>
      <c r="G33" s="39" t="s">
        <v>68</v>
      </c>
      <c r="H33" s="54" t="str">
        <f>IF(B33="","",VLOOKUP(AD33,Varsayımlar!$B:$Q,5,0))</f>
        <v>Tortillas 25cm Tam Buğday</v>
      </c>
      <c r="I33" s="54">
        <f>IF(B33="","",VLOOKUP(AD33,Varsayımlar!B:T,19,0))</f>
        <v>0</v>
      </c>
      <c r="J33" s="54" t="str">
        <f>IF(B33="","",VLOOKUP(AD33,Varsayımlar!$B:$Q,6,0))</f>
        <v>Tam Buğdaylı</v>
      </c>
      <c r="K33" s="54">
        <v>336</v>
      </c>
      <c r="L33" s="54"/>
      <c r="M33" s="54">
        <f>IFERROR(IF(B33="","",K33/VLOOKUP(AD33,Varsayımlar!B:R,17,0)),"")</f>
        <v>4</v>
      </c>
      <c r="N33" s="54"/>
      <c r="O33" s="54">
        <v>6</v>
      </c>
      <c r="P33" s="54">
        <f>IF(B33="","",VLOOKUP(AD33,Varsayımlar!$B:$Q,7,0)*K33)</f>
        <v>10080</v>
      </c>
      <c r="Q33" s="54">
        <f>IF(B33="","",VLOOKUP(AD33,Varsayımlar!$B:$Q,8,0))</f>
        <v>25</v>
      </c>
      <c r="R33" s="54" t="str">
        <f>IF(B33="","",VLOOKUP(AD33,Varsayımlar!$B:$Q,9,0))</f>
        <v>Soft-PA3</v>
      </c>
      <c r="S33" s="54">
        <f>IF(B33="","",VLOOKUP(AD33,Varsayımlar!$B:$Q,10,0))</f>
        <v>4</v>
      </c>
      <c r="T33" s="54">
        <f>IF(B33="","",VLOOKUP(AD33,Varsayımlar!$B:$Q,11,0))</f>
        <v>30</v>
      </c>
      <c r="U33" s="54">
        <f>IF(B33="","",VLOOKUP(AD33,Varsayımlar!$B:$Q,12,0))</f>
        <v>240</v>
      </c>
      <c r="V33" s="54" t="str">
        <f>IF(B33="","",VLOOKUP(AD33,Varsayımlar!$B:$Q,13,0))</f>
        <v>Yurtdışı</v>
      </c>
      <c r="W33" s="54">
        <f>IF(B33="","",VLOOKUP(AD33,Varsayımlar!$B:$Q,14,0))</f>
        <v>12</v>
      </c>
      <c r="X33" s="56">
        <v>46205</v>
      </c>
      <c r="Y33" s="56">
        <v>46570</v>
      </c>
      <c r="Z33" s="54" t="s">
        <v>383</v>
      </c>
      <c r="AA33" s="54" t="str">
        <f>IF(B33="","",VLOOKUP(AD33,Varsayımlar!$B:$Q,15,0))</f>
        <v>25cm Kolisi-Etiketli</v>
      </c>
      <c r="AB33" s="54" t="str">
        <f>IF(B33="","",VLOOKUP(AD33,Varsayımlar!$B:$Q,16,0))</f>
        <v>24-26 cm (Macca Hetto Inkjet Uzun Tarih)</v>
      </c>
      <c r="AC33" s="54" t="str">
        <f>IF(B33="","",VLOOKUP(Sayfa1!AD36,Varsayımlar!B:S,18,0))</f>
        <v>80x120cm</v>
      </c>
      <c r="AD33" s="57" t="str">
        <f t="shared" si="0"/>
        <v>LAIKYUZHN-BELARUSTortillas 25cm Tam buğday 4pcs 240g</v>
      </c>
    </row>
    <row r="34" spans="1:30" ht="47.25" x14ac:dyDescent="0.25">
      <c r="A34" s="8" t="s">
        <v>147</v>
      </c>
      <c r="B34" s="54" t="s">
        <v>268</v>
      </c>
      <c r="C34" s="39">
        <f>IF(B34="","",VLOOKUP(AD34,Varsayımlar!$B:$Q,3,0))</f>
        <v>8698829380698</v>
      </c>
      <c r="D34" s="39" t="s">
        <v>160</v>
      </c>
      <c r="E34" s="54" t="s">
        <v>274</v>
      </c>
      <c r="F34" s="54" t="s">
        <v>343</v>
      </c>
      <c r="G34" s="39" t="s">
        <v>68</v>
      </c>
      <c r="H34" s="54" t="str">
        <f>IF(B34="","",VLOOKUP(AD34,Varsayımlar!$B:$Q,5,0))</f>
        <v>Tortillas 25cm Domatesli</v>
      </c>
      <c r="I34" s="54">
        <f>IF(B34="","",VLOOKUP(AD34,Varsayımlar!B:T,19,0))</f>
        <v>0</v>
      </c>
      <c r="J34" s="54" t="str">
        <f>IF(B34="","",VLOOKUP(AD34,Varsayımlar!$B:$Q,6,0))</f>
        <v>Domatesli</v>
      </c>
      <c r="K34" s="54">
        <v>420</v>
      </c>
      <c r="L34" s="54"/>
      <c r="M34" s="54">
        <f>IFERROR(IF(B34="","",K34/VLOOKUP(AD34,Varsayımlar!B:R,17,0)),"")</f>
        <v>5</v>
      </c>
      <c r="N34" s="54"/>
      <c r="O34" s="54">
        <v>7</v>
      </c>
      <c r="P34" s="54">
        <f>IF(B34="","",VLOOKUP(AD34,Varsayımlar!$B:$Q,7,0)*K34)</f>
        <v>12600</v>
      </c>
      <c r="Q34" s="54">
        <f>IF(B34="","",VLOOKUP(AD34,Varsayımlar!$B:$Q,8,0))</f>
        <v>25</v>
      </c>
      <c r="R34" s="54" t="str">
        <f>IF(B34="","",VLOOKUP(AD34,Varsayımlar!$B:$Q,9,0))</f>
        <v>Soft-PA3</v>
      </c>
      <c r="S34" s="54">
        <f>IF(B34="","",VLOOKUP(AD34,Varsayımlar!$B:$Q,10,0))</f>
        <v>4</v>
      </c>
      <c r="T34" s="54">
        <f>IF(B34="","",VLOOKUP(AD34,Varsayımlar!$B:$Q,11,0))</f>
        <v>30</v>
      </c>
      <c r="U34" s="54">
        <f>IF(B34="","",VLOOKUP(AD34,Varsayımlar!$B:$Q,12,0))</f>
        <v>240</v>
      </c>
      <c r="V34" s="54" t="str">
        <f>IF(B34="","",VLOOKUP(AD34,Varsayımlar!$B:$Q,13,0))</f>
        <v>Yurtdışı</v>
      </c>
      <c r="W34" s="54">
        <f>IF(B34="","",VLOOKUP(AD34,Varsayımlar!$B:$Q,14,0))</f>
        <v>12</v>
      </c>
      <c r="X34" s="56">
        <v>46205</v>
      </c>
      <c r="Y34" s="56">
        <v>46570</v>
      </c>
      <c r="Z34" s="54" t="s">
        <v>384</v>
      </c>
      <c r="AA34" s="54" t="str">
        <f>IF(B34="","",VLOOKUP(AD34,Varsayımlar!$B:$Q,15,0))</f>
        <v>25cm Kolisi-Etiketli</v>
      </c>
      <c r="AB34" s="54" t="str">
        <f>IF(B34="","",VLOOKUP(AD34,Varsayımlar!$B:$Q,16,0))</f>
        <v>24-26 cm (Macca Hetto Inkjet Uzun Tarih)</v>
      </c>
      <c r="AC34" s="54" t="str">
        <f>IF(B34="","",VLOOKUP(Sayfa1!AD37,Varsayımlar!B:S,18,0))</f>
        <v>80x120cm</v>
      </c>
      <c r="AD34" s="57" t="str">
        <f t="shared" si="0"/>
        <v>LAIKYUZHN-BELARUSTortillas 25cm Domatesli 4pcs 240g</v>
      </c>
    </row>
    <row r="35" spans="1:30" ht="47.25" x14ac:dyDescent="0.25">
      <c r="A35" s="8" t="s">
        <v>148</v>
      </c>
      <c r="B35" s="54" t="s">
        <v>268</v>
      </c>
      <c r="C35" s="39">
        <f>IF(B35="","",VLOOKUP(AD35,Varsayımlar!$B:$Q,3,0))</f>
        <v>8698829380698</v>
      </c>
      <c r="D35" s="39" t="s">
        <v>160</v>
      </c>
      <c r="E35" s="54" t="s">
        <v>276</v>
      </c>
      <c r="F35" s="54" t="s">
        <v>343</v>
      </c>
      <c r="G35" s="39" t="s">
        <v>68</v>
      </c>
      <c r="H35" s="54" t="str">
        <f>IF(B35="","",VLOOKUP(AD35,Varsayımlar!$B:$Q,5,0))</f>
        <v>Tortillas 25cm Ispanaklı</v>
      </c>
      <c r="I35" s="54">
        <f>IF(B35="","",VLOOKUP(AD35,Varsayımlar!B:T,19,0))</f>
        <v>0</v>
      </c>
      <c r="J35" s="54" t="str">
        <f>IF(B35="","",VLOOKUP(AD35,Varsayımlar!$B:$Q,6,0))</f>
        <v>Ispanaklı</v>
      </c>
      <c r="K35" s="54">
        <v>336</v>
      </c>
      <c r="L35" s="54"/>
      <c r="M35" s="54">
        <f>IFERROR(IF(B35="","",K35/VLOOKUP(AD35,Varsayımlar!B:R,17,0)),"")</f>
        <v>4</v>
      </c>
      <c r="N35" s="54"/>
      <c r="O35" s="54">
        <v>6</v>
      </c>
      <c r="P35" s="54">
        <f>IF(B35="","",VLOOKUP(AD35,Varsayımlar!$B:$Q,7,0)*K35)</f>
        <v>10080</v>
      </c>
      <c r="Q35" s="54">
        <f>IF(B35="","",VLOOKUP(AD35,Varsayımlar!$B:$Q,8,0))</f>
        <v>25</v>
      </c>
      <c r="R35" s="54" t="str">
        <f>IF(B35="","",VLOOKUP(AD35,Varsayımlar!$B:$Q,9,0))</f>
        <v>Soft-PA3</v>
      </c>
      <c r="S35" s="54">
        <f>IF(B35="","",VLOOKUP(AD35,Varsayımlar!$B:$Q,10,0))</f>
        <v>4</v>
      </c>
      <c r="T35" s="54">
        <f>IF(B35="","",VLOOKUP(AD35,Varsayımlar!$B:$Q,11,0))</f>
        <v>30</v>
      </c>
      <c r="U35" s="54">
        <f>IF(B35="","",VLOOKUP(AD35,Varsayımlar!$B:$Q,12,0))</f>
        <v>240</v>
      </c>
      <c r="V35" s="54" t="str">
        <f>IF(B35="","",VLOOKUP(AD35,Varsayımlar!$B:$Q,13,0))</f>
        <v>Yurtdışı</v>
      </c>
      <c r="W35" s="54">
        <f>IF(B35="","",VLOOKUP(AD35,Varsayımlar!$B:$Q,14,0))</f>
        <v>12</v>
      </c>
      <c r="X35" s="56">
        <v>46205</v>
      </c>
      <c r="Y35" s="56">
        <v>46570</v>
      </c>
      <c r="Z35" s="54" t="s">
        <v>385</v>
      </c>
      <c r="AA35" s="54" t="str">
        <f>IF(B35="","",VLOOKUP(AD35,Varsayımlar!$B:$Q,15,0))</f>
        <v>25cm Kolisi-Etiketli</v>
      </c>
      <c r="AB35" s="54" t="str">
        <f>IF(B35="","",VLOOKUP(AD35,Varsayımlar!$B:$Q,16,0))</f>
        <v>24-26 cm (Macca Hetto Inkjet Uzun Tarih)</v>
      </c>
      <c r="AC35" s="54" t="str">
        <f>IF(B35="","",VLOOKUP(Sayfa1!AD38,Varsayımlar!B:S,18,0))</f>
        <v>80x120cm</v>
      </c>
      <c r="AD35" s="57" t="str">
        <f t="shared" si="0"/>
        <v>LAIKYUZHN-BELARUSTortillas 25cm Ispanaklı 4pcs 240g</v>
      </c>
    </row>
    <row r="36" spans="1:30" ht="47.25" x14ac:dyDescent="0.25">
      <c r="A36" s="8" t="s">
        <v>149</v>
      </c>
      <c r="B36" s="54" t="s">
        <v>268</v>
      </c>
      <c r="C36" s="39">
        <f>IF(B36="","",VLOOKUP(AD36,Varsayımlar!$B:$Q,3,0))</f>
        <v>8698829380698</v>
      </c>
      <c r="D36" s="39" t="s">
        <v>160</v>
      </c>
      <c r="E36" s="54" t="s">
        <v>278</v>
      </c>
      <c r="F36" s="54" t="s">
        <v>343</v>
      </c>
      <c r="G36" s="39" t="s">
        <v>68</v>
      </c>
      <c r="H36" s="54" t="str">
        <f>IF(B36="","",VLOOKUP(AD36,Varsayımlar!$B:$Q,5,0))</f>
        <v>Magnit Tortillas 25cm Peynirli</v>
      </c>
      <c r="I36" s="54" t="str">
        <f>IF(B36="","",VLOOKUP(AD36,Varsayımlar!B:T,19,0))</f>
        <v>Etiketli</v>
      </c>
      <c r="J36" s="54" t="str">
        <f>IF(B36="","",VLOOKUP(AD36,Varsayımlar!$B:$Q,6,0))</f>
        <v>Peynirli</v>
      </c>
      <c r="K36" s="54">
        <v>504</v>
      </c>
      <c r="L36" s="54"/>
      <c r="M36" s="54">
        <f>IFERROR(IF(B36="","",K36/VLOOKUP(AD36,Varsayımlar!B:R,17,0)),"")</f>
        <v>6</v>
      </c>
      <c r="N36" s="54"/>
      <c r="O36" s="54">
        <v>9</v>
      </c>
      <c r="P36" s="54">
        <f>IF(B36="","",VLOOKUP(AD36,Varsayımlar!$B:$Q,7,0)*K36)</f>
        <v>15120</v>
      </c>
      <c r="Q36" s="54">
        <f>IF(B36="","",VLOOKUP(AD36,Varsayımlar!$B:$Q,8,0))</f>
        <v>25</v>
      </c>
      <c r="R36" s="54" t="str">
        <f>IF(B36="","",VLOOKUP(AD36,Varsayımlar!$B:$Q,9,0))</f>
        <v>Soft-PA3-AT</v>
      </c>
      <c r="S36" s="54">
        <f>IF(B36="","",VLOOKUP(AD36,Varsayımlar!$B:$Q,10,0))</f>
        <v>4</v>
      </c>
      <c r="T36" s="54">
        <f>IF(B36="","",VLOOKUP(AD36,Varsayımlar!$B:$Q,11,0))</f>
        <v>30</v>
      </c>
      <c r="U36" s="54">
        <f>IF(B36="","",VLOOKUP(AD36,Varsayımlar!$B:$Q,12,0))</f>
        <v>250</v>
      </c>
      <c r="V36" s="54" t="str">
        <f>IF(B36="","",VLOOKUP(AD36,Varsayımlar!$B:$Q,13,0))</f>
        <v>Yurtdışı</v>
      </c>
      <c r="W36" s="54">
        <f>IF(B36="","",VLOOKUP(AD36,Varsayımlar!$B:$Q,14,0))</f>
        <v>9</v>
      </c>
      <c r="X36" s="56">
        <v>46205</v>
      </c>
      <c r="Y36" s="56">
        <v>46479</v>
      </c>
      <c r="Z36" s="54" t="s">
        <v>386</v>
      </c>
      <c r="AA36" s="54" t="str">
        <f>IF(B36="","",VLOOKUP(AD36,Varsayımlar!$B:$Q,15,0))</f>
        <v>25cm Kolisi-Etiketli</v>
      </c>
      <c r="AB36" s="54" t="str">
        <f>IF(B36="","",VLOOKUP(AD36,Varsayımlar!$B:$Q,16,0))</f>
        <v>24-26 cm (Macca Hetto Inkjet Uzun Tarih)</v>
      </c>
      <c r="AC36" s="54" t="str">
        <f>IF(B36="","",VLOOKUP(Sayfa1!AD39,Varsayımlar!B:S,18,0))</f>
        <v>80x120cm</v>
      </c>
      <c r="AD36" s="57" t="str">
        <f t="shared" si="0"/>
        <v>LAIKYUZHN-BELARUSMagnit Tortillas 25cm Peynirli 4pcs 240g</v>
      </c>
    </row>
    <row r="37" spans="1:30" ht="47.25" x14ac:dyDescent="0.25">
      <c r="A37" s="8" t="s">
        <v>150</v>
      </c>
      <c r="B37" s="75" t="s">
        <v>218</v>
      </c>
      <c r="C37" s="43">
        <f>IF(B37="","",VLOOKUP(AD37,Varsayımlar!$B:$Q,3,0))</f>
        <v>8698829380698</v>
      </c>
      <c r="D37" s="43" t="s">
        <v>161</v>
      </c>
      <c r="E37" s="75" t="s">
        <v>252</v>
      </c>
      <c r="F37" s="75" t="s">
        <v>341</v>
      </c>
      <c r="G37" s="43"/>
      <c r="H37" s="75" t="str">
        <f>IF(B37="","",VLOOKUP(AD37,Varsayımlar!$B:$Q,5,0))</f>
        <v xml:space="preserve">Tortillas 20cm Sade </v>
      </c>
      <c r="I37" s="75" t="str">
        <f>IF(B37="","",VLOOKUP(AD37,Varsayımlar!B:T,19,0))</f>
        <v>Barkod üzerine Barkod Etiketi (104)</v>
      </c>
      <c r="J37" s="75" t="str">
        <f>IF(B37="","",VLOOKUP(AD37,Varsayımlar!$B:$Q,6,0))</f>
        <v>SADE</v>
      </c>
      <c r="K37" s="75">
        <v>120</v>
      </c>
      <c r="L37" s="75"/>
      <c r="M37" s="75">
        <f>IFERROR(IF(B37="","",K37/VLOOKUP(AD37,Varsayımlar!B:R,17,0)),"")</f>
        <v>1</v>
      </c>
      <c r="N37" s="75"/>
      <c r="O37" s="75">
        <v>2</v>
      </c>
      <c r="P37" s="75">
        <f>IF(B37="","",VLOOKUP(AD37,Varsayımlar!$B:$Q,7,0)*K37)</f>
        <v>2160</v>
      </c>
      <c r="Q37" s="75">
        <f>IF(B37="","",VLOOKUP(AD37,Varsayımlar!$B:$Q,8,0))</f>
        <v>20</v>
      </c>
      <c r="R37" s="75" t="str">
        <f>IF(B37="","",VLOOKUP(AD37,Varsayımlar!$B:$Q,9,0))</f>
        <v>Irak Soft</v>
      </c>
      <c r="S37" s="75">
        <f>IF(B37="","",VLOOKUP(AD37,Varsayımlar!$B:$Q,10,0))</f>
        <v>6</v>
      </c>
      <c r="T37" s="75">
        <f>IF(B37="","",VLOOKUP(AD37,Varsayımlar!$B:$Q,11,0))</f>
        <v>18</v>
      </c>
      <c r="U37" s="75">
        <f>IF(B37="","",VLOOKUP(AD37,Varsayımlar!$B:$Q,12,0))</f>
        <v>270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/>
      <c r="Y37" s="76"/>
      <c r="Z37" s="75"/>
      <c r="AA37" s="75" t="str">
        <f>IF(B37="","",VLOOKUP(AD37,Varsayımlar!$B:$Q,15,0))</f>
        <v>20cm Lacivert-Bulgarca Etiket</v>
      </c>
      <c r="AB37" s="75" t="str">
        <f>IF(B37="","",VLOOKUP(AD37,Varsayımlar!$B:$Q,16,0))</f>
        <v>19-21 cm</v>
      </c>
      <c r="AC37" s="75" t="str">
        <f>IF(B37="","",VLOOKUP(Sayfa1!AD21,Varsayımlar!B:S,18,0))</f>
        <v>100x120cm-Epal+Epal</v>
      </c>
      <c r="AD37" s="57" t="str">
        <f t="shared" si="0"/>
        <v>TASTE LAND-BULGARİSTANTortillas 20cm Sade 6pcs 270g</v>
      </c>
    </row>
    <row r="38" spans="1:30" ht="78.75" x14ac:dyDescent="0.25">
      <c r="A38" s="8" t="s">
        <v>151</v>
      </c>
      <c r="B38" s="75" t="s">
        <v>218</v>
      </c>
      <c r="C38" s="43">
        <f>IF(B38="","",VLOOKUP(AD38,Varsayımlar!$B:$Q,3,0))</f>
        <v>8698829380698</v>
      </c>
      <c r="D38" s="43" t="s">
        <v>161</v>
      </c>
      <c r="E38" s="75" t="s">
        <v>222</v>
      </c>
      <c r="F38" s="75" t="s">
        <v>341</v>
      </c>
      <c r="G38" s="43"/>
      <c r="H38" s="75" t="str">
        <f>IF(B38="","",VLOOKUP(AD38,Varsayımlar!$B:$Q,5,0))</f>
        <v xml:space="preserve">Tortillas 30cm Tam Buğday </v>
      </c>
      <c r="I38" s="75" t="str">
        <f>IF(B38="","",VLOOKUP(AD38,Varsayımlar!B:T,19,0))</f>
        <v>Barkod üzerine-Bulgarca Barkodlu TB içerik etiketi (029)</v>
      </c>
      <c r="J38" s="75" t="str">
        <f>IF(B38="","",VLOOKUP(AD38,Varsayımlar!$B:$Q,6,0))</f>
        <v>Tam Buğdaylı</v>
      </c>
      <c r="K38" s="75">
        <v>60</v>
      </c>
      <c r="L38" s="75"/>
      <c r="M38" s="75">
        <f>IFERROR(IF(B38="","",K38/VLOOKUP(AD38,Varsayımlar!B:R,17,0)),"")</f>
        <v>1</v>
      </c>
      <c r="N38" s="75"/>
      <c r="O38" s="75">
        <v>1</v>
      </c>
      <c r="P38" s="75">
        <f>IF(B38="","",VLOOKUP(AD38,Varsayımlar!$B:$Q,7,0)*K38)</f>
        <v>360</v>
      </c>
      <c r="Q38" s="75">
        <f>IF(B38="","",VLOOKUP(AD38,Varsayımlar!$B:$Q,8,0))</f>
        <v>30</v>
      </c>
      <c r="R38" s="75" t="str">
        <f>IF(B38="","",VLOOKUP(AD38,Varsayımlar!$B:$Q,9,0))</f>
        <v>Irak Soft</v>
      </c>
      <c r="S38" s="75">
        <f>IF(B38="","",VLOOKUP(AD38,Varsayımlar!$B:$Q,10,0))</f>
        <v>18</v>
      </c>
      <c r="T38" s="75">
        <f>IF(B38="","",VLOOKUP(AD38,Varsayımlar!$B:$Q,11,0))</f>
        <v>6</v>
      </c>
      <c r="U38" s="75">
        <f>IF(B38="","",VLOOKUP(AD38,Varsayımlar!$B:$Q,12,0))</f>
        <v>1620</v>
      </c>
      <c r="V38" s="75" t="str">
        <f>IF(B38="","",VLOOKUP(AD38,Varsayımlar!$B:$Q,13,0))</f>
        <v>Yurtdışı</v>
      </c>
      <c r="W38" s="75">
        <f>IF(B38="","",VLOOKUP(AD38,Varsayımlar!$B:$Q,14,0))</f>
        <v>9</v>
      </c>
      <c r="X38" s="76"/>
      <c r="Y38" s="76"/>
      <c r="Z38" s="75"/>
      <c r="AA38" s="75" t="str">
        <f>IF(B38="","",VLOOKUP(AD38,Varsayımlar!$B:$Q,15,0))</f>
        <v>30cm Lacivert Koli- Bulgarca TB Etiket</v>
      </c>
      <c r="AB38" s="75" t="str">
        <f>IF(B38="","",VLOOKUP(AD38,Varsayımlar!$B:$Q,16,0))</f>
        <v>29-31 cm</v>
      </c>
      <c r="AC38" s="75" t="str">
        <f>IF(B38="","",VLOOKUP(Sayfa1!AD20,Varsayımlar!B:S,18,0))</f>
        <v>95x130cm</v>
      </c>
      <c r="AD38" s="57" t="str">
        <f t="shared" si="0"/>
        <v>TASTE LAND-BULGARİSTANTortillas 30cm Tam Buğday 18pcs 1620g</v>
      </c>
    </row>
    <row r="39" spans="1:30" ht="31.5" x14ac:dyDescent="0.25">
      <c r="A39" s="8" t="s">
        <v>152</v>
      </c>
      <c r="B39" s="75" t="s">
        <v>218</v>
      </c>
      <c r="C39" s="43">
        <f>IF(B39="","",VLOOKUP(AD39,Varsayımlar!$B:$Q,3,0))</f>
        <v>8698829380698</v>
      </c>
      <c r="D39" s="43" t="s">
        <v>161</v>
      </c>
      <c r="E39" s="75" t="s">
        <v>229</v>
      </c>
      <c r="F39" s="75" t="s">
        <v>341</v>
      </c>
      <c r="G39" s="43"/>
      <c r="H39" s="75" t="str">
        <f>IF(B39="","",VLOOKUP(AD39,Varsayımlar!$B:$Q,5,0))</f>
        <v>Tortillas Avrupa 25cm Tam Buğday (711)</v>
      </c>
      <c r="I39" s="75">
        <f>IF(B39="","",VLOOKUP(AD39,Varsayımlar!B:T,19,0))</f>
        <v>0</v>
      </c>
      <c r="J39" s="75" t="str">
        <f>IF(B39="","",VLOOKUP(AD39,Varsayımlar!$B:$Q,6,0))</f>
        <v>Tam Buğdaylı</v>
      </c>
      <c r="K39" s="75">
        <v>840</v>
      </c>
      <c r="L39" s="75"/>
      <c r="M39" s="75">
        <f>IFERROR(IF(B39="","",K39/VLOOKUP(AD39,Varsayımlar!B:R,17,0)),"")</f>
        <v>7</v>
      </c>
      <c r="N39" s="75"/>
      <c r="O39" s="75">
        <v>9</v>
      </c>
      <c r="P39" s="75">
        <f>IF(B39="","",VLOOKUP(AD39,Varsayımlar!$B:$Q,7,0)*K39)</f>
        <v>6720</v>
      </c>
      <c r="Q39" s="75">
        <f>IF(B39="","",VLOOKUP(AD39,Varsayımlar!$B:$Q,8,0))</f>
        <v>25</v>
      </c>
      <c r="R39" s="75" t="str">
        <f>IF(B39="","",VLOOKUP(AD39,Varsayımlar!$B:$Q,9,0))</f>
        <v>Irak Soft</v>
      </c>
      <c r="S39" s="75">
        <f>IF(B39="","",VLOOKUP(AD39,Varsayımlar!$B:$Q,10,0))</f>
        <v>10</v>
      </c>
      <c r="T39" s="75">
        <f>IF(B39="","",VLOOKUP(AD39,Varsayımlar!$B:$Q,11,0))</f>
        <v>8</v>
      </c>
      <c r="U39" s="75">
        <f>IF(B39="","",VLOOKUP(AD39,Varsayımlar!$B:$Q,12,0))</f>
        <v>650</v>
      </c>
      <c r="V39" s="75" t="str">
        <f>IF(B39="","",VLOOKUP(AD39,Varsayımlar!$B:$Q,13,0))</f>
        <v>Yurtdışı</v>
      </c>
      <c r="W39" s="75">
        <f>IF(B39="","",VLOOKUP(AD39,Varsayımlar!$B:$Q,14,0))</f>
        <v>9</v>
      </c>
      <c r="X39" s="76"/>
      <c r="Y39" s="76"/>
      <c r="Z39" s="75"/>
      <c r="AA39" s="75" t="str">
        <f>IF(B39="","",VLOOKUP(AD39,Varsayımlar!$B:$Q,15,0))</f>
        <v>25cm Perforeli-Bulgarca TB etiket</v>
      </c>
      <c r="AB39" s="75" t="str">
        <f>IF(B39="","",VLOOKUP(AD39,Varsayımlar!$B:$Q,16,0))</f>
        <v>24-26 cm</v>
      </c>
      <c r="AC39" s="75" t="str">
        <f>IF(B39="","",VLOOKUP(Sayfa1!AD63,Varsayımlar!B:S,18,0))</f>
        <v>80x120cm -Epal+Epal</v>
      </c>
      <c r="AD39" s="57" t="str">
        <f t="shared" si="0"/>
        <v>TASTE LAND-BULGARİSTANTortillas 25cm Tam Buğday 10pcs 650g</v>
      </c>
    </row>
    <row r="40" spans="1:30" ht="47.25" x14ac:dyDescent="0.25">
      <c r="A40" s="8" t="s">
        <v>153</v>
      </c>
      <c r="B40" s="75" t="s">
        <v>218</v>
      </c>
      <c r="C40" s="43">
        <f>IF(B40="","",VLOOKUP(AD40,Varsayımlar!$B:$Q,3,0))</f>
        <v>8698829380698</v>
      </c>
      <c r="D40" s="43" t="s">
        <v>161</v>
      </c>
      <c r="E40" s="75" t="s">
        <v>251</v>
      </c>
      <c r="F40" s="75" t="s">
        <v>341</v>
      </c>
      <c r="G40" s="43"/>
      <c r="H40" s="75" t="str">
        <f>IF(B40="","",VLOOKUP(AD40,Varsayımlar!$B:$Q,5,0))</f>
        <v>Tortillas Avrupa 25cm TB (711)</v>
      </c>
      <c r="I40" s="75" t="str">
        <f>IF(B40="","",VLOOKUP(AD40,Varsayımlar!B:T,19,0))</f>
        <v>Barkod üzerine Barkod Etiketi (067)</v>
      </c>
      <c r="J40" s="75" t="str">
        <f>IF(B40="","",VLOOKUP(AD40,Varsayımlar!$B:$Q,6,0))</f>
        <v>Tam Buğdaylı</v>
      </c>
      <c r="K40" s="75">
        <v>84</v>
      </c>
      <c r="L40" s="75"/>
      <c r="M40" s="75">
        <f>IFERROR(IF(B40="","",K40/VLOOKUP(AD40,Varsayımlar!B:R,17,0)),"")</f>
        <v>1</v>
      </c>
      <c r="N40" s="75"/>
      <c r="O40" s="75">
        <v>2</v>
      </c>
      <c r="P40" s="75">
        <f>IF(B40="","",VLOOKUP(AD40,Varsayımlar!$B:$Q,7,0)*K40)</f>
        <v>1512</v>
      </c>
      <c r="Q40" s="75">
        <f>IF(B40="","",VLOOKUP(AD40,Varsayımlar!$B:$Q,8,0))</f>
        <v>25</v>
      </c>
      <c r="R40" s="75" t="str">
        <f>IF(B40="","",VLOOKUP(AD40,Varsayımlar!$B:$Q,9,0))</f>
        <v>Irak Soft</v>
      </c>
      <c r="S40" s="75">
        <f>IF(B40="","",VLOOKUP(AD40,Varsayımlar!$B:$Q,10,0))</f>
        <v>6</v>
      </c>
      <c r="T40" s="75">
        <f>IF(B40="","",VLOOKUP(AD40,Varsayımlar!$B:$Q,11,0))</f>
        <v>18</v>
      </c>
      <c r="U40" s="75">
        <f>IF(B40="","",VLOOKUP(AD40,Varsayımlar!$B:$Q,12,0))</f>
        <v>390</v>
      </c>
      <c r="V40" s="75" t="str">
        <f>IF(B40="","",VLOOKUP(AD40,Varsayımlar!$B:$Q,13,0))</f>
        <v>Yurtdışı</v>
      </c>
      <c r="W40" s="75">
        <f>IF(B40="","",VLOOKUP(AD40,Varsayımlar!$B:$Q,14,0))</f>
        <v>9</v>
      </c>
      <c r="X40" s="76"/>
      <c r="Y40" s="76"/>
      <c r="Z40" s="75"/>
      <c r="AA40" s="75" t="str">
        <f>IF(B40="","",VLOOKUP(AD40,Varsayımlar!$B:$Q,15,0))</f>
        <v>25cm Kırmızı koli-Bulgarca TB Etiket</v>
      </c>
      <c r="AB40" s="75" t="str">
        <f>IF(B40="","",VLOOKUP(AD40,Varsayımlar!$B:$Q,16,0))</f>
        <v>24-26 cm</v>
      </c>
      <c r="AC40" s="75" t="str">
        <f>IF(B40="","",VLOOKUP(Sayfa1!AD64,Varsayımlar!B:S,18,0))</f>
        <v>80x120cm -Epal+Epal</v>
      </c>
      <c r="AD40" s="57" t="str">
        <f t="shared" si="0"/>
        <v>TASTE LAND-BULGARİSTANTortillas 25cm TB 6pcs 390g</v>
      </c>
    </row>
    <row r="41" spans="1:30" ht="47.25" x14ac:dyDescent="0.25">
      <c r="A41" s="8" t="s">
        <v>154</v>
      </c>
      <c r="B41" s="75" t="s">
        <v>218</v>
      </c>
      <c r="C41" s="43">
        <f>IF(B41="","",VLOOKUP(AD41,Varsayımlar!$B:$Q,3,0))</f>
        <v>8698829380698</v>
      </c>
      <c r="D41" s="43" t="s">
        <v>161</v>
      </c>
      <c r="E41" s="75" t="s">
        <v>232</v>
      </c>
      <c r="F41" s="75" t="s">
        <v>341</v>
      </c>
      <c r="G41" s="43"/>
      <c r="H41" s="75" t="str">
        <f>IF(B41="","",VLOOKUP(AD41,Varsayımlar!$B:$Q,5,0))</f>
        <v>Tortillas Avrupa 25cm Domatesli (074)</v>
      </c>
      <c r="I41" s="75">
        <f>IF(B41="","",VLOOKUP(AD41,Varsayımlar!B:T,19,0))</f>
        <v>0</v>
      </c>
      <c r="J41" s="75" t="str">
        <f>IF(B41="","",VLOOKUP(AD41,Varsayımlar!$B:$Q,6,0))</f>
        <v>Domatesli</v>
      </c>
      <c r="K41" s="75">
        <v>240</v>
      </c>
      <c r="L41" s="75"/>
      <c r="M41" s="75">
        <f>IFERROR(IF(B41="","",K41/VLOOKUP(AD41,Varsayımlar!B:R,17,0)),"")</f>
        <v>2</v>
      </c>
      <c r="N41" s="75"/>
      <c r="O41" s="75">
        <v>3</v>
      </c>
      <c r="P41" s="75">
        <f>IF(B41="","",VLOOKUP(AD41,Varsayımlar!$B:$Q,7,0)*K41)</f>
        <v>2880</v>
      </c>
      <c r="Q41" s="75">
        <f>IF(B41="","",VLOOKUP(AD41,Varsayımlar!$B:$Q,8,0))</f>
        <v>25</v>
      </c>
      <c r="R41" s="75" t="str">
        <f>IF(B41="","",VLOOKUP(AD41,Varsayımlar!$B:$Q,9,0))</f>
        <v>Irak Soft</v>
      </c>
      <c r="S41" s="75">
        <f>IF(B41="","",VLOOKUP(AD41,Varsayımlar!$B:$Q,10,0))</f>
        <v>6</v>
      </c>
      <c r="T41" s="75">
        <f>IF(B41="","",VLOOKUP(AD41,Varsayımlar!$B:$Q,11,0))</f>
        <v>12</v>
      </c>
      <c r="U41" s="75">
        <f>IF(B41="","",VLOOKUP(AD41,Varsayımlar!$B:$Q,12,0))</f>
        <v>390</v>
      </c>
      <c r="V41" s="75" t="str">
        <f>IF(B41="","",VLOOKUP(AD41,Varsayımlar!$B:$Q,13,0))</f>
        <v>Yurtdışı</v>
      </c>
      <c r="W41" s="75">
        <f>IF(B41="","",VLOOKUP(AD41,Varsayımlar!$B:$Q,14,0))</f>
        <v>9</v>
      </c>
      <c r="X41" s="76"/>
      <c r="Y41" s="76"/>
      <c r="Z41" s="75"/>
      <c r="AA41" s="75" t="str">
        <f>IF(B41="","",VLOOKUP(AD41,Varsayımlar!$B:$Q,15,0))</f>
        <v>25cm Perforeli-Bulgarca Domatesli etiket</v>
      </c>
      <c r="AB41" s="75" t="str">
        <f>IF(B41="","",VLOOKUP(AD41,Varsayımlar!$B:$Q,16,0))</f>
        <v>24-26 cm</v>
      </c>
      <c r="AC41" s="75" t="str">
        <f>IF(B41="","",VLOOKUP(Sayfa1!AD65,Varsayımlar!B:S,18,0))</f>
        <v>80x120cm -Epal+Epal</v>
      </c>
      <c r="AD41" s="57" t="str">
        <f t="shared" si="0"/>
        <v>TASTE LAND-BULGARİSTANTortillas 25cm Domatesli 6pcs 390g</v>
      </c>
    </row>
    <row r="42" spans="1:30" ht="47.25" x14ac:dyDescent="0.25">
      <c r="A42" s="8" t="s">
        <v>155</v>
      </c>
      <c r="B42" s="75" t="s">
        <v>218</v>
      </c>
      <c r="C42" s="43">
        <f>IF(B42="","",VLOOKUP(AD42,Varsayımlar!$B:$Q,3,0))</f>
        <v>8698829380698</v>
      </c>
      <c r="D42" s="43" t="s">
        <v>161</v>
      </c>
      <c r="E42" s="75" t="s">
        <v>235</v>
      </c>
      <c r="F42" s="75" t="s">
        <v>341</v>
      </c>
      <c r="G42" s="43"/>
      <c r="H42" s="75" t="str">
        <f>IF(B42="","",VLOOKUP(AD42,Varsayımlar!$B:$Q,5,0))</f>
        <v>Tortillas Avrupa 25cm Ispanaklı (081)</v>
      </c>
      <c r="I42" s="75">
        <f>IF(B42="","",VLOOKUP(AD42,Varsayımlar!B:T,19,0))</f>
        <v>0</v>
      </c>
      <c r="J42" s="75" t="str">
        <f>IF(B42="","",VLOOKUP(AD42,Varsayımlar!$B:$Q,6,0))</f>
        <v>Ispanaklı</v>
      </c>
      <c r="K42" s="75">
        <v>240</v>
      </c>
      <c r="L42" s="75"/>
      <c r="M42" s="75">
        <f>IFERROR(IF(B42="","",K42/VLOOKUP(AD42,Varsayımlar!B:R,17,0)),"")</f>
        <v>2</v>
      </c>
      <c r="N42" s="75"/>
      <c r="O42" s="75">
        <v>3</v>
      </c>
      <c r="P42" s="75">
        <f>IF(B42="","",VLOOKUP(AD42,Varsayımlar!$B:$Q,7,0)*K42)</f>
        <v>2880</v>
      </c>
      <c r="Q42" s="75">
        <f>IF(B42="","",VLOOKUP(AD42,Varsayımlar!$B:$Q,8,0))</f>
        <v>25</v>
      </c>
      <c r="R42" s="75" t="str">
        <f>IF(B42="","",VLOOKUP(AD42,Varsayımlar!$B:$Q,9,0))</f>
        <v>Irak Soft</v>
      </c>
      <c r="S42" s="75">
        <f>IF(B42="","",VLOOKUP(AD42,Varsayımlar!$B:$Q,10,0))</f>
        <v>6</v>
      </c>
      <c r="T42" s="75">
        <f>IF(B42="","",VLOOKUP(AD42,Varsayımlar!$B:$Q,11,0))</f>
        <v>12</v>
      </c>
      <c r="U42" s="75">
        <f>IF(B42="","",VLOOKUP(AD42,Varsayımlar!$B:$Q,12,0))</f>
        <v>390</v>
      </c>
      <c r="V42" s="75" t="str">
        <f>IF(B42="","",VLOOKUP(AD42,Varsayımlar!$B:$Q,13,0))</f>
        <v>Yurtdışı</v>
      </c>
      <c r="W42" s="75">
        <f>IF(B42="","",VLOOKUP(AD42,Varsayımlar!$B:$Q,14,0))</f>
        <v>9</v>
      </c>
      <c r="X42" s="76"/>
      <c r="Y42" s="76"/>
      <c r="Z42" s="75"/>
      <c r="AA42" s="75" t="str">
        <f>IF(B42="","",VLOOKUP(AD42,Varsayımlar!$B:$Q,15,0))</f>
        <v>25cm Perforeli-Bulgarca Ispanaklı etiket</v>
      </c>
      <c r="AB42" s="75" t="str">
        <f>IF(B42="","",VLOOKUP(AD42,Varsayımlar!$B:$Q,16,0))</f>
        <v>24-26 cm</v>
      </c>
      <c r="AC42" s="75" t="str">
        <f>IF(B42="","",VLOOKUP(Sayfa1!AD66,Varsayımlar!B:S,18,0))</f>
        <v>80x120cm -Epal+Epal</v>
      </c>
      <c r="AD42" s="57" t="str">
        <f t="shared" si="0"/>
        <v>TASTE LAND-BULGARİSTANTortillas 25cm Ispanaklı 6pcs 390g</v>
      </c>
    </row>
    <row r="43" spans="1:30" ht="47.25" x14ac:dyDescent="0.25">
      <c r="A43" s="8" t="s">
        <v>156</v>
      </c>
      <c r="B43" s="75" t="s">
        <v>218</v>
      </c>
      <c r="C43" s="43">
        <f>IF(B43="","",VLOOKUP(AD43,Varsayımlar!$B:$Q,3,0))</f>
        <v>8698829380698</v>
      </c>
      <c r="D43" s="43" t="s">
        <v>161</v>
      </c>
      <c r="E43" s="75" t="s">
        <v>240</v>
      </c>
      <c r="F43" s="75" t="s">
        <v>341</v>
      </c>
      <c r="G43" s="43"/>
      <c r="H43" s="75" t="str">
        <f>IF(B43="","",VLOOKUP(AD43,Varsayımlar!$B:$Q,5,0))</f>
        <v>Tortillas Avrupa 25cm Peynirli (098)</v>
      </c>
      <c r="I43" s="75">
        <f>IF(B43="","",VLOOKUP(AD43,Varsayımlar!B:T,19,0))</f>
        <v>0</v>
      </c>
      <c r="J43" s="75" t="str">
        <f>IF(B43="","",VLOOKUP(AD43,Varsayımlar!$B:$Q,6,0))</f>
        <v>Peynirli</v>
      </c>
      <c r="K43" s="75">
        <v>120</v>
      </c>
      <c r="L43" s="75"/>
      <c r="M43" s="75">
        <f>IFERROR(IF(B43="","",K43/VLOOKUP(AD43,Varsayımlar!B:R,17,0)),"")</f>
        <v>1</v>
      </c>
      <c r="N43" s="75"/>
      <c r="O43" s="75">
        <v>2</v>
      </c>
      <c r="P43" s="75">
        <f>IF(B43="","",VLOOKUP(AD43,Varsayımlar!$B:$Q,7,0)*K43)</f>
        <v>1440</v>
      </c>
      <c r="Q43" s="75">
        <f>IF(B43="","",VLOOKUP(AD43,Varsayımlar!$B:$Q,8,0))</f>
        <v>25</v>
      </c>
      <c r="R43" s="75" t="str">
        <f>IF(B43="","",VLOOKUP(AD43,Varsayımlar!$B:$Q,9,0))</f>
        <v>Irak Soft-AT</v>
      </c>
      <c r="S43" s="75">
        <f>IF(B43="","",VLOOKUP(AD43,Varsayımlar!$B:$Q,10,0))</f>
        <v>6</v>
      </c>
      <c r="T43" s="75">
        <f>IF(B43="","",VLOOKUP(AD43,Varsayımlar!$B:$Q,11,0))</f>
        <v>12</v>
      </c>
      <c r="U43" s="75">
        <f>IF(B43="","",VLOOKUP(AD43,Varsayımlar!$B:$Q,12,0))</f>
        <v>390</v>
      </c>
      <c r="V43" s="75" t="str">
        <f>IF(B43="","",VLOOKUP(AD43,Varsayımlar!$B:$Q,13,0))</f>
        <v>Yurtdışı</v>
      </c>
      <c r="W43" s="75">
        <f>IF(B43="","",VLOOKUP(AD43,Varsayımlar!$B:$Q,14,0))</f>
        <v>9</v>
      </c>
      <c r="X43" s="76"/>
      <c r="Y43" s="76"/>
      <c r="Z43" s="75"/>
      <c r="AA43" s="75" t="str">
        <f>IF(B43="","",VLOOKUP(AD43,Varsayımlar!$B:$Q,15,0))</f>
        <v>25cm Perforeli-Bulgarca Peynirli etiket</v>
      </c>
      <c r="AB43" s="75" t="str">
        <f>IF(B43="","",VLOOKUP(AD43,Varsayımlar!$B:$Q,16,0))</f>
        <v>24-26 cm</v>
      </c>
      <c r="AC43" s="75" t="str">
        <f>IF(B43="","",VLOOKUP(Sayfa1!AD67,Varsayımlar!B:S,18,0))</f>
        <v>80x120cm -Epal+Epal</v>
      </c>
      <c r="AD43" s="57" t="str">
        <f t="shared" si="0"/>
        <v>TASTE LAND-BULGARİSTANTortillas 25cm Peynirli 6pcs 390g</v>
      </c>
    </row>
    <row r="44" spans="1:30" x14ac:dyDescent="0.25">
      <c r="A44" s="8" t="s">
        <v>157</v>
      </c>
      <c r="B44" s="64"/>
      <c r="C44" s="3" t="str">
        <f>IF(B44="","",VLOOKUP(AD44,Varsayımlar!$B:$Q,3,0))</f>
        <v/>
      </c>
      <c r="D44" s="3"/>
      <c r="E44" s="3"/>
      <c r="F44" s="64"/>
      <c r="G44" s="3"/>
      <c r="H44" s="64" t="str">
        <f>IF(B44="","",VLOOKUP(AD44,Varsayımlar!$B:$Q,5,0))</f>
        <v/>
      </c>
      <c r="I44" s="64" t="str">
        <f>IF(B44="","",VLOOKUP(AD44,Varsayımlar!B:T,19,0))</f>
        <v/>
      </c>
      <c r="J44" s="64" t="str">
        <f>IF(B44="","",VLOOKUP(AD44,Varsayımlar!$B:$Q,6,0))</f>
        <v/>
      </c>
      <c r="K44" s="64"/>
      <c r="L44" s="64"/>
      <c r="M44" s="64" t="str">
        <f>IFERROR(IF(B44="","",K44/VLOOKUP(AD44,Varsayımlar!B:R,17,0)),"")</f>
        <v/>
      </c>
      <c r="N44" s="64"/>
      <c r="O44" s="64"/>
      <c r="P44" s="64" t="str">
        <f>IF(B44="","",VLOOKUP(AD44,Varsayımlar!$B:$Q,7,0)*K44)</f>
        <v/>
      </c>
      <c r="Q44" s="64" t="str">
        <f>IF(B44="","",VLOOKUP(AD44,Varsayımlar!$B:$Q,8,0))</f>
        <v/>
      </c>
      <c r="R44" s="64" t="str">
        <f>IF(B44="","",VLOOKUP(AD44,Varsayımlar!$B:$Q,9,0))</f>
        <v/>
      </c>
      <c r="S44" s="64" t="str">
        <f>IF(B44="","",VLOOKUP(AD44,Varsayımlar!$B:$Q,10,0))</f>
        <v/>
      </c>
      <c r="T44" s="64" t="str">
        <f>IF(B44="","",VLOOKUP(AD44,Varsayımlar!$B:$Q,11,0))</f>
        <v/>
      </c>
      <c r="U44" s="64" t="str">
        <f>IF(B44="","",VLOOKUP(AD44,Varsayımlar!$B:$Q,12,0))</f>
        <v/>
      </c>
      <c r="V44" s="64" t="str">
        <f>IF(B44="","",VLOOKUP(AD44,Varsayımlar!$B:$Q,13,0))</f>
        <v/>
      </c>
      <c r="W44" s="64" t="str">
        <f>IF(B44="","",VLOOKUP(AD44,Varsayımlar!$B:$Q,14,0))</f>
        <v/>
      </c>
      <c r="X44" s="66"/>
      <c r="Y44" s="66"/>
      <c r="Z44" s="64"/>
      <c r="AA44" s="64" t="str">
        <f>IF(B44="","",VLOOKUP(AD44,Varsayımlar!$B:$Q,15,0))</f>
        <v/>
      </c>
      <c r="AB44" s="64" t="str">
        <f>IF(B44="","",VLOOKUP(AD44,Varsayımlar!$B:$Q,16,0))</f>
        <v/>
      </c>
      <c r="AC44" s="64" t="str">
        <f>IF(B44="","",VLOOKUP(Sayfa1!AD43,Varsayımlar!B:S,18,0))</f>
        <v/>
      </c>
      <c r="AD44" s="57" t="str">
        <f t="shared" si="0"/>
        <v/>
      </c>
    </row>
    <row r="45" spans="1:30" x14ac:dyDescent="0.25">
      <c r="A45" s="8" t="s">
        <v>158</v>
      </c>
      <c r="B45" s="64"/>
      <c r="C45" s="3" t="str">
        <f>IF(B45="","",VLOOKUP(AD45,Varsayımlar!$B:$Q,3,0))</f>
        <v/>
      </c>
      <c r="D45" s="3"/>
      <c r="E45" s="3"/>
      <c r="F45" s="64"/>
      <c r="G45" s="3"/>
      <c r="H45" s="64" t="str">
        <f>IF(B45="","",VLOOKUP(AD45,Varsayımlar!$B:$Q,5,0))</f>
        <v/>
      </c>
      <c r="I45" s="64" t="str">
        <f>IF(B45="","",VLOOKUP(AD45,Varsayımlar!B:T,19,0))</f>
        <v/>
      </c>
      <c r="J45" s="64" t="str">
        <f>IF(B45="","",VLOOKUP(AD45,Varsayımlar!$B:$Q,6,0))</f>
        <v/>
      </c>
      <c r="K45" s="64"/>
      <c r="L45" s="64"/>
      <c r="M45" s="64" t="str">
        <f>IFERROR(IF(B45="","",K45/VLOOKUP(AD45,Varsayımlar!B:R,17,0)),"")</f>
        <v/>
      </c>
      <c r="N45" s="64"/>
      <c r="O45" s="64"/>
      <c r="P45" s="64" t="str">
        <f>IF(B45="","",VLOOKUP(AD45,Varsayımlar!$B:$Q,7,0)*K45)</f>
        <v/>
      </c>
      <c r="Q45" s="64" t="str">
        <f>IF(B45="","",VLOOKUP(AD45,Varsayımlar!$B:$Q,8,0))</f>
        <v/>
      </c>
      <c r="R45" s="64" t="str">
        <f>IF(B45="","",VLOOKUP(AD45,Varsayımlar!$B:$Q,9,0))</f>
        <v/>
      </c>
      <c r="S45" s="64" t="str">
        <f>IF(B45="","",VLOOKUP(AD45,Varsayımlar!$B:$Q,10,0))</f>
        <v/>
      </c>
      <c r="T45" s="64" t="str">
        <f>IF(B45="","",VLOOKUP(AD45,Varsayımlar!$B:$Q,11,0))</f>
        <v/>
      </c>
      <c r="U45" s="64" t="str">
        <f>IF(B45="","",VLOOKUP(AD45,Varsayımlar!$B:$Q,12,0))</f>
        <v/>
      </c>
      <c r="V45" s="64" t="str">
        <f>IF(B45="","",VLOOKUP(AD45,Varsayımlar!$B:$Q,13,0))</f>
        <v/>
      </c>
      <c r="W45" s="64" t="str">
        <f>IF(B45="","",VLOOKUP(AD45,Varsayımlar!$B:$Q,14,0))</f>
        <v/>
      </c>
      <c r="X45" s="66"/>
      <c r="Y45" s="66"/>
      <c r="Z45" s="64"/>
      <c r="AA45" s="64" t="str">
        <f>IF(B45="","",VLOOKUP(AD45,Varsayımlar!$B:$Q,15,0))</f>
        <v/>
      </c>
      <c r="AB45" s="64" t="str">
        <f>IF(B45="","",VLOOKUP(AD45,Varsayımlar!$B:$Q,16,0))</f>
        <v/>
      </c>
      <c r="AC45" s="64" t="str">
        <f>IF(B45="","",VLOOKUP(Sayfa1!AD44,Varsayımlar!B:S,18,0))</f>
        <v/>
      </c>
      <c r="AD45" s="57" t="str">
        <f t="shared" si="0"/>
        <v/>
      </c>
    </row>
    <row r="46" spans="1:30" x14ac:dyDescent="0.25">
      <c r="A46" s="8" t="s">
        <v>388</v>
      </c>
      <c r="B46" s="64"/>
      <c r="C46" s="3" t="str">
        <f>IF(B46="","",VLOOKUP(AD46,Varsayımlar!$B:$Q,3,0))</f>
        <v/>
      </c>
      <c r="D46" s="3"/>
      <c r="E46" s="3"/>
      <c r="F46" s="64"/>
      <c r="G46" s="3"/>
      <c r="H46" s="64" t="str">
        <f>IF(B46="","",VLOOKUP(AD46,Varsayımlar!$B:$Q,5,0))</f>
        <v/>
      </c>
      <c r="I46" s="64" t="str">
        <f>IF(B46="","",VLOOKUP(AD46,Varsayımlar!B:T,19,0))</f>
        <v/>
      </c>
      <c r="J46" s="64" t="str">
        <f>IF(B46="","",VLOOKUP(AD46,Varsayımlar!$B:$Q,6,0))</f>
        <v/>
      </c>
      <c r="K46" s="64"/>
      <c r="L46" s="64"/>
      <c r="M46" s="64" t="str">
        <f>IFERROR(IF(B46="","",K46/VLOOKUP(AD46,Varsayımlar!B:R,17,0)),"")</f>
        <v/>
      </c>
      <c r="N46" s="64"/>
      <c r="O46" s="64"/>
      <c r="P46" s="64" t="str">
        <f>IF(B46="","",VLOOKUP(AD46,Varsayımlar!$B:$Q,7,0)*K46)</f>
        <v/>
      </c>
      <c r="Q46" s="64" t="str">
        <f>IF(B46="","",VLOOKUP(AD46,Varsayımlar!$B:$Q,8,0))</f>
        <v/>
      </c>
      <c r="R46" s="64" t="str">
        <f>IF(B46="","",VLOOKUP(AD46,Varsayımlar!$B:$Q,9,0))</f>
        <v/>
      </c>
      <c r="S46" s="64" t="str">
        <f>IF(B46="","",VLOOKUP(AD46,Varsayımlar!$B:$Q,10,0))</f>
        <v/>
      </c>
      <c r="T46" s="64" t="str">
        <f>IF(B46="","",VLOOKUP(AD46,Varsayımlar!$B:$Q,11,0))</f>
        <v/>
      </c>
      <c r="U46" s="64" t="str">
        <f>IF(B46="","",VLOOKUP(AD46,Varsayımlar!$B:$Q,12,0))</f>
        <v/>
      </c>
      <c r="V46" s="64" t="str">
        <f>IF(B46="","",VLOOKUP(AD46,Varsayımlar!$B:$Q,13,0))</f>
        <v/>
      </c>
      <c r="W46" s="64" t="str">
        <f>IF(B46="","",VLOOKUP(AD46,Varsayımlar!$B:$Q,14,0))</f>
        <v/>
      </c>
      <c r="X46" s="66"/>
      <c r="Y46" s="66"/>
      <c r="Z46" s="64"/>
      <c r="AA46" s="64" t="str">
        <f>IF(B46="","",VLOOKUP(AD46,Varsayımlar!$B:$Q,15,0))</f>
        <v/>
      </c>
      <c r="AB46" s="64" t="str">
        <f>IF(B46="","",VLOOKUP(AD46,Varsayımlar!$B:$Q,16,0))</f>
        <v/>
      </c>
      <c r="AC46" s="64" t="str">
        <f>IF(B46="","",VLOOKUP(Sayfa1!AD45,Varsayımlar!B:S,18,0))</f>
        <v/>
      </c>
      <c r="AD46" s="57" t="str">
        <f t="shared" si="0"/>
        <v/>
      </c>
    </row>
    <row r="47" spans="1:30" ht="31.5" customHeight="1" x14ac:dyDescent="0.25">
      <c r="A47" s="182" t="s">
        <v>344</v>
      </c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4"/>
      <c r="AC47" s="38"/>
    </row>
    <row r="48" spans="1:30" ht="63" x14ac:dyDescent="0.25">
      <c r="A48" s="8" t="s">
        <v>0</v>
      </c>
      <c r="B48" s="8" t="s">
        <v>1</v>
      </c>
      <c r="C48" s="9" t="s">
        <v>31</v>
      </c>
      <c r="D48" s="9" t="s">
        <v>124</v>
      </c>
      <c r="E48" s="9" t="s">
        <v>36</v>
      </c>
      <c r="F48" s="8" t="s">
        <v>37</v>
      </c>
      <c r="G48" s="8" t="s">
        <v>13</v>
      </c>
      <c r="H48" s="8" t="s">
        <v>2</v>
      </c>
      <c r="I48" s="8" t="s">
        <v>49</v>
      </c>
      <c r="J48" s="8" t="s">
        <v>3</v>
      </c>
      <c r="K48" s="8" t="s">
        <v>21</v>
      </c>
      <c r="L48" s="8" t="s">
        <v>94</v>
      </c>
      <c r="M48" s="8" t="s">
        <v>20</v>
      </c>
      <c r="N48" s="8" t="s">
        <v>165</v>
      </c>
      <c r="O48" s="8" t="s">
        <v>123</v>
      </c>
      <c r="P48" s="8" t="s">
        <v>16</v>
      </c>
      <c r="Q48" s="8" t="s">
        <v>4</v>
      </c>
      <c r="R48" s="8" t="s">
        <v>5</v>
      </c>
      <c r="S48" s="8" t="s">
        <v>6</v>
      </c>
      <c r="T48" s="8" t="s">
        <v>28</v>
      </c>
      <c r="U48" s="8" t="s">
        <v>7</v>
      </c>
      <c r="V48" s="8" t="s">
        <v>8</v>
      </c>
      <c r="W48" s="8" t="s">
        <v>267</v>
      </c>
      <c r="X48" s="8" t="s">
        <v>10</v>
      </c>
      <c r="Y48" s="8" t="s">
        <v>11</v>
      </c>
      <c r="Z48" s="8" t="s">
        <v>12</v>
      </c>
      <c r="AA48" s="8" t="s">
        <v>14</v>
      </c>
      <c r="AB48" s="8" t="s">
        <v>15</v>
      </c>
      <c r="AC48" s="8" t="s">
        <v>208</v>
      </c>
      <c r="AD48" s="7" t="s">
        <v>41</v>
      </c>
    </row>
    <row r="49" spans="1:30" ht="45.75" customHeight="1" x14ac:dyDescent="0.25">
      <c r="A49" s="8" t="s">
        <v>26</v>
      </c>
      <c r="B49" s="64" t="s">
        <v>119</v>
      </c>
      <c r="C49" s="3">
        <f>IF(B49="","",VLOOKUP(AD49,Varsayımlar!$B:$Q,3,0))</f>
        <v>8698829380698</v>
      </c>
      <c r="D49" s="3"/>
      <c r="E49" s="65" t="s">
        <v>120</v>
      </c>
      <c r="F49" s="64"/>
      <c r="G49" s="64"/>
      <c r="H49" s="64" t="str">
        <f>IF(B49="","",VLOOKUP(AD49,Varsayımlar!$B:$Q,5,0))</f>
        <v>Nimet 25 cm</v>
      </c>
      <c r="I49" s="64"/>
      <c r="J49" s="64" t="str">
        <f>IF(B49="","",VLOOKUP(AD49,Varsayımlar!$B:$Q,6,0))</f>
        <v>SADE</v>
      </c>
      <c r="K49" s="64">
        <v>4000</v>
      </c>
      <c r="L49" s="64"/>
      <c r="M49" s="64">
        <f>IFERROR(IF(B49="","",K49/VLOOKUP(AD49,Varsayımlar!B:R,17,0)),"")</f>
        <v>80</v>
      </c>
      <c r="N49" s="64"/>
      <c r="O49" s="64">
        <v>60</v>
      </c>
      <c r="P49" s="64">
        <f>IF(B49="","",VLOOKUP(AD49,Varsayımlar!$B:$Q,7,0)*K49)</f>
        <v>48000</v>
      </c>
      <c r="Q49" s="64">
        <f>IF(B49="","",VLOOKUP(AD49,Varsayımlar!$B:$Q,8,0))</f>
        <v>25</v>
      </c>
      <c r="R49" s="64" t="str">
        <f>IF(B49="","",VLOOKUP(AD49,Varsayımlar!$B:$Q,9,0))</f>
        <v>Standart</v>
      </c>
      <c r="S49" s="64">
        <f>IF(B49="","",VLOOKUP(AD49,Varsayımlar!$B:$Q,10,0))</f>
        <v>12</v>
      </c>
      <c r="T49" s="64">
        <f>IF(B49="","",VLOOKUP(AD49,Varsayımlar!$B:$Q,11,0))</f>
        <v>12</v>
      </c>
      <c r="U49" s="64">
        <f>IF(B49="","",VLOOKUP(AD49,Varsayımlar!$B:$Q,12,0))</f>
        <v>840</v>
      </c>
      <c r="V49" s="64" t="str">
        <f>IF(B49="","",VLOOKUP(AD49,Varsayımlar!$B:$Q,13,0))</f>
        <v>YURTİÇİ</v>
      </c>
      <c r="W49" s="64">
        <f>IF(B49="","",VLOOKUP(AD49,Varsayımlar!$B:$Q,14,0))</f>
        <v>5</v>
      </c>
      <c r="X49" s="66" t="s">
        <v>113</v>
      </c>
      <c r="Y49" s="66" t="s">
        <v>113</v>
      </c>
      <c r="Z49" s="64" t="s">
        <v>113</v>
      </c>
      <c r="AA49" s="64" t="str">
        <f>IF(B49="","",VLOOKUP(AD49,Varsayımlar!$B:$Q,15,0))</f>
        <v>Nimet Kolisi</v>
      </c>
      <c r="AB49" s="64" t="str">
        <f>IF(B49="","",VLOOKUP(AD49,Varsayımlar!$B:$Q,16,0))</f>
        <v>24-26 CM</v>
      </c>
      <c r="AC49" s="64" t="s">
        <v>360</v>
      </c>
      <c r="AD49" s="57" t="str">
        <f>IF(B49="","",CONCATENATE(B49,E49))</f>
        <v>A101Nimet 25cm 12 pcs 840g</v>
      </c>
    </row>
    <row r="50" spans="1:30" ht="33" customHeight="1" x14ac:dyDescent="0.25">
      <c r="A50" s="8" t="s">
        <v>77</v>
      </c>
      <c r="B50" s="3" t="s">
        <v>64</v>
      </c>
      <c r="C50" s="3">
        <f>IF(B50="","",VLOOKUP(AD50,Varsayımlar!$B:$Q,3,0))</f>
        <v>8698829380698</v>
      </c>
      <c r="D50" s="3"/>
      <c r="E50" s="3" t="s">
        <v>108</v>
      </c>
      <c r="F50" s="3">
        <v>31</v>
      </c>
      <c r="G50" s="3"/>
      <c r="H50" s="3" t="str">
        <f>IF(B50="","",VLOOKUP(AD50,Varsayımlar!$B:$Q,5,0))</f>
        <v>Kırmızı Tortillas 25 cm</v>
      </c>
      <c r="I50" s="3">
        <f>IF(B50="","",VLOOKUP(AD50,Varsayımlar!B:T,19,0))</f>
        <v>0</v>
      </c>
      <c r="J50" s="3" t="str">
        <f>IF(B50="","",VLOOKUP(AD50,Varsayımlar!$B:$Q,6,0))</f>
        <v>SADE</v>
      </c>
      <c r="K50" s="3">
        <v>924</v>
      </c>
      <c r="L50" s="3"/>
      <c r="M50" s="3">
        <f>IFERROR(IF(B50="","",K50/VLOOKUP(AD50,Varsayımlar!B:R,17,0)),"")</f>
        <v>11</v>
      </c>
      <c r="N50" s="3"/>
      <c r="O50" s="3">
        <v>14</v>
      </c>
      <c r="P50" s="3">
        <f>IF(B50="","",VLOOKUP(AD50,Varsayımlar!$B:$Q,7,0)*K50)</f>
        <v>27720</v>
      </c>
      <c r="Q50" s="3">
        <f>IF(B50="","",VLOOKUP(AD50,Varsayımlar!$B:$Q,8,0))</f>
        <v>25</v>
      </c>
      <c r="R50" s="3" t="str">
        <f>IF(B50="","",VLOOKUP(AD50,Varsayımlar!$B:$Q,9,0))</f>
        <v>Soft</v>
      </c>
      <c r="S50" s="3">
        <f>IF(B50="","",VLOOKUP(AD50,Varsayımlar!$B:$Q,10,0))</f>
        <v>4</v>
      </c>
      <c r="T50" s="3">
        <f>IF(B50="","",VLOOKUP(AD50,Varsayımlar!$B:$Q,11,0))</f>
        <v>30</v>
      </c>
      <c r="U50" s="3">
        <f>IF(B50="","",VLOOKUP(AD50,Varsayımlar!$B:$Q,12,0))</f>
        <v>250</v>
      </c>
      <c r="V50" s="3" t="str">
        <f>IF(B50="","",VLOOKUP(AD50,Varsayımlar!$B:$Q,13,0))</f>
        <v>Yurtdışı</v>
      </c>
      <c r="W50" s="3">
        <f>IF(B50="","",VLOOKUP(AD50,Varsayımlar!$B:$Q,14,0))</f>
        <v>9</v>
      </c>
      <c r="X50" s="66">
        <v>46196</v>
      </c>
      <c r="Y50" s="66">
        <v>46469</v>
      </c>
      <c r="Z50" s="3">
        <v>26062325</v>
      </c>
      <c r="AA50" s="3" t="str">
        <f>IF(B50="","",VLOOKUP(AD50,Varsayımlar!$B:$Q,15,0))</f>
        <v>Kırmızı Koli- Üretim Tarihi Etiketli</v>
      </c>
      <c r="AB50" s="3" t="str">
        <f>IF(B50="","",VLOOKUP(AD50,Varsayımlar!$B:$Q,16,0))</f>
        <v>24-26 CM</v>
      </c>
      <c r="AC50" s="67" t="str">
        <f>IF(B50="","",VLOOKUP(Sayfa1!AD58,Varsayımlar!B:S,18,0))</f>
        <v>80x120cm -Epal+Epal</v>
      </c>
      <c r="AD50" s="57" t="str">
        <f t="shared" ref="AD50:AD57" si="1">IF(B50="","",CONCATENATE(B50,E50))</f>
        <v>SMART LLCKırmızı tortillas 25cm 4 lü 250g</v>
      </c>
    </row>
    <row r="51" spans="1:30" ht="47.25" x14ac:dyDescent="0.25">
      <c r="A51" s="8" t="s">
        <v>78</v>
      </c>
      <c r="B51" s="67" t="s">
        <v>268</v>
      </c>
      <c r="C51" s="42">
        <f>IF(B51="","",VLOOKUP(AD51,Varsayımlar!$B:$Q,3,0))</f>
        <v>8698829380698</v>
      </c>
      <c r="D51" s="42" t="s">
        <v>159</v>
      </c>
      <c r="E51" s="67" t="s">
        <v>342</v>
      </c>
      <c r="F51" s="67">
        <v>20250825</v>
      </c>
      <c r="G51" s="42" t="s">
        <v>68</v>
      </c>
      <c r="H51" s="67" t="str">
        <f>IF(B51="","",VLOOKUP(AD51,Varsayımlar!$B:$Q,5,0))</f>
        <v>Tortillas 25cm Sade</v>
      </c>
      <c r="I51" s="67">
        <f>IF(B51="","",VLOOKUP(AD51,Varsayımlar!B:T,19,0))</f>
        <v>0</v>
      </c>
      <c r="J51" s="67" t="str">
        <f>IF(B51="","",VLOOKUP(AD51,Varsayımlar!$B:$Q,6,0))</f>
        <v>SADE</v>
      </c>
      <c r="K51" s="67">
        <v>672</v>
      </c>
      <c r="L51" s="67"/>
      <c r="M51" s="67">
        <f>IFERROR(IF(B51="","",K51/VLOOKUP(AD51,Varsayımlar!B:R,17,0)),"")</f>
        <v>8</v>
      </c>
      <c r="N51" s="67"/>
      <c r="O51" s="67">
        <v>10</v>
      </c>
      <c r="P51" s="67">
        <f>IF(B51="","",VLOOKUP(AD51,Varsayımlar!$B:$Q,7,0)*K51)</f>
        <v>20160</v>
      </c>
      <c r="Q51" s="67">
        <f>IF(B51="","",VLOOKUP(AD51,Varsayımlar!$B:$Q,8,0))</f>
        <v>25</v>
      </c>
      <c r="R51" s="67" t="str">
        <f>IF(B51="","",VLOOKUP(AD51,Varsayımlar!$B:$Q,9,0))</f>
        <v>Soft-PA3</v>
      </c>
      <c r="S51" s="67">
        <f>IF(B51="","",VLOOKUP(AD51,Varsayımlar!$B:$Q,10,0))</f>
        <v>4</v>
      </c>
      <c r="T51" s="67">
        <f>IF(B51="","",VLOOKUP(AD51,Varsayımlar!$B:$Q,11,0))</f>
        <v>30</v>
      </c>
      <c r="U51" s="67">
        <f>IF(B51="","",VLOOKUP(AD51,Varsayımlar!$B:$Q,12,0))</f>
        <v>240</v>
      </c>
      <c r="V51" s="67" t="str">
        <f>IF(B51="","",VLOOKUP(AD51,Varsayımlar!$B:$Q,13,0))</f>
        <v>Yurtdışı</v>
      </c>
      <c r="W51" s="67">
        <f>IF(B51="","",VLOOKUP(AD51,Varsayımlar!$B:$Q,14,0))</f>
        <v>12</v>
      </c>
      <c r="X51" s="69">
        <v>46199</v>
      </c>
      <c r="Y51" s="69">
        <v>46564</v>
      </c>
      <c r="Z51" s="67">
        <v>26062625</v>
      </c>
      <c r="AA51" s="67" t="str">
        <f>IF(B51="","",VLOOKUP(AD51,Varsayımlar!$B:$Q,15,0))</f>
        <v>25cm Kolisi-Etiketli</v>
      </c>
      <c r="AB51" s="67" t="str">
        <f>IF(B51="","",VLOOKUP(AD51,Varsayımlar!$B:$Q,16,0))</f>
        <v>24-26 cm (Macca Hetto Inkjet Uzun Tarih)</v>
      </c>
      <c r="AC51" s="67" t="str">
        <f>IF(B51="","",VLOOKUP(Sayfa1!AD22,Varsayımlar!B:S,18,0))</f>
        <v>80x120cm</v>
      </c>
      <c r="AD51" s="57" t="str">
        <f t="shared" si="1"/>
        <v>LAIKYUZHN-BELARUSTortillas 25cm Sade 4pcs 240g</v>
      </c>
    </row>
    <row r="52" spans="1:30" ht="63" x14ac:dyDescent="0.25">
      <c r="A52" s="8" t="s">
        <v>79</v>
      </c>
      <c r="B52" s="62" t="s">
        <v>181</v>
      </c>
      <c r="C52" s="32">
        <f>IF(B52="","",VLOOKUP(AD52,Varsayımlar!$B:$Q,3,0))</f>
        <v>8698829380698</v>
      </c>
      <c r="D52" s="32"/>
      <c r="E52" s="62" t="s">
        <v>187</v>
      </c>
      <c r="F52" s="62">
        <v>26060101</v>
      </c>
      <c r="G52" s="32"/>
      <c r="H52" s="62" t="str">
        <f>IF(B52="","",VLOOKUP(AD52,Varsayımlar!$B:$Q,5,0))</f>
        <v>Tortillove 25cm</v>
      </c>
      <c r="I52" s="62" t="str">
        <f>IF(B52="","",VLOOKUP(AD52,Varsayımlar!B:T,19,0))</f>
        <v>Barkod üzerine Arnavutça içerik+Barkod-Tortillove</v>
      </c>
      <c r="J52" s="62" t="str">
        <f>IF(B52="","",VLOOKUP(AD52,Varsayımlar!$B:$Q,6,0))</f>
        <v>SADE</v>
      </c>
      <c r="K52" s="62">
        <v>168</v>
      </c>
      <c r="L52" s="62"/>
      <c r="M52" s="62">
        <f>IFERROR(IF(B52="","",K52/VLOOKUP(AD52,Varsayımlar!B:R,17,0)),"")</f>
        <v>2</v>
      </c>
      <c r="N52" s="62"/>
      <c r="O52" s="62">
        <v>2</v>
      </c>
      <c r="P52" s="62">
        <f>IF(B52="","",VLOOKUP(AD52,Varsayımlar!$B:$Q,7,0)*K52)</f>
        <v>3024</v>
      </c>
      <c r="Q52" s="62">
        <f>IF(B52="","",VLOOKUP(AD52,Varsayımlar!$B:$Q,8,0))</f>
        <v>25</v>
      </c>
      <c r="R52" s="62" t="str">
        <f>IF(B52="","",VLOOKUP(AD52,Varsayımlar!$B:$Q,9,0))</f>
        <v>Irak Soft</v>
      </c>
      <c r="S52" s="62">
        <f>IF(B52="","",VLOOKUP(AD52,Varsayımlar!$B:$Q,10,0))</f>
        <v>6</v>
      </c>
      <c r="T52" s="62">
        <f>IF(B52="","",VLOOKUP(AD52,Varsayımlar!$B:$Q,11,0))</f>
        <v>18</v>
      </c>
      <c r="U52" s="62">
        <f>IF(B52="","",VLOOKUP(AD52,Varsayımlar!$B:$Q,12,0))</f>
        <v>390</v>
      </c>
      <c r="V52" s="62" t="str">
        <f>IF(B52="","",VLOOKUP(AD52,Varsayımlar!$B:$Q,13,0))</f>
        <v>Yurtdışı</v>
      </c>
      <c r="W52" s="62">
        <f>IF(B52="","",VLOOKUP(AD52,Varsayımlar!$B:$Q,14,0))</f>
        <v>12</v>
      </c>
      <c r="X52" s="63">
        <v>46200</v>
      </c>
      <c r="Y52" s="63">
        <v>46565</v>
      </c>
      <c r="Z52" s="62">
        <v>26062725</v>
      </c>
      <c r="AA52" s="62" t="str">
        <f>IF(B52="","",VLOOKUP(AD52,Varsayımlar!$B:$Q,15,0))</f>
        <v>25cm Koli - Tortillove 390g Etiketli</v>
      </c>
      <c r="AB52" s="62" t="str">
        <f>IF(B52="","",VLOOKUP(AD52,Varsayımlar!$B:$Q,16,0))</f>
        <v>24-26 cm</v>
      </c>
      <c r="AC52" s="62">
        <f>IF(B52="","",VLOOKUP(Sayfa1!AD31,Varsayımlar!B:S,18,0))</f>
        <v>0</v>
      </c>
      <c r="AD52" s="57" t="str">
        <f t="shared" si="1"/>
        <v>ALDİ - KOSOVATortillove 25cm 6pcs 390g</v>
      </c>
    </row>
    <row r="53" spans="1:30" ht="63" x14ac:dyDescent="0.25">
      <c r="A53" s="8" t="s">
        <v>80</v>
      </c>
      <c r="B53" s="62" t="s">
        <v>181</v>
      </c>
      <c r="C53" s="32">
        <f>IF(B53="","",VLOOKUP(AD53,Varsayımlar!$B:$Q,3,0))</f>
        <v>8698829380698</v>
      </c>
      <c r="D53" s="32"/>
      <c r="E53" s="62" t="s">
        <v>189</v>
      </c>
      <c r="F53" s="62">
        <v>26060101</v>
      </c>
      <c r="G53" s="32"/>
      <c r="H53" s="62" t="str">
        <f>IF(B53="","",VLOOKUP(AD53,Varsayımlar!$B:$Q,5,0))</f>
        <v>Tortillas 25cm</v>
      </c>
      <c r="I53" s="62" t="str">
        <f>IF(B53="","",VLOOKUP(AD53,Varsayımlar!B:T,19,0))</f>
        <v>Barkod üzerine Arnavutça içerik+Barkod-Tortillas</v>
      </c>
      <c r="J53" s="62" t="str">
        <f>IF(B53="","",VLOOKUP(AD53,Varsayımlar!$B:$Q,6,0))</f>
        <v>SADE</v>
      </c>
      <c r="K53" s="62">
        <v>84</v>
      </c>
      <c r="L53" s="62"/>
      <c r="M53" s="62">
        <f>IFERROR(IF(B53="","",K53/VLOOKUP(AD53,Varsayımlar!B:R,17,0)),"")</f>
        <v>1</v>
      </c>
      <c r="N53" s="62"/>
      <c r="O53" s="62">
        <v>1</v>
      </c>
      <c r="P53" s="62">
        <f>IF(B53="","",VLOOKUP(AD53,Varsayımlar!$B:$Q,7,0)*K53)</f>
        <v>1512</v>
      </c>
      <c r="Q53" s="62">
        <f>IF(B53="","",VLOOKUP(AD53,Varsayımlar!$B:$Q,8,0))</f>
        <v>25</v>
      </c>
      <c r="R53" s="62" t="str">
        <f>IF(B53="","",VLOOKUP(AD53,Varsayımlar!$B:$Q,9,0))</f>
        <v>Irak Soft</v>
      </c>
      <c r="S53" s="62">
        <f>IF(B53="","",VLOOKUP(AD53,Varsayımlar!$B:$Q,10,0))</f>
        <v>6</v>
      </c>
      <c r="T53" s="62">
        <f>IF(B53="","",VLOOKUP(AD53,Varsayımlar!$B:$Q,11,0))</f>
        <v>18</v>
      </c>
      <c r="U53" s="62">
        <f>IF(B53="","",VLOOKUP(AD53,Varsayımlar!$B:$Q,12,0))</f>
        <v>390</v>
      </c>
      <c r="V53" s="62" t="str">
        <f>IF(B53="","",VLOOKUP(AD53,Varsayımlar!$B:$Q,13,0))</f>
        <v>Yurtdışı</v>
      </c>
      <c r="W53" s="62">
        <f>IF(B53="","",VLOOKUP(AD53,Varsayımlar!$B:$Q,14,0))</f>
        <v>12</v>
      </c>
      <c r="X53" s="63">
        <v>46200</v>
      </c>
      <c r="Y53" s="63">
        <v>46565</v>
      </c>
      <c r="Z53" s="62">
        <v>26062725</v>
      </c>
      <c r="AA53" s="62" t="str">
        <f>IF(B53="","",VLOOKUP(AD53,Varsayımlar!$B:$Q,15,0))</f>
        <v>25cm Koli - Tortillas 390g Etiketli</v>
      </c>
      <c r="AB53" s="62" t="str">
        <f>IF(B53="","",VLOOKUP(AD53,Varsayımlar!$B:$Q,16,0))</f>
        <v>24-26 cm</v>
      </c>
      <c r="AC53" s="62">
        <f>IF(B53="","",VLOOKUP(Sayfa1!AD32,Varsayımlar!B:S,18,0))</f>
        <v>0</v>
      </c>
      <c r="AD53" s="57" t="str">
        <f t="shared" si="1"/>
        <v>ALDİ - KOSOVATortillas 25cm 6pcs 390g</v>
      </c>
    </row>
    <row r="54" spans="1:30" ht="47.25" x14ac:dyDescent="0.25">
      <c r="A54" s="8" t="s">
        <v>81</v>
      </c>
      <c r="B54" s="62" t="s">
        <v>181</v>
      </c>
      <c r="C54" s="32">
        <f>IF(B54="","",VLOOKUP(AD54,Varsayımlar!$B:$Q,3,0))</f>
        <v>8698829380698</v>
      </c>
      <c r="D54" s="32"/>
      <c r="E54" s="62" t="s">
        <v>192</v>
      </c>
      <c r="F54" s="62">
        <v>26060101</v>
      </c>
      <c r="G54" s="32"/>
      <c r="H54" s="62" t="str">
        <f>IF(B54="","",VLOOKUP(AD54,Varsayımlar!$B:$Q,5,0))</f>
        <v>Tortillove 25cm</v>
      </c>
      <c r="I54" s="62" t="str">
        <f>IF(B54="","",VLOOKUP(AD54,Varsayımlar!B:T,19,0))</f>
        <v>Arka kısma Arnavutça içerik-Tortillove</v>
      </c>
      <c r="J54" s="62" t="str">
        <f>IF(B54="","",VLOOKUP(AD54,Varsayımlar!$B:$Q,6,0))</f>
        <v>SADE</v>
      </c>
      <c r="K54" s="62">
        <v>168</v>
      </c>
      <c r="L54" s="62"/>
      <c r="M54" s="62">
        <f>IFERROR(IF(B54="","",K54/VLOOKUP(AD54,Varsayımlar!B:R,17,0)),"")</f>
        <v>2</v>
      </c>
      <c r="N54" s="62"/>
      <c r="O54" s="62">
        <v>2</v>
      </c>
      <c r="P54" s="62">
        <f>IF(B54="","",VLOOKUP(AD54,Varsayımlar!$B:$Q,7,0)*K54)</f>
        <v>2016</v>
      </c>
      <c r="Q54" s="62">
        <f>IF(B54="","",VLOOKUP(AD54,Varsayımlar!$B:$Q,8,0))</f>
        <v>25</v>
      </c>
      <c r="R54" s="62" t="str">
        <f>IF(B54="","",VLOOKUP(AD54,Varsayımlar!$B:$Q,9,0))</f>
        <v>Irak Soft</v>
      </c>
      <c r="S54" s="62">
        <f>IF(B54="","",VLOOKUP(AD54,Varsayımlar!$B:$Q,10,0))</f>
        <v>10</v>
      </c>
      <c r="T54" s="62">
        <f>IF(B54="","",VLOOKUP(AD54,Varsayımlar!$B:$Q,11,0))</f>
        <v>12</v>
      </c>
      <c r="U54" s="62">
        <f>IF(B54="","",VLOOKUP(AD54,Varsayımlar!$B:$Q,12,0))</f>
        <v>650</v>
      </c>
      <c r="V54" s="62" t="str">
        <f>IF(B54="","",VLOOKUP(AD54,Varsayımlar!$B:$Q,13,0))</f>
        <v>Yurtdışı</v>
      </c>
      <c r="W54" s="62">
        <f>IF(B54="","",VLOOKUP(AD54,Varsayımlar!$B:$Q,14,0))</f>
        <v>12</v>
      </c>
      <c r="X54" s="63">
        <v>46200</v>
      </c>
      <c r="Y54" s="63">
        <v>46565</v>
      </c>
      <c r="Z54" s="62">
        <v>26062725</v>
      </c>
      <c r="AA54" s="62" t="str">
        <f>IF(B54="","",VLOOKUP(AD54,Varsayımlar!$B:$Q,15,0))</f>
        <v>25cm Koli - Tortillove 650g Etiketli</v>
      </c>
      <c r="AB54" s="62" t="str">
        <f>IF(B54="","",VLOOKUP(AD54,Varsayımlar!$B:$Q,16,0))</f>
        <v>24-26 cm</v>
      </c>
      <c r="AC54" s="62">
        <f>IF(B54="","",VLOOKUP(Sayfa1!AD33,Varsayımlar!B:S,18,0))</f>
        <v>0</v>
      </c>
      <c r="AD54" s="57" t="str">
        <f t="shared" si="1"/>
        <v>ALDİ - KOSOVATortillove 25cm 10pcs 650g</v>
      </c>
    </row>
    <row r="55" spans="1:30" ht="47.25" x14ac:dyDescent="0.25">
      <c r="A55" s="8" t="s">
        <v>82</v>
      </c>
      <c r="B55" s="62" t="s">
        <v>181</v>
      </c>
      <c r="C55" s="32">
        <f>IF(B55="","",VLOOKUP(AD55,Varsayımlar!$B:$Q,3,0))</f>
        <v>8698829380698</v>
      </c>
      <c r="D55" s="32"/>
      <c r="E55" s="62" t="s">
        <v>193</v>
      </c>
      <c r="F55" s="62">
        <v>26060101</v>
      </c>
      <c r="G55" s="32"/>
      <c r="H55" s="62" t="str">
        <f>IF(B55="","",VLOOKUP(AD55,Varsayımlar!$B:$Q,5,0))</f>
        <v>Tortillas 25cm</v>
      </c>
      <c r="I55" s="62" t="str">
        <f>IF(B55="","",VLOOKUP(AD55,Varsayımlar!B:T,19,0))</f>
        <v>Arka kısma Arnavutça içerik-Tortillas</v>
      </c>
      <c r="J55" s="62" t="str">
        <f>IF(B55="","",VLOOKUP(AD55,Varsayımlar!$B:$Q,6,0))</f>
        <v>SADE</v>
      </c>
      <c r="K55" s="62">
        <v>84</v>
      </c>
      <c r="L55" s="62"/>
      <c r="M55" s="62">
        <f>IFERROR(IF(B55="","",K55/VLOOKUP(AD55,Varsayımlar!B:R,17,0)),"")</f>
        <v>1</v>
      </c>
      <c r="N55" s="62"/>
      <c r="O55" s="62">
        <v>2</v>
      </c>
      <c r="P55" s="62">
        <f>IF(B55="","",VLOOKUP(AD55,Varsayımlar!$B:$Q,7,0)*K55)</f>
        <v>1008</v>
      </c>
      <c r="Q55" s="62">
        <f>IF(B55="","",VLOOKUP(AD55,Varsayımlar!$B:$Q,8,0))</f>
        <v>25</v>
      </c>
      <c r="R55" s="62" t="str">
        <f>IF(B55="","",VLOOKUP(AD55,Varsayımlar!$B:$Q,9,0))</f>
        <v>Irak Soft</v>
      </c>
      <c r="S55" s="62">
        <f>IF(B55="","",VLOOKUP(AD55,Varsayımlar!$B:$Q,10,0))</f>
        <v>10</v>
      </c>
      <c r="T55" s="62">
        <f>IF(B55="","",VLOOKUP(AD55,Varsayımlar!$B:$Q,11,0))</f>
        <v>12</v>
      </c>
      <c r="U55" s="62">
        <f>IF(B55="","",VLOOKUP(AD55,Varsayımlar!$B:$Q,12,0))</f>
        <v>650</v>
      </c>
      <c r="V55" s="62" t="str">
        <f>IF(B55="","",VLOOKUP(AD55,Varsayımlar!$B:$Q,13,0))</f>
        <v>Yurtdışı</v>
      </c>
      <c r="W55" s="62">
        <f>IF(B55="","",VLOOKUP(AD55,Varsayımlar!$B:$Q,14,0))</f>
        <v>12</v>
      </c>
      <c r="X55" s="63">
        <v>46200</v>
      </c>
      <c r="Y55" s="63">
        <v>46565</v>
      </c>
      <c r="Z55" s="62">
        <v>26062725</v>
      </c>
      <c r="AA55" s="62" t="str">
        <f>IF(B55="","",VLOOKUP(AD55,Varsayımlar!$B:$Q,15,0))</f>
        <v>25cm Koli - Tortillas 650g Etiketli</v>
      </c>
      <c r="AB55" s="62" t="str">
        <f>IF(B55="","",VLOOKUP(AD55,Varsayımlar!$B:$Q,16,0))</f>
        <v>24-26 cm</v>
      </c>
      <c r="AC55" s="62">
        <f>IF(B55="","",VLOOKUP(Sayfa1!AD34,Varsayımlar!B:S,18,0))</f>
        <v>0</v>
      </c>
      <c r="AD55" s="57" t="str">
        <f t="shared" si="1"/>
        <v>ALDİ - KOSOVATortillas 25cm 10pcs 650g</v>
      </c>
    </row>
    <row r="56" spans="1:30" ht="31.5" hidden="1" x14ac:dyDescent="0.25">
      <c r="A56" s="8" t="s">
        <v>83</v>
      </c>
      <c r="B56" s="64" t="s">
        <v>288</v>
      </c>
      <c r="C56" s="3">
        <f>IF(B56="","",VLOOKUP(AD56,Varsayımlar!$B:$Q,3,0))</f>
        <v>8698829380698</v>
      </c>
      <c r="D56" s="3"/>
      <c r="E56" s="64" t="s">
        <v>292</v>
      </c>
      <c r="F56" s="64">
        <v>20201016</v>
      </c>
      <c r="G56" s="3" t="s">
        <v>68</v>
      </c>
      <c r="H56" s="64" t="str">
        <f>IF(B56="","",VLOOKUP(AD56,Varsayımlar!$B:$Q,5,0))</f>
        <v>Kırmızı Tortillas 25cm Sade</v>
      </c>
      <c r="I56" s="64" t="str">
        <f>IF(B56="","",VLOOKUP(AD56,Varsayımlar!B:T,19,0))</f>
        <v>Arka kısma İçerik</v>
      </c>
      <c r="J56" s="64" t="str">
        <f>IF(B56="","",VLOOKUP(AD56,Varsayımlar!$B:$Q,6,0))</f>
        <v>SADE</v>
      </c>
      <c r="K56" s="64">
        <v>250</v>
      </c>
      <c r="L56" s="64"/>
      <c r="M56" s="64">
        <f>IFERROR(IF(B56="","",K56/VLOOKUP(AD56,Varsayımlar!B:R,17,0)),"")</f>
        <v>5</v>
      </c>
      <c r="N56" s="64"/>
      <c r="O56" s="64">
        <v>4</v>
      </c>
      <c r="P56" s="64">
        <f>IF(B56="","",VLOOKUP(AD56,Varsayımlar!$B:$Q,7,0)*K56)</f>
        <v>4500</v>
      </c>
      <c r="Q56" s="64">
        <f>IF(B56="","",VLOOKUP(AD56,Varsayımlar!$B:$Q,8,0))</f>
        <v>25</v>
      </c>
      <c r="R56" s="64" t="str">
        <f>IF(B56="","",VLOOKUP(AD56,Varsayımlar!$B:$Q,9,0))</f>
        <v>Irak Soft</v>
      </c>
      <c r="S56" s="64">
        <f>IF(B56="","",VLOOKUP(AD56,Varsayımlar!$B:$Q,10,0))</f>
        <v>6</v>
      </c>
      <c r="T56" s="64">
        <f>IF(B56="","",VLOOKUP(AD56,Varsayımlar!$B:$Q,11,0))</f>
        <v>18</v>
      </c>
      <c r="U56" s="64">
        <f>IF(B56="","",VLOOKUP(AD56,Varsayımlar!$B:$Q,12,0))</f>
        <v>390</v>
      </c>
      <c r="V56" s="64" t="str">
        <f>IF(B56="","",VLOOKUP(AD56,Varsayımlar!$B:$Q,13,0))</f>
        <v>YURTDIŞI</v>
      </c>
      <c r="W56" s="64">
        <f>IF(B56="","",VLOOKUP(AD56,Varsayımlar!$B:$Q,14,0))</f>
        <v>9</v>
      </c>
      <c r="X56" s="66">
        <v>46202</v>
      </c>
      <c r="Y56" s="66">
        <v>46475</v>
      </c>
      <c r="Z56" s="64">
        <v>26062925</v>
      </c>
      <c r="AA56" s="64" t="str">
        <f>IF(B56="","",VLOOKUP(AD56,Varsayımlar!$B:$Q,15,0))</f>
        <v>25cm Koli</v>
      </c>
      <c r="AB56" s="64" t="str">
        <f>IF(B56="","",VLOOKUP(AD56,Varsayımlar!$B:$Q,16,0))</f>
        <v>24-26 cm</v>
      </c>
      <c r="AC56" s="64" t="str">
        <f>IF(B56="","",VLOOKUP(Sayfa1!AD42,Varsayımlar!B:S,18,0))</f>
        <v>80x120cm</v>
      </c>
      <c r="AD56" s="57" t="str">
        <f t="shared" si="1"/>
        <v>UNITERA-KAZAKİSTANKırmızı Tortillas 25cm Sade 6pcs 390g</v>
      </c>
    </row>
    <row r="57" spans="1:30" ht="31.5" hidden="1" x14ac:dyDescent="0.25">
      <c r="A57" s="8" t="s">
        <v>84</v>
      </c>
      <c r="B57" s="80" t="s">
        <v>218</v>
      </c>
      <c r="C57" s="44">
        <f>IF(B57="","",VLOOKUP(AD57,Varsayımlar!$B:$Q,3,0))</f>
        <v>8698829380698</v>
      </c>
      <c r="D57" s="44" t="s">
        <v>160</v>
      </c>
      <c r="E57" s="80" t="s">
        <v>228</v>
      </c>
      <c r="F57" s="80">
        <v>26042907</v>
      </c>
      <c r="G57" s="44"/>
      <c r="H57" s="80" t="str">
        <f>IF(B57="","",VLOOKUP(AD57,Varsayımlar!$B:$Q,5,0))</f>
        <v>Tortillas Avrupa 25cm (698)</v>
      </c>
      <c r="I57" s="80">
        <f>IF(B57="","",VLOOKUP(AD57,Varsayımlar!B:T,19,0))</f>
        <v>0</v>
      </c>
      <c r="J57" s="80" t="str">
        <f>IF(B57="","",VLOOKUP(AD57,Varsayımlar!$B:$Q,6,0))</f>
        <v>SADE</v>
      </c>
      <c r="K57" s="80">
        <v>720</v>
      </c>
      <c r="L57" s="80"/>
      <c r="M57" s="80">
        <f>IFERROR(IF(B57="","",K57/VLOOKUP(AD57,Varsayımlar!B:R,17,0)),"")</f>
        <v>6</v>
      </c>
      <c r="N57" s="80"/>
      <c r="O57" s="80">
        <v>7</v>
      </c>
      <c r="P57" s="80">
        <f>IF(B57="","",VLOOKUP(AD57,Varsayımlar!$B:$Q,7,0)*K57)</f>
        <v>5760</v>
      </c>
      <c r="Q57" s="80">
        <f>IF(B57="","",VLOOKUP(AD57,Varsayımlar!$B:$Q,8,0))</f>
        <v>25</v>
      </c>
      <c r="R57" s="80" t="str">
        <f>IF(B57="","",VLOOKUP(AD57,Varsayımlar!$B:$Q,9,0))</f>
        <v>Irak Soft</v>
      </c>
      <c r="S57" s="80">
        <f>IF(B57="","",VLOOKUP(AD57,Varsayımlar!$B:$Q,10,0))</f>
        <v>10</v>
      </c>
      <c r="T57" s="80">
        <f>IF(B57="","",VLOOKUP(AD57,Varsayımlar!$B:$Q,11,0))</f>
        <v>8</v>
      </c>
      <c r="U57" s="80">
        <f>IF(B57="","",VLOOKUP(AD57,Varsayımlar!$B:$Q,12,0))</f>
        <v>650</v>
      </c>
      <c r="V57" s="80" t="str">
        <f>IF(B57="","",VLOOKUP(AD57,Varsayımlar!$B:$Q,13,0))</f>
        <v>Yurtdışı</v>
      </c>
      <c r="W57" s="80">
        <f>IF(B57="","",VLOOKUP(AD57,Varsayımlar!$B:$Q,14,0))</f>
        <v>9</v>
      </c>
      <c r="X57" s="81">
        <v>46203</v>
      </c>
      <c r="Y57" s="81">
        <v>46476</v>
      </c>
      <c r="Z57" s="80">
        <v>26063025</v>
      </c>
      <c r="AA57" s="80" t="str">
        <f>IF(B57="","",VLOOKUP(AD57,Varsayımlar!$B:$Q,15,0))</f>
        <v>25cm Perforeli-Bulgarca etiket</v>
      </c>
      <c r="AB57" s="80" t="str">
        <f>IF(B57="","",VLOOKUP(AD57,Varsayımlar!$B:$Q,16,0))</f>
        <v>24-26 cm</v>
      </c>
      <c r="AC57" s="80" t="str">
        <f>IF(B57="","",VLOOKUP(Sayfa1!AD56,Varsayımlar!B:S,18,0))</f>
        <v>80x120cm -Epal+Epal</v>
      </c>
      <c r="AD57" s="57" t="str">
        <f t="shared" si="1"/>
        <v>TASTE LAND-BULGARİSTANTortillas 25cm Sade 10pcs 650g</v>
      </c>
    </row>
    <row r="58" spans="1:30" ht="47.25" hidden="1" x14ac:dyDescent="0.25">
      <c r="A58" s="8" t="s">
        <v>85</v>
      </c>
      <c r="B58" s="54" t="s">
        <v>268</v>
      </c>
      <c r="C58" s="39">
        <f>IF(B58="","",VLOOKUP(AD58,Varsayımlar!$B:$Q,3,0))</f>
        <v>8698829380698</v>
      </c>
      <c r="D58" s="39" t="s">
        <v>160</v>
      </c>
      <c r="E58" s="54" t="s">
        <v>342</v>
      </c>
      <c r="F58" s="54" t="s">
        <v>343</v>
      </c>
      <c r="G58" s="39" t="s">
        <v>68</v>
      </c>
      <c r="H58" s="54" t="str">
        <f>IF(B58="","",VLOOKUP(AD58,Varsayımlar!$B:$Q,5,0))</f>
        <v>Tortillas 25cm Sade</v>
      </c>
      <c r="I58" s="54">
        <f>IF(B58="","",VLOOKUP(AD58,Varsayımlar!B:T,19,0))</f>
        <v>0</v>
      </c>
      <c r="J58" s="54" t="str">
        <f>IF(B58="","",VLOOKUP(AD58,Varsayımlar!$B:$Q,6,0))</f>
        <v>SADE</v>
      </c>
      <c r="K58" s="54">
        <v>420</v>
      </c>
      <c r="L58" s="54"/>
      <c r="M58" s="54">
        <f>IFERROR(IF(B58="","",K58/VLOOKUP(AD58,Varsayımlar!B:R,17,0)),"")</f>
        <v>5</v>
      </c>
      <c r="N58" s="54"/>
      <c r="O58" s="54">
        <v>7</v>
      </c>
      <c r="P58" s="54">
        <f>IF(B58="","",VLOOKUP(AD58,Varsayımlar!$B:$Q,7,0)*K58)</f>
        <v>12600</v>
      </c>
      <c r="Q58" s="54">
        <f>IF(B58="","",VLOOKUP(AD58,Varsayımlar!$B:$Q,8,0))</f>
        <v>25</v>
      </c>
      <c r="R58" s="54" t="str">
        <f>IF(B58="","",VLOOKUP(AD58,Varsayımlar!$B:$Q,9,0))</f>
        <v>Soft-PA3</v>
      </c>
      <c r="S58" s="54">
        <f>IF(B58="","",VLOOKUP(AD58,Varsayımlar!$B:$Q,10,0))</f>
        <v>4</v>
      </c>
      <c r="T58" s="54">
        <f>IF(B58="","",VLOOKUP(AD58,Varsayımlar!$B:$Q,11,0))</f>
        <v>30</v>
      </c>
      <c r="U58" s="54">
        <f>IF(B58="","",VLOOKUP(AD58,Varsayımlar!$B:$Q,12,0))</f>
        <v>240</v>
      </c>
      <c r="V58" s="54" t="str">
        <f>IF(B58="","",VLOOKUP(AD58,Varsayımlar!$B:$Q,13,0))</f>
        <v>Yurtdışı</v>
      </c>
      <c r="W58" s="54">
        <f>IF(B58="","",VLOOKUP(AD58,Varsayımlar!$B:$Q,14,0))</f>
        <v>12</v>
      </c>
      <c r="X58" s="56">
        <v>46205</v>
      </c>
      <c r="Y58" s="56">
        <v>46570</v>
      </c>
      <c r="Z58" s="54">
        <v>26070225</v>
      </c>
      <c r="AA58" s="54" t="str">
        <f>IF(B58="","",VLOOKUP(AD58,Varsayımlar!$B:$Q,15,0))</f>
        <v>25cm Kolisi-Etiketli</v>
      </c>
      <c r="AB58" s="54" t="str">
        <f>IF(B58="","",VLOOKUP(AD58,Varsayımlar!$B:$Q,16,0))</f>
        <v>24-26 cm (Macca Hetto Inkjet Uzun Tarih)</v>
      </c>
      <c r="AC58" s="54" t="str">
        <f>IF(B58="","",VLOOKUP(Sayfa1!AD35,Varsayımlar!B:S,18,0))</f>
        <v>80x120cm</v>
      </c>
      <c r="AD58" s="57" t="str">
        <f>IF(B58="","",CONCATENATE(B58,E58))</f>
        <v>LAIKYUZHN-BELARUSTortillas 25cm Sade 4pcs 240g</v>
      </c>
    </row>
    <row r="59" spans="1:30" ht="47.25" hidden="1" x14ac:dyDescent="0.25">
      <c r="A59" s="8" t="s">
        <v>86</v>
      </c>
      <c r="B59" s="64" t="s">
        <v>119</v>
      </c>
      <c r="C59" s="3">
        <f>IF(B59="","",VLOOKUP(AD59,Varsayımlar!$B:$Q,3,0))</f>
        <v>8698829380698</v>
      </c>
      <c r="D59" s="3"/>
      <c r="E59" s="65" t="s">
        <v>120</v>
      </c>
      <c r="F59" s="64"/>
      <c r="G59" s="64"/>
      <c r="H59" s="64" t="str">
        <f>IF(B59="","",VLOOKUP(AD59,Varsayımlar!$B:$Q,5,0))</f>
        <v>Nimet 25 cm</v>
      </c>
      <c r="I59" s="64"/>
      <c r="J59" s="64" t="str">
        <f>IF(B59="","",VLOOKUP(AD59,Varsayımlar!$B:$Q,6,0))</f>
        <v>SADE</v>
      </c>
      <c r="K59" s="64">
        <v>4000</v>
      </c>
      <c r="L59" s="64"/>
      <c r="M59" s="64">
        <f>IFERROR(IF(B59="","",K59/VLOOKUP(AD59,Varsayımlar!B:R,17,0)),"")</f>
        <v>80</v>
      </c>
      <c r="N59" s="64"/>
      <c r="O59" s="64">
        <v>60</v>
      </c>
      <c r="P59" s="64">
        <f>IF(B59="","",VLOOKUP(AD59,Varsayımlar!$B:$Q,7,0)*K59)</f>
        <v>48000</v>
      </c>
      <c r="Q59" s="64">
        <f>IF(B59="","",VLOOKUP(AD59,Varsayımlar!$B:$Q,8,0))</f>
        <v>25</v>
      </c>
      <c r="R59" s="64" t="str">
        <f>IF(B59="","",VLOOKUP(AD59,Varsayımlar!$B:$Q,9,0))</f>
        <v>Standart</v>
      </c>
      <c r="S59" s="64">
        <f>IF(B59="","",VLOOKUP(AD59,Varsayımlar!$B:$Q,10,0))</f>
        <v>12</v>
      </c>
      <c r="T59" s="64">
        <f>IF(B59="","",VLOOKUP(AD59,Varsayımlar!$B:$Q,11,0))</f>
        <v>12</v>
      </c>
      <c r="U59" s="64">
        <f>IF(B59="","",VLOOKUP(AD59,Varsayımlar!$B:$Q,12,0))</f>
        <v>840</v>
      </c>
      <c r="V59" s="64" t="str">
        <f>IF(B59="","",VLOOKUP(AD59,Varsayımlar!$B:$Q,13,0))</f>
        <v>YURTİÇİ</v>
      </c>
      <c r="W59" s="64">
        <f>IF(B59="","",VLOOKUP(AD59,Varsayımlar!$B:$Q,14,0))</f>
        <v>5</v>
      </c>
      <c r="X59" s="66" t="s">
        <v>113</v>
      </c>
      <c r="Y59" s="66" t="s">
        <v>113</v>
      </c>
      <c r="Z59" s="64" t="s">
        <v>113</v>
      </c>
      <c r="AA59" s="64" t="str">
        <f>IF(B59="","",VLOOKUP(AD59,Varsayımlar!$B:$Q,15,0))</f>
        <v>Nimet Kolisi</v>
      </c>
      <c r="AB59" s="64" t="str">
        <f>IF(B59="","",VLOOKUP(AD59,Varsayımlar!$B:$Q,16,0))</f>
        <v>24-26 CM</v>
      </c>
      <c r="AC59" s="64" t="s">
        <v>360</v>
      </c>
      <c r="AD59" s="57" t="str">
        <f t="shared" ref="AD59:AD66" si="2">IF(B59="","",CONCATENATE(B59,E59))</f>
        <v>A101Nimet 25cm 12 pcs 840g</v>
      </c>
    </row>
    <row r="60" spans="1:30" ht="31.5" hidden="1" x14ac:dyDescent="0.25">
      <c r="A60" s="8" t="s">
        <v>87</v>
      </c>
      <c r="B60" s="75" t="s">
        <v>218</v>
      </c>
      <c r="C60" s="43">
        <f>IF(B60="","",VLOOKUP(AD60,Varsayımlar!$B:$Q,3,0))</f>
        <v>8698829380698</v>
      </c>
      <c r="D60" s="43" t="s">
        <v>161</v>
      </c>
      <c r="E60" s="75" t="s">
        <v>228</v>
      </c>
      <c r="F60" s="75" t="s">
        <v>341</v>
      </c>
      <c r="G60" s="43"/>
      <c r="H60" s="75" t="str">
        <f>IF(B60="","",VLOOKUP(AD60,Varsayımlar!$B:$Q,5,0))</f>
        <v>Tortillas Avrupa 25cm (698)</v>
      </c>
      <c r="I60" s="75">
        <f>IF(B60="","",VLOOKUP(AD60,Varsayımlar!B:T,19,0))</f>
        <v>0</v>
      </c>
      <c r="J60" s="75" t="str">
        <f>IF(B60="","",VLOOKUP(AD60,Varsayımlar!$B:$Q,6,0))</f>
        <v>SADE</v>
      </c>
      <c r="K60" s="75">
        <v>720</v>
      </c>
      <c r="L60" s="75"/>
      <c r="M60" s="75">
        <f>IFERROR(IF(B60="","",K60/VLOOKUP(AD60,Varsayımlar!B:R,17,0)),"")</f>
        <v>6</v>
      </c>
      <c r="N60" s="75"/>
      <c r="O60" s="75">
        <v>7</v>
      </c>
      <c r="P60" s="75">
        <f>IF(B60="","",VLOOKUP(AD60,Varsayımlar!$B:$Q,7,0)*K60)</f>
        <v>5760</v>
      </c>
      <c r="Q60" s="75">
        <f>IF(B60="","",VLOOKUP(AD60,Varsayımlar!$B:$Q,8,0))</f>
        <v>25</v>
      </c>
      <c r="R60" s="75" t="str">
        <f>IF(B60="","",VLOOKUP(AD60,Varsayımlar!$B:$Q,9,0))</f>
        <v>Irak Soft</v>
      </c>
      <c r="S60" s="75">
        <f>IF(B60="","",VLOOKUP(AD60,Varsayımlar!$B:$Q,10,0))</f>
        <v>10</v>
      </c>
      <c r="T60" s="75">
        <f>IF(B60="","",VLOOKUP(AD60,Varsayımlar!$B:$Q,11,0))</f>
        <v>8</v>
      </c>
      <c r="U60" s="75">
        <f>IF(B60="","",VLOOKUP(AD60,Varsayımlar!$B:$Q,12,0))</f>
        <v>650</v>
      </c>
      <c r="V60" s="75" t="str">
        <f>IF(B60="","",VLOOKUP(AD60,Varsayımlar!$B:$Q,13,0))</f>
        <v>Yurtdışı</v>
      </c>
      <c r="W60" s="75">
        <f>IF(B60="","",VLOOKUP(AD60,Varsayımlar!$B:$Q,14,0))</f>
        <v>9</v>
      </c>
      <c r="X60" s="76"/>
      <c r="Y60" s="76"/>
      <c r="Z60" s="75"/>
      <c r="AA60" s="75" t="str">
        <f>IF(B60="","",VLOOKUP(AD60,Varsayımlar!$B:$Q,15,0))</f>
        <v>25cm Perforeli-Bulgarca etiket</v>
      </c>
      <c r="AB60" s="75" t="str">
        <f>IF(B60="","",VLOOKUP(AD60,Varsayımlar!$B:$Q,16,0))</f>
        <v>24-26 cm</v>
      </c>
      <c r="AC60" s="75" t="str">
        <f>IF(B60="","",VLOOKUP(Sayfa1!AD61,Varsayımlar!B:S,18,0))</f>
        <v>80x120cm -Epal+Epal</v>
      </c>
      <c r="AD60" s="57" t="str">
        <f t="shared" si="2"/>
        <v>TASTE LAND-BULGARİSTANTortillas 25cm Sade 10pcs 650g</v>
      </c>
    </row>
    <row r="61" spans="1:30" ht="47.25" hidden="1" x14ac:dyDescent="0.25">
      <c r="A61" s="8" t="s">
        <v>88</v>
      </c>
      <c r="B61" s="75" t="s">
        <v>218</v>
      </c>
      <c r="C61" s="43">
        <f>IF(B61="","",VLOOKUP(AD61,Varsayımlar!$B:$Q,3,0))</f>
        <v>8698829380698</v>
      </c>
      <c r="D61" s="43" t="s">
        <v>161</v>
      </c>
      <c r="E61" s="75" t="s">
        <v>250</v>
      </c>
      <c r="F61" s="75" t="s">
        <v>341</v>
      </c>
      <c r="G61" s="43"/>
      <c r="H61" s="75" t="str">
        <f>IF(B61="","",VLOOKUP(AD61,Varsayımlar!$B:$Q,5,0))</f>
        <v>Tortillas Avrupa 25cm (698)</v>
      </c>
      <c r="I61" s="75" t="str">
        <f>IF(B61="","",VLOOKUP(AD61,Varsayımlar!B:T,19,0))</f>
        <v>Barkod üzerine Barkod Etiketi (050)</v>
      </c>
      <c r="J61" s="75" t="str">
        <f>IF(B61="","",VLOOKUP(AD61,Varsayımlar!$B:$Q,6,0))</f>
        <v>SADE</v>
      </c>
      <c r="K61" s="75">
        <v>168</v>
      </c>
      <c r="L61" s="75"/>
      <c r="M61" s="75">
        <f>IFERROR(IF(B61="","",K61/VLOOKUP(AD61,Varsayımlar!B:R,17,0)),"")</f>
        <v>2</v>
      </c>
      <c r="N61" s="75"/>
      <c r="O61" s="75">
        <v>3</v>
      </c>
      <c r="P61" s="75">
        <f>IF(B61="","",VLOOKUP(AD61,Varsayımlar!$B:$Q,7,0)*K61)</f>
        <v>3024</v>
      </c>
      <c r="Q61" s="75">
        <f>IF(B61="","",VLOOKUP(AD61,Varsayımlar!$B:$Q,8,0))</f>
        <v>25</v>
      </c>
      <c r="R61" s="75" t="str">
        <f>IF(B61="","",VLOOKUP(AD61,Varsayımlar!$B:$Q,9,0))</f>
        <v>Irak Soft</v>
      </c>
      <c r="S61" s="75">
        <f>IF(B61="","",VLOOKUP(AD61,Varsayımlar!$B:$Q,10,0))</f>
        <v>6</v>
      </c>
      <c r="T61" s="75">
        <f>IF(B61="","",VLOOKUP(AD61,Varsayımlar!$B:$Q,11,0))</f>
        <v>18</v>
      </c>
      <c r="U61" s="75">
        <f>IF(B61="","",VLOOKUP(AD61,Varsayımlar!$B:$Q,12,0))</f>
        <v>390</v>
      </c>
      <c r="V61" s="75" t="str">
        <f>IF(B61="","",VLOOKUP(AD61,Varsayımlar!$B:$Q,13,0))</f>
        <v>Yurtdışı</v>
      </c>
      <c r="W61" s="75">
        <f>IF(B61="","",VLOOKUP(AD61,Varsayımlar!$B:$Q,14,0))</f>
        <v>9</v>
      </c>
      <c r="X61" s="76"/>
      <c r="Y61" s="76"/>
      <c r="Z61" s="75"/>
      <c r="AA61" s="75" t="str">
        <f>IF(B61="","",VLOOKUP(AD61,Varsayımlar!$B:$Q,15,0))</f>
        <v>25cm Kırmızı koli-Bulgarca Etiket</v>
      </c>
      <c r="AB61" s="75" t="str">
        <f>IF(B61="","",VLOOKUP(AD61,Varsayımlar!$B:$Q,16,0))</f>
        <v>24-26 cm</v>
      </c>
      <c r="AC61" s="75" t="str">
        <f>IF(B61="","",VLOOKUP(Sayfa1!AD62,Varsayımlar!B:S,18,0))</f>
        <v>80x120cm -Epal+Epal</v>
      </c>
      <c r="AD61" s="57" t="str">
        <f t="shared" si="2"/>
        <v>TASTE LAND-BULGARİSTANTortillas 25cm Sade 6pcs 390g</v>
      </c>
    </row>
    <row r="62" spans="1:30" hidden="1" x14ac:dyDescent="0.25">
      <c r="A62" s="8" t="s">
        <v>92</v>
      </c>
      <c r="B62" s="67"/>
      <c r="C62" s="42" t="str">
        <f>IF(B62="","",VLOOKUP(AD62,Varsayımlar!$B:$Q,3,0))</f>
        <v/>
      </c>
      <c r="D62" s="42"/>
      <c r="E62" s="42"/>
      <c r="F62" s="67"/>
      <c r="G62" s="67"/>
      <c r="H62" s="67" t="str">
        <f>IF(B62="","",VLOOKUP(AD62,Varsayımlar!$B:$Q,5,0))</f>
        <v/>
      </c>
      <c r="I62" s="67"/>
      <c r="J62" s="67" t="str">
        <f>IF(B62="","",VLOOKUP(AD62,Varsayımlar!$B:$Q,6,0))</f>
        <v/>
      </c>
      <c r="K62" s="67"/>
      <c r="L62" s="67"/>
      <c r="M62" s="67" t="str">
        <f>IFERROR(IF(B62="","",K62/VLOOKUP(AD62,Varsayımlar!B:R,17,0)),"")</f>
        <v/>
      </c>
      <c r="N62" s="67"/>
      <c r="O62" s="67"/>
      <c r="P62" s="67" t="str">
        <f>IF(B62="","",VLOOKUP(AD62,Varsayımlar!$B:$Q,7,0)*K62)</f>
        <v/>
      </c>
      <c r="Q62" s="67" t="str">
        <f>IF(B62="","",VLOOKUP(AD62,Varsayımlar!$B:$Q,8,0))</f>
        <v/>
      </c>
      <c r="R62" s="67" t="str">
        <f>IF(B62="","",VLOOKUP(AD62,Varsayımlar!$B:$Q,9,0))</f>
        <v/>
      </c>
      <c r="S62" s="67" t="str">
        <f>IF(B62="","",VLOOKUP(AD62,Varsayımlar!$B:$Q,10,0))</f>
        <v/>
      </c>
      <c r="T62" s="67" t="str">
        <f>IF(B62="","",VLOOKUP(AD62,Varsayımlar!$B:$Q,11,0))</f>
        <v/>
      </c>
      <c r="U62" s="67" t="str">
        <f>IF(B62="","",VLOOKUP(AD62,Varsayımlar!$B:$Q,12,0))</f>
        <v/>
      </c>
      <c r="V62" s="67" t="str">
        <f>IF(B62="","",VLOOKUP(AD62,Varsayımlar!$B:$Q,13,0))</f>
        <v/>
      </c>
      <c r="W62" s="67" t="str">
        <f>IF(B62="","",VLOOKUP(AD62,Varsayımlar!$B:$Q,14,0))</f>
        <v/>
      </c>
      <c r="X62" s="69"/>
      <c r="Y62" s="69"/>
      <c r="Z62" s="67"/>
      <c r="AA62" s="67" t="str">
        <f>IF(B62="","",VLOOKUP(AD62,Varsayımlar!$B:$Q,15,0))</f>
        <v/>
      </c>
      <c r="AB62" s="67" t="str">
        <f>IF(B62="","",VLOOKUP(AD62,Varsayımlar!$B:$Q,16,0))</f>
        <v/>
      </c>
      <c r="AC62" s="67"/>
      <c r="AD62" s="57" t="str">
        <f t="shared" si="2"/>
        <v/>
      </c>
    </row>
    <row r="63" spans="1:30" hidden="1" x14ac:dyDescent="0.25">
      <c r="A63" s="8" t="s">
        <v>93</v>
      </c>
      <c r="B63" s="67"/>
      <c r="C63" s="42" t="str">
        <f>IF(B63="","",VLOOKUP(AD63,Varsayımlar!$B:$Q,3,0))</f>
        <v/>
      </c>
      <c r="D63" s="42"/>
      <c r="E63" s="42"/>
      <c r="F63" s="67"/>
      <c r="G63" s="67"/>
      <c r="H63" s="67" t="str">
        <f>IF(B63="","",VLOOKUP(AD63,Varsayımlar!$B:$Q,5,0))</f>
        <v/>
      </c>
      <c r="I63" s="67"/>
      <c r="J63" s="67" t="str">
        <f>IF(B63="","",VLOOKUP(AD63,Varsayımlar!$B:$Q,6,0))</f>
        <v/>
      </c>
      <c r="K63" s="67"/>
      <c r="L63" s="67"/>
      <c r="M63" s="67" t="str">
        <f>IFERROR(IF(B63="","",K63/VLOOKUP(AD63,Varsayımlar!B:R,17,0)),"")</f>
        <v/>
      </c>
      <c r="N63" s="67"/>
      <c r="O63" s="67"/>
      <c r="P63" s="67" t="str">
        <f>IF(B63="","",VLOOKUP(AD63,Varsayımlar!$B:$Q,7,0)*K63)</f>
        <v/>
      </c>
      <c r="Q63" s="67" t="str">
        <f>IF(B63="","",VLOOKUP(AD63,Varsayımlar!$B:$Q,8,0))</f>
        <v/>
      </c>
      <c r="R63" s="67" t="str">
        <f>IF(B63="","",VLOOKUP(AD63,Varsayımlar!$B:$Q,9,0))</f>
        <v/>
      </c>
      <c r="S63" s="67" t="str">
        <f>IF(B63="","",VLOOKUP(AD63,Varsayımlar!$B:$Q,10,0))</f>
        <v/>
      </c>
      <c r="T63" s="67" t="str">
        <f>IF(B63="","",VLOOKUP(AD63,Varsayımlar!$B:$Q,11,0))</f>
        <v/>
      </c>
      <c r="U63" s="67" t="str">
        <f>IF(B63="","",VLOOKUP(AD63,Varsayımlar!$B:$Q,12,0))</f>
        <v/>
      </c>
      <c r="V63" s="67" t="str">
        <f>IF(B63="","",VLOOKUP(AD63,Varsayımlar!$B:$Q,13,0))</f>
        <v/>
      </c>
      <c r="W63" s="67" t="str">
        <f>IF(B63="","",VLOOKUP(AD63,Varsayımlar!$B:$Q,14,0))</f>
        <v/>
      </c>
      <c r="X63" s="69"/>
      <c r="Y63" s="69"/>
      <c r="Z63" s="67"/>
      <c r="AA63" s="67" t="str">
        <f>IF(B63="","",VLOOKUP(AD63,Varsayımlar!$B:$Q,15,0))</f>
        <v/>
      </c>
      <c r="AB63" s="67" t="str">
        <f>IF(B63="","",VLOOKUP(AD63,Varsayımlar!$B:$Q,16,0))</f>
        <v/>
      </c>
      <c r="AC63" s="67"/>
      <c r="AD63" s="57" t="str">
        <f t="shared" si="2"/>
        <v/>
      </c>
    </row>
    <row r="64" spans="1:30" hidden="1" x14ac:dyDescent="0.25">
      <c r="A64" s="8" t="s">
        <v>135</v>
      </c>
      <c r="B64" s="67"/>
      <c r="C64" s="42" t="str">
        <f>IF(B64="","",VLOOKUP(AD64,Varsayımlar!$B:$Q,3,0))</f>
        <v/>
      </c>
      <c r="D64" s="42"/>
      <c r="E64" s="42"/>
      <c r="F64" s="67"/>
      <c r="G64" s="67"/>
      <c r="H64" s="67" t="str">
        <f>IF(B64="","",VLOOKUP(AD64,Varsayımlar!$B:$Q,5,0))</f>
        <v/>
      </c>
      <c r="I64" s="67"/>
      <c r="J64" s="67" t="str">
        <f>IF(B64="","",VLOOKUP(AD64,Varsayımlar!$B:$Q,6,0))</f>
        <v/>
      </c>
      <c r="K64" s="67"/>
      <c r="L64" s="67"/>
      <c r="M64" s="67" t="str">
        <f>IFERROR(IF(B64="","",K64/VLOOKUP(AD64,Varsayımlar!B:R,17,0)),"")</f>
        <v/>
      </c>
      <c r="N64" s="67"/>
      <c r="O64" s="67"/>
      <c r="P64" s="67" t="str">
        <f>IF(B64="","",VLOOKUP(AD64,Varsayımlar!$B:$Q,7,0)*K64)</f>
        <v/>
      </c>
      <c r="Q64" s="67" t="str">
        <f>IF(B64="","",VLOOKUP(AD64,Varsayımlar!$B:$Q,8,0))</f>
        <v/>
      </c>
      <c r="R64" s="67" t="str">
        <f>IF(B64="","",VLOOKUP(AD64,Varsayımlar!$B:$Q,9,0))</f>
        <v/>
      </c>
      <c r="S64" s="67" t="str">
        <f>IF(B64="","",VLOOKUP(AD64,Varsayımlar!$B:$Q,10,0))</f>
        <v/>
      </c>
      <c r="T64" s="67" t="str">
        <f>IF(B64="","",VLOOKUP(AD64,Varsayımlar!$B:$Q,11,0))</f>
        <v/>
      </c>
      <c r="U64" s="67" t="str">
        <f>IF(B64="","",VLOOKUP(AD64,Varsayımlar!$B:$Q,12,0))</f>
        <v/>
      </c>
      <c r="V64" s="67" t="str">
        <f>IF(B64="","",VLOOKUP(AD64,Varsayımlar!$B:$Q,13,0))</f>
        <v/>
      </c>
      <c r="W64" s="67" t="str">
        <f>IF(B64="","",VLOOKUP(AD64,Varsayımlar!$B:$Q,14,0))</f>
        <v/>
      </c>
      <c r="X64" s="69"/>
      <c r="Y64" s="69"/>
      <c r="Z64" s="67"/>
      <c r="AA64" s="67" t="str">
        <f>IF(B64="","",VLOOKUP(AD64,Varsayımlar!$B:$Q,15,0))</f>
        <v/>
      </c>
      <c r="AB64" s="67" t="str">
        <f>IF(B64="","",VLOOKUP(AD64,Varsayımlar!$B:$Q,16,0))</f>
        <v/>
      </c>
      <c r="AC64" s="67"/>
      <c r="AD64" s="57" t="str">
        <f t="shared" si="2"/>
        <v/>
      </c>
    </row>
    <row r="65" spans="1:30" hidden="1" x14ac:dyDescent="0.25">
      <c r="A65" s="8" t="s">
        <v>136</v>
      </c>
      <c r="B65" s="67"/>
      <c r="C65" s="42" t="str">
        <f>IF(B65="","",VLOOKUP(AD65,Varsayımlar!$B:$Q,3,0))</f>
        <v/>
      </c>
      <c r="D65" s="42"/>
      <c r="E65" s="42"/>
      <c r="F65" s="67"/>
      <c r="G65" s="67"/>
      <c r="H65" s="67" t="str">
        <f>IF(B65="","",VLOOKUP(AD65,Varsayımlar!$B:$Q,5,0))</f>
        <v/>
      </c>
      <c r="I65" s="67"/>
      <c r="J65" s="67" t="str">
        <f>IF(B65="","",VLOOKUP(AD65,Varsayımlar!$B:$Q,6,0))</f>
        <v/>
      </c>
      <c r="K65" s="67"/>
      <c r="L65" s="67"/>
      <c r="M65" s="67" t="str">
        <f>IFERROR(IF(B65="","",K65/VLOOKUP(AD65,Varsayımlar!B:R,17,0)),"")</f>
        <v/>
      </c>
      <c r="N65" s="67"/>
      <c r="O65" s="67"/>
      <c r="P65" s="67" t="str">
        <f>IF(B65="","",VLOOKUP(AD65,Varsayımlar!$B:$Q,7,0)*K65)</f>
        <v/>
      </c>
      <c r="Q65" s="67" t="str">
        <f>IF(B65="","",VLOOKUP(AD65,Varsayımlar!$B:$Q,8,0))</f>
        <v/>
      </c>
      <c r="R65" s="67" t="str">
        <f>IF(B65="","",VLOOKUP(AD65,Varsayımlar!$B:$Q,9,0))</f>
        <v/>
      </c>
      <c r="S65" s="67" t="str">
        <f>IF(B65="","",VLOOKUP(AD65,Varsayımlar!$B:$Q,10,0))</f>
        <v/>
      </c>
      <c r="T65" s="67" t="str">
        <f>IF(B65="","",VLOOKUP(AD65,Varsayımlar!$B:$Q,11,0))</f>
        <v/>
      </c>
      <c r="U65" s="67" t="str">
        <f>IF(B65="","",VLOOKUP(AD65,Varsayımlar!$B:$Q,12,0))</f>
        <v/>
      </c>
      <c r="V65" s="67" t="str">
        <f>IF(B65="","",VLOOKUP(AD65,Varsayımlar!$B:$Q,13,0))</f>
        <v/>
      </c>
      <c r="W65" s="67" t="str">
        <f>IF(B65="","",VLOOKUP(AD65,Varsayımlar!$B:$Q,14,0))</f>
        <v/>
      </c>
      <c r="X65" s="69"/>
      <c r="Y65" s="69"/>
      <c r="Z65" s="67"/>
      <c r="AA65" s="67" t="str">
        <f>IF(B65="","",VLOOKUP(AD65,Varsayımlar!$B:$Q,15,0))</f>
        <v/>
      </c>
      <c r="AB65" s="67" t="str">
        <f>IF(B65="","",VLOOKUP(AD65,Varsayımlar!$B:$Q,16,0))</f>
        <v/>
      </c>
      <c r="AC65" s="67"/>
      <c r="AD65" s="57" t="str">
        <f t="shared" si="2"/>
        <v/>
      </c>
    </row>
    <row r="66" spans="1:30" hidden="1" x14ac:dyDescent="0.25">
      <c r="C66" s="53" t="str">
        <f>IF(B66="","",VLOOKUP(AD66,Varsayımlar!$B:$Q,3,0))</f>
        <v/>
      </c>
      <c r="H66" s="7" t="str">
        <f>IF(B66="","",VLOOKUP(AD66,Varsayımlar!$B:$Q,5,0))</f>
        <v/>
      </c>
      <c r="J66" s="7" t="str">
        <f>IF(B66="","",VLOOKUP(AD66,Varsayımlar!$B:$Q,6,0))</f>
        <v/>
      </c>
      <c r="P66" s="7" t="str">
        <f>IF(B66="","",VLOOKUP(AD66,Varsayımlar!$B:$Q,7,0)*K66)</f>
        <v/>
      </c>
      <c r="Q66" s="7" t="str">
        <f>IF(B66="","",VLOOKUP(AD66,Varsayımlar!$B:$Q,8,0))</f>
        <v/>
      </c>
      <c r="R66" s="7" t="str">
        <f>IF(B66="","",VLOOKUP(AD66,Varsayımlar!$B:$Q,9,0))</f>
        <v/>
      </c>
      <c r="S66" s="7" t="str">
        <f>IF(B66="","",VLOOKUP(AD66,Varsayımlar!$B:$Q,10,0))</f>
        <v/>
      </c>
      <c r="T66" s="7" t="str">
        <f>IF(B66="","",VLOOKUP(AD66,Varsayımlar!$B:$Q,11,0))</f>
        <v/>
      </c>
      <c r="U66" s="7" t="str">
        <f>IF(B66="","",VLOOKUP(AD66,Varsayımlar!$B:$Q,12,0))</f>
        <v/>
      </c>
      <c r="V66" s="7" t="str">
        <f>IF(B66="","",VLOOKUP(AD66,Varsayımlar!$B:$Q,13,0))</f>
        <v/>
      </c>
      <c r="W66" s="7" t="str">
        <f>IF(B66="","",VLOOKUP(AD66,Varsayımlar!$B:$Q,14,0))</f>
        <v/>
      </c>
      <c r="AA66" s="7" t="str">
        <f>IF(B66="","",VLOOKUP(AD66,Varsayımlar!$B:$Q,15,0))</f>
        <v/>
      </c>
      <c r="AB66" s="7" t="str">
        <f>IF(B66="","",VLOOKUP(AD66,Varsayımlar!$B:$Q,16,0))</f>
        <v/>
      </c>
      <c r="AD66" s="7" t="str">
        <f t="shared" si="2"/>
        <v/>
      </c>
    </row>
    <row r="67" spans="1:30" ht="31.5" customHeight="1" x14ac:dyDescent="0.25">
      <c r="A67" s="182" t="s">
        <v>345</v>
      </c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4"/>
      <c r="AC67" s="38"/>
    </row>
    <row r="68" spans="1:30" ht="63" x14ac:dyDescent="0.25">
      <c r="A68" s="8" t="s">
        <v>0</v>
      </c>
      <c r="B68" s="8" t="s">
        <v>1</v>
      </c>
      <c r="C68" s="9" t="s">
        <v>31</v>
      </c>
      <c r="D68" s="9" t="s">
        <v>124</v>
      </c>
      <c r="E68" s="9" t="s">
        <v>36</v>
      </c>
      <c r="F68" s="8" t="s">
        <v>37</v>
      </c>
      <c r="G68" s="8" t="s">
        <v>13</v>
      </c>
      <c r="H68" s="8" t="s">
        <v>2</v>
      </c>
      <c r="I68" s="8" t="s">
        <v>49</v>
      </c>
      <c r="J68" s="8" t="s">
        <v>3</v>
      </c>
      <c r="K68" s="8" t="s">
        <v>21</v>
      </c>
      <c r="L68" s="8" t="s">
        <v>94</v>
      </c>
      <c r="M68" s="8" t="s">
        <v>20</v>
      </c>
      <c r="N68" s="8" t="s">
        <v>165</v>
      </c>
      <c r="O68" s="8" t="s">
        <v>123</v>
      </c>
      <c r="P68" s="8" t="s">
        <v>16</v>
      </c>
      <c r="Q68" s="8" t="s">
        <v>4</v>
      </c>
      <c r="R68" s="8" t="s">
        <v>5</v>
      </c>
      <c r="S68" s="8" t="s">
        <v>6</v>
      </c>
      <c r="T68" s="8" t="s">
        <v>28</v>
      </c>
      <c r="U68" s="8" t="s">
        <v>7</v>
      </c>
      <c r="V68" s="8" t="s">
        <v>8</v>
      </c>
      <c r="W68" s="8" t="s">
        <v>9</v>
      </c>
      <c r="X68" s="8" t="s">
        <v>10</v>
      </c>
      <c r="Y68" s="8" t="s">
        <v>11</v>
      </c>
      <c r="Z68" s="8" t="s">
        <v>12</v>
      </c>
      <c r="AA68" s="8" t="s">
        <v>14</v>
      </c>
      <c r="AB68" s="8" t="s">
        <v>15</v>
      </c>
      <c r="AC68" s="8" t="s">
        <v>208</v>
      </c>
      <c r="AD68" s="7" t="s">
        <v>41</v>
      </c>
    </row>
    <row r="69" spans="1:30" ht="36" customHeight="1" x14ac:dyDescent="0.25">
      <c r="A69" s="8" t="s">
        <v>26</v>
      </c>
      <c r="B69" s="84" t="s">
        <v>119</v>
      </c>
      <c r="C69" s="83">
        <f>IF(B69="","",VLOOKUP(AD69,Varsayımlar!$B:$Q,3,0))</f>
        <v>8698829380698</v>
      </c>
      <c r="D69" s="83"/>
      <c r="E69" s="84" t="s">
        <v>120</v>
      </c>
      <c r="F69" s="84"/>
      <c r="G69" s="84"/>
      <c r="H69" s="84" t="str">
        <f>IF(B69="","",VLOOKUP(AD69,Varsayımlar!$B:$Q,5,0))</f>
        <v>Nimet 25 cm</v>
      </c>
      <c r="I69" s="84">
        <f>IF(B69="","",VLOOKUP(AD69,Varsayımlar!B:T,19,0))</f>
        <v>0</v>
      </c>
      <c r="J69" s="84" t="str">
        <f>IF(B69="","",VLOOKUP(AD69,Varsayımlar!$B:$Q,6,0))</f>
        <v>SADE</v>
      </c>
      <c r="K69" s="84">
        <v>4000</v>
      </c>
      <c r="L69" s="84"/>
      <c r="M69" s="84">
        <f>IFERROR(IF(B69="","",K69/VLOOKUP(AD69,Varsayımlar!B:R,17,0)),"")</f>
        <v>80</v>
      </c>
      <c r="N69" s="84">
        <v>50</v>
      </c>
      <c r="O69" s="84">
        <v>40</v>
      </c>
      <c r="P69" s="84">
        <f>IF(B69="","",VLOOKUP(AD69,Varsayımlar!$B:$Q,7,0)*K69)</f>
        <v>48000</v>
      </c>
      <c r="Q69" s="84">
        <f>IF(B69="","",VLOOKUP(AD69,Varsayımlar!$B:$Q,8,0))</f>
        <v>25</v>
      </c>
      <c r="R69" s="84" t="str">
        <f>IF(B69="","",VLOOKUP(AD69,Varsayımlar!$B:$Q,9,0))</f>
        <v>Standart</v>
      </c>
      <c r="S69" s="84">
        <f>IF(B69="","",VLOOKUP(AD69,Varsayımlar!$B:$Q,10,0))</f>
        <v>12</v>
      </c>
      <c r="T69" s="84">
        <f>IF(B69="","",VLOOKUP(AD69,Varsayımlar!$B:$Q,11,0))</f>
        <v>12</v>
      </c>
      <c r="U69" s="84">
        <f>IF(B69="","",VLOOKUP(AD69,Varsayımlar!$B:$Q,12,0))</f>
        <v>840</v>
      </c>
      <c r="V69" s="84" t="str">
        <f>IF(B69="","",VLOOKUP(AD69,Varsayımlar!$B:$Q,13,0))</f>
        <v>YURTİÇİ</v>
      </c>
      <c r="W69" s="84">
        <f>IF(B69="","",VLOOKUP(AD69,Varsayımlar!$B:$Q,14,0))</f>
        <v>5</v>
      </c>
      <c r="X69" s="85" t="s">
        <v>113</v>
      </c>
      <c r="Y69" s="85" t="s">
        <v>113</v>
      </c>
      <c r="Z69" s="85" t="s">
        <v>113</v>
      </c>
      <c r="AA69" s="84" t="str">
        <f>IF(B69="","",VLOOKUP(AD69,Varsayımlar!$B:$Q,15,0))</f>
        <v>Nimet Kolisi</v>
      </c>
      <c r="AB69" s="84" t="str">
        <f>IF(B69="","",VLOOKUP(AD69,Varsayımlar!$B:$Q,16,0))</f>
        <v>24-26 CM</v>
      </c>
      <c r="AC69" s="64">
        <f>IF(B69="","",VLOOKUP(Sayfa1!AD76,Varsayımlar!B:S,18,0))</f>
        <v>0</v>
      </c>
      <c r="AD69" s="57" t="str">
        <f>IF(B69="","",CONCATENATE(B69,E69))</f>
        <v>A101Nimet 25cm 12 pcs 840g</v>
      </c>
    </row>
    <row r="70" spans="1:30" ht="31.5" x14ac:dyDescent="0.25">
      <c r="A70" s="8" t="s">
        <v>77</v>
      </c>
      <c r="B70" s="54" t="s">
        <v>321</v>
      </c>
      <c r="C70" s="39">
        <f>IF(B70="","",VLOOKUP(AD70,Varsayımlar!$B:$Q,3,0))</f>
        <v>8698829380698</v>
      </c>
      <c r="D70" s="39"/>
      <c r="E70" s="54" t="s">
        <v>329</v>
      </c>
      <c r="F70" s="54"/>
      <c r="G70" s="54"/>
      <c r="H70" s="54" t="str">
        <f>IF(B70="","",VLOOKUP(AD70,Varsayımlar!$B:$Q,5,0))</f>
        <v>Baskısız 15 cm</v>
      </c>
      <c r="I70" s="54" t="str">
        <f>IF(B70="","",VLOOKUP(AD70,Varsayımlar!B:T,19,0))</f>
        <v>Lana 15cm 8pcs 220g Yuvarlak</v>
      </c>
      <c r="J70" s="54" t="str">
        <f>IF(B70="","",VLOOKUP(AD70,Varsayımlar!$B:$Q,6,0))</f>
        <v>SADE</v>
      </c>
      <c r="K70" s="54">
        <v>250</v>
      </c>
      <c r="L70" s="54">
        <v>9</v>
      </c>
      <c r="M70" s="54" t="str">
        <f>IFERROR(IF(B70="","",K70/VLOOKUP(AD70,Varsayımlar!B:R,17,0)),"")</f>
        <v/>
      </c>
      <c r="N70" s="54"/>
      <c r="O70" s="54">
        <v>8</v>
      </c>
      <c r="P70" s="54">
        <f>IF(B70="","",VLOOKUP(AD70,Varsayımlar!$B:$Q,7,0)*K70)</f>
        <v>3500</v>
      </c>
      <c r="Q70" s="54">
        <f>IF(B70="","",VLOOKUP(AD70,Varsayımlar!$B:$Q,8,0))</f>
        <v>15</v>
      </c>
      <c r="R70" s="54" t="str">
        <f>IF(B70="","",VLOOKUP(AD70,Varsayımlar!$B:$Q,9,0))</f>
        <v>Irak Soft</v>
      </c>
      <c r="S70" s="54">
        <f>IF(B70="","",VLOOKUP(AD70,Varsayımlar!$B:$Q,10,0))</f>
        <v>8</v>
      </c>
      <c r="T70" s="54">
        <f>IF(B70="","",VLOOKUP(AD70,Varsayımlar!$B:$Q,11,0))</f>
        <v>14</v>
      </c>
      <c r="U70" s="54">
        <f>IF(B70="","",VLOOKUP(AD70,Varsayımlar!$B:$Q,12,0))</f>
        <v>220</v>
      </c>
      <c r="V70" s="54" t="str">
        <f>IF(B70="","",VLOOKUP(AD70,Varsayımlar!$B:$Q,13,0))</f>
        <v>Yurtdışı</v>
      </c>
      <c r="W70" s="54">
        <f>IF(B70="","",VLOOKUP(AD70,Varsayımlar!$B:$Q,14,0))</f>
        <v>6</v>
      </c>
      <c r="X70" s="56">
        <v>46185</v>
      </c>
      <c r="Y70" s="56">
        <v>46368</v>
      </c>
      <c r="Z70" s="54">
        <v>26061215</v>
      </c>
      <c r="AA70" s="54" t="str">
        <f>IF(B70="","",VLOOKUP(AD70,Varsayımlar!$B:$Q,15,0))</f>
        <v>15cm koli</v>
      </c>
      <c r="AB70" s="54" t="str">
        <f>IF(B70="","",VLOOKUP(AD70,Varsayımlar!$B:$Q,16,0))</f>
        <v>24-26 cm (Inkjet ile Bilgiler Atılacak)</v>
      </c>
      <c r="AC70" s="64">
        <f>IF(B70="","",VLOOKUP(Sayfa1!AD75,Varsayımlar!B:S,18,0))</f>
        <v>0</v>
      </c>
      <c r="AD70" s="57" t="str">
        <f>IF(B70="","",CONCATENATE(B70,E70))</f>
        <v>Gülbahar CompanyBaskısız 15cm Sade 8pcs 220g</v>
      </c>
    </row>
    <row r="71" spans="1:30" ht="47.25" x14ac:dyDescent="0.25">
      <c r="A71" s="8" t="s">
        <v>78</v>
      </c>
      <c r="B71" s="62" t="s">
        <v>409</v>
      </c>
      <c r="C71" s="32">
        <f>IF(B71="","",VLOOKUP(AD71,Varsayımlar!$B:$Q,3,0))</f>
        <v>8698829380698</v>
      </c>
      <c r="D71" s="32"/>
      <c r="E71" s="32" t="s">
        <v>410</v>
      </c>
      <c r="F71" s="62"/>
      <c r="G71" s="32"/>
      <c r="H71" s="62" t="str">
        <f>IF(B71="","",VLOOKUP(AD71,Varsayımlar!$B:$Q,5,0))</f>
        <v>Baskısız 30cm</v>
      </c>
      <c r="I71" s="62" t="str">
        <f>IF(B71="","",VLOOKUP(AD71,Varsayımlar!B:T,19,0))</f>
        <v>Donipa 30cm 18pcs 1710g etiketli</v>
      </c>
      <c r="J71" s="62" t="str">
        <f>IF(B71="","",VLOOKUP(AD71,Varsayımlar!$B:$Q,6,0))</f>
        <v>SADE</v>
      </c>
      <c r="K71" s="62">
        <v>100</v>
      </c>
      <c r="L71" s="62"/>
      <c r="M71" s="62" t="str">
        <f>IFERROR(IF(B71="","",K71/VLOOKUP(AD71,Varsayımlar!B:R,17,0)),"")</f>
        <v/>
      </c>
      <c r="N71" s="62"/>
      <c r="O71" s="62">
        <v>3</v>
      </c>
      <c r="P71" s="62">
        <f>IF(B71="","",VLOOKUP(AD71,Varsayımlar!$B:$Q,7,0)*K71)</f>
        <v>600</v>
      </c>
      <c r="Q71" s="62">
        <f>IF(B71="","",VLOOKUP(AD71,Varsayımlar!$B:$Q,8,0))</f>
        <v>30</v>
      </c>
      <c r="R71" s="62" t="str">
        <f>IF(B71="","",VLOOKUP(AD71,Varsayımlar!$B:$Q,9,0))</f>
        <v>Irak soft</v>
      </c>
      <c r="S71" s="62">
        <f>IF(B71="","",VLOOKUP(AD71,Varsayımlar!$B:$Q,10,0))</f>
        <v>18</v>
      </c>
      <c r="T71" s="62">
        <f>IF(B71="","",VLOOKUP(AD71,Varsayımlar!$B:$Q,11,0))</f>
        <v>6</v>
      </c>
      <c r="U71" s="62">
        <f>IF(B71="","",VLOOKUP(AD71,Varsayımlar!$B:$Q,12,0))</f>
        <v>1710</v>
      </c>
      <c r="V71" s="62" t="str">
        <f>IF(B71="","",VLOOKUP(AD71,Varsayımlar!$B:$Q,13,0))</f>
        <v>Yurtiçi</v>
      </c>
      <c r="W71" s="62">
        <f>IF(B71="","",VLOOKUP(AD71,Varsayımlar!$B:$Q,14,0))</f>
        <v>6</v>
      </c>
      <c r="X71" s="63" t="s">
        <v>113</v>
      </c>
      <c r="Y71" s="63" t="s">
        <v>113</v>
      </c>
      <c r="Z71" s="63" t="s">
        <v>113</v>
      </c>
      <c r="AA71" s="62" t="str">
        <f>IF(B71="","",VLOOKUP(AD71,Varsayımlar!$B:$Q,15,0))</f>
        <v>30cm koli-Etiketli</v>
      </c>
      <c r="AB71" s="62" t="str">
        <f>IF(B71="","",VLOOKUP(AD71,Varsayımlar!$B:$Q,16,0))</f>
        <v>29-31 cm</v>
      </c>
      <c r="AC71" s="62">
        <f>IF(B71="","",VLOOKUP(Sayfa1!AD14,Varsayımlar!B:S,18,0))</f>
        <v>0</v>
      </c>
      <c r="AD71" s="57" t="str">
        <f>IF(B71="","",CONCATENATE(B71,E71))</f>
        <v>DonipaDonipa 30cm 18pcs 1710g</v>
      </c>
    </row>
    <row r="72" spans="1:30" ht="31.5" customHeight="1" x14ac:dyDescent="0.25">
      <c r="A72" s="8" t="s">
        <v>79</v>
      </c>
      <c r="B72" s="119" t="s">
        <v>363</v>
      </c>
      <c r="C72" s="120">
        <f>IF(B72="","",VLOOKUP(AD72,Varsayımlar!$B:$Q,3,0))</f>
        <v>8698829380698</v>
      </c>
      <c r="D72" s="120"/>
      <c r="E72" s="120" t="s">
        <v>364</v>
      </c>
      <c r="F72" s="119"/>
      <c r="G72" s="120" t="s">
        <v>373</v>
      </c>
      <c r="H72" s="119" t="str">
        <f>IF(B72="","",VLOOKUP(AD72,Varsayımlar!$B:$Q,5,0))</f>
        <v>Durum 30cm Sade 18pcs 1620g</v>
      </c>
      <c r="I72" s="119">
        <f>IF(B72="","",VLOOKUP(AD72,Varsayımlar!B:T,19,0))</f>
        <v>0</v>
      </c>
      <c r="J72" s="119" t="str">
        <f>IF(B72="","",VLOOKUP(AD72,Varsayımlar!$B:$Q,6,0))</f>
        <v>SADE</v>
      </c>
      <c r="K72" s="119">
        <v>360</v>
      </c>
      <c r="L72" s="119"/>
      <c r="M72" s="119" t="str">
        <f>IFERROR(IF(B72="","",K72/VLOOKUP(AD72,Varsayımlar!B:R,17,0)),"")</f>
        <v/>
      </c>
      <c r="N72" s="119"/>
      <c r="O72" s="119">
        <v>9</v>
      </c>
      <c r="P72" s="119">
        <f>IF(B72="","",VLOOKUP(AD72,Varsayımlar!$B:$Q,7,0)*K72)</f>
        <v>6480</v>
      </c>
      <c r="Q72" s="119">
        <f>IF(B72="","",VLOOKUP(AD72,Varsayımlar!$B:$Q,8,0))</f>
        <v>30</v>
      </c>
      <c r="R72" s="119" t="str">
        <f>IF(B72="","",VLOOKUP(AD72,Varsayımlar!$B:$Q,9,0))</f>
        <v>Irak Soft</v>
      </c>
      <c r="S72" s="119">
        <f>IF(B72="","",VLOOKUP(AD72,Varsayımlar!$B:$Q,10,0))</f>
        <v>18</v>
      </c>
      <c r="T72" s="119">
        <f>IF(B72="","",VLOOKUP(AD72,Varsayımlar!$B:$Q,11,0))</f>
        <v>6</v>
      </c>
      <c r="U72" s="119">
        <f>IF(B72="","",VLOOKUP(AD72,Varsayımlar!$B:$Q,12,0))</f>
        <v>1620</v>
      </c>
      <c r="V72" s="119" t="str">
        <f>IF(B72="","",VLOOKUP(AD72,Varsayımlar!$B:$Q,13,0))</f>
        <v>Yurtdışı</v>
      </c>
      <c r="W72" s="119">
        <f>IF(B72="","",VLOOKUP(AD72,Varsayımlar!$B:$Q,14,0))</f>
        <v>0</v>
      </c>
      <c r="X72" s="121"/>
      <c r="Y72" s="121"/>
      <c r="Z72" s="119"/>
      <c r="AA72" s="119" t="str">
        <f>IF(B72="","",VLOOKUP(AD72,Varsayımlar!$B:$Q,15,0))</f>
        <v>30cm kolisi-Etiketli</v>
      </c>
      <c r="AB72" s="119" t="str">
        <f>IF(B72="","",VLOOKUP(AD72,Varsayımlar!$B:$Q,16,0))</f>
        <v>29-31 cm</v>
      </c>
      <c r="AC72" s="64">
        <f>IF(B72="","",VLOOKUP(Sayfa1!AD11,Varsayımlar!B:S,18,0))</f>
        <v>0</v>
      </c>
      <c r="AD72" s="57" t="str">
        <f>IF(B72="","",CONCATENATE(B72,E72))</f>
        <v>EyalDurum 30cm sade 18 li 1620g</v>
      </c>
    </row>
    <row r="73" spans="1:30" ht="31.5" customHeight="1" x14ac:dyDescent="0.25">
      <c r="A73" s="8" t="s">
        <v>80</v>
      </c>
      <c r="B73" s="64" t="s">
        <v>335</v>
      </c>
      <c r="C73" s="3">
        <f>IF(B73="","",VLOOKUP(AD73,Varsayımlar!$B:$Q,3,0))</f>
        <v>8698829380698</v>
      </c>
      <c r="D73" s="3"/>
      <c r="E73" s="64" t="s">
        <v>299</v>
      </c>
      <c r="F73" s="64"/>
      <c r="G73" s="3"/>
      <c r="H73" s="64" t="str">
        <f>IF(B73="","",VLOOKUP(AD73,Varsayımlar!$B:$Q,5,0))</f>
        <v>Lazeza 30cm</v>
      </c>
      <c r="I73" s="64">
        <f>IF(B73="","",VLOOKUP(AD73,Varsayımlar!B:T,19,0))</f>
        <v>0</v>
      </c>
      <c r="J73" s="64" t="str">
        <f>IF(B73="","",VLOOKUP(AD73,Varsayımlar!$B:$Q,6,0))</f>
        <v>SADE</v>
      </c>
      <c r="K73" s="64">
        <v>1700</v>
      </c>
      <c r="L73" s="64"/>
      <c r="M73" s="64" t="str">
        <f>IFERROR(IF(B73="","",K73/VLOOKUP(AD73,Varsayımlar!B:R,17,0)),"")</f>
        <v/>
      </c>
      <c r="N73" s="64"/>
      <c r="O73" s="64">
        <v>17</v>
      </c>
      <c r="P73" s="64">
        <f>IF(B73="","",VLOOKUP(AD73,Varsayımlar!$B:$Q,7,0)*K73)</f>
        <v>30600</v>
      </c>
      <c r="Q73" s="64">
        <f>IF(B73="","",VLOOKUP(AD73,Varsayımlar!$B:$Q,8,0))</f>
        <v>30</v>
      </c>
      <c r="R73" s="64" t="str">
        <f>IF(B73="","",VLOOKUP(AD73,Varsayımlar!$B:$Q,9,0))</f>
        <v>Irak Soft</v>
      </c>
      <c r="S73" s="64">
        <f>IF(B73="","",VLOOKUP(AD73,Varsayımlar!$B:$Q,10,0))</f>
        <v>6</v>
      </c>
      <c r="T73" s="64">
        <f>IF(B73="","",VLOOKUP(AD73,Varsayımlar!$B:$Q,11,0))</f>
        <v>18</v>
      </c>
      <c r="U73" s="64">
        <f>IF(B73="","",VLOOKUP(AD73,Varsayımlar!$B:$Q,12,0))</f>
        <v>510</v>
      </c>
      <c r="V73" s="64" t="str">
        <f>IF(B73="","",VLOOKUP(AD73,Varsayımlar!$B:$Q,13,0))</f>
        <v>Yurtdışı</v>
      </c>
      <c r="W73" s="64">
        <f>IF(B73="","",VLOOKUP(AD73,Varsayımlar!$B:$Q,14,0))</f>
        <v>6</v>
      </c>
      <c r="X73" s="66"/>
      <c r="Y73" s="66"/>
      <c r="Z73" s="64"/>
      <c r="AA73" s="64" t="str">
        <f>IF(B73="","",VLOOKUP(AD73,Varsayımlar!$B:$Q,15,0))</f>
        <v>Lazeza Kolisi</v>
      </c>
      <c r="AB73" s="64" t="str">
        <f>IF(B73="","",VLOOKUP(AD73,Varsayımlar!$B:$Q,16,0))</f>
        <v>29-31 cm</v>
      </c>
      <c r="AC73" s="64" t="str">
        <f>IF(B73="","",VLOOKUP(Sayfa1!AD79,Varsayımlar!B:S,18,0))</f>
        <v>80x120cm -Epal+Epal</v>
      </c>
      <c r="AD73" s="57" t="str">
        <f t="shared" ref="AD73:AD89" si="3">IF(B73="","",CONCATENATE(B73,E73))</f>
        <v>AjjawiLazeza 30 cm 6pcs 510g</v>
      </c>
    </row>
    <row r="74" spans="1:30" ht="26.25" customHeight="1" x14ac:dyDescent="0.25">
      <c r="A74" s="8" t="s">
        <v>81</v>
      </c>
      <c r="B74" s="67" t="s">
        <v>119</v>
      </c>
      <c r="C74" s="42">
        <v>8698829380698</v>
      </c>
      <c r="D74" s="42"/>
      <c r="E74" s="42" t="s">
        <v>120</v>
      </c>
      <c r="F74" s="67"/>
      <c r="G74" s="42"/>
      <c r="H74" s="67" t="s">
        <v>121</v>
      </c>
      <c r="I74" s="67">
        <v>0</v>
      </c>
      <c r="J74" s="67" t="s">
        <v>19</v>
      </c>
      <c r="K74" s="67">
        <v>4000</v>
      </c>
      <c r="L74" s="67"/>
      <c r="M74" s="67">
        <v>80</v>
      </c>
      <c r="N74" s="67">
        <v>50</v>
      </c>
      <c r="O74" s="67">
        <v>145</v>
      </c>
      <c r="P74" s="67">
        <v>48000</v>
      </c>
      <c r="Q74" s="67">
        <v>25</v>
      </c>
      <c r="R74" s="67" t="s">
        <v>116</v>
      </c>
      <c r="S74" s="67">
        <v>12</v>
      </c>
      <c r="T74" s="67">
        <v>12</v>
      </c>
      <c r="U74" s="67">
        <v>840</v>
      </c>
      <c r="V74" s="67" t="s">
        <v>72</v>
      </c>
      <c r="W74" s="67">
        <v>5</v>
      </c>
      <c r="X74" s="69" t="s">
        <v>113</v>
      </c>
      <c r="Y74" s="69" t="s">
        <v>113</v>
      </c>
      <c r="Z74" s="67" t="s">
        <v>113</v>
      </c>
      <c r="AA74" s="67" t="s">
        <v>122</v>
      </c>
      <c r="AB74" s="67" t="s">
        <v>25</v>
      </c>
      <c r="AC74" s="67">
        <v>0</v>
      </c>
      <c r="AD74" s="57" t="s">
        <v>387</v>
      </c>
    </row>
    <row r="75" spans="1:30" ht="47.25" x14ac:dyDescent="0.25">
      <c r="A75" s="8" t="s">
        <v>82</v>
      </c>
      <c r="B75" s="67" t="s">
        <v>268</v>
      </c>
      <c r="C75" s="42">
        <f>IF(B75="","",VLOOKUP(AD75,Varsayımlar!$B:$Q,3,0))</f>
        <v>8698829380698</v>
      </c>
      <c r="D75" s="42" t="s">
        <v>159</v>
      </c>
      <c r="E75" s="42" t="s">
        <v>244</v>
      </c>
      <c r="F75" s="67">
        <v>20250825</v>
      </c>
      <c r="G75" s="42" t="s">
        <v>68</v>
      </c>
      <c r="H75" s="67" t="str">
        <f>IF(B75="","",VLOOKUP(AD75,Varsayımlar!$B:$Q,5,0))</f>
        <v xml:space="preserve">Tortillas Pizza 26cm </v>
      </c>
      <c r="I75" s="67">
        <f>IF(B75="","",VLOOKUP(AD75,Varsayımlar!B:T,19,0))</f>
        <v>0</v>
      </c>
      <c r="J75" s="67" t="str">
        <f>IF(B75="","",VLOOKUP(AD75,Varsayımlar!$B:$Q,6,0))</f>
        <v>SADE</v>
      </c>
      <c r="K75" s="67">
        <v>960</v>
      </c>
      <c r="L75" s="67"/>
      <c r="M75" s="67">
        <f>IFERROR(IF(B75="","",K75/VLOOKUP(AD75,Varsayımlar!B:R,17,0)),"")</f>
        <v>5</v>
      </c>
      <c r="N75" s="67"/>
      <c r="O75" s="67">
        <v>11</v>
      </c>
      <c r="P75" s="67">
        <f>IF(B75="","",VLOOKUP(AD75,Varsayımlar!$B:$Q,7,0)*K75)</f>
        <v>11520</v>
      </c>
      <c r="Q75" s="67">
        <f>IF(B75="","",VLOOKUP(AD75,Varsayımlar!$B:$Q,8,0))</f>
        <v>26</v>
      </c>
      <c r="R75" s="67" t="str">
        <f>IF(B75="","",VLOOKUP(AD75,Varsayımlar!$B:$Q,9,0))</f>
        <v>Soft-PA3</v>
      </c>
      <c r="S75" s="67">
        <f>IF(B75="","",VLOOKUP(AD75,Varsayımlar!$B:$Q,10,0))</f>
        <v>2</v>
      </c>
      <c r="T75" s="67">
        <f>IF(B75="","",VLOOKUP(AD75,Varsayımlar!$B:$Q,11,0))</f>
        <v>12</v>
      </c>
      <c r="U75" s="67">
        <f>IF(B75="","",VLOOKUP(AD75,Varsayımlar!$B:$Q,12,0))</f>
        <v>240</v>
      </c>
      <c r="V75" s="67" t="str">
        <f>IF(B75="","",VLOOKUP(AD75,Varsayımlar!$B:$Q,13,0))</f>
        <v>Yurtdışı</v>
      </c>
      <c r="W75" s="67">
        <f>IF(B75="","",VLOOKUP(AD75,Varsayımlar!$B:$Q,14,0))</f>
        <v>9</v>
      </c>
      <c r="X75" s="69">
        <v>46199</v>
      </c>
      <c r="Y75" s="69">
        <v>46472</v>
      </c>
      <c r="Z75" s="67">
        <v>26062626</v>
      </c>
      <c r="AA75" s="67" t="str">
        <f>IF(B75="","",VLOOKUP(AD75,Varsayımlar!$B:$Q,15,0))</f>
        <v>26 cm pizza kolisi-Etiketli</v>
      </c>
      <c r="AB75" s="67" t="str">
        <f>IF(B75="","",VLOOKUP(AD75,Varsayımlar!$B:$Q,16,0))</f>
        <v>24-26 cm (Macca Hetto Inkjet Uzun Tarih)</v>
      </c>
      <c r="AC75" s="67" t="e">
        <f>IF(B75="","",VLOOKUP(Sayfa1!AD83,Varsayımlar!B:S,18,0))</f>
        <v>#N/A</v>
      </c>
      <c r="AD75" s="57" t="str">
        <f>IF(B75="","",CONCATENATE(B75,E75))</f>
        <v>LAIKYUZHN-BELARUSTortillas Pizza 26cm 4pcs 480g</v>
      </c>
    </row>
    <row r="76" spans="1:30" ht="94.5" x14ac:dyDescent="0.25">
      <c r="A76" s="8" t="s">
        <v>83</v>
      </c>
      <c r="B76" s="62" t="s">
        <v>181</v>
      </c>
      <c r="C76" s="32">
        <f>IF(B76="","",VLOOKUP(AD76,Varsayımlar!$B:$Q,3,0))</f>
        <v>8698829380698</v>
      </c>
      <c r="D76" s="32"/>
      <c r="E76" s="62" t="s">
        <v>206</v>
      </c>
      <c r="F76" s="62">
        <v>26060101</v>
      </c>
      <c r="G76" s="32"/>
      <c r="H76" s="62" t="str">
        <f>IF(B76="","",VLOOKUP(AD76,Varsayımlar!$B:$Q,5,0))</f>
        <v>Pizza-6 26 cm</v>
      </c>
      <c r="I76" s="62" t="str">
        <f>IF(B76="","",VLOOKUP(AD76,Varsayımlar!B:T,19,0))</f>
        <v>Arka kısma Arnavutça içerik-Pizza 6</v>
      </c>
      <c r="J76" s="62" t="str">
        <f>IF(B76="","",VLOOKUP(AD76,Varsayımlar!$B:$Q,6,0))</f>
        <v>SADE</v>
      </c>
      <c r="K76" s="62">
        <v>120</v>
      </c>
      <c r="L76" s="62"/>
      <c r="M76" s="62">
        <f>IFERROR(IF(B76="","",K76/VLOOKUP(AD76,Varsayımlar!B:R,17,0)),"")</f>
        <v>1</v>
      </c>
      <c r="N76" s="62"/>
      <c r="O76" s="62">
        <v>2</v>
      </c>
      <c r="P76" s="62">
        <f>IF(B76="","",VLOOKUP(AD76,Varsayımlar!$B:$Q,7,0)*K76)</f>
        <v>720</v>
      </c>
      <c r="Q76" s="62">
        <f>IF(B76="","",VLOOKUP(AD76,Varsayımlar!$B:$Q,8,0))</f>
        <v>26</v>
      </c>
      <c r="R76" s="62" t="str">
        <f>IF(B76="","",VLOOKUP(AD76,Varsayımlar!$B:$Q,9,0))</f>
        <v>Irak Soft</v>
      </c>
      <c r="S76" s="62">
        <f>IF(B76="","",VLOOKUP(AD76,Varsayımlar!$B:$Q,10,0))</f>
        <v>4</v>
      </c>
      <c r="T76" s="62">
        <f>IF(B76="","",VLOOKUP(AD76,Varsayımlar!$B:$Q,11,0))</f>
        <v>6</v>
      </c>
      <c r="U76" s="62">
        <f>IF(B76="","",VLOOKUP(AD76,Varsayımlar!$B:$Q,12,0))</f>
        <v>480</v>
      </c>
      <c r="V76" s="62" t="str">
        <f>IF(B76="","",VLOOKUP(AD76,Varsayımlar!$B:$Q,13,0))</f>
        <v>YURTDIŞI</v>
      </c>
      <c r="W76" s="62">
        <f>IF(B76="","",VLOOKUP(AD76,Varsayımlar!$B:$Q,14,0))</f>
        <v>12</v>
      </c>
      <c r="X76" s="63">
        <v>46200</v>
      </c>
      <c r="Y76" s="63">
        <v>46565</v>
      </c>
      <c r="Z76" s="62">
        <v>26062726</v>
      </c>
      <c r="AA76" s="62" t="str">
        <f>IF(B76="","",VLOOKUP(AD76,Varsayımlar!$B:$Q,15,0))</f>
        <v>Pizza kolisi</v>
      </c>
      <c r="AB76" s="62" t="str">
        <f>IF(B76="","",VLOOKUP(AD76,Varsayımlar!$B:$Q,16,0))</f>
        <v>26 cm kesme -Beze 145-150g, Kesilmmeiş çap 27-28cm, Kesilmemiş ağı: 520-540g, Kesilmiş:475-485g</v>
      </c>
      <c r="AC76" s="62">
        <f>IF(B76="","",VLOOKUP(Sayfa1!AD84,Varsayımlar!B:S,18,0))</f>
        <v>0</v>
      </c>
      <c r="AD76" s="57" t="str">
        <f>IF(B76="","",CONCATENATE(B76,E76))</f>
        <v>ALDİ - KOSOVAPizza-6 26cm 4pcs 480g</v>
      </c>
    </row>
    <row r="77" spans="1:30" ht="94.5" x14ac:dyDescent="0.25">
      <c r="A77" s="8" t="s">
        <v>84</v>
      </c>
      <c r="B77" s="80" t="s">
        <v>218</v>
      </c>
      <c r="C77" s="44">
        <f>IF(B77="","",VLOOKUP(AD77,Varsayımlar!$B:$Q,3,0))</f>
        <v>8698829380698</v>
      </c>
      <c r="D77" s="44" t="s">
        <v>160</v>
      </c>
      <c r="E77" s="80" t="s">
        <v>244</v>
      </c>
      <c r="F77" s="80">
        <v>26042907</v>
      </c>
      <c r="G77" s="44"/>
      <c r="H77" s="80" t="str">
        <f>IF(B77="","",VLOOKUP(AD77,Varsayımlar!$B:$Q,5,0))</f>
        <v>Tortillas Avrupa Pizza 26cm (742)</v>
      </c>
      <c r="I77" s="80">
        <f>IF(B77="","",VLOOKUP(AD77,Varsayımlar!B:T,19,0))</f>
        <v>0</v>
      </c>
      <c r="J77" s="80" t="str">
        <f>IF(B77="","",VLOOKUP(AD77,Varsayımlar!$B:$Q,6,0))</f>
        <v>SADE</v>
      </c>
      <c r="K77" s="80">
        <v>720</v>
      </c>
      <c r="L77" s="80"/>
      <c r="M77" s="80">
        <f>IFERROR(IF(B77="","",K77/VLOOKUP(AD77,Varsayımlar!B:R,17,0)),"")</f>
        <v>6</v>
      </c>
      <c r="N77" s="80"/>
      <c r="O77" s="80">
        <v>9</v>
      </c>
      <c r="P77" s="80">
        <f>IF(B77="","",VLOOKUP(AD77,Varsayımlar!$B:$Q,7,0)*K77)</f>
        <v>5760</v>
      </c>
      <c r="Q77" s="80">
        <f>IF(B77="","",VLOOKUP(AD77,Varsayımlar!$B:$Q,8,0))</f>
        <v>26</v>
      </c>
      <c r="R77" s="80" t="str">
        <f>IF(B77="","",VLOOKUP(AD77,Varsayımlar!$B:$Q,9,0))</f>
        <v>Irak Soft</v>
      </c>
      <c r="S77" s="80">
        <f>IF(B77="","",VLOOKUP(AD77,Varsayımlar!$B:$Q,10,0))</f>
        <v>4</v>
      </c>
      <c r="T77" s="80">
        <f>IF(B77="","",VLOOKUP(AD77,Varsayımlar!$B:$Q,11,0))</f>
        <v>8</v>
      </c>
      <c r="U77" s="80">
        <f>IF(B77="","",VLOOKUP(AD77,Varsayımlar!$B:$Q,12,0))</f>
        <v>480</v>
      </c>
      <c r="V77" s="80" t="str">
        <f>IF(B77="","",VLOOKUP(AD77,Varsayımlar!$B:$Q,13,0))</f>
        <v>Yurtdışı</v>
      </c>
      <c r="W77" s="80">
        <f>IF(B77="","",VLOOKUP(AD77,Varsayımlar!$B:$Q,14,0))</f>
        <v>9</v>
      </c>
      <c r="X77" s="81">
        <v>46203</v>
      </c>
      <c r="Y77" s="81">
        <v>46476</v>
      </c>
      <c r="Z77" s="80">
        <v>26063026</v>
      </c>
      <c r="AA77" s="80" t="str">
        <f>IF(B77="","",VLOOKUP(AD77,Varsayımlar!$B:$Q,15,0))</f>
        <v>26cm Pizza Perforeli-Bulgarca Etiket</v>
      </c>
      <c r="AB77" s="80" t="str">
        <f>IF(B77="","",VLOOKUP(AD77,Varsayımlar!$B:$Q,16,0))</f>
        <v>26 cm kesme -Beze 145-150g, Kesilmmeiş çap 27-28cm, Kesilmemiş ağı: 520-540g, Kesilmiş:475-485g</v>
      </c>
      <c r="AC77" s="80" t="str">
        <f>IF(B77="","",VLOOKUP(Sayfa1!AD80,Varsayımlar!B:S,18,0))</f>
        <v>80x120cm -Epal+Epal</v>
      </c>
      <c r="AD77" s="57" t="str">
        <f t="shared" si="3"/>
        <v>TASTE LAND-BULGARİSTANTortillas Pizza 26cm 4pcs 480g</v>
      </c>
    </row>
    <row r="78" spans="1:30" ht="47.25" x14ac:dyDescent="0.25">
      <c r="A78" s="8" t="s">
        <v>85</v>
      </c>
      <c r="B78" s="54" t="s">
        <v>268</v>
      </c>
      <c r="C78" s="39">
        <f>IF(B78="","",VLOOKUP(AD78,Varsayımlar!$B:$Q,3,0))</f>
        <v>8698829380698</v>
      </c>
      <c r="D78" s="39" t="s">
        <v>160</v>
      </c>
      <c r="E78" s="39" t="s">
        <v>244</v>
      </c>
      <c r="F78" s="54" t="s">
        <v>343</v>
      </c>
      <c r="G78" s="39" t="s">
        <v>68</v>
      </c>
      <c r="H78" s="54" t="str">
        <f>IF(B78="","",VLOOKUP(AD78,Varsayımlar!$B:$Q,5,0))</f>
        <v xml:space="preserve">Tortillas Pizza 26cm </v>
      </c>
      <c r="I78" s="54">
        <f>IF(B78="","",VLOOKUP(AD78,Varsayımlar!B:T,19,0))</f>
        <v>0</v>
      </c>
      <c r="J78" s="54" t="str">
        <f>IF(B78="","",VLOOKUP(AD78,Varsayımlar!$B:$Q,6,0))</f>
        <v>SADE</v>
      </c>
      <c r="K78" s="54">
        <v>768</v>
      </c>
      <c r="L78" s="54"/>
      <c r="M78" s="54">
        <f>IFERROR(IF(B78="","",K78/VLOOKUP(AD78,Varsayımlar!B:R,17,0)),"")</f>
        <v>4</v>
      </c>
      <c r="N78" s="54"/>
      <c r="O78" s="54">
        <v>9</v>
      </c>
      <c r="P78" s="54">
        <f>IF(B78="","",VLOOKUP(AD78,Varsayımlar!$B:$Q,7,0)*K78)</f>
        <v>9216</v>
      </c>
      <c r="Q78" s="54">
        <f>IF(B78="","",VLOOKUP(AD78,Varsayımlar!$B:$Q,8,0))</f>
        <v>26</v>
      </c>
      <c r="R78" s="54" t="str">
        <f>IF(B78="","",VLOOKUP(AD78,Varsayımlar!$B:$Q,9,0))</f>
        <v>Soft-PA3</v>
      </c>
      <c r="S78" s="54">
        <f>IF(B78="","",VLOOKUP(AD78,Varsayımlar!$B:$Q,10,0))</f>
        <v>2</v>
      </c>
      <c r="T78" s="54">
        <f>IF(B78="","",VLOOKUP(AD78,Varsayımlar!$B:$Q,11,0))</f>
        <v>12</v>
      </c>
      <c r="U78" s="54">
        <f>IF(B78="","",VLOOKUP(AD78,Varsayımlar!$B:$Q,12,0))</f>
        <v>240</v>
      </c>
      <c r="V78" s="54" t="str">
        <f>IF(B78="","",VLOOKUP(AD78,Varsayımlar!$B:$Q,13,0))</f>
        <v>Yurtdışı</v>
      </c>
      <c r="W78" s="54">
        <f>IF(B78="","",VLOOKUP(AD78,Varsayımlar!$B:$Q,14,0))</f>
        <v>9</v>
      </c>
      <c r="X78" s="56">
        <v>46205</v>
      </c>
      <c r="Y78" s="56">
        <v>46479</v>
      </c>
      <c r="Z78" s="54">
        <v>26070226</v>
      </c>
      <c r="AA78" s="54" t="str">
        <f>IF(B78="","",VLOOKUP(AD78,Varsayımlar!$B:$Q,15,0))</f>
        <v>26 cm pizza kolisi-Etiketli</v>
      </c>
      <c r="AB78" s="54" t="str">
        <f>IF(B78="","",VLOOKUP(AD78,Varsayımlar!$B:$Q,16,0))</f>
        <v>24-26 cm (Macca Hetto Inkjet Uzun Tarih)</v>
      </c>
      <c r="AC78" s="54" t="e">
        <f>IF(B78="","",VLOOKUP(Sayfa1!AD83,Varsayımlar!B:S,18,0))</f>
        <v>#N/A</v>
      </c>
      <c r="AD78" s="57" t="str">
        <f>IF(B78="","",CONCATENATE(B78,E78))</f>
        <v>LAIKYUZHN-BELARUSTortillas Pizza 26cm 4pcs 480g</v>
      </c>
    </row>
    <row r="79" spans="1:30" ht="94.5" x14ac:dyDescent="0.25">
      <c r="A79" s="8" t="s">
        <v>86</v>
      </c>
      <c r="B79" s="75" t="s">
        <v>218</v>
      </c>
      <c r="C79" s="43">
        <f>IF(B79="","",VLOOKUP(AD79,Varsayımlar!$B:$Q,3,0))</f>
        <v>8698829380698</v>
      </c>
      <c r="D79" s="43" t="s">
        <v>161</v>
      </c>
      <c r="E79" s="75" t="s">
        <v>244</v>
      </c>
      <c r="F79" s="75" t="s">
        <v>341</v>
      </c>
      <c r="G79" s="43"/>
      <c r="H79" s="75" t="str">
        <f>IF(B79="","",VLOOKUP(AD79,Varsayımlar!$B:$Q,5,0))</f>
        <v>Tortillas Avrupa Pizza 26cm (742)</v>
      </c>
      <c r="I79" s="75">
        <f>IF(B79="","",VLOOKUP(AD79,Varsayımlar!B:T,19,0))</f>
        <v>0</v>
      </c>
      <c r="J79" s="75" t="str">
        <f>IF(B79="","",VLOOKUP(AD79,Varsayımlar!$B:$Q,6,0))</f>
        <v>SADE</v>
      </c>
      <c r="K79" s="75">
        <v>840</v>
      </c>
      <c r="L79" s="75"/>
      <c r="M79" s="75">
        <f>IFERROR(IF(B79="","",K79/VLOOKUP(AD79,Varsayımlar!B:R,17,0)),"")</f>
        <v>7</v>
      </c>
      <c r="N79" s="75"/>
      <c r="O79" s="75">
        <v>11</v>
      </c>
      <c r="P79" s="75">
        <f>IF(B79="","",VLOOKUP(AD79,Varsayımlar!$B:$Q,7,0)*K79)</f>
        <v>6720</v>
      </c>
      <c r="Q79" s="75">
        <f>IF(B79="","",VLOOKUP(AD79,Varsayımlar!$B:$Q,8,0))</f>
        <v>26</v>
      </c>
      <c r="R79" s="75" t="str">
        <f>IF(B79="","",VLOOKUP(AD79,Varsayımlar!$B:$Q,9,0))</f>
        <v>Irak Soft</v>
      </c>
      <c r="S79" s="75">
        <f>IF(B79="","",VLOOKUP(AD79,Varsayımlar!$B:$Q,10,0))</f>
        <v>4</v>
      </c>
      <c r="T79" s="75">
        <f>IF(B79="","",VLOOKUP(AD79,Varsayımlar!$B:$Q,11,0))</f>
        <v>8</v>
      </c>
      <c r="U79" s="75">
        <f>IF(B79="","",VLOOKUP(AD79,Varsayımlar!$B:$Q,12,0))</f>
        <v>480</v>
      </c>
      <c r="V79" s="75" t="str">
        <f>IF(B79="","",VLOOKUP(AD79,Varsayımlar!$B:$Q,13,0))</f>
        <v>Yurtdışı</v>
      </c>
      <c r="W79" s="75">
        <f>IF(B79="","",VLOOKUP(AD79,Varsayımlar!$B:$Q,14,0))</f>
        <v>9</v>
      </c>
      <c r="X79" s="76"/>
      <c r="Y79" s="76"/>
      <c r="Z79" s="75"/>
      <c r="AA79" s="75" t="str">
        <f>IF(B79="","",VLOOKUP(AD79,Varsayımlar!$B:$Q,15,0))</f>
        <v>26cm Pizza Perforeli-Bulgarca Etiket</v>
      </c>
      <c r="AB79" s="75" t="str">
        <f>IF(B79="","",VLOOKUP(AD79,Varsayımlar!$B:$Q,16,0))</f>
        <v>26 cm kesme -Beze 145-150g, Kesilmmeiş çap 27-28cm, Kesilmemiş ağı: 520-540g, Kesilmiş:475-485g</v>
      </c>
      <c r="AC79" s="75" t="str">
        <f>IF(B79="","",VLOOKUP(Sayfa1!AD81,Varsayımlar!B:S,18,0))</f>
        <v>80x120cm -Epal+Epal</v>
      </c>
      <c r="AD79" s="57" t="str">
        <f t="shared" si="3"/>
        <v>TASTE LAND-BULGARİSTANTortillas Pizza 26cm 4pcs 480g</v>
      </c>
    </row>
    <row r="80" spans="1:30" x14ac:dyDescent="0.25">
      <c r="A80" s="8" t="s">
        <v>88</v>
      </c>
      <c r="B80" s="67"/>
      <c r="C80" s="42" t="str">
        <f>IF(B80="","",VLOOKUP(AD80,Varsayımlar!$B:$Q,3,0))</f>
        <v/>
      </c>
      <c r="D80" s="42"/>
      <c r="E80" s="42"/>
      <c r="F80" s="42"/>
      <c r="G80" s="42"/>
      <c r="H80" s="42" t="str">
        <f>IF(B80="","",VLOOKUP(AD80,Varsayımlar!$B:$Q,5,0))</f>
        <v/>
      </c>
      <c r="I80" s="42"/>
      <c r="J80" s="42" t="str">
        <f>IF(B80="","",VLOOKUP(AD80,Varsayımlar!$B:$Q,6,0))</f>
        <v/>
      </c>
      <c r="K80" s="42"/>
      <c r="L80" s="42"/>
      <c r="M80" s="42" t="str">
        <f>IFERROR(IF(B80="","",K80/VLOOKUP(AD80,Varsayımlar!B:R,17,0)),"")</f>
        <v/>
      </c>
      <c r="N80" s="42"/>
      <c r="O80" s="42"/>
      <c r="P80" s="42" t="str">
        <f>IF(B80="","",VLOOKUP(AD80,Varsayımlar!$B:$Q,7,0)*K80)</f>
        <v/>
      </c>
      <c r="Q80" s="42" t="str">
        <f>IF(B80="","",VLOOKUP(AD80,Varsayımlar!$B:$Q,8,0))</f>
        <v/>
      </c>
      <c r="R80" s="42" t="str">
        <f>IF(B80="","",VLOOKUP(AD80,Varsayımlar!$B:$Q,9,0))</f>
        <v/>
      </c>
      <c r="S80" s="42" t="str">
        <f>IF(B80="","",VLOOKUP(AD80,Varsayımlar!$B:$Q,10,0))</f>
        <v/>
      </c>
      <c r="T80" s="42" t="str">
        <f>IF(B80="","",VLOOKUP(AD80,Varsayımlar!$B:$Q,11,0))</f>
        <v/>
      </c>
      <c r="U80" s="42" t="str">
        <f>IF(B80="","",VLOOKUP(AD80,Varsayımlar!$B:$Q,12,0))</f>
        <v/>
      </c>
      <c r="V80" s="42" t="str">
        <f>IF(B80="","",VLOOKUP(AD80,Varsayımlar!$B:$Q,13,0))</f>
        <v/>
      </c>
      <c r="W80" s="67" t="str">
        <f>IF(B80="","",VLOOKUP(AD80,Varsayımlar!$B:$Q,14,0))</f>
        <v/>
      </c>
      <c r="X80" s="69"/>
      <c r="Y80" s="69"/>
      <c r="Z80" s="67"/>
      <c r="AA80" s="67" t="str">
        <f>IF(B80="","",VLOOKUP(AD80,Varsayımlar!$B:$Q,15,0))</f>
        <v/>
      </c>
      <c r="AB80" s="67" t="str">
        <f>IF(B80="","",VLOOKUP(AD80,Varsayımlar!$B:$Q,16,0))</f>
        <v/>
      </c>
      <c r="AC80" s="67"/>
      <c r="AD80" s="57" t="str">
        <f t="shared" si="3"/>
        <v/>
      </c>
    </row>
    <row r="81" spans="1:30" x14ac:dyDescent="0.25">
      <c r="A81" s="8" t="s">
        <v>89</v>
      </c>
      <c r="B81" s="67"/>
      <c r="C81" s="42" t="str">
        <f>IF(B81="","",VLOOKUP(AD81,Varsayımlar!$B:$Q,3,0))</f>
        <v/>
      </c>
      <c r="D81" s="42"/>
      <c r="E81" s="42"/>
      <c r="F81" s="42"/>
      <c r="G81" s="42"/>
      <c r="H81" s="42" t="str">
        <f>IF(B81="","",VLOOKUP(AD81,Varsayımlar!$B:$Q,5,0))</f>
        <v/>
      </c>
      <c r="I81" s="42"/>
      <c r="J81" s="42" t="str">
        <f>IF(B81="","",VLOOKUP(AD81,Varsayımlar!$B:$Q,6,0))</f>
        <v/>
      </c>
      <c r="K81" s="42"/>
      <c r="L81" s="42"/>
      <c r="M81" s="42" t="str">
        <f>IFERROR(IF(B81="","",K81/VLOOKUP(AD81,Varsayımlar!B:R,17,0)),"")</f>
        <v/>
      </c>
      <c r="N81" s="42"/>
      <c r="O81" s="42"/>
      <c r="P81" s="42" t="str">
        <f>IF(B81="","",VLOOKUP(AD81,Varsayımlar!$B:$Q,7,0)*K81)</f>
        <v/>
      </c>
      <c r="Q81" s="42" t="str">
        <f>IF(B81="","",VLOOKUP(AD81,Varsayımlar!$B:$Q,8,0))</f>
        <v/>
      </c>
      <c r="R81" s="42" t="str">
        <f>IF(B81="","",VLOOKUP(AD81,Varsayımlar!$B:$Q,9,0))</f>
        <v/>
      </c>
      <c r="S81" s="42" t="str">
        <f>IF(B81="","",VLOOKUP(AD81,Varsayımlar!$B:$Q,10,0))</f>
        <v/>
      </c>
      <c r="T81" s="42" t="str">
        <f>IF(B81="","",VLOOKUP(AD81,Varsayımlar!$B:$Q,11,0))</f>
        <v/>
      </c>
      <c r="U81" s="42" t="str">
        <f>IF(B81="","",VLOOKUP(AD81,Varsayımlar!$B:$Q,12,0))</f>
        <v/>
      </c>
      <c r="V81" s="42" t="str">
        <f>IF(B81="","",VLOOKUP(AD81,Varsayımlar!$B:$Q,13,0))</f>
        <v/>
      </c>
      <c r="W81" s="67" t="str">
        <f>IF(B81="","",VLOOKUP(AD81,Varsayımlar!$B:$Q,14,0))</f>
        <v/>
      </c>
      <c r="X81" s="69"/>
      <c r="Y81" s="69"/>
      <c r="Z81" s="67"/>
      <c r="AA81" s="67" t="str">
        <f>IF(B81="","",VLOOKUP(AD81,Varsayımlar!$B:$Q,15,0))</f>
        <v/>
      </c>
      <c r="AB81" s="67" t="str">
        <f>IF(B81="","",VLOOKUP(AD81,Varsayımlar!$B:$Q,16,0))</f>
        <v/>
      </c>
      <c r="AC81" s="67"/>
      <c r="AD81" s="57" t="str">
        <f t="shared" si="3"/>
        <v/>
      </c>
    </row>
    <row r="82" spans="1:30" x14ac:dyDescent="0.25">
      <c r="A82" s="8" t="s">
        <v>90</v>
      </c>
      <c r="B82" s="67"/>
      <c r="C82" s="42" t="str">
        <f>IF(B82="","",VLOOKUP(AD82,Varsayımlar!$B:$Q,3,0))</f>
        <v/>
      </c>
      <c r="D82" s="42"/>
      <c r="E82" s="42"/>
      <c r="F82" s="42"/>
      <c r="G82" s="42"/>
      <c r="H82" s="42" t="str">
        <f>IF(B82="","",VLOOKUP(AD82,Varsayımlar!$B:$Q,5,0))</f>
        <v/>
      </c>
      <c r="I82" s="42"/>
      <c r="J82" s="42" t="str">
        <f>IF(B82="","",VLOOKUP(AD82,Varsayımlar!$B:$Q,6,0))</f>
        <v/>
      </c>
      <c r="K82" s="42"/>
      <c r="L82" s="42"/>
      <c r="M82" s="42" t="str">
        <f>IFERROR(IF(B82="","",K82/VLOOKUP(AD82,Varsayımlar!B:R,17,0)),"")</f>
        <v/>
      </c>
      <c r="N82" s="42"/>
      <c r="O82" s="42"/>
      <c r="P82" s="42" t="str">
        <f>IF(B82="","",VLOOKUP(AD82,Varsayımlar!$B:$Q,7,0)*K82)</f>
        <v/>
      </c>
      <c r="Q82" s="42" t="str">
        <f>IF(B82="","",VLOOKUP(AD82,Varsayımlar!$B:$Q,8,0))</f>
        <v/>
      </c>
      <c r="R82" s="42" t="str">
        <f>IF(B82="","",VLOOKUP(AD82,Varsayımlar!$B:$Q,9,0))</f>
        <v/>
      </c>
      <c r="S82" s="42" t="str">
        <f>IF(B82="","",VLOOKUP(AD82,Varsayımlar!$B:$Q,10,0))</f>
        <v/>
      </c>
      <c r="T82" s="42" t="str">
        <f>IF(B82="","",VLOOKUP(AD82,Varsayımlar!$B:$Q,11,0))</f>
        <v/>
      </c>
      <c r="U82" s="42" t="str">
        <f>IF(B82="","",VLOOKUP(AD82,Varsayımlar!$B:$Q,12,0))</f>
        <v/>
      </c>
      <c r="V82" s="42" t="str">
        <f>IF(B82="","",VLOOKUP(AD82,Varsayımlar!$B:$Q,13,0))</f>
        <v/>
      </c>
      <c r="W82" s="67" t="str">
        <f>IF(B82="","",VLOOKUP(AD82,Varsayımlar!$B:$Q,14,0))</f>
        <v/>
      </c>
      <c r="X82" s="69"/>
      <c r="Y82" s="69"/>
      <c r="Z82" s="67"/>
      <c r="AA82" s="67" t="str">
        <f>IF(B82="","",VLOOKUP(AD82,Varsayımlar!$B:$Q,15,0))</f>
        <v/>
      </c>
      <c r="AB82" s="67" t="str">
        <f>IF(B82="","",VLOOKUP(AD82,Varsayımlar!$B:$Q,16,0))</f>
        <v/>
      </c>
      <c r="AC82" s="67"/>
      <c r="AD82" s="57" t="str">
        <f t="shared" si="3"/>
        <v/>
      </c>
    </row>
    <row r="83" spans="1:30" x14ac:dyDescent="0.25">
      <c r="A83" s="8" t="s">
        <v>91</v>
      </c>
      <c r="B83" s="67"/>
      <c r="C83" s="42" t="str">
        <f>IF(B83="","",VLOOKUP(AD83,Varsayımlar!$B:$Q,3,0))</f>
        <v/>
      </c>
      <c r="D83" s="42"/>
      <c r="E83" s="42"/>
      <c r="F83" s="42"/>
      <c r="G83" s="42"/>
      <c r="H83" s="42" t="str">
        <f>IF(B83="","",VLOOKUP(AD83,Varsayımlar!$B:$Q,5,0))</f>
        <v/>
      </c>
      <c r="I83" s="42"/>
      <c r="J83" s="42" t="str">
        <f>IF(B83="","",VLOOKUP(AD83,Varsayımlar!$B:$Q,6,0))</f>
        <v/>
      </c>
      <c r="K83" s="42"/>
      <c r="L83" s="42"/>
      <c r="M83" s="42" t="str">
        <f>IFERROR(IF(B83="","",K83/VLOOKUP(AD83,Varsayımlar!B:R,17,0)),"")</f>
        <v/>
      </c>
      <c r="N83" s="42"/>
      <c r="O83" s="42"/>
      <c r="P83" s="42" t="str">
        <f>IF(B83="","",VLOOKUP(AD83,Varsayımlar!$B:$Q,7,0)*K83)</f>
        <v/>
      </c>
      <c r="Q83" s="42" t="str">
        <f>IF(B83="","",VLOOKUP(AD83,Varsayımlar!$B:$Q,8,0))</f>
        <v/>
      </c>
      <c r="R83" s="42" t="str">
        <f>IF(B83="","",VLOOKUP(AD83,Varsayımlar!$B:$Q,9,0))</f>
        <v/>
      </c>
      <c r="S83" s="42" t="str">
        <f>IF(B83="","",VLOOKUP(AD83,Varsayımlar!$B:$Q,10,0))</f>
        <v/>
      </c>
      <c r="T83" s="42" t="str">
        <f>IF(B83="","",VLOOKUP(AD83,Varsayımlar!$B:$Q,11,0))</f>
        <v/>
      </c>
      <c r="U83" s="42" t="str">
        <f>IF(B83="","",VLOOKUP(AD83,Varsayımlar!$B:$Q,12,0))</f>
        <v/>
      </c>
      <c r="V83" s="42" t="str">
        <f>IF(B83="","",VLOOKUP(AD83,Varsayımlar!$B:$Q,13,0))</f>
        <v/>
      </c>
      <c r="W83" s="67" t="str">
        <f>IF(B83="","",VLOOKUP(AD83,Varsayımlar!$B:$Q,14,0))</f>
        <v/>
      </c>
      <c r="X83" s="69"/>
      <c r="Y83" s="69"/>
      <c r="Z83" s="67"/>
      <c r="AA83" s="67" t="str">
        <f>IF(B83="","",VLOOKUP(AD83,Varsayımlar!$B:$Q,15,0))</f>
        <v/>
      </c>
      <c r="AB83" s="67" t="str">
        <f>IF(B83="","",VLOOKUP(AD83,Varsayımlar!$B:$Q,16,0))</f>
        <v/>
      </c>
      <c r="AC83" s="67"/>
      <c r="AD83" s="57" t="str">
        <f t="shared" si="3"/>
        <v/>
      </c>
    </row>
    <row r="84" spans="1:30" x14ac:dyDescent="0.25">
      <c r="A84" s="8" t="s">
        <v>92</v>
      </c>
      <c r="B84" s="67"/>
      <c r="C84" s="42" t="str">
        <f>IF(B84="","",VLOOKUP(AD84,Varsayımlar!$B:$Q,3,0))</f>
        <v/>
      </c>
      <c r="D84" s="42"/>
      <c r="E84" s="42"/>
      <c r="F84" s="42"/>
      <c r="G84" s="42"/>
      <c r="H84" s="42" t="str">
        <f>IF(B84="","",VLOOKUP(AD84,Varsayımlar!$B:$Q,5,0))</f>
        <v/>
      </c>
      <c r="I84" s="42"/>
      <c r="J84" s="42" t="str">
        <f>IF(B84="","",VLOOKUP(AD84,Varsayımlar!$B:$Q,6,0))</f>
        <v/>
      </c>
      <c r="K84" s="42"/>
      <c r="L84" s="42"/>
      <c r="M84" s="42" t="str">
        <f>IFERROR(IF(B84="","",K84/VLOOKUP(AD84,Varsayımlar!B:R,17,0)),"")</f>
        <v/>
      </c>
      <c r="N84" s="42"/>
      <c r="O84" s="42"/>
      <c r="P84" s="42" t="str">
        <f>IF(B84="","",VLOOKUP(AD84,Varsayımlar!$B:$Q,7,0)*K84)</f>
        <v/>
      </c>
      <c r="Q84" s="42" t="str">
        <f>IF(B84="","",VLOOKUP(AD84,Varsayımlar!$B:$Q,8,0))</f>
        <v/>
      </c>
      <c r="R84" s="42" t="str">
        <f>IF(B84="","",VLOOKUP(AD84,Varsayımlar!$B:$Q,9,0))</f>
        <v/>
      </c>
      <c r="S84" s="42" t="str">
        <f>IF(B84="","",VLOOKUP(AD84,Varsayımlar!$B:$Q,10,0))</f>
        <v/>
      </c>
      <c r="T84" s="42" t="str">
        <f>IF(B84="","",VLOOKUP(AD84,Varsayımlar!$B:$Q,11,0))</f>
        <v/>
      </c>
      <c r="U84" s="42" t="str">
        <f>IF(B84="","",VLOOKUP(AD84,Varsayımlar!$B:$Q,12,0))</f>
        <v/>
      </c>
      <c r="V84" s="42" t="str">
        <f>IF(B84="","",VLOOKUP(AD84,Varsayımlar!$B:$Q,13,0))</f>
        <v/>
      </c>
      <c r="W84" s="67" t="str">
        <f>IF(B84="","",VLOOKUP(AD84,Varsayımlar!$B:$Q,14,0))</f>
        <v/>
      </c>
      <c r="X84" s="69"/>
      <c r="Y84" s="69"/>
      <c r="Z84" s="67"/>
      <c r="AA84" s="67" t="str">
        <f>IF(B84="","",VLOOKUP(AD84,Varsayımlar!$B:$Q,15,0))</f>
        <v/>
      </c>
      <c r="AB84" s="67" t="str">
        <f>IF(B84="","",VLOOKUP(AD84,Varsayımlar!$B:$Q,16,0))</f>
        <v/>
      </c>
      <c r="AC84" s="67"/>
      <c r="AD84" s="57" t="str">
        <f t="shared" si="3"/>
        <v/>
      </c>
    </row>
    <row r="85" spans="1:30" x14ac:dyDescent="0.25">
      <c r="A85" s="8" t="s">
        <v>93</v>
      </c>
      <c r="B85" s="67"/>
      <c r="C85" s="42" t="str">
        <f>IF(B85="","",VLOOKUP(AD85,Varsayımlar!$B:$Q,3,0))</f>
        <v/>
      </c>
      <c r="D85" s="42"/>
      <c r="E85" s="42"/>
      <c r="F85" s="42"/>
      <c r="G85" s="42"/>
      <c r="H85" s="42" t="str">
        <f>IF(B85="","",VLOOKUP(AD85,Varsayımlar!$B:$Q,5,0))</f>
        <v/>
      </c>
      <c r="I85" s="42"/>
      <c r="J85" s="42" t="str">
        <f>IF(B85="","",VLOOKUP(AD85,Varsayımlar!$B:$Q,6,0))</f>
        <v/>
      </c>
      <c r="K85" s="42"/>
      <c r="L85" s="42"/>
      <c r="M85" s="42" t="str">
        <f>IFERROR(IF(B85="","",K85/VLOOKUP(AD85,Varsayımlar!B:R,17,0)),"")</f>
        <v/>
      </c>
      <c r="N85" s="42"/>
      <c r="O85" s="42"/>
      <c r="P85" s="42" t="str">
        <f>IF(B85="","",VLOOKUP(AD85,Varsayımlar!$B:$Q,7,0)*K85)</f>
        <v/>
      </c>
      <c r="Q85" s="42" t="str">
        <f>IF(B85="","",VLOOKUP(AD85,Varsayımlar!$B:$Q,8,0))</f>
        <v/>
      </c>
      <c r="R85" s="42" t="str">
        <f>IF(B85="","",VLOOKUP(AD85,Varsayımlar!$B:$Q,9,0))</f>
        <v/>
      </c>
      <c r="S85" s="42" t="str">
        <f>IF(B85="","",VLOOKUP(AD85,Varsayımlar!$B:$Q,10,0))</f>
        <v/>
      </c>
      <c r="T85" s="42" t="str">
        <f>IF(B85="","",VLOOKUP(AD85,Varsayımlar!$B:$Q,11,0))</f>
        <v/>
      </c>
      <c r="U85" s="42" t="str">
        <f>IF(B85="","",VLOOKUP(AD85,Varsayımlar!$B:$Q,12,0))</f>
        <v/>
      </c>
      <c r="V85" s="42" t="str">
        <f>IF(B85="","",VLOOKUP(AD85,Varsayımlar!$B:$Q,13,0))</f>
        <v/>
      </c>
      <c r="W85" s="67" t="str">
        <f>IF(B85="","",VLOOKUP(AD85,Varsayımlar!$B:$Q,14,0))</f>
        <v/>
      </c>
      <c r="X85" s="69"/>
      <c r="Y85" s="69"/>
      <c r="Z85" s="67"/>
      <c r="AA85" s="67" t="str">
        <f>IF(B85="","",VLOOKUP(AD85,Varsayımlar!$B:$Q,15,0))</f>
        <v/>
      </c>
      <c r="AB85" s="67" t="str">
        <f>IF(B85="","",VLOOKUP(AD85,Varsayımlar!$B:$Q,16,0))</f>
        <v/>
      </c>
      <c r="AC85" s="67"/>
      <c r="AD85" s="57" t="str">
        <f t="shared" si="3"/>
        <v/>
      </c>
    </row>
    <row r="86" spans="1:30" x14ac:dyDescent="0.25">
      <c r="A86" s="8" t="s">
        <v>135</v>
      </c>
      <c r="B86" s="67"/>
      <c r="C86" s="42" t="str">
        <f>IF(B86="","",VLOOKUP(AD86,Varsayımlar!$B:$Q,3,0))</f>
        <v/>
      </c>
      <c r="D86" s="42"/>
      <c r="E86" s="42"/>
      <c r="F86" s="42"/>
      <c r="G86" s="42"/>
      <c r="H86" s="42" t="str">
        <f>IF(B86="","",VLOOKUP(AD86,Varsayımlar!$B:$Q,5,0))</f>
        <v/>
      </c>
      <c r="I86" s="42"/>
      <c r="J86" s="42" t="str">
        <f>IF(B86="","",VLOOKUP(AD86,Varsayımlar!$B:$Q,6,0))</f>
        <v/>
      </c>
      <c r="K86" s="42"/>
      <c r="L86" s="42"/>
      <c r="M86" s="42" t="str">
        <f>IFERROR(IF(B86="","",K86/VLOOKUP(AD86,Varsayımlar!B:R,17,0)),"")</f>
        <v/>
      </c>
      <c r="N86" s="42"/>
      <c r="O86" s="42"/>
      <c r="P86" s="42" t="str">
        <f>IF(B86="","",VLOOKUP(AD86,Varsayımlar!$B:$Q,7,0)*K86)</f>
        <v/>
      </c>
      <c r="Q86" s="42" t="str">
        <f>IF(B86="","",VLOOKUP(AD86,Varsayımlar!$B:$Q,8,0))</f>
        <v/>
      </c>
      <c r="R86" s="42" t="str">
        <f>IF(B86="","",VLOOKUP(AD86,Varsayımlar!$B:$Q,9,0))</f>
        <v/>
      </c>
      <c r="S86" s="42" t="str">
        <f>IF(B86="","",VLOOKUP(AD86,Varsayımlar!$B:$Q,10,0))</f>
        <v/>
      </c>
      <c r="T86" s="42" t="str">
        <f>IF(B86="","",VLOOKUP(AD86,Varsayımlar!$B:$Q,11,0))</f>
        <v/>
      </c>
      <c r="U86" s="42" t="str">
        <f>IF(B86="","",VLOOKUP(AD86,Varsayımlar!$B:$Q,12,0))</f>
        <v/>
      </c>
      <c r="V86" s="42" t="str">
        <f>IF(B86="","",VLOOKUP(AD86,Varsayımlar!$B:$Q,13,0))</f>
        <v/>
      </c>
      <c r="W86" s="67" t="str">
        <f>IF(B86="","",VLOOKUP(AD86,Varsayımlar!$B:$Q,14,0))</f>
        <v/>
      </c>
      <c r="X86" s="69"/>
      <c r="Y86" s="69"/>
      <c r="Z86" s="67"/>
      <c r="AA86" s="67" t="str">
        <f>IF(B86="","",VLOOKUP(AD86,Varsayımlar!$B:$Q,15,0))</f>
        <v/>
      </c>
      <c r="AB86" s="67" t="str">
        <f>IF(B86="","",VLOOKUP(AD86,Varsayımlar!$B:$Q,16,0))</f>
        <v/>
      </c>
      <c r="AC86" s="67"/>
      <c r="AD86" s="57" t="str">
        <f t="shared" si="3"/>
        <v/>
      </c>
    </row>
    <row r="87" spans="1:30" x14ac:dyDescent="0.25">
      <c r="A87" s="8" t="s">
        <v>136</v>
      </c>
      <c r="B87" s="67"/>
      <c r="C87" s="42" t="str">
        <f>IF(B87="","",VLOOKUP(AD87,Varsayımlar!$B:$Q,3,0))</f>
        <v/>
      </c>
      <c r="D87" s="42"/>
      <c r="E87" s="42"/>
      <c r="F87" s="42"/>
      <c r="G87" s="42"/>
      <c r="H87" s="42" t="str">
        <f>IF(B87="","",VLOOKUP(AD87,Varsayımlar!$B:$Q,5,0))</f>
        <v/>
      </c>
      <c r="I87" s="42"/>
      <c r="J87" s="42" t="str">
        <f>IF(B87="","",VLOOKUP(AD87,Varsayımlar!$B:$Q,6,0))</f>
        <v/>
      </c>
      <c r="K87" s="42"/>
      <c r="L87" s="42"/>
      <c r="M87" s="42" t="str">
        <f>IFERROR(IF(B87="","",K87/VLOOKUP(AD87,Varsayımlar!B:R,17,0)),"")</f>
        <v/>
      </c>
      <c r="N87" s="42"/>
      <c r="O87" s="42"/>
      <c r="P87" s="42" t="str">
        <f>IF(B87="","",VLOOKUP(AD87,Varsayımlar!$B:$Q,7,0)*K87)</f>
        <v/>
      </c>
      <c r="Q87" s="42" t="str">
        <f>IF(B87="","",VLOOKUP(AD87,Varsayımlar!$B:$Q,8,0))</f>
        <v/>
      </c>
      <c r="R87" s="42" t="str">
        <f>IF(B87="","",VLOOKUP(AD87,Varsayımlar!$B:$Q,9,0))</f>
        <v/>
      </c>
      <c r="S87" s="42" t="str">
        <f>IF(B87="","",VLOOKUP(AD87,Varsayımlar!$B:$Q,10,0))</f>
        <v/>
      </c>
      <c r="T87" s="42" t="str">
        <f>IF(B87="","",VLOOKUP(AD87,Varsayımlar!$B:$Q,11,0))</f>
        <v/>
      </c>
      <c r="U87" s="42" t="str">
        <f>IF(B87="","",VLOOKUP(AD87,Varsayımlar!$B:$Q,12,0))</f>
        <v/>
      </c>
      <c r="V87" s="42" t="str">
        <f>IF(B87="","",VLOOKUP(AD87,Varsayımlar!$B:$Q,13,0))</f>
        <v/>
      </c>
      <c r="W87" s="67" t="str">
        <f>IF(B87="","",VLOOKUP(AD87,Varsayımlar!$B:$Q,14,0))</f>
        <v/>
      </c>
      <c r="X87" s="69"/>
      <c r="Y87" s="69"/>
      <c r="Z87" s="67"/>
      <c r="AA87" s="67" t="str">
        <f>IF(B87="","",VLOOKUP(AD87,Varsayımlar!$B:$Q,15,0))</f>
        <v/>
      </c>
      <c r="AB87" s="67" t="str">
        <f>IF(B87="","",VLOOKUP(AD87,Varsayımlar!$B:$Q,16,0))</f>
        <v/>
      </c>
      <c r="AC87" s="67"/>
      <c r="AD87" s="57" t="str">
        <f t="shared" si="3"/>
        <v/>
      </c>
    </row>
    <row r="88" spans="1:30" x14ac:dyDescent="0.25">
      <c r="A88" s="8" t="s">
        <v>137</v>
      </c>
      <c r="B88" s="86"/>
      <c r="C88" s="87" t="str">
        <f>IF(B88="","",VLOOKUP(AD88,Varsayımlar!$B:$Q,3,0))</f>
        <v/>
      </c>
      <c r="D88" s="87"/>
      <c r="H88" s="57" t="str">
        <f>IF(B88="","",VLOOKUP(AD88,Varsayımlar!$B:$Q,5,0))</f>
        <v/>
      </c>
      <c r="I88" s="57"/>
      <c r="J88" s="57" t="str">
        <f>IF(B88="","",VLOOKUP(AD88,Varsayımlar!$B:$Q,6,0))</f>
        <v/>
      </c>
      <c r="P88" s="57" t="str">
        <f>IF(B88="","",VLOOKUP(AD88,Varsayımlar!$B:$Q,7,0)*K88)</f>
        <v/>
      </c>
      <c r="Q88" s="57" t="str">
        <f>IF(B88="","",VLOOKUP(AD88,Varsayımlar!$B:$Q,8,0))</f>
        <v/>
      </c>
      <c r="R88" s="57" t="str">
        <f>IF(B88="","",VLOOKUP(AD88,Varsayımlar!$B:$Q,9,0))</f>
        <v/>
      </c>
      <c r="S88" s="57" t="str">
        <f>IF(B88="","",VLOOKUP(AD88,Varsayımlar!$B:$Q,10,0))</f>
        <v/>
      </c>
      <c r="T88" s="57" t="str">
        <f>IF(B88="","",VLOOKUP(AD88,Varsayımlar!$B:$Q,11,0))</f>
        <v/>
      </c>
      <c r="U88" s="57" t="str">
        <f>IF(B88="","",VLOOKUP(AD88,Varsayımlar!$B:$Q,12,0))</f>
        <v/>
      </c>
      <c r="V88" s="57" t="str">
        <f>IF(B88="","",VLOOKUP(AD88,Varsayımlar!$B:$Q,13,0))</f>
        <v/>
      </c>
      <c r="W88" s="57" t="str">
        <f>IF(B88="","",VLOOKUP(AD88,Varsayımlar!$B:$Q,14,0))</f>
        <v/>
      </c>
      <c r="AA88" s="57" t="str">
        <f>IF(B88="","",VLOOKUP(AD88,Varsayımlar!$B:$Q,15,0))</f>
        <v/>
      </c>
      <c r="AB88" s="57" t="str">
        <f>IF(B88="","",VLOOKUP(AD88,Varsayımlar!$B:$Q,16,0))</f>
        <v/>
      </c>
      <c r="AC88" s="57" t="str">
        <f>IF(B88="","",VLOOKUP(Sayfa1!AD93,Varsayımlar!B:S,18,0))</f>
        <v/>
      </c>
      <c r="AD88" s="57" t="str">
        <f t="shared" si="3"/>
        <v/>
      </c>
    </row>
    <row r="89" spans="1:30" x14ac:dyDescent="0.25">
      <c r="C89" s="53" t="str">
        <f>IF(B89="","",VLOOKUP(AD89,Varsayımlar!$B:$Q,3,0))</f>
        <v/>
      </c>
      <c r="H89" s="7" t="str">
        <f>IF(B89="","",VLOOKUP(AD89,Varsayımlar!$B:$Q,5,0))</f>
        <v/>
      </c>
      <c r="J89" s="7" t="str">
        <f>IF(B89="","",VLOOKUP(AD89,Varsayımlar!$B:$Q,6,0))</f>
        <v/>
      </c>
      <c r="P89" s="7" t="str">
        <f>IF(B89="","",VLOOKUP(AD89,Varsayımlar!$B:$Q,7,0)*K89)</f>
        <v/>
      </c>
      <c r="Q89" s="7" t="str">
        <f>IF(B89="","",VLOOKUP(AD89,Varsayımlar!$B:$Q,8,0))</f>
        <v/>
      </c>
      <c r="R89" s="7" t="str">
        <f>IF(B89="","",VLOOKUP(AD89,Varsayımlar!$B:$Q,9,0))</f>
        <v/>
      </c>
      <c r="S89" s="7" t="str">
        <f>IF(B89="","",VLOOKUP(AD89,Varsayımlar!$B:$Q,10,0))</f>
        <v/>
      </c>
      <c r="T89" s="7" t="str">
        <f>IF(B89="","",VLOOKUP(AD89,Varsayımlar!$B:$Q,11,0))</f>
        <v/>
      </c>
      <c r="U89" s="7" t="str">
        <f>IF(B89="","",VLOOKUP(AD89,Varsayımlar!$B:$Q,12,0))</f>
        <v/>
      </c>
      <c r="V89" s="7" t="str">
        <f>IF(B89="","",VLOOKUP(AD89,Varsayımlar!$B:$Q,13,0))</f>
        <v/>
      </c>
      <c r="W89" s="7" t="str">
        <f>IF(B89="","",VLOOKUP(AD89,Varsayımlar!$B:$Q,14,0))</f>
        <v/>
      </c>
      <c r="AA89" s="7" t="str">
        <f>IF(B89="","",VLOOKUP(AD89,Varsayımlar!$B:$Q,15,0))</f>
        <v/>
      </c>
      <c r="AB89" s="7" t="str">
        <f>IF(B89="","",VLOOKUP(AD89,Varsayımlar!$B:$Q,16,0))</f>
        <v/>
      </c>
      <c r="AC89" s="7" t="str">
        <f>IF(B89="","",VLOOKUP(Sayfa1!AD94,Varsayımlar!B:S,18,0))</f>
        <v/>
      </c>
      <c r="AD89" s="7" t="str">
        <f t="shared" si="3"/>
        <v/>
      </c>
    </row>
  </sheetData>
  <mergeCells count="5">
    <mergeCell ref="A1:AC1"/>
    <mergeCell ref="A2:Z2"/>
    <mergeCell ref="AB2:AC2"/>
    <mergeCell ref="A47:AB47"/>
    <mergeCell ref="A67:AB67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4" fitToHeight="2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88"/>
  <sheetViews>
    <sheetView topLeftCell="A49" zoomScale="70" zoomScaleNormal="70" workbookViewId="0">
      <selection activeCell="G75" sqref="G75"/>
    </sheetView>
  </sheetViews>
  <sheetFormatPr defaultRowHeight="15.75" x14ac:dyDescent="0.25"/>
  <cols>
    <col min="1" max="1" width="5.85546875" style="7" bestFit="1" customWidth="1"/>
    <col min="2" max="2" width="16.28515625" style="7" hidden="1" customWidth="1"/>
    <col min="3" max="3" width="26.28515625" style="53" hidden="1" customWidth="1"/>
    <col min="4" max="4" width="10.85546875" style="53" customWidth="1"/>
    <col min="5" max="5" width="42" style="53" customWidth="1"/>
    <col min="6" max="6" width="17.7109375" style="7" hidden="1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hidden="1" customWidth="1"/>
    <col min="14" max="14" width="13.28515625" style="7" hidden="1" customWidth="1"/>
    <col min="15" max="15" width="6.28515625" style="7" hidden="1" customWidth="1"/>
    <col min="16" max="16" width="11.5703125" style="7" hidden="1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0.28515625" style="7" bestFit="1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17.28515625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46184</v>
      </c>
      <c r="AB2" s="185">
        <v>0.72916666666666663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customHeight="1" x14ac:dyDescent="0.25">
      <c r="A4" s="8" t="s">
        <v>26</v>
      </c>
      <c r="B4" s="64" t="s">
        <v>335</v>
      </c>
      <c r="C4" s="3">
        <f>IF(B4="","",VLOOKUP(AD4,Varsayımlar!$B:$Q,3,0))</f>
        <v>8698829380698</v>
      </c>
      <c r="D4" s="3"/>
      <c r="E4" s="64" t="s">
        <v>319</v>
      </c>
      <c r="F4" s="64"/>
      <c r="G4" s="64"/>
      <c r="H4" s="64" t="str">
        <f>IF(B4="","",VLOOKUP(AD4,Varsayımlar!$B:$Q,5,0))</f>
        <v>Lazeza 25cm</v>
      </c>
      <c r="I4" s="64"/>
      <c r="J4" s="64" t="str">
        <f>IF(B4="","",VLOOKUP(AD4,Varsayımlar!$B:$Q,6,0))</f>
        <v>SADE</v>
      </c>
      <c r="K4" s="64">
        <v>1120</v>
      </c>
      <c r="L4" s="64"/>
      <c r="M4" s="64" t="str">
        <f>IFERROR(IF(B4="","",K4/VLOOKUP(AD4,Varsayımlar!B:R,17,0)),"")</f>
        <v/>
      </c>
      <c r="N4" s="64"/>
      <c r="O4" s="64">
        <v>15</v>
      </c>
      <c r="P4" s="64">
        <f>IF(B4="","",VLOOKUP(AD4,Varsayımlar!$B:$Q,7,0)*K4)</f>
        <v>20160</v>
      </c>
      <c r="Q4" s="64">
        <f>IF(B4="","",VLOOKUP(AD4,Varsayımlar!$B:$Q,8,0))</f>
        <v>25</v>
      </c>
      <c r="R4" s="64" t="str">
        <f>IF(B4="","",VLOOKUP(AD4,Varsayımlar!$B:$Q,9,0))</f>
        <v>Irak Soft</v>
      </c>
      <c r="S4" s="64">
        <f>IF(B4="","",VLOOKUP(AD4,Varsayımlar!$B:$Q,10,0))</f>
        <v>6</v>
      </c>
      <c r="T4" s="64">
        <f>IF(B4="","",VLOOKUP(AD4,Varsayımlar!$B:$Q,11,0))</f>
        <v>18</v>
      </c>
      <c r="U4" s="64">
        <f>IF(B4="","",VLOOKUP(AD4,Varsayımlar!$B:$Q,12,0))</f>
        <v>390</v>
      </c>
      <c r="V4" s="64" t="str">
        <f>IF(B4="","",VLOOKUP(AD4,Varsayımlar!$B:$Q,13,0))</f>
        <v>Yurtdışı</v>
      </c>
      <c r="W4" s="64">
        <f>IF(B4="","",VLOOKUP(AD4,Varsayımlar!$B:$Q,14,0))</f>
        <v>6</v>
      </c>
      <c r="X4" s="66">
        <v>46188</v>
      </c>
      <c r="Y4" s="66">
        <v>46736</v>
      </c>
      <c r="Z4" s="64">
        <v>26061525</v>
      </c>
      <c r="AA4" s="64" t="str">
        <f>IF(B4="","",VLOOKUP(AD4,Varsayımlar!$B:$Q,15,0))</f>
        <v>Lazeza Kolisi</v>
      </c>
      <c r="AB4" s="64" t="str">
        <f>IF(B4="","",VLOOKUP(AD4,Varsayımlar!$B:$Q,16,0))</f>
        <v>24-26 cm</v>
      </c>
      <c r="AC4" s="64">
        <f>IF(B4="","",VLOOKUP(Sayfa1!AD48,Varsayımlar!B:S,18,0))</f>
        <v>0</v>
      </c>
      <c r="AD4" s="57" t="str">
        <f>IF(B4="","",CONCATENATE(B4,E4))</f>
        <v>AjjawiLazeza 25 cm 6pcs 390g</v>
      </c>
    </row>
    <row r="5" spans="1:30" ht="31.5" x14ac:dyDescent="0.25">
      <c r="A5" s="8" t="s">
        <v>77</v>
      </c>
      <c r="B5" s="67" t="s">
        <v>64</v>
      </c>
      <c r="C5" s="42">
        <f>IF(B5="","",VLOOKUP(AD5,Varsayımlar!$B:$Q,3,0))</f>
        <v>8698829380698</v>
      </c>
      <c r="D5" s="42"/>
      <c r="E5" s="67" t="s">
        <v>65</v>
      </c>
      <c r="F5" s="67">
        <v>30</v>
      </c>
      <c r="G5" s="42" t="s">
        <v>68</v>
      </c>
      <c r="H5" s="67" t="str">
        <f>IF(B5="","",VLOOKUP(AD5,Varsayımlar!$B:$Q,5,0))</f>
        <v>TORTİLLAS 20CM (SAMAKAT BİLGİLERİ EKLİ)</v>
      </c>
      <c r="I5" s="67">
        <f>IF(B5="","",VLOOKUP(AD5,Varsayımlar!B:T,19,0))</f>
        <v>0</v>
      </c>
      <c r="J5" s="67" t="str">
        <f>IF(B5="","",VLOOKUP(AD5,Varsayımlar!$B:$Q,6,0))</f>
        <v>SADE</v>
      </c>
      <c r="K5" s="67">
        <v>6975</v>
      </c>
      <c r="L5" s="67">
        <v>225</v>
      </c>
      <c r="M5" s="67">
        <f>IFERROR(IF(B5="","",K5/VLOOKUP(AD5,Varsayımlar!B:R,17,0)),"")</f>
        <v>31</v>
      </c>
      <c r="N5" s="67"/>
      <c r="O5" s="67">
        <v>56</v>
      </c>
      <c r="P5" s="67">
        <f>IF(B5="","",VLOOKUP(AD5,Varsayımlar!$B:$Q,7,0)*K5)</f>
        <v>97650</v>
      </c>
      <c r="Q5" s="67">
        <f>IF(B5="","",VLOOKUP(AD5,Varsayımlar!$B:$Q,8,0))</f>
        <v>20</v>
      </c>
      <c r="R5" s="67" t="str">
        <f>IF(B5="","",VLOOKUP(AD5,Varsayımlar!$B:$Q,9,0))</f>
        <v>IRAK SOFT</v>
      </c>
      <c r="S5" s="67">
        <f>IF(B5="","",VLOOKUP(AD5,Varsayımlar!$B:$Q,10,0))</f>
        <v>4</v>
      </c>
      <c r="T5" s="67">
        <f>IF(B5="","",VLOOKUP(AD5,Varsayımlar!$B:$Q,11,0))</f>
        <v>14</v>
      </c>
      <c r="U5" s="67">
        <f>IF(B5="","",VLOOKUP(AD5,Varsayımlar!$B:$Q,12,0))</f>
        <v>166</v>
      </c>
      <c r="V5" s="67" t="str">
        <f>IF(B5="","",VLOOKUP(AD5,Varsayımlar!$B:$Q,13,0))</f>
        <v>YURTDIŞI</v>
      </c>
      <c r="W5" s="67">
        <f>IF(B5="","",VLOOKUP(AD5,Varsayımlar!$B:$Q,14,0))</f>
        <v>9</v>
      </c>
      <c r="X5" s="69">
        <v>46195</v>
      </c>
      <c r="Y5" s="69">
        <v>46468</v>
      </c>
      <c r="Z5" s="67">
        <v>26062220</v>
      </c>
      <c r="AA5" s="67" t="str">
        <f>IF(B5="","",VLOOKUP(AD5,Varsayımlar!$B:$Q,15,0))</f>
        <v>SİYAH KARE KOLİ- Üretim Tarihi Etiketli</v>
      </c>
      <c r="AB5" s="67" t="str">
        <f>IF(B5="","",VLOOKUP(AD5,Varsayımlar!$B:$Q,16,0))</f>
        <v>19-21 CM</v>
      </c>
      <c r="AC5" s="67">
        <f>IF(B5="","",VLOOKUP(Sayfa1!AD16,Varsayımlar!B:S,18,0))</f>
        <v>0</v>
      </c>
      <c r="AD5" s="57" t="str">
        <f>IF(B5="","",CONCATENATE(B5,E5))</f>
        <v>SMART LLCTORTİLLAS SAMAKAT 20CM 166G</v>
      </c>
    </row>
    <row r="6" spans="1:30" ht="54" customHeight="1" x14ac:dyDescent="0.25">
      <c r="A6" s="8" t="s">
        <v>78</v>
      </c>
      <c r="B6" s="54" t="s">
        <v>321</v>
      </c>
      <c r="C6" s="39">
        <f>IF(B6="","",VLOOKUP(AD6,Varsayımlar!$B:$Q,3,0))</f>
        <v>8698829380698</v>
      </c>
      <c r="D6" s="39"/>
      <c r="E6" s="54" t="s">
        <v>329</v>
      </c>
      <c r="F6" s="54"/>
      <c r="G6" s="54"/>
      <c r="H6" s="54" t="str">
        <f>IF(B6="","",VLOOKUP(AD6,Varsayımlar!$B:$Q,5,0))</f>
        <v>Baskısız 15 cm</v>
      </c>
      <c r="I6" s="54" t="str">
        <f>IF(B6="","",VLOOKUP(AD6,Varsayımlar!B:T,19,0))</f>
        <v>Lana 15cm 8pcs 220g Yuvarlak</v>
      </c>
      <c r="J6" s="54" t="str">
        <f>IF(B6="","",VLOOKUP(AD6,Varsayımlar!$B:$Q,6,0))</f>
        <v>SADE</v>
      </c>
      <c r="K6" s="54">
        <v>250</v>
      </c>
      <c r="L6" s="54">
        <v>8</v>
      </c>
      <c r="M6" s="54" t="str">
        <f>IFERROR(IF(B6="","",K6/VLOOKUP(AD6,Varsayımlar!B:R,17,0)),"")</f>
        <v/>
      </c>
      <c r="N6" s="54"/>
      <c r="O6" s="54">
        <v>8</v>
      </c>
      <c r="P6" s="54">
        <f>IF(B6="","",VLOOKUP(AD6,Varsayımlar!$B:$Q,7,0)*K6)</f>
        <v>3500</v>
      </c>
      <c r="Q6" s="54">
        <f>IF(B6="","",VLOOKUP(AD6,Varsayımlar!$B:$Q,8,0))</f>
        <v>15</v>
      </c>
      <c r="R6" s="54" t="str">
        <f>IF(B6="","",VLOOKUP(AD6,Varsayımlar!$B:$Q,9,0))</f>
        <v>Irak Soft</v>
      </c>
      <c r="S6" s="54">
        <f>IF(B6="","",VLOOKUP(AD6,Varsayımlar!$B:$Q,10,0))</f>
        <v>8</v>
      </c>
      <c r="T6" s="54">
        <f>IF(B6="","",VLOOKUP(AD6,Varsayımlar!$B:$Q,11,0))</f>
        <v>14</v>
      </c>
      <c r="U6" s="54">
        <f>IF(B6="","",VLOOKUP(AD6,Varsayımlar!$B:$Q,12,0))</f>
        <v>220</v>
      </c>
      <c r="V6" s="54" t="str">
        <f>IF(B6="","",VLOOKUP(AD6,Varsayımlar!$B:$Q,13,0))</f>
        <v>Yurtdışı</v>
      </c>
      <c r="W6" s="54">
        <f>IF(B6="","",VLOOKUP(AD6,Varsayımlar!$B:$Q,14,0))</f>
        <v>6</v>
      </c>
      <c r="X6" s="56">
        <v>46185</v>
      </c>
      <c r="Y6" s="56">
        <v>46368</v>
      </c>
      <c r="Z6" s="54">
        <v>26061215</v>
      </c>
      <c r="AA6" s="54" t="str">
        <f>IF(B6="","",VLOOKUP(AD6,Varsayımlar!$B:$Q,15,0))</f>
        <v>15cm koli</v>
      </c>
      <c r="AB6" s="54" t="str">
        <f>IF(B6="","",VLOOKUP(AD6,Varsayımlar!$B:$Q,16,0))</f>
        <v>24-26 cm (Inkjet ile Bilgiler Atılacak)</v>
      </c>
      <c r="AC6" s="64">
        <f>IF(B6="","",VLOOKUP(Sayfa1!AD75,Varsayımlar!B:S,18,0))</f>
        <v>0</v>
      </c>
      <c r="AD6" s="57" t="str">
        <f>IF(B6="","",CONCATENATE(B6,E6))</f>
        <v>Gülbahar CompanyBaskısız 15cm Sade 8pcs 220g</v>
      </c>
    </row>
    <row r="7" spans="1:30" ht="39" customHeight="1" x14ac:dyDescent="0.25">
      <c r="A7" s="8" t="s">
        <v>79</v>
      </c>
      <c r="B7" s="54" t="s">
        <v>64</v>
      </c>
      <c r="C7" s="39">
        <f>IF(B7="","",VLOOKUP(AD7,Varsayımlar!$B:$Q,3,0))</f>
        <v>8698829380698</v>
      </c>
      <c r="D7" s="39"/>
      <c r="E7" s="54" t="s">
        <v>176</v>
      </c>
      <c r="F7" s="54">
        <v>29</v>
      </c>
      <c r="G7" s="39" t="s">
        <v>68</v>
      </c>
      <c r="H7" s="54" t="str">
        <f>IF(B7="","",VLOOKUP(AD7,Varsayımlar!$B:$Q,5,0))</f>
        <v>Tortillas 20cm (Samakat Bilgileri Ekli)</v>
      </c>
      <c r="I7" s="54">
        <f>IF(B7="","",VLOOKUP(AD7,Varsayımlar!B:T,19,0))</f>
        <v>0</v>
      </c>
      <c r="J7" s="54" t="str">
        <f>IF(B7="","",VLOOKUP(AD7,Varsayımlar!$B:$Q,6,0))</f>
        <v>PEYNİRLİ</v>
      </c>
      <c r="K7" s="54">
        <v>7200</v>
      </c>
      <c r="L7" s="54">
        <v>6945</v>
      </c>
      <c r="M7" s="54">
        <f>IFERROR(IF(B7="","",K7/VLOOKUP(AD7,Varsayımlar!B:R,17,0)),"")</f>
        <v>32</v>
      </c>
      <c r="N7" s="54">
        <v>225</v>
      </c>
      <c r="O7" s="54">
        <v>2</v>
      </c>
      <c r="P7" s="54">
        <f>IF(B7="","",VLOOKUP(AD7,Varsayımlar!$B:$Q,7,0)*K7)</f>
        <v>100800</v>
      </c>
      <c r="Q7" s="54">
        <f>IF(B7="","",VLOOKUP(AD7,Varsayımlar!$B:$Q,8,0))</f>
        <v>20</v>
      </c>
      <c r="R7" s="54" t="str">
        <f>IF(B7="","",VLOOKUP(AD7,Varsayımlar!$B:$Q,9,0))</f>
        <v>IRAK SOFT-AT</v>
      </c>
      <c r="S7" s="54">
        <f>IF(B7="","",VLOOKUP(AD7,Varsayımlar!$B:$Q,10,0))</f>
        <v>4</v>
      </c>
      <c r="T7" s="54">
        <f>IF(B7="","",VLOOKUP(AD7,Varsayımlar!$B:$Q,11,0))</f>
        <v>14</v>
      </c>
      <c r="U7" s="54">
        <f>IF(B7="","",VLOOKUP(AD7,Varsayımlar!$B:$Q,12,0))</f>
        <v>166</v>
      </c>
      <c r="V7" s="54" t="str">
        <f>IF(B7="","",VLOOKUP(AD7,Varsayımlar!$B:$Q,13,0))</f>
        <v>YURTDIŞI</v>
      </c>
      <c r="W7" s="54">
        <f>IF(B7="","",VLOOKUP(AD7,Varsayımlar!$B:$Q,14,0))</f>
        <v>9</v>
      </c>
      <c r="X7" s="56">
        <v>46184</v>
      </c>
      <c r="Y7" s="56">
        <v>46457</v>
      </c>
      <c r="Z7" s="54" t="s">
        <v>333</v>
      </c>
      <c r="AA7" s="54" t="str">
        <f>IF(B7="","",VLOOKUP(AD7,Varsayımlar!$B:$Q,15,0))</f>
        <v>Kare Koli-Üretim Tarihli Etiket</v>
      </c>
      <c r="AB7" s="54" t="str">
        <f>IF(B7="","",VLOOKUP(AD7,Varsayımlar!$B:$Q,16,0))</f>
        <v>19-21 cm</v>
      </c>
      <c r="AC7" s="54">
        <f>IF(B7="","",VLOOKUP(Sayfa1!AD5,Varsayımlar!B:S,18,0))</f>
        <v>0</v>
      </c>
      <c r="AD7" s="57" t="str">
        <f>IF(B7="","",CONCATENATE(B7,E7))</f>
        <v>SMART LLCTortillas 20cm Peynirli 4pcs 166g</v>
      </c>
    </row>
    <row r="8" spans="1:30" ht="31.5" x14ac:dyDescent="0.25">
      <c r="A8" s="8" t="s">
        <v>80</v>
      </c>
      <c r="B8" s="67" t="s">
        <v>64</v>
      </c>
      <c r="C8" s="42">
        <f>IF(B8="","",VLOOKUP(AD8,Varsayımlar!$B:$Q,3,0))</f>
        <v>8698829380698</v>
      </c>
      <c r="D8" s="42"/>
      <c r="E8" s="67" t="s">
        <v>176</v>
      </c>
      <c r="F8" s="67">
        <v>28</v>
      </c>
      <c r="G8" s="42" t="s">
        <v>68</v>
      </c>
      <c r="H8" s="67" t="str">
        <f>IF(B8="","",VLOOKUP(AD8,Varsayımlar!$B:$Q,5,0))</f>
        <v>Tortillas 20cm (Samakat Bilgileri Ekli)</v>
      </c>
      <c r="I8" s="67">
        <f>IF(B8="","",VLOOKUP(AD8,Varsayımlar!B:T,19,0))</f>
        <v>0</v>
      </c>
      <c r="J8" s="67" t="str">
        <f>IF(B8="","",VLOOKUP(AD8,Varsayımlar!$B:$Q,6,0))</f>
        <v>PEYNİRLİ</v>
      </c>
      <c r="K8" s="67">
        <v>1575</v>
      </c>
      <c r="L8" s="67"/>
      <c r="M8" s="67">
        <f>IFERROR(IF(B8="","",K8/VLOOKUP(AD8,Varsayımlar!B:R,17,0)),"")</f>
        <v>7</v>
      </c>
      <c r="N8" s="67">
        <v>225</v>
      </c>
      <c r="O8" s="67">
        <v>11</v>
      </c>
      <c r="P8" s="67">
        <f>IF(B8="","",VLOOKUP(AD8,Varsayımlar!$B:$Q,7,0)*K8)</f>
        <v>22050</v>
      </c>
      <c r="Q8" s="67">
        <f>IF(B8="","",VLOOKUP(AD8,Varsayımlar!$B:$Q,8,0))</f>
        <v>20</v>
      </c>
      <c r="R8" s="67" t="str">
        <f>IF(B8="","",VLOOKUP(AD8,Varsayımlar!$B:$Q,9,0))</f>
        <v>IRAK SOFT-AT</v>
      </c>
      <c r="S8" s="67">
        <f>IF(B8="","",VLOOKUP(AD8,Varsayımlar!$B:$Q,10,0))</f>
        <v>4</v>
      </c>
      <c r="T8" s="67">
        <f>IF(B8="","",VLOOKUP(AD8,Varsayımlar!$B:$Q,11,0))</f>
        <v>14</v>
      </c>
      <c r="U8" s="67">
        <f>IF(B8="","",VLOOKUP(AD8,Varsayımlar!$B:$Q,12,0))</f>
        <v>166</v>
      </c>
      <c r="V8" s="67" t="str">
        <f>IF(B8="","",VLOOKUP(AD8,Varsayımlar!$B:$Q,13,0))</f>
        <v>YURTDIŞI</v>
      </c>
      <c r="W8" s="67">
        <f>IF(B8="","",VLOOKUP(AD8,Varsayımlar!$B:$Q,14,0))</f>
        <v>9</v>
      </c>
      <c r="X8" s="69">
        <v>46188</v>
      </c>
      <c r="Y8" s="69">
        <v>46461</v>
      </c>
      <c r="Z8" s="67" t="s">
        <v>172</v>
      </c>
      <c r="AA8" s="67" t="str">
        <f>IF(B8="","",VLOOKUP(AD8,Varsayımlar!$B:$Q,15,0))</f>
        <v>Kare Koli-Üretim Tarihli Etiket</v>
      </c>
      <c r="AB8" s="67" t="str">
        <f>IF(B8="","",VLOOKUP(AD8,Varsayımlar!$B:$Q,16,0))</f>
        <v>19-21 cm</v>
      </c>
      <c r="AC8" s="67">
        <f>IF(B8="","",VLOOKUP(Sayfa1!AD9,Varsayımlar!B:S,18,0))</f>
        <v>0</v>
      </c>
      <c r="AD8" s="57" t="str">
        <f t="shared" ref="AD8:AD46" si="0">IF(B8="","",CONCATENATE(B8,E8))</f>
        <v>SMART LLCTortillas 20cm Peynirli 4pcs 166g</v>
      </c>
    </row>
    <row r="9" spans="1:30" ht="31.5" x14ac:dyDescent="0.25">
      <c r="A9" s="8" t="s">
        <v>81</v>
      </c>
      <c r="B9" s="67" t="s">
        <v>64</v>
      </c>
      <c r="C9" s="42">
        <f>IF(B9="","",VLOOKUP(AD9,Varsayımlar!$B:$Q,3,0))</f>
        <v>8698829380698</v>
      </c>
      <c r="D9" s="42"/>
      <c r="E9" s="42" t="s">
        <v>296</v>
      </c>
      <c r="F9" s="67">
        <v>28</v>
      </c>
      <c r="G9" s="42" t="s">
        <v>68</v>
      </c>
      <c r="H9" s="67" t="str">
        <f>IF(B9="","",VLOOKUP(AD9,Varsayımlar!$B:$Q,5,0))</f>
        <v>Tortillas 20cm Çok Tahıllı</v>
      </c>
      <c r="I9" s="67">
        <f>IF(B9="","",VLOOKUP(AD9,Varsayımlar!B:T,19,0))</f>
        <v>0</v>
      </c>
      <c r="J9" s="67" t="str">
        <f>IF(B9="","",VLOOKUP(AD9,Varsayımlar!$B:$Q,6,0))</f>
        <v>Çok Tahıllı</v>
      </c>
      <c r="K9" s="67">
        <v>5625</v>
      </c>
      <c r="L9" s="67"/>
      <c r="M9" s="67">
        <f>IFERROR(IF(B9="","",K9/VLOOKUP(AD9,Varsayımlar!B:R,17,0)),"")</f>
        <v>25</v>
      </c>
      <c r="N9" s="67">
        <v>225</v>
      </c>
      <c r="O9" s="67">
        <v>45</v>
      </c>
      <c r="P9" s="67">
        <f>IF(B9="","",VLOOKUP(AD9,Varsayımlar!$B:$Q,7,0)*K9)</f>
        <v>78750</v>
      </c>
      <c r="Q9" s="67">
        <f>IF(B9="","",VLOOKUP(AD9,Varsayımlar!$B:$Q,8,0))</f>
        <v>20</v>
      </c>
      <c r="R9" s="67" t="str">
        <f>IF(B9="","",VLOOKUP(AD9,Varsayımlar!$B:$Q,9,0))</f>
        <v>Irak Soft</v>
      </c>
      <c r="S9" s="67">
        <f>IF(B9="","",VLOOKUP(AD9,Varsayımlar!$B:$Q,10,0))</f>
        <v>4</v>
      </c>
      <c r="T9" s="67">
        <f>IF(B9="","",VLOOKUP(AD9,Varsayımlar!$B:$Q,11,0))</f>
        <v>14</v>
      </c>
      <c r="U9" s="67">
        <f>IF(B9="","",VLOOKUP(AD9,Varsayımlar!$B:$Q,12,0))</f>
        <v>166</v>
      </c>
      <c r="V9" s="67" t="str">
        <f>IF(B9="","",VLOOKUP(AD9,Varsayımlar!$B:$Q,13,0))</f>
        <v>Yurtdışı</v>
      </c>
      <c r="W9" s="67">
        <f>IF(B9="","",VLOOKUP(AD9,Varsayımlar!$B:$Q,14,0))</f>
        <v>9</v>
      </c>
      <c r="X9" s="69">
        <v>46188</v>
      </c>
      <c r="Y9" s="69">
        <v>46461</v>
      </c>
      <c r="Z9" s="67" t="s">
        <v>419</v>
      </c>
      <c r="AA9" s="67" t="str">
        <f>IF(B9="","",VLOOKUP(AD9,Varsayımlar!$B:$Q,15,0))</f>
        <v>SİYAH KARE KOLİ-Üretim Tarihi Etiketli</v>
      </c>
      <c r="AB9" s="67" t="str">
        <f>IF(B9="","",VLOOKUP(AD9,Varsayımlar!$B:$Q,16,0))</f>
        <v>19-21 cm</v>
      </c>
      <c r="AC9" s="58">
        <f>IF(B9="","",VLOOKUP(Sayfa1!AD8,Varsayımlar!B:S,18,0))</f>
        <v>0</v>
      </c>
      <c r="AD9" s="57" t="str">
        <f t="shared" si="0"/>
        <v>SMART LLCTortillas 20cm Çok Tahıllı 4pcs 166g</v>
      </c>
    </row>
    <row r="10" spans="1:30" ht="31.5" customHeight="1" x14ac:dyDescent="0.25">
      <c r="A10" s="8" t="s">
        <v>82</v>
      </c>
      <c r="B10" s="64" t="s">
        <v>335</v>
      </c>
      <c r="C10" s="3">
        <f>IF(B10="","",VLOOKUP(AD10,Varsayımlar!$B:$Q,3,0))</f>
        <v>8698829380698</v>
      </c>
      <c r="D10" s="3"/>
      <c r="E10" s="64" t="s">
        <v>299</v>
      </c>
      <c r="F10" s="64"/>
      <c r="G10" s="3"/>
      <c r="H10" s="64" t="str">
        <f>IF(B10="","",VLOOKUP(AD10,Varsayımlar!$B:$Q,5,0))</f>
        <v>Lazeza 30cm</v>
      </c>
      <c r="I10" s="64">
        <f>IF(B10="","",VLOOKUP(AD10,Varsayımlar!B:T,19,0))</f>
        <v>0</v>
      </c>
      <c r="J10" s="64" t="str">
        <f>IF(B10="","",VLOOKUP(AD10,Varsayımlar!$B:$Q,6,0))</f>
        <v>SADE</v>
      </c>
      <c r="K10" s="64">
        <v>1700</v>
      </c>
      <c r="L10" s="64"/>
      <c r="M10" s="64" t="str">
        <f>IFERROR(IF(B10="","",K10/VLOOKUP(AD10,Varsayımlar!B:R,17,0)),"")</f>
        <v/>
      </c>
      <c r="N10" s="64"/>
      <c r="O10" s="64">
        <v>27</v>
      </c>
      <c r="P10" s="64">
        <f>IF(B10="","",VLOOKUP(AD10,Varsayımlar!$B:$Q,7,0)*K10)</f>
        <v>30600</v>
      </c>
      <c r="Q10" s="64">
        <f>IF(B10="","",VLOOKUP(AD10,Varsayımlar!$B:$Q,8,0))</f>
        <v>30</v>
      </c>
      <c r="R10" s="64" t="str">
        <f>IF(B10="","",VLOOKUP(AD10,Varsayımlar!$B:$Q,9,0))</f>
        <v>Irak Soft</v>
      </c>
      <c r="S10" s="64">
        <f>IF(B10="","",VLOOKUP(AD10,Varsayımlar!$B:$Q,10,0))</f>
        <v>6</v>
      </c>
      <c r="T10" s="64">
        <f>IF(B10="","",VLOOKUP(AD10,Varsayımlar!$B:$Q,11,0))</f>
        <v>18</v>
      </c>
      <c r="U10" s="64">
        <f>IF(B10="","",VLOOKUP(AD10,Varsayımlar!$B:$Q,12,0))</f>
        <v>510</v>
      </c>
      <c r="V10" s="64" t="str">
        <f>IF(B10="","",VLOOKUP(AD10,Varsayımlar!$B:$Q,13,0))</f>
        <v>Yurtdışı</v>
      </c>
      <c r="W10" s="64">
        <f>IF(B10="","",VLOOKUP(AD10,Varsayımlar!$B:$Q,14,0))</f>
        <v>6</v>
      </c>
      <c r="X10" s="66"/>
      <c r="Y10" s="66"/>
      <c r="Z10" s="64"/>
      <c r="AA10" s="64" t="str">
        <f>IF(B10="","",VLOOKUP(AD10,Varsayımlar!$B:$Q,15,0))</f>
        <v>Lazeza Kolisi</v>
      </c>
      <c r="AB10" s="64" t="str">
        <f>IF(B10="","",VLOOKUP(AD10,Varsayımlar!$B:$Q,16,0))</f>
        <v>29-31 cm</v>
      </c>
      <c r="AC10" s="64">
        <f>IF(B10="","",VLOOKUP(Sayfa1!AD10,Varsayımlar!B:S,18,0))</f>
        <v>0</v>
      </c>
      <c r="AD10" s="57" t="str">
        <f t="shared" si="0"/>
        <v>AjjawiLazeza 30 cm 6pcs 510g</v>
      </c>
    </row>
    <row r="11" spans="1:30" ht="31.5" customHeight="1" x14ac:dyDescent="0.25">
      <c r="A11" s="8" t="s">
        <v>83</v>
      </c>
      <c r="B11" s="80" t="s">
        <v>53</v>
      </c>
      <c r="C11" s="44">
        <f>IF(B11="","",VLOOKUP(AD11,Varsayımlar!$B:$Q,3,0))</f>
        <v>8698829380698</v>
      </c>
      <c r="D11" s="80" t="s">
        <v>394</v>
      </c>
      <c r="E11" s="80" t="s">
        <v>54</v>
      </c>
      <c r="F11" s="80"/>
      <c r="G11" s="80" t="s">
        <v>395</v>
      </c>
      <c r="H11" s="80" t="str">
        <f>IF(B11="","",VLOOKUP(AD11,Varsayımlar!$B:$Q,5,0))</f>
        <v>MAGNİT MAVİ AMBALAJ 25CM</v>
      </c>
      <c r="I11" s="80">
        <f>IF(B11="","",VLOOKUP(AD11,Varsayımlar!B:T,19,0))</f>
        <v>0</v>
      </c>
      <c r="J11" s="80" t="str">
        <f>IF(B11="","",VLOOKUP(AD11,Varsayımlar!$B:$Q,6,0))</f>
        <v>SADE</v>
      </c>
      <c r="K11" s="80">
        <v>2016</v>
      </c>
      <c r="L11" s="80"/>
      <c r="M11" s="80" t="str">
        <f>IFERROR(IF(B11="","",K11/VLOOKUP(AD11,#REF!,17,0)),"")</f>
        <v/>
      </c>
      <c r="N11" s="80"/>
      <c r="O11" s="80">
        <v>18</v>
      </c>
      <c r="P11" s="80">
        <f>IF(B11="","",VLOOKUP(AD11,Varsayımlar!$B:$Q,7,0)*K11)</f>
        <v>60480</v>
      </c>
      <c r="Q11" s="80">
        <f>IF(B11="","",VLOOKUP(AD11,Varsayımlar!$B:$Q,8,0))</f>
        <v>25</v>
      </c>
      <c r="R11" s="80" t="str">
        <f>IF(B11="","",VLOOKUP(AD11,Varsayımlar!$B:$Q,9,0))</f>
        <v>SOFT</v>
      </c>
      <c r="S11" s="80">
        <f>IF(B11="","",VLOOKUP(AD11,Varsayımlar!$B:$Q,10,0))</f>
        <v>4</v>
      </c>
      <c r="T11" s="80">
        <f>IF(B11="","",VLOOKUP(AD11,Varsayımlar!$B:$Q,11,0))</f>
        <v>30</v>
      </c>
      <c r="U11" s="80">
        <f>IF(B11="","",VLOOKUP(AD11,Varsayımlar!$B:$Q,12,0))</f>
        <v>260</v>
      </c>
      <c r="V11" s="80" t="str">
        <f>IF(B11="","",VLOOKUP(AD11,Varsayımlar!$B:$Q,13,0))</f>
        <v>YURTDIŞI</v>
      </c>
      <c r="W11" s="80">
        <f>IF(B11="","",VLOOKUP(AD11,Varsayımlar!$B:$Q,14,0))</f>
        <v>9</v>
      </c>
      <c r="X11" s="81">
        <v>46190</v>
      </c>
      <c r="Y11" s="81">
        <v>46463</v>
      </c>
      <c r="Z11" s="80" t="s">
        <v>396</v>
      </c>
      <c r="AA11" s="80" t="str">
        <f>IF(B11="","",VLOOKUP(AD11,Varsayımlar!$B:$Q,15,0))</f>
        <v>25CM TURUNCU KOLİ-SOL ÜST DİKDÖRTGENE ÜRETİM TARİHİ BASILACAK</v>
      </c>
      <c r="AB11" s="80" t="str">
        <f>IF(B11="","",VLOOKUP(AD11,Varsayımlar!$B:$Q,16,0))</f>
        <v>24-26 CM</v>
      </c>
      <c r="AC11" s="73" t="e">
        <f>IF(B11="","",VLOOKUP(#REF!,#REF!,18,0))</f>
        <v>#REF!</v>
      </c>
      <c r="AD11" s="73" t="str">
        <f>IF(B11="","",CONCATENATE(B11,E11))</f>
        <v>MAGNİTMAGNİT MAVİ AMBALAJ 25 CM 260G</v>
      </c>
    </row>
    <row r="12" spans="1:30" ht="31.5" customHeight="1" x14ac:dyDescent="0.25">
      <c r="A12" s="8" t="s">
        <v>84</v>
      </c>
      <c r="B12" s="64" t="s">
        <v>53</v>
      </c>
      <c r="C12" s="3">
        <f>IF(B12="","",VLOOKUP(AD12,Varsayımlar!$B:$Q,3,0))</f>
        <v>8698829380698</v>
      </c>
      <c r="D12" s="64" t="s">
        <v>397</v>
      </c>
      <c r="E12" s="64" t="s">
        <v>54</v>
      </c>
      <c r="F12" s="64"/>
      <c r="G12" s="64" t="s">
        <v>398</v>
      </c>
      <c r="H12" s="64" t="str">
        <f>IF(B12="","",VLOOKUP(AD12,Varsayımlar!$B:$Q,5,0))</f>
        <v>MAGNİT MAVİ AMBALAJ 25CM</v>
      </c>
      <c r="I12" s="64">
        <f>IF(B12="","",VLOOKUP(AD12,Varsayımlar!B:T,19,0))</f>
        <v>0</v>
      </c>
      <c r="J12" s="64" t="str">
        <f>IF(B12="","",VLOOKUP(AD12,Varsayımlar!$B:$Q,6,0))</f>
        <v>SADE</v>
      </c>
      <c r="K12" s="64">
        <v>2016</v>
      </c>
      <c r="L12" s="64"/>
      <c r="M12" s="64" t="str">
        <f>IFERROR(IF(B12="","",K12/VLOOKUP(AD12,#REF!,17,0)),"")</f>
        <v/>
      </c>
      <c r="N12" s="64"/>
      <c r="O12" s="64">
        <v>18</v>
      </c>
      <c r="P12" s="64">
        <f>IF(B12="","",VLOOKUP(AD12,Varsayımlar!$B:$Q,7,0)*K12)</f>
        <v>60480</v>
      </c>
      <c r="Q12" s="64">
        <f>IF(B12="","",VLOOKUP(AD12,Varsayımlar!$B:$Q,8,0))</f>
        <v>25</v>
      </c>
      <c r="R12" s="64" t="str">
        <f>IF(B12="","",VLOOKUP(AD12,Varsayımlar!$B:$Q,9,0))</f>
        <v>SOFT</v>
      </c>
      <c r="S12" s="64">
        <f>IF(B12="","",VLOOKUP(AD12,Varsayımlar!$B:$Q,10,0))</f>
        <v>4</v>
      </c>
      <c r="T12" s="64">
        <f>IF(B12="","",VLOOKUP(AD12,Varsayımlar!$B:$Q,11,0))</f>
        <v>30</v>
      </c>
      <c r="U12" s="64">
        <f>IF(B12="","",VLOOKUP(AD12,Varsayımlar!$B:$Q,12,0))</f>
        <v>260</v>
      </c>
      <c r="V12" s="64" t="str">
        <f>IF(B12="","",VLOOKUP(AD12,Varsayımlar!$B:$Q,13,0))</f>
        <v>YURTDIŞI</v>
      </c>
      <c r="W12" s="64">
        <f>IF(B12="","",VLOOKUP(AD12,Varsayımlar!$B:$Q,14,0))</f>
        <v>9</v>
      </c>
      <c r="X12" s="66">
        <v>46190</v>
      </c>
      <c r="Y12" s="66">
        <v>46463</v>
      </c>
      <c r="Z12" s="64" t="s">
        <v>399</v>
      </c>
      <c r="AA12" s="64" t="str">
        <f>IF(B12="","",VLOOKUP(AD12,Varsayımlar!$B:$Q,15,0))</f>
        <v>25CM TURUNCU KOLİ-SOL ÜST DİKDÖRTGENE ÜRETİM TARİHİ BASILACAK</v>
      </c>
      <c r="AB12" s="64" t="str">
        <f>IF(B12="","",VLOOKUP(AD12,Varsayımlar!$B:$Q,16,0))</f>
        <v>24-26 CM</v>
      </c>
      <c r="AC12" s="73" t="e">
        <f>IF(B12="","",VLOOKUP(#REF!,#REF!,18,0))</f>
        <v>#REF!</v>
      </c>
      <c r="AD12" s="73" t="str">
        <f>IF(B12="","",CONCATENATE(B12,E12))</f>
        <v>MAGNİTMAGNİT MAVİ AMBALAJ 25 CM 260G</v>
      </c>
    </row>
    <row r="13" spans="1:30" ht="31.5" customHeight="1" x14ac:dyDescent="0.25">
      <c r="A13" s="8" t="s">
        <v>85</v>
      </c>
      <c r="B13" s="67" t="s">
        <v>53</v>
      </c>
      <c r="C13" s="42">
        <f>IF(B13="","",VLOOKUP(AD13,Varsayımlar!$B:$Q,3,0))</f>
        <v>8698829380698</v>
      </c>
      <c r="D13" s="67" t="s">
        <v>400</v>
      </c>
      <c r="E13" s="67" t="s">
        <v>54</v>
      </c>
      <c r="F13" s="67"/>
      <c r="G13" s="67" t="s">
        <v>401</v>
      </c>
      <c r="H13" s="67" t="str">
        <f>IF(B13="","",VLOOKUP(AD13,Varsayımlar!$B:$Q,5,0))</f>
        <v>MAGNİT MAVİ AMBALAJ 25CM</v>
      </c>
      <c r="I13" s="67">
        <f>IF(B13="","",VLOOKUP(AD13,Varsayımlar!B:T,19,0))</f>
        <v>0</v>
      </c>
      <c r="J13" s="67" t="str">
        <f>IF(B13="","",VLOOKUP(AD13,Varsayımlar!$B:$Q,6,0))</f>
        <v>SADE</v>
      </c>
      <c r="K13" s="67">
        <v>2016</v>
      </c>
      <c r="L13" s="67"/>
      <c r="M13" s="67" t="str">
        <f>IFERROR(IF(B13="","",K13/VLOOKUP(AD13,#REF!,17,0)),"")</f>
        <v/>
      </c>
      <c r="N13" s="67"/>
      <c r="O13" s="67">
        <v>18</v>
      </c>
      <c r="P13" s="67">
        <f>IF(B13="","",VLOOKUP(AD13,Varsayımlar!$B:$Q,7,0)*K13)</f>
        <v>60480</v>
      </c>
      <c r="Q13" s="67">
        <f>IF(B13="","",VLOOKUP(AD13,Varsayımlar!$B:$Q,8,0))</f>
        <v>25</v>
      </c>
      <c r="R13" s="67" t="str">
        <f>IF(B13="","",VLOOKUP(AD13,Varsayımlar!$B:$Q,9,0))</f>
        <v>SOFT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260</v>
      </c>
      <c r="V13" s="67" t="str">
        <f>IF(B13="","",VLOOKUP(AD13,Varsayımlar!$B:$Q,13,0))</f>
        <v>YURTDIŞI</v>
      </c>
      <c r="W13" s="67">
        <f>IF(B13="","",VLOOKUP(AD13,Varsayımlar!$B:$Q,14,0))</f>
        <v>9</v>
      </c>
      <c r="X13" s="69">
        <v>46191</v>
      </c>
      <c r="Y13" s="69">
        <v>46464</v>
      </c>
      <c r="Z13" s="67" t="s">
        <v>402</v>
      </c>
      <c r="AA13" s="67" t="str">
        <f>IF(B13="","",VLOOKUP(AD13,Varsayımlar!$B:$Q,15,0))</f>
        <v>25CM TURUNCU KOLİ-SOL ÜST DİKDÖRTGENE ÜRETİM TARİHİ BASILACAK</v>
      </c>
      <c r="AB13" s="67" t="str">
        <f>IF(B13="","",VLOOKUP(AD13,Varsayımlar!$B:$Q,16,0))</f>
        <v>24-26 CM</v>
      </c>
      <c r="AC13" s="73" t="e">
        <f>IF(B13="","",VLOOKUP(#REF!,#REF!,18,0))</f>
        <v>#REF!</v>
      </c>
      <c r="AD13" s="73" t="str">
        <f>IF(B13="","",CONCATENATE(B13,E13))</f>
        <v>MAGNİTMAGNİT MAVİ AMBALAJ 25 CM 260G</v>
      </c>
    </row>
    <row r="14" spans="1:30" ht="31.5" customHeight="1" x14ac:dyDescent="0.25">
      <c r="A14" s="8" t="s">
        <v>86</v>
      </c>
      <c r="B14" s="117" t="s">
        <v>53</v>
      </c>
      <c r="C14" s="118">
        <f>IF(B14="","",VLOOKUP(AD14,Varsayımlar!$B:$Q,3,0))</f>
        <v>8698829380698</v>
      </c>
      <c r="D14" s="117" t="s">
        <v>403</v>
      </c>
      <c r="E14" s="117" t="s">
        <v>54</v>
      </c>
      <c r="F14" s="117"/>
      <c r="G14" s="117" t="s">
        <v>404</v>
      </c>
      <c r="H14" s="117" t="str">
        <f>IF(B14="","",VLOOKUP(AD14,Varsayımlar!$B:$Q,5,0))</f>
        <v>MAGNİT MAVİ AMBALAJ 25CM</v>
      </c>
      <c r="I14" s="117">
        <f>IF(B14="","",VLOOKUP(AD14,Varsayımlar!B:T,19,0))</f>
        <v>0</v>
      </c>
      <c r="J14" s="117" t="str">
        <f>IF(B14="","",VLOOKUP(AD14,Varsayımlar!$B:$Q,6,0))</f>
        <v>SADE</v>
      </c>
      <c r="K14" s="117">
        <v>2016</v>
      </c>
      <c r="L14" s="117"/>
      <c r="M14" s="117" t="str">
        <f>IFERROR(IF(B14="","",K14/VLOOKUP(AD14,#REF!,17,0)),"")</f>
        <v/>
      </c>
      <c r="N14" s="117"/>
      <c r="O14" s="117">
        <v>18</v>
      </c>
      <c r="P14" s="117">
        <f>IF(B14="","",VLOOKUP(AD14,Varsayımlar!$B:$Q,7,0)*K14)</f>
        <v>60480</v>
      </c>
      <c r="Q14" s="117">
        <f>IF(B14="","",VLOOKUP(AD14,Varsayımlar!$B:$Q,8,0))</f>
        <v>25</v>
      </c>
      <c r="R14" s="117" t="str">
        <f>IF(B14="","",VLOOKUP(AD14,Varsayımlar!$B:$Q,9,0))</f>
        <v>SOFT</v>
      </c>
      <c r="S14" s="117">
        <f>IF(B14="","",VLOOKUP(AD14,Varsayımlar!$B:$Q,10,0))</f>
        <v>4</v>
      </c>
      <c r="T14" s="117">
        <f>IF(B14="","",VLOOKUP(AD14,Varsayımlar!$B:$Q,11,0))</f>
        <v>30</v>
      </c>
      <c r="U14" s="117">
        <f>IF(B14="","",VLOOKUP(AD14,Varsayımlar!$B:$Q,12,0))</f>
        <v>260</v>
      </c>
      <c r="V14" s="117" t="str">
        <f>IF(B14="","",VLOOKUP(AD14,Varsayımlar!$B:$Q,13,0))</f>
        <v>YURTDIŞI</v>
      </c>
      <c r="W14" s="117">
        <f>IF(B14="","",VLOOKUP(AD14,Varsayımlar!$B:$Q,14,0))</f>
        <v>9</v>
      </c>
      <c r="X14" s="122">
        <v>46193</v>
      </c>
      <c r="Y14" s="122">
        <v>46466</v>
      </c>
      <c r="Z14" s="117" t="s">
        <v>405</v>
      </c>
      <c r="AA14" s="117" t="str">
        <f>IF(B14="","",VLOOKUP(AD14,Varsayımlar!$B:$Q,15,0))</f>
        <v>25CM TURUNCU KOLİ-SOL ÜST DİKDÖRTGENE ÜRETİM TARİHİ BASILACAK</v>
      </c>
      <c r="AB14" s="117" t="str">
        <f>IF(B14="","",VLOOKUP(AD14,Varsayımlar!$B:$Q,16,0))</f>
        <v>24-26 CM</v>
      </c>
      <c r="AC14" s="73" t="e">
        <f>IF(B14="","",VLOOKUP(#REF!,#REF!,18,0))</f>
        <v>#REF!</v>
      </c>
      <c r="AD14" s="73" t="str">
        <f>IF(B14="","",CONCATENATE(B14,E14))</f>
        <v>MAGNİTMAGNİT MAVİ AMBALAJ 25 CM 260G</v>
      </c>
    </row>
    <row r="15" spans="1:30" ht="31.5" customHeight="1" x14ac:dyDescent="0.25">
      <c r="A15" s="8" t="s">
        <v>87</v>
      </c>
      <c r="B15" s="67" t="s">
        <v>53</v>
      </c>
      <c r="C15" s="42">
        <f>IF(B15="","",VLOOKUP(AD15,Varsayımlar!$B:$Q,3,0))</f>
        <v>8698829380698</v>
      </c>
      <c r="D15" s="67" t="s">
        <v>406</v>
      </c>
      <c r="E15" s="67" t="s">
        <v>54</v>
      </c>
      <c r="F15" s="67"/>
      <c r="G15" s="67" t="s">
        <v>407</v>
      </c>
      <c r="H15" s="67" t="str">
        <f>IF(B15="","",VLOOKUP(AD15,Varsayımlar!$B:$Q,5,0))</f>
        <v>MAGNİT MAVİ AMBALAJ 25CM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2016</v>
      </c>
      <c r="L15" s="67"/>
      <c r="M15" s="67" t="str">
        <f>IFERROR(IF(B15="","",K15/VLOOKUP(AD15,#REF!,17,0)),"")</f>
        <v/>
      </c>
      <c r="N15" s="67"/>
      <c r="O15" s="67">
        <v>18</v>
      </c>
      <c r="P15" s="67">
        <f>IF(B15="","",VLOOKUP(AD15,Varsayımlar!$B:$Q,7,0)*K15)</f>
        <v>60480</v>
      </c>
      <c r="Q15" s="67">
        <f>IF(B15="","",VLOOKUP(AD15,Varsayımlar!$B:$Q,8,0))</f>
        <v>25</v>
      </c>
      <c r="R15" s="67" t="str">
        <f>IF(B15="","",VLOOKUP(AD15,Varsayımlar!$B:$Q,9,0))</f>
        <v>SOFT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260</v>
      </c>
      <c r="V15" s="67" t="str">
        <f>IF(B15="","",VLOOKUP(AD15,Varsayımlar!$B:$Q,13,0))</f>
        <v>YURTDIŞI</v>
      </c>
      <c r="W15" s="67">
        <f>IF(B15="","",VLOOKUP(AD15,Varsayımlar!$B:$Q,14,0))</f>
        <v>9</v>
      </c>
      <c r="X15" s="69">
        <v>46193</v>
      </c>
      <c r="Y15" s="69">
        <v>46466</v>
      </c>
      <c r="Z15" s="67" t="s">
        <v>408</v>
      </c>
      <c r="AA15" s="67" t="str">
        <f>IF(B15="","",VLOOKUP(AD15,Varsayımlar!$B:$Q,15,0))</f>
        <v>25CM TURUNCU KOLİ-SOL ÜST DİKDÖRTGENE ÜRETİM TARİHİ BASILACAK</v>
      </c>
      <c r="AB15" s="67" t="str">
        <f>IF(B15="","",VLOOKUP(AD15,Varsayımlar!$B:$Q,16,0))</f>
        <v>24-26 CM</v>
      </c>
      <c r="AC15" s="73" t="e">
        <f>IF(B15="","",VLOOKUP(#REF!,#REF!,18,0))</f>
        <v>#REF!</v>
      </c>
      <c r="AD15" s="73" t="str">
        <f>IF(B15="","",CONCATENATE(B15,E15))</f>
        <v>MAGNİTMAGNİT MAVİ AMBALAJ 25 CM 260G</v>
      </c>
    </row>
    <row r="16" spans="1:30" ht="31.5" x14ac:dyDescent="0.25">
      <c r="A16" s="8" t="s">
        <v>88</v>
      </c>
      <c r="B16" s="67" t="s">
        <v>64</v>
      </c>
      <c r="C16" s="42">
        <f>IF(B16="","",VLOOKUP(AD16,Varsayımlar!$B:$Q,3,0))</f>
        <v>8698829380698</v>
      </c>
      <c r="D16" s="42"/>
      <c r="E16" s="67" t="s">
        <v>296</v>
      </c>
      <c r="F16" s="67">
        <v>30</v>
      </c>
      <c r="G16" s="42" t="s">
        <v>68</v>
      </c>
      <c r="H16" s="67" t="str">
        <f>IF(B16="","",VLOOKUP(AD16,Varsayımlar!$B:$Q,5,0))</f>
        <v>Tortillas 20cm Çok Tahıllı</v>
      </c>
      <c r="I16" s="67">
        <f>IF(B16="","",VLOOKUP(AD16,Varsayımlar!B:T,19,0))</f>
        <v>0</v>
      </c>
      <c r="J16" s="67" t="str">
        <f>IF(B16="","",VLOOKUP(AD16,Varsayımlar!$B:$Q,6,0))</f>
        <v>Çok Tahıllı</v>
      </c>
      <c r="K16" s="67">
        <v>225</v>
      </c>
      <c r="L16" s="67"/>
      <c r="M16" s="67">
        <f>IFERROR(IF(B16="","",K16/VLOOKUP(AD16,Varsayımlar!B:R,17,0)),"")</f>
        <v>1</v>
      </c>
      <c r="N16" s="67"/>
      <c r="O16" s="67">
        <v>2</v>
      </c>
      <c r="P16" s="67">
        <f>IF(B16="","",VLOOKUP(AD16,Varsayımlar!$B:$Q,7,0)*K16)</f>
        <v>3150</v>
      </c>
      <c r="Q16" s="67">
        <f>IF(B16="","",VLOOKUP(AD16,Varsayımlar!$B:$Q,8,0))</f>
        <v>20</v>
      </c>
      <c r="R16" s="67" t="str">
        <f>IF(B16="","",VLOOKUP(AD16,Varsayımlar!$B:$Q,9,0))</f>
        <v>Irak Soft</v>
      </c>
      <c r="S16" s="67">
        <f>IF(B16="","",VLOOKUP(AD16,Varsayımlar!$B:$Q,10,0))</f>
        <v>4</v>
      </c>
      <c r="T16" s="67">
        <f>IF(B16="","",VLOOKUP(AD16,Varsayımlar!$B:$Q,11,0))</f>
        <v>14</v>
      </c>
      <c r="U16" s="67">
        <f>IF(B16="","",VLOOKUP(AD16,Varsayımlar!$B:$Q,12,0))</f>
        <v>166</v>
      </c>
      <c r="V16" s="67" t="str">
        <f>IF(B16="","",VLOOKUP(AD16,Varsayımlar!$B:$Q,13,0))</f>
        <v>Yurtdışı</v>
      </c>
      <c r="W16" s="67">
        <f>IF(B16="","",VLOOKUP(AD16,Varsayımlar!$B:$Q,14,0))</f>
        <v>9</v>
      </c>
      <c r="X16" s="69">
        <v>46195</v>
      </c>
      <c r="Y16" s="69">
        <v>46468</v>
      </c>
      <c r="Z16" s="67" t="s">
        <v>338</v>
      </c>
      <c r="AA16" s="67" t="str">
        <f>IF(B16="","",VLOOKUP(AD16,Varsayımlar!$B:$Q,15,0))</f>
        <v>SİYAH KARE KOLİ-Üretim Tarihi Etiketli</v>
      </c>
      <c r="AB16" s="67" t="str">
        <f>IF(B16="","",VLOOKUP(AD16,Varsayımlar!$B:$Q,16,0))</f>
        <v>19-21 cm</v>
      </c>
      <c r="AC16" s="67">
        <f>IF(B16="","",VLOOKUP(Sayfa1!AD14,Varsayımlar!B:S,18,0))</f>
        <v>0</v>
      </c>
      <c r="AD16" s="57" t="str">
        <f t="shared" si="0"/>
        <v>SMART LLCTortillas 20cm Çok Tahıllı 4pcs 166g</v>
      </c>
    </row>
    <row r="17" spans="1:30" ht="31.5" x14ac:dyDescent="0.25">
      <c r="A17" s="8" t="s">
        <v>89</v>
      </c>
      <c r="B17" s="64" t="s">
        <v>64</v>
      </c>
      <c r="C17" s="3">
        <f>IF(B17="","",VLOOKUP(AD17,Varsayımlar!$B:$Q,3,0))</f>
        <v>8698829380698</v>
      </c>
      <c r="D17" s="3"/>
      <c r="E17" s="64" t="s">
        <v>296</v>
      </c>
      <c r="F17" s="64">
        <v>31</v>
      </c>
      <c r="G17" s="3" t="s">
        <v>68</v>
      </c>
      <c r="H17" s="64" t="str">
        <f>IF(B17="","",VLOOKUP(AD17,Varsayımlar!$B:$Q,5,0))</f>
        <v>Tortillas 20cm Çok Tahıllı</v>
      </c>
      <c r="I17" s="64">
        <f>IF(B17="","",VLOOKUP(AD17,Varsayımlar!B:T,19,0))</f>
        <v>0</v>
      </c>
      <c r="J17" s="64" t="str">
        <f>IF(B17="","",VLOOKUP(AD17,Varsayımlar!$B:$Q,6,0))</f>
        <v>Çok Tahıllı</v>
      </c>
      <c r="K17" s="64">
        <v>1800</v>
      </c>
      <c r="L17" s="64"/>
      <c r="M17" s="64">
        <f>IFERROR(IF(B17="","",K17/VLOOKUP(AD17,Varsayımlar!B:R,17,0)),"")</f>
        <v>8</v>
      </c>
      <c r="N17" s="64"/>
      <c r="O17" s="64">
        <v>15</v>
      </c>
      <c r="P17" s="64">
        <f>IF(B17="","",VLOOKUP(AD17,Varsayımlar!$B:$Q,7,0)*K17)</f>
        <v>25200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4</v>
      </c>
      <c r="T17" s="64">
        <f>IF(B17="","",VLOOKUP(AD17,Varsayımlar!$B:$Q,11,0))</f>
        <v>14</v>
      </c>
      <c r="U17" s="64">
        <f>IF(B17="","",VLOOKUP(AD17,Varsayımlar!$B:$Q,12,0))</f>
        <v>166</v>
      </c>
      <c r="V17" s="64" t="str">
        <f>IF(B17="","",VLOOKUP(AD17,Varsayımlar!$B:$Q,13,0))</f>
        <v>Yurtdışı</v>
      </c>
      <c r="W17" s="64">
        <f>IF(B17="","",VLOOKUP(AD17,Varsayımlar!$B:$Q,14,0))</f>
        <v>9</v>
      </c>
      <c r="X17" s="66">
        <v>46196</v>
      </c>
      <c r="Y17" s="66">
        <v>46469</v>
      </c>
      <c r="Z17" s="64" t="s">
        <v>339</v>
      </c>
      <c r="AA17" s="64" t="str">
        <f>IF(B17="","",VLOOKUP(AD17,Varsayımlar!$B:$Q,15,0))</f>
        <v>SİYAH KARE KOLİ-Üretim Tarihi Etiketli</v>
      </c>
      <c r="AB17" s="64" t="str">
        <f>IF(B17="","",VLOOKUP(AD17,Varsayımlar!$B:$Q,16,0))</f>
        <v>19-21 cm</v>
      </c>
      <c r="AC17" s="64">
        <f>IF(B17="","",VLOOKUP(Sayfa1!AD15,Varsayımlar!B:S,18,0))</f>
        <v>0</v>
      </c>
      <c r="AD17" s="57" t="str">
        <f t="shared" si="0"/>
        <v>SMART LLCTortillas 20cm Çok Tahıllı 4pcs 166g</v>
      </c>
    </row>
    <row r="18" spans="1:30" ht="31.5" x14ac:dyDescent="0.25">
      <c r="A18" s="8" t="s">
        <v>90</v>
      </c>
      <c r="B18" s="64" t="s">
        <v>64</v>
      </c>
      <c r="C18" s="3">
        <f>IF(B18="","",VLOOKUP(AD18,Varsayımlar!$B:$Q,3,0))</f>
        <v>8698829380698</v>
      </c>
      <c r="D18" s="3"/>
      <c r="E18" s="64" t="s">
        <v>176</v>
      </c>
      <c r="F18" s="64">
        <v>31</v>
      </c>
      <c r="G18" s="3" t="s">
        <v>68</v>
      </c>
      <c r="H18" s="64" t="str">
        <f>IF(B18="","",VLOOKUP(AD18,Varsayımlar!$B:$Q,5,0))</f>
        <v>Tortillas 20cm (Samakat Bilgileri Ekli)</v>
      </c>
      <c r="I18" s="64">
        <f>IF(B18="","",VLOOKUP(AD18,Varsayımlar!B:T,19,0))</f>
        <v>0</v>
      </c>
      <c r="J18" s="64" t="str">
        <f>IF(B18="","",VLOOKUP(AD18,Varsayımlar!$B:$Q,6,0))</f>
        <v>PEYNİRLİ</v>
      </c>
      <c r="K18" s="64">
        <v>2925</v>
      </c>
      <c r="L18" s="64"/>
      <c r="M18" s="64">
        <f>IFERROR(IF(B18="","",K18/VLOOKUP(AD18,Varsayımlar!B:R,17,0)),"")</f>
        <v>13</v>
      </c>
      <c r="N18" s="64"/>
      <c r="O18" s="64">
        <v>24</v>
      </c>
      <c r="P18" s="64">
        <f>IF(B18="","",VLOOKUP(AD18,Varsayımlar!$B:$Q,7,0)*K18)</f>
        <v>40950</v>
      </c>
      <c r="Q18" s="64">
        <f>IF(B18="","",VLOOKUP(AD18,Varsayımlar!$B:$Q,8,0))</f>
        <v>20</v>
      </c>
      <c r="R18" s="64" t="str">
        <f>IF(B18="","",VLOOKUP(AD18,Varsayımlar!$B:$Q,9,0))</f>
        <v>IRAK SOFT-AT</v>
      </c>
      <c r="S18" s="64">
        <f>IF(B18="","",VLOOKUP(AD18,Varsayımlar!$B:$Q,10,0))</f>
        <v>4</v>
      </c>
      <c r="T18" s="64">
        <f>IF(B18="","",VLOOKUP(AD18,Varsayımlar!$B:$Q,11,0))</f>
        <v>14</v>
      </c>
      <c r="U18" s="64">
        <f>IF(B18="","",VLOOKUP(AD18,Varsayımlar!$B:$Q,12,0))</f>
        <v>166</v>
      </c>
      <c r="V18" s="64" t="str">
        <f>IF(B18="","",VLOOKUP(AD18,Varsayımlar!$B:$Q,13,0))</f>
        <v>YURTDIŞI</v>
      </c>
      <c r="W18" s="64">
        <f>IF(B18="","",VLOOKUP(AD18,Varsayımlar!$B:$Q,14,0))</f>
        <v>9</v>
      </c>
      <c r="X18" s="66">
        <v>46196</v>
      </c>
      <c r="Y18" s="66">
        <v>46469</v>
      </c>
      <c r="Z18" s="64" t="s">
        <v>340</v>
      </c>
      <c r="AA18" s="64" t="str">
        <f>IF(B18="","",VLOOKUP(AD18,Varsayımlar!$B:$Q,15,0))</f>
        <v>Kare Koli-Üretim Tarihli Etiket</v>
      </c>
      <c r="AB18" s="64" t="str">
        <f>IF(B18="","",VLOOKUP(AD18,Varsayımlar!$B:$Q,16,0))</f>
        <v>19-21 cm</v>
      </c>
      <c r="AC18" s="64">
        <f>IF(B18="","",VLOOKUP(Sayfa1!AD17,Varsayımlar!B:S,18,0))</f>
        <v>0</v>
      </c>
      <c r="AD18" s="57" t="str">
        <f t="shared" si="0"/>
        <v>SMART LLCTortillas 20cm Peynirli 4pcs 166g</v>
      </c>
    </row>
    <row r="19" spans="1:30" ht="47.25" x14ac:dyDescent="0.25">
      <c r="A19" s="8" t="s">
        <v>91</v>
      </c>
      <c r="B19" s="67" t="s">
        <v>268</v>
      </c>
      <c r="C19" s="42">
        <f>IF(B19="","",VLOOKUP(AD19,Varsayımlar!$B:$Q,3,0))</f>
        <v>8698829380698</v>
      </c>
      <c r="D19" s="42" t="s">
        <v>159</v>
      </c>
      <c r="E19" s="67" t="s">
        <v>269</v>
      </c>
      <c r="F19" s="67">
        <v>20250825</v>
      </c>
      <c r="G19" s="42" t="s">
        <v>68</v>
      </c>
      <c r="H19" s="67" t="str">
        <f>IF(B19="","",VLOOKUP(AD19,Varsayımlar!$B:$Q,5,0))</f>
        <v>Tortillas 25cm Tam Buğday</v>
      </c>
      <c r="I19" s="67">
        <f>IF(B19="","",VLOOKUP(AD19,Varsayımlar!B:T,19,0))</f>
        <v>0</v>
      </c>
      <c r="J19" s="67" t="str">
        <f>IF(B19="","",VLOOKUP(AD19,Varsayımlar!$B:$Q,6,0))</f>
        <v>Tam Buğdaylı</v>
      </c>
      <c r="K19" s="67">
        <v>252</v>
      </c>
      <c r="L19" s="67"/>
      <c r="M19" s="67">
        <f>IFERROR(IF(B19="","",K19/VLOOKUP(AD19,Varsayımlar!B:R,17,0)),"")</f>
        <v>3</v>
      </c>
      <c r="N19" s="67"/>
      <c r="O19" s="67">
        <v>5</v>
      </c>
      <c r="P19" s="67">
        <f>IF(B19="","",VLOOKUP(AD19,Varsayımlar!$B:$Q,7,0)*K19)</f>
        <v>7560</v>
      </c>
      <c r="Q19" s="67">
        <f>IF(B19="","",VLOOKUP(AD19,Varsayımlar!$B:$Q,8,0))</f>
        <v>25</v>
      </c>
      <c r="R19" s="67" t="str">
        <f>IF(B19="","",VLOOKUP(AD19,Varsayımlar!$B:$Q,9,0))</f>
        <v>Soft-PA3</v>
      </c>
      <c r="S19" s="67">
        <f>IF(B19="","",VLOOKUP(AD19,Varsayımlar!$B:$Q,10,0))</f>
        <v>4</v>
      </c>
      <c r="T19" s="67">
        <f>IF(B19="","",VLOOKUP(AD19,Varsayımlar!$B:$Q,11,0))</f>
        <v>30</v>
      </c>
      <c r="U19" s="67">
        <f>IF(B19="","",VLOOKUP(AD19,Varsayımlar!$B:$Q,12,0))</f>
        <v>240</v>
      </c>
      <c r="V19" s="67" t="str">
        <f>IF(B19="","",VLOOKUP(AD19,Varsayımlar!$B:$Q,13,0))</f>
        <v>Yurtdışı</v>
      </c>
      <c r="W19" s="67">
        <f>IF(B19="","",VLOOKUP(AD19,Varsayımlar!$B:$Q,14,0))</f>
        <v>12</v>
      </c>
      <c r="X19" s="69">
        <v>46199</v>
      </c>
      <c r="Y19" s="69">
        <v>46564</v>
      </c>
      <c r="Z19" s="67" t="s">
        <v>374</v>
      </c>
      <c r="AA19" s="67" t="str">
        <f>IF(B19="","",VLOOKUP(AD19,Varsayımlar!$B:$Q,15,0))</f>
        <v>25cm Kolisi-Etiketli</v>
      </c>
      <c r="AB19" s="67" t="str">
        <f>IF(B19="","",VLOOKUP(AD19,Varsayımlar!$B:$Q,16,0))</f>
        <v>24-26 cm (Macca Hetto Inkjet Uzun Tarih)</v>
      </c>
      <c r="AC19" s="67" t="str">
        <f>IF(B19="","",VLOOKUP(Sayfa1!AD23,Varsayımlar!B:S,18,0))</f>
        <v>80x120cm</v>
      </c>
      <c r="AD19" s="57" t="str">
        <f t="shared" si="0"/>
        <v>LAIKYUZHN-BELARUSTortillas 25cm Tam buğday 4pcs 240g</v>
      </c>
    </row>
    <row r="20" spans="1:30" ht="47.25" x14ac:dyDescent="0.25">
      <c r="A20" s="8" t="s">
        <v>92</v>
      </c>
      <c r="B20" s="67" t="s">
        <v>268</v>
      </c>
      <c r="C20" s="42">
        <f>IF(B20="","",VLOOKUP(AD20,Varsayımlar!$B:$Q,3,0))</f>
        <v>8698829380698</v>
      </c>
      <c r="D20" s="42" t="s">
        <v>159</v>
      </c>
      <c r="E20" s="67" t="s">
        <v>274</v>
      </c>
      <c r="F20" s="67">
        <v>20250825</v>
      </c>
      <c r="G20" s="42" t="s">
        <v>68</v>
      </c>
      <c r="H20" s="67" t="str">
        <f>IF(B20="","",VLOOKUP(AD20,Varsayımlar!$B:$Q,5,0))</f>
        <v>Tortillas 25cm Domatesli</v>
      </c>
      <c r="I20" s="67">
        <f>IF(B20="","",VLOOKUP(AD20,Varsayımlar!B:T,19,0))</f>
        <v>0</v>
      </c>
      <c r="J20" s="67" t="str">
        <f>IF(B20="","",VLOOKUP(AD20,Varsayımlar!$B:$Q,6,0))</f>
        <v>Domatesli</v>
      </c>
      <c r="K20" s="67">
        <v>252</v>
      </c>
      <c r="L20" s="67"/>
      <c r="M20" s="67">
        <f>IFERROR(IF(B20="","",K20/VLOOKUP(AD20,Varsayımlar!B:R,17,0)),"")</f>
        <v>3</v>
      </c>
      <c r="N20" s="67"/>
      <c r="O20" s="67">
        <v>5</v>
      </c>
      <c r="P20" s="67">
        <f>IF(B20="","",VLOOKUP(AD20,Varsayımlar!$B:$Q,7,0)*K20)</f>
        <v>7560</v>
      </c>
      <c r="Q20" s="67">
        <f>IF(B20="","",VLOOKUP(AD20,Varsayımlar!$B:$Q,8,0))</f>
        <v>25</v>
      </c>
      <c r="R20" s="67" t="str">
        <f>IF(B20="","",VLOOKUP(AD20,Varsayımlar!$B:$Q,9,0))</f>
        <v>Soft-PA3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240</v>
      </c>
      <c r="V20" s="67" t="str">
        <f>IF(B20="","",VLOOKUP(AD20,Varsayımlar!$B:$Q,13,0))</f>
        <v>Yurtdışı</v>
      </c>
      <c r="W20" s="67">
        <f>IF(B20="","",VLOOKUP(AD20,Varsayımlar!$B:$Q,14,0))</f>
        <v>12</v>
      </c>
      <c r="X20" s="69">
        <v>46199</v>
      </c>
      <c r="Y20" s="69">
        <v>46564</v>
      </c>
      <c r="Z20" s="67" t="s">
        <v>375</v>
      </c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IF(B20="","",VLOOKUP(Sayfa1!AD24,Varsayımlar!B:S,18,0))</f>
        <v>80x120cm</v>
      </c>
      <c r="AD20" s="57" t="str">
        <f t="shared" si="0"/>
        <v>LAIKYUZHN-BELARUSTortillas 25cm Domatesli 4pcs 240g</v>
      </c>
    </row>
    <row r="21" spans="1:30" ht="47.25" x14ac:dyDescent="0.25">
      <c r="A21" s="8" t="s">
        <v>93</v>
      </c>
      <c r="B21" s="67" t="s">
        <v>268</v>
      </c>
      <c r="C21" s="42">
        <f>IF(B21="","",VLOOKUP(AD21,Varsayımlar!$B:$Q,3,0))</f>
        <v>8698829380698</v>
      </c>
      <c r="D21" s="42" t="s">
        <v>159</v>
      </c>
      <c r="E21" s="67" t="s">
        <v>276</v>
      </c>
      <c r="F21" s="67">
        <v>20250825</v>
      </c>
      <c r="G21" s="42" t="s">
        <v>68</v>
      </c>
      <c r="H21" s="67" t="str">
        <f>IF(B21="","",VLOOKUP(AD21,Varsayımlar!$B:$Q,5,0))</f>
        <v>Tortillas 25cm Ispanaklı</v>
      </c>
      <c r="I21" s="67">
        <f>IF(B21="","",VLOOKUP(AD21,Varsayımlar!B:T,19,0))</f>
        <v>0</v>
      </c>
      <c r="J21" s="67" t="str">
        <f>IF(B21="","",VLOOKUP(AD21,Varsayımlar!$B:$Q,6,0))</f>
        <v>Ispanaklı</v>
      </c>
      <c r="K21" s="67">
        <v>420</v>
      </c>
      <c r="L21" s="67"/>
      <c r="M21" s="67">
        <f>IFERROR(IF(B21="","",K21/VLOOKUP(AD21,Varsayımlar!B:R,17,0)),"")</f>
        <v>5</v>
      </c>
      <c r="N21" s="67"/>
      <c r="O21" s="67">
        <v>7</v>
      </c>
      <c r="P21" s="67">
        <f>IF(B21="","",VLOOKUP(AD21,Varsayımlar!$B:$Q,7,0)*K21)</f>
        <v>12600</v>
      </c>
      <c r="Q21" s="67">
        <f>IF(B21="","",VLOOKUP(AD21,Varsayımlar!$B:$Q,8,0))</f>
        <v>25</v>
      </c>
      <c r="R21" s="67" t="str">
        <f>IF(B21="","",VLOOKUP(AD21,Varsayımlar!$B:$Q,9,0))</f>
        <v>Soft-PA3</v>
      </c>
      <c r="S21" s="67">
        <f>IF(B21="","",VLOOKUP(AD21,Varsayımlar!$B:$Q,10,0))</f>
        <v>4</v>
      </c>
      <c r="T21" s="67">
        <f>IF(B21="","",VLOOKUP(AD21,Varsayımlar!$B:$Q,11,0))</f>
        <v>30</v>
      </c>
      <c r="U21" s="67">
        <f>IF(B21="","",VLOOKUP(AD21,Varsayımlar!$B:$Q,12,0))</f>
        <v>240</v>
      </c>
      <c r="V21" s="67" t="str">
        <f>IF(B21="","",VLOOKUP(AD21,Varsayımlar!$B:$Q,13,0))</f>
        <v>Yurtdışı</v>
      </c>
      <c r="W21" s="67">
        <f>IF(B21="","",VLOOKUP(AD21,Varsayımlar!$B:$Q,14,0))</f>
        <v>12</v>
      </c>
      <c r="X21" s="69">
        <v>46199</v>
      </c>
      <c r="Y21" s="69">
        <v>46564</v>
      </c>
      <c r="Z21" s="67" t="s">
        <v>376</v>
      </c>
      <c r="AA21" s="67" t="str">
        <f>IF(B21="","",VLOOKUP(AD21,Varsayımlar!$B:$Q,15,0))</f>
        <v>25cm Kolisi-Etiketli</v>
      </c>
      <c r="AB21" s="67" t="str">
        <f>IF(B21="","",VLOOKUP(AD21,Varsayımlar!$B:$Q,16,0))</f>
        <v>24-26 cm (Macca Hetto Inkjet Uzun Tarih)</v>
      </c>
      <c r="AC21" s="67" t="str">
        <f>IF(B21="","",VLOOKUP(Sayfa1!AD25,Varsayımlar!B:S,18,0))</f>
        <v>80x120cm</v>
      </c>
      <c r="AD21" s="57" t="str">
        <f t="shared" si="0"/>
        <v>LAIKYUZHN-BELARUSTortillas 25cm Ispanaklı 4pcs 240g</v>
      </c>
    </row>
    <row r="22" spans="1:30" ht="47.25" x14ac:dyDescent="0.25">
      <c r="A22" s="8" t="s">
        <v>135</v>
      </c>
      <c r="B22" s="67" t="s">
        <v>268</v>
      </c>
      <c r="C22" s="42">
        <f>IF(B22="","",VLOOKUP(AD22,Varsayımlar!$B:$Q,3,0))</f>
        <v>8698829380698</v>
      </c>
      <c r="D22" s="42" t="s">
        <v>159</v>
      </c>
      <c r="E22" s="67" t="s">
        <v>278</v>
      </c>
      <c r="F22" s="67">
        <v>20250825</v>
      </c>
      <c r="G22" s="42" t="s">
        <v>68</v>
      </c>
      <c r="H22" s="67" t="str">
        <f>IF(B22="","",VLOOKUP(AD22,Varsayımlar!$B:$Q,5,0))</f>
        <v>Magnit Tortillas 25cm Peynirli</v>
      </c>
      <c r="I22" s="67" t="str">
        <f>IF(B22="","",VLOOKUP(AD22,Varsayımlar!B:T,19,0))</f>
        <v>Etiketli</v>
      </c>
      <c r="J22" s="67" t="str">
        <f>IF(B22="","",VLOOKUP(AD22,Varsayımlar!$B:$Q,6,0))</f>
        <v>Peynirli</v>
      </c>
      <c r="K22" s="67">
        <v>420</v>
      </c>
      <c r="L22" s="67"/>
      <c r="M22" s="67">
        <f>IFERROR(IF(B22="","",K22/VLOOKUP(AD22,Varsayımlar!B:R,17,0)),"")</f>
        <v>5</v>
      </c>
      <c r="N22" s="67"/>
      <c r="O22" s="67">
        <v>7</v>
      </c>
      <c r="P22" s="67">
        <f>IF(B22="","",VLOOKUP(AD22,Varsayımlar!$B:$Q,7,0)*K22)</f>
        <v>12600</v>
      </c>
      <c r="Q22" s="67">
        <f>IF(B22="","",VLOOKUP(AD22,Varsayımlar!$B:$Q,8,0))</f>
        <v>25</v>
      </c>
      <c r="R22" s="67" t="str">
        <f>IF(B22="","",VLOOKUP(AD22,Varsayımlar!$B:$Q,9,0))</f>
        <v>Soft-PA3-AT</v>
      </c>
      <c r="S22" s="67">
        <f>IF(B22="","",VLOOKUP(AD22,Varsayımlar!$B:$Q,10,0))</f>
        <v>4</v>
      </c>
      <c r="T22" s="67">
        <f>IF(B22="","",VLOOKUP(AD22,Varsayımlar!$B:$Q,11,0))</f>
        <v>30</v>
      </c>
      <c r="U22" s="67">
        <f>IF(B22="","",VLOOKUP(AD22,Varsayımlar!$B:$Q,12,0))</f>
        <v>250</v>
      </c>
      <c r="V22" s="67" t="str">
        <f>IF(B22="","",VLOOKUP(AD22,Varsayımlar!$B:$Q,13,0))</f>
        <v>Yurtdışı</v>
      </c>
      <c r="W22" s="67">
        <f>IF(B22="","",VLOOKUP(AD22,Varsayımlar!$B:$Q,14,0))</f>
        <v>9</v>
      </c>
      <c r="X22" s="69">
        <v>46199</v>
      </c>
      <c r="Y22" s="69">
        <v>46472</v>
      </c>
      <c r="Z22" s="67" t="s">
        <v>377</v>
      </c>
      <c r="AA22" s="67" t="str">
        <f>IF(B22="","",VLOOKUP(AD22,Varsayımlar!$B:$Q,15,0))</f>
        <v>25cm Kolisi-Etiketli</v>
      </c>
      <c r="AB22" s="67" t="str">
        <f>IF(B22="","",VLOOKUP(AD22,Varsayımlar!$B:$Q,16,0))</f>
        <v>24-26 cm (Macca Hetto Inkjet Uzun Tarih)</v>
      </c>
      <c r="AC22" s="67" t="str">
        <f>IF(B22="","",VLOOKUP(Sayfa1!AD26,Varsayımlar!B:S,18,0))</f>
        <v>80x120cm</v>
      </c>
      <c r="AD22" s="57" t="str">
        <f t="shared" si="0"/>
        <v>LAIKYUZHN-BELARUSMagnit Tortillas 25cm Peynirli 4pcs 240g</v>
      </c>
    </row>
    <row r="23" spans="1:30" ht="47.25" x14ac:dyDescent="0.25">
      <c r="A23" s="8" t="s">
        <v>136</v>
      </c>
      <c r="B23" s="62" t="s">
        <v>181</v>
      </c>
      <c r="C23" s="32">
        <f>IF(B23="","",VLOOKUP(AD23,Varsayımlar!$B:$Q,3,0))</f>
        <v>8698829380698</v>
      </c>
      <c r="D23" s="32"/>
      <c r="E23" s="62" t="s">
        <v>182</v>
      </c>
      <c r="F23" s="62">
        <v>26060101</v>
      </c>
      <c r="G23" s="32"/>
      <c r="H23" s="62" t="str">
        <f>IF(B23="","",VLOOKUP(AD23,Varsayımlar!$B:$Q,5,0))</f>
        <v>Tortillove 30cm</v>
      </c>
      <c r="I23" s="62" t="str">
        <f>IF(B23="","",VLOOKUP(AD23,Varsayımlar!B:T,19,0))</f>
        <v>Arka kısma Arnavutça içerik-Tortillove</v>
      </c>
      <c r="J23" s="62" t="str">
        <f>IF(B23="","",VLOOKUP(AD23,Varsayımlar!$B:$Q,6,0))</f>
        <v>SADE</v>
      </c>
      <c r="K23" s="62">
        <v>100</v>
      </c>
      <c r="L23" s="62"/>
      <c r="M23" s="62">
        <f>IFERROR(IF(B23="","",K23/VLOOKUP(AD23,Varsayımlar!B:R,17,0)),"")</f>
        <v>2</v>
      </c>
      <c r="N23" s="62"/>
      <c r="O23" s="62">
        <v>2</v>
      </c>
      <c r="P23" s="62">
        <f>IF(B23="","",VLOOKUP(AD23,Varsayımlar!$B:$Q,7,0)*K23)</f>
        <v>1200</v>
      </c>
      <c r="Q23" s="62">
        <f>IF(B23="","",VLOOKUP(AD23,Varsayımlar!$B:$Q,8,0))</f>
        <v>30</v>
      </c>
      <c r="R23" s="62" t="str">
        <f>IF(B23="","",VLOOKUP(AD23,Varsayımlar!$B:$Q,9,0))</f>
        <v>Irak Soft</v>
      </c>
      <c r="S23" s="62">
        <f>IF(B23="","",VLOOKUP(AD23,Varsayımlar!$B:$Q,10,0))</f>
        <v>10</v>
      </c>
      <c r="T23" s="62">
        <f>IF(B23="","",VLOOKUP(AD23,Varsayımlar!$B:$Q,11,0))</f>
        <v>12</v>
      </c>
      <c r="U23" s="62">
        <f>IF(B23="","",VLOOKUP(AD23,Varsayımlar!$B:$Q,12,0))</f>
        <v>900</v>
      </c>
      <c r="V23" s="62" t="str">
        <f>IF(B23="","",VLOOKUP(AD23,Varsayımlar!$B:$Q,13,0))</f>
        <v>Yurtdışı</v>
      </c>
      <c r="W23" s="62">
        <f>IF(B23="","",VLOOKUP(AD23,Varsayımlar!$B:$Q,14,0))</f>
        <v>12</v>
      </c>
      <c r="X23" s="63">
        <v>46200</v>
      </c>
      <c r="Y23" s="63">
        <v>46565</v>
      </c>
      <c r="Z23" s="62">
        <v>26062730</v>
      </c>
      <c r="AA23" s="62" t="str">
        <f>IF(B23="","",VLOOKUP(AD23,Varsayımlar!$B:$Q,15,0))</f>
        <v>30cm Koli - Tortillove 900g Etiketli</v>
      </c>
      <c r="AB23" s="62" t="str">
        <f>IF(B23="","",VLOOKUP(AD23,Varsayımlar!$B:$Q,16,0))</f>
        <v>29-31 cm</v>
      </c>
      <c r="AC23" s="62">
        <f>IF(B23="","",VLOOKUP(Sayfa1!AD27,Varsayımlar!B:S,18,0))</f>
        <v>0</v>
      </c>
      <c r="AD23" s="57" t="str">
        <f t="shared" si="0"/>
        <v>ALDİ - KOSOVATortillove 30cm 10pcs 900g</v>
      </c>
    </row>
    <row r="24" spans="1:30" ht="47.25" x14ac:dyDescent="0.25">
      <c r="A24" s="8" t="s">
        <v>137</v>
      </c>
      <c r="B24" s="62" t="s">
        <v>181</v>
      </c>
      <c r="C24" s="32">
        <f>IF(B24="","",VLOOKUP(AD24,Varsayımlar!$B:$Q,3,0))</f>
        <v>8698829380698</v>
      </c>
      <c r="D24" s="32"/>
      <c r="E24" s="62" t="s">
        <v>185</v>
      </c>
      <c r="F24" s="62">
        <v>26060101</v>
      </c>
      <c r="G24" s="32"/>
      <c r="H24" s="62" t="str">
        <f>IF(B24="","",VLOOKUP(AD24,Varsayımlar!$B:$Q,5,0))</f>
        <v>Tortillas 30cm</v>
      </c>
      <c r="I24" s="62" t="str">
        <f>IF(B24="","",VLOOKUP(AD24,Varsayımlar!B:T,19,0))</f>
        <v>Arka kısma Arnavutça içerik-Tortillas</v>
      </c>
      <c r="J24" s="62" t="str">
        <f>IF(B24="","",VLOOKUP(AD24,Varsayımlar!$B:$Q,6,0))</f>
        <v>SADE</v>
      </c>
      <c r="K24" s="62">
        <v>50</v>
      </c>
      <c r="L24" s="62"/>
      <c r="M24" s="62">
        <f>IFERROR(IF(B24="","",K24/VLOOKUP(AD24,Varsayımlar!B:R,17,0)),"")</f>
        <v>1</v>
      </c>
      <c r="N24" s="62"/>
      <c r="O24" s="62">
        <v>1</v>
      </c>
      <c r="P24" s="62">
        <f>IF(B24="","",VLOOKUP(AD24,Varsayımlar!$B:$Q,7,0)*K24)</f>
        <v>600</v>
      </c>
      <c r="Q24" s="62">
        <f>IF(B24="","",VLOOKUP(AD24,Varsayımlar!$B:$Q,8,0))</f>
        <v>30</v>
      </c>
      <c r="R24" s="62" t="str">
        <f>IF(B24="","",VLOOKUP(AD24,Varsayımlar!$B:$Q,9,0))</f>
        <v>Irak Soft</v>
      </c>
      <c r="S24" s="62">
        <f>IF(B24="","",VLOOKUP(AD24,Varsayımlar!$B:$Q,10,0))</f>
        <v>10</v>
      </c>
      <c r="T24" s="62">
        <f>IF(B24="","",VLOOKUP(AD24,Varsayımlar!$B:$Q,11,0))</f>
        <v>12</v>
      </c>
      <c r="U24" s="62">
        <f>IF(B24="","",VLOOKUP(AD24,Varsayımlar!$B:$Q,12,0))</f>
        <v>900</v>
      </c>
      <c r="V24" s="62" t="str">
        <f>IF(B24="","",VLOOKUP(AD24,Varsayımlar!$B:$Q,13,0))</f>
        <v>Yurtdışı</v>
      </c>
      <c r="W24" s="62">
        <f>IF(B24="","",VLOOKUP(AD24,Varsayımlar!$B:$Q,14,0))</f>
        <v>12</v>
      </c>
      <c r="X24" s="63">
        <v>46200</v>
      </c>
      <c r="Y24" s="63">
        <v>46565</v>
      </c>
      <c r="Z24" s="62">
        <v>26062730</v>
      </c>
      <c r="AA24" s="62" t="str">
        <f>IF(B24="","",VLOOKUP(AD24,Varsayımlar!$B:$Q,15,0))</f>
        <v>30cm Koli - Tortillas 900g Etiketli</v>
      </c>
      <c r="AB24" s="62" t="str">
        <f>IF(B24="","",VLOOKUP(AD24,Varsayımlar!$B:$Q,16,0))</f>
        <v>29-31 cm</v>
      </c>
      <c r="AC24" s="62">
        <f>IF(B24="","",VLOOKUP(Sayfa1!AD28,Varsayımlar!B:S,18,0))</f>
        <v>0</v>
      </c>
      <c r="AD24" s="57" t="str">
        <f t="shared" si="0"/>
        <v>ALDİ - KOSOVATortillas 30cm 10pcs 900g</v>
      </c>
    </row>
    <row r="25" spans="1:30" ht="63" x14ac:dyDescent="0.25">
      <c r="A25" s="8" t="s">
        <v>138</v>
      </c>
      <c r="B25" s="62" t="s">
        <v>181</v>
      </c>
      <c r="C25" s="32">
        <f>IF(B25="","",VLOOKUP(AD25,Varsayımlar!$B:$Q,3,0))</f>
        <v>8698829380698</v>
      </c>
      <c r="D25" s="32"/>
      <c r="E25" s="32" t="s">
        <v>372</v>
      </c>
      <c r="F25" s="62">
        <v>26060101</v>
      </c>
      <c r="G25" s="32"/>
      <c r="H25" s="62" t="str">
        <f>IF(B25="","",VLOOKUP(AD25,Varsayımlar!$B:$Q,5,0))</f>
        <v>Tortillove Tam Buğday 25cm</v>
      </c>
      <c r="I25" s="62" t="str">
        <f>IF(B25="","",VLOOKUP(AD25,Varsayımlar!B:T,19,0))</f>
        <v>Barkod üzerine Arnavutça TB içerik+Barkod-Tortillove</v>
      </c>
      <c r="J25" s="62" t="str">
        <f>IF(B25="","",VLOOKUP(AD25,Varsayımlar!$B:$Q,6,0))</f>
        <v>Tam Buğdaylı</v>
      </c>
      <c r="K25" s="62">
        <v>84</v>
      </c>
      <c r="L25" s="62"/>
      <c r="M25" s="62">
        <f>IFERROR(IF(B25="","",K25/VLOOKUP(AD25,Varsayımlar!B:R,17,0)),"")</f>
        <v>1</v>
      </c>
      <c r="N25" s="62"/>
      <c r="O25" s="62">
        <v>2</v>
      </c>
      <c r="P25" s="62">
        <f>IF(B25="","",VLOOKUP(AD25,Varsayımlar!$B:$Q,7,0)*K25)</f>
        <v>1512</v>
      </c>
      <c r="Q25" s="62">
        <f>IF(B25="","",VLOOKUP(AD25,Varsayımlar!$B:$Q,8,0))</f>
        <v>25</v>
      </c>
      <c r="R25" s="62" t="str">
        <f>IF(B25="","",VLOOKUP(AD25,Varsayımlar!$B:$Q,9,0))</f>
        <v>Irak Soft</v>
      </c>
      <c r="S25" s="62">
        <f>IF(B25="","",VLOOKUP(AD25,Varsayımlar!$B:$Q,10,0))</f>
        <v>6</v>
      </c>
      <c r="T25" s="62">
        <f>IF(B25="","",VLOOKUP(AD25,Varsayımlar!$B:$Q,11,0))</f>
        <v>18</v>
      </c>
      <c r="U25" s="62">
        <f>IF(B25="","",VLOOKUP(AD25,Varsayımlar!$B:$Q,12,0))</f>
        <v>390</v>
      </c>
      <c r="V25" s="62" t="str">
        <f>IF(B25="","",VLOOKUP(AD25,Varsayımlar!$B:$Q,13,0))</f>
        <v>Yurtdışı</v>
      </c>
      <c r="W25" s="62">
        <f>IF(B25="","",VLOOKUP(AD25,Varsayımlar!$B:$Q,14,0))</f>
        <v>12</v>
      </c>
      <c r="X25" s="63">
        <v>46200</v>
      </c>
      <c r="Y25" s="63">
        <v>46565</v>
      </c>
      <c r="Z25" s="62">
        <v>26062725</v>
      </c>
      <c r="AA25" s="62" t="str">
        <f>IF(B25="","",VLOOKUP(AD25,Varsayımlar!$B:$Q,15,0))</f>
        <v>25cm Koli - Tortillove 390g TB Etiketli</v>
      </c>
      <c r="AB25" s="62" t="str">
        <f>IF(B25="","",VLOOKUP(AD25,Varsayımlar!$B:$Q,16,0))</f>
        <v>24-26 cm</v>
      </c>
      <c r="AC25" s="62">
        <f>IF(B25="","",VLOOKUP(Sayfa1!AD29,Varsayımlar!B:S,18,0))</f>
        <v>0</v>
      </c>
      <c r="AD25" s="57" t="str">
        <f t="shared" si="0"/>
        <v>ALDİ - KOSOVATortillove 25cm TB 6pcs 390g</v>
      </c>
    </row>
    <row r="26" spans="1:30" ht="63" x14ac:dyDescent="0.25">
      <c r="A26" s="8" t="s">
        <v>139</v>
      </c>
      <c r="B26" s="62" t="s">
        <v>181</v>
      </c>
      <c r="C26" s="32">
        <f>IF(B26="","",VLOOKUP(AD26,Varsayımlar!$B:$Q,3,0))</f>
        <v>8698829380698</v>
      </c>
      <c r="D26" s="32"/>
      <c r="E26" s="32" t="s">
        <v>251</v>
      </c>
      <c r="F26" s="62">
        <v>26060101</v>
      </c>
      <c r="G26" s="32"/>
      <c r="H26" s="62" t="str">
        <f>IF(B26="","",VLOOKUP(AD26,Varsayımlar!$B:$Q,5,0))</f>
        <v>Tortillas Tam Buğday 25cm</v>
      </c>
      <c r="I26" s="62" t="str">
        <f>IF(B26="","",VLOOKUP(AD26,Varsayımlar!B:T,19,0))</f>
        <v>Barkod üzerine Arnavutça TB içerik+Barkod-Tortillas</v>
      </c>
      <c r="J26" s="62" t="str">
        <f>IF(B26="","",VLOOKUP(AD26,Varsayımlar!$B:$Q,6,0))</f>
        <v>Tam Buğdaylı</v>
      </c>
      <c r="K26" s="62">
        <v>84</v>
      </c>
      <c r="L26" s="62"/>
      <c r="M26" s="62">
        <f>IFERROR(IF(B26="","",K26/VLOOKUP(AD26,Varsayımlar!B:R,17,0)),"")</f>
        <v>1</v>
      </c>
      <c r="N26" s="62"/>
      <c r="O26" s="62">
        <v>2</v>
      </c>
      <c r="P26" s="62">
        <f>IF(B26="","",VLOOKUP(AD26,Varsayımlar!$B:$Q,7,0)*K26)</f>
        <v>1512</v>
      </c>
      <c r="Q26" s="62">
        <f>IF(B26="","",VLOOKUP(AD26,Varsayımlar!$B:$Q,8,0))</f>
        <v>25</v>
      </c>
      <c r="R26" s="62" t="str">
        <f>IF(B26="","",VLOOKUP(AD26,Varsayımlar!$B:$Q,9,0))</f>
        <v>Irak Soft</v>
      </c>
      <c r="S26" s="62">
        <f>IF(B26="","",VLOOKUP(AD26,Varsayımlar!$B:$Q,10,0))</f>
        <v>6</v>
      </c>
      <c r="T26" s="62">
        <f>IF(B26="","",VLOOKUP(AD26,Varsayımlar!$B:$Q,11,0))</f>
        <v>18</v>
      </c>
      <c r="U26" s="62">
        <f>IF(B26="","",VLOOKUP(AD26,Varsayımlar!$B:$Q,12,0))</f>
        <v>390</v>
      </c>
      <c r="V26" s="62" t="str">
        <f>IF(B26="","",VLOOKUP(AD26,Varsayımlar!$B:$Q,13,0))</f>
        <v>Yurtdışı</v>
      </c>
      <c r="W26" s="62">
        <f>IF(B26="","",VLOOKUP(AD26,Varsayımlar!$B:$Q,14,0))</f>
        <v>12</v>
      </c>
      <c r="X26" s="63">
        <v>46200</v>
      </c>
      <c r="Y26" s="63">
        <v>46565</v>
      </c>
      <c r="Z26" s="62">
        <v>26062725</v>
      </c>
      <c r="AA26" s="62" t="str">
        <f>IF(B26="","",VLOOKUP(AD26,Varsayımlar!$B:$Q,15,0))</f>
        <v>25cm Koli - Tortillas 390g TB Etiketli</v>
      </c>
      <c r="AB26" s="62" t="str">
        <f>IF(B26="","",VLOOKUP(AD26,Varsayımlar!$B:$Q,16,0))</f>
        <v>24-26 cm</v>
      </c>
      <c r="AC26" s="62">
        <f>IF(B26="","",VLOOKUP(Sayfa1!AD30,Varsayımlar!B:S,18,0))</f>
        <v>0</v>
      </c>
      <c r="AD26" s="57" t="str">
        <f t="shared" si="0"/>
        <v>ALDİ - KOSOVATortillas 25cm TB 6pcs 390g</v>
      </c>
    </row>
    <row r="27" spans="1:30" ht="31.5" x14ac:dyDescent="0.25">
      <c r="A27" s="8" t="s">
        <v>140</v>
      </c>
      <c r="B27" s="64" t="s">
        <v>288</v>
      </c>
      <c r="C27" s="3">
        <f>IF(B27="","",VLOOKUP(AD27,Varsayımlar!$B:$Q,3,0))</f>
        <v>8698829380698</v>
      </c>
      <c r="D27" s="3"/>
      <c r="E27" s="64" t="s">
        <v>289</v>
      </c>
      <c r="F27" s="64">
        <v>20201016</v>
      </c>
      <c r="G27" s="3" t="s">
        <v>68</v>
      </c>
      <c r="H27" s="64" t="str">
        <f>IF(B27="","",VLOOKUP(AD27,Varsayımlar!$B:$Q,5,0))</f>
        <v>Tortillas 25cm Tam Buğday</v>
      </c>
      <c r="I27" s="64" t="str">
        <f>IF(B27="","",VLOOKUP(AD27,Varsayımlar!B:T,19,0))</f>
        <v>Arka kısma İçerik</v>
      </c>
      <c r="J27" s="64" t="str">
        <f>IF(B27="","",VLOOKUP(AD27,Varsayımlar!$B:$Q,6,0))</f>
        <v>Tam Buğdaylı</v>
      </c>
      <c r="K27" s="64">
        <v>250</v>
      </c>
      <c r="L27" s="64"/>
      <c r="M27" s="64">
        <f>IFERROR(IF(B27="","",K27/VLOOKUP(AD27,Varsayımlar!B:R,17,0)),"")</f>
        <v>5</v>
      </c>
      <c r="N27" s="64"/>
      <c r="O27" s="64">
        <v>4</v>
      </c>
      <c r="P27" s="64">
        <f>IF(B27="","",VLOOKUP(AD27,Varsayımlar!$B:$Q,7,0)*K27)</f>
        <v>4500</v>
      </c>
      <c r="Q27" s="64">
        <f>IF(B27="","",VLOOKUP(AD27,Varsayımlar!$B:$Q,8,0))</f>
        <v>25</v>
      </c>
      <c r="R27" s="64" t="str">
        <f>IF(B27="","",VLOOKUP(AD27,Varsayımlar!$B:$Q,9,0))</f>
        <v>Irak Soft</v>
      </c>
      <c r="S27" s="64">
        <f>IF(B27="","",VLOOKUP(AD27,Varsayımlar!$B:$Q,10,0))</f>
        <v>6</v>
      </c>
      <c r="T27" s="64">
        <f>IF(B27="","",VLOOKUP(AD27,Varsayımlar!$B:$Q,11,0))</f>
        <v>18</v>
      </c>
      <c r="U27" s="64">
        <f>IF(B27="","",VLOOKUP(AD27,Varsayımlar!$B:$Q,12,0))</f>
        <v>390</v>
      </c>
      <c r="V27" s="64" t="str">
        <f>IF(B27="","",VLOOKUP(AD27,Varsayımlar!$B:$Q,13,0))</f>
        <v>YURTDIŞI</v>
      </c>
      <c r="W27" s="64">
        <f>IF(B27="","",VLOOKUP(AD27,Varsayımlar!$B:$Q,14,0))</f>
        <v>9</v>
      </c>
      <c r="X27" s="66">
        <v>46202</v>
      </c>
      <c r="Y27" s="66">
        <v>46475</v>
      </c>
      <c r="Z27" s="64" t="s">
        <v>378</v>
      </c>
      <c r="AA27" s="64" t="str">
        <f>IF(B27="","",VLOOKUP(AD27,Varsayımlar!$B:$Q,15,0))</f>
        <v>25cm Koli-Kazakça Etiketli</v>
      </c>
      <c r="AB27" s="64" t="str">
        <f>IF(B27="","",VLOOKUP(AD27,Varsayımlar!$B:$Q,16,0))</f>
        <v>24-26 cm</v>
      </c>
      <c r="AC27" s="64" t="str">
        <f>IF(B27="","",VLOOKUP(Sayfa1!AD40,Varsayımlar!B:S,18,0))</f>
        <v>80x120cm</v>
      </c>
      <c r="AD27" s="57" t="str">
        <f t="shared" si="0"/>
        <v>UNITERA-KAZAKİSTANTortillas 25cm Tam Buğday 6pcs 390g</v>
      </c>
    </row>
    <row r="28" spans="1:30" ht="31.5" x14ac:dyDescent="0.25">
      <c r="A28" s="8" t="s">
        <v>141</v>
      </c>
      <c r="B28" s="64" t="s">
        <v>288</v>
      </c>
      <c r="C28" s="3">
        <f>IF(B28="","",VLOOKUP(AD28,Varsayımlar!$B:$Q,3,0))</f>
        <v>8698829380698</v>
      </c>
      <c r="D28" s="3"/>
      <c r="E28" s="64" t="s">
        <v>252</v>
      </c>
      <c r="F28" s="64">
        <v>20201016</v>
      </c>
      <c r="G28" s="3" t="s">
        <v>68</v>
      </c>
      <c r="H28" s="64" t="str">
        <f>IF(B28="","",VLOOKUP(AD28,Varsayımlar!$B:$Q,5,0))</f>
        <v>Tortillas 20cm Sade</v>
      </c>
      <c r="I28" s="64" t="str">
        <f>IF(B28="","",VLOOKUP(AD28,Varsayımlar!B:T,19,0))</f>
        <v>Arka kısma İçerik</v>
      </c>
      <c r="J28" s="64" t="str">
        <f>IF(B28="","",VLOOKUP(AD28,Varsayımlar!$B:$Q,6,0))</f>
        <v>SADE</v>
      </c>
      <c r="K28" s="64">
        <v>300</v>
      </c>
      <c r="L28" s="64"/>
      <c r="M28" s="64">
        <f>IFERROR(IF(B28="","",K28/VLOOKUP(AD28,Varsayımlar!B:R,17,0)),"")</f>
        <v>3</v>
      </c>
      <c r="N28" s="64"/>
      <c r="O28" s="64">
        <v>5</v>
      </c>
      <c r="P28" s="64">
        <f>IF(B28="","",VLOOKUP(AD28,Varsayımlar!$B:$Q,7,0)*K28)</f>
        <v>5400</v>
      </c>
      <c r="Q28" s="64">
        <f>IF(B28="","",VLOOKUP(AD28,Varsayımlar!$B:$Q,8,0))</f>
        <v>20</v>
      </c>
      <c r="R28" s="64" t="str">
        <f>IF(B28="","",VLOOKUP(AD28,Varsayımlar!$B:$Q,9,0))</f>
        <v>Irak Soft</v>
      </c>
      <c r="S28" s="64">
        <f>IF(B28="","",VLOOKUP(AD28,Varsayımlar!$B:$Q,10,0))</f>
        <v>6</v>
      </c>
      <c r="T28" s="64">
        <f>IF(B28="","",VLOOKUP(AD28,Varsayımlar!$B:$Q,11,0))</f>
        <v>18</v>
      </c>
      <c r="U28" s="64">
        <f>IF(B28="","",VLOOKUP(AD28,Varsayımlar!$B:$Q,12,0))</f>
        <v>270</v>
      </c>
      <c r="V28" s="64" t="str">
        <f>IF(B28="","",VLOOKUP(AD28,Varsayımlar!$B:$Q,13,0))</f>
        <v>YURTDIŞI</v>
      </c>
      <c r="W28" s="64">
        <f>IF(B28="","",VLOOKUP(AD28,Varsayımlar!$B:$Q,14,0))</f>
        <v>9</v>
      </c>
      <c r="X28" s="66">
        <v>46202</v>
      </c>
      <c r="Y28" s="66">
        <v>46475</v>
      </c>
      <c r="Z28" s="64">
        <v>26062920</v>
      </c>
      <c r="AA28" s="64" t="str">
        <f>IF(B28="","",VLOOKUP(AD28,Varsayımlar!$B:$Q,15,0))</f>
        <v>20cm Koli</v>
      </c>
      <c r="AB28" s="64" t="str">
        <f>IF(B28="","",VLOOKUP(AD28,Varsayımlar!$B:$Q,16,0))</f>
        <v>19-21cm</v>
      </c>
      <c r="AC28" s="64" t="str">
        <f>IF(B28="","",VLOOKUP(Sayfa1!AD41,Varsayımlar!B:S,18,0))</f>
        <v>80x120cm</v>
      </c>
      <c r="AD28" s="57" t="str">
        <f t="shared" si="0"/>
        <v>UNITERA-KAZAKİSTANTortillas 20cm Sade 6pcs 270g</v>
      </c>
    </row>
    <row r="29" spans="1:30" ht="31.5" x14ac:dyDescent="0.25">
      <c r="A29" s="8" t="s">
        <v>142</v>
      </c>
      <c r="B29" s="80" t="s">
        <v>218</v>
      </c>
      <c r="C29" s="44">
        <f>IF(B29="","",VLOOKUP(AD29,Varsayımlar!$B:$Q,3,0))</f>
        <v>8698829380698</v>
      </c>
      <c r="D29" s="44" t="s">
        <v>160</v>
      </c>
      <c r="E29" s="80" t="s">
        <v>229</v>
      </c>
      <c r="F29" s="80">
        <v>26042907</v>
      </c>
      <c r="G29" s="44"/>
      <c r="H29" s="80" t="str">
        <f>IF(B29="","",VLOOKUP(AD29,Varsayımlar!$B:$Q,5,0))</f>
        <v>Tortillas Avrupa 25cm Tam Buğday (711)</v>
      </c>
      <c r="I29" s="80">
        <f>IF(B29="","",VLOOKUP(AD29,Varsayımlar!B:T,19,0))</f>
        <v>0</v>
      </c>
      <c r="J29" s="80" t="str">
        <f>IF(B29="","",VLOOKUP(AD29,Varsayımlar!$B:$Q,6,0))</f>
        <v>Tam Buğdaylı</v>
      </c>
      <c r="K29" s="80">
        <v>840</v>
      </c>
      <c r="L29" s="80"/>
      <c r="M29" s="80">
        <f>IFERROR(IF(B29="","",K29/VLOOKUP(AD29,Varsayımlar!B:R,17,0)),"")</f>
        <v>7</v>
      </c>
      <c r="N29" s="80"/>
      <c r="O29" s="80">
        <v>9</v>
      </c>
      <c r="P29" s="80">
        <f>IF(B29="","",VLOOKUP(AD29,Varsayımlar!$B:$Q,7,0)*K29)</f>
        <v>6720</v>
      </c>
      <c r="Q29" s="80">
        <f>IF(B29="","",VLOOKUP(AD29,Varsayımlar!$B:$Q,8,0))</f>
        <v>25</v>
      </c>
      <c r="R29" s="80" t="str">
        <f>IF(B29="","",VLOOKUP(AD29,Varsayımlar!$B:$Q,9,0))</f>
        <v>Irak Soft</v>
      </c>
      <c r="S29" s="80">
        <f>IF(B29="","",VLOOKUP(AD29,Varsayımlar!$B:$Q,10,0))</f>
        <v>10</v>
      </c>
      <c r="T29" s="80">
        <f>IF(B29="","",VLOOKUP(AD29,Varsayımlar!$B:$Q,11,0))</f>
        <v>8</v>
      </c>
      <c r="U29" s="80">
        <f>IF(B29="","",VLOOKUP(AD29,Varsayımlar!$B:$Q,12,0))</f>
        <v>650</v>
      </c>
      <c r="V29" s="80" t="str">
        <f>IF(B29="","",VLOOKUP(AD29,Varsayımlar!$B:$Q,13,0))</f>
        <v>Yurtdışı</v>
      </c>
      <c r="W29" s="80">
        <f>IF(B29="","",VLOOKUP(AD29,Varsayımlar!$B:$Q,14,0))</f>
        <v>9</v>
      </c>
      <c r="X29" s="81">
        <v>46203</v>
      </c>
      <c r="Y29" s="81">
        <v>46476</v>
      </c>
      <c r="Z29" s="80" t="s">
        <v>379</v>
      </c>
      <c r="AA29" s="80" t="str">
        <f>IF(B29="","",VLOOKUP(AD29,Varsayımlar!$B:$Q,15,0))</f>
        <v>25cm Perforeli-Bulgarca TB etiket</v>
      </c>
      <c r="AB29" s="80" t="str">
        <f>IF(B29="","",VLOOKUP(AD29,Varsayımlar!$B:$Q,16,0))</f>
        <v>24-26 cm</v>
      </c>
      <c r="AC29" s="80" t="str">
        <f>IF(B29="","",VLOOKUP(Sayfa1!AD57,Varsayımlar!B:S,18,0))</f>
        <v>80x120cm -Epal+Epal</v>
      </c>
      <c r="AD29" s="57" t="str">
        <f t="shared" si="0"/>
        <v>TASTE LAND-BULGARİSTANTortillas 25cm Tam Buğday 10pcs 650g</v>
      </c>
    </row>
    <row r="30" spans="1:30" ht="47.25" x14ac:dyDescent="0.25">
      <c r="A30" s="8" t="s">
        <v>143</v>
      </c>
      <c r="B30" s="80" t="s">
        <v>218</v>
      </c>
      <c r="C30" s="44">
        <f>IF(B30="","",VLOOKUP(AD30,Varsayımlar!$B:$Q,3,0))</f>
        <v>8698829380698</v>
      </c>
      <c r="D30" s="44" t="s">
        <v>160</v>
      </c>
      <c r="E30" s="80" t="s">
        <v>232</v>
      </c>
      <c r="F30" s="80">
        <v>26042907</v>
      </c>
      <c r="G30" s="44"/>
      <c r="H30" s="80" t="str">
        <f>IF(B30="","",VLOOKUP(AD30,Varsayımlar!$B:$Q,5,0))</f>
        <v>Tortillas Avrupa 25cm Domatesli (074)</v>
      </c>
      <c r="I30" s="80">
        <f>IF(B30="","",VLOOKUP(AD30,Varsayımlar!B:T,19,0))</f>
        <v>0</v>
      </c>
      <c r="J30" s="80" t="str">
        <f>IF(B30="","",VLOOKUP(AD30,Varsayımlar!$B:$Q,6,0))</f>
        <v>Domatesli</v>
      </c>
      <c r="K30" s="80">
        <v>480</v>
      </c>
      <c r="L30" s="80"/>
      <c r="M30" s="80">
        <f>IFERROR(IF(B30="","",K30/VLOOKUP(AD30,Varsayımlar!B:R,17,0)),"")</f>
        <v>4</v>
      </c>
      <c r="N30" s="80"/>
      <c r="O30" s="80">
        <v>5</v>
      </c>
      <c r="P30" s="80">
        <f>IF(B30="","",VLOOKUP(AD30,Varsayımlar!$B:$Q,7,0)*K30)</f>
        <v>5760</v>
      </c>
      <c r="Q30" s="80">
        <f>IF(B30="","",VLOOKUP(AD30,Varsayımlar!$B:$Q,8,0))</f>
        <v>25</v>
      </c>
      <c r="R30" s="80" t="str">
        <f>IF(B30="","",VLOOKUP(AD30,Varsayımlar!$B:$Q,9,0))</f>
        <v>Irak Soft</v>
      </c>
      <c r="S30" s="80">
        <f>IF(B30="","",VLOOKUP(AD30,Varsayımlar!$B:$Q,10,0))</f>
        <v>6</v>
      </c>
      <c r="T30" s="80">
        <f>IF(B30="","",VLOOKUP(AD30,Varsayımlar!$B:$Q,11,0))</f>
        <v>12</v>
      </c>
      <c r="U30" s="80">
        <f>IF(B30="","",VLOOKUP(AD30,Varsayımlar!$B:$Q,12,0))</f>
        <v>390</v>
      </c>
      <c r="V30" s="80" t="str">
        <f>IF(B30="","",VLOOKUP(AD30,Varsayımlar!$B:$Q,13,0))</f>
        <v>Yurtdışı</v>
      </c>
      <c r="W30" s="80">
        <f>IF(B30="","",VLOOKUP(AD30,Varsayımlar!$B:$Q,14,0))</f>
        <v>9</v>
      </c>
      <c r="X30" s="81">
        <v>46203</v>
      </c>
      <c r="Y30" s="81">
        <v>46476</v>
      </c>
      <c r="Z30" s="80" t="s">
        <v>380</v>
      </c>
      <c r="AA30" s="80" t="str">
        <f>IF(B30="","",VLOOKUP(AD30,Varsayımlar!$B:$Q,15,0))</f>
        <v>25cm Perforeli-Bulgarca Domatesli etiket</v>
      </c>
      <c r="AB30" s="80" t="str">
        <f>IF(B30="","",VLOOKUP(AD30,Varsayımlar!$B:$Q,16,0))</f>
        <v>24-26 cm</v>
      </c>
      <c r="AC30" s="80" t="str">
        <f>IF(B30="","",VLOOKUP(Sayfa1!AD58,Varsayımlar!B:S,18,0))</f>
        <v>80x120cm -Epal+Epal</v>
      </c>
      <c r="AD30" s="57" t="str">
        <f t="shared" si="0"/>
        <v>TASTE LAND-BULGARİSTANTortillas 25cm Domatesli 6pcs 390g</v>
      </c>
    </row>
    <row r="31" spans="1:30" ht="47.25" x14ac:dyDescent="0.25">
      <c r="A31" s="8" t="s">
        <v>144</v>
      </c>
      <c r="B31" s="80" t="s">
        <v>218</v>
      </c>
      <c r="C31" s="44">
        <f>IF(B31="","",VLOOKUP(AD31,Varsayımlar!$B:$Q,3,0))</f>
        <v>8698829380698</v>
      </c>
      <c r="D31" s="44" t="s">
        <v>160</v>
      </c>
      <c r="E31" s="80" t="s">
        <v>235</v>
      </c>
      <c r="F31" s="80">
        <v>26042907</v>
      </c>
      <c r="G31" s="44"/>
      <c r="H31" s="80" t="str">
        <f>IF(B31="","",VLOOKUP(AD31,Varsayımlar!$B:$Q,5,0))</f>
        <v>Tortillas Avrupa 25cm Ispanaklı (081)</v>
      </c>
      <c r="I31" s="80">
        <f>IF(B31="","",VLOOKUP(AD31,Varsayımlar!B:T,19,0))</f>
        <v>0</v>
      </c>
      <c r="J31" s="80" t="str">
        <f>IF(B31="","",VLOOKUP(AD31,Varsayımlar!$B:$Q,6,0))</f>
        <v>Ispanaklı</v>
      </c>
      <c r="K31" s="80">
        <v>480</v>
      </c>
      <c r="L31" s="80"/>
      <c r="M31" s="80">
        <f>IFERROR(IF(B31="","",K31/VLOOKUP(AD31,Varsayımlar!B:R,17,0)),"")</f>
        <v>4</v>
      </c>
      <c r="N31" s="80"/>
      <c r="O31" s="80">
        <v>5</v>
      </c>
      <c r="P31" s="80">
        <f>IF(B31="","",VLOOKUP(AD31,Varsayımlar!$B:$Q,7,0)*K31)</f>
        <v>5760</v>
      </c>
      <c r="Q31" s="80">
        <f>IF(B31="","",VLOOKUP(AD31,Varsayımlar!$B:$Q,8,0))</f>
        <v>25</v>
      </c>
      <c r="R31" s="80" t="str">
        <f>IF(B31="","",VLOOKUP(AD31,Varsayımlar!$B:$Q,9,0))</f>
        <v>Irak Soft</v>
      </c>
      <c r="S31" s="80">
        <f>IF(B31="","",VLOOKUP(AD31,Varsayımlar!$B:$Q,10,0))</f>
        <v>6</v>
      </c>
      <c r="T31" s="80">
        <f>IF(B31="","",VLOOKUP(AD31,Varsayımlar!$B:$Q,11,0))</f>
        <v>12</v>
      </c>
      <c r="U31" s="80">
        <f>IF(B31="","",VLOOKUP(AD31,Varsayımlar!$B:$Q,12,0))</f>
        <v>390</v>
      </c>
      <c r="V31" s="80" t="str">
        <f>IF(B31="","",VLOOKUP(AD31,Varsayımlar!$B:$Q,13,0))</f>
        <v>Yurtdışı</v>
      </c>
      <c r="W31" s="80">
        <f>IF(B31="","",VLOOKUP(AD31,Varsayımlar!$B:$Q,14,0))</f>
        <v>9</v>
      </c>
      <c r="X31" s="81">
        <v>46203</v>
      </c>
      <c r="Y31" s="81">
        <v>46476</v>
      </c>
      <c r="Z31" s="80" t="s">
        <v>381</v>
      </c>
      <c r="AA31" s="80" t="str">
        <f>IF(B31="","",VLOOKUP(AD31,Varsayımlar!$B:$Q,15,0))</f>
        <v>25cm Perforeli-Bulgarca Ispanaklı etiket</v>
      </c>
      <c r="AB31" s="80" t="str">
        <f>IF(B31="","",VLOOKUP(AD31,Varsayımlar!$B:$Q,16,0))</f>
        <v>24-26 cm</v>
      </c>
      <c r="AC31" s="80" t="str">
        <f>IF(B31="","",VLOOKUP(Sayfa1!AD59,Varsayımlar!B:S,18,0))</f>
        <v>80x120cm -Epal+Epal</v>
      </c>
      <c r="AD31" s="57" t="str">
        <f t="shared" si="0"/>
        <v>TASTE LAND-BULGARİSTANTortillas 25cm Ispanaklı 6pcs 390g</v>
      </c>
    </row>
    <row r="32" spans="1:30" ht="47.25" x14ac:dyDescent="0.25">
      <c r="A32" s="8" t="s">
        <v>145</v>
      </c>
      <c r="B32" s="80" t="s">
        <v>218</v>
      </c>
      <c r="C32" s="44">
        <f>IF(B32="","",VLOOKUP(AD32,Varsayımlar!$B:$Q,3,0))</f>
        <v>8698829380698</v>
      </c>
      <c r="D32" s="44" t="s">
        <v>160</v>
      </c>
      <c r="E32" s="80" t="s">
        <v>240</v>
      </c>
      <c r="F32" s="80">
        <v>26042907</v>
      </c>
      <c r="G32" s="44"/>
      <c r="H32" s="80" t="str">
        <f>IF(B32="","",VLOOKUP(AD32,Varsayımlar!$B:$Q,5,0))</f>
        <v>Tortillas Avrupa 25cm Peynirli (098)</v>
      </c>
      <c r="I32" s="80">
        <f>IF(B32="","",VLOOKUP(AD32,Varsayımlar!B:T,19,0))</f>
        <v>0</v>
      </c>
      <c r="J32" s="80" t="str">
        <f>IF(B32="","",VLOOKUP(AD32,Varsayımlar!$B:$Q,6,0))</f>
        <v>Peynirli</v>
      </c>
      <c r="K32" s="80">
        <v>360</v>
      </c>
      <c r="L32" s="80"/>
      <c r="M32" s="80">
        <f>IFERROR(IF(B32="","",K32/VLOOKUP(AD32,Varsayımlar!B:R,17,0)),"")</f>
        <v>3</v>
      </c>
      <c r="N32" s="80"/>
      <c r="O32" s="80">
        <v>4</v>
      </c>
      <c r="P32" s="80">
        <f>IF(B32="","",VLOOKUP(AD32,Varsayımlar!$B:$Q,7,0)*K32)</f>
        <v>4320</v>
      </c>
      <c r="Q32" s="80">
        <f>IF(B32="","",VLOOKUP(AD32,Varsayımlar!$B:$Q,8,0))</f>
        <v>25</v>
      </c>
      <c r="R32" s="80" t="str">
        <f>IF(B32="","",VLOOKUP(AD32,Varsayımlar!$B:$Q,9,0))</f>
        <v>Irak Soft-AT</v>
      </c>
      <c r="S32" s="80">
        <f>IF(B32="","",VLOOKUP(AD32,Varsayımlar!$B:$Q,10,0))</f>
        <v>6</v>
      </c>
      <c r="T32" s="80">
        <f>IF(B32="","",VLOOKUP(AD32,Varsayımlar!$B:$Q,11,0))</f>
        <v>12</v>
      </c>
      <c r="U32" s="80">
        <f>IF(B32="","",VLOOKUP(AD32,Varsayımlar!$B:$Q,12,0))</f>
        <v>390</v>
      </c>
      <c r="V32" s="80" t="str">
        <f>IF(B32="","",VLOOKUP(AD32,Varsayımlar!$B:$Q,13,0))</f>
        <v>Yurtdışı</v>
      </c>
      <c r="W32" s="80">
        <f>IF(B32="","",VLOOKUP(AD32,Varsayımlar!$B:$Q,14,0))</f>
        <v>9</v>
      </c>
      <c r="X32" s="81">
        <v>46203</v>
      </c>
      <c r="Y32" s="81">
        <v>46476</v>
      </c>
      <c r="Z32" s="80" t="s">
        <v>382</v>
      </c>
      <c r="AA32" s="80" t="str">
        <f>IF(B32="","",VLOOKUP(AD32,Varsayımlar!$B:$Q,15,0))</f>
        <v>25cm Perforeli-Bulgarca Peynirli etiket</v>
      </c>
      <c r="AB32" s="80" t="str">
        <f>IF(B32="","",VLOOKUP(AD32,Varsayımlar!$B:$Q,16,0))</f>
        <v>24-26 cm</v>
      </c>
      <c r="AC32" s="80" t="str">
        <f>IF(B32="","",VLOOKUP(Sayfa1!AD60,Varsayımlar!B:S,18,0))</f>
        <v>80x120cm -Epal+Epal</v>
      </c>
      <c r="AD32" s="57" t="str">
        <f t="shared" si="0"/>
        <v>TASTE LAND-BULGARİSTANTortillas 25cm Peynirli 6pcs 390g</v>
      </c>
    </row>
    <row r="33" spans="1:30" ht="47.25" x14ac:dyDescent="0.25">
      <c r="A33" s="8" t="s">
        <v>146</v>
      </c>
      <c r="B33" s="54" t="s">
        <v>268</v>
      </c>
      <c r="C33" s="39">
        <f>IF(B33="","",VLOOKUP(AD33,Varsayımlar!$B:$Q,3,0))</f>
        <v>8698829380698</v>
      </c>
      <c r="D33" s="39" t="s">
        <v>160</v>
      </c>
      <c r="E33" s="54" t="s">
        <v>269</v>
      </c>
      <c r="F33" s="54" t="s">
        <v>343</v>
      </c>
      <c r="G33" s="39" t="s">
        <v>68</v>
      </c>
      <c r="H33" s="54" t="str">
        <f>IF(B33="","",VLOOKUP(AD33,Varsayımlar!$B:$Q,5,0))</f>
        <v>Tortillas 25cm Tam Buğday</v>
      </c>
      <c r="I33" s="54">
        <f>IF(B33="","",VLOOKUP(AD33,Varsayımlar!B:T,19,0))</f>
        <v>0</v>
      </c>
      <c r="J33" s="54" t="str">
        <f>IF(B33="","",VLOOKUP(AD33,Varsayımlar!$B:$Q,6,0))</f>
        <v>Tam Buğdaylı</v>
      </c>
      <c r="K33" s="54">
        <v>336</v>
      </c>
      <c r="L33" s="54"/>
      <c r="M33" s="54">
        <f>IFERROR(IF(B33="","",K33/VLOOKUP(AD33,Varsayımlar!B:R,17,0)),"")</f>
        <v>4</v>
      </c>
      <c r="N33" s="54"/>
      <c r="O33" s="54">
        <v>6</v>
      </c>
      <c r="P33" s="54">
        <f>IF(B33="","",VLOOKUP(AD33,Varsayımlar!$B:$Q,7,0)*K33)</f>
        <v>10080</v>
      </c>
      <c r="Q33" s="54">
        <f>IF(B33="","",VLOOKUP(AD33,Varsayımlar!$B:$Q,8,0))</f>
        <v>25</v>
      </c>
      <c r="R33" s="54" t="str">
        <f>IF(B33="","",VLOOKUP(AD33,Varsayımlar!$B:$Q,9,0))</f>
        <v>Soft-PA3</v>
      </c>
      <c r="S33" s="54">
        <f>IF(B33="","",VLOOKUP(AD33,Varsayımlar!$B:$Q,10,0))</f>
        <v>4</v>
      </c>
      <c r="T33" s="54">
        <f>IF(B33="","",VLOOKUP(AD33,Varsayımlar!$B:$Q,11,0))</f>
        <v>30</v>
      </c>
      <c r="U33" s="54">
        <f>IF(B33="","",VLOOKUP(AD33,Varsayımlar!$B:$Q,12,0))</f>
        <v>240</v>
      </c>
      <c r="V33" s="54" t="str">
        <f>IF(B33="","",VLOOKUP(AD33,Varsayımlar!$B:$Q,13,0))</f>
        <v>Yurtdışı</v>
      </c>
      <c r="W33" s="54">
        <f>IF(B33="","",VLOOKUP(AD33,Varsayımlar!$B:$Q,14,0))</f>
        <v>12</v>
      </c>
      <c r="X33" s="56">
        <v>46205</v>
      </c>
      <c r="Y33" s="56">
        <v>46570</v>
      </c>
      <c r="Z33" s="54" t="s">
        <v>383</v>
      </c>
      <c r="AA33" s="54" t="str">
        <f>IF(B33="","",VLOOKUP(AD33,Varsayımlar!$B:$Q,15,0))</f>
        <v>25cm Kolisi-Etiketli</v>
      </c>
      <c r="AB33" s="54" t="str">
        <f>IF(B33="","",VLOOKUP(AD33,Varsayımlar!$B:$Q,16,0))</f>
        <v>24-26 cm (Macca Hetto Inkjet Uzun Tarih)</v>
      </c>
      <c r="AC33" s="54" t="str">
        <f>IF(B33="","",VLOOKUP(Sayfa1!AD36,Varsayımlar!B:S,18,0))</f>
        <v>80x120cm</v>
      </c>
      <c r="AD33" s="57" t="str">
        <f t="shared" si="0"/>
        <v>LAIKYUZHN-BELARUSTortillas 25cm Tam buğday 4pcs 240g</v>
      </c>
    </row>
    <row r="34" spans="1:30" ht="47.25" x14ac:dyDescent="0.25">
      <c r="A34" s="8" t="s">
        <v>147</v>
      </c>
      <c r="B34" s="54" t="s">
        <v>268</v>
      </c>
      <c r="C34" s="39">
        <f>IF(B34="","",VLOOKUP(AD34,Varsayımlar!$B:$Q,3,0))</f>
        <v>8698829380698</v>
      </c>
      <c r="D34" s="39" t="s">
        <v>160</v>
      </c>
      <c r="E34" s="54" t="s">
        <v>274</v>
      </c>
      <c r="F34" s="54" t="s">
        <v>343</v>
      </c>
      <c r="G34" s="39" t="s">
        <v>68</v>
      </c>
      <c r="H34" s="54" t="str">
        <f>IF(B34="","",VLOOKUP(AD34,Varsayımlar!$B:$Q,5,0))</f>
        <v>Tortillas 25cm Domatesli</v>
      </c>
      <c r="I34" s="54">
        <f>IF(B34="","",VLOOKUP(AD34,Varsayımlar!B:T,19,0))</f>
        <v>0</v>
      </c>
      <c r="J34" s="54" t="str">
        <f>IF(B34="","",VLOOKUP(AD34,Varsayımlar!$B:$Q,6,0))</f>
        <v>Domatesli</v>
      </c>
      <c r="K34" s="54">
        <v>420</v>
      </c>
      <c r="L34" s="54"/>
      <c r="M34" s="54">
        <f>IFERROR(IF(B34="","",K34/VLOOKUP(AD34,Varsayımlar!B:R,17,0)),"")</f>
        <v>5</v>
      </c>
      <c r="N34" s="54"/>
      <c r="O34" s="54">
        <v>7</v>
      </c>
      <c r="P34" s="54">
        <f>IF(B34="","",VLOOKUP(AD34,Varsayımlar!$B:$Q,7,0)*K34)</f>
        <v>12600</v>
      </c>
      <c r="Q34" s="54">
        <f>IF(B34="","",VLOOKUP(AD34,Varsayımlar!$B:$Q,8,0))</f>
        <v>25</v>
      </c>
      <c r="R34" s="54" t="str">
        <f>IF(B34="","",VLOOKUP(AD34,Varsayımlar!$B:$Q,9,0))</f>
        <v>Soft-PA3</v>
      </c>
      <c r="S34" s="54">
        <f>IF(B34="","",VLOOKUP(AD34,Varsayımlar!$B:$Q,10,0))</f>
        <v>4</v>
      </c>
      <c r="T34" s="54">
        <f>IF(B34="","",VLOOKUP(AD34,Varsayımlar!$B:$Q,11,0))</f>
        <v>30</v>
      </c>
      <c r="U34" s="54">
        <f>IF(B34="","",VLOOKUP(AD34,Varsayımlar!$B:$Q,12,0))</f>
        <v>240</v>
      </c>
      <c r="V34" s="54" t="str">
        <f>IF(B34="","",VLOOKUP(AD34,Varsayımlar!$B:$Q,13,0))</f>
        <v>Yurtdışı</v>
      </c>
      <c r="W34" s="54">
        <f>IF(B34="","",VLOOKUP(AD34,Varsayımlar!$B:$Q,14,0))</f>
        <v>12</v>
      </c>
      <c r="X34" s="56">
        <v>46205</v>
      </c>
      <c r="Y34" s="56">
        <v>46570</v>
      </c>
      <c r="Z34" s="54" t="s">
        <v>384</v>
      </c>
      <c r="AA34" s="54" t="str">
        <f>IF(B34="","",VLOOKUP(AD34,Varsayımlar!$B:$Q,15,0))</f>
        <v>25cm Kolisi-Etiketli</v>
      </c>
      <c r="AB34" s="54" t="str">
        <f>IF(B34="","",VLOOKUP(AD34,Varsayımlar!$B:$Q,16,0))</f>
        <v>24-26 cm (Macca Hetto Inkjet Uzun Tarih)</v>
      </c>
      <c r="AC34" s="54" t="str">
        <f>IF(B34="","",VLOOKUP(Sayfa1!AD37,Varsayımlar!B:S,18,0))</f>
        <v>80x120cm</v>
      </c>
      <c r="AD34" s="57" t="str">
        <f t="shared" si="0"/>
        <v>LAIKYUZHN-BELARUSTortillas 25cm Domatesli 4pcs 240g</v>
      </c>
    </row>
    <row r="35" spans="1:30" ht="47.25" x14ac:dyDescent="0.25">
      <c r="A35" s="8" t="s">
        <v>148</v>
      </c>
      <c r="B35" s="54" t="s">
        <v>268</v>
      </c>
      <c r="C35" s="39">
        <f>IF(B35="","",VLOOKUP(AD35,Varsayımlar!$B:$Q,3,0))</f>
        <v>8698829380698</v>
      </c>
      <c r="D35" s="39" t="s">
        <v>160</v>
      </c>
      <c r="E35" s="54" t="s">
        <v>276</v>
      </c>
      <c r="F35" s="54" t="s">
        <v>343</v>
      </c>
      <c r="G35" s="39" t="s">
        <v>68</v>
      </c>
      <c r="H35" s="54" t="str">
        <f>IF(B35="","",VLOOKUP(AD35,Varsayımlar!$B:$Q,5,0))</f>
        <v>Tortillas 25cm Ispanaklı</v>
      </c>
      <c r="I35" s="54">
        <f>IF(B35="","",VLOOKUP(AD35,Varsayımlar!B:T,19,0))</f>
        <v>0</v>
      </c>
      <c r="J35" s="54" t="str">
        <f>IF(B35="","",VLOOKUP(AD35,Varsayımlar!$B:$Q,6,0))</f>
        <v>Ispanaklı</v>
      </c>
      <c r="K35" s="54">
        <v>336</v>
      </c>
      <c r="L35" s="54"/>
      <c r="M35" s="54">
        <f>IFERROR(IF(B35="","",K35/VLOOKUP(AD35,Varsayımlar!B:R,17,0)),"")</f>
        <v>4</v>
      </c>
      <c r="N35" s="54"/>
      <c r="O35" s="54">
        <v>6</v>
      </c>
      <c r="P35" s="54">
        <f>IF(B35="","",VLOOKUP(AD35,Varsayımlar!$B:$Q,7,0)*K35)</f>
        <v>10080</v>
      </c>
      <c r="Q35" s="54">
        <f>IF(B35="","",VLOOKUP(AD35,Varsayımlar!$B:$Q,8,0))</f>
        <v>25</v>
      </c>
      <c r="R35" s="54" t="str">
        <f>IF(B35="","",VLOOKUP(AD35,Varsayımlar!$B:$Q,9,0))</f>
        <v>Soft-PA3</v>
      </c>
      <c r="S35" s="54">
        <f>IF(B35="","",VLOOKUP(AD35,Varsayımlar!$B:$Q,10,0))</f>
        <v>4</v>
      </c>
      <c r="T35" s="54">
        <f>IF(B35="","",VLOOKUP(AD35,Varsayımlar!$B:$Q,11,0))</f>
        <v>30</v>
      </c>
      <c r="U35" s="54">
        <f>IF(B35="","",VLOOKUP(AD35,Varsayımlar!$B:$Q,12,0))</f>
        <v>240</v>
      </c>
      <c r="V35" s="54" t="str">
        <f>IF(B35="","",VLOOKUP(AD35,Varsayımlar!$B:$Q,13,0))</f>
        <v>Yurtdışı</v>
      </c>
      <c r="W35" s="54">
        <f>IF(B35="","",VLOOKUP(AD35,Varsayımlar!$B:$Q,14,0))</f>
        <v>12</v>
      </c>
      <c r="X35" s="56">
        <v>46205</v>
      </c>
      <c r="Y35" s="56">
        <v>46570</v>
      </c>
      <c r="Z35" s="54" t="s">
        <v>385</v>
      </c>
      <c r="AA35" s="54" t="str">
        <f>IF(B35="","",VLOOKUP(AD35,Varsayımlar!$B:$Q,15,0))</f>
        <v>25cm Kolisi-Etiketli</v>
      </c>
      <c r="AB35" s="54" t="str">
        <f>IF(B35="","",VLOOKUP(AD35,Varsayımlar!$B:$Q,16,0))</f>
        <v>24-26 cm (Macca Hetto Inkjet Uzun Tarih)</v>
      </c>
      <c r="AC35" s="54" t="str">
        <f>IF(B35="","",VLOOKUP(Sayfa1!AD38,Varsayımlar!B:S,18,0))</f>
        <v>80x120cm</v>
      </c>
      <c r="AD35" s="57" t="str">
        <f t="shared" si="0"/>
        <v>LAIKYUZHN-BELARUSTortillas 25cm Ispanaklı 4pcs 240g</v>
      </c>
    </row>
    <row r="36" spans="1:30" ht="47.25" x14ac:dyDescent="0.25">
      <c r="A36" s="8" t="s">
        <v>149</v>
      </c>
      <c r="B36" s="54" t="s">
        <v>268</v>
      </c>
      <c r="C36" s="39">
        <f>IF(B36="","",VLOOKUP(AD36,Varsayımlar!$B:$Q,3,0))</f>
        <v>8698829380698</v>
      </c>
      <c r="D36" s="39" t="s">
        <v>160</v>
      </c>
      <c r="E36" s="54" t="s">
        <v>278</v>
      </c>
      <c r="F36" s="54" t="s">
        <v>343</v>
      </c>
      <c r="G36" s="39" t="s">
        <v>68</v>
      </c>
      <c r="H36" s="54" t="str">
        <f>IF(B36="","",VLOOKUP(AD36,Varsayımlar!$B:$Q,5,0))</f>
        <v>Magnit Tortillas 25cm Peynirli</v>
      </c>
      <c r="I36" s="54" t="str">
        <f>IF(B36="","",VLOOKUP(AD36,Varsayımlar!B:T,19,0))</f>
        <v>Etiketli</v>
      </c>
      <c r="J36" s="54" t="str">
        <f>IF(B36="","",VLOOKUP(AD36,Varsayımlar!$B:$Q,6,0))</f>
        <v>Peynirli</v>
      </c>
      <c r="K36" s="54">
        <v>504</v>
      </c>
      <c r="L36" s="54"/>
      <c r="M36" s="54">
        <f>IFERROR(IF(B36="","",K36/VLOOKUP(AD36,Varsayımlar!B:R,17,0)),"")</f>
        <v>6</v>
      </c>
      <c r="N36" s="54"/>
      <c r="O36" s="54">
        <v>9</v>
      </c>
      <c r="P36" s="54">
        <f>IF(B36="","",VLOOKUP(AD36,Varsayımlar!$B:$Q,7,0)*K36)</f>
        <v>15120</v>
      </c>
      <c r="Q36" s="54">
        <f>IF(B36="","",VLOOKUP(AD36,Varsayımlar!$B:$Q,8,0))</f>
        <v>25</v>
      </c>
      <c r="R36" s="54" t="str">
        <f>IF(B36="","",VLOOKUP(AD36,Varsayımlar!$B:$Q,9,0))</f>
        <v>Soft-PA3-AT</v>
      </c>
      <c r="S36" s="54">
        <f>IF(B36="","",VLOOKUP(AD36,Varsayımlar!$B:$Q,10,0))</f>
        <v>4</v>
      </c>
      <c r="T36" s="54">
        <f>IF(B36="","",VLOOKUP(AD36,Varsayımlar!$B:$Q,11,0))</f>
        <v>30</v>
      </c>
      <c r="U36" s="54">
        <f>IF(B36="","",VLOOKUP(AD36,Varsayımlar!$B:$Q,12,0))</f>
        <v>250</v>
      </c>
      <c r="V36" s="54" t="str">
        <f>IF(B36="","",VLOOKUP(AD36,Varsayımlar!$B:$Q,13,0))</f>
        <v>Yurtdışı</v>
      </c>
      <c r="W36" s="54">
        <f>IF(B36="","",VLOOKUP(AD36,Varsayımlar!$B:$Q,14,0))</f>
        <v>9</v>
      </c>
      <c r="X36" s="56">
        <v>46205</v>
      </c>
      <c r="Y36" s="56">
        <v>46479</v>
      </c>
      <c r="Z36" s="54" t="s">
        <v>386</v>
      </c>
      <c r="AA36" s="54" t="str">
        <f>IF(B36="","",VLOOKUP(AD36,Varsayımlar!$B:$Q,15,0))</f>
        <v>25cm Kolisi-Etiketli</v>
      </c>
      <c r="AB36" s="54" t="str">
        <f>IF(B36="","",VLOOKUP(AD36,Varsayımlar!$B:$Q,16,0))</f>
        <v>24-26 cm (Macca Hetto Inkjet Uzun Tarih)</v>
      </c>
      <c r="AC36" s="54" t="str">
        <f>IF(B36="","",VLOOKUP(Sayfa1!AD39,Varsayımlar!B:S,18,0))</f>
        <v>80x120cm</v>
      </c>
      <c r="AD36" s="57" t="str">
        <f t="shared" si="0"/>
        <v>LAIKYUZHN-BELARUSMagnit Tortillas 25cm Peynirli 4pcs 240g</v>
      </c>
    </row>
    <row r="37" spans="1:30" ht="47.25" x14ac:dyDescent="0.25">
      <c r="A37" s="8" t="s">
        <v>150</v>
      </c>
      <c r="B37" s="75" t="s">
        <v>218</v>
      </c>
      <c r="C37" s="43">
        <f>IF(B37="","",VLOOKUP(AD37,Varsayımlar!$B:$Q,3,0))</f>
        <v>8698829380698</v>
      </c>
      <c r="D37" s="43" t="s">
        <v>161</v>
      </c>
      <c r="E37" s="75" t="s">
        <v>252</v>
      </c>
      <c r="F37" s="75" t="s">
        <v>341</v>
      </c>
      <c r="G37" s="43"/>
      <c r="H37" s="75" t="str">
        <f>IF(B37="","",VLOOKUP(AD37,Varsayımlar!$B:$Q,5,0))</f>
        <v xml:space="preserve">Tortillas 20cm Sade </v>
      </c>
      <c r="I37" s="75" t="str">
        <f>IF(B37="","",VLOOKUP(AD37,Varsayımlar!B:T,19,0))</f>
        <v>Barkod üzerine Barkod Etiketi (104)</v>
      </c>
      <c r="J37" s="75" t="str">
        <f>IF(B37="","",VLOOKUP(AD37,Varsayımlar!$B:$Q,6,0))</f>
        <v>SADE</v>
      </c>
      <c r="K37" s="75">
        <v>120</v>
      </c>
      <c r="L37" s="75"/>
      <c r="M37" s="75">
        <f>IFERROR(IF(B37="","",K37/VLOOKUP(AD37,Varsayımlar!B:R,17,0)),"")</f>
        <v>1</v>
      </c>
      <c r="N37" s="75"/>
      <c r="O37" s="75">
        <v>2</v>
      </c>
      <c r="P37" s="75">
        <f>IF(B37="","",VLOOKUP(AD37,Varsayımlar!$B:$Q,7,0)*K37)</f>
        <v>2160</v>
      </c>
      <c r="Q37" s="75">
        <f>IF(B37="","",VLOOKUP(AD37,Varsayımlar!$B:$Q,8,0))</f>
        <v>20</v>
      </c>
      <c r="R37" s="75" t="str">
        <f>IF(B37="","",VLOOKUP(AD37,Varsayımlar!$B:$Q,9,0))</f>
        <v>Irak Soft</v>
      </c>
      <c r="S37" s="75">
        <f>IF(B37="","",VLOOKUP(AD37,Varsayımlar!$B:$Q,10,0))</f>
        <v>6</v>
      </c>
      <c r="T37" s="75">
        <f>IF(B37="","",VLOOKUP(AD37,Varsayımlar!$B:$Q,11,0))</f>
        <v>18</v>
      </c>
      <c r="U37" s="75">
        <f>IF(B37="","",VLOOKUP(AD37,Varsayımlar!$B:$Q,12,0))</f>
        <v>270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/>
      <c r="Y37" s="76"/>
      <c r="Z37" s="75"/>
      <c r="AA37" s="75" t="str">
        <f>IF(B37="","",VLOOKUP(AD37,Varsayımlar!$B:$Q,15,0))</f>
        <v>20cm Lacivert-Bulgarca Etiket</v>
      </c>
      <c r="AB37" s="75" t="str">
        <f>IF(B37="","",VLOOKUP(AD37,Varsayımlar!$B:$Q,16,0))</f>
        <v>19-21 cm</v>
      </c>
      <c r="AC37" s="75" t="str">
        <f>IF(B37="","",VLOOKUP(Sayfa1!AD21,Varsayımlar!B:S,18,0))</f>
        <v>100x120cm-Epal+Epal</v>
      </c>
      <c r="AD37" s="57" t="str">
        <f t="shared" si="0"/>
        <v>TASTE LAND-BULGARİSTANTortillas 20cm Sade 6pcs 270g</v>
      </c>
    </row>
    <row r="38" spans="1:30" ht="78.75" x14ac:dyDescent="0.25">
      <c r="A38" s="8" t="s">
        <v>151</v>
      </c>
      <c r="B38" s="75" t="s">
        <v>218</v>
      </c>
      <c r="C38" s="43">
        <f>IF(B38="","",VLOOKUP(AD38,Varsayımlar!$B:$Q,3,0))</f>
        <v>8698829380698</v>
      </c>
      <c r="D38" s="43" t="s">
        <v>161</v>
      </c>
      <c r="E38" s="75" t="s">
        <v>222</v>
      </c>
      <c r="F38" s="75" t="s">
        <v>341</v>
      </c>
      <c r="G38" s="43"/>
      <c r="H38" s="75" t="str">
        <f>IF(B38="","",VLOOKUP(AD38,Varsayımlar!$B:$Q,5,0))</f>
        <v xml:space="preserve">Tortillas 30cm Tam Buğday </v>
      </c>
      <c r="I38" s="75" t="str">
        <f>IF(B38="","",VLOOKUP(AD38,Varsayımlar!B:T,19,0))</f>
        <v>Barkod üzerine-Bulgarca Barkodlu TB içerik etiketi (029)</v>
      </c>
      <c r="J38" s="75" t="str">
        <f>IF(B38="","",VLOOKUP(AD38,Varsayımlar!$B:$Q,6,0))</f>
        <v>Tam Buğdaylı</v>
      </c>
      <c r="K38" s="75">
        <v>60</v>
      </c>
      <c r="L38" s="75"/>
      <c r="M38" s="75">
        <f>IFERROR(IF(B38="","",K38/VLOOKUP(AD38,Varsayımlar!B:R,17,0)),"")</f>
        <v>1</v>
      </c>
      <c r="N38" s="75"/>
      <c r="O38" s="75">
        <v>1</v>
      </c>
      <c r="P38" s="75">
        <f>IF(B38="","",VLOOKUP(AD38,Varsayımlar!$B:$Q,7,0)*K38)</f>
        <v>360</v>
      </c>
      <c r="Q38" s="75">
        <f>IF(B38="","",VLOOKUP(AD38,Varsayımlar!$B:$Q,8,0))</f>
        <v>30</v>
      </c>
      <c r="R38" s="75" t="str">
        <f>IF(B38="","",VLOOKUP(AD38,Varsayımlar!$B:$Q,9,0))</f>
        <v>Irak Soft</v>
      </c>
      <c r="S38" s="75">
        <f>IF(B38="","",VLOOKUP(AD38,Varsayımlar!$B:$Q,10,0))</f>
        <v>18</v>
      </c>
      <c r="T38" s="75">
        <f>IF(B38="","",VLOOKUP(AD38,Varsayımlar!$B:$Q,11,0))</f>
        <v>6</v>
      </c>
      <c r="U38" s="75">
        <f>IF(B38="","",VLOOKUP(AD38,Varsayımlar!$B:$Q,12,0))</f>
        <v>1620</v>
      </c>
      <c r="V38" s="75" t="str">
        <f>IF(B38="","",VLOOKUP(AD38,Varsayımlar!$B:$Q,13,0))</f>
        <v>Yurtdışı</v>
      </c>
      <c r="W38" s="75">
        <f>IF(B38="","",VLOOKUP(AD38,Varsayımlar!$B:$Q,14,0))</f>
        <v>9</v>
      </c>
      <c r="X38" s="76"/>
      <c r="Y38" s="76"/>
      <c r="Z38" s="75"/>
      <c r="AA38" s="75" t="str">
        <f>IF(B38="","",VLOOKUP(AD38,Varsayımlar!$B:$Q,15,0))</f>
        <v>30cm Lacivert Koli- Bulgarca TB Etiket</v>
      </c>
      <c r="AB38" s="75" t="str">
        <f>IF(B38="","",VLOOKUP(AD38,Varsayımlar!$B:$Q,16,0))</f>
        <v>29-31 cm</v>
      </c>
      <c r="AC38" s="75" t="str">
        <f>IF(B38="","",VLOOKUP(Sayfa1!AD20,Varsayımlar!B:S,18,0))</f>
        <v>95x130cm</v>
      </c>
      <c r="AD38" s="57" t="str">
        <f t="shared" si="0"/>
        <v>TASTE LAND-BULGARİSTANTortillas 30cm Tam Buğday 18pcs 1620g</v>
      </c>
    </row>
    <row r="39" spans="1:30" ht="31.5" x14ac:dyDescent="0.25">
      <c r="A39" s="8" t="s">
        <v>152</v>
      </c>
      <c r="B39" s="75" t="s">
        <v>218</v>
      </c>
      <c r="C39" s="43">
        <f>IF(B39="","",VLOOKUP(AD39,Varsayımlar!$B:$Q,3,0))</f>
        <v>8698829380698</v>
      </c>
      <c r="D39" s="43" t="s">
        <v>161</v>
      </c>
      <c r="E39" s="75" t="s">
        <v>229</v>
      </c>
      <c r="F39" s="75" t="s">
        <v>341</v>
      </c>
      <c r="G39" s="43"/>
      <c r="H39" s="75" t="str">
        <f>IF(B39="","",VLOOKUP(AD39,Varsayımlar!$B:$Q,5,0))</f>
        <v>Tortillas Avrupa 25cm Tam Buğday (711)</v>
      </c>
      <c r="I39" s="75">
        <f>IF(B39="","",VLOOKUP(AD39,Varsayımlar!B:T,19,0))</f>
        <v>0</v>
      </c>
      <c r="J39" s="75" t="str">
        <f>IF(B39="","",VLOOKUP(AD39,Varsayımlar!$B:$Q,6,0))</f>
        <v>Tam Buğdaylı</v>
      </c>
      <c r="K39" s="75">
        <v>840</v>
      </c>
      <c r="L39" s="75"/>
      <c r="M39" s="75">
        <f>IFERROR(IF(B39="","",K39/VLOOKUP(AD39,Varsayımlar!B:R,17,0)),"")</f>
        <v>7</v>
      </c>
      <c r="N39" s="75"/>
      <c r="O39" s="75">
        <v>9</v>
      </c>
      <c r="P39" s="75">
        <f>IF(B39="","",VLOOKUP(AD39,Varsayımlar!$B:$Q,7,0)*K39)</f>
        <v>6720</v>
      </c>
      <c r="Q39" s="75">
        <f>IF(B39="","",VLOOKUP(AD39,Varsayımlar!$B:$Q,8,0))</f>
        <v>25</v>
      </c>
      <c r="R39" s="75" t="str">
        <f>IF(B39="","",VLOOKUP(AD39,Varsayımlar!$B:$Q,9,0))</f>
        <v>Irak Soft</v>
      </c>
      <c r="S39" s="75">
        <f>IF(B39="","",VLOOKUP(AD39,Varsayımlar!$B:$Q,10,0))</f>
        <v>10</v>
      </c>
      <c r="T39" s="75">
        <f>IF(B39="","",VLOOKUP(AD39,Varsayımlar!$B:$Q,11,0))</f>
        <v>8</v>
      </c>
      <c r="U39" s="75">
        <f>IF(B39="","",VLOOKUP(AD39,Varsayımlar!$B:$Q,12,0))</f>
        <v>650</v>
      </c>
      <c r="V39" s="75" t="str">
        <f>IF(B39="","",VLOOKUP(AD39,Varsayımlar!$B:$Q,13,0))</f>
        <v>Yurtdışı</v>
      </c>
      <c r="W39" s="75">
        <f>IF(B39="","",VLOOKUP(AD39,Varsayımlar!$B:$Q,14,0))</f>
        <v>9</v>
      </c>
      <c r="X39" s="76"/>
      <c r="Y39" s="76"/>
      <c r="Z39" s="75"/>
      <c r="AA39" s="75" t="str">
        <f>IF(B39="","",VLOOKUP(AD39,Varsayımlar!$B:$Q,15,0))</f>
        <v>25cm Perforeli-Bulgarca TB etiket</v>
      </c>
      <c r="AB39" s="75" t="str">
        <f>IF(B39="","",VLOOKUP(AD39,Varsayımlar!$B:$Q,16,0))</f>
        <v>24-26 cm</v>
      </c>
      <c r="AC39" s="75" t="str">
        <f>IF(B39="","",VLOOKUP(Sayfa1!AD63,Varsayımlar!B:S,18,0))</f>
        <v>80x120cm -Epal+Epal</v>
      </c>
      <c r="AD39" s="57" t="str">
        <f t="shared" si="0"/>
        <v>TASTE LAND-BULGARİSTANTortillas 25cm Tam Buğday 10pcs 650g</v>
      </c>
    </row>
    <row r="40" spans="1:30" ht="47.25" x14ac:dyDescent="0.25">
      <c r="A40" s="8" t="s">
        <v>153</v>
      </c>
      <c r="B40" s="75" t="s">
        <v>218</v>
      </c>
      <c r="C40" s="43">
        <f>IF(B40="","",VLOOKUP(AD40,Varsayımlar!$B:$Q,3,0))</f>
        <v>8698829380698</v>
      </c>
      <c r="D40" s="43" t="s">
        <v>161</v>
      </c>
      <c r="E40" s="75" t="s">
        <v>251</v>
      </c>
      <c r="F40" s="75" t="s">
        <v>341</v>
      </c>
      <c r="G40" s="43"/>
      <c r="H40" s="75" t="str">
        <f>IF(B40="","",VLOOKUP(AD40,Varsayımlar!$B:$Q,5,0))</f>
        <v>Tortillas Avrupa 25cm TB (711)</v>
      </c>
      <c r="I40" s="75" t="str">
        <f>IF(B40="","",VLOOKUP(AD40,Varsayımlar!B:T,19,0))</f>
        <v>Barkod üzerine Barkod Etiketi (067)</v>
      </c>
      <c r="J40" s="75" t="str">
        <f>IF(B40="","",VLOOKUP(AD40,Varsayımlar!$B:$Q,6,0))</f>
        <v>Tam Buğdaylı</v>
      </c>
      <c r="K40" s="75">
        <v>84</v>
      </c>
      <c r="L40" s="75"/>
      <c r="M40" s="75">
        <f>IFERROR(IF(B40="","",K40/VLOOKUP(AD40,Varsayımlar!B:R,17,0)),"")</f>
        <v>1</v>
      </c>
      <c r="N40" s="75"/>
      <c r="O40" s="75">
        <v>2</v>
      </c>
      <c r="P40" s="75">
        <f>IF(B40="","",VLOOKUP(AD40,Varsayımlar!$B:$Q,7,0)*K40)</f>
        <v>1512</v>
      </c>
      <c r="Q40" s="75">
        <f>IF(B40="","",VLOOKUP(AD40,Varsayımlar!$B:$Q,8,0))</f>
        <v>25</v>
      </c>
      <c r="R40" s="75" t="str">
        <f>IF(B40="","",VLOOKUP(AD40,Varsayımlar!$B:$Q,9,0))</f>
        <v>Irak Soft</v>
      </c>
      <c r="S40" s="75">
        <f>IF(B40="","",VLOOKUP(AD40,Varsayımlar!$B:$Q,10,0))</f>
        <v>6</v>
      </c>
      <c r="T40" s="75">
        <f>IF(B40="","",VLOOKUP(AD40,Varsayımlar!$B:$Q,11,0))</f>
        <v>18</v>
      </c>
      <c r="U40" s="75">
        <f>IF(B40="","",VLOOKUP(AD40,Varsayımlar!$B:$Q,12,0))</f>
        <v>390</v>
      </c>
      <c r="V40" s="75" t="str">
        <f>IF(B40="","",VLOOKUP(AD40,Varsayımlar!$B:$Q,13,0))</f>
        <v>Yurtdışı</v>
      </c>
      <c r="W40" s="75">
        <f>IF(B40="","",VLOOKUP(AD40,Varsayımlar!$B:$Q,14,0))</f>
        <v>9</v>
      </c>
      <c r="X40" s="76"/>
      <c r="Y40" s="76"/>
      <c r="Z40" s="75"/>
      <c r="AA40" s="75" t="str">
        <f>IF(B40="","",VLOOKUP(AD40,Varsayımlar!$B:$Q,15,0))</f>
        <v>25cm Kırmızı koli-Bulgarca TB Etiket</v>
      </c>
      <c r="AB40" s="75" t="str">
        <f>IF(B40="","",VLOOKUP(AD40,Varsayımlar!$B:$Q,16,0))</f>
        <v>24-26 cm</v>
      </c>
      <c r="AC40" s="75" t="str">
        <f>IF(B40="","",VLOOKUP(Sayfa1!AD64,Varsayımlar!B:S,18,0))</f>
        <v>80x120cm -Epal+Epal</v>
      </c>
      <c r="AD40" s="57" t="str">
        <f t="shared" si="0"/>
        <v>TASTE LAND-BULGARİSTANTortillas 25cm TB 6pcs 390g</v>
      </c>
    </row>
    <row r="41" spans="1:30" ht="47.25" x14ac:dyDescent="0.25">
      <c r="A41" s="8" t="s">
        <v>154</v>
      </c>
      <c r="B41" s="75" t="s">
        <v>218</v>
      </c>
      <c r="C41" s="43">
        <f>IF(B41="","",VLOOKUP(AD41,Varsayımlar!$B:$Q,3,0))</f>
        <v>8698829380698</v>
      </c>
      <c r="D41" s="43" t="s">
        <v>161</v>
      </c>
      <c r="E41" s="75" t="s">
        <v>232</v>
      </c>
      <c r="F41" s="75" t="s">
        <v>341</v>
      </c>
      <c r="G41" s="43"/>
      <c r="H41" s="75" t="str">
        <f>IF(B41="","",VLOOKUP(AD41,Varsayımlar!$B:$Q,5,0))</f>
        <v>Tortillas Avrupa 25cm Domatesli (074)</v>
      </c>
      <c r="I41" s="75">
        <f>IF(B41="","",VLOOKUP(AD41,Varsayımlar!B:T,19,0))</f>
        <v>0</v>
      </c>
      <c r="J41" s="75" t="str">
        <f>IF(B41="","",VLOOKUP(AD41,Varsayımlar!$B:$Q,6,0))</f>
        <v>Domatesli</v>
      </c>
      <c r="K41" s="75">
        <v>240</v>
      </c>
      <c r="L41" s="75"/>
      <c r="M41" s="75">
        <f>IFERROR(IF(B41="","",K41/VLOOKUP(AD41,Varsayımlar!B:R,17,0)),"")</f>
        <v>2</v>
      </c>
      <c r="N41" s="75"/>
      <c r="O41" s="75">
        <v>3</v>
      </c>
      <c r="P41" s="75">
        <f>IF(B41="","",VLOOKUP(AD41,Varsayımlar!$B:$Q,7,0)*K41)</f>
        <v>2880</v>
      </c>
      <c r="Q41" s="75">
        <f>IF(B41="","",VLOOKUP(AD41,Varsayımlar!$B:$Q,8,0))</f>
        <v>25</v>
      </c>
      <c r="R41" s="75" t="str">
        <f>IF(B41="","",VLOOKUP(AD41,Varsayımlar!$B:$Q,9,0))</f>
        <v>Irak Soft</v>
      </c>
      <c r="S41" s="75">
        <f>IF(B41="","",VLOOKUP(AD41,Varsayımlar!$B:$Q,10,0))</f>
        <v>6</v>
      </c>
      <c r="T41" s="75">
        <f>IF(B41="","",VLOOKUP(AD41,Varsayımlar!$B:$Q,11,0))</f>
        <v>12</v>
      </c>
      <c r="U41" s="75">
        <f>IF(B41="","",VLOOKUP(AD41,Varsayımlar!$B:$Q,12,0))</f>
        <v>390</v>
      </c>
      <c r="V41" s="75" t="str">
        <f>IF(B41="","",VLOOKUP(AD41,Varsayımlar!$B:$Q,13,0))</f>
        <v>Yurtdışı</v>
      </c>
      <c r="W41" s="75">
        <f>IF(B41="","",VLOOKUP(AD41,Varsayımlar!$B:$Q,14,0))</f>
        <v>9</v>
      </c>
      <c r="X41" s="76"/>
      <c r="Y41" s="76"/>
      <c r="Z41" s="75"/>
      <c r="AA41" s="75" t="str">
        <f>IF(B41="","",VLOOKUP(AD41,Varsayımlar!$B:$Q,15,0))</f>
        <v>25cm Perforeli-Bulgarca Domatesli etiket</v>
      </c>
      <c r="AB41" s="75" t="str">
        <f>IF(B41="","",VLOOKUP(AD41,Varsayımlar!$B:$Q,16,0))</f>
        <v>24-26 cm</v>
      </c>
      <c r="AC41" s="75" t="str">
        <f>IF(B41="","",VLOOKUP(Sayfa1!AD65,Varsayımlar!B:S,18,0))</f>
        <v>80x120cm -Epal+Epal</v>
      </c>
      <c r="AD41" s="57" t="str">
        <f t="shared" si="0"/>
        <v>TASTE LAND-BULGARİSTANTortillas 25cm Domatesli 6pcs 390g</v>
      </c>
    </row>
    <row r="42" spans="1:30" ht="47.25" x14ac:dyDescent="0.25">
      <c r="A42" s="8" t="s">
        <v>155</v>
      </c>
      <c r="B42" s="75" t="s">
        <v>218</v>
      </c>
      <c r="C42" s="43">
        <f>IF(B42="","",VLOOKUP(AD42,Varsayımlar!$B:$Q,3,0))</f>
        <v>8698829380698</v>
      </c>
      <c r="D42" s="43" t="s">
        <v>161</v>
      </c>
      <c r="E42" s="75" t="s">
        <v>235</v>
      </c>
      <c r="F42" s="75" t="s">
        <v>341</v>
      </c>
      <c r="G42" s="43"/>
      <c r="H42" s="75" t="str">
        <f>IF(B42="","",VLOOKUP(AD42,Varsayımlar!$B:$Q,5,0))</f>
        <v>Tortillas Avrupa 25cm Ispanaklı (081)</v>
      </c>
      <c r="I42" s="75">
        <f>IF(B42="","",VLOOKUP(AD42,Varsayımlar!B:T,19,0))</f>
        <v>0</v>
      </c>
      <c r="J42" s="75" t="str">
        <f>IF(B42="","",VLOOKUP(AD42,Varsayımlar!$B:$Q,6,0))</f>
        <v>Ispanaklı</v>
      </c>
      <c r="K42" s="75">
        <v>240</v>
      </c>
      <c r="L42" s="75"/>
      <c r="M42" s="75">
        <f>IFERROR(IF(B42="","",K42/VLOOKUP(AD42,Varsayımlar!B:R,17,0)),"")</f>
        <v>2</v>
      </c>
      <c r="N42" s="75"/>
      <c r="O42" s="75">
        <v>3</v>
      </c>
      <c r="P42" s="75">
        <f>IF(B42="","",VLOOKUP(AD42,Varsayımlar!$B:$Q,7,0)*K42)</f>
        <v>2880</v>
      </c>
      <c r="Q42" s="75">
        <f>IF(B42="","",VLOOKUP(AD42,Varsayımlar!$B:$Q,8,0))</f>
        <v>25</v>
      </c>
      <c r="R42" s="75" t="str">
        <f>IF(B42="","",VLOOKUP(AD42,Varsayımlar!$B:$Q,9,0))</f>
        <v>Irak Soft</v>
      </c>
      <c r="S42" s="75">
        <f>IF(B42="","",VLOOKUP(AD42,Varsayımlar!$B:$Q,10,0))</f>
        <v>6</v>
      </c>
      <c r="T42" s="75">
        <f>IF(B42="","",VLOOKUP(AD42,Varsayımlar!$B:$Q,11,0))</f>
        <v>12</v>
      </c>
      <c r="U42" s="75">
        <f>IF(B42="","",VLOOKUP(AD42,Varsayımlar!$B:$Q,12,0))</f>
        <v>390</v>
      </c>
      <c r="V42" s="75" t="str">
        <f>IF(B42="","",VLOOKUP(AD42,Varsayımlar!$B:$Q,13,0))</f>
        <v>Yurtdışı</v>
      </c>
      <c r="W42" s="75">
        <f>IF(B42="","",VLOOKUP(AD42,Varsayımlar!$B:$Q,14,0))</f>
        <v>9</v>
      </c>
      <c r="X42" s="76"/>
      <c r="Y42" s="76"/>
      <c r="Z42" s="75"/>
      <c r="AA42" s="75" t="str">
        <f>IF(B42="","",VLOOKUP(AD42,Varsayımlar!$B:$Q,15,0))</f>
        <v>25cm Perforeli-Bulgarca Ispanaklı etiket</v>
      </c>
      <c r="AB42" s="75" t="str">
        <f>IF(B42="","",VLOOKUP(AD42,Varsayımlar!$B:$Q,16,0))</f>
        <v>24-26 cm</v>
      </c>
      <c r="AC42" s="75" t="str">
        <f>IF(B42="","",VLOOKUP(Sayfa1!AD66,Varsayımlar!B:S,18,0))</f>
        <v>80x120cm -Epal+Epal</v>
      </c>
      <c r="AD42" s="57" t="str">
        <f t="shared" si="0"/>
        <v>TASTE LAND-BULGARİSTANTortillas 25cm Ispanaklı 6pcs 390g</v>
      </c>
    </row>
    <row r="43" spans="1:30" ht="47.25" x14ac:dyDescent="0.25">
      <c r="A43" s="8" t="s">
        <v>156</v>
      </c>
      <c r="B43" s="75" t="s">
        <v>218</v>
      </c>
      <c r="C43" s="43">
        <f>IF(B43="","",VLOOKUP(AD43,Varsayımlar!$B:$Q,3,0))</f>
        <v>8698829380698</v>
      </c>
      <c r="D43" s="43" t="s">
        <v>161</v>
      </c>
      <c r="E43" s="75" t="s">
        <v>240</v>
      </c>
      <c r="F43" s="75" t="s">
        <v>341</v>
      </c>
      <c r="G43" s="43"/>
      <c r="H43" s="75" t="str">
        <f>IF(B43="","",VLOOKUP(AD43,Varsayımlar!$B:$Q,5,0))</f>
        <v>Tortillas Avrupa 25cm Peynirli (098)</v>
      </c>
      <c r="I43" s="75">
        <f>IF(B43="","",VLOOKUP(AD43,Varsayımlar!B:T,19,0))</f>
        <v>0</v>
      </c>
      <c r="J43" s="75" t="str">
        <f>IF(B43="","",VLOOKUP(AD43,Varsayımlar!$B:$Q,6,0))</f>
        <v>Peynirli</v>
      </c>
      <c r="K43" s="75">
        <v>120</v>
      </c>
      <c r="L43" s="75"/>
      <c r="M43" s="75">
        <f>IFERROR(IF(B43="","",K43/VLOOKUP(AD43,Varsayımlar!B:R,17,0)),"")</f>
        <v>1</v>
      </c>
      <c r="N43" s="75"/>
      <c r="O43" s="75">
        <v>2</v>
      </c>
      <c r="P43" s="75">
        <f>IF(B43="","",VLOOKUP(AD43,Varsayımlar!$B:$Q,7,0)*K43)</f>
        <v>1440</v>
      </c>
      <c r="Q43" s="75">
        <f>IF(B43="","",VLOOKUP(AD43,Varsayımlar!$B:$Q,8,0))</f>
        <v>25</v>
      </c>
      <c r="R43" s="75" t="str">
        <f>IF(B43="","",VLOOKUP(AD43,Varsayımlar!$B:$Q,9,0))</f>
        <v>Irak Soft-AT</v>
      </c>
      <c r="S43" s="75">
        <f>IF(B43="","",VLOOKUP(AD43,Varsayımlar!$B:$Q,10,0))</f>
        <v>6</v>
      </c>
      <c r="T43" s="75">
        <f>IF(B43="","",VLOOKUP(AD43,Varsayımlar!$B:$Q,11,0))</f>
        <v>12</v>
      </c>
      <c r="U43" s="75">
        <f>IF(B43="","",VLOOKUP(AD43,Varsayımlar!$B:$Q,12,0))</f>
        <v>390</v>
      </c>
      <c r="V43" s="75" t="str">
        <f>IF(B43="","",VLOOKUP(AD43,Varsayımlar!$B:$Q,13,0))</f>
        <v>Yurtdışı</v>
      </c>
      <c r="W43" s="75">
        <f>IF(B43="","",VLOOKUP(AD43,Varsayımlar!$B:$Q,14,0))</f>
        <v>9</v>
      </c>
      <c r="X43" s="76"/>
      <c r="Y43" s="76"/>
      <c r="Z43" s="75"/>
      <c r="AA43" s="75" t="str">
        <f>IF(B43="","",VLOOKUP(AD43,Varsayımlar!$B:$Q,15,0))</f>
        <v>25cm Perforeli-Bulgarca Peynirli etiket</v>
      </c>
      <c r="AB43" s="75" t="str">
        <f>IF(B43="","",VLOOKUP(AD43,Varsayımlar!$B:$Q,16,0))</f>
        <v>24-26 cm</v>
      </c>
      <c r="AC43" s="75" t="str">
        <f>IF(B43="","",VLOOKUP(Sayfa1!AD67,Varsayımlar!B:S,18,0))</f>
        <v>80x120cm -Epal+Epal</v>
      </c>
      <c r="AD43" s="57" t="str">
        <f t="shared" si="0"/>
        <v>TASTE LAND-BULGARİSTANTortillas 25cm Peynirli 6pcs 390g</v>
      </c>
    </row>
    <row r="44" spans="1:30" x14ac:dyDescent="0.25">
      <c r="A44" s="8" t="s">
        <v>157</v>
      </c>
      <c r="B44" s="64"/>
      <c r="C44" s="3" t="str">
        <f>IF(B44="","",VLOOKUP(AD44,Varsayımlar!$B:$Q,3,0))</f>
        <v/>
      </c>
      <c r="D44" s="3"/>
      <c r="E44" s="3"/>
      <c r="F44" s="64"/>
      <c r="G44" s="3"/>
      <c r="H44" s="64" t="str">
        <f>IF(B44="","",VLOOKUP(AD44,Varsayımlar!$B:$Q,5,0))</f>
        <v/>
      </c>
      <c r="I44" s="64" t="str">
        <f>IF(B44="","",VLOOKUP(AD44,Varsayımlar!B:T,19,0))</f>
        <v/>
      </c>
      <c r="J44" s="64" t="str">
        <f>IF(B44="","",VLOOKUP(AD44,Varsayımlar!$B:$Q,6,0))</f>
        <v/>
      </c>
      <c r="K44" s="64"/>
      <c r="L44" s="64"/>
      <c r="M44" s="64" t="str">
        <f>IFERROR(IF(B44="","",K44/VLOOKUP(AD44,Varsayımlar!B:R,17,0)),"")</f>
        <v/>
      </c>
      <c r="N44" s="64"/>
      <c r="O44" s="64"/>
      <c r="P44" s="64" t="str">
        <f>IF(B44="","",VLOOKUP(AD44,Varsayımlar!$B:$Q,7,0)*K44)</f>
        <v/>
      </c>
      <c r="Q44" s="64" t="str">
        <f>IF(B44="","",VLOOKUP(AD44,Varsayımlar!$B:$Q,8,0))</f>
        <v/>
      </c>
      <c r="R44" s="64" t="str">
        <f>IF(B44="","",VLOOKUP(AD44,Varsayımlar!$B:$Q,9,0))</f>
        <v/>
      </c>
      <c r="S44" s="64" t="str">
        <f>IF(B44="","",VLOOKUP(AD44,Varsayımlar!$B:$Q,10,0))</f>
        <v/>
      </c>
      <c r="T44" s="64" t="str">
        <f>IF(B44="","",VLOOKUP(AD44,Varsayımlar!$B:$Q,11,0))</f>
        <v/>
      </c>
      <c r="U44" s="64" t="str">
        <f>IF(B44="","",VLOOKUP(AD44,Varsayımlar!$B:$Q,12,0))</f>
        <v/>
      </c>
      <c r="V44" s="64" t="str">
        <f>IF(B44="","",VLOOKUP(AD44,Varsayımlar!$B:$Q,13,0))</f>
        <v/>
      </c>
      <c r="W44" s="64" t="str">
        <f>IF(B44="","",VLOOKUP(AD44,Varsayımlar!$B:$Q,14,0))</f>
        <v/>
      </c>
      <c r="X44" s="66"/>
      <c r="Y44" s="66"/>
      <c r="Z44" s="64"/>
      <c r="AA44" s="64" t="str">
        <f>IF(B44="","",VLOOKUP(AD44,Varsayımlar!$B:$Q,15,0))</f>
        <v/>
      </c>
      <c r="AB44" s="64" t="str">
        <f>IF(B44="","",VLOOKUP(AD44,Varsayımlar!$B:$Q,16,0))</f>
        <v/>
      </c>
      <c r="AC44" s="64" t="str">
        <f>IF(B44="","",VLOOKUP(Sayfa1!AD43,Varsayımlar!B:S,18,0))</f>
        <v/>
      </c>
      <c r="AD44" s="57" t="str">
        <f t="shared" si="0"/>
        <v/>
      </c>
    </row>
    <row r="45" spans="1:30" x14ac:dyDescent="0.25">
      <c r="A45" s="8" t="s">
        <v>158</v>
      </c>
      <c r="B45" s="64"/>
      <c r="C45" s="3" t="str">
        <f>IF(B45="","",VLOOKUP(AD45,Varsayımlar!$B:$Q,3,0))</f>
        <v/>
      </c>
      <c r="D45" s="3"/>
      <c r="E45" s="3"/>
      <c r="F45" s="64"/>
      <c r="G45" s="3"/>
      <c r="H45" s="64" t="str">
        <f>IF(B45="","",VLOOKUP(AD45,Varsayımlar!$B:$Q,5,0))</f>
        <v/>
      </c>
      <c r="I45" s="64" t="str">
        <f>IF(B45="","",VLOOKUP(AD45,Varsayımlar!B:T,19,0))</f>
        <v/>
      </c>
      <c r="J45" s="64" t="str">
        <f>IF(B45="","",VLOOKUP(AD45,Varsayımlar!$B:$Q,6,0))</f>
        <v/>
      </c>
      <c r="K45" s="64"/>
      <c r="L45" s="64"/>
      <c r="M45" s="64" t="str">
        <f>IFERROR(IF(B45="","",K45/VLOOKUP(AD45,Varsayımlar!B:R,17,0)),"")</f>
        <v/>
      </c>
      <c r="N45" s="64"/>
      <c r="O45" s="64"/>
      <c r="P45" s="64" t="str">
        <f>IF(B45="","",VLOOKUP(AD45,Varsayımlar!$B:$Q,7,0)*K45)</f>
        <v/>
      </c>
      <c r="Q45" s="64" t="str">
        <f>IF(B45="","",VLOOKUP(AD45,Varsayımlar!$B:$Q,8,0))</f>
        <v/>
      </c>
      <c r="R45" s="64" t="str">
        <f>IF(B45="","",VLOOKUP(AD45,Varsayımlar!$B:$Q,9,0))</f>
        <v/>
      </c>
      <c r="S45" s="64" t="str">
        <f>IF(B45="","",VLOOKUP(AD45,Varsayımlar!$B:$Q,10,0))</f>
        <v/>
      </c>
      <c r="T45" s="64" t="str">
        <f>IF(B45="","",VLOOKUP(AD45,Varsayımlar!$B:$Q,11,0))</f>
        <v/>
      </c>
      <c r="U45" s="64" t="str">
        <f>IF(B45="","",VLOOKUP(AD45,Varsayımlar!$B:$Q,12,0))</f>
        <v/>
      </c>
      <c r="V45" s="64" t="str">
        <f>IF(B45="","",VLOOKUP(AD45,Varsayımlar!$B:$Q,13,0))</f>
        <v/>
      </c>
      <c r="W45" s="64" t="str">
        <f>IF(B45="","",VLOOKUP(AD45,Varsayımlar!$B:$Q,14,0))</f>
        <v/>
      </c>
      <c r="X45" s="66"/>
      <c r="Y45" s="66"/>
      <c r="Z45" s="64"/>
      <c r="AA45" s="64" t="str">
        <f>IF(B45="","",VLOOKUP(AD45,Varsayımlar!$B:$Q,15,0))</f>
        <v/>
      </c>
      <c r="AB45" s="64" t="str">
        <f>IF(B45="","",VLOOKUP(AD45,Varsayımlar!$B:$Q,16,0))</f>
        <v/>
      </c>
      <c r="AC45" s="64" t="str">
        <f>IF(B45="","",VLOOKUP(Sayfa1!AD44,Varsayımlar!B:S,18,0))</f>
        <v/>
      </c>
      <c r="AD45" s="57" t="str">
        <f t="shared" si="0"/>
        <v/>
      </c>
    </row>
    <row r="46" spans="1:30" x14ac:dyDescent="0.25">
      <c r="A46" s="8" t="s">
        <v>388</v>
      </c>
      <c r="B46" s="64"/>
      <c r="C46" s="3" t="str">
        <f>IF(B46="","",VLOOKUP(AD46,Varsayımlar!$B:$Q,3,0))</f>
        <v/>
      </c>
      <c r="D46" s="3"/>
      <c r="E46" s="3"/>
      <c r="F46" s="64"/>
      <c r="G46" s="3"/>
      <c r="H46" s="64" t="str">
        <f>IF(B46="","",VLOOKUP(AD46,Varsayımlar!$B:$Q,5,0))</f>
        <v/>
      </c>
      <c r="I46" s="64" t="str">
        <f>IF(B46="","",VLOOKUP(AD46,Varsayımlar!B:T,19,0))</f>
        <v/>
      </c>
      <c r="J46" s="64" t="str">
        <f>IF(B46="","",VLOOKUP(AD46,Varsayımlar!$B:$Q,6,0))</f>
        <v/>
      </c>
      <c r="K46" s="64"/>
      <c r="L46" s="64"/>
      <c r="M46" s="64" t="str">
        <f>IFERROR(IF(B46="","",K46/VLOOKUP(AD46,Varsayımlar!B:R,17,0)),"")</f>
        <v/>
      </c>
      <c r="N46" s="64"/>
      <c r="O46" s="64"/>
      <c r="P46" s="64" t="str">
        <f>IF(B46="","",VLOOKUP(AD46,Varsayımlar!$B:$Q,7,0)*K46)</f>
        <v/>
      </c>
      <c r="Q46" s="64" t="str">
        <f>IF(B46="","",VLOOKUP(AD46,Varsayımlar!$B:$Q,8,0))</f>
        <v/>
      </c>
      <c r="R46" s="64" t="str">
        <f>IF(B46="","",VLOOKUP(AD46,Varsayımlar!$B:$Q,9,0))</f>
        <v/>
      </c>
      <c r="S46" s="64" t="str">
        <f>IF(B46="","",VLOOKUP(AD46,Varsayımlar!$B:$Q,10,0))</f>
        <v/>
      </c>
      <c r="T46" s="64" t="str">
        <f>IF(B46="","",VLOOKUP(AD46,Varsayımlar!$B:$Q,11,0))</f>
        <v/>
      </c>
      <c r="U46" s="64" t="str">
        <f>IF(B46="","",VLOOKUP(AD46,Varsayımlar!$B:$Q,12,0))</f>
        <v/>
      </c>
      <c r="V46" s="64" t="str">
        <f>IF(B46="","",VLOOKUP(AD46,Varsayımlar!$B:$Q,13,0))</f>
        <v/>
      </c>
      <c r="W46" s="64" t="str">
        <f>IF(B46="","",VLOOKUP(AD46,Varsayımlar!$B:$Q,14,0))</f>
        <v/>
      </c>
      <c r="X46" s="66"/>
      <c r="Y46" s="66"/>
      <c r="Z46" s="64"/>
      <c r="AA46" s="64" t="str">
        <f>IF(B46="","",VLOOKUP(AD46,Varsayımlar!$B:$Q,15,0))</f>
        <v/>
      </c>
      <c r="AB46" s="64" t="str">
        <f>IF(B46="","",VLOOKUP(AD46,Varsayımlar!$B:$Q,16,0))</f>
        <v/>
      </c>
      <c r="AC46" s="64" t="str">
        <f>IF(B46="","",VLOOKUP(Sayfa1!AD45,Varsayımlar!B:S,18,0))</f>
        <v/>
      </c>
      <c r="AD46" s="57" t="str">
        <f t="shared" si="0"/>
        <v/>
      </c>
    </row>
    <row r="47" spans="1:30" ht="31.5" customHeight="1" x14ac:dyDescent="0.25">
      <c r="A47" s="182" t="s">
        <v>344</v>
      </c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4"/>
      <c r="AC47" s="38"/>
    </row>
    <row r="48" spans="1:30" ht="63" x14ac:dyDescent="0.25">
      <c r="A48" s="8" t="s">
        <v>0</v>
      </c>
      <c r="B48" s="8" t="s">
        <v>1</v>
      </c>
      <c r="C48" s="9" t="s">
        <v>31</v>
      </c>
      <c r="D48" s="9" t="s">
        <v>124</v>
      </c>
      <c r="E48" s="9" t="s">
        <v>36</v>
      </c>
      <c r="F48" s="8" t="s">
        <v>37</v>
      </c>
      <c r="G48" s="8" t="s">
        <v>13</v>
      </c>
      <c r="H48" s="8" t="s">
        <v>2</v>
      </c>
      <c r="I48" s="8" t="s">
        <v>49</v>
      </c>
      <c r="J48" s="8" t="s">
        <v>3</v>
      </c>
      <c r="K48" s="8" t="s">
        <v>21</v>
      </c>
      <c r="L48" s="8" t="s">
        <v>94</v>
      </c>
      <c r="M48" s="8" t="s">
        <v>20</v>
      </c>
      <c r="N48" s="8" t="s">
        <v>165</v>
      </c>
      <c r="O48" s="8" t="s">
        <v>123</v>
      </c>
      <c r="P48" s="8" t="s">
        <v>16</v>
      </c>
      <c r="Q48" s="8" t="s">
        <v>4</v>
      </c>
      <c r="R48" s="8" t="s">
        <v>5</v>
      </c>
      <c r="S48" s="8" t="s">
        <v>6</v>
      </c>
      <c r="T48" s="8" t="s">
        <v>28</v>
      </c>
      <c r="U48" s="8" t="s">
        <v>7</v>
      </c>
      <c r="V48" s="8" t="s">
        <v>8</v>
      </c>
      <c r="W48" s="8" t="s">
        <v>267</v>
      </c>
      <c r="X48" s="8" t="s">
        <v>10</v>
      </c>
      <c r="Y48" s="8" t="s">
        <v>11</v>
      </c>
      <c r="Z48" s="8" t="s">
        <v>12</v>
      </c>
      <c r="AA48" s="8" t="s">
        <v>14</v>
      </c>
      <c r="AB48" s="8" t="s">
        <v>15</v>
      </c>
      <c r="AC48" s="8" t="s">
        <v>208</v>
      </c>
      <c r="AD48" s="7" t="s">
        <v>41</v>
      </c>
    </row>
    <row r="49" spans="1:30" ht="45.75" customHeight="1" x14ac:dyDescent="0.25">
      <c r="A49" s="8" t="s">
        <v>26</v>
      </c>
      <c r="B49" s="64" t="s">
        <v>119</v>
      </c>
      <c r="C49" s="3">
        <f>IF(B49="","",VLOOKUP(AD49,Varsayımlar!$B:$Q,3,0))</f>
        <v>8698829380698</v>
      </c>
      <c r="D49" s="3"/>
      <c r="E49" s="65" t="s">
        <v>120</v>
      </c>
      <c r="F49" s="64"/>
      <c r="G49" s="64"/>
      <c r="H49" s="64" t="str">
        <f>IF(B49="","",VLOOKUP(AD49,Varsayımlar!$B:$Q,5,0))</f>
        <v>Nimet 25 cm</v>
      </c>
      <c r="I49" s="64"/>
      <c r="J49" s="64" t="str">
        <f>IF(B49="","",VLOOKUP(AD49,Varsayımlar!$B:$Q,6,0))</f>
        <v>SADE</v>
      </c>
      <c r="K49" s="64">
        <v>4000</v>
      </c>
      <c r="L49" s="64"/>
      <c r="M49" s="64">
        <f>IFERROR(IF(B49="","",K49/VLOOKUP(AD49,Varsayımlar!B:R,17,0)),"")</f>
        <v>80</v>
      </c>
      <c r="N49" s="64"/>
      <c r="O49" s="64">
        <v>60</v>
      </c>
      <c r="P49" s="64">
        <f>IF(B49="","",VLOOKUP(AD49,Varsayımlar!$B:$Q,7,0)*K49)</f>
        <v>48000</v>
      </c>
      <c r="Q49" s="64">
        <f>IF(B49="","",VLOOKUP(AD49,Varsayımlar!$B:$Q,8,0))</f>
        <v>25</v>
      </c>
      <c r="R49" s="64" t="str">
        <f>IF(B49="","",VLOOKUP(AD49,Varsayımlar!$B:$Q,9,0))</f>
        <v>Standart</v>
      </c>
      <c r="S49" s="64">
        <f>IF(B49="","",VLOOKUP(AD49,Varsayımlar!$B:$Q,10,0))</f>
        <v>12</v>
      </c>
      <c r="T49" s="64">
        <f>IF(B49="","",VLOOKUP(AD49,Varsayımlar!$B:$Q,11,0))</f>
        <v>12</v>
      </c>
      <c r="U49" s="64">
        <f>IF(B49="","",VLOOKUP(AD49,Varsayımlar!$B:$Q,12,0))</f>
        <v>840</v>
      </c>
      <c r="V49" s="64" t="str">
        <f>IF(B49="","",VLOOKUP(AD49,Varsayımlar!$B:$Q,13,0))</f>
        <v>YURTİÇİ</v>
      </c>
      <c r="W49" s="64">
        <f>IF(B49="","",VLOOKUP(AD49,Varsayımlar!$B:$Q,14,0))</f>
        <v>5</v>
      </c>
      <c r="X49" s="66" t="s">
        <v>113</v>
      </c>
      <c r="Y49" s="66" t="s">
        <v>113</v>
      </c>
      <c r="Z49" s="64" t="s">
        <v>113</v>
      </c>
      <c r="AA49" s="64" t="str">
        <f>IF(B49="","",VLOOKUP(AD49,Varsayımlar!$B:$Q,15,0))</f>
        <v>Nimet Kolisi</v>
      </c>
      <c r="AB49" s="64" t="str">
        <f>IF(B49="","",VLOOKUP(AD49,Varsayımlar!$B:$Q,16,0))</f>
        <v>24-26 CM</v>
      </c>
      <c r="AC49" s="64" t="s">
        <v>360</v>
      </c>
      <c r="AD49" s="57" t="str">
        <f>IF(B49="","",CONCATENATE(B49,E49))</f>
        <v>A101Nimet 25cm 12 pcs 840g</v>
      </c>
    </row>
    <row r="50" spans="1:30" ht="33" customHeight="1" x14ac:dyDescent="0.25">
      <c r="A50" s="8" t="s">
        <v>77</v>
      </c>
      <c r="B50" s="3" t="s">
        <v>64</v>
      </c>
      <c r="C50" s="3">
        <f>IF(B50="","",VLOOKUP(AD50,Varsayımlar!$B:$Q,3,0))</f>
        <v>8698829380698</v>
      </c>
      <c r="D50" s="3"/>
      <c r="E50" s="3" t="s">
        <v>108</v>
      </c>
      <c r="F50" s="3">
        <v>31</v>
      </c>
      <c r="G50" s="3"/>
      <c r="H50" s="3" t="str">
        <f>IF(B50="","",VLOOKUP(AD50,Varsayımlar!$B:$Q,5,0))</f>
        <v>Kırmızı Tortillas 25 cm</v>
      </c>
      <c r="I50" s="3">
        <f>IF(B50="","",VLOOKUP(AD50,Varsayımlar!B:T,19,0))</f>
        <v>0</v>
      </c>
      <c r="J50" s="3" t="str">
        <f>IF(B50="","",VLOOKUP(AD50,Varsayımlar!$B:$Q,6,0))</f>
        <v>SADE</v>
      </c>
      <c r="K50" s="3">
        <v>924</v>
      </c>
      <c r="L50" s="3"/>
      <c r="M50" s="3">
        <f>IFERROR(IF(B50="","",K50/VLOOKUP(AD50,Varsayımlar!B:R,17,0)),"")</f>
        <v>11</v>
      </c>
      <c r="N50" s="3"/>
      <c r="O50" s="3">
        <v>14</v>
      </c>
      <c r="P50" s="3">
        <f>IF(B50="","",VLOOKUP(AD50,Varsayımlar!$B:$Q,7,0)*K50)</f>
        <v>27720</v>
      </c>
      <c r="Q50" s="3">
        <f>IF(B50="","",VLOOKUP(AD50,Varsayımlar!$B:$Q,8,0))</f>
        <v>25</v>
      </c>
      <c r="R50" s="3" t="str">
        <f>IF(B50="","",VLOOKUP(AD50,Varsayımlar!$B:$Q,9,0))</f>
        <v>Soft</v>
      </c>
      <c r="S50" s="3">
        <f>IF(B50="","",VLOOKUP(AD50,Varsayımlar!$B:$Q,10,0))</f>
        <v>4</v>
      </c>
      <c r="T50" s="3">
        <f>IF(B50="","",VLOOKUP(AD50,Varsayımlar!$B:$Q,11,0))</f>
        <v>30</v>
      </c>
      <c r="U50" s="3">
        <f>IF(B50="","",VLOOKUP(AD50,Varsayımlar!$B:$Q,12,0))</f>
        <v>250</v>
      </c>
      <c r="V50" s="3" t="str">
        <f>IF(B50="","",VLOOKUP(AD50,Varsayımlar!$B:$Q,13,0))</f>
        <v>Yurtdışı</v>
      </c>
      <c r="W50" s="3">
        <f>IF(B50="","",VLOOKUP(AD50,Varsayımlar!$B:$Q,14,0))</f>
        <v>9</v>
      </c>
      <c r="X50" s="66">
        <v>46196</v>
      </c>
      <c r="Y50" s="66">
        <v>46469</v>
      </c>
      <c r="Z50" s="3">
        <v>26062325</v>
      </c>
      <c r="AA50" s="3" t="str">
        <f>IF(B50="","",VLOOKUP(AD50,Varsayımlar!$B:$Q,15,0))</f>
        <v>Kırmızı Koli- Üretim Tarihi Etiketli</v>
      </c>
      <c r="AB50" s="3" t="str">
        <f>IF(B50="","",VLOOKUP(AD50,Varsayımlar!$B:$Q,16,0))</f>
        <v>24-26 CM</v>
      </c>
      <c r="AC50" s="67" t="str">
        <f>IF(B50="","",VLOOKUP(Sayfa1!AD58,Varsayımlar!B:S,18,0))</f>
        <v>80x120cm -Epal+Epal</v>
      </c>
      <c r="AD50" s="57" t="str">
        <f t="shared" ref="AD50:AD57" si="1">IF(B50="","",CONCATENATE(B50,E50))</f>
        <v>SMART LLCKırmızı tortillas 25cm 4 lü 250g</v>
      </c>
    </row>
    <row r="51" spans="1:30" ht="47.25" x14ac:dyDescent="0.25">
      <c r="A51" s="8" t="s">
        <v>78</v>
      </c>
      <c r="B51" s="67" t="s">
        <v>268</v>
      </c>
      <c r="C51" s="42">
        <f>IF(B51="","",VLOOKUP(AD51,Varsayımlar!$B:$Q,3,0))</f>
        <v>8698829380698</v>
      </c>
      <c r="D51" s="42" t="s">
        <v>159</v>
      </c>
      <c r="E51" s="67" t="s">
        <v>342</v>
      </c>
      <c r="F51" s="67">
        <v>20250825</v>
      </c>
      <c r="G51" s="42" t="s">
        <v>68</v>
      </c>
      <c r="H51" s="67" t="str">
        <f>IF(B51="","",VLOOKUP(AD51,Varsayımlar!$B:$Q,5,0))</f>
        <v>Tortillas 25cm Sade</v>
      </c>
      <c r="I51" s="67">
        <f>IF(B51="","",VLOOKUP(AD51,Varsayımlar!B:T,19,0))</f>
        <v>0</v>
      </c>
      <c r="J51" s="67" t="str">
        <f>IF(B51="","",VLOOKUP(AD51,Varsayımlar!$B:$Q,6,0))</f>
        <v>SADE</v>
      </c>
      <c r="K51" s="67">
        <v>672</v>
      </c>
      <c r="L51" s="67"/>
      <c r="M51" s="67">
        <f>IFERROR(IF(B51="","",K51/VLOOKUP(AD51,Varsayımlar!B:R,17,0)),"")</f>
        <v>8</v>
      </c>
      <c r="N51" s="67"/>
      <c r="O51" s="67">
        <v>10</v>
      </c>
      <c r="P51" s="67">
        <f>IF(B51="","",VLOOKUP(AD51,Varsayımlar!$B:$Q,7,0)*K51)</f>
        <v>20160</v>
      </c>
      <c r="Q51" s="67">
        <f>IF(B51="","",VLOOKUP(AD51,Varsayımlar!$B:$Q,8,0))</f>
        <v>25</v>
      </c>
      <c r="R51" s="67" t="str">
        <f>IF(B51="","",VLOOKUP(AD51,Varsayımlar!$B:$Q,9,0))</f>
        <v>Soft-PA3</v>
      </c>
      <c r="S51" s="67">
        <f>IF(B51="","",VLOOKUP(AD51,Varsayımlar!$B:$Q,10,0))</f>
        <v>4</v>
      </c>
      <c r="T51" s="67">
        <f>IF(B51="","",VLOOKUP(AD51,Varsayımlar!$B:$Q,11,0))</f>
        <v>30</v>
      </c>
      <c r="U51" s="67">
        <f>IF(B51="","",VLOOKUP(AD51,Varsayımlar!$B:$Q,12,0))</f>
        <v>240</v>
      </c>
      <c r="V51" s="67" t="str">
        <f>IF(B51="","",VLOOKUP(AD51,Varsayımlar!$B:$Q,13,0))</f>
        <v>Yurtdışı</v>
      </c>
      <c r="W51" s="67">
        <f>IF(B51="","",VLOOKUP(AD51,Varsayımlar!$B:$Q,14,0))</f>
        <v>12</v>
      </c>
      <c r="X51" s="69">
        <v>46199</v>
      </c>
      <c r="Y51" s="69">
        <v>46564</v>
      </c>
      <c r="Z51" s="67">
        <v>26062625</v>
      </c>
      <c r="AA51" s="67" t="str">
        <f>IF(B51="","",VLOOKUP(AD51,Varsayımlar!$B:$Q,15,0))</f>
        <v>25cm Kolisi-Etiketli</v>
      </c>
      <c r="AB51" s="67" t="str">
        <f>IF(B51="","",VLOOKUP(AD51,Varsayımlar!$B:$Q,16,0))</f>
        <v>24-26 cm (Macca Hetto Inkjet Uzun Tarih)</v>
      </c>
      <c r="AC51" s="67" t="str">
        <f>IF(B51="","",VLOOKUP(Sayfa1!AD22,Varsayımlar!B:S,18,0))</f>
        <v>80x120cm</v>
      </c>
      <c r="AD51" s="57" t="str">
        <f t="shared" si="1"/>
        <v>LAIKYUZHN-BELARUSTortillas 25cm Sade 4pcs 240g</v>
      </c>
    </row>
    <row r="52" spans="1:30" ht="63" x14ac:dyDescent="0.25">
      <c r="A52" s="8" t="s">
        <v>79</v>
      </c>
      <c r="B52" s="62" t="s">
        <v>181</v>
      </c>
      <c r="C52" s="32">
        <f>IF(B52="","",VLOOKUP(AD52,Varsayımlar!$B:$Q,3,0))</f>
        <v>8698829380698</v>
      </c>
      <c r="D52" s="32"/>
      <c r="E52" s="62" t="s">
        <v>187</v>
      </c>
      <c r="F52" s="62">
        <v>26060101</v>
      </c>
      <c r="G52" s="32"/>
      <c r="H52" s="62" t="str">
        <f>IF(B52="","",VLOOKUP(AD52,Varsayımlar!$B:$Q,5,0))</f>
        <v>Tortillove 25cm</v>
      </c>
      <c r="I52" s="62" t="str">
        <f>IF(B52="","",VLOOKUP(AD52,Varsayımlar!B:T,19,0))</f>
        <v>Barkod üzerine Arnavutça içerik+Barkod-Tortillove</v>
      </c>
      <c r="J52" s="62" t="str">
        <f>IF(B52="","",VLOOKUP(AD52,Varsayımlar!$B:$Q,6,0))</f>
        <v>SADE</v>
      </c>
      <c r="K52" s="62">
        <v>168</v>
      </c>
      <c r="L52" s="62"/>
      <c r="M52" s="62">
        <f>IFERROR(IF(B52="","",K52/VLOOKUP(AD52,Varsayımlar!B:R,17,0)),"")</f>
        <v>2</v>
      </c>
      <c r="N52" s="62"/>
      <c r="O52" s="62">
        <v>2</v>
      </c>
      <c r="P52" s="62">
        <f>IF(B52="","",VLOOKUP(AD52,Varsayımlar!$B:$Q,7,0)*K52)</f>
        <v>3024</v>
      </c>
      <c r="Q52" s="62">
        <f>IF(B52="","",VLOOKUP(AD52,Varsayımlar!$B:$Q,8,0))</f>
        <v>25</v>
      </c>
      <c r="R52" s="62" t="str">
        <f>IF(B52="","",VLOOKUP(AD52,Varsayımlar!$B:$Q,9,0))</f>
        <v>Irak Soft</v>
      </c>
      <c r="S52" s="62">
        <f>IF(B52="","",VLOOKUP(AD52,Varsayımlar!$B:$Q,10,0))</f>
        <v>6</v>
      </c>
      <c r="T52" s="62">
        <f>IF(B52="","",VLOOKUP(AD52,Varsayımlar!$B:$Q,11,0))</f>
        <v>18</v>
      </c>
      <c r="U52" s="62">
        <f>IF(B52="","",VLOOKUP(AD52,Varsayımlar!$B:$Q,12,0))</f>
        <v>390</v>
      </c>
      <c r="V52" s="62" t="str">
        <f>IF(B52="","",VLOOKUP(AD52,Varsayımlar!$B:$Q,13,0))</f>
        <v>Yurtdışı</v>
      </c>
      <c r="W52" s="62">
        <f>IF(B52="","",VLOOKUP(AD52,Varsayımlar!$B:$Q,14,0))</f>
        <v>12</v>
      </c>
      <c r="X52" s="63">
        <v>46200</v>
      </c>
      <c r="Y52" s="63">
        <v>46565</v>
      </c>
      <c r="Z52" s="62">
        <v>26062725</v>
      </c>
      <c r="AA52" s="62" t="str">
        <f>IF(B52="","",VLOOKUP(AD52,Varsayımlar!$B:$Q,15,0))</f>
        <v>25cm Koli - Tortillove 390g Etiketli</v>
      </c>
      <c r="AB52" s="62" t="str">
        <f>IF(B52="","",VLOOKUP(AD52,Varsayımlar!$B:$Q,16,0))</f>
        <v>24-26 cm</v>
      </c>
      <c r="AC52" s="62">
        <f>IF(B52="","",VLOOKUP(Sayfa1!AD31,Varsayımlar!B:S,18,0))</f>
        <v>0</v>
      </c>
      <c r="AD52" s="57" t="str">
        <f t="shared" si="1"/>
        <v>ALDİ - KOSOVATortillove 25cm 6pcs 390g</v>
      </c>
    </row>
    <row r="53" spans="1:30" ht="63" x14ac:dyDescent="0.25">
      <c r="A53" s="8" t="s">
        <v>80</v>
      </c>
      <c r="B53" s="62" t="s">
        <v>181</v>
      </c>
      <c r="C53" s="32">
        <f>IF(B53="","",VLOOKUP(AD53,Varsayımlar!$B:$Q,3,0))</f>
        <v>8698829380698</v>
      </c>
      <c r="D53" s="32"/>
      <c r="E53" s="62" t="s">
        <v>189</v>
      </c>
      <c r="F53" s="62">
        <v>26060101</v>
      </c>
      <c r="G53" s="32"/>
      <c r="H53" s="62" t="str">
        <f>IF(B53="","",VLOOKUP(AD53,Varsayımlar!$B:$Q,5,0))</f>
        <v>Tortillas 25cm</v>
      </c>
      <c r="I53" s="62" t="str">
        <f>IF(B53="","",VLOOKUP(AD53,Varsayımlar!B:T,19,0))</f>
        <v>Barkod üzerine Arnavutça içerik+Barkod-Tortillas</v>
      </c>
      <c r="J53" s="62" t="str">
        <f>IF(B53="","",VLOOKUP(AD53,Varsayımlar!$B:$Q,6,0))</f>
        <v>SADE</v>
      </c>
      <c r="K53" s="62">
        <v>84</v>
      </c>
      <c r="L53" s="62"/>
      <c r="M53" s="62">
        <f>IFERROR(IF(B53="","",K53/VLOOKUP(AD53,Varsayımlar!B:R,17,0)),"")</f>
        <v>1</v>
      </c>
      <c r="N53" s="62"/>
      <c r="O53" s="62">
        <v>1</v>
      </c>
      <c r="P53" s="62">
        <f>IF(B53="","",VLOOKUP(AD53,Varsayımlar!$B:$Q,7,0)*K53)</f>
        <v>1512</v>
      </c>
      <c r="Q53" s="62">
        <f>IF(B53="","",VLOOKUP(AD53,Varsayımlar!$B:$Q,8,0))</f>
        <v>25</v>
      </c>
      <c r="R53" s="62" t="str">
        <f>IF(B53="","",VLOOKUP(AD53,Varsayımlar!$B:$Q,9,0))</f>
        <v>Irak Soft</v>
      </c>
      <c r="S53" s="62">
        <f>IF(B53="","",VLOOKUP(AD53,Varsayımlar!$B:$Q,10,0))</f>
        <v>6</v>
      </c>
      <c r="T53" s="62">
        <f>IF(B53="","",VLOOKUP(AD53,Varsayımlar!$B:$Q,11,0))</f>
        <v>18</v>
      </c>
      <c r="U53" s="62">
        <f>IF(B53="","",VLOOKUP(AD53,Varsayımlar!$B:$Q,12,0))</f>
        <v>390</v>
      </c>
      <c r="V53" s="62" t="str">
        <f>IF(B53="","",VLOOKUP(AD53,Varsayımlar!$B:$Q,13,0))</f>
        <v>Yurtdışı</v>
      </c>
      <c r="W53" s="62">
        <f>IF(B53="","",VLOOKUP(AD53,Varsayımlar!$B:$Q,14,0))</f>
        <v>12</v>
      </c>
      <c r="X53" s="63">
        <v>46200</v>
      </c>
      <c r="Y53" s="63">
        <v>46565</v>
      </c>
      <c r="Z53" s="62">
        <v>26062725</v>
      </c>
      <c r="AA53" s="62" t="str">
        <f>IF(B53="","",VLOOKUP(AD53,Varsayımlar!$B:$Q,15,0))</f>
        <v>25cm Koli - Tortillas 390g Etiketli</v>
      </c>
      <c r="AB53" s="62" t="str">
        <f>IF(B53="","",VLOOKUP(AD53,Varsayımlar!$B:$Q,16,0))</f>
        <v>24-26 cm</v>
      </c>
      <c r="AC53" s="62">
        <f>IF(B53="","",VLOOKUP(Sayfa1!AD32,Varsayımlar!B:S,18,0))</f>
        <v>0</v>
      </c>
      <c r="AD53" s="57" t="str">
        <f t="shared" si="1"/>
        <v>ALDİ - KOSOVATortillas 25cm 6pcs 390g</v>
      </c>
    </row>
    <row r="54" spans="1:30" ht="47.25" x14ac:dyDescent="0.25">
      <c r="A54" s="8" t="s">
        <v>81</v>
      </c>
      <c r="B54" s="62" t="s">
        <v>181</v>
      </c>
      <c r="C54" s="32">
        <f>IF(B54="","",VLOOKUP(AD54,Varsayımlar!$B:$Q,3,0))</f>
        <v>8698829380698</v>
      </c>
      <c r="D54" s="32"/>
      <c r="E54" s="62" t="s">
        <v>192</v>
      </c>
      <c r="F54" s="62">
        <v>26060101</v>
      </c>
      <c r="G54" s="32"/>
      <c r="H54" s="62" t="str">
        <f>IF(B54="","",VLOOKUP(AD54,Varsayımlar!$B:$Q,5,0))</f>
        <v>Tortillove 25cm</v>
      </c>
      <c r="I54" s="62" t="str">
        <f>IF(B54="","",VLOOKUP(AD54,Varsayımlar!B:T,19,0))</f>
        <v>Arka kısma Arnavutça içerik-Tortillove</v>
      </c>
      <c r="J54" s="62" t="str">
        <f>IF(B54="","",VLOOKUP(AD54,Varsayımlar!$B:$Q,6,0))</f>
        <v>SADE</v>
      </c>
      <c r="K54" s="62">
        <v>168</v>
      </c>
      <c r="L54" s="62"/>
      <c r="M54" s="62">
        <f>IFERROR(IF(B54="","",K54/VLOOKUP(AD54,Varsayımlar!B:R,17,0)),"")</f>
        <v>2</v>
      </c>
      <c r="N54" s="62"/>
      <c r="O54" s="62">
        <v>2</v>
      </c>
      <c r="P54" s="62">
        <f>IF(B54="","",VLOOKUP(AD54,Varsayımlar!$B:$Q,7,0)*K54)</f>
        <v>2016</v>
      </c>
      <c r="Q54" s="62">
        <f>IF(B54="","",VLOOKUP(AD54,Varsayımlar!$B:$Q,8,0))</f>
        <v>25</v>
      </c>
      <c r="R54" s="62" t="str">
        <f>IF(B54="","",VLOOKUP(AD54,Varsayımlar!$B:$Q,9,0))</f>
        <v>Irak Soft</v>
      </c>
      <c r="S54" s="62">
        <f>IF(B54="","",VLOOKUP(AD54,Varsayımlar!$B:$Q,10,0))</f>
        <v>10</v>
      </c>
      <c r="T54" s="62">
        <f>IF(B54="","",VLOOKUP(AD54,Varsayımlar!$B:$Q,11,0))</f>
        <v>12</v>
      </c>
      <c r="U54" s="62">
        <f>IF(B54="","",VLOOKUP(AD54,Varsayımlar!$B:$Q,12,0))</f>
        <v>650</v>
      </c>
      <c r="V54" s="62" t="str">
        <f>IF(B54="","",VLOOKUP(AD54,Varsayımlar!$B:$Q,13,0))</f>
        <v>Yurtdışı</v>
      </c>
      <c r="W54" s="62">
        <f>IF(B54="","",VLOOKUP(AD54,Varsayımlar!$B:$Q,14,0))</f>
        <v>12</v>
      </c>
      <c r="X54" s="63">
        <v>46200</v>
      </c>
      <c r="Y54" s="63">
        <v>46565</v>
      </c>
      <c r="Z54" s="62">
        <v>26062725</v>
      </c>
      <c r="AA54" s="62" t="str">
        <f>IF(B54="","",VLOOKUP(AD54,Varsayımlar!$B:$Q,15,0))</f>
        <v>25cm Koli - Tortillove 650g Etiketli</v>
      </c>
      <c r="AB54" s="62" t="str">
        <f>IF(B54="","",VLOOKUP(AD54,Varsayımlar!$B:$Q,16,0))</f>
        <v>24-26 cm</v>
      </c>
      <c r="AC54" s="62">
        <f>IF(B54="","",VLOOKUP(Sayfa1!AD33,Varsayımlar!B:S,18,0))</f>
        <v>0</v>
      </c>
      <c r="AD54" s="57" t="str">
        <f t="shared" si="1"/>
        <v>ALDİ - KOSOVATortillove 25cm 10pcs 650g</v>
      </c>
    </row>
    <row r="55" spans="1:30" ht="47.25" x14ac:dyDescent="0.25">
      <c r="A55" s="8" t="s">
        <v>82</v>
      </c>
      <c r="B55" s="62" t="s">
        <v>181</v>
      </c>
      <c r="C55" s="32">
        <f>IF(B55="","",VLOOKUP(AD55,Varsayımlar!$B:$Q,3,0))</f>
        <v>8698829380698</v>
      </c>
      <c r="D55" s="32"/>
      <c r="E55" s="62" t="s">
        <v>193</v>
      </c>
      <c r="F55" s="62">
        <v>26060101</v>
      </c>
      <c r="G55" s="32"/>
      <c r="H55" s="62" t="str">
        <f>IF(B55="","",VLOOKUP(AD55,Varsayımlar!$B:$Q,5,0))</f>
        <v>Tortillas 25cm</v>
      </c>
      <c r="I55" s="62" t="str">
        <f>IF(B55="","",VLOOKUP(AD55,Varsayımlar!B:T,19,0))</f>
        <v>Arka kısma Arnavutça içerik-Tortillas</v>
      </c>
      <c r="J55" s="62" t="str">
        <f>IF(B55="","",VLOOKUP(AD55,Varsayımlar!$B:$Q,6,0))</f>
        <v>SADE</v>
      </c>
      <c r="K55" s="62">
        <v>84</v>
      </c>
      <c r="L55" s="62"/>
      <c r="M55" s="62">
        <f>IFERROR(IF(B55="","",K55/VLOOKUP(AD55,Varsayımlar!B:R,17,0)),"")</f>
        <v>1</v>
      </c>
      <c r="N55" s="62"/>
      <c r="O55" s="62">
        <v>2</v>
      </c>
      <c r="P55" s="62">
        <f>IF(B55="","",VLOOKUP(AD55,Varsayımlar!$B:$Q,7,0)*K55)</f>
        <v>1008</v>
      </c>
      <c r="Q55" s="62">
        <f>IF(B55="","",VLOOKUP(AD55,Varsayımlar!$B:$Q,8,0))</f>
        <v>25</v>
      </c>
      <c r="R55" s="62" t="str">
        <f>IF(B55="","",VLOOKUP(AD55,Varsayımlar!$B:$Q,9,0))</f>
        <v>Irak Soft</v>
      </c>
      <c r="S55" s="62">
        <f>IF(B55="","",VLOOKUP(AD55,Varsayımlar!$B:$Q,10,0))</f>
        <v>10</v>
      </c>
      <c r="T55" s="62">
        <f>IF(B55="","",VLOOKUP(AD55,Varsayımlar!$B:$Q,11,0))</f>
        <v>12</v>
      </c>
      <c r="U55" s="62">
        <f>IF(B55="","",VLOOKUP(AD55,Varsayımlar!$B:$Q,12,0))</f>
        <v>650</v>
      </c>
      <c r="V55" s="62" t="str">
        <f>IF(B55="","",VLOOKUP(AD55,Varsayımlar!$B:$Q,13,0))</f>
        <v>Yurtdışı</v>
      </c>
      <c r="W55" s="62">
        <f>IF(B55="","",VLOOKUP(AD55,Varsayımlar!$B:$Q,14,0))</f>
        <v>12</v>
      </c>
      <c r="X55" s="63">
        <v>46200</v>
      </c>
      <c r="Y55" s="63">
        <v>46565</v>
      </c>
      <c r="Z55" s="62">
        <v>26062725</v>
      </c>
      <c r="AA55" s="62" t="str">
        <f>IF(B55="","",VLOOKUP(AD55,Varsayımlar!$B:$Q,15,0))</f>
        <v>25cm Koli - Tortillas 650g Etiketli</v>
      </c>
      <c r="AB55" s="62" t="str">
        <f>IF(B55="","",VLOOKUP(AD55,Varsayımlar!$B:$Q,16,0))</f>
        <v>24-26 cm</v>
      </c>
      <c r="AC55" s="62">
        <f>IF(B55="","",VLOOKUP(Sayfa1!AD34,Varsayımlar!B:S,18,0))</f>
        <v>0</v>
      </c>
      <c r="AD55" s="57" t="str">
        <f t="shared" si="1"/>
        <v>ALDİ - KOSOVATortillas 25cm 10pcs 650g</v>
      </c>
    </row>
    <row r="56" spans="1:30" ht="31.5" hidden="1" x14ac:dyDescent="0.25">
      <c r="A56" s="8" t="s">
        <v>83</v>
      </c>
      <c r="B56" s="64" t="s">
        <v>288</v>
      </c>
      <c r="C56" s="3">
        <f>IF(B56="","",VLOOKUP(AD56,Varsayımlar!$B:$Q,3,0))</f>
        <v>8698829380698</v>
      </c>
      <c r="D56" s="3"/>
      <c r="E56" s="64" t="s">
        <v>292</v>
      </c>
      <c r="F56" s="64">
        <v>20201016</v>
      </c>
      <c r="G56" s="3" t="s">
        <v>68</v>
      </c>
      <c r="H56" s="64" t="str">
        <f>IF(B56="","",VLOOKUP(AD56,Varsayımlar!$B:$Q,5,0))</f>
        <v>Kırmızı Tortillas 25cm Sade</v>
      </c>
      <c r="I56" s="64" t="str">
        <f>IF(B56="","",VLOOKUP(AD56,Varsayımlar!B:T,19,0))</f>
        <v>Arka kısma İçerik</v>
      </c>
      <c r="J56" s="64" t="str">
        <f>IF(B56="","",VLOOKUP(AD56,Varsayımlar!$B:$Q,6,0))</f>
        <v>SADE</v>
      </c>
      <c r="K56" s="64">
        <v>250</v>
      </c>
      <c r="L56" s="64"/>
      <c r="M56" s="64">
        <f>IFERROR(IF(B56="","",K56/VLOOKUP(AD56,Varsayımlar!B:R,17,0)),"")</f>
        <v>5</v>
      </c>
      <c r="N56" s="64"/>
      <c r="O56" s="64">
        <v>4</v>
      </c>
      <c r="P56" s="64">
        <f>IF(B56="","",VLOOKUP(AD56,Varsayımlar!$B:$Q,7,0)*K56)</f>
        <v>4500</v>
      </c>
      <c r="Q56" s="64">
        <f>IF(B56="","",VLOOKUP(AD56,Varsayımlar!$B:$Q,8,0))</f>
        <v>25</v>
      </c>
      <c r="R56" s="64" t="str">
        <f>IF(B56="","",VLOOKUP(AD56,Varsayımlar!$B:$Q,9,0))</f>
        <v>Irak Soft</v>
      </c>
      <c r="S56" s="64">
        <f>IF(B56="","",VLOOKUP(AD56,Varsayımlar!$B:$Q,10,0))</f>
        <v>6</v>
      </c>
      <c r="T56" s="64">
        <f>IF(B56="","",VLOOKUP(AD56,Varsayımlar!$B:$Q,11,0))</f>
        <v>18</v>
      </c>
      <c r="U56" s="64">
        <f>IF(B56="","",VLOOKUP(AD56,Varsayımlar!$B:$Q,12,0))</f>
        <v>390</v>
      </c>
      <c r="V56" s="64" t="str">
        <f>IF(B56="","",VLOOKUP(AD56,Varsayımlar!$B:$Q,13,0))</f>
        <v>YURTDIŞI</v>
      </c>
      <c r="W56" s="64">
        <f>IF(B56="","",VLOOKUP(AD56,Varsayımlar!$B:$Q,14,0))</f>
        <v>9</v>
      </c>
      <c r="X56" s="66">
        <v>46202</v>
      </c>
      <c r="Y56" s="66">
        <v>46475</v>
      </c>
      <c r="Z56" s="64">
        <v>26062925</v>
      </c>
      <c r="AA56" s="64" t="str">
        <f>IF(B56="","",VLOOKUP(AD56,Varsayımlar!$B:$Q,15,0))</f>
        <v>25cm Koli</v>
      </c>
      <c r="AB56" s="64" t="str">
        <f>IF(B56="","",VLOOKUP(AD56,Varsayımlar!$B:$Q,16,0))</f>
        <v>24-26 cm</v>
      </c>
      <c r="AC56" s="64" t="str">
        <f>IF(B56="","",VLOOKUP(Sayfa1!AD42,Varsayımlar!B:S,18,0))</f>
        <v>80x120cm</v>
      </c>
      <c r="AD56" s="57" t="str">
        <f t="shared" si="1"/>
        <v>UNITERA-KAZAKİSTANKırmızı Tortillas 25cm Sade 6pcs 390g</v>
      </c>
    </row>
    <row r="57" spans="1:30" ht="31.5" hidden="1" x14ac:dyDescent="0.25">
      <c r="A57" s="8" t="s">
        <v>84</v>
      </c>
      <c r="B57" s="80" t="s">
        <v>218</v>
      </c>
      <c r="C57" s="44">
        <f>IF(B57="","",VLOOKUP(AD57,Varsayımlar!$B:$Q,3,0))</f>
        <v>8698829380698</v>
      </c>
      <c r="D57" s="44" t="s">
        <v>160</v>
      </c>
      <c r="E57" s="80" t="s">
        <v>228</v>
      </c>
      <c r="F57" s="80">
        <v>26042907</v>
      </c>
      <c r="G57" s="44"/>
      <c r="H57" s="80" t="str">
        <f>IF(B57="","",VLOOKUP(AD57,Varsayımlar!$B:$Q,5,0))</f>
        <v>Tortillas Avrupa 25cm (698)</v>
      </c>
      <c r="I57" s="80">
        <f>IF(B57="","",VLOOKUP(AD57,Varsayımlar!B:T,19,0))</f>
        <v>0</v>
      </c>
      <c r="J57" s="80" t="str">
        <f>IF(B57="","",VLOOKUP(AD57,Varsayımlar!$B:$Q,6,0))</f>
        <v>SADE</v>
      </c>
      <c r="K57" s="80">
        <v>720</v>
      </c>
      <c r="L57" s="80"/>
      <c r="M57" s="80">
        <f>IFERROR(IF(B57="","",K57/VLOOKUP(AD57,Varsayımlar!B:R,17,0)),"")</f>
        <v>6</v>
      </c>
      <c r="N57" s="80"/>
      <c r="O57" s="80">
        <v>7</v>
      </c>
      <c r="P57" s="80">
        <f>IF(B57="","",VLOOKUP(AD57,Varsayımlar!$B:$Q,7,0)*K57)</f>
        <v>5760</v>
      </c>
      <c r="Q57" s="80">
        <f>IF(B57="","",VLOOKUP(AD57,Varsayımlar!$B:$Q,8,0))</f>
        <v>25</v>
      </c>
      <c r="R57" s="80" t="str">
        <f>IF(B57="","",VLOOKUP(AD57,Varsayımlar!$B:$Q,9,0))</f>
        <v>Irak Soft</v>
      </c>
      <c r="S57" s="80">
        <f>IF(B57="","",VLOOKUP(AD57,Varsayımlar!$B:$Q,10,0))</f>
        <v>10</v>
      </c>
      <c r="T57" s="80">
        <f>IF(B57="","",VLOOKUP(AD57,Varsayımlar!$B:$Q,11,0))</f>
        <v>8</v>
      </c>
      <c r="U57" s="80">
        <f>IF(B57="","",VLOOKUP(AD57,Varsayımlar!$B:$Q,12,0))</f>
        <v>650</v>
      </c>
      <c r="V57" s="80" t="str">
        <f>IF(B57="","",VLOOKUP(AD57,Varsayımlar!$B:$Q,13,0))</f>
        <v>Yurtdışı</v>
      </c>
      <c r="W57" s="80">
        <f>IF(B57="","",VLOOKUP(AD57,Varsayımlar!$B:$Q,14,0))</f>
        <v>9</v>
      </c>
      <c r="X57" s="81">
        <v>46203</v>
      </c>
      <c r="Y57" s="81">
        <v>46476</v>
      </c>
      <c r="Z57" s="80">
        <v>26063025</v>
      </c>
      <c r="AA57" s="80" t="str">
        <f>IF(B57="","",VLOOKUP(AD57,Varsayımlar!$B:$Q,15,0))</f>
        <v>25cm Perforeli-Bulgarca etiket</v>
      </c>
      <c r="AB57" s="80" t="str">
        <f>IF(B57="","",VLOOKUP(AD57,Varsayımlar!$B:$Q,16,0))</f>
        <v>24-26 cm</v>
      </c>
      <c r="AC57" s="80" t="str">
        <f>IF(B57="","",VLOOKUP(Sayfa1!AD56,Varsayımlar!B:S,18,0))</f>
        <v>80x120cm -Epal+Epal</v>
      </c>
      <c r="AD57" s="57" t="str">
        <f t="shared" si="1"/>
        <v>TASTE LAND-BULGARİSTANTortillas 25cm Sade 10pcs 650g</v>
      </c>
    </row>
    <row r="58" spans="1:30" ht="47.25" hidden="1" x14ac:dyDescent="0.25">
      <c r="A58" s="8" t="s">
        <v>85</v>
      </c>
      <c r="B58" s="54" t="s">
        <v>268</v>
      </c>
      <c r="C58" s="39">
        <f>IF(B58="","",VLOOKUP(AD58,Varsayımlar!$B:$Q,3,0))</f>
        <v>8698829380698</v>
      </c>
      <c r="D58" s="39" t="s">
        <v>160</v>
      </c>
      <c r="E58" s="54" t="s">
        <v>342</v>
      </c>
      <c r="F58" s="54" t="s">
        <v>343</v>
      </c>
      <c r="G58" s="39" t="s">
        <v>68</v>
      </c>
      <c r="H58" s="54" t="str">
        <f>IF(B58="","",VLOOKUP(AD58,Varsayımlar!$B:$Q,5,0))</f>
        <v>Tortillas 25cm Sade</v>
      </c>
      <c r="I58" s="54">
        <f>IF(B58="","",VLOOKUP(AD58,Varsayımlar!B:T,19,0))</f>
        <v>0</v>
      </c>
      <c r="J58" s="54" t="str">
        <f>IF(B58="","",VLOOKUP(AD58,Varsayımlar!$B:$Q,6,0))</f>
        <v>SADE</v>
      </c>
      <c r="K58" s="54">
        <v>420</v>
      </c>
      <c r="L58" s="54"/>
      <c r="M58" s="54">
        <f>IFERROR(IF(B58="","",K58/VLOOKUP(AD58,Varsayımlar!B:R,17,0)),"")</f>
        <v>5</v>
      </c>
      <c r="N58" s="54"/>
      <c r="O58" s="54">
        <v>7</v>
      </c>
      <c r="P58" s="54">
        <f>IF(B58="","",VLOOKUP(AD58,Varsayımlar!$B:$Q,7,0)*K58)</f>
        <v>12600</v>
      </c>
      <c r="Q58" s="54">
        <f>IF(B58="","",VLOOKUP(AD58,Varsayımlar!$B:$Q,8,0))</f>
        <v>25</v>
      </c>
      <c r="R58" s="54" t="str">
        <f>IF(B58="","",VLOOKUP(AD58,Varsayımlar!$B:$Q,9,0))</f>
        <v>Soft-PA3</v>
      </c>
      <c r="S58" s="54">
        <f>IF(B58="","",VLOOKUP(AD58,Varsayımlar!$B:$Q,10,0))</f>
        <v>4</v>
      </c>
      <c r="T58" s="54">
        <f>IF(B58="","",VLOOKUP(AD58,Varsayımlar!$B:$Q,11,0))</f>
        <v>30</v>
      </c>
      <c r="U58" s="54">
        <f>IF(B58="","",VLOOKUP(AD58,Varsayımlar!$B:$Q,12,0))</f>
        <v>240</v>
      </c>
      <c r="V58" s="54" t="str">
        <f>IF(B58="","",VLOOKUP(AD58,Varsayımlar!$B:$Q,13,0))</f>
        <v>Yurtdışı</v>
      </c>
      <c r="W58" s="54">
        <f>IF(B58="","",VLOOKUP(AD58,Varsayımlar!$B:$Q,14,0))</f>
        <v>12</v>
      </c>
      <c r="X58" s="56">
        <v>46205</v>
      </c>
      <c r="Y58" s="56">
        <v>46570</v>
      </c>
      <c r="Z58" s="54">
        <v>26070225</v>
      </c>
      <c r="AA58" s="54" t="str">
        <f>IF(B58="","",VLOOKUP(AD58,Varsayımlar!$B:$Q,15,0))</f>
        <v>25cm Kolisi-Etiketli</v>
      </c>
      <c r="AB58" s="54" t="str">
        <f>IF(B58="","",VLOOKUP(AD58,Varsayımlar!$B:$Q,16,0))</f>
        <v>24-26 cm (Macca Hetto Inkjet Uzun Tarih)</v>
      </c>
      <c r="AC58" s="54" t="str">
        <f>IF(B58="","",VLOOKUP(Sayfa1!AD35,Varsayımlar!B:S,18,0))</f>
        <v>80x120cm</v>
      </c>
      <c r="AD58" s="57" t="str">
        <f>IF(B58="","",CONCATENATE(B58,E58))</f>
        <v>LAIKYUZHN-BELARUSTortillas 25cm Sade 4pcs 240g</v>
      </c>
    </row>
    <row r="59" spans="1:30" ht="47.25" hidden="1" x14ac:dyDescent="0.25">
      <c r="A59" s="8" t="s">
        <v>86</v>
      </c>
      <c r="B59" s="64" t="s">
        <v>119</v>
      </c>
      <c r="C59" s="3">
        <f>IF(B59="","",VLOOKUP(AD59,Varsayımlar!$B:$Q,3,0))</f>
        <v>8698829380698</v>
      </c>
      <c r="D59" s="3"/>
      <c r="E59" s="65" t="s">
        <v>120</v>
      </c>
      <c r="F59" s="64"/>
      <c r="G59" s="64"/>
      <c r="H59" s="64" t="str">
        <f>IF(B59="","",VLOOKUP(AD59,Varsayımlar!$B:$Q,5,0))</f>
        <v>Nimet 25 cm</v>
      </c>
      <c r="I59" s="64"/>
      <c r="J59" s="64" t="str">
        <f>IF(B59="","",VLOOKUP(AD59,Varsayımlar!$B:$Q,6,0))</f>
        <v>SADE</v>
      </c>
      <c r="K59" s="64">
        <v>4000</v>
      </c>
      <c r="L59" s="64"/>
      <c r="M59" s="64">
        <f>IFERROR(IF(B59="","",K59/VLOOKUP(AD59,Varsayımlar!B:R,17,0)),"")</f>
        <v>80</v>
      </c>
      <c r="N59" s="64"/>
      <c r="O59" s="64">
        <v>60</v>
      </c>
      <c r="P59" s="64">
        <f>IF(B59="","",VLOOKUP(AD59,Varsayımlar!$B:$Q,7,0)*K59)</f>
        <v>48000</v>
      </c>
      <c r="Q59" s="64">
        <f>IF(B59="","",VLOOKUP(AD59,Varsayımlar!$B:$Q,8,0))</f>
        <v>25</v>
      </c>
      <c r="R59" s="64" t="str">
        <f>IF(B59="","",VLOOKUP(AD59,Varsayımlar!$B:$Q,9,0))</f>
        <v>Standart</v>
      </c>
      <c r="S59" s="64">
        <f>IF(B59="","",VLOOKUP(AD59,Varsayımlar!$B:$Q,10,0))</f>
        <v>12</v>
      </c>
      <c r="T59" s="64">
        <f>IF(B59="","",VLOOKUP(AD59,Varsayımlar!$B:$Q,11,0))</f>
        <v>12</v>
      </c>
      <c r="U59" s="64">
        <f>IF(B59="","",VLOOKUP(AD59,Varsayımlar!$B:$Q,12,0))</f>
        <v>840</v>
      </c>
      <c r="V59" s="64" t="str">
        <f>IF(B59="","",VLOOKUP(AD59,Varsayımlar!$B:$Q,13,0))</f>
        <v>YURTİÇİ</v>
      </c>
      <c r="W59" s="64">
        <f>IF(B59="","",VLOOKUP(AD59,Varsayımlar!$B:$Q,14,0))</f>
        <v>5</v>
      </c>
      <c r="X59" s="66" t="s">
        <v>113</v>
      </c>
      <c r="Y59" s="66" t="s">
        <v>113</v>
      </c>
      <c r="Z59" s="64" t="s">
        <v>113</v>
      </c>
      <c r="AA59" s="64" t="str">
        <f>IF(B59="","",VLOOKUP(AD59,Varsayımlar!$B:$Q,15,0))</f>
        <v>Nimet Kolisi</v>
      </c>
      <c r="AB59" s="64" t="str">
        <f>IF(B59="","",VLOOKUP(AD59,Varsayımlar!$B:$Q,16,0))</f>
        <v>24-26 CM</v>
      </c>
      <c r="AC59" s="64" t="s">
        <v>360</v>
      </c>
      <c r="AD59" s="57" t="str">
        <f t="shared" ref="AD59:AD66" si="2">IF(B59="","",CONCATENATE(B59,E59))</f>
        <v>A101Nimet 25cm 12 pcs 840g</v>
      </c>
    </row>
    <row r="60" spans="1:30" ht="31.5" hidden="1" x14ac:dyDescent="0.25">
      <c r="A60" s="8" t="s">
        <v>87</v>
      </c>
      <c r="B60" s="75" t="s">
        <v>218</v>
      </c>
      <c r="C60" s="43">
        <f>IF(B60="","",VLOOKUP(AD60,Varsayımlar!$B:$Q,3,0))</f>
        <v>8698829380698</v>
      </c>
      <c r="D60" s="43" t="s">
        <v>161</v>
      </c>
      <c r="E60" s="75" t="s">
        <v>228</v>
      </c>
      <c r="F60" s="75" t="s">
        <v>341</v>
      </c>
      <c r="G60" s="43"/>
      <c r="H60" s="75" t="str">
        <f>IF(B60="","",VLOOKUP(AD60,Varsayımlar!$B:$Q,5,0))</f>
        <v>Tortillas Avrupa 25cm (698)</v>
      </c>
      <c r="I60" s="75">
        <f>IF(B60="","",VLOOKUP(AD60,Varsayımlar!B:T,19,0))</f>
        <v>0</v>
      </c>
      <c r="J60" s="75" t="str">
        <f>IF(B60="","",VLOOKUP(AD60,Varsayımlar!$B:$Q,6,0))</f>
        <v>SADE</v>
      </c>
      <c r="K60" s="75">
        <v>720</v>
      </c>
      <c r="L60" s="75"/>
      <c r="M60" s="75">
        <f>IFERROR(IF(B60="","",K60/VLOOKUP(AD60,Varsayımlar!B:R,17,0)),"")</f>
        <v>6</v>
      </c>
      <c r="N60" s="75"/>
      <c r="O60" s="75">
        <v>7</v>
      </c>
      <c r="P60" s="75">
        <f>IF(B60="","",VLOOKUP(AD60,Varsayımlar!$B:$Q,7,0)*K60)</f>
        <v>5760</v>
      </c>
      <c r="Q60" s="75">
        <f>IF(B60="","",VLOOKUP(AD60,Varsayımlar!$B:$Q,8,0))</f>
        <v>25</v>
      </c>
      <c r="R60" s="75" t="str">
        <f>IF(B60="","",VLOOKUP(AD60,Varsayımlar!$B:$Q,9,0))</f>
        <v>Irak Soft</v>
      </c>
      <c r="S60" s="75">
        <f>IF(B60="","",VLOOKUP(AD60,Varsayımlar!$B:$Q,10,0))</f>
        <v>10</v>
      </c>
      <c r="T60" s="75">
        <f>IF(B60="","",VLOOKUP(AD60,Varsayımlar!$B:$Q,11,0))</f>
        <v>8</v>
      </c>
      <c r="U60" s="75">
        <f>IF(B60="","",VLOOKUP(AD60,Varsayımlar!$B:$Q,12,0))</f>
        <v>650</v>
      </c>
      <c r="V60" s="75" t="str">
        <f>IF(B60="","",VLOOKUP(AD60,Varsayımlar!$B:$Q,13,0))</f>
        <v>Yurtdışı</v>
      </c>
      <c r="W60" s="75">
        <f>IF(B60="","",VLOOKUP(AD60,Varsayımlar!$B:$Q,14,0))</f>
        <v>9</v>
      </c>
      <c r="X60" s="76"/>
      <c r="Y60" s="76"/>
      <c r="Z60" s="75"/>
      <c r="AA60" s="75" t="str">
        <f>IF(B60="","",VLOOKUP(AD60,Varsayımlar!$B:$Q,15,0))</f>
        <v>25cm Perforeli-Bulgarca etiket</v>
      </c>
      <c r="AB60" s="75" t="str">
        <f>IF(B60="","",VLOOKUP(AD60,Varsayımlar!$B:$Q,16,0))</f>
        <v>24-26 cm</v>
      </c>
      <c r="AC60" s="75" t="str">
        <f>IF(B60="","",VLOOKUP(Sayfa1!AD61,Varsayımlar!B:S,18,0))</f>
        <v>80x120cm -Epal+Epal</v>
      </c>
      <c r="AD60" s="57" t="str">
        <f t="shared" si="2"/>
        <v>TASTE LAND-BULGARİSTANTortillas 25cm Sade 10pcs 650g</v>
      </c>
    </row>
    <row r="61" spans="1:30" ht="47.25" hidden="1" x14ac:dyDescent="0.25">
      <c r="A61" s="8" t="s">
        <v>88</v>
      </c>
      <c r="B61" s="75" t="s">
        <v>218</v>
      </c>
      <c r="C61" s="43">
        <f>IF(B61="","",VLOOKUP(AD61,Varsayımlar!$B:$Q,3,0))</f>
        <v>8698829380698</v>
      </c>
      <c r="D61" s="43" t="s">
        <v>161</v>
      </c>
      <c r="E61" s="75" t="s">
        <v>250</v>
      </c>
      <c r="F61" s="75" t="s">
        <v>341</v>
      </c>
      <c r="G61" s="43"/>
      <c r="H61" s="75" t="str">
        <f>IF(B61="","",VLOOKUP(AD61,Varsayımlar!$B:$Q,5,0))</f>
        <v>Tortillas Avrupa 25cm (698)</v>
      </c>
      <c r="I61" s="75" t="str">
        <f>IF(B61="","",VLOOKUP(AD61,Varsayımlar!B:T,19,0))</f>
        <v>Barkod üzerine Barkod Etiketi (050)</v>
      </c>
      <c r="J61" s="75" t="str">
        <f>IF(B61="","",VLOOKUP(AD61,Varsayımlar!$B:$Q,6,0))</f>
        <v>SADE</v>
      </c>
      <c r="K61" s="75">
        <v>168</v>
      </c>
      <c r="L61" s="75"/>
      <c r="M61" s="75">
        <f>IFERROR(IF(B61="","",K61/VLOOKUP(AD61,Varsayımlar!B:R,17,0)),"")</f>
        <v>2</v>
      </c>
      <c r="N61" s="75"/>
      <c r="O61" s="75">
        <v>3</v>
      </c>
      <c r="P61" s="75">
        <f>IF(B61="","",VLOOKUP(AD61,Varsayımlar!$B:$Q,7,0)*K61)</f>
        <v>3024</v>
      </c>
      <c r="Q61" s="75">
        <f>IF(B61="","",VLOOKUP(AD61,Varsayımlar!$B:$Q,8,0))</f>
        <v>25</v>
      </c>
      <c r="R61" s="75" t="str">
        <f>IF(B61="","",VLOOKUP(AD61,Varsayımlar!$B:$Q,9,0))</f>
        <v>Irak Soft</v>
      </c>
      <c r="S61" s="75">
        <f>IF(B61="","",VLOOKUP(AD61,Varsayımlar!$B:$Q,10,0))</f>
        <v>6</v>
      </c>
      <c r="T61" s="75">
        <f>IF(B61="","",VLOOKUP(AD61,Varsayımlar!$B:$Q,11,0))</f>
        <v>18</v>
      </c>
      <c r="U61" s="75">
        <f>IF(B61="","",VLOOKUP(AD61,Varsayımlar!$B:$Q,12,0))</f>
        <v>390</v>
      </c>
      <c r="V61" s="75" t="str">
        <f>IF(B61="","",VLOOKUP(AD61,Varsayımlar!$B:$Q,13,0))</f>
        <v>Yurtdışı</v>
      </c>
      <c r="W61" s="75">
        <f>IF(B61="","",VLOOKUP(AD61,Varsayımlar!$B:$Q,14,0))</f>
        <v>9</v>
      </c>
      <c r="X61" s="76"/>
      <c r="Y61" s="76"/>
      <c r="Z61" s="75"/>
      <c r="AA61" s="75" t="str">
        <f>IF(B61="","",VLOOKUP(AD61,Varsayımlar!$B:$Q,15,0))</f>
        <v>25cm Kırmızı koli-Bulgarca Etiket</v>
      </c>
      <c r="AB61" s="75" t="str">
        <f>IF(B61="","",VLOOKUP(AD61,Varsayımlar!$B:$Q,16,0))</f>
        <v>24-26 cm</v>
      </c>
      <c r="AC61" s="75" t="str">
        <f>IF(B61="","",VLOOKUP(Sayfa1!AD62,Varsayımlar!B:S,18,0))</f>
        <v>80x120cm -Epal+Epal</v>
      </c>
      <c r="AD61" s="57" t="str">
        <f t="shared" si="2"/>
        <v>TASTE LAND-BULGARİSTANTortillas 25cm Sade 6pcs 390g</v>
      </c>
    </row>
    <row r="62" spans="1:30" hidden="1" x14ac:dyDescent="0.25">
      <c r="A62" s="8" t="s">
        <v>92</v>
      </c>
      <c r="B62" s="67"/>
      <c r="C62" s="42" t="str">
        <f>IF(B62="","",VLOOKUP(AD62,Varsayımlar!$B:$Q,3,0))</f>
        <v/>
      </c>
      <c r="D62" s="42"/>
      <c r="E62" s="42"/>
      <c r="F62" s="67"/>
      <c r="G62" s="67"/>
      <c r="H62" s="67" t="str">
        <f>IF(B62="","",VLOOKUP(AD62,Varsayımlar!$B:$Q,5,0))</f>
        <v/>
      </c>
      <c r="I62" s="67"/>
      <c r="J62" s="67" t="str">
        <f>IF(B62="","",VLOOKUP(AD62,Varsayımlar!$B:$Q,6,0))</f>
        <v/>
      </c>
      <c r="K62" s="67"/>
      <c r="L62" s="67"/>
      <c r="M62" s="67" t="str">
        <f>IFERROR(IF(B62="","",K62/VLOOKUP(AD62,Varsayımlar!B:R,17,0)),"")</f>
        <v/>
      </c>
      <c r="N62" s="67"/>
      <c r="O62" s="67"/>
      <c r="P62" s="67" t="str">
        <f>IF(B62="","",VLOOKUP(AD62,Varsayımlar!$B:$Q,7,0)*K62)</f>
        <v/>
      </c>
      <c r="Q62" s="67" t="str">
        <f>IF(B62="","",VLOOKUP(AD62,Varsayımlar!$B:$Q,8,0))</f>
        <v/>
      </c>
      <c r="R62" s="67" t="str">
        <f>IF(B62="","",VLOOKUP(AD62,Varsayımlar!$B:$Q,9,0))</f>
        <v/>
      </c>
      <c r="S62" s="67" t="str">
        <f>IF(B62="","",VLOOKUP(AD62,Varsayımlar!$B:$Q,10,0))</f>
        <v/>
      </c>
      <c r="T62" s="67" t="str">
        <f>IF(B62="","",VLOOKUP(AD62,Varsayımlar!$B:$Q,11,0))</f>
        <v/>
      </c>
      <c r="U62" s="67" t="str">
        <f>IF(B62="","",VLOOKUP(AD62,Varsayımlar!$B:$Q,12,0))</f>
        <v/>
      </c>
      <c r="V62" s="67" t="str">
        <f>IF(B62="","",VLOOKUP(AD62,Varsayımlar!$B:$Q,13,0))</f>
        <v/>
      </c>
      <c r="W62" s="67" t="str">
        <f>IF(B62="","",VLOOKUP(AD62,Varsayımlar!$B:$Q,14,0))</f>
        <v/>
      </c>
      <c r="X62" s="69"/>
      <c r="Y62" s="69"/>
      <c r="Z62" s="67"/>
      <c r="AA62" s="67" t="str">
        <f>IF(B62="","",VLOOKUP(AD62,Varsayımlar!$B:$Q,15,0))</f>
        <v/>
      </c>
      <c r="AB62" s="67" t="str">
        <f>IF(B62="","",VLOOKUP(AD62,Varsayımlar!$B:$Q,16,0))</f>
        <v/>
      </c>
      <c r="AC62" s="67"/>
      <c r="AD62" s="57" t="str">
        <f t="shared" si="2"/>
        <v/>
      </c>
    </row>
    <row r="63" spans="1:30" hidden="1" x14ac:dyDescent="0.25">
      <c r="A63" s="8" t="s">
        <v>93</v>
      </c>
      <c r="B63" s="67"/>
      <c r="C63" s="42" t="str">
        <f>IF(B63="","",VLOOKUP(AD63,Varsayımlar!$B:$Q,3,0))</f>
        <v/>
      </c>
      <c r="D63" s="42"/>
      <c r="E63" s="42"/>
      <c r="F63" s="67"/>
      <c r="G63" s="67"/>
      <c r="H63" s="67" t="str">
        <f>IF(B63="","",VLOOKUP(AD63,Varsayımlar!$B:$Q,5,0))</f>
        <v/>
      </c>
      <c r="I63" s="67"/>
      <c r="J63" s="67" t="str">
        <f>IF(B63="","",VLOOKUP(AD63,Varsayımlar!$B:$Q,6,0))</f>
        <v/>
      </c>
      <c r="K63" s="67"/>
      <c r="L63" s="67"/>
      <c r="M63" s="67" t="str">
        <f>IFERROR(IF(B63="","",K63/VLOOKUP(AD63,Varsayımlar!B:R,17,0)),"")</f>
        <v/>
      </c>
      <c r="N63" s="67"/>
      <c r="O63" s="67"/>
      <c r="P63" s="67" t="str">
        <f>IF(B63="","",VLOOKUP(AD63,Varsayımlar!$B:$Q,7,0)*K63)</f>
        <v/>
      </c>
      <c r="Q63" s="67" t="str">
        <f>IF(B63="","",VLOOKUP(AD63,Varsayımlar!$B:$Q,8,0))</f>
        <v/>
      </c>
      <c r="R63" s="67" t="str">
        <f>IF(B63="","",VLOOKUP(AD63,Varsayımlar!$B:$Q,9,0))</f>
        <v/>
      </c>
      <c r="S63" s="67" t="str">
        <f>IF(B63="","",VLOOKUP(AD63,Varsayımlar!$B:$Q,10,0))</f>
        <v/>
      </c>
      <c r="T63" s="67" t="str">
        <f>IF(B63="","",VLOOKUP(AD63,Varsayımlar!$B:$Q,11,0))</f>
        <v/>
      </c>
      <c r="U63" s="67" t="str">
        <f>IF(B63="","",VLOOKUP(AD63,Varsayımlar!$B:$Q,12,0))</f>
        <v/>
      </c>
      <c r="V63" s="67" t="str">
        <f>IF(B63="","",VLOOKUP(AD63,Varsayımlar!$B:$Q,13,0))</f>
        <v/>
      </c>
      <c r="W63" s="67" t="str">
        <f>IF(B63="","",VLOOKUP(AD63,Varsayımlar!$B:$Q,14,0))</f>
        <v/>
      </c>
      <c r="X63" s="69"/>
      <c r="Y63" s="69"/>
      <c r="Z63" s="67"/>
      <c r="AA63" s="67" t="str">
        <f>IF(B63="","",VLOOKUP(AD63,Varsayımlar!$B:$Q,15,0))</f>
        <v/>
      </c>
      <c r="AB63" s="67" t="str">
        <f>IF(B63="","",VLOOKUP(AD63,Varsayımlar!$B:$Q,16,0))</f>
        <v/>
      </c>
      <c r="AC63" s="67"/>
      <c r="AD63" s="57" t="str">
        <f t="shared" si="2"/>
        <v/>
      </c>
    </row>
    <row r="64" spans="1:30" hidden="1" x14ac:dyDescent="0.25">
      <c r="A64" s="8" t="s">
        <v>135</v>
      </c>
      <c r="B64" s="67"/>
      <c r="C64" s="42" t="str">
        <f>IF(B64="","",VLOOKUP(AD64,Varsayımlar!$B:$Q,3,0))</f>
        <v/>
      </c>
      <c r="D64" s="42"/>
      <c r="E64" s="42"/>
      <c r="F64" s="67"/>
      <c r="G64" s="67"/>
      <c r="H64" s="67" t="str">
        <f>IF(B64="","",VLOOKUP(AD64,Varsayımlar!$B:$Q,5,0))</f>
        <v/>
      </c>
      <c r="I64" s="67"/>
      <c r="J64" s="67" t="str">
        <f>IF(B64="","",VLOOKUP(AD64,Varsayımlar!$B:$Q,6,0))</f>
        <v/>
      </c>
      <c r="K64" s="67"/>
      <c r="L64" s="67"/>
      <c r="M64" s="67" t="str">
        <f>IFERROR(IF(B64="","",K64/VLOOKUP(AD64,Varsayımlar!B:R,17,0)),"")</f>
        <v/>
      </c>
      <c r="N64" s="67"/>
      <c r="O64" s="67"/>
      <c r="P64" s="67" t="str">
        <f>IF(B64="","",VLOOKUP(AD64,Varsayımlar!$B:$Q,7,0)*K64)</f>
        <v/>
      </c>
      <c r="Q64" s="67" t="str">
        <f>IF(B64="","",VLOOKUP(AD64,Varsayımlar!$B:$Q,8,0))</f>
        <v/>
      </c>
      <c r="R64" s="67" t="str">
        <f>IF(B64="","",VLOOKUP(AD64,Varsayımlar!$B:$Q,9,0))</f>
        <v/>
      </c>
      <c r="S64" s="67" t="str">
        <f>IF(B64="","",VLOOKUP(AD64,Varsayımlar!$B:$Q,10,0))</f>
        <v/>
      </c>
      <c r="T64" s="67" t="str">
        <f>IF(B64="","",VLOOKUP(AD64,Varsayımlar!$B:$Q,11,0))</f>
        <v/>
      </c>
      <c r="U64" s="67" t="str">
        <f>IF(B64="","",VLOOKUP(AD64,Varsayımlar!$B:$Q,12,0))</f>
        <v/>
      </c>
      <c r="V64" s="67" t="str">
        <f>IF(B64="","",VLOOKUP(AD64,Varsayımlar!$B:$Q,13,0))</f>
        <v/>
      </c>
      <c r="W64" s="67" t="str">
        <f>IF(B64="","",VLOOKUP(AD64,Varsayımlar!$B:$Q,14,0))</f>
        <v/>
      </c>
      <c r="X64" s="69"/>
      <c r="Y64" s="69"/>
      <c r="Z64" s="67"/>
      <c r="AA64" s="67" t="str">
        <f>IF(B64="","",VLOOKUP(AD64,Varsayımlar!$B:$Q,15,0))</f>
        <v/>
      </c>
      <c r="AB64" s="67" t="str">
        <f>IF(B64="","",VLOOKUP(AD64,Varsayımlar!$B:$Q,16,0))</f>
        <v/>
      </c>
      <c r="AC64" s="67"/>
      <c r="AD64" s="57" t="str">
        <f t="shared" si="2"/>
        <v/>
      </c>
    </row>
    <row r="65" spans="1:30" hidden="1" x14ac:dyDescent="0.25">
      <c r="A65" s="8" t="s">
        <v>136</v>
      </c>
      <c r="B65" s="67"/>
      <c r="C65" s="42" t="str">
        <f>IF(B65="","",VLOOKUP(AD65,Varsayımlar!$B:$Q,3,0))</f>
        <v/>
      </c>
      <c r="D65" s="42"/>
      <c r="E65" s="42"/>
      <c r="F65" s="67"/>
      <c r="G65" s="67"/>
      <c r="H65" s="67" t="str">
        <f>IF(B65="","",VLOOKUP(AD65,Varsayımlar!$B:$Q,5,0))</f>
        <v/>
      </c>
      <c r="I65" s="67"/>
      <c r="J65" s="67" t="str">
        <f>IF(B65="","",VLOOKUP(AD65,Varsayımlar!$B:$Q,6,0))</f>
        <v/>
      </c>
      <c r="K65" s="67"/>
      <c r="L65" s="67"/>
      <c r="M65" s="67" t="str">
        <f>IFERROR(IF(B65="","",K65/VLOOKUP(AD65,Varsayımlar!B:R,17,0)),"")</f>
        <v/>
      </c>
      <c r="N65" s="67"/>
      <c r="O65" s="67"/>
      <c r="P65" s="67" t="str">
        <f>IF(B65="","",VLOOKUP(AD65,Varsayımlar!$B:$Q,7,0)*K65)</f>
        <v/>
      </c>
      <c r="Q65" s="67" t="str">
        <f>IF(B65="","",VLOOKUP(AD65,Varsayımlar!$B:$Q,8,0))</f>
        <v/>
      </c>
      <c r="R65" s="67" t="str">
        <f>IF(B65="","",VLOOKUP(AD65,Varsayımlar!$B:$Q,9,0))</f>
        <v/>
      </c>
      <c r="S65" s="67" t="str">
        <f>IF(B65="","",VLOOKUP(AD65,Varsayımlar!$B:$Q,10,0))</f>
        <v/>
      </c>
      <c r="T65" s="67" t="str">
        <f>IF(B65="","",VLOOKUP(AD65,Varsayımlar!$B:$Q,11,0))</f>
        <v/>
      </c>
      <c r="U65" s="67" t="str">
        <f>IF(B65="","",VLOOKUP(AD65,Varsayımlar!$B:$Q,12,0))</f>
        <v/>
      </c>
      <c r="V65" s="67" t="str">
        <f>IF(B65="","",VLOOKUP(AD65,Varsayımlar!$B:$Q,13,0))</f>
        <v/>
      </c>
      <c r="W65" s="67" t="str">
        <f>IF(B65="","",VLOOKUP(AD65,Varsayımlar!$B:$Q,14,0))</f>
        <v/>
      </c>
      <c r="X65" s="69"/>
      <c r="Y65" s="69"/>
      <c r="Z65" s="67"/>
      <c r="AA65" s="67" t="str">
        <f>IF(B65="","",VLOOKUP(AD65,Varsayımlar!$B:$Q,15,0))</f>
        <v/>
      </c>
      <c r="AB65" s="67" t="str">
        <f>IF(B65="","",VLOOKUP(AD65,Varsayımlar!$B:$Q,16,0))</f>
        <v/>
      </c>
      <c r="AC65" s="67"/>
      <c r="AD65" s="57" t="str">
        <f t="shared" si="2"/>
        <v/>
      </c>
    </row>
    <row r="66" spans="1:30" hidden="1" x14ac:dyDescent="0.25">
      <c r="C66" s="53" t="str">
        <f>IF(B66="","",VLOOKUP(AD66,Varsayımlar!$B:$Q,3,0))</f>
        <v/>
      </c>
      <c r="H66" s="7" t="str">
        <f>IF(B66="","",VLOOKUP(AD66,Varsayımlar!$B:$Q,5,0))</f>
        <v/>
      </c>
      <c r="J66" s="7" t="str">
        <f>IF(B66="","",VLOOKUP(AD66,Varsayımlar!$B:$Q,6,0))</f>
        <v/>
      </c>
      <c r="P66" s="7" t="str">
        <f>IF(B66="","",VLOOKUP(AD66,Varsayımlar!$B:$Q,7,0)*K66)</f>
        <v/>
      </c>
      <c r="Q66" s="7" t="str">
        <f>IF(B66="","",VLOOKUP(AD66,Varsayımlar!$B:$Q,8,0))</f>
        <v/>
      </c>
      <c r="R66" s="7" t="str">
        <f>IF(B66="","",VLOOKUP(AD66,Varsayımlar!$B:$Q,9,0))</f>
        <v/>
      </c>
      <c r="S66" s="7" t="str">
        <f>IF(B66="","",VLOOKUP(AD66,Varsayımlar!$B:$Q,10,0))</f>
        <v/>
      </c>
      <c r="T66" s="7" t="str">
        <f>IF(B66="","",VLOOKUP(AD66,Varsayımlar!$B:$Q,11,0))</f>
        <v/>
      </c>
      <c r="U66" s="7" t="str">
        <f>IF(B66="","",VLOOKUP(AD66,Varsayımlar!$B:$Q,12,0))</f>
        <v/>
      </c>
      <c r="V66" s="7" t="str">
        <f>IF(B66="","",VLOOKUP(AD66,Varsayımlar!$B:$Q,13,0))</f>
        <v/>
      </c>
      <c r="W66" s="7" t="str">
        <f>IF(B66="","",VLOOKUP(AD66,Varsayımlar!$B:$Q,14,0))</f>
        <v/>
      </c>
      <c r="AA66" s="7" t="str">
        <f>IF(B66="","",VLOOKUP(AD66,Varsayımlar!$B:$Q,15,0))</f>
        <v/>
      </c>
      <c r="AB66" s="7" t="str">
        <f>IF(B66="","",VLOOKUP(AD66,Varsayımlar!$B:$Q,16,0))</f>
        <v/>
      </c>
      <c r="AD66" s="7" t="str">
        <f t="shared" si="2"/>
        <v/>
      </c>
    </row>
    <row r="67" spans="1:30" ht="31.5" customHeight="1" x14ac:dyDescent="0.25">
      <c r="A67" s="182" t="s">
        <v>345</v>
      </c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4"/>
      <c r="AC67" s="38"/>
    </row>
    <row r="68" spans="1:30" ht="63" x14ac:dyDescent="0.25">
      <c r="A68" s="8" t="s">
        <v>0</v>
      </c>
      <c r="B68" s="8" t="s">
        <v>1</v>
      </c>
      <c r="C68" s="9" t="s">
        <v>31</v>
      </c>
      <c r="D68" s="9" t="s">
        <v>124</v>
      </c>
      <c r="E68" s="9" t="s">
        <v>36</v>
      </c>
      <c r="F68" s="8" t="s">
        <v>37</v>
      </c>
      <c r="G68" s="8" t="s">
        <v>13</v>
      </c>
      <c r="H68" s="8" t="s">
        <v>2</v>
      </c>
      <c r="I68" s="8" t="s">
        <v>49</v>
      </c>
      <c r="J68" s="8" t="s">
        <v>3</v>
      </c>
      <c r="K68" s="8" t="s">
        <v>21</v>
      </c>
      <c r="L68" s="8" t="s">
        <v>94</v>
      </c>
      <c r="M68" s="8" t="s">
        <v>20</v>
      </c>
      <c r="N68" s="8" t="s">
        <v>165</v>
      </c>
      <c r="O68" s="8" t="s">
        <v>123</v>
      </c>
      <c r="P68" s="8" t="s">
        <v>16</v>
      </c>
      <c r="Q68" s="8" t="s">
        <v>4</v>
      </c>
      <c r="R68" s="8" t="s">
        <v>5</v>
      </c>
      <c r="S68" s="8" t="s">
        <v>6</v>
      </c>
      <c r="T68" s="8" t="s">
        <v>28</v>
      </c>
      <c r="U68" s="8" t="s">
        <v>7</v>
      </c>
      <c r="V68" s="8" t="s">
        <v>8</v>
      </c>
      <c r="W68" s="8" t="s">
        <v>9</v>
      </c>
      <c r="X68" s="8" t="s">
        <v>10</v>
      </c>
      <c r="Y68" s="8" t="s">
        <v>11</v>
      </c>
      <c r="Z68" s="8" t="s">
        <v>12</v>
      </c>
      <c r="AA68" s="8" t="s">
        <v>14</v>
      </c>
      <c r="AB68" s="8" t="s">
        <v>15</v>
      </c>
      <c r="AC68" s="8" t="s">
        <v>208</v>
      </c>
      <c r="AD68" s="7" t="s">
        <v>41</v>
      </c>
    </row>
    <row r="69" spans="1:30" ht="31.5" x14ac:dyDescent="0.25">
      <c r="A69" s="8" t="s">
        <v>26</v>
      </c>
      <c r="B69" s="123" t="s">
        <v>95</v>
      </c>
      <c r="C69" s="124">
        <f>IF(B69="","",VLOOKUP(AD69,Varsayımlar!$B:$Q,3,0))</f>
        <v>8698829380698</v>
      </c>
      <c r="D69" s="124"/>
      <c r="E69" s="126" t="s">
        <v>114</v>
      </c>
      <c r="F69" s="123"/>
      <c r="G69" s="123"/>
      <c r="H69" s="123" t="str">
        <f>IF(B69="","",VLOOKUP(AD69,Varsayımlar!$B:$Q,5,0))</f>
        <v>Bisto 25 cm</v>
      </c>
      <c r="I69" s="123"/>
      <c r="J69" s="123" t="str">
        <f>IF(B69="","",VLOOKUP(AD69,Varsayımlar!$B:$Q,6,0))</f>
        <v>SADE</v>
      </c>
      <c r="K69" s="123">
        <v>720</v>
      </c>
      <c r="L69" s="123"/>
      <c r="M69" s="123">
        <f>IFERROR(IF(B69="","",K69/VLOOKUP(AD69,Varsayımlar!B:R,17,0)),"")</f>
        <v>15</v>
      </c>
      <c r="N69" s="123"/>
      <c r="O69" s="123">
        <v>15</v>
      </c>
      <c r="P69" s="123">
        <f>IF(B69="","",VLOOKUP(AD69,Varsayımlar!$B:$Q,7,0)*K69)</f>
        <v>8640</v>
      </c>
      <c r="Q69" s="123">
        <f>IF(B69="","",VLOOKUP(AD69,Varsayımlar!$B:$Q,8,0))</f>
        <v>25</v>
      </c>
      <c r="R69" s="123" t="str">
        <f>IF(B69="","",VLOOKUP(AD69,Varsayımlar!$B:$Q,9,0))</f>
        <v>Standart</v>
      </c>
      <c r="S69" s="123">
        <f>IF(B69="","",VLOOKUP(AD69,Varsayımlar!$B:$Q,10,0))</f>
        <v>12</v>
      </c>
      <c r="T69" s="123">
        <f>IF(B69="","",VLOOKUP(AD69,Varsayımlar!$B:$Q,11,0))</f>
        <v>12</v>
      </c>
      <c r="U69" s="123">
        <f>IF(B69="","",VLOOKUP(AD69,Varsayımlar!$B:$Q,12,0))</f>
        <v>840</v>
      </c>
      <c r="V69" s="123" t="str">
        <f>IF(B69="","",VLOOKUP(AD69,Varsayımlar!$B:$Q,13,0))</f>
        <v>Yurtiçi</v>
      </c>
      <c r="W69" s="123">
        <f>IF(B69="","",VLOOKUP(AD69,Varsayımlar!$B:$Q,14,0))</f>
        <v>6</v>
      </c>
      <c r="X69" s="125" t="s">
        <v>113</v>
      </c>
      <c r="Y69" s="125" t="s">
        <v>113</v>
      </c>
      <c r="Z69" s="123" t="s">
        <v>113</v>
      </c>
      <c r="AA69" s="123" t="str">
        <f>IF(B69="","",VLOOKUP(AD69,Varsayımlar!$B:$Q,15,0))</f>
        <v>Bisto Kolisi</v>
      </c>
      <c r="AB69" s="123" t="str">
        <f>IF(B69="","",VLOOKUP(AD69,Varsayımlar!$B:$Q,16,0))</f>
        <v>24-26 Cm</v>
      </c>
      <c r="AC69" s="64" t="s">
        <v>362</v>
      </c>
      <c r="AD69" s="57" t="str">
        <f t="shared" ref="AD69" si="3">IF(B69="","",CONCATENATE(B69,E69))</f>
        <v>Şok MarketBisto 25 cm 12 pcs 840g</v>
      </c>
    </row>
    <row r="70" spans="1:30" ht="23.25" customHeight="1" x14ac:dyDescent="0.25">
      <c r="A70" s="8" t="s">
        <v>77</v>
      </c>
      <c r="B70" s="62" t="s">
        <v>119</v>
      </c>
      <c r="C70" s="32">
        <v>8698829380698</v>
      </c>
      <c r="D70" s="32"/>
      <c r="E70" s="32" t="s">
        <v>120</v>
      </c>
      <c r="F70" s="62"/>
      <c r="G70" s="32"/>
      <c r="H70" s="62" t="s">
        <v>121</v>
      </c>
      <c r="I70" s="62">
        <v>0</v>
      </c>
      <c r="J70" s="62" t="s">
        <v>19</v>
      </c>
      <c r="K70" s="62">
        <v>4000</v>
      </c>
      <c r="L70" s="62"/>
      <c r="M70" s="62">
        <v>80</v>
      </c>
      <c r="N70" s="62">
        <v>50</v>
      </c>
      <c r="O70" s="62">
        <v>40</v>
      </c>
      <c r="P70" s="62">
        <v>48000</v>
      </c>
      <c r="Q70" s="62">
        <v>25</v>
      </c>
      <c r="R70" s="62" t="s">
        <v>116</v>
      </c>
      <c r="S70" s="62">
        <v>12</v>
      </c>
      <c r="T70" s="62">
        <v>12</v>
      </c>
      <c r="U70" s="62">
        <v>840</v>
      </c>
      <c r="V70" s="62" t="s">
        <v>72</v>
      </c>
      <c r="W70" s="62">
        <v>5</v>
      </c>
      <c r="X70" s="63" t="s">
        <v>113</v>
      </c>
      <c r="Y70" s="63" t="s">
        <v>113</v>
      </c>
      <c r="Z70" s="63" t="s">
        <v>113</v>
      </c>
      <c r="AA70" s="62" t="s">
        <v>122</v>
      </c>
      <c r="AB70" s="62" t="s">
        <v>25</v>
      </c>
      <c r="AC70" s="62">
        <v>0</v>
      </c>
      <c r="AD70" s="57" t="s">
        <v>387</v>
      </c>
    </row>
    <row r="71" spans="1:30" ht="31.5" customHeight="1" x14ac:dyDescent="0.25">
      <c r="A71" s="8" t="s">
        <v>78</v>
      </c>
      <c r="B71" s="119" t="s">
        <v>363</v>
      </c>
      <c r="C71" s="120">
        <f>IF(B71="","",VLOOKUP(AD71,Varsayımlar!$B:$Q,3,0))</f>
        <v>8698829380698</v>
      </c>
      <c r="D71" s="120"/>
      <c r="E71" s="120" t="s">
        <v>364</v>
      </c>
      <c r="F71" s="119"/>
      <c r="G71" s="120" t="s">
        <v>373</v>
      </c>
      <c r="H71" s="119" t="str">
        <f>IF(B71="","",VLOOKUP(AD71,Varsayımlar!$B:$Q,5,0))</f>
        <v>Durum 30cm Sade 18pcs 1620g</v>
      </c>
      <c r="I71" s="119">
        <f>IF(B71="","",VLOOKUP(AD71,Varsayımlar!B:T,19,0))</f>
        <v>0</v>
      </c>
      <c r="J71" s="119" t="str">
        <f>IF(B71="","",VLOOKUP(AD71,Varsayımlar!$B:$Q,6,0))</f>
        <v>SADE</v>
      </c>
      <c r="K71" s="119">
        <v>360</v>
      </c>
      <c r="L71" s="119" t="s">
        <v>424</v>
      </c>
      <c r="M71" s="119" t="str">
        <f>IFERROR(IF(B71="","",K71/VLOOKUP(AD71,Varsayımlar!B:R,17,0)),"")</f>
        <v/>
      </c>
      <c r="N71" s="119"/>
      <c r="O71" s="119">
        <v>9</v>
      </c>
      <c r="P71" s="119">
        <f>IF(B71="","",VLOOKUP(AD71,Varsayımlar!$B:$Q,7,0)*K71)</f>
        <v>6480</v>
      </c>
      <c r="Q71" s="119">
        <f>IF(B71="","",VLOOKUP(AD71,Varsayımlar!$B:$Q,8,0))</f>
        <v>30</v>
      </c>
      <c r="R71" s="119" t="str">
        <f>IF(B71="","",VLOOKUP(AD71,Varsayımlar!$B:$Q,9,0))</f>
        <v>Irak Soft</v>
      </c>
      <c r="S71" s="119">
        <f>IF(B71="","",VLOOKUP(AD71,Varsayımlar!$B:$Q,10,0))</f>
        <v>18</v>
      </c>
      <c r="T71" s="119">
        <f>IF(B71="","",VLOOKUP(AD71,Varsayımlar!$B:$Q,11,0))</f>
        <v>6</v>
      </c>
      <c r="U71" s="119">
        <f>IF(B71="","",VLOOKUP(AD71,Varsayımlar!$B:$Q,12,0))</f>
        <v>1620</v>
      </c>
      <c r="V71" s="119" t="str">
        <f>IF(B71="","",VLOOKUP(AD71,Varsayımlar!$B:$Q,13,0))</f>
        <v>Yurtdışı</v>
      </c>
      <c r="W71" s="119">
        <f>IF(B71="","",VLOOKUP(AD71,Varsayımlar!$B:$Q,14,0))</f>
        <v>0</v>
      </c>
      <c r="X71" s="121"/>
      <c r="Y71" s="121"/>
      <c r="Z71" s="119"/>
      <c r="AA71" s="119" t="str">
        <f>IF(B71="","",VLOOKUP(AD71,Varsayımlar!$B:$Q,15,0))</f>
        <v>30cm kolisi-Etiketli</v>
      </c>
      <c r="AB71" s="119" t="str">
        <f>IF(B71="","",VLOOKUP(AD71,Varsayımlar!$B:$Q,16,0))</f>
        <v>29-31 cm</v>
      </c>
      <c r="AC71" s="64">
        <f>IF(B71="","",VLOOKUP(Sayfa1!AD11,Varsayımlar!B:S,18,0))</f>
        <v>0</v>
      </c>
      <c r="AD71" s="57" t="str">
        <f>IF(B71="","",CONCATENATE(B71,E71))</f>
        <v>EyalDurum 30cm sade 18 li 1620g</v>
      </c>
    </row>
    <row r="72" spans="1:30" ht="31.5" customHeight="1" x14ac:dyDescent="0.25">
      <c r="A72" s="8" t="s">
        <v>79</v>
      </c>
      <c r="B72" s="64" t="s">
        <v>335</v>
      </c>
      <c r="C72" s="3">
        <f>IF(B72="","",VLOOKUP(AD72,Varsayımlar!$B:$Q,3,0))</f>
        <v>8698829380698</v>
      </c>
      <c r="D72" s="3"/>
      <c r="E72" s="64" t="s">
        <v>299</v>
      </c>
      <c r="F72" s="64"/>
      <c r="G72" s="3"/>
      <c r="H72" s="64" t="str">
        <f>IF(B72="","",VLOOKUP(AD72,Varsayımlar!$B:$Q,5,0))</f>
        <v>Lazeza 30cm</v>
      </c>
      <c r="I72" s="64">
        <f>IF(B72="","",VLOOKUP(AD72,Varsayımlar!B:T,19,0))</f>
        <v>0</v>
      </c>
      <c r="J72" s="64" t="str">
        <f>IF(B72="","",VLOOKUP(AD72,Varsayımlar!$B:$Q,6,0))</f>
        <v>SADE</v>
      </c>
      <c r="K72" s="64">
        <v>1700</v>
      </c>
      <c r="L72" s="64"/>
      <c r="M72" s="64" t="str">
        <f>IFERROR(IF(B72="","",K72/VLOOKUP(AD72,Varsayımlar!B:R,17,0)),"")</f>
        <v/>
      </c>
      <c r="N72" s="64"/>
      <c r="O72" s="64">
        <v>17</v>
      </c>
      <c r="P72" s="64">
        <f>IF(B72="","",VLOOKUP(AD72,Varsayımlar!$B:$Q,7,0)*K72)</f>
        <v>30600</v>
      </c>
      <c r="Q72" s="64">
        <f>IF(B72="","",VLOOKUP(AD72,Varsayımlar!$B:$Q,8,0))</f>
        <v>30</v>
      </c>
      <c r="R72" s="64" t="str">
        <f>IF(B72="","",VLOOKUP(AD72,Varsayımlar!$B:$Q,9,0))</f>
        <v>Irak Soft</v>
      </c>
      <c r="S72" s="64">
        <f>IF(B72="","",VLOOKUP(AD72,Varsayımlar!$B:$Q,10,0))</f>
        <v>6</v>
      </c>
      <c r="T72" s="64">
        <f>IF(B72="","",VLOOKUP(AD72,Varsayımlar!$B:$Q,11,0))</f>
        <v>18</v>
      </c>
      <c r="U72" s="64">
        <f>IF(B72="","",VLOOKUP(AD72,Varsayımlar!$B:$Q,12,0))</f>
        <v>510</v>
      </c>
      <c r="V72" s="64" t="str">
        <f>IF(B72="","",VLOOKUP(AD72,Varsayımlar!$B:$Q,13,0))</f>
        <v>Yurtdışı</v>
      </c>
      <c r="W72" s="64">
        <f>IF(B72="","",VLOOKUP(AD72,Varsayımlar!$B:$Q,14,0))</f>
        <v>6</v>
      </c>
      <c r="X72" s="66"/>
      <c r="Y72" s="66"/>
      <c r="Z72" s="64"/>
      <c r="AA72" s="64" t="str">
        <f>IF(B72="","",VLOOKUP(AD72,Varsayımlar!$B:$Q,15,0))</f>
        <v>Lazeza Kolisi</v>
      </c>
      <c r="AB72" s="64" t="str">
        <f>IF(B72="","",VLOOKUP(AD72,Varsayımlar!$B:$Q,16,0))</f>
        <v>29-31 cm</v>
      </c>
      <c r="AC72" s="64" t="str">
        <f>IF(B72="","",VLOOKUP(Sayfa1!AD79,Varsayımlar!B:S,18,0))</f>
        <v>80x120cm -Epal+Epal</v>
      </c>
      <c r="AD72" s="57" t="str">
        <f t="shared" ref="AD72:AD88" si="4">IF(B72="","",CONCATENATE(B72,E72))</f>
        <v>AjjawiLazeza 30 cm 6pcs 510g</v>
      </c>
    </row>
    <row r="73" spans="1:30" ht="26.25" customHeight="1" x14ac:dyDescent="0.25">
      <c r="A73" s="8" t="s">
        <v>81</v>
      </c>
      <c r="B73" s="67" t="s">
        <v>119</v>
      </c>
      <c r="C73" s="42">
        <v>8698829380698</v>
      </c>
      <c r="D73" s="42"/>
      <c r="E73" s="42" t="s">
        <v>120</v>
      </c>
      <c r="F73" s="67"/>
      <c r="G73" s="42"/>
      <c r="H73" s="67" t="s">
        <v>121</v>
      </c>
      <c r="I73" s="67">
        <v>0</v>
      </c>
      <c r="J73" s="67" t="s">
        <v>19</v>
      </c>
      <c r="K73" s="67">
        <v>4000</v>
      </c>
      <c r="L73" s="67"/>
      <c r="M73" s="67">
        <v>80</v>
      </c>
      <c r="N73" s="67">
        <v>50</v>
      </c>
      <c r="O73" s="67">
        <v>145</v>
      </c>
      <c r="P73" s="67">
        <v>48000</v>
      </c>
      <c r="Q73" s="67">
        <v>25</v>
      </c>
      <c r="R73" s="67" t="s">
        <v>116</v>
      </c>
      <c r="S73" s="67">
        <v>12</v>
      </c>
      <c r="T73" s="67">
        <v>12</v>
      </c>
      <c r="U73" s="67">
        <v>840</v>
      </c>
      <c r="V73" s="67" t="s">
        <v>72</v>
      </c>
      <c r="W73" s="67">
        <v>5</v>
      </c>
      <c r="X73" s="69" t="s">
        <v>113</v>
      </c>
      <c r="Y73" s="69" t="s">
        <v>113</v>
      </c>
      <c r="Z73" s="67" t="s">
        <v>113</v>
      </c>
      <c r="AA73" s="67" t="s">
        <v>122</v>
      </c>
      <c r="AB73" s="67" t="s">
        <v>25</v>
      </c>
      <c r="AC73" s="67">
        <v>0</v>
      </c>
      <c r="AD73" s="57" t="s">
        <v>387</v>
      </c>
    </row>
    <row r="74" spans="1:30" ht="47.25" x14ac:dyDescent="0.25">
      <c r="A74" s="8" t="s">
        <v>82</v>
      </c>
      <c r="B74" s="67" t="s">
        <v>268</v>
      </c>
      <c r="C74" s="42">
        <f>IF(B74="","",VLOOKUP(AD74,Varsayımlar!$B:$Q,3,0))</f>
        <v>8698829380698</v>
      </c>
      <c r="D74" s="42" t="s">
        <v>159</v>
      </c>
      <c r="E74" s="42" t="s">
        <v>244</v>
      </c>
      <c r="F74" s="67">
        <v>20250825</v>
      </c>
      <c r="G74" s="42" t="s">
        <v>68</v>
      </c>
      <c r="H74" s="67" t="str">
        <f>IF(B74="","",VLOOKUP(AD74,Varsayımlar!$B:$Q,5,0))</f>
        <v xml:space="preserve">Tortillas Pizza 26cm </v>
      </c>
      <c r="I74" s="67">
        <f>IF(B74="","",VLOOKUP(AD74,Varsayımlar!B:T,19,0))</f>
        <v>0</v>
      </c>
      <c r="J74" s="67" t="str">
        <f>IF(B74="","",VLOOKUP(AD74,Varsayımlar!$B:$Q,6,0))</f>
        <v>SADE</v>
      </c>
      <c r="K74" s="67">
        <v>960</v>
      </c>
      <c r="L74" s="67"/>
      <c r="M74" s="67">
        <f>IFERROR(IF(B74="","",K74/VLOOKUP(AD74,Varsayımlar!B:R,17,0)),"")</f>
        <v>5</v>
      </c>
      <c r="N74" s="67"/>
      <c r="O74" s="67">
        <v>11</v>
      </c>
      <c r="P74" s="67">
        <f>IF(B74="","",VLOOKUP(AD74,Varsayımlar!$B:$Q,7,0)*K74)</f>
        <v>11520</v>
      </c>
      <c r="Q74" s="67">
        <f>IF(B74="","",VLOOKUP(AD74,Varsayımlar!$B:$Q,8,0))</f>
        <v>26</v>
      </c>
      <c r="R74" s="67" t="str">
        <f>IF(B74="","",VLOOKUP(AD74,Varsayımlar!$B:$Q,9,0))</f>
        <v>Soft-PA3</v>
      </c>
      <c r="S74" s="67">
        <f>IF(B74="","",VLOOKUP(AD74,Varsayımlar!$B:$Q,10,0))</f>
        <v>2</v>
      </c>
      <c r="T74" s="67">
        <f>IF(B74="","",VLOOKUP(AD74,Varsayımlar!$B:$Q,11,0))</f>
        <v>12</v>
      </c>
      <c r="U74" s="67">
        <f>IF(B74="","",VLOOKUP(AD74,Varsayımlar!$B:$Q,12,0))</f>
        <v>240</v>
      </c>
      <c r="V74" s="67" t="str">
        <f>IF(B74="","",VLOOKUP(AD74,Varsayımlar!$B:$Q,13,0))</f>
        <v>Yurtdışı</v>
      </c>
      <c r="W74" s="67">
        <f>IF(B74="","",VLOOKUP(AD74,Varsayımlar!$B:$Q,14,0))</f>
        <v>9</v>
      </c>
      <c r="X74" s="69">
        <v>46199</v>
      </c>
      <c r="Y74" s="69">
        <v>46472</v>
      </c>
      <c r="Z74" s="67">
        <v>26062626</v>
      </c>
      <c r="AA74" s="67" t="str">
        <f>IF(B74="","",VLOOKUP(AD74,Varsayımlar!$B:$Q,15,0))</f>
        <v>26 cm pizza kolisi-Etiketli</v>
      </c>
      <c r="AB74" s="67" t="str">
        <f>IF(B74="","",VLOOKUP(AD74,Varsayımlar!$B:$Q,16,0))</f>
        <v>24-26 cm (Macca Hetto Inkjet Uzun Tarih)</v>
      </c>
      <c r="AC74" s="67" t="e">
        <f>IF(B74="","",VLOOKUP(Sayfa1!AD83,Varsayımlar!B:S,18,0))</f>
        <v>#N/A</v>
      </c>
      <c r="AD74" s="57" t="str">
        <f>IF(B74="","",CONCATENATE(B74,E74))</f>
        <v>LAIKYUZHN-BELARUSTortillas Pizza 26cm 4pcs 480g</v>
      </c>
    </row>
    <row r="75" spans="1:30" ht="94.5" x14ac:dyDescent="0.25">
      <c r="A75" s="8" t="s">
        <v>83</v>
      </c>
      <c r="B75" s="62" t="s">
        <v>181</v>
      </c>
      <c r="C75" s="32">
        <f>IF(B75="","",VLOOKUP(AD75,Varsayımlar!$B:$Q,3,0))</f>
        <v>8698829380698</v>
      </c>
      <c r="D75" s="32"/>
      <c r="E75" s="62" t="s">
        <v>206</v>
      </c>
      <c r="F75" s="62">
        <v>26060101</v>
      </c>
      <c r="G75" s="32"/>
      <c r="H75" s="62" t="str">
        <f>IF(B75="","",VLOOKUP(AD75,Varsayımlar!$B:$Q,5,0))</f>
        <v>Pizza-6 26 cm</v>
      </c>
      <c r="I75" s="62" t="str">
        <f>IF(B75="","",VLOOKUP(AD75,Varsayımlar!B:T,19,0))</f>
        <v>Arka kısma Arnavutça içerik-Pizza 6</v>
      </c>
      <c r="J75" s="62" t="str">
        <f>IF(B75="","",VLOOKUP(AD75,Varsayımlar!$B:$Q,6,0))</f>
        <v>SADE</v>
      </c>
      <c r="K75" s="62">
        <v>120</v>
      </c>
      <c r="L75" s="62"/>
      <c r="M75" s="62">
        <f>IFERROR(IF(B75="","",K75/VLOOKUP(AD75,Varsayımlar!B:R,17,0)),"")</f>
        <v>1</v>
      </c>
      <c r="N75" s="62"/>
      <c r="O75" s="62">
        <v>2</v>
      </c>
      <c r="P75" s="62">
        <f>IF(B75="","",VLOOKUP(AD75,Varsayımlar!$B:$Q,7,0)*K75)</f>
        <v>720</v>
      </c>
      <c r="Q75" s="62">
        <f>IF(B75="","",VLOOKUP(AD75,Varsayımlar!$B:$Q,8,0))</f>
        <v>26</v>
      </c>
      <c r="R75" s="62" t="str">
        <f>IF(B75="","",VLOOKUP(AD75,Varsayımlar!$B:$Q,9,0))</f>
        <v>Irak Soft</v>
      </c>
      <c r="S75" s="62">
        <f>IF(B75="","",VLOOKUP(AD75,Varsayımlar!$B:$Q,10,0))</f>
        <v>4</v>
      </c>
      <c r="T75" s="62">
        <f>IF(B75="","",VLOOKUP(AD75,Varsayımlar!$B:$Q,11,0))</f>
        <v>6</v>
      </c>
      <c r="U75" s="62">
        <f>IF(B75="","",VLOOKUP(AD75,Varsayımlar!$B:$Q,12,0))</f>
        <v>480</v>
      </c>
      <c r="V75" s="62" t="str">
        <f>IF(B75="","",VLOOKUP(AD75,Varsayımlar!$B:$Q,13,0))</f>
        <v>YURTDIŞI</v>
      </c>
      <c r="W75" s="62">
        <f>IF(B75="","",VLOOKUP(AD75,Varsayımlar!$B:$Q,14,0))</f>
        <v>12</v>
      </c>
      <c r="X75" s="63">
        <v>46200</v>
      </c>
      <c r="Y75" s="63">
        <v>46565</v>
      </c>
      <c r="Z75" s="62">
        <v>26062726</v>
      </c>
      <c r="AA75" s="62" t="str">
        <f>IF(B75="","",VLOOKUP(AD75,Varsayımlar!$B:$Q,15,0))</f>
        <v>Pizza kolisi</v>
      </c>
      <c r="AB75" s="62" t="str">
        <f>IF(B75="","",VLOOKUP(AD75,Varsayımlar!$B:$Q,16,0))</f>
        <v>26 cm kesme -Beze 145-150g, Kesilmmeiş çap 27-28cm, Kesilmemiş ağı: 520-540g, Kesilmiş:475-485g</v>
      </c>
      <c r="AC75" s="62">
        <f>IF(B75="","",VLOOKUP(Sayfa1!AD84,Varsayımlar!B:S,18,0))</f>
        <v>0</v>
      </c>
      <c r="AD75" s="57" t="str">
        <f>IF(B75="","",CONCATENATE(B75,E75))</f>
        <v>ALDİ - KOSOVAPizza-6 26cm 4pcs 480g</v>
      </c>
    </row>
    <row r="76" spans="1:30" ht="94.5" x14ac:dyDescent="0.25">
      <c r="A76" s="8" t="s">
        <v>84</v>
      </c>
      <c r="B76" s="80" t="s">
        <v>218</v>
      </c>
      <c r="C76" s="44">
        <f>IF(B76="","",VLOOKUP(AD76,Varsayımlar!$B:$Q,3,0))</f>
        <v>8698829380698</v>
      </c>
      <c r="D76" s="44" t="s">
        <v>160</v>
      </c>
      <c r="E76" s="80" t="s">
        <v>244</v>
      </c>
      <c r="F76" s="80">
        <v>26042907</v>
      </c>
      <c r="G76" s="44"/>
      <c r="H76" s="80" t="str">
        <f>IF(B76="","",VLOOKUP(AD76,Varsayımlar!$B:$Q,5,0))</f>
        <v>Tortillas Avrupa Pizza 26cm (742)</v>
      </c>
      <c r="I76" s="80">
        <f>IF(B76="","",VLOOKUP(AD76,Varsayımlar!B:T,19,0))</f>
        <v>0</v>
      </c>
      <c r="J76" s="80" t="str">
        <f>IF(B76="","",VLOOKUP(AD76,Varsayımlar!$B:$Q,6,0))</f>
        <v>SADE</v>
      </c>
      <c r="K76" s="80">
        <v>720</v>
      </c>
      <c r="L76" s="80"/>
      <c r="M76" s="80">
        <f>IFERROR(IF(B76="","",K76/VLOOKUP(AD76,Varsayımlar!B:R,17,0)),"")</f>
        <v>6</v>
      </c>
      <c r="N76" s="80"/>
      <c r="O76" s="80">
        <v>9</v>
      </c>
      <c r="P76" s="80">
        <f>IF(B76="","",VLOOKUP(AD76,Varsayımlar!$B:$Q,7,0)*K76)</f>
        <v>5760</v>
      </c>
      <c r="Q76" s="80">
        <f>IF(B76="","",VLOOKUP(AD76,Varsayımlar!$B:$Q,8,0))</f>
        <v>26</v>
      </c>
      <c r="R76" s="80" t="str">
        <f>IF(B76="","",VLOOKUP(AD76,Varsayımlar!$B:$Q,9,0))</f>
        <v>Irak Soft</v>
      </c>
      <c r="S76" s="80">
        <f>IF(B76="","",VLOOKUP(AD76,Varsayımlar!$B:$Q,10,0))</f>
        <v>4</v>
      </c>
      <c r="T76" s="80">
        <f>IF(B76="","",VLOOKUP(AD76,Varsayımlar!$B:$Q,11,0))</f>
        <v>8</v>
      </c>
      <c r="U76" s="80">
        <f>IF(B76="","",VLOOKUP(AD76,Varsayımlar!$B:$Q,12,0))</f>
        <v>480</v>
      </c>
      <c r="V76" s="80" t="str">
        <f>IF(B76="","",VLOOKUP(AD76,Varsayımlar!$B:$Q,13,0))</f>
        <v>Yurtdışı</v>
      </c>
      <c r="W76" s="80">
        <f>IF(B76="","",VLOOKUP(AD76,Varsayımlar!$B:$Q,14,0))</f>
        <v>9</v>
      </c>
      <c r="X76" s="81">
        <v>46203</v>
      </c>
      <c r="Y76" s="81">
        <v>46476</v>
      </c>
      <c r="Z76" s="80">
        <v>26063026</v>
      </c>
      <c r="AA76" s="80" t="str">
        <f>IF(B76="","",VLOOKUP(AD76,Varsayımlar!$B:$Q,15,0))</f>
        <v>26cm Pizza Perforeli-Bulgarca Etiket</v>
      </c>
      <c r="AB76" s="80" t="str">
        <f>IF(B76="","",VLOOKUP(AD76,Varsayımlar!$B:$Q,16,0))</f>
        <v>26 cm kesme -Beze 145-150g, Kesilmmeiş çap 27-28cm, Kesilmemiş ağı: 520-540g, Kesilmiş:475-485g</v>
      </c>
      <c r="AC76" s="80" t="str">
        <f>IF(B76="","",VLOOKUP(Sayfa1!AD80,Varsayımlar!B:S,18,0))</f>
        <v>80x120cm -Epal+Epal</v>
      </c>
      <c r="AD76" s="57" t="str">
        <f t="shared" si="4"/>
        <v>TASTE LAND-BULGARİSTANTortillas Pizza 26cm 4pcs 480g</v>
      </c>
    </row>
    <row r="77" spans="1:30" ht="47.25" x14ac:dyDescent="0.25">
      <c r="A77" s="8" t="s">
        <v>85</v>
      </c>
      <c r="B77" s="54" t="s">
        <v>268</v>
      </c>
      <c r="C77" s="39">
        <f>IF(B77="","",VLOOKUP(AD77,Varsayımlar!$B:$Q,3,0))</f>
        <v>8698829380698</v>
      </c>
      <c r="D77" s="39" t="s">
        <v>160</v>
      </c>
      <c r="E77" s="39" t="s">
        <v>244</v>
      </c>
      <c r="F77" s="54" t="s">
        <v>343</v>
      </c>
      <c r="G77" s="39" t="s">
        <v>68</v>
      </c>
      <c r="H77" s="54" t="str">
        <f>IF(B77="","",VLOOKUP(AD77,Varsayımlar!$B:$Q,5,0))</f>
        <v xml:space="preserve">Tortillas Pizza 26cm </v>
      </c>
      <c r="I77" s="54">
        <f>IF(B77="","",VLOOKUP(AD77,Varsayımlar!B:T,19,0))</f>
        <v>0</v>
      </c>
      <c r="J77" s="54" t="str">
        <f>IF(B77="","",VLOOKUP(AD77,Varsayımlar!$B:$Q,6,0))</f>
        <v>SADE</v>
      </c>
      <c r="K77" s="54">
        <v>768</v>
      </c>
      <c r="L77" s="54"/>
      <c r="M77" s="54">
        <f>IFERROR(IF(B77="","",K77/VLOOKUP(AD77,Varsayımlar!B:R,17,0)),"")</f>
        <v>4</v>
      </c>
      <c r="N77" s="54"/>
      <c r="O77" s="54">
        <v>9</v>
      </c>
      <c r="P77" s="54">
        <f>IF(B77="","",VLOOKUP(AD77,Varsayımlar!$B:$Q,7,0)*K77)</f>
        <v>9216</v>
      </c>
      <c r="Q77" s="54">
        <f>IF(B77="","",VLOOKUP(AD77,Varsayımlar!$B:$Q,8,0))</f>
        <v>26</v>
      </c>
      <c r="R77" s="54" t="str">
        <f>IF(B77="","",VLOOKUP(AD77,Varsayımlar!$B:$Q,9,0))</f>
        <v>Soft-PA3</v>
      </c>
      <c r="S77" s="54">
        <f>IF(B77="","",VLOOKUP(AD77,Varsayımlar!$B:$Q,10,0))</f>
        <v>2</v>
      </c>
      <c r="T77" s="54">
        <f>IF(B77="","",VLOOKUP(AD77,Varsayımlar!$B:$Q,11,0))</f>
        <v>12</v>
      </c>
      <c r="U77" s="54">
        <f>IF(B77="","",VLOOKUP(AD77,Varsayımlar!$B:$Q,12,0))</f>
        <v>240</v>
      </c>
      <c r="V77" s="54" t="str">
        <f>IF(B77="","",VLOOKUP(AD77,Varsayımlar!$B:$Q,13,0))</f>
        <v>Yurtdışı</v>
      </c>
      <c r="W77" s="54">
        <f>IF(B77="","",VLOOKUP(AD77,Varsayımlar!$B:$Q,14,0))</f>
        <v>9</v>
      </c>
      <c r="X77" s="56">
        <v>46205</v>
      </c>
      <c r="Y77" s="56">
        <v>46479</v>
      </c>
      <c r="Z77" s="54">
        <v>26070226</v>
      </c>
      <c r="AA77" s="54" t="str">
        <f>IF(B77="","",VLOOKUP(AD77,Varsayımlar!$B:$Q,15,0))</f>
        <v>26 cm pizza kolisi-Etiketli</v>
      </c>
      <c r="AB77" s="54" t="str">
        <f>IF(B77="","",VLOOKUP(AD77,Varsayımlar!$B:$Q,16,0))</f>
        <v>24-26 cm (Macca Hetto Inkjet Uzun Tarih)</v>
      </c>
      <c r="AC77" s="54" t="e">
        <f>IF(B77="","",VLOOKUP(Sayfa1!AD83,Varsayımlar!B:S,18,0))</f>
        <v>#N/A</v>
      </c>
      <c r="AD77" s="57" t="str">
        <f>IF(B77="","",CONCATENATE(B77,E77))</f>
        <v>LAIKYUZHN-BELARUSTortillas Pizza 26cm 4pcs 480g</v>
      </c>
    </row>
    <row r="78" spans="1:30" ht="94.5" x14ac:dyDescent="0.25">
      <c r="A78" s="8" t="s">
        <v>86</v>
      </c>
      <c r="B78" s="75" t="s">
        <v>218</v>
      </c>
      <c r="C78" s="43">
        <f>IF(B78="","",VLOOKUP(AD78,Varsayımlar!$B:$Q,3,0))</f>
        <v>8698829380698</v>
      </c>
      <c r="D78" s="43" t="s">
        <v>161</v>
      </c>
      <c r="E78" s="75" t="s">
        <v>244</v>
      </c>
      <c r="F78" s="75" t="s">
        <v>341</v>
      </c>
      <c r="G78" s="43"/>
      <c r="H78" s="75" t="str">
        <f>IF(B78="","",VLOOKUP(AD78,Varsayımlar!$B:$Q,5,0))</f>
        <v>Tortillas Avrupa Pizza 26cm (742)</v>
      </c>
      <c r="I78" s="75">
        <f>IF(B78="","",VLOOKUP(AD78,Varsayımlar!B:T,19,0))</f>
        <v>0</v>
      </c>
      <c r="J78" s="75" t="str">
        <f>IF(B78="","",VLOOKUP(AD78,Varsayımlar!$B:$Q,6,0))</f>
        <v>SADE</v>
      </c>
      <c r="K78" s="75">
        <v>840</v>
      </c>
      <c r="L78" s="75"/>
      <c r="M78" s="75">
        <f>IFERROR(IF(B78="","",K78/VLOOKUP(AD78,Varsayımlar!B:R,17,0)),"")</f>
        <v>7</v>
      </c>
      <c r="N78" s="75"/>
      <c r="O78" s="75">
        <v>11</v>
      </c>
      <c r="P78" s="75">
        <f>IF(B78="","",VLOOKUP(AD78,Varsayımlar!$B:$Q,7,0)*K78)</f>
        <v>6720</v>
      </c>
      <c r="Q78" s="75">
        <f>IF(B78="","",VLOOKUP(AD78,Varsayımlar!$B:$Q,8,0))</f>
        <v>26</v>
      </c>
      <c r="R78" s="75" t="str">
        <f>IF(B78="","",VLOOKUP(AD78,Varsayımlar!$B:$Q,9,0))</f>
        <v>Irak Soft</v>
      </c>
      <c r="S78" s="75">
        <f>IF(B78="","",VLOOKUP(AD78,Varsayımlar!$B:$Q,10,0))</f>
        <v>4</v>
      </c>
      <c r="T78" s="75">
        <f>IF(B78="","",VLOOKUP(AD78,Varsayımlar!$B:$Q,11,0))</f>
        <v>8</v>
      </c>
      <c r="U78" s="75">
        <f>IF(B78="","",VLOOKUP(AD78,Varsayımlar!$B:$Q,12,0))</f>
        <v>480</v>
      </c>
      <c r="V78" s="75" t="str">
        <f>IF(B78="","",VLOOKUP(AD78,Varsayımlar!$B:$Q,13,0))</f>
        <v>Yurtdışı</v>
      </c>
      <c r="W78" s="75">
        <f>IF(B78="","",VLOOKUP(AD78,Varsayımlar!$B:$Q,14,0))</f>
        <v>9</v>
      </c>
      <c r="X78" s="76"/>
      <c r="Y78" s="76"/>
      <c r="Z78" s="75"/>
      <c r="AA78" s="75" t="str">
        <f>IF(B78="","",VLOOKUP(AD78,Varsayımlar!$B:$Q,15,0))</f>
        <v>26cm Pizza Perforeli-Bulgarca Etiket</v>
      </c>
      <c r="AB78" s="75" t="str">
        <f>IF(B78="","",VLOOKUP(AD78,Varsayımlar!$B:$Q,16,0))</f>
        <v>26 cm kesme -Beze 145-150g, Kesilmmeiş çap 27-28cm, Kesilmemiş ağı: 520-540g, Kesilmiş:475-485g</v>
      </c>
      <c r="AC78" s="75" t="str">
        <f>IF(B78="","",VLOOKUP(Sayfa1!AD81,Varsayımlar!B:S,18,0))</f>
        <v>80x120cm -Epal+Epal</v>
      </c>
      <c r="AD78" s="57" t="str">
        <f t="shared" si="4"/>
        <v>TASTE LAND-BULGARİSTANTortillas Pizza 26cm 4pcs 480g</v>
      </c>
    </row>
    <row r="79" spans="1:30" x14ac:dyDescent="0.25">
      <c r="A79" s="8" t="s">
        <v>88</v>
      </c>
      <c r="B79" s="67"/>
      <c r="C79" s="42" t="str">
        <f>IF(B79="","",VLOOKUP(AD79,Varsayımlar!$B:$Q,3,0))</f>
        <v/>
      </c>
      <c r="D79" s="42"/>
      <c r="E79" s="42"/>
      <c r="F79" s="42"/>
      <c r="G79" s="42"/>
      <c r="H79" s="42" t="str">
        <f>IF(B79="","",VLOOKUP(AD79,Varsayımlar!$B:$Q,5,0))</f>
        <v/>
      </c>
      <c r="I79" s="42"/>
      <c r="J79" s="42" t="str">
        <f>IF(B79="","",VLOOKUP(AD79,Varsayımlar!$B:$Q,6,0))</f>
        <v/>
      </c>
      <c r="K79" s="42"/>
      <c r="L79" s="42"/>
      <c r="M79" s="42" t="str">
        <f>IFERROR(IF(B79="","",K79/VLOOKUP(AD79,Varsayımlar!B:R,17,0)),"")</f>
        <v/>
      </c>
      <c r="N79" s="42"/>
      <c r="O79" s="42"/>
      <c r="P79" s="42" t="str">
        <f>IF(B79="","",VLOOKUP(AD79,Varsayımlar!$B:$Q,7,0)*K79)</f>
        <v/>
      </c>
      <c r="Q79" s="42" t="str">
        <f>IF(B79="","",VLOOKUP(AD79,Varsayımlar!$B:$Q,8,0))</f>
        <v/>
      </c>
      <c r="R79" s="42" t="str">
        <f>IF(B79="","",VLOOKUP(AD79,Varsayımlar!$B:$Q,9,0))</f>
        <v/>
      </c>
      <c r="S79" s="42" t="str">
        <f>IF(B79="","",VLOOKUP(AD79,Varsayımlar!$B:$Q,10,0))</f>
        <v/>
      </c>
      <c r="T79" s="42" t="str">
        <f>IF(B79="","",VLOOKUP(AD79,Varsayımlar!$B:$Q,11,0))</f>
        <v/>
      </c>
      <c r="U79" s="42" t="str">
        <f>IF(B79="","",VLOOKUP(AD79,Varsayımlar!$B:$Q,12,0))</f>
        <v/>
      </c>
      <c r="V79" s="42" t="str">
        <f>IF(B79="","",VLOOKUP(AD79,Varsayımlar!$B:$Q,13,0))</f>
        <v/>
      </c>
      <c r="W79" s="67" t="str">
        <f>IF(B79="","",VLOOKUP(AD79,Varsayımlar!$B:$Q,14,0))</f>
        <v/>
      </c>
      <c r="X79" s="69"/>
      <c r="Y79" s="69"/>
      <c r="Z79" s="67"/>
      <c r="AA79" s="67" t="str">
        <f>IF(B79="","",VLOOKUP(AD79,Varsayımlar!$B:$Q,15,0))</f>
        <v/>
      </c>
      <c r="AB79" s="67" t="str">
        <f>IF(B79="","",VLOOKUP(AD79,Varsayımlar!$B:$Q,16,0))</f>
        <v/>
      </c>
      <c r="AC79" s="67"/>
      <c r="AD79" s="57" t="str">
        <f t="shared" si="4"/>
        <v/>
      </c>
    </row>
    <row r="80" spans="1:30" x14ac:dyDescent="0.25">
      <c r="A80" s="8" t="s">
        <v>89</v>
      </c>
      <c r="B80" s="67"/>
      <c r="C80" s="42" t="str">
        <f>IF(B80="","",VLOOKUP(AD80,Varsayımlar!$B:$Q,3,0))</f>
        <v/>
      </c>
      <c r="D80" s="42"/>
      <c r="E80" s="42"/>
      <c r="F80" s="42"/>
      <c r="G80" s="42"/>
      <c r="H80" s="42" t="str">
        <f>IF(B80="","",VLOOKUP(AD80,Varsayımlar!$B:$Q,5,0))</f>
        <v/>
      </c>
      <c r="I80" s="42"/>
      <c r="J80" s="42" t="str">
        <f>IF(B80="","",VLOOKUP(AD80,Varsayımlar!$B:$Q,6,0))</f>
        <v/>
      </c>
      <c r="K80" s="42"/>
      <c r="L80" s="42"/>
      <c r="M80" s="42" t="str">
        <f>IFERROR(IF(B80="","",K80/VLOOKUP(AD80,Varsayımlar!B:R,17,0)),"")</f>
        <v/>
      </c>
      <c r="N80" s="42"/>
      <c r="O80" s="42"/>
      <c r="P80" s="42" t="str">
        <f>IF(B80="","",VLOOKUP(AD80,Varsayımlar!$B:$Q,7,0)*K80)</f>
        <v/>
      </c>
      <c r="Q80" s="42" t="str">
        <f>IF(B80="","",VLOOKUP(AD80,Varsayımlar!$B:$Q,8,0))</f>
        <v/>
      </c>
      <c r="R80" s="42" t="str">
        <f>IF(B80="","",VLOOKUP(AD80,Varsayımlar!$B:$Q,9,0))</f>
        <v/>
      </c>
      <c r="S80" s="42" t="str">
        <f>IF(B80="","",VLOOKUP(AD80,Varsayımlar!$B:$Q,10,0))</f>
        <v/>
      </c>
      <c r="T80" s="42" t="str">
        <f>IF(B80="","",VLOOKUP(AD80,Varsayımlar!$B:$Q,11,0))</f>
        <v/>
      </c>
      <c r="U80" s="42" t="str">
        <f>IF(B80="","",VLOOKUP(AD80,Varsayımlar!$B:$Q,12,0))</f>
        <v/>
      </c>
      <c r="V80" s="42" t="str">
        <f>IF(B80="","",VLOOKUP(AD80,Varsayımlar!$B:$Q,13,0))</f>
        <v/>
      </c>
      <c r="W80" s="67" t="str">
        <f>IF(B80="","",VLOOKUP(AD80,Varsayımlar!$B:$Q,14,0))</f>
        <v/>
      </c>
      <c r="X80" s="69"/>
      <c r="Y80" s="69"/>
      <c r="Z80" s="67"/>
      <c r="AA80" s="67" t="str">
        <f>IF(B80="","",VLOOKUP(AD80,Varsayımlar!$B:$Q,15,0))</f>
        <v/>
      </c>
      <c r="AB80" s="67" t="str">
        <f>IF(B80="","",VLOOKUP(AD80,Varsayımlar!$B:$Q,16,0))</f>
        <v/>
      </c>
      <c r="AC80" s="67"/>
      <c r="AD80" s="57" t="str">
        <f t="shared" si="4"/>
        <v/>
      </c>
    </row>
    <row r="81" spans="1:30" x14ac:dyDescent="0.25">
      <c r="A81" s="8" t="s">
        <v>90</v>
      </c>
      <c r="B81" s="67"/>
      <c r="C81" s="42" t="str">
        <f>IF(B81="","",VLOOKUP(AD81,Varsayımlar!$B:$Q,3,0))</f>
        <v/>
      </c>
      <c r="D81" s="42"/>
      <c r="E81" s="42"/>
      <c r="F81" s="42"/>
      <c r="G81" s="42"/>
      <c r="H81" s="42" t="str">
        <f>IF(B81="","",VLOOKUP(AD81,Varsayımlar!$B:$Q,5,0))</f>
        <v/>
      </c>
      <c r="I81" s="42"/>
      <c r="J81" s="42" t="str">
        <f>IF(B81="","",VLOOKUP(AD81,Varsayımlar!$B:$Q,6,0))</f>
        <v/>
      </c>
      <c r="K81" s="42"/>
      <c r="L81" s="42"/>
      <c r="M81" s="42" t="str">
        <f>IFERROR(IF(B81="","",K81/VLOOKUP(AD81,Varsayımlar!B:R,17,0)),"")</f>
        <v/>
      </c>
      <c r="N81" s="42"/>
      <c r="O81" s="42"/>
      <c r="P81" s="42" t="str">
        <f>IF(B81="","",VLOOKUP(AD81,Varsayımlar!$B:$Q,7,0)*K81)</f>
        <v/>
      </c>
      <c r="Q81" s="42" t="str">
        <f>IF(B81="","",VLOOKUP(AD81,Varsayımlar!$B:$Q,8,0))</f>
        <v/>
      </c>
      <c r="R81" s="42" t="str">
        <f>IF(B81="","",VLOOKUP(AD81,Varsayımlar!$B:$Q,9,0))</f>
        <v/>
      </c>
      <c r="S81" s="42" t="str">
        <f>IF(B81="","",VLOOKUP(AD81,Varsayımlar!$B:$Q,10,0))</f>
        <v/>
      </c>
      <c r="T81" s="42" t="str">
        <f>IF(B81="","",VLOOKUP(AD81,Varsayımlar!$B:$Q,11,0))</f>
        <v/>
      </c>
      <c r="U81" s="42" t="str">
        <f>IF(B81="","",VLOOKUP(AD81,Varsayımlar!$B:$Q,12,0))</f>
        <v/>
      </c>
      <c r="V81" s="42" t="str">
        <f>IF(B81="","",VLOOKUP(AD81,Varsayımlar!$B:$Q,13,0))</f>
        <v/>
      </c>
      <c r="W81" s="67" t="str">
        <f>IF(B81="","",VLOOKUP(AD81,Varsayımlar!$B:$Q,14,0))</f>
        <v/>
      </c>
      <c r="X81" s="69"/>
      <c r="Y81" s="69"/>
      <c r="Z81" s="67"/>
      <c r="AA81" s="67" t="str">
        <f>IF(B81="","",VLOOKUP(AD81,Varsayımlar!$B:$Q,15,0))</f>
        <v/>
      </c>
      <c r="AB81" s="67" t="str">
        <f>IF(B81="","",VLOOKUP(AD81,Varsayımlar!$B:$Q,16,0))</f>
        <v/>
      </c>
      <c r="AC81" s="67"/>
      <c r="AD81" s="57" t="str">
        <f t="shared" si="4"/>
        <v/>
      </c>
    </row>
    <row r="82" spans="1:30" x14ac:dyDescent="0.25">
      <c r="A82" s="8" t="s">
        <v>91</v>
      </c>
      <c r="B82" s="67"/>
      <c r="C82" s="42" t="str">
        <f>IF(B82="","",VLOOKUP(AD82,Varsayımlar!$B:$Q,3,0))</f>
        <v/>
      </c>
      <c r="D82" s="42"/>
      <c r="E82" s="42"/>
      <c r="F82" s="42"/>
      <c r="G82" s="42"/>
      <c r="H82" s="42" t="str">
        <f>IF(B82="","",VLOOKUP(AD82,Varsayımlar!$B:$Q,5,0))</f>
        <v/>
      </c>
      <c r="I82" s="42"/>
      <c r="J82" s="42" t="str">
        <f>IF(B82="","",VLOOKUP(AD82,Varsayımlar!$B:$Q,6,0))</f>
        <v/>
      </c>
      <c r="K82" s="42"/>
      <c r="L82" s="42"/>
      <c r="M82" s="42" t="str">
        <f>IFERROR(IF(B82="","",K82/VLOOKUP(AD82,Varsayımlar!B:R,17,0)),"")</f>
        <v/>
      </c>
      <c r="N82" s="42"/>
      <c r="O82" s="42"/>
      <c r="P82" s="42" t="str">
        <f>IF(B82="","",VLOOKUP(AD82,Varsayımlar!$B:$Q,7,0)*K82)</f>
        <v/>
      </c>
      <c r="Q82" s="42" t="str">
        <f>IF(B82="","",VLOOKUP(AD82,Varsayımlar!$B:$Q,8,0))</f>
        <v/>
      </c>
      <c r="R82" s="42" t="str">
        <f>IF(B82="","",VLOOKUP(AD82,Varsayımlar!$B:$Q,9,0))</f>
        <v/>
      </c>
      <c r="S82" s="42" t="str">
        <f>IF(B82="","",VLOOKUP(AD82,Varsayımlar!$B:$Q,10,0))</f>
        <v/>
      </c>
      <c r="T82" s="42" t="str">
        <f>IF(B82="","",VLOOKUP(AD82,Varsayımlar!$B:$Q,11,0))</f>
        <v/>
      </c>
      <c r="U82" s="42" t="str">
        <f>IF(B82="","",VLOOKUP(AD82,Varsayımlar!$B:$Q,12,0))</f>
        <v/>
      </c>
      <c r="V82" s="42" t="str">
        <f>IF(B82="","",VLOOKUP(AD82,Varsayımlar!$B:$Q,13,0))</f>
        <v/>
      </c>
      <c r="W82" s="67" t="str">
        <f>IF(B82="","",VLOOKUP(AD82,Varsayımlar!$B:$Q,14,0))</f>
        <v/>
      </c>
      <c r="X82" s="69"/>
      <c r="Y82" s="69"/>
      <c r="Z82" s="67"/>
      <c r="AA82" s="67" t="str">
        <f>IF(B82="","",VLOOKUP(AD82,Varsayımlar!$B:$Q,15,0))</f>
        <v/>
      </c>
      <c r="AB82" s="67" t="str">
        <f>IF(B82="","",VLOOKUP(AD82,Varsayımlar!$B:$Q,16,0))</f>
        <v/>
      </c>
      <c r="AC82" s="67"/>
      <c r="AD82" s="57" t="str">
        <f t="shared" si="4"/>
        <v/>
      </c>
    </row>
    <row r="83" spans="1:30" x14ac:dyDescent="0.25">
      <c r="A83" s="8" t="s">
        <v>92</v>
      </c>
      <c r="B83" s="67"/>
      <c r="C83" s="42" t="str">
        <f>IF(B83="","",VLOOKUP(AD83,Varsayımlar!$B:$Q,3,0))</f>
        <v/>
      </c>
      <c r="D83" s="42"/>
      <c r="E83" s="42"/>
      <c r="F83" s="42"/>
      <c r="G83" s="42"/>
      <c r="H83" s="42" t="str">
        <f>IF(B83="","",VLOOKUP(AD83,Varsayımlar!$B:$Q,5,0))</f>
        <v/>
      </c>
      <c r="I83" s="42"/>
      <c r="J83" s="42" t="str">
        <f>IF(B83="","",VLOOKUP(AD83,Varsayımlar!$B:$Q,6,0))</f>
        <v/>
      </c>
      <c r="K83" s="42"/>
      <c r="L83" s="42"/>
      <c r="M83" s="42" t="str">
        <f>IFERROR(IF(B83="","",K83/VLOOKUP(AD83,Varsayımlar!B:R,17,0)),"")</f>
        <v/>
      </c>
      <c r="N83" s="42"/>
      <c r="O83" s="42"/>
      <c r="P83" s="42" t="str">
        <f>IF(B83="","",VLOOKUP(AD83,Varsayımlar!$B:$Q,7,0)*K83)</f>
        <v/>
      </c>
      <c r="Q83" s="42" t="str">
        <f>IF(B83="","",VLOOKUP(AD83,Varsayımlar!$B:$Q,8,0))</f>
        <v/>
      </c>
      <c r="R83" s="42" t="str">
        <f>IF(B83="","",VLOOKUP(AD83,Varsayımlar!$B:$Q,9,0))</f>
        <v/>
      </c>
      <c r="S83" s="42" t="str">
        <f>IF(B83="","",VLOOKUP(AD83,Varsayımlar!$B:$Q,10,0))</f>
        <v/>
      </c>
      <c r="T83" s="42" t="str">
        <f>IF(B83="","",VLOOKUP(AD83,Varsayımlar!$B:$Q,11,0))</f>
        <v/>
      </c>
      <c r="U83" s="42" t="str">
        <f>IF(B83="","",VLOOKUP(AD83,Varsayımlar!$B:$Q,12,0))</f>
        <v/>
      </c>
      <c r="V83" s="42" t="str">
        <f>IF(B83="","",VLOOKUP(AD83,Varsayımlar!$B:$Q,13,0))</f>
        <v/>
      </c>
      <c r="W83" s="67" t="str">
        <f>IF(B83="","",VLOOKUP(AD83,Varsayımlar!$B:$Q,14,0))</f>
        <v/>
      </c>
      <c r="X83" s="69"/>
      <c r="Y83" s="69"/>
      <c r="Z83" s="67"/>
      <c r="AA83" s="67" t="str">
        <f>IF(B83="","",VLOOKUP(AD83,Varsayımlar!$B:$Q,15,0))</f>
        <v/>
      </c>
      <c r="AB83" s="67" t="str">
        <f>IF(B83="","",VLOOKUP(AD83,Varsayımlar!$B:$Q,16,0))</f>
        <v/>
      </c>
      <c r="AC83" s="67"/>
      <c r="AD83" s="57" t="str">
        <f t="shared" si="4"/>
        <v/>
      </c>
    </row>
    <row r="84" spans="1:30" x14ac:dyDescent="0.25">
      <c r="A84" s="8" t="s">
        <v>93</v>
      </c>
      <c r="B84" s="67"/>
      <c r="C84" s="42" t="str">
        <f>IF(B84="","",VLOOKUP(AD84,Varsayımlar!$B:$Q,3,0))</f>
        <v/>
      </c>
      <c r="D84" s="42"/>
      <c r="E84" s="42"/>
      <c r="F84" s="42"/>
      <c r="G84" s="42"/>
      <c r="H84" s="42" t="str">
        <f>IF(B84="","",VLOOKUP(AD84,Varsayımlar!$B:$Q,5,0))</f>
        <v/>
      </c>
      <c r="I84" s="42"/>
      <c r="J84" s="42" t="str">
        <f>IF(B84="","",VLOOKUP(AD84,Varsayımlar!$B:$Q,6,0))</f>
        <v/>
      </c>
      <c r="K84" s="42"/>
      <c r="L84" s="42"/>
      <c r="M84" s="42" t="str">
        <f>IFERROR(IF(B84="","",K84/VLOOKUP(AD84,Varsayımlar!B:R,17,0)),"")</f>
        <v/>
      </c>
      <c r="N84" s="42"/>
      <c r="O84" s="42"/>
      <c r="P84" s="42" t="str">
        <f>IF(B84="","",VLOOKUP(AD84,Varsayımlar!$B:$Q,7,0)*K84)</f>
        <v/>
      </c>
      <c r="Q84" s="42" t="str">
        <f>IF(B84="","",VLOOKUP(AD84,Varsayımlar!$B:$Q,8,0))</f>
        <v/>
      </c>
      <c r="R84" s="42" t="str">
        <f>IF(B84="","",VLOOKUP(AD84,Varsayımlar!$B:$Q,9,0))</f>
        <v/>
      </c>
      <c r="S84" s="42" t="str">
        <f>IF(B84="","",VLOOKUP(AD84,Varsayımlar!$B:$Q,10,0))</f>
        <v/>
      </c>
      <c r="T84" s="42" t="str">
        <f>IF(B84="","",VLOOKUP(AD84,Varsayımlar!$B:$Q,11,0))</f>
        <v/>
      </c>
      <c r="U84" s="42" t="str">
        <f>IF(B84="","",VLOOKUP(AD84,Varsayımlar!$B:$Q,12,0))</f>
        <v/>
      </c>
      <c r="V84" s="42" t="str">
        <f>IF(B84="","",VLOOKUP(AD84,Varsayımlar!$B:$Q,13,0))</f>
        <v/>
      </c>
      <c r="W84" s="67" t="str">
        <f>IF(B84="","",VLOOKUP(AD84,Varsayımlar!$B:$Q,14,0))</f>
        <v/>
      </c>
      <c r="X84" s="69"/>
      <c r="Y84" s="69"/>
      <c r="Z84" s="67"/>
      <c r="AA84" s="67" t="str">
        <f>IF(B84="","",VLOOKUP(AD84,Varsayımlar!$B:$Q,15,0))</f>
        <v/>
      </c>
      <c r="AB84" s="67" t="str">
        <f>IF(B84="","",VLOOKUP(AD84,Varsayımlar!$B:$Q,16,0))</f>
        <v/>
      </c>
      <c r="AC84" s="67"/>
      <c r="AD84" s="57" t="str">
        <f t="shared" si="4"/>
        <v/>
      </c>
    </row>
    <row r="85" spans="1:30" x14ac:dyDescent="0.25">
      <c r="A85" s="8" t="s">
        <v>135</v>
      </c>
      <c r="B85" s="67"/>
      <c r="C85" s="42" t="str">
        <f>IF(B85="","",VLOOKUP(AD85,Varsayımlar!$B:$Q,3,0))</f>
        <v/>
      </c>
      <c r="D85" s="42"/>
      <c r="E85" s="42"/>
      <c r="F85" s="42"/>
      <c r="G85" s="42"/>
      <c r="H85" s="42" t="str">
        <f>IF(B85="","",VLOOKUP(AD85,Varsayımlar!$B:$Q,5,0))</f>
        <v/>
      </c>
      <c r="I85" s="42"/>
      <c r="J85" s="42" t="str">
        <f>IF(B85="","",VLOOKUP(AD85,Varsayımlar!$B:$Q,6,0))</f>
        <v/>
      </c>
      <c r="K85" s="42"/>
      <c r="L85" s="42"/>
      <c r="M85" s="42" t="str">
        <f>IFERROR(IF(B85="","",K85/VLOOKUP(AD85,Varsayımlar!B:R,17,0)),"")</f>
        <v/>
      </c>
      <c r="N85" s="42"/>
      <c r="O85" s="42"/>
      <c r="P85" s="42" t="str">
        <f>IF(B85="","",VLOOKUP(AD85,Varsayımlar!$B:$Q,7,0)*K85)</f>
        <v/>
      </c>
      <c r="Q85" s="42" t="str">
        <f>IF(B85="","",VLOOKUP(AD85,Varsayımlar!$B:$Q,8,0))</f>
        <v/>
      </c>
      <c r="R85" s="42" t="str">
        <f>IF(B85="","",VLOOKUP(AD85,Varsayımlar!$B:$Q,9,0))</f>
        <v/>
      </c>
      <c r="S85" s="42" t="str">
        <f>IF(B85="","",VLOOKUP(AD85,Varsayımlar!$B:$Q,10,0))</f>
        <v/>
      </c>
      <c r="T85" s="42" t="str">
        <f>IF(B85="","",VLOOKUP(AD85,Varsayımlar!$B:$Q,11,0))</f>
        <v/>
      </c>
      <c r="U85" s="42" t="str">
        <f>IF(B85="","",VLOOKUP(AD85,Varsayımlar!$B:$Q,12,0))</f>
        <v/>
      </c>
      <c r="V85" s="42" t="str">
        <f>IF(B85="","",VLOOKUP(AD85,Varsayımlar!$B:$Q,13,0))</f>
        <v/>
      </c>
      <c r="W85" s="67" t="str">
        <f>IF(B85="","",VLOOKUP(AD85,Varsayımlar!$B:$Q,14,0))</f>
        <v/>
      </c>
      <c r="X85" s="69"/>
      <c r="Y85" s="69"/>
      <c r="Z85" s="67"/>
      <c r="AA85" s="67" t="str">
        <f>IF(B85="","",VLOOKUP(AD85,Varsayımlar!$B:$Q,15,0))</f>
        <v/>
      </c>
      <c r="AB85" s="67" t="str">
        <f>IF(B85="","",VLOOKUP(AD85,Varsayımlar!$B:$Q,16,0))</f>
        <v/>
      </c>
      <c r="AC85" s="67"/>
      <c r="AD85" s="57" t="str">
        <f t="shared" si="4"/>
        <v/>
      </c>
    </row>
    <row r="86" spans="1:30" x14ac:dyDescent="0.25">
      <c r="A86" s="8" t="s">
        <v>136</v>
      </c>
      <c r="B86" s="67"/>
      <c r="C86" s="42" t="str">
        <f>IF(B86="","",VLOOKUP(AD86,Varsayımlar!$B:$Q,3,0))</f>
        <v/>
      </c>
      <c r="D86" s="42"/>
      <c r="E86" s="42"/>
      <c r="F86" s="42"/>
      <c r="G86" s="42"/>
      <c r="H86" s="42" t="str">
        <f>IF(B86="","",VLOOKUP(AD86,Varsayımlar!$B:$Q,5,0))</f>
        <v/>
      </c>
      <c r="I86" s="42"/>
      <c r="J86" s="42" t="str">
        <f>IF(B86="","",VLOOKUP(AD86,Varsayımlar!$B:$Q,6,0))</f>
        <v/>
      </c>
      <c r="K86" s="42"/>
      <c r="L86" s="42"/>
      <c r="M86" s="42" t="str">
        <f>IFERROR(IF(B86="","",K86/VLOOKUP(AD86,Varsayımlar!B:R,17,0)),"")</f>
        <v/>
      </c>
      <c r="N86" s="42"/>
      <c r="O86" s="42"/>
      <c r="P86" s="42" t="str">
        <f>IF(B86="","",VLOOKUP(AD86,Varsayımlar!$B:$Q,7,0)*K86)</f>
        <v/>
      </c>
      <c r="Q86" s="42" t="str">
        <f>IF(B86="","",VLOOKUP(AD86,Varsayımlar!$B:$Q,8,0))</f>
        <v/>
      </c>
      <c r="R86" s="42" t="str">
        <f>IF(B86="","",VLOOKUP(AD86,Varsayımlar!$B:$Q,9,0))</f>
        <v/>
      </c>
      <c r="S86" s="42" t="str">
        <f>IF(B86="","",VLOOKUP(AD86,Varsayımlar!$B:$Q,10,0))</f>
        <v/>
      </c>
      <c r="T86" s="42" t="str">
        <f>IF(B86="","",VLOOKUP(AD86,Varsayımlar!$B:$Q,11,0))</f>
        <v/>
      </c>
      <c r="U86" s="42" t="str">
        <f>IF(B86="","",VLOOKUP(AD86,Varsayımlar!$B:$Q,12,0))</f>
        <v/>
      </c>
      <c r="V86" s="42" t="str">
        <f>IF(B86="","",VLOOKUP(AD86,Varsayımlar!$B:$Q,13,0))</f>
        <v/>
      </c>
      <c r="W86" s="67" t="str">
        <f>IF(B86="","",VLOOKUP(AD86,Varsayımlar!$B:$Q,14,0))</f>
        <v/>
      </c>
      <c r="X86" s="69"/>
      <c r="Y86" s="69"/>
      <c r="Z86" s="67"/>
      <c r="AA86" s="67" t="str">
        <f>IF(B86="","",VLOOKUP(AD86,Varsayımlar!$B:$Q,15,0))</f>
        <v/>
      </c>
      <c r="AB86" s="67" t="str">
        <f>IF(B86="","",VLOOKUP(AD86,Varsayımlar!$B:$Q,16,0))</f>
        <v/>
      </c>
      <c r="AC86" s="67"/>
      <c r="AD86" s="57" t="str">
        <f t="shared" si="4"/>
        <v/>
      </c>
    </row>
    <row r="87" spans="1:30" x14ac:dyDescent="0.25">
      <c r="A87" s="8" t="s">
        <v>137</v>
      </c>
      <c r="B87" s="86"/>
      <c r="C87" s="87" t="str">
        <f>IF(B87="","",VLOOKUP(AD87,Varsayımlar!$B:$Q,3,0))</f>
        <v/>
      </c>
      <c r="D87" s="87"/>
      <c r="H87" s="57" t="str">
        <f>IF(B87="","",VLOOKUP(AD87,Varsayımlar!$B:$Q,5,0))</f>
        <v/>
      </c>
      <c r="I87" s="57"/>
      <c r="J87" s="57" t="str">
        <f>IF(B87="","",VLOOKUP(AD87,Varsayımlar!$B:$Q,6,0))</f>
        <v/>
      </c>
      <c r="P87" s="57" t="str">
        <f>IF(B87="","",VLOOKUP(AD87,Varsayımlar!$B:$Q,7,0)*K87)</f>
        <v/>
      </c>
      <c r="Q87" s="57" t="str">
        <f>IF(B87="","",VLOOKUP(AD87,Varsayımlar!$B:$Q,8,0))</f>
        <v/>
      </c>
      <c r="R87" s="57" t="str">
        <f>IF(B87="","",VLOOKUP(AD87,Varsayımlar!$B:$Q,9,0))</f>
        <v/>
      </c>
      <c r="S87" s="57" t="str">
        <f>IF(B87="","",VLOOKUP(AD87,Varsayımlar!$B:$Q,10,0))</f>
        <v/>
      </c>
      <c r="T87" s="57" t="str">
        <f>IF(B87="","",VLOOKUP(AD87,Varsayımlar!$B:$Q,11,0))</f>
        <v/>
      </c>
      <c r="U87" s="57" t="str">
        <f>IF(B87="","",VLOOKUP(AD87,Varsayımlar!$B:$Q,12,0))</f>
        <v/>
      </c>
      <c r="V87" s="57" t="str">
        <f>IF(B87="","",VLOOKUP(AD87,Varsayımlar!$B:$Q,13,0))</f>
        <v/>
      </c>
      <c r="W87" s="57" t="str">
        <f>IF(B87="","",VLOOKUP(AD87,Varsayımlar!$B:$Q,14,0))</f>
        <v/>
      </c>
      <c r="AA87" s="57" t="str">
        <f>IF(B87="","",VLOOKUP(AD87,Varsayımlar!$B:$Q,15,0))</f>
        <v/>
      </c>
      <c r="AB87" s="57" t="str">
        <f>IF(B87="","",VLOOKUP(AD87,Varsayımlar!$B:$Q,16,0))</f>
        <v/>
      </c>
      <c r="AC87" s="57" t="str">
        <f>IF(B87="","",VLOOKUP(Sayfa1!AD93,Varsayımlar!B:S,18,0))</f>
        <v/>
      </c>
      <c r="AD87" s="57" t="str">
        <f t="shared" si="4"/>
        <v/>
      </c>
    </row>
    <row r="88" spans="1:30" x14ac:dyDescent="0.25">
      <c r="C88" s="53" t="str">
        <f>IF(B88="","",VLOOKUP(AD88,Varsayımlar!$B:$Q,3,0))</f>
        <v/>
      </c>
      <c r="H88" s="7" t="str">
        <f>IF(B88="","",VLOOKUP(AD88,Varsayımlar!$B:$Q,5,0))</f>
        <v/>
      </c>
      <c r="J88" s="7" t="str">
        <f>IF(B88="","",VLOOKUP(AD88,Varsayımlar!$B:$Q,6,0))</f>
        <v/>
      </c>
      <c r="P88" s="7" t="str">
        <f>IF(B88="","",VLOOKUP(AD88,Varsayımlar!$B:$Q,7,0)*K88)</f>
        <v/>
      </c>
      <c r="Q88" s="7" t="str">
        <f>IF(B88="","",VLOOKUP(AD88,Varsayımlar!$B:$Q,8,0))</f>
        <v/>
      </c>
      <c r="R88" s="7" t="str">
        <f>IF(B88="","",VLOOKUP(AD88,Varsayımlar!$B:$Q,9,0))</f>
        <v/>
      </c>
      <c r="S88" s="7" t="str">
        <f>IF(B88="","",VLOOKUP(AD88,Varsayımlar!$B:$Q,10,0))</f>
        <v/>
      </c>
      <c r="T88" s="7" t="str">
        <f>IF(B88="","",VLOOKUP(AD88,Varsayımlar!$B:$Q,11,0))</f>
        <v/>
      </c>
      <c r="U88" s="7" t="str">
        <f>IF(B88="","",VLOOKUP(AD88,Varsayımlar!$B:$Q,12,0))</f>
        <v/>
      </c>
      <c r="V88" s="7" t="str">
        <f>IF(B88="","",VLOOKUP(AD88,Varsayımlar!$B:$Q,13,0))</f>
        <v/>
      </c>
      <c r="W88" s="7" t="str">
        <f>IF(B88="","",VLOOKUP(AD88,Varsayımlar!$B:$Q,14,0))</f>
        <v/>
      </c>
      <c r="AA88" s="7" t="str">
        <f>IF(B88="","",VLOOKUP(AD88,Varsayımlar!$B:$Q,15,0))</f>
        <v/>
      </c>
      <c r="AB88" s="7" t="str">
        <f>IF(B88="","",VLOOKUP(AD88,Varsayımlar!$B:$Q,16,0))</f>
        <v/>
      </c>
      <c r="AC88" s="7" t="str">
        <f>IF(B88="","",VLOOKUP(Sayfa1!AD94,Varsayımlar!B:S,18,0))</f>
        <v/>
      </c>
      <c r="AD88" s="7" t="str">
        <f t="shared" si="4"/>
        <v/>
      </c>
    </row>
  </sheetData>
  <mergeCells count="5">
    <mergeCell ref="A1:AC1"/>
    <mergeCell ref="A2:Z2"/>
    <mergeCell ref="AB2:AC2"/>
    <mergeCell ref="A47:AB47"/>
    <mergeCell ref="A67:AB67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0" fitToHeight="2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zoomScale="55" zoomScaleNormal="5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9" sqref="D9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28515625" style="53" customWidth="1"/>
    <col min="4" max="4" width="10.85546875" style="53" customWidth="1"/>
    <col min="5" max="5" width="42" style="53" customWidth="1"/>
    <col min="6" max="6" width="17.7109375" style="7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0.28515625" style="7" bestFit="1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17.28515625" style="7" customWidth="1"/>
    <col min="32" max="16384" width="9.140625" style="7"/>
  </cols>
  <sheetData>
    <row r="1" spans="1:31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1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46185</v>
      </c>
      <c r="AB2" s="185">
        <v>0.69444444444444442</v>
      </c>
      <c r="AC2" s="186"/>
    </row>
    <row r="3" spans="1:31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1" ht="31.5" x14ac:dyDescent="0.25">
      <c r="A4" s="8" t="s">
        <v>26</v>
      </c>
      <c r="B4" s="67" t="s">
        <v>64</v>
      </c>
      <c r="C4" s="42">
        <f>IF(B4="","",VLOOKUP(AD4,Varsayımlar!$B:$Q,3,0))</f>
        <v>8698829380698</v>
      </c>
      <c r="D4" s="42"/>
      <c r="E4" s="67" t="s">
        <v>65</v>
      </c>
      <c r="F4" s="67">
        <v>30</v>
      </c>
      <c r="G4" s="42" t="s">
        <v>68</v>
      </c>
      <c r="H4" s="67" t="str">
        <f>IF(B4="","",VLOOKUP(AD4,Varsayımlar!$B:$Q,5,0))</f>
        <v>TORTİLLAS 20CM (SAMAKAT BİLGİLERİ EKLİ)</v>
      </c>
      <c r="I4" s="67">
        <f>IF(B4="","",VLOOKUP(AD4,Varsayımlar!B:T,19,0))</f>
        <v>0</v>
      </c>
      <c r="J4" s="67" t="str">
        <f>IF(B4="","",VLOOKUP(AD4,Varsayımlar!$B:$Q,6,0))</f>
        <v>SADE</v>
      </c>
      <c r="K4" s="67">
        <v>6975</v>
      </c>
      <c r="L4" s="67">
        <v>225</v>
      </c>
      <c r="M4" s="67">
        <f>IFERROR(IF(B4="","",K4/VLOOKUP(AD4,Varsayımlar!B:R,17,0)),"")</f>
        <v>31</v>
      </c>
      <c r="N4" s="67"/>
      <c r="O4" s="67">
        <v>48</v>
      </c>
      <c r="P4" s="67">
        <f>IF(B4="","",VLOOKUP(AD4,Varsayımlar!$B:$Q,7,0)*K4)</f>
        <v>97650</v>
      </c>
      <c r="Q4" s="67">
        <f>IF(B4="","",VLOOKUP(AD4,Varsayımlar!$B:$Q,8,0))</f>
        <v>20</v>
      </c>
      <c r="R4" s="67" t="str">
        <f>IF(B4="","",VLOOKUP(AD4,Varsayımlar!$B:$Q,9,0))</f>
        <v>IRAK SOFT</v>
      </c>
      <c r="S4" s="67">
        <f>IF(B4="","",VLOOKUP(AD4,Varsayımlar!$B:$Q,10,0))</f>
        <v>4</v>
      </c>
      <c r="T4" s="67">
        <f>IF(B4="","",VLOOKUP(AD4,Varsayımlar!$B:$Q,11,0))</f>
        <v>14</v>
      </c>
      <c r="U4" s="67">
        <f>IF(B4="","",VLOOKUP(AD4,Varsayımlar!$B:$Q,12,0))</f>
        <v>166</v>
      </c>
      <c r="V4" s="67" t="str">
        <f>IF(B4="","",VLOOKUP(AD4,Varsayımlar!$B:$Q,13,0))</f>
        <v>YURTDIŞI</v>
      </c>
      <c r="W4" s="67">
        <f>IF(B4="","",VLOOKUP(AD4,Varsayımlar!$B:$Q,14,0))</f>
        <v>9</v>
      </c>
      <c r="X4" s="69">
        <v>46195</v>
      </c>
      <c r="Y4" s="69">
        <v>46468</v>
      </c>
      <c r="Z4" s="67">
        <v>26062220</v>
      </c>
      <c r="AA4" s="67" t="str">
        <f>IF(B4="","",VLOOKUP(AD4,Varsayımlar!$B:$Q,15,0))</f>
        <v>SİYAH KARE KOLİ- Üretim Tarihi Etiketli</v>
      </c>
      <c r="AB4" s="67" t="str">
        <f>IF(B4="","",VLOOKUP(AD4,Varsayımlar!$B:$Q,16,0))</f>
        <v>19-21 CM</v>
      </c>
      <c r="AC4" s="67">
        <f>IF(B4="","",VLOOKUP(Sayfa1!AD16,Varsayımlar!B:S,18,0))</f>
        <v>0</v>
      </c>
      <c r="AD4" s="57" t="str">
        <f>IF(B4="","",CONCATENATE(B4,E4))</f>
        <v>SMART LLCTORTİLLAS SAMAKAT 20CM 166G</v>
      </c>
    </row>
    <row r="5" spans="1:31" ht="39" customHeight="1" x14ac:dyDescent="0.25">
      <c r="A5" s="8" t="s">
        <v>78</v>
      </c>
      <c r="B5" s="54" t="s">
        <v>64</v>
      </c>
      <c r="C5" s="39">
        <f>IF(B5="","",VLOOKUP(AD5,Varsayımlar!$B:$Q,3,0))</f>
        <v>8698829380698</v>
      </c>
      <c r="D5" s="39"/>
      <c r="E5" s="54" t="s">
        <v>176</v>
      </c>
      <c r="F5" s="54">
        <v>29</v>
      </c>
      <c r="G5" s="39" t="s">
        <v>68</v>
      </c>
      <c r="H5" s="54" t="str">
        <f>IF(B5="","",VLOOKUP(AD5,Varsayımlar!$B:$Q,5,0))</f>
        <v>Tortillas 20cm (Samakat Bilgileri Ekli)</v>
      </c>
      <c r="I5" s="54">
        <f>IF(B5="","",VLOOKUP(AD5,Varsayımlar!B:T,19,0))</f>
        <v>0</v>
      </c>
      <c r="J5" s="54" t="str">
        <f>IF(B5="","",VLOOKUP(AD5,Varsayımlar!$B:$Q,6,0))</f>
        <v>PEYNİRLİ</v>
      </c>
      <c r="K5" s="54">
        <v>7200</v>
      </c>
      <c r="L5" s="54">
        <v>6945</v>
      </c>
      <c r="M5" s="54">
        <f>IFERROR(IF(B5="","",K5/VLOOKUP(AD5,Varsayımlar!B:R,17,0)),"")</f>
        <v>32</v>
      </c>
      <c r="N5" s="54">
        <v>225</v>
      </c>
      <c r="O5" s="54">
        <v>2</v>
      </c>
      <c r="P5" s="54">
        <f>IF(B5="","",VLOOKUP(AD5,Varsayımlar!$B:$Q,7,0)*K5)</f>
        <v>100800</v>
      </c>
      <c r="Q5" s="54">
        <f>IF(B5="","",VLOOKUP(AD5,Varsayımlar!$B:$Q,8,0))</f>
        <v>20</v>
      </c>
      <c r="R5" s="54" t="str">
        <f>IF(B5="","",VLOOKUP(AD5,Varsayımlar!$B:$Q,9,0))</f>
        <v>IRAK SOFT-AT</v>
      </c>
      <c r="S5" s="54">
        <f>IF(B5="","",VLOOKUP(AD5,Varsayımlar!$B:$Q,10,0))</f>
        <v>4</v>
      </c>
      <c r="T5" s="54">
        <f>IF(B5="","",VLOOKUP(AD5,Varsayımlar!$B:$Q,11,0))</f>
        <v>14</v>
      </c>
      <c r="U5" s="54">
        <f>IF(B5="","",VLOOKUP(AD5,Varsayımlar!$B:$Q,12,0))</f>
        <v>166</v>
      </c>
      <c r="V5" s="54" t="str">
        <f>IF(B5="","",VLOOKUP(AD5,Varsayımlar!$B:$Q,13,0))</f>
        <v>YURTDIŞI</v>
      </c>
      <c r="W5" s="54">
        <f>IF(B5="","",VLOOKUP(AD5,Varsayımlar!$B:$Q,14,0))</f>
        <v>9</v>
      </c>
      <c r="X5" s="56">
        <v>46184</v>
      </c>
      <c r="Y5" s="56">
        <v>46457</v>
      </c>
      <c r="Z5" s="54" t="s">
        <v>333</v>
      </c>
      <c r="AA5" s="54" t="str">
        <f>IF(B5="","",VLOOKUP(AD5,Varsayımlar!$B:$Q,15,0))</f>
        <v>Kare Koli-Üretim Tarihli Etiket</v>
      </c>
      <c r="AB5" s="54" t="str">
        <f>IF(B5="","",VLOOKUP(AD5,Varsayımlar!$B:$Q,16,0))</f>
        <v>19-21 cm</v>
      </c>
      <c r="AC5" s="54">
        <f>IF(B5="","",VLOOKUP(Sayfa1!AD5,Varsayımlar!B:S,18,0))</f>
        <v>0</v>
      </c>
      <c r="AD5" s="57" t="str">
        <f>IF(B5="","",CONCATENATE(B5,E5))</f>
        <v>SMART LLCTortillas 20cm Peynirli 4pcs 166g</v>
      </c>
    </row>
    <row r="6" spans="1:31" ht="31.5" x14ac:dyDescent="0.25">
      <c r="A6" s="8" t="s">
        <v>79</v>
      </c>
      <c r="B6" s="67" t="s">
        <v>64</v>
      </c>
      <c r="C6" s="42">
        <f>IF(B6="","",VLOOKUP(AD6,Varsayımlar!$B:$Q,3,0))</f>
        <v>8698829380698</v>
      </c>
      <c r="D6" s="42"/>
      <c r="E6" s="67" t="s">
        <v>176</v>
      </c>
      <c r="F6" s="67">
        <v>28</v>
      </c>
      <c r="G6" s="42" t="s">
        <v>68</v>
      </c>
      <c r="H6" s="67" t="str">
        <f>IF(B6="","",VLOOKUP(AD6,Varsayımlar!$B:$Q,5,0))</f>
        <v>Tortillas 20cm (Samakat Bilgileri Ekli)</v>
      </c>
      <c r="I6" s="67">
        <f>IF(B6="","",VLOOKUP(AD6,Varsayımlar!B:T,19,0))</f>
        <v>0</v>
      </c>
      <c r="J6" s="67" t="str">
        <f>IF(B6="","",VLOOKUP(AD6,Varsayımlar!$B:$Q,6,0))</f>
        <v>PEYNİRLİ</v>
      </c>
      <c r="K6" s="67">
        <v>1575</v>
      </c>
      <c r="L6" s="67"/>
      <c r="M6" s="67">
        <f>IFERROR(IF(B6="","",K6/VLOOKUP(AD6,Varsayımlar!B:R,17,0)),"")</f>
        <v>7</v>
      </c>
      <c r="N6" s="67">
        <v>225</v>
      </c>
      <c r="O6" s="67">
        <v>11</v>
      </c>
      <c r="P6" s="67">
        <f>IF(B6="","",VLOOKUP(AD6,Varsayımlar!$B:$Q,7,0)*K6)</f>
        <v>22050</v>
      </c>
      <c r="Q6" s="67">
        <f>IF(B6="","",VLOOKUP(AD6,Varsayımlar!$B:$Q,8,0))</f>
        <v>20</v>
      </c>
      <c r="R6" s="67" t="str">
        <f>IF(B6="","",VLOOKUP(AD6,Varsayımlar!$B:$Q,9,0))</f>
        <v>IRAK SOFT-AT</v>
      </c>
      <c r="S6" s="67">
        <f>IF(B6="","",VLOOKUP(AD6,Varsayımlar!$B:$Q,10,0))</f>
        <v>4</v>
      </c>
      <c r="T6" s="67">
        <f>IF(B6="","",VLOOKUP(AD6,Varsayımlar!$B:$Q,11,0))</f>
        <v>14</v>
      </c>
      <c r="U6" s="67">
        <f>IF(B6="","",VLOOKUP(AD6,Varsayımlar!$B:$Q,12,0))</f>
        <v>166</v>
      </c>
      <c r="V6" s="67" t="str">
        <f>IF(B6="","",VLOOKUP(AD6,Varsayımlar!$B:$Q,13,0))</f>
        <v>YURTDIŞI</v>
      </c>
      <c r="W6" s="67">
        <f>IF(B6="","",VLOOKUP(AD6,Varsayımlar!$B:$Q,14,0))</f>
        <v>9</v>
      </c>
      <c r="X6" s="69">
        <v>46188</v>
      </c>
      <c r="Y6" s="69">
        <v>46461</v>
      </c>
      <c r="Z6" s="67" t="s">
        <v>172</v>
      </c>
      <c r="AA6" s="67" t="str">
        <f>IF(B6="","",VLOOKUP(AD6,Varsayımlar!$B:$Q,15,0))</f>
        <v>Kare Koli-Üretim Tarihli Etiket</v>
      </c>
      <c r="AB6" s="67" t="str">
        <f>IF(B6="","",VLOOKUP(AD6,Varsayımlar!$B:$Q,16,0))</f>
        <v>19-21 cm</v>
      </c>
      <c r="AC6" s="67">
        <f>IF(B6="","",VLOOKUP(Sayfa1!AD9,Varsayımlar!B:S,18,0))</f>
        <v>0</v>
      </c>
      <c r="AD6" s="57" t="str">
        <f t="shared" ref="AD6:AD44" si="0">IF(B6="","",CONCATENATE(B6,E6))</f>
        <v>SMART LLCTortillas 20cm Peynirli 4pcs 166g</v>
      </c>
    </row>
    <row r="7" spans="1:31" ht="31.5" x14ac:dyDescent="0.25">
      <c r="A7" s="8" t="s">
        <v>80</v>
      </c>
      <c r="B7" s="67" t="s">
        <v>64</v>
      </c>
      <c r="C7" s="42">
        <f>IF(B7="","",VLOOKUP(AD7,Varsayımlar!$B:$Q,3,0))</f>
        <v>8698829380698</v>
      </c>
      <c r="D7" s="42"/>
      <c r="E7" s="42" t="s">
        <v>296</v>
      </c>
      <c r="F7" s="67">
        <v>28</v>
      </c>
      <c r="G7" s="42" t="s">
        <v>68</v>
      </c>
      <c r="H7" s="67" t="str">
        <f>IF(B7="","",VLOOKUP(AD7,Varsayımlar!$B:$Q,5,0))</f>
        <v>Tortillas 20cm Çok Tahıllı</v>
      </c>
      <c r="I7" s="67">
        <f>IF(B7="","",VLOOKUP(AD7,Varsayımlar!B:T,19,0))</f>
        <v>0</v>
      </c>
      <c r="J7" s="67" t="str">
        <f>IF(B7="","",VLOOKUP(AD7,Varsayımlar!$B:$Q,6,0))</f>
        <v>Çok Tahıllı</v>
      </c>
      <c r="K7" s="67">
        <v>5625</v>
      </c>
      <c r="L7" s="67"/>
      <c r="M7" s="67">
        <f>IFERROR(IF(B7="","",K7/VLOOKUP(AD7,Varsayımlar!B:R,17,0)),"")</f>
        <v>25</v>
      </c>
      <c r="N7" s="67">
        <v>225</v>
      </c>
      <c r="O7" s="67">
        <v>45</v>
      </c>
      <c r="P7" s="67">
        <f>IF(B7="","",VLOOKUP(AD7,Varsayımlar!$B:$Q,7,0)*K7)</f>
        <v>78750</v>
      </c>
      <c r="Q7" s="67">
        <f>IF(B7="","",VLOOKUP(AD7,Varsayımlar!$B:$Q,8,0))</f>
        <v>20</v>
      </c>
      <c r="R7" s="67" t="str">
        <f>IF(B7="","",VLOOKUP(AD7,Varsayımlar!$B:$Q,9,0))</f>
        <v>Irak Soft</v>
      </c>
      <c r="S7" s="67">
        <f>IF(B7="","",VLOOKUP(AD7,Varsayımlar!$B:$Q,10,0))</f>
        <v>4</v>
      </c>
      <c r="T7" s="67">
        <f>IF(B7="","",VLOOKUP(AD7,Varsayımlar!$B:$Q,11,0))</f>
        <v>14</v>
      </c>
      <c r="U7" s="67">
        <f>IF(B7="","",VLOOKUP(AD7,Varsayımlar!$B:$Q,12,0))</f>
        <v>166</v>
      </c>
      <c r="V7" s="67" t="str">
        <f>IF(B7="","",VLOOKUP(AD7,Varsayımlar!$B:$Q,13,0))</f>
        <v>Yurtdışı</v>
      </c>
      <c r="W7" s="67">
        <f>IF(B7="","",VLOOKUP(AD7,Varsayımlar!$B:$Q,14,0))</f>
        <v>9</v>
      </c>
      <c r="X7" s="69">
        <v>46188</v>
      </c>
      <c r="Y7" s="69">
        <v>46461</v>
      </c>
      <c r="Z7" s="67" t="s">
        <v>419</v>
      </c>
      <c r="AA7" s="67" t="str">
        <f>IF(B7="","",VLOOKUP(AD7,Varsayımlar!$B:$Q,15,0))</f>
        <v>SİYAH KARE KOLİ-Üretim Tarihi Etiketli</v>
      </c>
      <c r="AB7" s="67" t="str">
        <f>IF(B7="","",VLOOKUP(AD7,Varsayımlar!$B:$Q,16,0))</f>
        <v>19-21 cm</v>
      </c>
      <c r="AC7" s="58">
        <f>IF(B7="","",VLOOKUP(Sayfa1!AD8,Varsayımlar!B:S,18,0))</f>
        <v>0</v>
      </c>
      <c r="AD7" s="57" t="str">
        <f t="shared" si="0"/>
        <v>SMART LLCTortillas 20cm Çok Tahıllı 4pcs 166g</v>
      </c>
    </row>
    <row r="8" spans="1:31" ht="31.5" customHeight="1" x14ac:dyDescent="0.25">
      <c r="A8" s="8" t="s">
        <v>81</v>
      </c>
      <c r="B8" s="127" t="s">
        <v>335</v>
      </c>
      <c r="C8" s="128">
        <f>IF(B8="","",VLOOKUP(AD8,Varsayımlar!$B:$Q,3,0))</f>
        <v>8698829380698</v>
      </c>
      <c r="D8" s="128"/>
      <c r="E8" s="127" t="s">
        <v>299</v>
      </c>
      <c r="F8" s="127"/>
      <c r="G8" s="128"/>
      <c r="H8" s="127" t="str">
        <f>IF(B8="","",VLOOKUP(AD8,Varsayımlar!$B:$Q,5,0))</f>
        <v>Lazeza 30cm</v>
      </c>
      <c r="I8" s="127">
        <f>IF(B8="","",VLOOKUP(AD8,Varsayımlar!B:T,19,0))</f>
        <v>0</v>
      </c>
      <c r="J8" s="127" t="str">
        <f>IF(B8="","",VLOOKUP(AD8,Varsayımlar!$B:$Q,6,0))</f>
        <v>SADE</v>
      </c>
      <c r="K8" s="127">
        <v>1700</v>
      </c>
      <c r="L8" s="127"/>
      <c r="M8" s="127" t="str">
        <f>IFERROR(IF(B8="","",K8/VLOOKUP(AD8,Varsayımlar!B:R,17,0)),"")</f>
        <v/>
      </c>
      <c r="N8" s="127"/>
      <c r="O8" s="127">
        <v>27</v>
      </c>
      <c r="P8" s="127">
        <f>IF(B8="","",VLOOKUP(AD8,Varsayımlar!$B:$Q,7,0)*K8)</f>
        <v>30600</v>
      </c>
      <c r="Q8" s="127">
        <f>IF(B8="","",VLOOKUP(AD8,Varsayımlar!$B:$Q,8,0))</f>
        <v>30</v>
      </c>
      <c r="R8" s="127" t="str">
        <f>IF(B8="","",VLOOKUP(AD8,Varsayımlar!$B:$Q,9,0))</f>
        <v>Irak Soft</v>
      </c>
      <c r="S8" s="127">
        <f>IF(B8="","",VLOOKUP(AD8,Varsayımlar!$B:$Q,10,0))</f>
        <v>6</v>
      </c>
      <c r="T8" s="127">
        <f>IF(B8="","",VLOOKUP(AD8,Varsayımlar!$B:$Q,11,0))</f>
        <v>18</v>
      </c>
      <c r="U8" s="127">
        <f>IF(B8="","",VLOOKUP(AD8,Varsayımlar!$B:$Q,12,0))</f>
        <v>510</v>
      </c>
      <c r="V8" s="127" t="str">
        <f>IF(B8="","",VLOOKUP(AD8,Varsayımlar!$B:$Q,13,0))</f>
        <v>Yurtdışı</v>
      </c>
      <c r="W8" s="127">
        <f>IF(B8="","",VLOOKUP(AD8,Varsayımlar!$B:$Q,14,0))</f>
        <v>6</v>
      </c>
      <c r="X8" s="129">
        <v>46188</v>
      </c>
      <c r="Y8" s="129">
        <v>46736</v>
      </c>
      <c r="Z8" s="127">
        <v>26061530</v>
      </c>
      <c r="AA8" s="127" t="str">
        <f>IF(B8="","",VLOOKUP(AD8,Varsayımlar!$B:$Q,15,0))</f>
        <v>Lazeza Kolisi</v>
      </c>
      <c r="AB8" s="127" t="str">
        <f>IF(B8="","",VLOOKUP(AD8,Varsayımlar!$B:$Q,16,0))</f>
        <v>29-31 cm</v>
      </c>
      <c r="AC8" s="64">
        <f>IF(B8="","",VLOOKUP(Sayfa1!AD10,Varsayımlar!B:S,18,0))</f>
        <v>0</v>
      </c>
      <c r="AD8" s="57" t="str">
        <f t="shared" si="0"/>
        <v>AjjawiLazeza 30 cm 6pcs 510g</v>
      </c>
      <c r="AE8" s="7" t="s">
        <v>425</v>
      </c>
    </row>
    <row r="9" spans="1:31" ht="78.75" x14ac:dyDescent="0.25">
      <c r="A9" s="8" t="s">
        <v>82</v>
      </c>
      <c r="B9" s="64" t="s">
        <v>53</v>
      </c>
      <c r="C9" s="3">
        <f>IF(B9="","",VLOOKUP(AD9,Varsayımlar!$B:$Q,3,0))</f>
        <v>8698829380698</v>
      </c>
      <c r="D9" s="64" t="s">
        <v>397</v>
      </c>
      <c r="E9" s="64" t="s">
        <v>54</v>
      </c>
      <c r="F9" s="64"/>
      <c r="G9" s="64" t="s">
        <v>398</v>
      </c>
      <c r="H9" s="64" t="str">
        <f>IF(B9="","",VLOOKUP(AD9,Varsayımlar!$B:$Q,5,0))</f>
        <v>MAGNİT MAVİ AMBALAJ 25CM</v>
      </c>
      <c r="I9" s="64">
        <f>IF(B9="","",VLOOKUP(AD9,Varsayımlar!B:T,19,0))</f>
        <v>0</v>
      </c>
      <c r="J9" s="64" t="str">
        <f>IF(B9="","",VLOOKUP(AD9,Varsayımlar!$B:$Q,6,0))</f>
        <v>SADE</v>
      </c>
      <c r="K9" s="64">
        <v>2016</v>
      </c>
      <c r="L9" s="64"/>
      <c r="M9" s="64" t="str">
        <f>IFERROR(IF(B9="","",K9/VLOOKUP(AD9,#REF!,17,0)),"")</f>
        <v/>
      </c>
      <c r="N9" s="64"/>
      <c r="O9" s="64">
        <v>18</v>
      </c>
      <c r="P9" s="64">
        <f>IF(B9="","",VLOOKUP(AD9,Varsayımlar!$B:$Q,7,0)*K9)</f>
        <v>60480</v>
      </c>
      <c r="Q9" s="64">
        <f>IF(B9="","",VLOOKUP(AD9,Varsayımlar!$B:$Q,8,0))</f>
        <v>25</v>
      </c>
      <c r="R9" s="64" t="str">
        <f>IF(B9="","",VLOOKUP(AD9,Varsayımlar!$B:$Q,9,0))</f>
        <v>SOFT</v>
      </c>
      <c r="S9" s="64">
        <f>IF(B9="","",VLOOKUP(AD9,Varsayımlar!$B:$Q,10,0))</f>
        <v>4</v>
      </c>
      <c r="T9" s="64">
        <f>IF(B9="","",VLOOKUP(AD9,Varsayımlar!$B:$Q,11,0))</f>
        <v>30</v>
      </c>
      <c r="U9" s="64">
        <f>IF(B9="","",VLOOKUP(AD9,Varsayımlar!$B:$Q,12,0))</f>
        <v>260</v>
      </c>
      <c r="V9" s="64" t="str">
        <f>IF(B9="","",VLOOKUP(AD9,Varsayımlar!$B:$Q,13,0))</f>
        <v>YURTDIŞI</v>
      </c>
      <c r="W9" s="64">
        <f>IF(B9="","",VLOOKUP(AD9,Varsayımlar!$B:$Q,14,0))</f>
        <v>9</v>
      </c>
      <c r="X9" s="66">
        <v>46190</v>
      </c>
      <c r="Y9" s="66">
        <v>46463</v>
      </c>
      <c r="Z9" s="64" t="s">
        <v>399</v>
      </c>
      <c r="AA9" s="64" t="str">
        <f>IF(B9="","",VLOOKUP(AD9,Varsayımlar!$B:$Q,15,0))</f>
        <v>25CM TURUNCU KOLİ-SOL ÜST DİKDÖRTGENE ÜRETİM TARİHİ BASILACAK</v>
      </c>
      <c r="AB9" s="64" t="str">
        <f>IF(B9="","",VLOOKUP(AD9,Varsayımlar!$B:$Q,16,0))</f>
        <v>24-26 CM</v>
      </c>
      <c r="AC9" s="73" t="e">
        <f>IF(B9="","",VLOOKUP(#REF!,#REF!,18,0))</f>
        <v>#REF!</v>
      </c>
      <c r="AD9" s="73" t="str">
        <f>IF(B9="","",CONCATENATE(B9,E9))</f>
        <v>MAGNİTMAGNİT MAVİ AMBALAJ 25 CM 260G</v>
      </c>
    </row>
    <row r="10" spans="1:31" ht="78.75" x14ac:dyDescent="0.25">
      <c r="A10" s="8" t="s">
        <v>83</v>
      </c>
      <c r="B10" s="80" t="s">
        <v>53</v>
      </c>
      <c r="C10" s="44">
        <f>IF(B10="","",VLOOKUP(AD10,Varsayımlar!$B:$Q,3,0))</f>
        <v>8698829380698</v>
      </c>
      <c r="D10" s="80" t="s">
        <v>394</v>
      </c>
      <c r="E10" s="80" t="s">
        <v>54</v>
      </c>
      <c r="F10" s="80"/>
      <c r="G10" s="80" t="s">
        <v>395</v>
      </c>
      <c r="H10" s="80" t="str">
        <f>IF(B10="","",VLOOKUP(AD10,Varsayımlar!$B:$Q,5,0))</f>
        <v>MAGNİT MAVİ AMBALAJ 25CM</v>
      </c>
      <c r="I10" s="80">
        <f>IF(B10="","",VLOOKUP(AD10,Varsayımlar!B:T,19,0))</f>
        <v>0</v>
      </c>
      <c r="J10" s="80" t="str">
        <f>IF(B10="","",VLOOKUP(AD10,Varsayımlar!$B:$Q,6,0))</f>
        <v>SADE</v>
      </c>
      <c r="K10" s="80">
        <v>2016</v>
      </c>
      <c r="L10" s="80"/>
      <c r="M10" s="80" t="str">
        <f>IFERROR(IF(B10="","",K10/VLOOKUP(AD10,#REF!,17,0)),"")</f>
        <v/>
      </c>
      <c r="N10" s="80"/>
      <c r="O10" s="80">
        <v>18</v>
      </c>
      <c r="P10" s="80">
        <f>IF(B10="","",VLOOKUP(AD10,Varsayımlar!$B:$Q,7,0)*K10)</f>
        <v>60480</v>
      </c>
      <c r="Q10" s="80">
        <f>IF(B10="","",VLOOKUP(AD10,Varsayımlar!$B:$Q,8,0))</f>
        <v>25</v>
      </c>
      <c r="R10" s="80" t="str">
        <f>IF(B10="","",VLOOKUP(AD10,Varsayımlar!$B:$Q,9,0))</f>
        <v>SOFT</v>
      </c>
      <c r="S10" s="80">
        <f>IF(B10="","",VLOOKUP(AD10,Varsayımlar!$B:$Q,10,0))</f>
        <v>4</v>
      </c>
      <c r="T10" s="80">
        <f>IF(B10="","",VLOOKUP(AD10,Varsayımlar!$B:$Q,11,0))</f>
        <v>30</v>
      </c>
      <c r="U10" s="80">
        <f>IF(B10="","",VLOOKUP(AD10,Varsayımlar!$B:$Q,12,0))</f>
        <v>260</v>
      </c>
      <c r="V10" s="80" t="str">
        <f>IF(B10="","",VLOOKUP(AD10,Varsayımlar!$B:$Q,13,0))</f>
        <v>YURTDIŞI</v>
      </c>
      <c r="W10" s="80">
        <f>IF(B10="","",VLOOKUP(AD10,Varsayımlar!$B:$Q,14,0))</f>
        <v>9</v>
      </c>
      <c r="X10" s="81">
        <v>46190</v>
      </c>
      <c r="Y10" s="81">
        <v>46463</v>
      </c>
      <c r="Z10" s="80" t="s">
        <v>396</v>
      </c>
      <c r="AA10" s="80" t="str">
        <f>IF(B10="","",VLOOKUP(AD10,Varsayımlar!$B:$Q,15,0))</f>
        <v>25CM TURUNCU KOLİ-SOL ÜST DİKDÖRTGENE ÜRETİM TARİHİ BASILACAK</v>
      </c>
      <c r="AB10" s="80" t="str">
        <f>IF(B10="","",VLOOKUP(AD10,Varsayımlar!$B:$Q,16,0))</f>
        <v>24-26 CM</v>
      </c>
      <c r="AC10" s="73" t="e">
        <f>IF(B10="","",VLOOKUP(#REF!,#REF!,18,0))</f>
        <v>#REF!</v>
      </c>
      <c r="AD10" s="73" t="str">
        <f>IF(B10="","",CONCATENATE(B10,E10))</f>
        <v>MAGNİTMAGNİT MAVİ AMBALAJ 25 CM 260G</v>
      </c>
    </row>
    <row r="11" spans="1:31" ht="78.75" x14ac:dyDescent="0.25">
      <c r="A11" s="8" t="s">
        <v>84</v>
      </c>
      <c r="B11" s="67" t="s">
        <v>53</v>
      </c>
      <c r="C11" s="42">
        <f>IF(B11="","",VLOOKUP(AD11,Varsayımlar!$B:$Q,3,0))</f>
        <v>8698829380698</v>
      </c>
      <c r="D11" s="67" t="s">
        <v>400</v>
      </c>
      <c r="E11" s="67" t="s">
        <v>54</v>
      </c>
      <c r="F11" s="67"/>
      <c r="G11" s="67" t="s">
        <v>401</v>
      </c>
      <c r="H11" s="67" t="str">
        <f>IF(B11="","",VLOOKUP(AD11,Varsayımlar!$B:$Q,5,0))</f>
        <v>MAGNİT MAVİ AMBALAJ 25CM</v>
      </c>
      <c r="I11" s="67">
        <f>IF(B11="","",VLOOKUP(AD11,Varsayımlar!B:T,19,0))</f>
        <v>0</v>
      </c>
      <c r="J11" s="67" t="str">
        <f>IF(B11="","",VLOOKUP(AD11,Varsayımlar!$B:$Q,6,0))</f>
        <v>SADE</v>
      </c>
      <c r="K11" s="67">
        <v>2016</v>
      </c>
      <c r="L11" s="67"/>
      <c r="M11" s="67" t="str">
        <f>IFERROR(IF(B11="","",K11/VLOOKUP(AD11,#REF!,17,0)),"")</f>
        <v/>
      </c>
      <c r="N11" s="67"/>
      <c r="O11" s="67">
        <v>18</v>
      </c>
      <c r="P11" s="67">
        <f>IF(B11="","",VLOOKUP(AD11,Varsayımlar!$B:$Q,7,0)*K11)</f>
        <v>60480</v>
      </c>
      <c r="Q11" s="67">
        <f>IF(B11="","",VLOOKUP(AD11,Varsayımlar!$B:$Q,8,0))</f>
        <v>25</v>
      </c>
      <c r="R11" s="67" t="str">
        <f>IF(B11="","",VLOOKUP(AD11,Varsayımlar!$B:$Q,9,0))</f>
        <v>SOFT</v>
      </c>
      <c r="S11" s="67">
        <f>IF(B11="","",VLOOKUP(AD11,Varsayımlar!$B:$Q,10,0))</f>
        <v>4</v>
      </c>
      <c r="T11" s="67">
        <f>IF(B11="","",VLOOKUP(AD11,Varsayımlar!$B:$Q,11,0))</f>
        <v>30</v>
      </c>
      <c r="U11" s="67">
        <f>IF(B11="","",VLOOKUP(AD11,Varsayımlar!$B:$Q,12,0))</f>
        <v>260</v>
      </c>
      <c r="V11" s="67" t="str">
        <f>IF(B11="","",VLOOKUP(AD11,Varsayımlar!$B:$Q,13,0))</f>
        <v>YURTDIŞI</v>
      </c>
      <c r="W11" s="67">
        <f>IF(B11="","",VLOOKUP(AD11,Varsayımlar!$B:$Q,14,0))</f>
        <v>9</v>
      </c>
      <c r="X11" s="69">
        <v>46191</v>
      </c>
      <c r="Y11" s="69">
        <v>46464</v>
      </c>
      <c r="Z11" s="67" t="s">
        <v>402</v>
      </c>
      <c r="AA11" s="67" t="str">
        <f>IF(B11="","",VLOOKUP(AD11,Varsayımlar!$B:$Q,15,0))</f>
        <v>25CM TURUNCU KOLİ-SOL ÜST DİKDÖRTGENE ÜRETİM TARİHİ BASILACAK</v>
      </c>
      <c r="AB11" s="67" t="str">
        <f>IF(B11="","",VLOOKUP(AD11,Varsayımlar!$B:$Q,16,0))</f>
        <v>24-26 CM</v>
      </c>
      <c r="AC11" s="73" t="e">
        <f>IF(B11="","",VLOOKUP(#REF!,#REF!,18,0))</f>
        <v>#REF!</v>
      </c>
      <c r="AD11" s="73" t="str">
        <f>IF(B11="","",CONCATENATE(B11,E11))</f>
        <v>MAGNİTMAGNİT MAVİ AMBALAJ 25 CM 260G</v>
      </c>
    </row>
    <row r="12" spans="1:31" ht="78.75" x14ac:dyDescent="0.25">
      <c r="A12" s="8" t="s">
        <v>85</v>
      </c>
      <c r="B12" s="117" t="s">
        <v>53</v>
      </c>
      <c r="C12" s="118">
        <f>IF(B12="","",VLOOKUP(AD12,Varsayımlar!$B:$Q,3,0))</f>
        <v>8698829380698</v>
      </c>
      <c r="D12" s="117" t="s">
        <v>403</v>
      </c>
      <c r="E12" s="117" t="s">
        <v>54</v>
      </c>
      <c r="F12" s="117"/>
      <c r="G12" s="117" t="s">
        <v>404</v>
      </c>
      <c r="H12" s="117" t="str">
        <f>IF(B12="","",VLOOKUP(AD12,Varsayımlar!$B:$Q,5,0))</f>
        <v>MAGNİT MAVİ AMBALAJ 25CM</v>
      </c>
      <c r="I12" s="117">
        <f>IF(B12="","",VLOOKUP(AD12,Varsayımlar!B:T,19,0))</f>
        <v>0</v>
      </c>
      <c r="J12" s="117" t="str">
        <f>IF(B12="","",VLOOKUP(AD12,Varsayımlar!$B:$Q,6,0))</f>
        <v>SADE</v>
      </c>
      <c r="K12" s="117">
        <v>2016</v>
      </c>
      <c r="L12" s="117"/>
      <c r="M12" s="117" t="str">
        <f>IFERROR(IF(B12="","",K12/VLOOKUP(AD12,#REF!,17,0)),"")</f>
        <v/>
      </c>
      <c r="N12" s="117"/>
      <c r="O12" s="117">
        <v>18</v>
      </c>
      <c r="P12" s="117">
        <f>IF(B12="","",VLOOKUP(AD12,Varsayımlar!$B:$Q,7,0)*K12)</f>
        <v>60480</v>
      </c>
      <c r="Q12" s="117">
        <f>IF(B12="","",VLOOKUP(AD12,Varsayımlar!$B:$Q,8,0))</f>
        <v>25</v>
      </c>
      <c r="R12" s="117" t="str">
        <f>IF(B12="","",VLOOKUP(AD12,Varsayımlar!$B:$Q,9,0))</f>
        <v>SOFT</v>
      </c>
      <c r="S12" s="117">
        <f>IF(B12="","",VLOOKUP(AD12,Varsayımlar!$B:$Q,10,0))</f>
        <v>4</v>
      </c>
      <c r="T12" s="117">
        <f>IF(B12="","",VLOOKUP(AD12,Varsayımlar!$B:$Q,11,0))</f>
        <v>30</v>
      </c>
      <c r="U12" s="117">
        <f>IF(B12="","",VLOOKUP(AD12,Varsayımlar!$B:$Q,12,0))</f>
        <v>260</v>
      </c>
      <c r="V12" s="117" t="str">
        <f>IF(B12="","",VLOOKUP(AD12,Varsayımlar!$B:$Q,13,0))</f>
        <v>YURTDIŞI</v>
      </c>
      <c r="W12" s="117">
        <f>IF(B12="","",VLOOKUP(AD12,Varsayımlar!$B:$Q,14,0))</f>
        <v>9</v>
      </c>
      <c r="X12" s="122">
        <v>46193</v>
      </c>
      <c r="Y12" s="122">
        <v>46466</v>
      </c>
      <c r="Z12" s="117" t="s">
        <v>405</v>
      </c>
      <c r="AA12" s="117" t="str">
        <f>IF(B12="","",VLOOKUP(AD12,Varsayımlar!$B:$Q,15,0))</f>
        <v>25CM TURUNCU KOLİ-SOL ÜST DİKDÖRTGENE ÜRETİM TARİHİ BASILACAK</v>
      </c>
      <c r="AB12" s="117" t="str">
        <f>IF(B12="","",VLOOKUP(AD12,Varsayımlar!$B:$Q,16,0))</f>
        <v>24-26 CM</v>
      </c>
      <c r="AC12" s="73" t="e">
        <f>IF(B12="","",VLOOKUP(#REF!,#REF!,18,0))</f>
        <v>#REF!</v>
      </c>
      <c r="AD12" s="73" t="str">
        <f>IF(B12="","",CONCATENATE(B12,E12))</f>
        <v>MAGNİTMAGNİT MAVİ AMBALAJ 25 CM 260G</v>
      </c>
    </row>
    <row r="13" spans="1:31" ht="78.75" x14ac:dyDescent="0.25">
      <c r="A13" s="8" t="s">
        <v>86</v>
      </c>
      <c r="B13" s="67" t="s">
        <v>53</v>
      </c>
      <c r="C13" s="42">
        <f>IF(B13="","",VLOOKUP(AD13,Varsayımlar!$B:$Q,3,0))</f>
        <v>8698829380698</v>
      </c>
      <c r="D13" s="67" t="s">
        <v>406</v>
      </c>
      <c r="E13" s="67" t="s">
        <v>54</v>
      </c>
      <c r="F13" s="67"/>
      <c r="G13" s="67" t="s">
        <v>407</v>
      </c>
      <c r="H13" s="67" t="str">
        <f>IF(B13="","",VLOOKUP(AD13,Varsayımlar!$B:$Q,5,0))</f>
        <v>MAGNİT MAVİ AMBALAJ 25CM</v>
      </c>
      <c r="I13" s="67">
        <f>IF(B13="","",VLOOKUP(AD13,Varsayımlar!B:T,19,0))</f>
        <v>0</v>
      </c>
      <c r="J13" s="67" t="str">
        <f>IF(B13="","",VLOOKUP(AD13,Varsayımlar!$B:$Q,6,0))</f>
        <v>SADE</v>
      </c>
      <c r="K13" s="67">
        <v>2016</v>
      </c>
      <c r="L13" s="67"/>
      <c r="M13" s="67" t="str">
        <f>IFERROR(IF(B13="","",K13/VLOOKUP(AD13,#REF!,17,0)),"")</f>
        <v/>
      </c>
      <c r="N13" s="67"/>
      <c r="O13" s="67">
        <v>18</v>
      </c>
      <c r="P13" s="67">
        <f>IF(B13="","",VLOOKUP(AD13,Varsayımlar!$B:$Q,7,0)*K13)</f>
        <v>60480</v>
      </c>
      <c r="Q13" s="67">
        <f>IF(B13="","",VLOOKUP(AD13,Varsayımlar!$B:$Q,8,0))</f>
        <v>25</v>
      </c>
      <c r="R13" s="67" t="str">
        <f>IF(B13="","",VLOOKUP(AD13,Varsayımlar!$B:$Q,9,0))</f>
        <v>SOFT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260</v>
      </c>
      <c r="V13" s="67" t="str">
        <f>IF(B13="","",VLOOKUP(AD13,Varsayımlar!$B:$Q,13,0))</f>
        <v>YURTDIŞI</v>
      </c>
      <c r="W13" s="67">
        <f>IF(B13="","",VLOOKUP(AD13,Varsayımlar!$B:$Q,14,0))</f>
        <v>9</v>
      </c>
      <c r="X13" s="69">
        <v>46193</v>
      </c>
      <c r="Y13" s="69">
        <v>46466</v>
      </c>
      <c r="Z13" s="67" t="s">
        <v>408</v>
      </c>
      <c r="AA13" s="67" t="str">
        <f>IF(B13="","",VLOOKUP(AD13,Varsayımlar!$B:$Q,15,0))</f>
        <v>25CM TURUNCU KOLİ-SOL ÜST DİKDÖRTGENE ÜRETİM TARİHİ BASILACAK</v>
      </c>
      <c r="AB13" s="67" t="str">
        <f>IF(B13="","",VLOOKUP(AD13,Varsayımlar!$B:$Q,16,0))</f>
        <v>24-26 CM</v>
      </c>
      <c r="AC13" s="73" t="e">
        <f>IF(B13="","",VLOOKUP(#REF!,#REF!,18,0))</f>
        <v>#REF!</v>
      </c>
      <c r="AD13" s="73" t="str">
        <f>IF(B13="","",CONCATENATE(B13,E13))</f>
        <v>MAGNİTMAGNİT MAVİ AMBALAJ 25 CM 260G</v>
      </c>
    </row>
    <row r="14" spans="1:31" ht="31.5" x14ac:dyDescent="0.25">
      <c r="A14" s="8" t="s">
        <v>87</v>
      </c>
      <c r="B14" s="67" t="s">
        <v>64</v>
      </c>
      <c r="C14" s="42">
        <f>IF(B14="","",VLOOKUP(AD14,Varsayımlar!$B:$Q,3,0))</f>
        <v>8698829380698</v>
      </c>
      <c r="D14" s="42"/>
      <c r="E14" s="67" t="s">
        <v>296</v>
      </c>
      <c r="F14" s="67">
        <v>30</v>
      </c>
      <c r="G14" s="42" t="s">
        <v>68</v>
      </c>
      <c r="H14" s="67" t="str">
        <f>IF(B14="","",VLOOKUP(AD14,Varsayımlar!$B:$Q,5,0))</f>
        <v>Tortillas 20cm Çok Tahıllı</v>
      </c>
      <c r="I14" s="67">
        <f>IF(B14="","",VLOOKUP(AD14,Varsayımlar!B:T,19,0))</f>
        <v>0</v>
      </c>
      <c r="J14" s="67" t="str">
        <f>IF(B14="","",VLOOKUP(AD14,Varsayımlar!$B:$Q,6,0))</f>
        <v>Çok Tahıllı</v>
      </c>
      <c r="K14" s="67">
        <v>225</v>
      </c>
      <c r="L14" s="67"/>
      <c r="M14" s="67">
        <f>IFERROR(IF(B14="","",K14/VLOOKUP(AD14,Varsayımlar!B:R,17,0)),"")</f>
        <v>1</v>
      </c>
      <c r="N14" s="67"/>
      <c r="O14" s="67">
        <v>2</v>
      </c>
      <c r="P14" s="67">
        <f>IF(B14="","",VLOOKUP(AD14,Varsayımlar!$B:$Q,7,0)*K14)</f>
        <v>3150</v>
      </c>
      <c r="Q14" s="67">
        <f>IF(B14="","",VLOOKUP(AD14,Varsayımlar!$B:$Q,8,0))</f>
        <v>20</v>
      </c>
      <c r="R14" s="67" t="str">
        <f>IF(B14="","",VLOOKUP(AD14,Varsayımlar!$B:$Q,9,0))</f>
        <v>Irak Soft</v>
      </c>
      <c r="S14" s="67">
        <f>IF(B14="","",VLOOKUP(AD14,Varsayımlar!$B:$Q,10,0))</f>
        <v>4</v>
      </c>
      <c r="T14" s="67">
        <f>IF(B14="","",VLOOKUP(AD14,Varsayımlar!$B:$Q,11,0))</f>
        <v>14</v>
      </c>
      <c r="U14" s="67">
        <f>IF(B14="","",VLOOKUP(AD14,Varsayımlar!$B:$Q,12,0))</f>
        <v>166</v>
      </c>
      <c r="V14" s="67" t="str">
        <f>IF(B14="","",VLOOKUP(AD14,Varsayımlar!$B:$Q,13,0))</f>
        <v>Yurtdışı</v>
      </c>
      <c r="W14" s="67">
        <f>IF(B14="","",VLOOKUP(AD14,Varsayımlar!$B:$Q,14,0))</f>
        <v>9</v>
      </c>
      <c r="X14" s="69">
        <v>46195</v>
      </c>
      <c r="Y14" s="69">
        <v>46468</v>
      </c>
      <c r="Z14" s="67" t="s">
        <v>338</v>
      </c>
      <c r="AA14" s="67" t="str">
        <f>IF(B14="","",VLOOKUP(AD14,Varsayımlar!$B:$Q,15,0))</f>
        <v>SİYAH KARE KOLİ-Üretim Tarihi Etiketli</v>
      </c>
      <c r="AB14" s="67" t="str">
        <f>IF(B14="","",VLOOKUP(AD14,Varsayımlar!$B:$Q,16,0))</f>
        <v>19-21 cm</v>
      </c>
      <c r="AC14" s="67">
        <f>IF(B14="","",VLOOKUP(Sayfa1!AD14,Varsayımlar!B:S,18,0))</f>
        <v>0</v>
      </c>
      <c r="AD14" s="57" t="str">
        <f t="shared" si="0"/>
        <v>SMART LLCTortillas 20cm Çok Tahıllı 4pcs 166g</v>
      </c>
    </row>
    <row r="15" spans="1:31" ht="31.5" x14ac:dyDescent="0.25">
      <c r="A15" s="8" t="s">
        <v>88</v>
      </c>
      <c r="B15" s="64" t="s">
        <v>64</v>
      </c>
      <c r="C15" s="3">
        <f>IF(B15="","",VLOOKUP(AD15,Varsayımlar!$B:$Q,3,0))</f>
        <v>8698829380698</v>
      </c>
      <c r="D15" s="3"/>
      <c r="E15" s="64" t="s">
        <v>296</v>
      </c>
      <c r="F15" s="64">
        <v>31</v>
      </c>
      <c r="G15" s="3" t="s">
        <v>68</v>
      </c>
      <c r="H15" s="64" t="str">
        <f>IF(B15="","",VLOOKUP(AD15,Varsayımlar!$B:$Q,5,0))</f>
        <v>Tortillas 20cm Çok Tahıllı</v>
      </c>
      <c r="I15" s="64">
        <f>IF(B15="","",VLOOKUP(AD15,Varsayımlar!B:T,19,0))</f>
        <v>0</v>
      </c>
      <c r="J15" s="64" t="str">
        <f>IF(B15="","",VLOOKUP(AD15,Varsayımlar!$B:$Q,6,0))</f>
        <v>Çok Tahıllı</v>
      </c>
      <c r="K15" s="64">
        <v>1800</v>
      </c>
      <c r="L15" s="64"/>
      <c r="M15" s="64">
        <f>IFERROR(IF(B15="","",K15/VLOOKUP(AD15,Varsayımlar!B:R,17,0)),"")</f>
        <v>8</v>
      </c>
      <c r="N15" s="64"/>
      <c r="O15" s="64">
        <v>15</v>
      </c>
      <c r="P15" s="64">
        <f>IF(B15="","",VLOOKUP(AD15,Varsayımlar!$B:$Q,7,0)*K15)</f>
        <v>25200</v>
      </c>
      <c r="Q15" s="64">
        <f>IF(B15="","",VLOOKUP(AD15,Varsayımlar!$B:$Q,8,0))</f>
        <v>20</v>
      </c>
      <c r="R15" s="64" t="str">
        <f>IF(B15="","",VLOOKUP(AD15,Varsayımlar!$B:$Q,9,0))</f>
        <v>Irak Soft</v>
      </c>
      <c r="S15" s="64">
        <f>IF(B15="","",VLOOKUP(AD15,Varsayımlar!$B:$Q,10,0))</f>
        <v>4</v>
      </c>
      <c r="T15" s="64">
        <f>IF(B15="","",VLOOKUP(AD15,Varsayımlar!$B:$Q,11,0))</f>
        <v>14</v>
      </c>
      <c r="U15" s="64">
        <f>IF(B15="","",VLOOKUP(AD15,Varsayımlar!$B:$Q,12,0))</f>
        <v>166</v>
      </c>
      <c r="V15" s="64" t="str">
        <f>IF(B15="","",VLOOKUP(AD15,Varsayımlar!$B:$Q,13,0))</f>
        <v>Yurtdışı</v>
      </c>
      <c r="W15" s="64">
        <f>IF(B15="","",VLOOKUP(AD15,Varsayımlar!$B:$Q,14,0))</f>
        <v>9</v>
      </c>
      <c r="X15" s="66">
        <v>46196</v>
      </c>
      <c r="Y15" s="66">
        <v>46469</v>
      </c>
      <c r="Z15" s="64" t="s">
        <v>339</v>
      </c>
      <c r="AA15" s="64" t="str">
        <f>IF(B15="","",VLOOKUP(AD15,Varsayımlar!$B:$Q,15,0))</f>
        <v>SİYAH KARE KOLİ-Üretim Tarihi Etiketli</v>
      </c>
      <c r="AB15" s="64" t="str">
        <f>IF(B15="","",VLOOKUP(AD15,Varsayımlar!$B:$Q,16,0))</f>
        <v>19-21 cm</v>
      </c>
      <c r="AC15" s="64">
        <f>IF(B15="","",VLOOKUP(Sayfa1!AD15,Varsayımlar!B:S,18,0))</f>
        <v>0</v>
      </c>
      <c r="AD15" s="57" t="str">
        <f t="shared" si="0"/>
        <v>SMART LLCTortillas 20cm Çok Tahıllı 4pcs 166g</v>
      </c>
    </row>
    <row r="16" spans="1:31" ht="31.5" x14ac:dyDescent="0.25">
      <c r="A16" s="8" t="s">
        <v>89</v>
      </c>
      <c r="B16" s="64" t="s">
        <v>64</v>
      </c>
      <c r="C16" s="3">
        <f>IF(B16="","",VLOOKUP(AD16,Varsayımlar!$B:$Q,3,0))</f>
        <v>8698829380698</v>
      </c>
      <c r="D16" s="3"/>
      <c r="E16" s="64" t="s">
        <v>176</v>
      </c>
      <c r="F16" s="64">
        <v>31</v>
      </c>
      <c r="G16" s="3" t="s">
        <v>68</v>
      </c>
      <c r="H16" s="64" t="str">
        <f>IF(B16="","",VLOOKUP(AD16,Varsayımlar!$B:$Q,5,0))</f>
        <v>Tortillas 20cm (Samakat Bilgileri Ekli)</v>
      </c>
      <c r="I16" s="64">
        <f>IF(B16="","",VLOOKUP(AD16,Varsayımlar!B:T,19,0))</f>
        <v>0</v>
      </c>
      <c r="J16" s="64" t="str">
        <f>IF(B16="","",VLOOKUP(AD16,Varsayımlar!$B:$Q,6,0))</f>
        <v>PEYNİRLİ</v>
      </c>
      <c r="K16" s="64">
        <v>2925</v>
      </c>
      <c r="L16" s="64"/>
      <c r="M16" s="64">
        <f>IFERROR(IF(B16="","",K16/VLOOKUP(AD16,Varsayımlar!B:R,17,0)),"")</f>
        <v>13</v>
      </c>
      <c r="N16" s="64"/>
      <c r="O16" s="64">
        <v>24</v>
      </c>
      <c r="P16" s="64">
        <f>IF(B16="","",VLOOKUP(AD16,Varsayımlar!$B:$Q,7,0)*K16)</f>
        <v>40950</v>
      </c>
      <c r="Q16" s="64">
        <f>IF(B16="","",VLOOKUP(AD16,Varsayımlar!$B:$Q,8,0))</f>
        <v>20</v>
      </c>
      <c r="R16" s="64" t="str">
        <f>IF(B16="","",VLOOKUP(AD16,Varsayımlar!$B:$Q,9,0))</f>
        <v>IRAK SOFT-AT</v>
      </c>
      <c r="S16" s="64">
        <f>IF(B16="","",VLOOKUP(AD16,Varsayımlar!$B:$Q,10,0))</f>
        <v>4</v>
      </c>
      <c r="T16" s="64">
        <f>IF(B16="","",VLOOKUP(AD16,Varsayımlar!$B:$Q,11,0))</f>
        <v>14</v>
      </c>
      <c r="U16" s="64">
        <f>IF(B16="","",VLOOKUP(AD16,Varsayımlar!$B:$Q,12,0))</f>
        <v>166</v>
      </c>
      <c r="V16" s="64" t="str">
        <f>IF(B16="","",VLOOKUP(AD16,Varsayımlar!$B:$Q,13,0))</f>
        <v>YURTDIŞI</v>
      </c>
      <c r="W16" s="64">
        <f>IF(B16="","",VLOOKUP(AD16,Varsayımlar!$B:$Q,14,0))</f>
        <v>9</v>
      </c>
      <c r="X16" s="66">
        <v>46196</v>
      </c>
      <c r="Y16" s="66">
        <v>46469</v>
      </c>
      <c r="Z16" s="64" t="s">
        <v>340</v>
      </c>
      <c r="AA16" s="64" t="str">
        <f>IF(B16="","",VLOOKUP(AD16,Varsayımlar!$B:$Q,15,0))</f>
        <v>Kare Koli-Üretim Tarihli Etiket</v>
      </c>
      <c r="AB16" s="64" t="str">
        <f>IF(B16="","",VLOOKUP(AD16,Varsayımlar!$B:$Q,16,0))</f>
        <v>19-21 cm</v>
      </c>
      <c r="AC16" s="64">
        <f>IF(B16="","",VLOOKUP(Sayfa1!AD17,Varsayımlar!B:S,18,0))</f>
        <v>0</v>
      </c>
      <c r="AD16" s="57" t="str">
        <f t="shared" si="0"/>
        <v>SMART LLCTortillas 20cm Peynirli 4pcs 166g</v>
      </c>
    </row>
    <row r="17" spans="1:30" ht="47.25" x14ac:dyDescent="0.25">
      <c r="A17" s="8" t="s">
        <v>90</v>
      </c>
      <c r="B17" s="67" t="s">
        <v>268</v>
      </c>
      <c r="C17" s="42">
        <f>IF(B17="","",VLOOKUP(AD17,Varsayımlar!$B:$Q,3,0))</f>
        <v>8698829380698</v>
      </c>
      <c r="D17" s="42" t="s">
        <v>159</v>
      </c>
      <c r="E17" s="67" t="s">
        <v>269</v>
      </c>
      <c r="F17" s="67">
        <v>20250825</v>
      </c>
      <c r="G17" s="42" t="s">
        <v>68</v>
      </c>
      <c r="H17" s="67" t="str">
        <f>IF(B17="","",VLOOKUP(AD17,Varsayımlar!$B:$Q,5,0))</f>
        <v>Tortillas 25cm Tam Buğday</v>
      </c>
      <c r="I17" s="67">
        <f>IF(B17="","",VLOOKUP(AD17,Varsayımlar!B:T,19,0))</f>
        <v>0</v>
      </c>
      <c r="J17" s="67" t="str">
        <f>IF(B17="","",VLOOKUP(AD17,Varsayımlar!$B:$Q,6,0))</f>
        <v>Tam Buğdaylı</v>
      </c>
      <c r="K17" s="67">
        <v>252</v>
      </c>
      <c r="L17" s="67"/>
      <c r="M17" s="67">
        <f>IFERROR(IF(B17="","",K17/VLOOKUP(AD17,Varsayımlar!B:R,17,0)),"")</f>
        <v>3</v>
      </c>
      <c r="N17" s="67"/>
      <c r="O17" s="67">
        <v>5</v>
      </c>
      <c r="P17" s="67">
        <f>IF(B17="","",VLOOKUP(AD17,Varsayımlar!$B:$Q,7,0)*K17)</f>
        <v>7560</v>
      </c>
      <c r="Q17" s="67">
        <f>IF(B17="","",VLOOKUP(AD17,Varsayımlar!$B:$Q,8,0))</f>
        <v>25</v>
      </c>
      <c r="R17" s="67" t="str">
        <f>IF(B17="","",VLOOKUP(AD17,Varsayımlar!$B:$Q,9,0))</f>
        <v>Soft-PA3</v>
      </c>
      <c r="S17" s="67">
        <f>IF(B17="","",VLOOKUP(AD17,Varsayımlar!$B:$Q,10,0))</f>
        <v>4</v>
      </c>
      <c r="T17" s="67">
        <f>IF(B17="","",VLOOKUP(AD17,Varsayımlar!$B:$Q,11,0))</f>
        <v>30</v>
      </c>
      <c r="U17" s="67">
        <f>IF(B17="","",VLOOKUP(AD17,Varsayımlar!$B:$Q,12,0))</f>
        <v>240</v>
      </c>
      <c r="V17" s="67" t="str">
        <f>IF(B17="","",VLOOKUP(AD17,Varsayımlar!$B:$Q,13,0))</f>
        <v>Yurtdışı</v>
      </c>
      <c r="W17" s="67">
        <f>IF(B17="","",VLOOKUP(AD17,Varsayımlar!$B:$Q,14,0))</f>
        <v>12</v>
      </c>
      <c r="X17" s="69">
        <v>46199</v>
      </c>
      <c r="Y17" s="69">
        <v>46564</v>
      </c>
      <c r="Z17" s="67" t="s">
        <v>374</v>
      </c>
      <c r="AA17" s="67" t="str">
        <f>IF(B17="","",VLOOKUP(AD17,Varsayımlar!$B:$Q,15,0))</f>
        <v>25cm Kolisi-Etiketli</v>
      </c>
      <c r="AB17" s="67" t="str">
        <f>IF(B17="","",VLOOKUP(AD17,Varsayımlar!$B:$Q,16,0))</f>
        <v>24-26 cm (Macca Hetto Inkjet Uzun Tarih)</v>
      </c>
      <c r="AC17" s="67" t="str">
        <f>IF(B17="","",VLOOKUP(Sayfa1!AD23,Varsayımlar!B:S,18,0))</f>
        <v>80x120cm</v>
      </c>
      <c r="AD17" s="57" t="str">
        <f t="shared" si="0"/>
        <v>LAIKYUZHN-BELARUSTortillas 25cm Tam buğday 4pcs 240g</v>
      </c>
    </row>
    <row r="18" spans="1:30" ht="47.25" x14ac:dyDescent="0.25">
      <c r="A18" s="8" t="s">
        <v>91</v>
      </c>
      <c r="B18" s="67" t="s">
        <v>268</v>
      </c>
      <c r="C18" s="42">
        <f>IF(B18="","",VLOOKUP(AD18,Varsayımlar!$B:$Q,3,0))</f>
        <v>8698829380698</v>
      </c>
      <c r="D18" s="42" t="s">
        <v>159</v>
      </c>
      <c r="E18" s="67" t="s">
        <v>274</v>
      </c>
      <c r="F18" s="67">
        <v>20250825</v>
      </c>
      <c r="G18" s="42" t="s">
        <v>68</v>
      </c>
      <c r="H18" s="67" t="str">
        <f>IF(B18="","",VLOOKUP(AD18,Varsayımlar!$B:$Q,5,0))</f>
        <v>Tortillas 25cm Domatesli</v>
      </c>
      <c r="I18" s="67">
        <f>IF(B18="","",VLOOKUP(AD18,Varsayımlar!B:T,19,0))</f>
        <v>0</v>
      </c>
      <c r="J18" s="67" t="str">
        <f>IF(B18="","",VLOOKUP(AD18,Varsayımlar!$B:$Q,6,0))</f>
        <v>Domatesli</v>
      </c>
      <c r="K18" s="67">
        <v>252</v>
      </c>
      <c r="L18" s="67"/>
      <c r="M18" s="67">
        <f>IFERROR(IF(B18="","",K18/VLOOKUP(AD18,Varsayımlar!B:R,17,0)),"")</f>
        <v>3</v>
      </c>
      <c r="N18" s="67"/>
      <c r="O18" s="67">
        <v>5</v>
      </c>
      <c r="P18" s="67">
        <f>IF(B18="","",VLOOKUP(AD18,Varsayımlar!$B:$Q,7,0)*K18)</f>
        <v>7560</v>
      </c>
      <c r="Q18" s="67">
        <f>IF(B18="","",VLOOKUP(AD18,Varsayımlar!$B:$Q,8,0))</f>
        <v>25</v>
      </c>
      <c r="R18" s="67" t="str">
        <f>IF(B18="","",VLOOKUP(AD18,Varsayımlar!$B:$Q,9,0))</f>
        <v>Soft-PA3</v>
      </c>
      <c r="S18" s="67">
        <f>IF(B18="","",VLOOKUP(AD18,Varsayımlar!$B:$Q,10,0))</f>
        <v>4</v>
      </c>
      <c r="T18" s="67">
        <f>IF(B18="","",VLOOKUP(AD18,Varsayımlar!$B:$Q,11,0))</f>
        <v>30</v>
      </c>
      <c r="U18" s="67">
        <f>IF(B18="","",VLOOKUP(AD18,Varsayımlar!$B:$Q,12,0))</f>
        <v>240</v>
      </c>
      <c r="V18" s="67" t="str">
        <f>IF(B18="","",VLOOKUP(AD18,Varsayımlar!$B:$Q,13,0))</f>
        <v>Yurtdışı</v>
      </c>
      <c r="W18" s="67">
        <f>IF(B18="","",VLOOKUP(AD18,Varsayımlar!$B:$Q,14,0))</f>
        <v>12</v>
      </c>
      <c r="X18" s="69">
        <v>46199</v>
      </c>
      <c r="Y18" s="69">
        <v>46564</v>
      </c>
      <c r="Z18" s="67" t="s">
        <v>375</v>
      </c>
      <c r="AA18" s="67" t="str">
        <f>IF(B18="","",VLOOKUP(AD18,Varsayımlar!$B:$Q,15,0))</f>
        <v>25cm Kolisi-Etiketli</v>
      </c>
      <c r="AB18" s="67" t="str">
        <f>IF(B18="","",VLOOKUP(AD18,Varsayımlar!$B:$Q,16,0))</f>
        <v>24-26 cm (Macca Hetto Inkjet Uzun Tarih)</v>
      </c>
      <c r="AC18" s="67" t="str">
        <f>IF(B18="","",VLOOKUP(Sayfa1!AD24,Varsayımlar!B:S,18,0))</f>
        <v>80x120cm</v>
      </c>
      <c r="AD18" s="57" t="str">
        <f t="shared" si="0"/>
        <v>LAIKYUZHN-BELARUSTortillas 25cm Domatesli 4pcs 240g</v>
      </c>
    </row>
    <row r="19" spans="1:30" ht="47.25" x14ac:dyDescent="0.25">
      <c r="A19" s="8" t="s">
        <v>92</v>
      </c>
      <c r="B19" s="67" t="s">
        <v>268</v>
      </c>
      <c r="C19" s="42">
        <f>IF(B19="","",VLOOKUP(AD19,Varsayımlar!$B:$Q,3,0))</f>
        <v>8698829380698</v>
      </c>
      <c r="D19" s="42" t="s">
        <v>159</v>
      </c>
      <c r="E19" s="67" t="s">
        <v>276</v>
      </c>
      <c r="F19" s="67">
        <v>20250825</v>
      </c>
      <c r="G19" s="42" t="s">
        <v>68</v>
      </c>
      <c r="H19" s="67" t="str">
        <f>IF(B19="","",VLOOKUP(AD19,Varsayımlar!$B:$Q,5,0))</f>
        <v>Tortillas 25cm Ispanaklı</v>
      </c>
      <c r="I19" s="67">
        <f>IF(B19="","",VLOOKUP(AD19,Varsayımlar!B:T,19,0))</f>
        <v>0</v>
      </c>
      <c r="J19" s="67" t="str">
        <f>IF(B19="","",VLOOKUP(AD19,Varsayımlar!$B:$Q,6,0))</f>
        <v>Ispanaklı</v>
      </c>
      <c r="K19" s="67">
        <v>420</v>
      </c>
      <c r="L19" s="67"/>
      <c r="M19" s="67">
        <f>IFERROR(IF(B19="","",K19/VLOOKUP(AD19,Varsayımlar!B:R,17,0)),"")</f>
        <v>5</v>
      </c>
      <c r="N19" s="67"/>
      <c r="O19" s="67">
        <v>7</v>
      </c>
      <c r="P19" s="67">
        <f>IF(B19="","",VLOOKUP(AD19,Varsayımlar!$B:$Q,7,0)*K19)</f>
        <v>12600</v>
      </c>
      <c r="Q19" s="67">
        <f>IF(B19="","",VLOOKUP(AD19,Varsayımlar!$B:$Q,8,0))</f>
        <v>25</v>
      </c>
      <c r="R19" s="67" t="str">
        <f>IF(B19="","",VLOOKUP(AD19,Varsayımlar!$B:$Q,9,0))</f>
        <v>Soft-PA3</v>
      </c>
      <c r="S19" s="67">
        <f>IF(B19="","",VLOOKUP(AD19,Varsayımlar!$B:$Q,10,0))</f>
        <v>4</v>
      </c>
      <c r="T19" s="67">
        <f>IF(B19="","",VLOOKUP(AD19,Varsayımlar!$B:$Q,11,0))</f>
        <v>30</v>
      </c>
      <c r="U19" s="67">
        <f>IF(B19="","",VLOOKUP(AD19,Varsayımlar!$B:$Q,12,0))</f>
        <v>240</v>
      </c>
      <c r="V19" s="67" t="str">
        <f>IF(B19="","",VLOOKUP(AD19,Varsayımlar!$B:$Q,13,0))</f>
        <v>Yurtdışı</v>
      </c>
      <c r="W19" s="67">
        <f>IF(B19="","",VLOOKUP(AD19,Varsayımlar!$B:$Q,14,0))</f>
        <v>12</v>
      </c>
      <c r="X19" s="69">
        <v>46199</v>
      </c>
      <c r="Y19" s="69">
        <v>46564</v>
      </c>
      <c r="Z19" s="67" t="s">
        <v>376</v>
      </c>
      <c r="AA19" s="67" t="str">
        <f>IF(B19="","",VLOOKUP(AD19,Varsayımlar!$B:$Q,15,0))</f>
        <v>25cm Kolisi-Etiketli</v>
      </c>
      <c r="AB19" s="67" t="str">
        <f>IF(B19="","",VLOOKUP(AD19,Varsayımlar!$B:$Q,16,0))</f>
        <v>24-26 cm (Macca Hetto Inkjet Uzun Tarih)</v>
      </c>
      <c r="AC19" s="67" t="str">
        <f>IF(B19="","",VLOOKUP(Sayfa1!AD25,Varsayımlar!B:S,18,0))</f>
        <v>80x120cm</v>
      </c>
      <c r="AD19" s="57" t="str">
        <f t="shared" si="0"/>
        <v>LAIKYUZHN-BELARUSTortillas 25cm Ispanaklı 4pcs 240g</v>
      </c>
    </row>
    <row r="20" spans="1:30" ht="47.25" x14ac:dyDescent="0.25">
      <c r="A20" s="8" t="s">
        <v>93</v>
      </c>
      <c r="B20" s="67" t="s">
        <v>268</v>
      </c>
      <c r="C20" s="42">
        <f>IF(B20="","",VLOOKUP(AD20,Varsayımlar!$B:$Q,3,0))</f>
        <v>8698829380698</v>
      </c>
      <c r="D20" s="42" t="s">
        <v>159</v>
      </c>
      <c r="E20" s="67" t="s">
        <v>278</v>
      </c>
      <c r="F20" s="67">
        <v>20250825</v>
      </c>
      <c r="G20" s="42" t="s">
        <v>68</v>
      </c>
      <c r="H20" s="67" t="str">
        <f>IF(B20="","",VLOOKUP(AD20,Varsayımlar!$B:$Q,5,0))</f>
        <v>Magnit Tortillas 25cm Peynirli</v>
      </c>
      <c r="I20" s="67" t="str">
        <f>IF(B20="","",VLOOKUP(AD20,Varsayımlar!B:T,19,0))</f>
        <v>Etiketli</v>
      </c>
      <c r="J20" s="67" t="str">
        <f>IF(B20="","",VLOOKUP(AD20,Varsayımlar!$B:$Q,6,0))</f>
        <v>Peynirli</v>
      </c>
      <c r="K20" s="67">
        <v>420</v>
      </c>
      <c r="L20" s="67"/>
      <c r="M20" s="67">
        <f>IFERROR(IF(B20="","",K20/VLOOKUP(AD20,Varsayımlar!B:R,17,0)),"")</f>
        <v>5</v>
      </c>
      <c r="N20" s="67"/>
      <c r="O20" s="67">
        <v>7</v>
      </c>
      <c r="P20" s="67">
        <f>IF(B20="","",VLOOKUP(AD20,Varsayımlar!$B:$Q,7,0)*K20)</f>
        <v>12600</v>
      </c>
      <c r="Q20" s="67">
        <f>IF(B20="","",VLOOKUP(AD20,Varsayımlar!$B:$Q,8,0))</f>
        <v>25</v>
      </c>
      <c r="R20" s="67" t="str">
        <f>IF(B20="","",VLOOKUP(AD20,Varsayımlar!$B:$Q,9,0))</f>
        <v>Soft-PA3-AT</v>
      </c>
      <c r="S20" s="67">
        <f>IF(B20="","",VLOOKUP(AD20,Varsayımlar!$B:$Q,10,0))</f>
        <v>4</v>
      </c>
      <c r="T20" s="67">
        <f>IF(B20="","",VLOOKUP(AD20,Varsayımlar!$B:$Q,11,0))</f>
        <v>30</v>
      </c>
      <c r="U20" s="67">
        <f>IF(B20="","",VLOOKUP(AD20,Varsayımlar!$B:$Q,12,0))</f>
        <v>250</v>
      </c>
      <c r="V20" s="67" t="str">
        <f>IF(B20="","",VLOOKUP(AD20,Varsayımlar!$B:$Q,13,0))</f>
        <v>Yurtdışı</v>
      </c>
      <c r="W20" s="67">
        <f>IF(B20="","",VLOOKUP(AD20,Varsayımlar!$B:$Q,14,0))</f>
        <v>9</v>
      </c>
      <c r="X20" s="69">
        <v>46199</v>
      </c>
      <c r="Y20" s="69">
        <v>46472</v>
      </c>
      <c r="Z20" s="67" t="s">
        <v>377</v>
      </c>
      <c r="AA20" s="67" t="str">
        <f>IF(B20="","",VLOOKUP(AD20,Varsayımlar!$B:$Q,15,0))</f>
        <v>25cm Kolisi-Etiketli</v>
      </c>
      <c r="AB20" s="67" t="str">
        <f>IF(B20="","",VLOOKUP(AD20,Varsayımlar!$B:$Q,16,0))</f>
        <v>24-26 cm (Macca Hetto Inkjet Uzun Tarih)</v>
      </c>
      <c r="AC20" s="67" t="str">
        <f>IF(B20="","",VLOOKUP(Sayfa1!AD26,Varsayımlar!B:S,18,0))</f>
        <v>80x120cm</v>
      </c>
      <c r="AD20" s="57" t="str">
        <f t="shared" si="0"/>
        <v>LAIKYUZHN-BELARUSMagnit Tortillas 25cm Peynirli 4pcs 240g</v>
      </c>
    </row>
    <row r="21" spans="1:30" ht="47.25" x14ac:dyDescent="0.25">
      <c r="A21" s="8" t="s">
        <v>135</v>
      </c>
      <c r="B21" s="62" t="s">
        <v>181</v>
      </c>
      <c r="C21" s="32">
        <f>IF(B21="","",VLOOKUP(AD21,Varsayımlar!$B:$Q,3,0))</f>
        <v>8698829380698</v>
      </c>
      <c r="D21" s="32"/>
      <c r="E21" s="62" t="s">
        <v>182</v>
      </c>
      <c r="F21" s="62">
        <v>26060101</v>
      </c>
      <c r="G21" s="32"/>
      <c r="H21" s="62" t="str">
        <f>IF(B21="","",VLOOKUP(AD21,Varsayımlar!$B:$Q,5,0))</f>
        <v>Tortillove 30cm</v>
      </c>
      <c r="I21" s="62" t="str">
        <f>IF(B21="","",VLOOKUP(AD21,Varsayımlar!B:T,19,0))</f>
        <v>Arka kısma Arnavutça içerik-Tortillove</v>
      </c>
      <c r="J21" s="62" t="str">
        <f>IF(B21="","",VLOOKUP(AD21,Varsayımlar!$B:$Q,6,0))</f>
        <v>SADE</v>
      </c>
      <c r="K21" s="62">
        <v>100</v>
      </c>
      <c r="L21" s="62"/>
      <c r="M21" s="62">
        <f>IFERROR(IF(B21="","",K21/VLOOKUP(AD21,Varsayımlar!B:R,17,0)),"")</f>
        <v>2</v>
      </c>
      <c r="N21" s="62"/>
      <c r="O21" s="62">
        <v>2</v>
      </c>
      <c r="P21" s="62">
        <f>IF(B21="","",VLOOKUP(AD21,Varsayımlar!$B:$Q,7,0)*K21)</f>
        <v>1200</v>
      </c>
      <c r="Q21" s="62">
        <f>IF(B21="","",VLOOKUP(AD21,Varsayımlar!$B:$Q,8,0))</f>
        <v>30</v>
      </c>
      <c r="R21" s="62" t="str">
        <f>IF(B21="","",VLOOKUP(AD21,Varsayımlar!$B:$Q,9,0))</f>
        <v>Irak Soft</v>
      </c>
      <c r="S21" s="62">
        <f>IF(B21="","",VLOOKUP(AD21,Varsayımlar!$B:$Q,10,0))</f>
        <v>10</v>
      </c>
      <c r="T21" s="62">
        <f>IF(B21="","",VLOOKUP(AD21,Varsayımlar!$B:$Q,11,0))</f>
        <v>12</v>
      </c>
      <c r="U21" s="62">
        <f>IF(B21="","",VLOOKUP(AD21,Varsayımlar!$B:$Q,12,0))</f>
        <v>900</v>
      </c>
      <c r="V21" s="62" t="str">
        <f>IF(B21="","",VLOOKUP(AD21,Varsayımlar!$B:$Q,13,0))</f>
        <v>Yurtdışı</v>
      </c>
      <c r="W21" s="62">
        <f>IF(B21="","",VLOOKUP(AD21,Varsayımlar!$B:$Q,14,0))</f>
        <v>12</v>
      </c>
      <c r="X21" s="63">
        <v>46200</v>
      </c>
      <c r="Y21" s="63">
        <v>46565</v>
      </c>
      <c r="Z21" s="62">
        <v>26062730</v>
      </c>
      <c r="AA21" s="62" t="str">
        <f>IF(B21="","",VLOOKUP(AD21,Varsayımlar!$B:$Q,15,0))</f>
        <v>30cm Koli - Tortillove 900g Etiketli</v>
      </c>
      <c r="AB21" s="62" t="str">
        <f>IF(B21="","",VLOOKUP(AD21,Varsayımlar!$B:$Q,16,0))</f>
        <v>29-31 cm</v>
      </c>
      <c r="AC21" s="62">
        <f>IF(B21="","",VLOOKUP(Sayfa1!AD27,Varsayımlar!B:S,18,0))</f>
        <v>0</v>
      </c>
      <c r="AD21" s="57" t="str">
        <f t="shared" si="0"/>
        <v>ALDİ - KOSOVATortillove 30cm 10pcs 900g</v>
      </c>
    </row>
    <row r="22" spans="1:30" ht="47.25" x14ac:dyDescent="0.25">
      <c r="A22" s="8" t="s">
        <v>136</v>
      </c>
      <c r="B22" s="62" t="s">
        <v>181</v>
      </c>
      <c r="C22" s="32">
        <f>IF(B22="","",VLOOKUP(AD22,Varsayımlar!$B:$Q,3,0))</f>
        <v>8698829380698</v>
      </c>
      <c r="D22" s="32"/>
      <c r="E22" s="62" t="s">
        <v>185</v>
      </c>
      <c r="F22" s="62">
        <v>26060101</v>
      </c>
      <c r="G22" s="32"/>
      <c r="H22" s="62" t="str">
        <f>IF(B22="","",VLOOKUP(AD22,Varsayımlar!$B:$Q,5,0))</f>
        <v>Tortillas 30cm</v>
      </c>
      <c r="I22" s="62" t="str">
        <f>IF(B22="","",VLOOKUP(AD22,Varsayımlar!B:T,19,0))</f>
        <v>Arka kısma Arnavutça içerik-Tortillas</v>
      </c>
      <c r="J22" s="62" t="str">
        <f>IF(B22="","",VLOOKUP(AD22,Varsayımlar!$B:$Q,6,0))</f>
        <v>SADE</v>
      </c>
      <c r="K22" s="62">
        <v>50</v>
      </c>
      <c r="L22" s="62"/>
      <c r="M22" s="62">
        <f>IFERROR(IF(B22="","",K22/VLOOKUP(AD22,Varsayımlar!B:R,17,0)),"")</f>
        <v>1</v>
      </c>
      <c r="N22" s="62"/>
      <c r="O22" s="62">
        <v>1</v>
      </c>
      <c r="P22" s="62">
        <f>IF(B22="","",VLOOKUP(AD22,Varsayımlar!$B:$Q,7,0)*K22)</f>
        <v>600</v>
      </c>
      <c r="Q22" s="62">
        <f>IF(B22="","",VLOOKUP(AD22,Varsayımlar!$B:$Q,8,0))</f>
        <v>30</v>
      </c>
      <c r="R22" s="62" t="str">
        <f>IF(B22="","",VLOOKUP(AD22,Varsayımlar!$B:$Q,9,0))</f>
        <v>Irak Soft</v>
      </c>
      <c r="S22" s="62">
        <f>IF(B22="","",VLOOKUP(AD22,Varsayımlar!$B:$Q,10,0))</f>
        <v>10</v>
      </c>
      <c r="T22" s="62">
        <f>IF(B22="","",VLOOKUP(AD22,Varsayımlar!$B:$Q,11,0))</f>
        <v>12</v>
      </c>
      <c r="U22" s="62">
        <f>IF(B22="","",VLOOKUP(AD22,Varsayımlar!$B:$Q,12,0))</f>
        <v>900</v>
      </c>
      <c r="V22" s="62" t="str">
        <f>IF(B22="","",VLOOKUP(AD22,Varsayımlar!$B:$Q,13,0))</f>
        <v>Yurtdışı</v>
      </c>
      <c r="W22" s="62">
        <f>IF(B22="","",VLOOKUP(AD22,Varsayımlar!$B:$Q,14,0))</f>
        <v>12</v>
      </c>
      <c r="X22" s="63">
        <v>46200</v>
      </c>
      <c r="Y22" s="63">
        <v>46565</v>
      </c>
      <c r="Z22" s="62">
        <v>26062730</v>
      </c>
      <c r="AA22" s="62" t="str">
        <f>IF(B22="","",VLOOKUP(AD22,Varsayımlar!$B:$Q,15,0))</f>
        <v>30cm Koli - Tortillas 900g Etiketli</v>
      </c>
      <c r="AB22" s="62" t="str">
        <f>IF(B22="","",VLOOKUP(AD22,Varsayımlar!$B:$Q,16,0))</f>
        <v>29-31 cm</v>
      </c>
      <c r="AC22" s="62">
        <f>IF(B22="","",VLOOKUP(Sayfa1!AD28,Varsayımlar!B:S,18,0))</f>
        <v>0</v>
      </c>
      <c r="AD22" s="57" t="str">
        <f t="shared" si="0"/>
        <v>ALDİ - KOSOVATortillas 30cm 10pcs 900g</v>
      </c>
    </row>
    <row r="23" spans="1:30" ht="63" x14ac:dyDescent="0.25">
      <c r="A23" s="8" t="s">
        <v>137</v>
      </c>
      <c r="B23" s="62" t="s">
        <v>181</v>
      </c>
      <c r="C23" s="32">
        <f>IF(B23="","",VLOOKUP(AD23,Varsayımlar!$B:$Q,3,0))</f>
        <v>8698829380698</v>
      </c>
      <c r="D23" s="32"/>
      <c r="E23" s="32" t="s">
        <v>372</v>
      </c>
      <c r="F23" s="62">
        <v>26060101</v>
      </c>
      <c r="G23" s="32"/>
      <c r="H23" s="62" t="str">
        <f>IF(B23="","",VLOOKUP(AD23,Varsayımlar!$B:$Q,5,0))</f>
        <v>Tortillove Tam Buğday 25cm</v>
      </c>
      <c r="I23" s="62" t="str">
        <f>IF(B23="","",VLOOKUP(AD23,Varsayımlar!B:T,19,0))</f>
        <v>Barkod üzerine Arnavutça TB içerik+Barkod-Tortillove</v>
      </c>
      <c r="J23" s="62" t="str">
        <f>IF(B23="","",VLOOKUP(AD23,Varsayımlar!$B:$Q,6,0))</f>
        <v>Tam Buğdaylı</v>
      </c>
      <c r="K23" s="62">
        <v>84</v>
      </c>
      <c r="L23" s="62"/>
      <c r="M23" s="62">
        <f>IFERROR(IF(B23="","",K23/VLOOKUP(AD23,Varsayımlar!B:R,17,0)),"")</f>
        <v>1</v>
      </c>
      <c r="N23" s="62"/>
      <c r="O23" s="62">
        <v>2</v>
      </c>
      <c r="P23" s="62">
        <f>IF(B23="","",VLOOKUP(AD23,Varsayımlar!$B:$Q,7,0)*K23)</f>
        <v>1512</v>
      </c>
      <c r="Q23" s="62">
        <f>IF(B23="","",VLOOKUP(AD23,Varsayımlar!$B:$Q,8,0))</f>
        <v>25</v>
      </c>
      <c r="R23" s="62" t="str">
        <f>IF(B23="","",VLOOKUP(AD23,Varsayımlar!$B:$Q,9,0))</f>
        <v>Irak Soft</v>
      </c>
      <c r="S23" s="62">
        <f>IF(B23="","",VLOOKUP(AD23,Varsayımlar!$B:$Q,10,0))</f>
        <v>6</v>
      </c>
      <c r="T23" s="62">
        <f>IF(B23="","",VLOOKUP(AD23,Varsayımlar!$B:$Q,11,0))</f>
        <v>18</v>
      </c>
      <c r="U23" s="62">
        <f>IF(B23="","",VLOOKUP(AD23,Varsayımlar!$B:$Q,12,0))</f>
        <v>390</v>
      </c>
      <c r="V23" s="62" t="str">
        <f>IF(B23="","",VLOOKUP(AD23,Varsayımlar!$B:$Q,13,0))</f>
        <v>Yurtdışı</v>
      </c>
      <c r="W23" s="62">
        <f>IF(B23="","",VLOOKUP(AD23,Varsayımlar!$B:$Q,14,0))</f>
        <v>12</v>
      </c>
      <c r="X23" s="63">
        <v>46200</v>
      </c>
      <c r="Y23" s="63">
        <v>46565</v>
      </c>
      <c r="Z23" s="62">
        <v>26062725</v>
      </c>
      <c r="AA23" s="62" t="str">
        <f>IF(B23="","",VLOOKUP(AD23,Varsayımlar!$B:$Q,15,0))</f>
        <v>25cm Koli - Tortillove 390g TB Etiketli</v>
      </c>
      <c r="AB23" s="62" t="str">
        <f>IF(B23="","",VLOOKUP(AD23,Varsayımlar!$B:$Q,16,0))</f>
        <v>24-26 cm</v>
      </c>
      <c r="AC23" s="62">
        <f>IF(B23="","",VLOOKUP(Sayfa1!AD29,Varsayımlar!B:S,18,0))</f>
        <v>0</v>
      </c>
      <c r="AD23" s="57" t="str">
        <f t="shared" si="0"/>
        <v>ALDİ - KOSOVATortillove 25cm TB 6pcs 390g</v>
      </c>
    </row>
    <row r="24" spans="1:30" ht="63" x14ac:dyDescent="0.25">
      <c r="A24" s="8" t="s">
        <v>138</v>
      </c>
      <c r="B24" s="62" t="s">
        <v>181</v>
      </c>
      <c r="C24" s="32">
        <f>IF(B24="","",VLOOKUP(AD24,Varsayımlar!$B:$Q,3,0))</f>
        <v>8698829380698</v>
      </c>
      <c r="D24" s="32"/>
      <c r="E24" s="32" t="s">
        <v>251</v>
      </c>
      <c r="F24" s="62">
        <v>26060101</v>
      </c>
      <c r="G24" s="32"/>
      <c r="H24" s="62" t="str">
        <f>IF(B24="","",VLOOKUP(AD24,Varsayımlar!$B:$Q,5,0))</f>
        <v>Tortillas Tam Buğday 25cm</v>
      </c>
      <c r="I24" s="62" t="str">
        <f>IF(B24="","",VLOOKUP(AD24,Varsayımlar!B:T,19,0))</f>
        <v>Barkod üzerine Arnavutça TB içerik+Barkod-Tortillas</v>
      </c>
      <c r="J24" s="62" t="str">
        <f>IF(B24="","",VLOOKUP(AD24,Varsayımlar!$B:$Q,6,0))</f>
        <v>Tam Buğdaylı</v>
      </c>
      <c r="K24" s="62">
        <v>84</v>
      </c>
      <c r="L24" s="62"/>
      <c r="M24" s="62">
        <f>IFERROR(IF(B24="","",K24/VLOOKUP(AD24,Varsayımlar!B:R,17,0)),"")</f>
        <v>1</v>
      </c>
      <c r="N24" s="62"/>
      <c r="O24" s="62">
        <v>2</v>
      </c>
      <c r="P24" s="62">
        <f>IF(B24="","",VLOOKUP(AD24,Varsayımlar!$B:$Q,7,0)*K24)</f>
        <v>1512</v>
      </c>
      <c r="Q24" s="62">
        <f>IF(B24="","",VLOOKUP(AD24,Varsayımlar!$B:$Q,8,0))</f>
        <v>25</v>
      </c>
      <c r="R24" s="62" t="str">
        <f>IF(B24="","",VLOOKUP(AD24,Varsayımlar!$B:$Q,9,0))</f>
        <v>Irak Soft</v>
      </c>
      <c r="S24" s="62">
        <f>IF(B24="","",VLOOKUP(AD24,Varsayımlar!$B:$Q,10,0))</f>
        <v>6</v>
      </c>
      <c r="T24" s="62">
        <f>IF(B24="","",VLOOKUP(AD24,Varsayımlar!$B:$Q,11,0))</f>
        <v>18</v>
      </c>
      <c r="U24" s="62">
        <f>IF(B24="","",VLOOKUP(AD24,Varsayımlar!$B:$Q,12,0))</f>
        <v>390</v>
      </c>
      <c r="V24" s="62" t="str">
        <f>IF(B24="","",VLOOKUP(AD24,Varsayımlar!$B:$Q,13,0))</f>
        <v>Yurtdışı</v>
      </c>
      <c r="W24" s="62">
        <f>IF(B24="","",VLOOKUP(AD24,Varsayımlar!$B:$Q,14,0))</f>
        <v>12</v>
      </c>
      <c r="X24" s="63">
        <v>46200</v>
      </c>
      <c r="Y24" s="63">
        <v>46565</v>
      </c>
      <c r="Z24" s="62">
        <v>26062725</v>
      </c>
      <c r="AA24" s="62" t="str">
        <f>IF(B24="","",VLOOKUP(AD24,Varsayımlar!$B:$Q,15,0))</f>
        <v>25cm Koli - Tortillas 390g TB Etiketli</v>
      </c>
      <c r="AB24" s="62" t="str">
        <f>IF(B24="","",VLOOKUP(AD24,Varsayımlar!$B:$Q,16,0))</f>
        <v>24-26 cm</v>
      </c>
      <c r="AC24" s="62">
        <f>IF(B24="","",VLOOKUP(Sayfa1!AD30,Varsayımlar!B:S,18,0))</f>
        <v>0</v>
      </c>
      <c r="AD24" s="57" t="str">
        <f t="shared" si="0"/>
        <v>ALDİ - KOSOVATortillas 25cm TB 6pcs 390g</v>
      </c>
    </row>
    <row r="25" spans="1:30" ht="31.5" x14ac:dyDescent="0.25">
      <c r="A25" s="8" t="s">
        <v>139</v>
      </c>
      <c r="B25" s="64" t="s">
        <v>288</v>
      </c>
      <c r="C25" s="3">
        <f>IF(B25="","",VLOOKUP(AD25,Varsayımlar!$B:$Q,3,0))</f>
        <v>8698829380698</v>
      </c>
      <c r="D25" s="3"/>
      <c r="E25" s="64" t="s">
        <v>289</v>
      </c>
      <c r="F25" s="64">
        <v>20201016</v>
      </c>
      <c r="G25" s="3" t="s">
        <v>68</v>
      </c>
      <c r="H25" s="64" t="str">
        <f>IF(B25="","",VLOOKUP(AD25,Varsayımlar!$B:$Q,5,0))</f>
        <v>Tortillas 25cm Tam Buğday</v>
      </c>
      <c r="I25" s="64" t="str">
        <f>IF(B25="","",VLOOKUP(AD25,Varsayımlar!B:T,19,0))</f>
        <v>Arka kısma İçerik</v>
      </c>
      <c r="J25" s="64" t="str">
        <f>IF(B25="","",VLOOKUP(AD25,Varsayımlar!$B:$Q,6,0))</f>
        <v>Tam Buğdaylı</v>
      </c>
      <c r="K25" s="64">
        <v>250</v>
      </c>
      <c r="L25" s="64"/>
      <c r="M25" s="64">
        <f>IFERROR(IF(B25="","",K25/VLOOKUP(AD25,Varsayımlar!B:R,17,0)),"")</f>
        <v>5</v>
      </c>
      <c r="N25" s="64"/>
      <c r="O25" s="64">
        <v>4</v>
      </c>
      <c r="P25" s="64">
        <f>IF(B25="","",VLOOKUP(AD25,Varsayımlar!$B:$Q,7,0)*K25)</f>
        <v>4500</v>
      </c>
      <c r="Q25" s="64">
        <f>IF(B25="","",VLOOKUP(AD25,Varsayımlar!$B:$Q,8,0))</f>
        <v>25</v>
      </c>
      <c r="R25" s="64" t="str">
        <f>IF(B25="","",VLOOKUP(AD25,Varsayımlar!$B:$Q,9,0))</f>
        <v>Irak Soft</v>
      </c>
      <c r="S25" s="64">
        <f>IF(B25="","",VLOOKUP(AD25,Varsayımlar!$B:$Q,10,0))</f>
        <v>6</v>
      </c>
      <c r="T25" s="64">
        <f>IF(B25="","",VLOOKUP(AD25,Varsayımlar!$B:$Q,11,0))</f>
        <v>18</v>
      </c>
      <c r="U25" s="64">
        <f>IF(B25="","",VLOOKUP(AD25,Varsayımlar!$B:$Q,12,0))</f>
        <v>390</v>
      </c>
      <c r="V25" s="64" t="str">
        <f>IF(B25="","",VLOOKUP(AD25,Varsayımlar!$B:$Q,13,0))</f>
        <v>YURTDIŞI</v>
      </c>
      <c r="W25" s="64">
        <f>IF(B25="","",VLOOKUP(AD25,Varsayımlar!$B:$Q,14,0))</f>
        <v>9</v>
      </c>
      <c r="X25" s="66">
        <v>46202</v>
      </c>
      <c r="Y25" s="66">
        <v>46475</v>
      </c>
      <c r="Z25" s="64" t="s">
        <v>378</v>
      </c>
      <c r="AA25" s="64" t="str">
        <f>IF(B25="","",VLOOKUP(AD25,Varsayımlar!$B:$Q,15,0))</f>
        <v>25cm Koli-Kazakça Etiketli</v>
      </c>
      <c r="AB25" s="64" t="str">
        <f>IF(B25="","",VLOOKUP(AD25,Varsayımlar!$B:$Q,16,0))</f>
        <v>24-26 cm</v>
      </c>
      <c r="AC25" s="64" t="str">
        <f>IF(B25="","",VLOOKUP(Sayfa1!AD40,Varsayımlar!B:S,18,0))</f>
        <v>80x120cm</v>
      </c>
      <c r="AD25" s="57" t="str">
        <f t="shared" si="0"/>
        <v>UNITERA-KAZAKİSTANTortillas 25cm Tam Buğday 6pcs 390g</v>
      </c>
    </row>
    <row r="26" spans="1:30" ht="31.5" x14ac:dyDescent="0.25">
      <c r="A26" s="8" t="s">
        <v>140</v>
      </c>
      <c r="B26" s="64" t="s">
        <v>288</v>
      </c>
      <c r="C26" s="3">
        <f>IF(B26="","",VLOOKUP(AD26,Varsayımlar!$B:$Q,3,0))</f>
        <v>8698829380698</v>
      </c>
      <c r="D26" s="3"/>
      <c r="E26" s="64" t="s">
        <v>252</v>
      </c>
      <c r="F26" s="64">
        <v>20201016</v>
      </c>
      <c r="G26" s="3" t="s">
        <v>68</v>
      </c>
      <c r="H26" s="64" t="str">
        <f>IF(B26="","",VLOOKUP(AD26,Varsayımlar!$B:$Q,5,0))</f>
        <v>Tortillas 20cm Sade</v>
      </c>
      <c r="I26" s="64" t="str">
        <f>IF(B26="","",VLOOKUP(AD26,Varsayımlar!B:T,19,0))</f>
        <v>Arka kısma İçerik</v>
      </c>
      <c r="J26" s="64" t="str">
        <f>IF(B26="","",VLOOKUP(AD26,Varsayımlar!$B:$Q,6,0))</f>
        <v>SADE</v>
      </c>
      <c r="K26" s="64">
        <v>300</v>
      </c>
      <c r="L26" s="64"/>
      <c r="M26" s="64">
        <f>IFERROR(IF(B26="","",K26/VLOOKUP(AD26,Varsayımlar!B:R,17,0)),"")</f>
        <v>3</v>
      </c>
      <c r="N26" s="64"/>
      <c r="O26" s="64">
        <v>5</v>
      </c>
      <c r="P26" s="64">
        <f>IF(B26="","",VLOOKUP(AD26,Varsayımlar!$B:$Q,7,0)*K26)</f>
        <v>5400</v>
      </c>
      <c r="Q26" s="64">
        <f>IF(B26="","",VLOOKUP(AD26,Varsayımlar!$B:$Q,8,0))</f>
        <v>20</v>
      </c>
      <c r="R26" s="64" t="str">
        <f>IF(B26="","",VLOOKUP(AD26,Varsayımlar!$B:$Q,9,0))</f>
        <v>Irak Soft</v>
      </c>
      <c r="S26" s="64">
        <f>IF(B26="","",VLOOKUP(AD26,Varsayımlar!$B:$Q,10,0))</f>
        <v>6</v>
      </c>
      <c r="T26" s="64">
        <f>IF(B26="","",VLOOKUP(AD26,Varsayımlar!$B:$Q,11,0))</f>
        <v>18</v>
      </c>
      <c r="U26" s="64">
        <f>IF(B26="","",VLOOKUP(AD26,Varsayımlar!$B:$Q,12,0))</f>
        <v>270</v>
      </c>
      <c r="V26" s="64" t="str">
        <f>IF(B26="","",VLOOKUP(AD26,Varsayımlar!$B:$Q,13,0))</f>
        <v>YURTDIŞI</v>
      </c>
      <c r="W26" s="64">
        <f>IF(B26="","",VLOOKUP(AD26,Varsayımlar!$B:$Q,14,0))</f>
        <v>9</v>
      </c>
      <c r="X26" s="66">
        <v>46202</v>
      </c>
      <c r="Y26" s="66">
        <v>46475</v>
      </c>
      <c r="Z26" s="64">
        <v>26062920</v>
      </c>
      <c r="AA26" s="64" t="str">
        <f>IF(B26="","",VLOOKUP(AD26,Varsayımlar!$B:$Q,15,0))</f>
        <v>20cm Koli</v>
      </c>
      <c r="AB26" s="64" t="str">
        <f>IF(B26="","",VLOOKUP(AD26,Varsayımlar!$B:$Q,16,0))</f>
        <v>19-21cm</v>
      </c>
      <c r="AC26" s="64" t="str">
        <f>IF(B26="","",VLOOKUP(Sayfa1!AD41,Varsayımlar!B:S,18,0))</f>
        <v>80x120cm</v>
      </c>
      <c r="AD26" s="57" t="str">
        <f t="shared" si="0"/>
        <v>UNITERA-KAZAKİSTANTortillas 20cm Sade 6pcs 270g</v>
      </c>
    </row>
    <row r="27" spans="1:30" ht="31.5" x14ac:dyDescent="0.25">
      <c r="A27" s="8" t="s">
        <v>141</v>
      </c>
      <c r="B27" s="80" t="s">
        <v>218</v>
      </c>
      <c r="C27" s="44">
        <f>IF(B27="","",VLOOKUP(AD27,Varsayımlar!$B:$Q,3,0))</f>
        <v>8698829380698</v>
      </c>
      <c r="D27" s="44" t="s">
        <v>160</v>
      </c>
      <c r="E27" s="80" t="s">
        <v>229</v>
      </c>
      <c r="F27" s="80">
        <v>26042907</v>
      </c>
      <c r="G27" s="44"/>
      <c r="H27" s="80" t="str">
        <f>IF(B27="","",VLOOKUP(AD27,Varsayımlar!$B:$Q,5,0))</f>
        <v>Tortillas Avrupa 25cm Tam Buğday (711)</v>
      </c>
      <c r="I27" s="80">
        <f>IF(B27="","",VLOOKUP(AD27,Varsayımlar!B:T,19,0))</f>
        <v>0</v>
      </c>
      <c r="J27" s="80" t="str">
        <f>IF(B27="","",VLOOKUP(AD27,Varsayımlar!$B:$Q,6,0))</f>
        <v>Tam Buğdaylı</v>
      </c>
      <c r="K27" s="80">
        <v>840</v>
      </c>
      <c r="L27" s="80"/>
      <c r="M27" s="80">
        <f>IFERROR(IF(B27="","",K27/VLOOKUP(AD27,Varsayımlar!B:R,17,0)),"")</f>
        <v>7</v>
      </c>
      <c r="N27" s="80"/>
      <c r="O27" s="80">
        <v>9</v>
      </c>
      <c r="P27" s="80">
        <f>IF(B27="","",VLOOKUP(AD27,Varsayımlar!$B:$Q,7,0)*K27)</f>
        <v>6720</v>
      </c>
      <c r="Q27" s="80">
        <f>IF(B27="","",VLOOKUP(AD27,Varsayımlar!$B:$Q,8,0))</f>
        <v>25</v>
      </c>
      <c r="R27" s="80" t="str">
        <f>IF(B27="","",VLOOKUP(AD27,Varsayımlar!$B:$Q,9,0))</f>
        <v>Irak Soft</v>
      </c>
      <c r="S27" s="80">
        <f>IF(B27="","",VLOOKUP(AD27,Varsayımlar!$B:$Q,10,0))</f>
        <v>10</v>
      </c>
      <c r="T27" s="80">
        <f>IF(B27="","",VLOOKUP(AD27,Varsayımlar!$B:$Q,11,0))</f>
        <v>8</v>
      </c>
      <c r="U27" s="80">
        <f>IF(B27="","",VLOOKUP(AD27,Varsayımlar!$B:$Q,12,0))</f>
        <v>650</v>
      </c>
      <c r="V27" s="80" t="str">
        <f>IF(B27="","",VLOOKUP(AD27,Varsayımlar!$B:$Q,13,0))</f>
        <v>Yurtdışı</v>
      </c>
      <c r="W27" s="80">
        <f>IF(B27="","",VLOOKUP(AD27,Varsayımlar!$B:$Q,14,0))</f>
        <v>9</v>
      </c>
      <c r="X27" s="81">
        <v>46203</v>
      </c>
      <c r="Y27" s="81">
        <v>46476</v>
      </c>
      <c r="Z27" s="80" t="s">
        <v>379</v>
      </c>
      <c r="AA27" s="80" t="str">
        <f>IF(B27="","",VLOOKUP(AD27,Varsayımlar!$B:$Q,15,0))</f>
        <v>25cm Perforeli-Bulgarca TB etiket</v>
      </c>
      <c r="AB27" s="80" t="str">
        <f>IF(B27="","",VLOOKUP(AD27,Varsayımlar!$B:$Q,16,0))</f>
        <v>24-26 cm</v>
      </c>
      <c r="AC27" s="80" t="str">
        <f>IF(B27="","",VLOOKUP(Sayfa1!AD57,Varsayımlar!B:S,18,0))</f>
        <v>80x120cm -Epal+Epal</v>
      </c>
      <c r="AD27" s="57" t="str">
        <f t="shared" si="0"/>
        <v>TASTE LAND-BULGARİSTANTortillas 25cm Tam Buğday 10pcs 650g</v>
      </c>
    </row>
    <row r="28" spans="1:30" ht="47.25" x14ac:dyDescent="0.25">
      <c r="A28" s="8" t="s">
        <v>142</v>
      </c>
      <c r="B28" s="80" t="s">
        <v>218</v>
      </c>
      <c r="C28" s="44">
        <f>IF(B28="","",VLOOKUP(AD28,Varsayımlar!$B:$Q,3,0))</f>
        <v>8698829380698</v>
      </c>
      <c r="D28" s="44" t="s">
        <v>160</v>
      </c>
      <c r="E28" s="80" t="s">
        <v>232</v>
      </c>
      <c r="F28" s="80">
        <v>26042907</v>
      </c>
      <c r="G28" s="44"/>
      <c r="H28" s="80" t="str">
        <f>IF(B28="","",VLOOKUP(AD28,Varsayımlar!$B:$Q,5,0))</f>
        <v>Tortillas Avrupa 25cm Domatesli (074)</v>
      </c>
      <c r="I28" s="80">
        <f>IF(B28="","",VLOOKUP(AD28,Varsayımlar!B:T,19,0))</f>
        <v>0</v>
      </c>
      <c r="J28" s="80" t="str">
        <f>IF(B28="","",VLOOKUP(AD28,Varsayımlar!$B:$Q,6,0))</f>
        <v>Domatesli</v>
      </c>
      <c r="K28" s="80">
        <v>480</v>
      </c>
      <c r="L28" s="80"/>
      <c r="M28" s="80">
        <f>IFERROR(IF(B28="","",K28/VLOOKUP(AD28,Varsayımlar!B:R,17,0)),"")</f>
        <v>4</v>
      </c>
      <c r="N28" s="80"/>
      <c r="O28" s="80">
        <v>5</v>
      </c>
      <c r="P28" s="80">
        <f>IF(B28="","",VLOOKUP(AD28,Varsayımlar!$B:$Q,7,0)*K28)</f>
        <v>5760</v>
      </c>
      <c r="Q28" s="80">
        <f>IF(B28="","",VLOOKUP(AD28,Varsayımlar!$B:$Q,8,0))</f>
        <v>25</v>
      </c>
      <c r="R28" s="80" t="str">
        <f>IF(B28="","",VLOOKUP(AD28,Varsayımlar!$B:$Q,9,0))</f>
        <v>Irak Soft</v>
      </c>
      <c r="S28" s="80">
        <f>IF(B28="","",VLOOKUP(AD28,Varsayımlar!$B:$Q,10,0))</f>
        <v>6</v>
      </c>
      <c r="T28" s="80">
        <f>IF(B28="","",VLOOKUP(AD28,Varsayımlar!$B:$Q,11,0))</f>
        <v>12</v>
      </c>
      <c r="U28" s="80">
        <f>IF(B28="","",VLOOKUP(AD28,Varsayımlar!$B:$Q,12,0))</f>
        <v>390</v>
      </c>
      <c r="V28" s="80" t="str">
        <f>IF(B28="","",VLOOKUP(AD28,Varsayımlar!$B:$Q,13,0))</f>
        <v>Yurtdışı</v>
      </c>
      <c r="W28" s="80">
        <f>IF(B28="","",VLOOKUP(AD28,Varsayımlar!$B:$Q,14,0))</f>
        <v>9</v>
      </c>
      <c r="X28" s="81">
        <v>46203</v>
      </c>
      <c r="Y28" s="81">
        <v>46476</v>
      </c>
      <c r="Z28" s="80" t="s">
        <v>380</v>
      </c>
      <c r="AA28" s="80" t="str">
        <f>IF(B28="","",VLOOKUP(AD28,Varsayımlar!$B:$Q,15,0))</f>
        <v>25cm Perforeli-Bulgarca Domatesli etiket</v>
      </c>
      <c r="AB28" s="80" t="str">
        <f>IF(B28="","",VLOOKUP(AD28,Varsayımlar!$B:$Q,16,0))</f>
        <v>24-26 cm</v>
      </c>
      <c r="AC28" s="80" t="str">
        <f>IF(B28="","",VLOOKUP(Sayfa1!AD58,Varsayımlar!B:S,18,0))</f>
        <v>80x120cm -Epal+Epal</v>
      </c>
      <c r="AD28" s="57" t="str">
        <f t="shared" si="0"/>
        <v>TASTE LAND-BULGARİSTANTortillas 25cm Domatesli 6pcs 390g</v>
      </c>
    </row>
    <row r="29" spans="1:30" ht="47.25" x14ac:dyDescent="0.25">
      <c r="A29" s="8" t="s">
        <v>143</v>
      </c>
      <c r="B29" s="80" t="s">
        <v>218</v>
      </c>
      <c r="C29" s="44">
        <f>IF(B29="","",VLOOKUP(AD29,Varsayımlar!$B:$Q,3,0))</f>
        <v>8698829380698</v>
      </c>
      <c r="D29" s="44" t="s">
        <v>160</v>
      </c>
      <c r="E29" s="80" t="s">
        <v>235</v>
      </c>
      <c r="F29" s="80">
        <v>26042907</v>
      </c>
      <c r="G29" s="44"/>
      <c r="H29" s="80" t="str">
        <f>IF(B29="","",VLOOKUP(AD29,Varsayımlar!$B:$Q,5,0))</f>
        <v>Tortillas Avrupa 25cm Ispanaklı (081)</v>
      </c>
      <c r="I29" s="80">
        <f>IF(B29="","",VLOOKUP(AD29,Varsayımlar!B:T,19,0))</f>
        <v>0</v>
      </c>
      <c r="J29" s="80" t="str">
        <f>IF(B29="","",VLOOKUP(AD29,Varsayımlar!$B:$Q,6,0))</f>
        <v>Ispanaklı</v>
      </c>
      <c r="K29" s="80">
        <v>480</v>
      </c>
      <c r="L29" s="80"/>
      <c r="M29" s="80">
        <f>IFERROR(IF(B29="","",K29/VLOOKUP(AD29,Varsayımlar!B:R,17,0)),"")</f>
        <v>4</v>
      </c>
      <c r="N29" s="80"/>
      <c r="O29" s="80">
        <v>5</v>
      </c>
      <c r="P29" s="80">
        <f>IF(B29="","",VLOOKUP(AD29,Varsayımlar!$B:$Q,7,0)*K29)</f>
        <v>5760</v>
      </c>
      <c r="Q29" s="80">
        <f>IF(B29="","",VLOOKUP(AD29,Varsayımlar!$B:$Q,8,0))</f>
        <v>25</v>
      </c>
      <c r="R29" s="80" t="str">
        <f>IF(B29="","",VLOOKUP(AD29,Varsayımlar!$B:$Q,9,0))</f>
        <v>Irak Soft</v>
      </c>
      <c r="S29" s="80">
        <f>IF(B29="","",VLOOKUP(AD29,Varsayımlar!$B:$Q,10,0))</f>
        <v>6</v>
      </c>
      <c r="T29" s="80">
        <f>IF(B29="","",VLOOKUP(AD29,Varsayımlar!$B:$Q,11,0))</f>
        <v>12</v>
      </c>
      <c r="U29" s="80">
        <f>IF(B29="","",VLOOKUP(AD29,Varsayımlar!$B:$Q,12,0))</f>
        <v>390</v>
      </c>
      <c r="V29" s="80" t="str">
        <f>IF(B29="","",VLOOKUP(AD29,Varsayımlar!$B:$Q,13,0))</f>
        <v>Yurtdışı</v>
      </c>
      <c r="W29" s="80">
        <f>IF(B29="","",VLOOKUP(AD29,Varsayımlar!$B:$Q,14,0))</f>
        <v>9</v>
      </c>
      <c r="X29" s="81">
        <v>46203</v>
      </c>
      <c r="Y29" s="81">
        <v>46476</v>
      </c>
      <c r="Z29" s="80" t="s">
        <v>381</v>
      </c>
      <c r="AA29" s="80" t="str">
        <f>IF(B29="","",VLOOKUP(AD29,Varsayımlar!$B:$Q,15,0))</f>
        <v>25cm Perforeli-Bulgarca Ispanaklı etiket</v>
      </c>
      <c r="AB29" s="80" t="str">
        <f>IF(B29="","",VLOOKUP(AD29,Varsayımlar!$B:$Q,16,0))</f>
        <v>24-26 cm</v>
      </c>
      <c r="AC29" s="80" t="str">
        <f>IF(B29="","",VLOOKUP(Sayfa1!AD59,Varsayımlar!B:S,18,0))</f>
        <v>80x120cm -Epal+Epal</v>
      </c>
      <c r="AD29" s="57" t="str">
        <f t="shared" si="0"/>
        <v>TASTE LAND-BULGARİSTANTortillas 25cm Ispanaklı 6pcs 390g</v>
      </c>
    </row>
    <row r="30" spans="1:30" ht="47.25" x14ac:dyDescent="0.25">
      <c r="A30" s="8" t="s">
        <v>144</v>
      </c>
      <c r="B30" s="80" t="s">
        <v>218</v>
      </c>
      <c r="C30" s="44">
        <f>IF(B30="","",VLOOKUP(AD30,Varsayımlar!$B:$Q,3,0))</f>
        <v>8698829380698</v>
      </c>
      <c r="D30" s="44" t="s">
        <v>160</v>
      </c>
      <c r="E30" s="80" t="s">
        <v>240</v>
      </c>
      <c r="F30" s="80">
        <v>26042907</v>
      </c>
      <c r="G30" s="44"/>
      <c r="H30" s="80" t="str">
        <f>IF(B30="","",VLOOKUP(AD30,Varsayımlar!$B:$Q,5,0))</f>
        <v>Tortillas Avrupa 25cm Peynirli (098)</v>
      </c>
      <c r="I30" s="80">
        <f>IF(B30="","",VLOOKUP(AD30,Varsayımlar!B:T,19,0))</f>
        <v>0</v>
      </c>
      <c r="J30" s="80" t="str">
        <f>IF(B30="","",VLOOKUP(AD30,Varsayımlar!$B:$Q,6,0))</f>
        <v>Peynirli</v>
      </c>
      <c r="K30" s="80">
        <v>360</v>
      </c>
      <c r="L30" s="80"/>
      <c r="M30" s="80">
        <f>IFERROR(IF(B30="","",K30/VLOOKUP(AD30,Varsayımlar!B:R,17,0)),"")</f>
        <v>3</v>
      </c>
      <c r="N30" s="80"/>
      <c r="O30" s="80">
        <v>4</v>
      </c>
      <c r="P30" s="80">
        <f>IF(B30="","",VLOOKUP(AD30,Varsayımlar!$B:$Q,7,0)*K30)</f>
        <v>4320</v>
      </c>
      <c r="Q30" s="80">
        <f>IF(B30="","",VLOOKUP(AD30,Varsayımlar!$B:$Q,8,0))</f>
        <v>25</v>
      </c>
      <c r="R30" s="80" t="str">
        <f>IF(B30="","",VLOOKUP(AD30,Varsayımlar!$B:$Q,9,0))</f>
        <v>Irak Soft-AT</v>
      </c>
      <c r="S30" s="80">
        <f>IF(B30="","",VLOOKUP(AD30,Varsayımlar!$B:$Q,10,0))</f>
        <v>6</v>
      </c>
      <c r="T30" s="80">
        <f>IF(B30="","",VLOOKUP(AD30,Varsayımlar!$B:$Q,11,0))</f>
        <v>12</v>
      </c>
      <c r="U30" s="80">
        <f>IF(B30="","",VLOOKUP(AD30,Varsayımlar!$B:$Q,12,0))</f>
        <v>390</v>
      </c>
      <c r="V30" s="80" t="str">
        <f>IF(B30="","",VLOOKUP(AD30,Varsayımlar!$B:$Q,13,0))</f>
        <v>Yurtdışı</v>
      </c>
      <c r="W30" s="80">
        <f>IF(B30="","",VLOOKUP(AD30,Varsayımlar!$B:$Q,14,0))</f>
        <v>9</v>
      </c>
      <c r="X30" s="81">
        <v>46203</v>
      </c>
      <c r="Y30" s="81">
        <v>46476</v>
      </c>
      <c r="Z30" s="80" t="s">
        <v>382</v>
      </c>
      <c r="AA30" s="80" t="str">
        <f>IF(B30="","",VLOOKUP(AD30,Varsayımlar!$B:$Q,15,0))</f>
        <v>25cm Perforeli-Bulgarca Peynirli etiket</v>
      </c>
      <c r="AB30" s="80" t="str">
        <f>IF(B30="","",VLOOKUP(AD30,Varsayımlar!$B:$Q,16,0))</f>
        <v>24-26 cm</v>
      </c>
      <c r="AC30" s="80" t="str">
        <f>IF(B30="","",VLOOKUP(Sayfa1!AD60,Varsayımlar!B:S,18,0))</f>
        <v>80x120cm -Epal+Epal</v>
      </c>
      <c r="AD30" s="57" t="str">
        <f t="shared" si="0"/>
        <v>TASTE LAND-BULGARİSTANTortillas 25cm Peynirli 6pcs 390g</v>
      </c>
    </row>
    <row r="31" spans="1:30" ht="47.25" x14ac:dyDescent="0.25">
      <c r="A31" s="8" t="s">
        <v>145</v>
      </c>
      <c r="B31" s="54" t="s">
        <v>268</v>
      </c>
      <c r="C31" s="39">
        <f>IF(B31="","",VLOOKUP(AD31,Varsayımlar!$B:$Q,3,0))</f>
        <v>8698829380698</v>
      </c>
      <c r="D31" s="39" t="s">
        <v>160</v>
      </c>
      <c r="E31" s="54" t="s">
        <v>269</v>
      </c>
      <c r="F31" s="54" t="s">
        <v>343</v>
      </c>
      <c r="G31" s="39" t="s">
        <v>68</v>
      </c>
      <c r="H31" s="54" t="str">
        <f>IF(B31="","",VLOOKUP(AD31,Varsayımlar!$B:$Q,5,0))</f>
        <v>Tortillas 25cm Tam Buğday</v>
      </c>
      <c r="I31" s="54">
        <f>IF(B31="","",VLOOKUP(AD31,Varsayımlar!B:T,19,0))</f>
        <v>0</v>
      </c>
      <c r="J31" s="54" t="str">
        <f>IF(B31="","",VLOOKUP(AD31,Varsayımlar!$B:$Q,6,0))</f>
        <v>Tam Buğdaylı</v>
      </c>
      <c r="K31" s="54">
        <v>336</v>
      </c>
      <c r="L31" s="54"/>
      <c r="M31" s="54">
        <f>IFERROR(IF(B31="","",K31/VLOOKUP(AD31,Varsayımlar!B:R,17,0)),"")</f>
        <v>4</v>
      </c>
      <c r="N31" s="54"/>
      <c r="O31" s="54">
        <v>6</v>
      </c>
      <c r="P31" s="54">
        <f>IF(B31="","",VLOOKUP(AD31,Varsayımlar!$B:$Q,7,0)*K31)</f>
        <v>10080</v>
      </c>
      <c r="Q31" s="54">
        <f>IF(B31="","",VLOOKUP(AD31,Varsayımlar!$B:$Q,8,0))</f>
        <v>25</v>
      </c>
      <c r="R31" s="54" t="str">
        <f>IF(B31="","",VLOOKUP(AD31,Varsayımlar!$B:$Q,9,0))</f>
        <v>Soft-PA3</v>
      </c>
      <c r="S31" s="54">
        <f>IF(B31="","",VLOOKUP(AD31,Varsayımlar!$B:$Q,10,0))</f>
        <v>4</v>
      </c>
      <c r="T31" s="54">
        <f>IF(B31="","",VLOOKUP(AD31,Varsayımlar!$B:$Q,11,0))</f>
        <v>30</v>
      </c>
      <c r="U31" s="54">
        <f>IF(B31="","",VLOOKUP(AD31,Varsayımlar!$B:$Q,12,0))</f>
        <v>240</v>
      </c>
      <c r="V31" s="54" t="str">
        <f>IF(B31="","",VLOOKUP(AD31,Varsayımlar!$B:$Q,13,0))</f>
        <v>Yurtdışı</v>
      </c>
      <c r="W31" s="54">
        <f>IF(B31="","",VLOOKUP(AD31,Varsayımlar!$B:$Q,14,0))</f>
        <v>12</v>
      </c>
      <c r="X31" s="56">
        <v>46205</v>
      </c>
      <c r="Y31" s="56">
        <v>46570</v>
      </c>
      <c r="Z31" s="54" t="s">
        <v>383</v>
      </c>
      <c r="AA31" s="54" t="str">
        <f>IF(B31="","",VLOOKUP(AD31,Varsayımlar!$B:$Q,15,0))</f>
        <v>25cm Kolisi-Etiketli</v>
      </c>
      <c r="AB31" s="54" t="str">
        <f>IF(B31="","",VLOOKUP(AD31,Varsayımlar!$B:$Q,16,0))</f>
        <v>24-26 cm (Macca Hetto Inkjet Uzun Tarih)</v>
      </c>
      <c r="AC31" s="54" t="str">
        <f>IF(B31="","",VLOOKUP(Sayfa1!AD36,Varsayımlar!B:S,18,0))</f>
        <v>80x120cm</v>
      </c>
      <c r="AD31" s="57" t="str">
        <f t="shared" si="0"/>
        <v>LAIKYUZHN-BELARUSTortillas 25cm Tam buğday 4pcs 240g</v>
      </c>
    </row>
    <row r="32" spans="1:30" ht="47.25" x14ac:dyDescent="0.25">
      <c r="A32" s="8" t="s">
        <v>146</v>
      </c>
      <c r="B32" s="54" t="s">
        <v>268</v>
      </c>
      <c r="C32" s="39">
        <f>IF(B32="","",VLOOKUP(AD32,Varsayımlar!$B:$Q,3,0))</f>
        <v>8698829380698</v>
      </c>
      <c r="D32" s="39" t="s">
        <v>160</v>
      </c>
      <c r="E32" s="54" t="s">
        <v>274</v>
      </c>
      <c r="F32" s="54" t="s">
        <v>343</v>
      </c>
      <c r="G32" s="39" t="s">
        <v>68</v>
      </c>
      <c r="H32" s="54" t="str">
        <f>IF(B32="","",VLOOKUP(AD32,Varsayımlar!$B:$Q,5,0))</f>
        <v>Tortillas 25cm Domatesli</v>
      </c>
      <c r="I32" s="54">
        <f>IF(B32="","",VLOOKUP(AD32,Varsayımlar!B:T,19,0))</f>
        <v>0</v>
      </c>
      <c r="J32" s="54" t="str">
        <f>IF(B32="","",VLOOKUP(AD32,Varsayımlar!$B:$Q,6,0))</f>
        <v>Domatesli</v>
      </c>
      <c r="K32" s="54">
        <v>420</v>
      </c>
      <c r="L32" s="54"/>
      <c r="M32" s="54">
        <f>IFERROR(IF(B32="","",K32/VLOOKUP(AD32,Varsayımlar!B:R,17,0)),"")</f>
        <v>5</v>
      </c>
      <c r="N32" s="54"/>
      <c r="O32" s="54">
        <v>7</v>
      </c>
      <c r="P32" s="54">
        <f>IF(B32="","",VLOOKUP(AD32,Varsayımlar!$B:$Q,7,0)*K32)</f>
        <v>12600</v>
      </c>
      <c r="Q32" s="54">
        <f>IF(B32="","",VLOOKUP(AD32,Varsayımlar!$B:$Q,8,0))</f>
        <v>25</v>
      </c>
      <c r="R32" s="54" t="str">
        <f>IF(B32="","",VLOOKUP(AD32,Varsayımlar!$B:$Q,9,0))</f>
        <v>Soft-PA3</v>
      </c>
      <c r="S32" s="54">
        <f>IF(B32="","",VLOOKUP(AD32,Varsayımlar!$B:$Q,10,0))</f>
        <v>4</v>
      </c>
      <c r="T32" s="54">
        <f>IF(B32="","",VLOOKUP(AD32,Varsayımlar!$B:$Q,11,0))</f>
        <v>30</v>
      </c>
      <c r="U32" s="54">
        <f>IF(B32="","",VLOOKUP(AD32,Varsayımlar!$B:$Q,12,0))</f>
        <v>240</v>
      </c>
      <c r="V32" s="54" t="str">
        <f>IF(B32="","",VLOOKUP(AD32,Varsayımlar!$B:$Q,13,0))</f>
        <v>Yurtdışı</v>
      </c>
      <c r="W32" s="54">
        <f>IF(B32="","",VLOOKUP(AD32,Varsayımlar!$B:$Q,14,0))</f>
        <v>12</v>
      </c>
      <c r="X32" s="56">
        <v>46205</v>
      </c>
      <c r="Y32" s="56">
        <v>46570</v>
      </c>
      <c r="Z32" s="54" t="s">
        <v>384</v>
      </c>
      <c r="AA32" s="54" t="str">
        <f>IF(B32="","",VLOOKUP(AD32,Varsayımlar!$B:$Q,15,0))</f>
        <v>25cm Kolisi-Etiketli</v>
      </c>
      <c r="AB32" s="54" t="str">
        <f>IF(B32="","",VLOOKUP(AD32,Varsayımlar!$B:$Q,16,0))</f>
        <v>24-26 cm (Macca Hetto Inkjet Uzun Tarih)</v>
      </c>
      <c r="AC32" s="54" t="str">
        <f>IF(B32="","",VLOOKUP(Sayfa1!AD37,Varsayımlar!B:S,18,0))</f>
        <v>80x120cm</v>
      </c>
      <c r="AD32" s="57" t="str">
        <f t="shared" si="0"/>
        <v>LAIKYUZHN-BELARUSTortillas 25cm Domatesli 4pcs 240g</v>
      </c>
    </row>
    <row r="33" spans="1:30" ht="47.25" x14ac:dyDescent="0.25">
      <c r="A33" s="8" t="s">
        <v>147</v>
      </c>
      <c r="B33" s="54" t="s">
        <v>268</v>
      </c>
      <c r="C33" s="39">
        <f>IF(B33="","",VLOOKUP(AD33,Varsayımlar!$B:$Q,3,0))</f>
        <v>8698829380698</v>
      </c>
      <c r="D33" s="39" t="s">
        <v>160</v>
      </c>
      <c r="E33" s="54" t="s">
        <v>276</v>
      </c>
      <c r="F33" s="54" t="s">
        <v>343</v>
      </c>
      <c r="G33" s="39" t="s">
        <v>68</v>
      </c>
      <c r="H33" s="54" t="str">
        <f>IF(B33="","",VLOOKUP(AD33,Varsayımlar!$B:$Q,5,0))</f>
        <v>Tortillas 25cm Ispanaklı</v>
      </c>
      <c r="I33" s="54">
        <f>IF(B33="","",VLOOKUP(AD33,Varsayımlar!B:T,19,0))</f>
        <v>0</v>
      </c>
      <c r="J33" s="54" t="str">
        <f>IF(B33="","",VLOOKUP(AD33,Varsayımlar!$B:$Q,6,0))</f>
        <v>Ispanaklı</v>
      </c>
      <c r="K33" s="54">
        <v>336</v>
      </c>
      <c r="L33" s="54"/>
      <c r="M33" s="54">
        <f>IFERROR(IF(B33="","",K33/VLOOKUP(AD33,Varsayımlar!B:R,17,0)),"")</f>
        <v>4</v>
      </c>
      <c r="N33" s="54"/>
      <c r="O33" s="54">
        <v>6</v>
      </c>
      <c r="P33" s="54">
        <f>IF(B33="","",VLOOKUP(AD33,Varsayımlar!$B:$Q,7,0)*K33)</f>
        <v>10080</v>
      </c>
      <c r="Q33" s="54">
        <f>IF(B33="","",VLOOKUP(AD33,Varsayımlar!$B:$Q,8,0))</f>
        <v>25</v>
      </c>
      <c r="R33" s="54" t="str">
        <f>IF(B33="","",VLOOKUP(AD33,Varsayımlar!$B:$Q,9,0))</f>
        <v>Soft-PA3</v>
      </c>
      <c r="S33" s="54">
        <f>IF(B33="","",VLOOKUP(AD33,Varsayımlar!$B:$Q,10,0))</f>
        <v>4</v>
      </c>
      <c r="T33" s="54">
        <f>IF(B33="","",VLOOKUP(AD33,Varsayımlar!$B:$Q,11,0))</f>
        <v>30</v>
      </c>
      <c r="U33" s="54">
        <f>IF(B33="","",VLOOKUP(AD33,Varsayımlar!$B:$Q,12,0))</f>
        <v>240</v>
      </c>
      <c r="V33" s="54" t="str">
        <f>IF(B33="","",VLOOKUP(AD33,Varsayımlar!$B:$Q,13,0))</f>
        <v>Yurtdışı</v>
      </c>
      <c r="W33" s="54">
        <f>IF(B33="","",VLOOKUP(AD33,Varsayımlar!$B:$Q,14,0))</f>
        <v>12</v>
      </c>
      <c r="X33" s="56">
        <v>46205</v>
      </c>
      <c r="Y33" s="56">
        <v>46570</v>
      </c>
      <c r="Z33" s="54" t="s">
        <v>385</v>
      </c>
      <c r="AA33" s="54" t="str">
        <f>IF(B33="","",VLOOKUP(AD33,Varsayımlar!$B:$Q,15,0))</f>
        <v>25cm Kolisi-Etiketli</v>
      </c>
      <c r="AB33" s="54" t="str">
        <f>IF(B33="","",VLOOKUP(AD33,Varsayımlar!$B:$Q,16,0))</f>
        <v>24-26 cm (Macca Hetto Inkjet Uzun Tarih)</v>
      </c>
      <c r="AC33" s="54" t="str">
        <f>IF(B33="","",VLOOKUP(Sayfa1!AD38,Varsayımlar!B:S,18,0))</f>
        <v>80x120cm</v>
      </c>
      <c r="AD33" s="57" t="str">
        <f t="shared" si="0"/>
        <v>LAIKYUZHN-BELARUSTortillas 25cm Ispanaklı 4pcs 240g</v>
      </c>
    </row>
    <row r="34" spans="1:30" ht="47.25" x14ac:dyDescent="0.25">
      <c r="A34" s="8" t="s">
        <v>148</v>
      </c>
      <c r="B34" s="54" t="s">
        <v>268</v>
      </c>
      <c r="C34" s="39">
        <f>IF(B34="","",VLOOKUP(AD34,Varsayımlar!$B:$Q,3,0))</f>
        <v>8698829380698</v>
      </c>
      <c r="D34" s="39" t="s">
        <v>160</v>
      </c>
      <c r="E34" s="54" t="s">
        <v>278</v>
      </c>
      <c r="F34" s="54" t="s">
        <v>343</v>
      </c>
      <c r="G34" s="39" t="s">
        <v>68</v>
      </c>
      <c r="H34" s="54" t="str">
        <f>IF(B34="","",VLOOKUP(AD34,Varsayımlar!$B:$Q,5,0))</f>
        <v>Magnit Tortillas 25cm Peynirli</v>
      </c>
      <c r="I34" s="54" t="str">
        <f>IF(B34="","",VLOOKUP(AD34,Varsayımlar!B:T,19,0))</f>
        <v>Etiketli</v>
      </c>
      <c r="J34" s="54" t="str">
        <f>IF(B34="","",VLOOKUP(AD34,Varsayımlar!$B:$Q,6,0))</f>
        <v>Peynirli</v>
      </c>
      <c r="K34" s="54">
        <v>504</v>
      </c>
      <c r="L34" s="54"/>
      <c r="M34" s="54">
        <f>IFERROR(IF(B34="","",K34/VLOOKUP(AD34,Varsayımlar!B:R,17,0)),"")</f>
        <v>6</v>
      </c>
      <c r="N34" s="54"/>
      <c r="O34" s="54">
        <v>9</v>
      </c>
      <c r="P34" s="54">
        <f>IF(B34="","",VLOOKUP(AD34,Varsayımlar!$B:$Q,7,0)*K34)</f>
        <v>15120</v>
      </c>
      <c r="Q34" s="54">
        <f>IF(B34="","",VLOOKUP(AD34,Varsayımlar!$B:$Q,8,0))</f>
        <v>25</v>
      </c>
      <c r="R34" s="54" t="str">
        <f>IF(B34="","",VLOOKUP(AD34,Varsayımlar!$B:$Q,9,0))</f>
        <v>Soft-PA3-AT</v>
      </c>
      <c r="S34" s="54">
        <f>IF(B34="","",VLOOKUP(AD34,Varsayımlar!$B:$Q,10,0))</f>
        <v>4</v>
      </c>
      <c r="T34" s="54">
        <f>IF(B34="","",VLOOKUP(AD34,Varsayımlar!$B:$Q,11,0))</f>
        <v>30</v>
      </c>
      <c r="U34" s="54">
        <f>IF(B34="","",VLOOKUP(AD34,Varsayımlar!$B:$Q,12,0))</f>
        <v>250</v>
      </c>
      <c r="V34" s="54" t="str">
        <f>IF(B34="","",VLOOKUP(AD34,Varsayımlar!$B:$Q,13,0))</f>
        <v>Yurtdışı</v>
      </c>
      <c r="W34" s="54">
        <f>IF(B34="","",VLOOKUP(AD34,Varsayımlar!$B:$Q,14,0))</f>
        <v>9</v>
      </c>
      <c r="X34" s="56">
        <v>46205</v>
      </c>
      <c r="Y34" s="56">
        <v>46479</v>
      </c>
      <c r="Z34" s="54" t="s">
        <v>386</v>
      </c>
      <c r="AA34" s="54" t="str">
        <f>IF(B34="","",VLOOKUP(AD34,Varsayımlar!$B:$Q,15,0))</f>
        <v>25cm Kolisi-Etiketli</v>
      </c>
      <c r="AB34" s="54" t="str">
        <f>IF(B34="","",VLOOKUP(AD34,Varsayımlar!$B:$Q,16,0))</f>
        <v>24-26 cm (Macca Hetto Inkjet Uzun Tarih)</v>
      </c>
      <c r="AC34" s="54" t="str">
        <f>IF(B34="","",VLOOKUP(Sayfa1!AD39,Varsayımlar!B:S,18,0))</f>
        <v>80x120cm</v>
      </c>
      <c r="AD34" s="57" t="str">
        <f t="shared" si="0"/>
        <v>LAIKYUZHN-BELARUSMagnit Tortillas 25cm Peynirli 4pcs 240g</v>
      </c>
    </row>
    <row r="35" spans="1:30" ht="47.25" x14ac:dyDescent="0.25">
      <c r="A35" s="8" t="s">
        <v>149</v>
      </c>
      <c r="B35" s="75" t="s">
        <v>218</v>
      </c>
      <c r="C35" s="43">
        <f>IF(B35="","",VLOOKUP(AD35,Varsayımlar!$B:$Q,3,0))</f>
        <v>8698829380698</v>
      </c>
      <c r="D35" s="43" t="s">
        <v>161</v>
      </c>
      <c r="E35" s="75" t="s">
        <v>252</v>
      </c>
      <c r="F35" s="75" t="s">
        <v>341</v>
      </c>
      <c r="G35" s="43"/>
      <c r="H35" s="75" t="str">
        <f>IF(B35="","",VLOOKUP(AD35,Varsayımlar!$B:$Q,5,0))</f>
        <v xml:space="preserve">Tortillas 20cm Sade </v>
      </c>
      <c r="I35" s="75" t="str">
        <f>IF(B35="","",VLOOKUP(AD35,Varsayımlar!B:T,19,0))</f>
        <v>Barkod üzerine Barkod Etiketi (104)</v>
      </c>
      <c r="J35" s="75" t="str">
        <f>IF(B35="","",VLOOKUP(AD35,Varsayımlar!$B:$Q,6,0))</f>
        <v>SADE</v>
      </c>
      <c r="K35" s="75">
        <v>120</v>
      </c>
      <c r="L35" s="75"/>
      <c r="M35" s="75">
        <f>IFERROR(IF(B35="","",K35/VLOOKUP(AD35,Varsayımlar!B:R,17,0)),"")</f>
        <v>1</v>
      </c>
      <c r="N35" s="75"/>
      <c r="O35" s="75">
        <v>2</v>
      </c>
      <c r="P35" s="75">
        <f>IF(B35="","",VLOOKUP(AD35,Varsayımlar!$B:$Q,7,0)*K35)</f>
        <v>2160</v>
      </c>
      <c r="Q35" s="75">
        <f>IF(B35="","",VLOOKUP(AD35,Varsayımlar!$B:$Q,8,0))</f>
        <v>20</v>
      </c>
      <c r="R35" s="75" t="str">
        <f>IF(B35="","",VLOOKUP(AD35,Varsayımlar!$B:$Q,9,0))</f>
        <v>Irak Soft</v>
      </c>
      <c r="S35" s="75">
        <f>IF(B35="","",VLOOKUP(AD35,Varsayımlar!$B:$Q,10,0))</f>
        <v>6</v>
      </c>
      <c r="T35" s="75">
        <f>IF(B35="","",VLOOKUP(AD35,Varsayımlar!$B:$Q,11,0))</f>
        <v>18</v>
      </c>
      <c r="U35" s="75">
        <f>IF(B35="","",VLOOKUP(AD35,Varsayımlar!$B:$Q,12,0))</f>
        <v>270</v>
      </c>
      <c r="V35" s="75" t="str">
        <f>IF(B35="","",VLOOKUP(AD35,Varsayımlar!$B:$Q,13,0))</f>
        <v>Yurtdışı</v>
      </c>
      <c r="W35" s="75">
        <f>IF(B35="","",VLOOKUP(AD35,Varsayımlar!$B:$Q,14,0))</f>
        <v>9</v>
      </c>
      <c r="X35" s="76"/>
      <c r="Y35" s="76"/>
      <c r="Z35" s="75"/>
      <c r="AA35" s="75" t="str">
        <f>IF(B35="","",VLOOKUP(AD35,Varsayımlar!$B:$Q,15,0))</f>
        <v>20cm Lacivert-Bulgarca Etiket</v>
      </c>
      <c r="AB35" s="75" t="str">
        <f>IF(B35="","",VLOOKUP(AD35,Varsayımlar!$B:$Q,16,0))</f>
        <v>19-21 cm</v>
      </c>
      <c r="AC35" s="75" t="str">
        <f>IF(B35="","",VLOOKUP(Sayfa1!AD21,Varsayımlar!B:S,18,0))</f>
        <v>100x120cm-Epal+Epal</v>
      </c>
      <c r="AD35" s="57" t="str">
        <f t="shared" si="0"/>
        <v>TASTE LAND-BULGARİSTANTortillas 20cm Sade 6pcs 270g</v>
      </c>
    </row>
    <row r="36" spans="1:30" ht="78.75" x14ac:dyDescent="0.25">
      <c r="A36" s="8" t="s">
        <v>150</v>
      </c>
      <c r="B36" s="75" t="s">
        <v>218</v>
      </c>
      <c r="C36" s="43">
        <f>IF(B36="","",VLOOKUP(AD36,Varsayımlar!$B:$Q,3,0))</f>
        <v>8698829380698</v>
      </c>
      <c r="D36" s="43" t="s">
        <v>161</v>
      </c>
      <c r="E36" s="75" t="s">
        <v>222</v>
      </c>
      <c r="F36" s="75" t="s">
        <v>341</v>
      </c>
      <c r="G36" s="43"/>
      <c r="H36" s="75" t="str">
        <f>IF(B36="","",VLOOKUP(AD36,Varsayımlar!$B:$Q,5,0))</f>
        <v xml:space="preserve">Tortillas 30cm Tam Buğday </v>
      </c>
      <c r="I36" s="75" t="str">
        <f>IF(B36="","",VLOOKUP(AD36,Varsayımlar!B:T,19,0))</f>
        <v>Barkod üzerine-Bulgarca Barkodlu TB içerik etiketi (029)</v>
      </c>
      <c r="J36" s="75" t="str">
        <f>IF(B36="","",VLOOKUP(AD36,Varsayımlar!$B:$Q,6,0))</f>
        <v>Tam Buğdaylı</v>
      </c>
      <c r="K36" s="75">
        <v>60</v>
      </c>
      <c r="L36" s="75"/>
      <c r="M36" s="75">
        <f>IFERROR(IF(B36="","",K36/VLOOKUP(AD36,Varsayımlar!B:R,17,0)),"")</f>
        <v>1</v>
      </c>
      <c r="N36" s="75"/>
      <c r="O36" s="75">
        <v>1</v>
      </c>
      <c r="P36" s="75">
        <f>IF(B36="","",VLOOKUP(AD36,Varsayımlar!$B:$Q,7,0)*K36)</f>
        <v>360</v>
      </c>
      <c r="Q36" s="75">
        <f>IF(B36="","",VLOOKUP(AD36,Varsayımlar!$B:$Q,8,0))</f>
        <v>30</v>
      </c>
      <c r="R36" s="75" t="str">
        <f>IF(B36="","",VLOOKUP(AD36,Varsayımlar!$B:$Q,9,0))</f>
        <v>Irak Soft</v>
      </c>
      <c r="S36" s="75">
        <f>IF(B36="","",VLOOKUP(AD36,Varsayımlar!$B:$Q,10,0))</f>
        <v>18</v>
      </c>
      <c r="T36" s="75">
        <f>IF(B36="","",VLOOKUP(AD36,Varsayımlar!$B:$Q,11,0))</f>
        <v>6</v>
      </c>
      <c r="U36" s="75">
        <f>IF(B36="","",VLOOKUP(AD36,Varsayımlar!$B:$Q,12,0))</f>
        <v>1620</v>
      </c>
      <c r="V36" s="75" t="str">
        <f>IF(B36="","",VLOOKUP(AD36,Varsayımlar!$B:$Q,13,0))</f>
        <v>Yurtdışı</v>
      </c>
      <c r="W36" s="75">
        <f>IF(B36="","",VLOOKUP(AD36,Varsayımlar!$B:$Q,14,0))</f>
        <v>9</v>
      </c>
      <c r="X36" s="76"/>
      <c r="Y36" s="76"/>
      <c r="Z36" s="75"/>
      <c r="AA36" s="75" t="str">
        <f>IF(B36="","",VLOOKUP(AD36,Varsayımlar!$B:$Q,15,0))</f>
        <v>30cm Lacivert Koli- Bulgarca TB Etiket</v>
      </c>
      <c r="AB36" s="75" t="str">
        <f>IF(B36="","",VLOOKUP(AD36,Varsayımlar!$B:$Q,16,0))</f>
        <v>29-31 cm</v>
      </c>
      <c r="AC36" s="75" t="str">
        <f>IF(B36="","",VLOOKUP(Sayfa1!AD20,Varsayımlar!B:S,18,0))</f>
        <v>95x130cm</v>
      </c>
      <c r="AD36" s="57" t="str">
        <f t="shared" si="0"/>
        <v>TASTE LAND-BULGARİSTANTortillas 30cm Tam Buğday 18pcs 1620g</v>
      </c>
    </row>
    <row r="37" spans="1:30" ht="31.5" x14ac:dyDescent="0.25">
      <c r="A37" s="8" t="s">
        <v>151</v>
      </c>
      <c r="B37" s="75" t="s">
        <v>218</v>
      </c>
      <c r="C37" s="43">
        <f>IF(B37="","",VLOOKUP(AD37,Varsayımlar!$B:$Q,3,0))</f>
        <v>8698829380698</v>
      </c>
      <c r="D37" s="43" t="s">
        <v>161</v>
      </c>
      <c r="E37" s="75" t="s">
        <v>229</v>
      </c>
      <c r="F37" s="75" t="s">
        <v>341</v>
      </c>
      <c r="G37" s="43"/>
      <c r="H37" s="75" t="str">
        <f>IF(B37="","",VLOOKUP(AD37,Varsayımlar!$B:$Q,5,0))</f>
        <v>Tortillas Avrupa 25cm Tam Buğday (711)</v>
      </c>
      <c r="I37" s="75">
        <f>IF(B37="","",VLOOKUP(AD37,Varsayımlar!B:T,19,0))</f>
        <v>0</v>
      </c>
      <c r="J37" s="75" t="str">
        <f>IF(B37="","",VLOOKUP(AD37,Varsayımlar!$B:$Q,6,0))</f>
        <v>Tam Buğdaylı</v>
      </c>
      <c r="K37" s="75">
        <v>840</v>
      </c>
      <c r="L37" s="75"/>
      <c r="M37" s="75">
        <f>IFERROR(IF(B37="","",K37/VLOOKUP(AD37,Varsayımlar!B:R,17,0)),"")</f>
        <v>7</v>
      </c>
      <c r="N37" s="75"/>
      <c r="O37" s="75">
        <v>9</v>
      </c>
      <c r="P37" s="75">
        <f>IF(B37="","",VLOOKUP(AD37,Varsayımlar!$B:$Q,7,0)*K37)</f>
        <v>6720</v>
      </c>
      <c r="Q37" s="75">
        <f>IF(B37="","",VLOOKUP(AD37,Varsayımlar!$B:$Q,8,0))</f>
        <v>25</v>
      </c>
      <c r="R37" s="75" t="str">
        <f>IF(B37="","",VLOOKUP(AD37,Varsayımlar!$B:$Q,9,0))</f>
        <v>Irak Soft</v>
      </c>
      <c r="S37" s="75">
        <f>IF(B37="","",VLOOKUP(AD37,Varsayımlar!$B:$Q,10,0))</f>
        <v>10</v>
      </c>
      <c r="T37" s="75">
        <f>IF(B37="","",VLOOKUP(AD37,Varsayımlar!$B:$Q,11,0))</f>
        <v>8</v>
      </c>
      <c r="U37" s="75">
        <f>IF(B37="","",VLOOKUP(AD37,Varsayımlar!$B:$Q,12,0))</f>
        <v>650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/>
      <c r="Y37" s="76"/>
      <c r="Z37" s="75"/>
      <c r="AA37" s="75" t="str">
        <f>IF(B37="","",VLOOKUP(AD37,Varsayımlar!$B:$Q,15,0))</f>
        <v>25cm Perforeli-Bulgarca TB etiket</v>
      </c>
      <c r="AB37" s="75" t="str">
        <f>IF(B37="","",VLOOKUP(AD37,Varsayımlar!$B:$Q,16,0))</f>
        <v>24-26 cm</v>
      </c>
      <c r="AC37" s="75" t="str">
        <f>IF(B37="","",VLOOKUP(Sayfa1!AD63,Varsayımlar!B:S,18,0))</f>
        <v>80x120cm -Epal+Epal</v>
      </c>
      <c r="AD37" s="57" t="str">
        <f t="shared" si="0"/>
        <v>TASTE LAND-BULGARİSTANTortillas 25cm Tam Buğday 10pcs 650g</v>
      </c>
    </row>
    <row r="38" spans="1:30" ht="47.25" x14ac:dyDescent="0.25">
      <c r="A38" s="8" t="s">
        <v>152</v>
      </c>
      <c r="B38" s="75" t="s">
        <v>218</v>
      </c>
      <c r="C38" s="43">
        <f>IF(B38="","",VLOOKUP(AD38,Varsayımlar!$B:$Q,3,0))</f>
        <v>8698829380698</v>
      </c>
      <c r="D38" s="43" t="s">
        <v>161</v>
      </c>
      <c r="E38" s="75" t="s">
        <v>251</v>
      </c>
      <c r="F38" s="75" t="s">
        <v>341</v>
      </c>
      <c r="G38" s="43"/>
      <c r="H38" s="75" t="str">
        <f>IF(B38="","",VLOOKUP(AD38,Varsayımlar!$B:$Q,5,0))</f>
        <v>Tortillas Avrupa 25cm TB (711)</v>
      </c>
      <c r="I38" s="75" t="str">
        <f>IF(B38="","",VLOOKUP(AD38,Varsayımlar!B:T,19,0))</f>
        <v>Barkod üzerine Barkod Etiketi (067)</v>
      </c>
      <c r="J38" s="75" t="str">
        <f>IF(B38="","",VLOOKUP(AD38,Varsayımlar!$B:$Q,6,0))</f>
        <v>Tam Buğdaylı</v>
      </c>
      <c r="K38" s="75">
        <v>84</v>
      </c>
      <c r="L38" s="75"/>
      <c r="M38" s="75">
        <f>IFERROR(IF(B38="","",K38/VLOOKUP(AD38,Varsayımlar!B:R,17,0)),"")</f>
        <v>1</v>
      </c>
      <c r="N38" s="75"/>
      <c r="O38" s="75">
        <v>2</v>
      </c>
      <c r="P38" s="75">
        <f>IF(B38="","",VLOOKUP(AD38,Varsayımlar!$B:$Q,7,0)*K38)</f>
        <v>1512</v>
      </c>
      <c r="Q38" s="75">
        <f>IF(B38="","",VLOOKUP(AD38,Varsayımlar!$B:$Q,8,0))</f>
        <v>25</v>
      </c>
      <c r="R38" s="75" t="str">
        <f>IF(B38="","",VLOOKUP(AD38,Varsayımlar!$B:$Q,9,0))</f>
        <v>Irak Soft</v>
      </c>
      <c r="S38" s="75">
        <f>IF(B38="","",VLOOKUP(AD38,Varsayımlar!$B:$Q,10,0))</f>
        <v>6</v>
      </c>
      <c r="T38" s="75">
        <f>IF(B38="","",VLOOKUP(AD38,Varsayımlar!$B:$Q,11,0))</f>
        <v>18</v>
      </c>
      <c r="U38" s="75">
        <f>IF(B38="","",VLOOKUP(AD38,Varsayımlar!$B:$Q,12,0))</f>
        <v>390</v>
      </c>
      <c r="V38" s="75" t="str">
        <f>IF(B38="","",VLOOKUP(AD38,Varsayımlar!$B:$Q,13,0))</f>
        <v>Yurtdışı</v>
      </c>
      <c r="W38" s="75">
        <f>IF(B38="","",VLOOKUP(AD38,Varsayımlar!$B:$Q,14,0))</f>
        <v>9</v>
      </c>
      <c r="X38" s="76"/>
      <c r="Y38" s="76"/>
      <c r="Z38" s="75"/>
      <c r="AA38" s="75" t="str">
        <f>IF(B38="","",VLOOKUP(AD38,Varsayımlar!$B:$Q,15,0))</f>
        <v>25cm Kırmızı koli-Bulgarca TB Etiket</v>
      </c>
      <c r="AB38" s="75" t="str">
        <f>IF(B38="","",VLOOKUP(AD38,Varsayımlar!$B:$Q,16,0))</f>
        <v>24-26 cm</v>
      </c>
      <c r="AC38" s="75" t="str">
        <f>IF(B38="","",VLOOKUP(Sayfa1!AD64,Varsayımlar!B:S,18,0))</f>
        <v>80x120cm -Epal+Epal</v>
      </c>
      <c r="AD38" s="57" t="str">
        <f t="shared" si="0"/>
        <v>TASTE LAND-BULGARİSTANTortillas 25cm TB 6pcs 390g</v>
      </c>
    </row>
    <row r="39" spans="1:30" ht="47.25" x14ac:dyDescent="0.25">
      <c r="A39" s="8" t="s">
        <v>153</v>
      </c>
      <c r="B39" s="75" t="s">
        <v>218</v>
      </c>
      <c r="C39" s="43">
        <f>IF(B39="","",VLOOKUP(AD39,Varsayımlar!$B:$Q,3,0))</f>
        <v>8698829380698</v>
      </c>
      <c r="D39" s="43" t="s">
        <v>161</v>
      </c>
      <c r="E39" s="75" t="s">
        <v>232</v>
      </c>
      <c r="F39" s="75" t="s">
        <v>341</v>
      </c>
      <c r="G39" s="43"/>
      <c r="H39" s="75" t="str">
        <f>IF(B39="","",VLOOKUP(AD39,Varsayımlar!$B:$Q,5,0))</f>
        <v>Tortillas Avrupa 25cm Domatesli (074)</v>
      </c>
      <c r="I39" s="75">
        <f>IF(B39="","",VLOOKUP(AD39,Varsayımlar!B:T,19,0))</f>
        <v>0</v>
      </c>
      <c r="J39" s="75" t="str">
        <f>IF(B39="","",VLOOKUP(AD39,Varsayımlar!$B:$Q,6,0))</f>
        <v>Domatesli</v>
      </c>
      <c r="K39" s="75">
        <v>240</v>
      </c>
      <c r="L39" s="75"/>
      <c r="M39" s="75">
        <f>IFERROR(IF(B39="","",K39/VLOOKUP(AD39,Varsayımlar!B:R,17,0)),"")</f>
        <v>2</v>
      </c>
      <c r="N39" s="75"/>
      <c r="O39" s="75">
        <v>3</v>
      </c>
      <c r="P39" s="75">
        <f>IF(B39="","",VLOOKUP(AD39,Varsayımlar!$B:$Q,7,0)*K39)</f>
        <v>2880</v>
      </c>
      <c r="Q39" s="75">
        <f>IF(B39="","",VLOOKUP(AD39,Varsayımlar!$B:$Q,8,0))</f>
        <v>25</v>
      </c>
      <c r="R39" s="75" t="str">
        <f>IF(B39="","",VLOOKUP(AD39,Varsayımlar!$B:$Q,9,0))</f>
        <v>Irak Soft</v>
      </c>
      <c r="S39" s="75">
        <f>IF(B39="","",VLOOKUP(AD39,Varsayımlar!$B:$Q,10,0))</f>
        <v>6</v>
      </c>
      <c r="T39" s="75">
        <f>IF(B39="","",VLOOKUP(AD39,Varsayımlar!$B:$Q,11,0))</f>
        <v>12</v>
      </c>
      <c r="U39" s="75">
        <f>IF(B39="","",VLOOKUP(AD39,Varsayımlar!$B:$Q,12,0))</f>
        <v>390</v>
      </c>
      <c r="V39" s="75" t="str">
        <f>IF(B39="","",VLOOKUP(AD39,Varsayımlar!$B:$Q,13,0))</f>
        <v>Yurtdışı</v>
      </c>
      <c r="W39" s="75">
        <f>IF(B39="","",VLOOKUP(AD39,Varsayımlar!$B:$Q,14,0))</f>
        <v>9</v>
      </c>
      <c r="X39" s="76"/>
      <c r="Y39" s="76"/>
      <c r="Z39" s="75"/>
      <c r="AA39" s="75" t="str">
        <f>IF(B39="","",VLOOKUP(AD39,Varsayımlar!$B:$Q,15,0))</f>
        <v>25cm Perforeli-Bulgarca Domatesli etiket</v>
      </c>
      <c r="AB39" s="75" t="str">
        <f>IF(B39="","",VLOOKUP(AD39,Varsayımlar!$B:$Q,16,0))</f>
        <v>24-26 cm</v>
      </c>
      <c r="AC39" s="75" t="str">
        <f>IF(B39="","",VLOOKUP(Sayfa1!AD65,Varsayımlar!B:S,18,0))</f>
        <v>80x120cm -Epal+Epal</v>
      </c>
      <c r="AD39" s="57" t="str">
        <f t="shared" si="0"/>
        <v>TASTE LAND-BULGARİSTANTortillas 25cm Domatesli 6pcs 390g</v>
      </c>
    </row>
    <row r="40" spans="1:30" ht="47.25" x14ac:dyDescent="0.25">
      <c r="A40" s="8" t="s">
        <v>154</v>
      </c>
      <c r="B40" s="75" t="s">
        <v>218</v>
      </c>
      <c r="C40" s="43">
        <f>IF(B40="","",VLOOKUP(AD40,Varsayımlar!$B:$Q,3,0))</f>
        <v>8698829380698</v>
      </c>
      <c r="D40" s="43" t="s">
        <v>161</v>
      </c>
      <c r="E40" s="75" t="s">
        <v>235</v>
      </c>
      <c r="F40" s="75" t="s">
        <v>341</v>
      </c>
      <c r="G40" s="43"/>
      <c r="H40" s="75" t="str">
        <f>IF(B40="","",VLOOKUP(AD40,Varsayımlar!$B:$Q,5,0))</f>
        <v>Tortillas Avrupa 25cm Ispanaklı (081)</v>
      </c>
      <c r="I40" s="75">
        <f>IF(B40="","",VLOOKUP(AD40,Varsayımlar!B:T,19,0))</f>
        <v>0</v>
      </c>
      <c r="J40" s="75" t="str">
        <f>IF(B40="","",VLOOKUP(AD40,Varsayımlar!$B:$Q,6,0))</f>
        <v>Ispanaklı</v>
      </c>
      <c r="K40" s="75">
        <v>240</v>
      </c>
      <c r="L40" s="75"/>
      <c r="M40" s="75">
        <f>IFERROR(IF(B40="","",K40/VLOOKUP(AD40,Varsayımlar!B:R,17,0)),"")</f>
        <v>2</v>
      </c>
      <c r="N40" s="75"/>
      <c r="O40" s="75">
        <v>3</v>
      </c>
      <c r="P40" s="75">
        <f>IF(B40="","",VLOOKUP(AD40,Varsayımlar!$B:$Q,7,0)*K40)</f>
        <v>2880</v>
      </c>
      <c r="Q40" s="75">
        <f>IF(B40="","",VLOOKUP(AD40,Varsayımlar!$B:$Q,8,0))</f>
        <v>25</v>
      </c>
      <c r="R40" s="75" t="str">
        <f>IF(B40="","",VLOOKUP(AD40,Varsayımlar!$B:$Q,9,0))</f>
        <v>Irak Soft</v>
      </c>
      <c r="S40" s="75">
        <f>IF(B40="","",VLOOKUP(AD40,Varsayımlar!$B:$Q,10,0))</f>
        <v>6</v>
      </c>
      <c r="T40" s="75">
        <f>IF(B40="","",VLOOKUP(AD40,Varsayımlar!$B:$Q,11,0))</f>
        <v>12</v>
      </c>
      <c r="U40" s="75">
        <f>IF(B40="","",VLOOKUP(AD40,Varsayımlar!$B:$Q,12,0))</f>
        <v>390</v>
      </c>
      <c r="V40" s="75" t="str">
        <f>IF(B40="","",VLOOKUP(AD40,Varsayımlar!$B:$Q,13,0))</f>
        <v>Yurtdışı</v>
      </c>
      <c r="W40" s="75">
        <f>IF(B40="","",VLOOKUP(AD40,Varsayımlar!$B:$Q,14,0))</f>
        <v>9</v>
      </c>
      <c r="X40" s="76"/>
      <c r="Y40" s="76"/>
      <c r="Z40" s="75"/>
      <c r="AA40" s="75" t="str">
        <f>IF(B40="","",VLOOKUP(AD40,Varsayımlar!$B:$Q,15,0))</f>
        <v>25cm Perforeli-Bulgarca Ispanaklı etiket</v>
      </c>
      <c r="AB40" s="75" t="str">
        <f>IF(B40="","",VLOOKUP(AD40,Varsayımlar!$B:$Q,16,0))</f>
        <v>24-26 cm</v>
      </c>
      <c r="AC40" s="75" t="str">
        <f>IF(B40="","",VLOOKUP(Sayfa1!AD66,Varsayımlar!B:S,18,0))</f>
        <v>80x120cm -Epal+Epal</v>
      </c>
      <c r="AD40" s="57" t="str">
        <f t="shared" si="0"/>
        <v>TASTE LAND-BULGARİSTANTortillas 25cm Ispanaklı 6pcs 390g</v>
      </c>
    </row>
    <row r="41" spans="1:30" ht="47.25" x14ac:dyDescent="0.25">
      <c r="A41" s="8" t="s">
        <v>155</v>
      </c>
      <c r="B41" s="75" t="s">
        <v>218</v>
      </c>
      <c r="C41" s="43">
        <f>IF(B41="","",VLOOKUP(AD41,Varsayımlar!$B:$Q,3,0))</f>
        <v>8698829380698</v>
      </c>
      <c r="D41" s="43" t="s">
        <v>161</v>
      </c>
      <c r="E41" s="75" t="s">
        <v>240</v>
      </c>
      <c r="F41" s="75" t="s">
        <v>341</v>
      </c>
      <c r="G41" s="43"/>
      <c r="H41" s="75" t="str">
        <f>IF(B41="","",VLOOKUP(AD41,Varsayımlar!$B:$Q,5,0))</f>
        <v>Tortillas Avrupa 25cm Peynirli (098)</v>
      </c>
      <c r="I41" s="75">
        <f>IF(B41="","",VLOOKUP(AD41,Varsayımlar!B:T,19,0))</f>
        <v>0</v>
      </c>
      <c r="J41" s="75" t="str">
        <f>IF(B41="","",VLOOKUP(AD41,Varsayımlar!$B:$Q,6,0))</f>
        <v>Peynirli</v>
      </c>
      <c r="K41" s="75">
        <v>120</v>
      </c>
      <c r="L41" s="75"/>
      <c r="M41" s="75">
        <f>IFERROR(IF(B41="","",K41/VLOOKUP(AD41,Varsayımlar!B:R,17,0)),"")</f>
        <v>1</v>
      </c>
      <c r="N41" s="75"/>
      <c r="O41" s="75">
        <v>2</v>
      </c>
      <c r="P41" s="75">
        <f>IF(B41="","",VLOOKUP(AD41,Varsayımlar!$B:$Q,7,0)*K41)</f>
        <v>1440</v>
      </c>
      <c r="Q41" s="75">
        <f>IF(B41="","",VLOOKUP(AD41,Varsayımlar!$B:$Q,8,0))</f>
        <v>25</v>
      </c>
      <c r="R41" s="75" t="str">
        <f>IF(B41="","",VLOOKUP(AD41,Varsayımlar!$B:$Q,9,0))</f>
        <v>Irak Soft-AT</v>
      </c>
      <c r="S41" s="75">
        <f>IF(B41="","",VLOOKUP(AD41,Varsayımlar!$B:$Q,10,0))</f>
        <v>6</v>
      </c>
      <c r="T41" s="75">
        <f>IF(B41="","",VLOOKUP(AD41,Varsayımlar!$B:$Q,11,0))</f>
        <v>12</v>
      </c>
      <c r="U41" s="75">
        <f>IF(B41="","",VLOOKUP(AD41,Varsayımlar!$B:$Q,12,0))</f>
        <v>390</v>
      </c>
      <c r="V41" s="75" t="str">
        <f>IF(B41="","",VLOOKUP(AD41,Varsayımlar!$B:$Q,13,0))</f>
        <v>Yurtdışı</v>
      </c>
      <c r="W41" s="75">
        <f>IF(B41="","",VLOOKUP(AD41,Varsayımlar!$B:$Q,14,0))</f>
        <v>9</v>
      </c>
      <c r="X41" s="76"/>
      <c r="Y41" s="76"/>
      <c r="Z41" s="75"/>
      <c r="AA41" s="75" t="str">
        <f>IF(B41="","",VLOOKUP(AD41,Varsayımlar!$B:$Q,15,0))</f>
        <v>25cm Perforeli-Bulgarca Peynirli etiket</v>
      </c>
      <c r="AB41" s="75" t="str">
        <f>IF(B41="","",VLOOKUP(AD41,Varsayımlar!$B:$Q,16,0))</f>
        <v>24-26 cm</v>
      </c>
      <c r="AC41" s="75" t="str">
        <f>IF(B41="","",VLOOKUP(Sayfa1!AD67,Varsayımlar!B:S,18,0))</f>
        <v>80x120cm -Epal+Epal</v>
      </c>
      <c r="AD41" s="57" t="str">
        <f t="shared" si="0"/>
        <v>TASTE LAND-BULGARİSTANTortillas 25cm Peynirli 6pcs 390g</v>
      </c>
    </row>
    <row r="42" spans="1:30" x14ac:dyDescent="0.25">
      <c r="A42" s="8" t="s">
        <v>156</v>
      </c>
      <c r="B42" s="64"/>
      <c r="C42" s="3" t="str">
        <f>IF(B42="","",VLOOKUP(AD42,Varsayımlar!$B:$Q,3,0))</f>
        <v/>
      </c>
      <c r="D42" s="3"/>
      <c r="E42" s="3"/>
      <c r="F42" s="64"/>
      <c r="G42" s="3"/>
      <c r="H42" s="64" t="str">
        <f>IF(B42="","",VLOOKUP(AD42,Varsayımlar!$B:$Q,5,0))</f>
        <v/>
      </c>
      <c r="I42" s="64" t="str">
        <f>IF(B42="","",VLOOKUP(AD42,Varsayımlar!B:T,19,0))</f>
        <v/>
      </c>
      <c r="J42" s="64" t="str">
        <f>IF(B42="","",VLOOKUP(AD42,Varsayımlar!$B:$Q,6,0))</f>
        <v/>
      </c>
      <c r="K42" s="64"/>
      <c r="L42" s="64"/>
      <c r="M42" s="64" t="str">
        <f>IFERROR(IF(B42="","",K42/VLOOKUP(AD42,Varsayımlar!B:R,17,0)),"")</f>
        <v/>
      </c>
      <c r="N42" s="64"/>
      <c r="O42" s="64"/>
      <c r="P42" s="64" t="str">
        <f>IF(B42="","",VLOOKUP(AD42,Varsayımlar!$B:$Q,7,0)*K42)</f>
        <v/>
      </c>
      <c r="Q42" s="64" t="str">
        <f>IF(B42="","",VLOOKUP(AD42,Varsayımlar!$B:$Q,8,0))</f>
        <v/>
      </c>
      <c r="R42" s="64" t="str">
        <f>IF(B42="","",VLOOKUP(AD42,Varsayımlar!$B:$Q,9,0))</f>
        <v/>
      </c>
      <c r="S42" s="64" t="str">
        <f>IF(B42="","",VLOOKUP(AD42,Varsayımlar!$B:$Q,10,0))</f>
        <v/>
      </c>
      <c r="T42" s="64" t="str">
        <f>IF(B42="","",VLOOKUP(AD42,Varsayımlar!$B:$Q,11,0))</f>
        <v/>
      </c>
      <c r="U42" s="64" t="str">
        <f>IF(B42="","",VLOOKUP(AD42,Varsayımlar!$B:$Q,12,0))</f>
        <v/>
      </c>
      <c r="V42" s="64" t="str">
        <f>IF(B42="","",VLOOKUP(AD42,Varsayımlar!$B:$Q,13,0))</f>
        <v/>
      </c>
      <c r="W42" s="64" t="str">
        <f>IF(B42="","",VLOOKUP(AD42,Varsayımlar!$B:$Q,14,0))</f>
        <v/>
      </c>
      <c r="X42" s="66"/>
      <c r="Y42" s="66"/>
      <c r="Z42" s="64"/>
      <c r="AA42" s="64" t="str">
        <f>IF(B42="","",VLOOKUP(AD42,Varsayımlar!$B:$Q,15,0))</f>
        <v/>
      </c>
      <c r="AB42" s="64" t="str">
        <f>IF(B42="","",VLOOKUP(AD42,Varsayımlar!$B:$Q,16,0))</f>
        <v/>
      </c>
      <c r="AC42" s="64" t="str">
        <f>IF(B42="","",VLOOKUP(Sayfa1!AD43,Varsayımlar!B:S,18,0))</f>
        <v/>
      </c>
      <c r="AD42" s="57" t="str">
        <f t="shared" si="0"/>
        <v/>
      </c>
    </row>
    <row r="43" spans="1:30" x14ac:dyDescent="0.25">
      <c r="A43" s="8" t="s">
        <v>157</v>
      </c>
      <c r="B43" s="64"/>
      <c r="C43" s="3" t="str">
        <f>IF(B43="","",VLOOKUP(AD43,Varsayımlar!$B:$Q,3,0))</f>
        <v/>
      </c>
      <c r="D43" s="3"/>
      <c r="E43" s="3"/>
      <c r="F43" s="64"/>
      <c r="G43" s="3"/>
      <c r="H43" s="64" t="str">
        <f>IF(B43="","",VLOOKUP(AD43,Varsayımlar!$B:$Q,5,0))</f>
        <v/>
      </c>
      <c r="I43" s="64" t="str">
        <f>IF(B43="","",VLOOKUP(AD43,Varsayımlar!B:T,19,0))</f>
        <v/>
      </c>
      <c r="J43" s="64" t="str">
        <f>IF(B43="","",VLOOKUP(AD43,Varsayımlar!$B:$Q,6,0))</f>
        <v/>
      </c>
      <c r="K43" s="64"/>
      <c r="L43" s="64"/>
      <c r="M43" s="64" t="str">
        <f>IFERROR(IF(B43="","",K43/VLOOKUP(AD43,Varsayımlar!B:R,17,0)),"")</f>
        <v/>
      </c>
      <c r="N43" s="64"/>
      <c r="O43" s="64"/>
      <c r="P43" s="64" t="str">
        <f>IF(B43="","",VLOOKUP(AD43,Varsayımlar!$B:$Q,7,0)*K43)</f>
        <v/>
      </c>
      <c r="Q43" s="64" t="str">
        <f>IF(B43="","",VLOOKUP(AD43,Varsayımlar!$B:$Q,8,0))</f>
        <v/>
      </c>
      <c r="R43" s="64" t="str">
        <f>IF(B43="","",VLOOKUP(AD43,Varsayımlar!$B:$Q,9,0))</f>
        <v/>
      </c>
      <c r="S43" s="64" t="str">
        <f>IF(B43="","",VLOOKUP(AD43,Varsayımlar!$B:$Q,10,0))</f>
        <v/>
      </c>
      <c r="T43" s="64" t="str">
        <f>IF(B43="","",VLOOKUP(AD43,Varsayımlar!$B:$Q,11,0))</f>
        <v/>
      </c>
      <c r="U43" s="64" t="str">
        <f>IF(B43="","",VLOOKUP(AD43,Varsayımlar!$B:$Q,12,0))</f>
        <v/>
      </c>
      <c r="V43" s="64" t="str">
        <f>IF(B43="","",VLOOKUP(AD43,Varsayımlar!$B:$Q,13,0))</f>
        <v/>
      </c>
      <c r="W43" s="64" t="str">
        <f>IF(B43="","",VLOOKUP(AD43,Varsayımlar!$B:$Q,14,0))</f>
        <v/>
      </c>
      <c r="X43" s="66"/>
      <c r="Y43" s="66"/>
      <c r="Z43" s="64"/>
      <c r="AA43" s="64" t="str">
        <f>IF(B43="","",VLOOKUP(AD43,Varsayımlar!$B:$Q,15,0))</f>
        <v/>
      </c>
      <c r="AB43" s="64" t="str">
        <f>IF(B43="","",VLOOKUP(AD43,Varsayımlar!$B:$Q,16,0))</f>
        <v/>
      </c>
      <c r="AC43" s="64" t="str">
        <f>IF(B43="","",VLOOKUP(Sayfa1!AD44,Varsayımlar!B:S,18,0))</f>
        <v/>
      </c>
      <c r="AD43" s="57" t="str">
        <f t="shared" si="0"/>
        <v/>
      </c>
    </row>
    <row r="44" spans="1:30" x14ac:dyDescent="0.25">
      <c r="A44" s="8" t="s">
        <v>158</v>
      </c>
      <c r="B44" s="64"/>
      <c r="C44" s="3" t="str">
        <f>IF(B44="","",VLOOKUP(AD44,Varsayımlar!$B:$Q,3,0))</f>
        <v/>
      </c>
      <c r="D44" s="3"/>
      <c r="E44" s="3"/>
      <c r="F44" s="64"/>
      <c r="G44" s="3"/>
      <c r="H44" s="64" t="str">
        <f>IF(B44="","",VLOOKUP(AD44,Varsayımlar!$B:$Q,5,0))</f>
        <v/>
      </c>
      <c r="I44" s="64" t="str">
        <f>IF(B44="","",VLOOKUP(AD44,Varsayımlar!B:T,19,0))</f>
        <v/>
      </c>
      <c r="J44" s="64" t="str">
        <f>IF(B44="","",VLOOKUP(AD44,Varsayımlar!$B:$Q,6,0))</f>
        <v/>
      </c>
      <c r="K44" s="64"/>
      <c r="L44" s="64"/>
      <c r="M44" s="64" t="str">
        <f>IFERROR(IF(B44="","",K44/VLOOKUP(AD44,Varsayımlar!B:R,17,0)),"")</f>
        <v/>
      </c>
      <c r="N44" s="64"/>
      <c r="O44" s="64"/>
      <c r="P44" s="64" t="str">
        <f>IF(B44="","",VLOOKUP(AD44,Varsayımlar!$B:$Q,7,0)*K44)</f>
        <v/>
      </c>
      <c r="Q44" s="64" t="str">
        <f>IF(B44="","",VLOOKUP(AD44,Varsayımlar!$B:$Q,8,0))</f>
        <v/>
      </c>
      <c r="R44" s="64" t="str">
        <f>IF(B44="","",VLOOKUP(AD44,Varsayımlar!$B:$Q,9,0))</f>
        <v/>
      </c>
      <c r="S44" s="64" t="str">
        <f>IF(B44="","",VLOOKUP(AD44,Varsayımlar!$B:$Q,10,0))</f>
        <v/>
      </c>
      <c r="T44" s="64" t="str">
        <f>IF(B44="","",VLOOKUP(AD44,Varsayımlar!$B:$Q,11,0))</f>
        <v/>
      </c>
      <c r="U44" s="64" t="str">
        <f>IF(B44="","",VLOOKUP(AD44,Varsayımlar!$B:$Q,12,0))</f>
        <v/>
      </c>
      <c r="V44" s="64" t="str">
        <f>IF(B44="","",VLOOKUP(AD44,Varsayımlar!$B:$Q,13,0))</f>
        <v/>
      </c>
      <c r="W44" s="64" t="str">
        <f>IF(B44="","",VLOOKUP(AD44,Varsayımlar!$B:$Q,14,0))</f>
        <v/>
      </c>
      <c r="X44" s="66"/>
      <c r="Y44" s="66"/>
      <c r="Z44" s="64"/>
      <c r="AA44" s="64" t="str">
        <f>IF(B44="","",VLOOKUP(AD44,Varsayımlar!$B:$Q,15,0))</f>
        <v/>
      </c>
      <c r="AB44" s="64" t="str">
        <f>IF(B44="","",VLOOKUP(AD44,Varsayımlar!$B:$Q,16,0))</f>
        <v/>
      </c>
      <c r="AC44" s="64" t="str">
        <f>IF(B44="","",VLOOKUP(Sayfa1!AD45,Varsayımlar!B:S,18,0))</f>
        <v/>
      </c>
      <c r="AD44" s="57" t="str">
        <f t="shared" si="0"/>
        <v/>
      </c>
    </row>
    <row r="45" spans="1:30" ht="31.5" customHeight="1" x14ac:dyDescent="0.25">
      <c r="A45" s="182" t="s">
        <v>344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4"/>
      <c r="AC45" s="38"/>
    </row>
    <row r="46" spans="1:30" ht="63" x14ac:dyDescent="0.25">
      <c r="A46" s="8" t="s">
        <v>0</v>
      </c>
      <c r="B46" s="8" t="s">
        <v>1</v>
      </c>
      <c r="C46" s="9" t="s">
        <v>31</v>
      </c>
      <c r="D46" s="9" t="s">
        <v>124</v>
      </c>
      <c r="E46" s="9" t="s">
        <v>36</v>
      </c>
      <c r="F46" s="8" t="s">
        <v>37</v>
      </c>
      <c r="G46" s="8" t="s">
        <v>13</v>
      </c>
      <c r="H46" s="8" t="s">
        <v>2</v>
      </c>
      <c r="I46" s="8" t="s">
        <v>49</v>
      </c>
      <c r="J46" s="8" t="s">
        <v>3</v>
      </c>
      <c r="K46" s="8" t="s">
        <v>21</v>
      </c>
      <c r="L46" s="8" t="s">
        <v>94</v>
      </c>
      <c r="M46" s="8" t="s">
        <v>20</v>
      </c>
      <c r="N46" s="8" t="s">
        <v>165</v>
      </c>
      <c r="O46" s="8" t="s">
        <v>123</v>
      </c>
      <c r="P46" s="8" t="s">
        <v>16</v>
      </c>
      <c r="Q46" s="8" t="s">
        <v>4</v>
      </c>
      <c r="R46" s="8" t="s">
        <v>5</v>
      </c>
      <c r="S46" s="8" t="s">
        <v>6</v>
      </c>
      <c r="T46" s="8" t="s">
        <v>28</v>
      </c>
      <c r="U46" s="8" t="s">
        <v>7</v>
      </c>
      <c r="V46" s="8" t="s">
        <v>8</v>
      </c>
      <c r="W46" s="8" t="s">
        <v>267</v>
      </c>
      <c r="X46" s="8" t="s">
        <v>10</v>
      </c>
      <c r="Y46" s="8" t="s">
        <v>11</v>
      </c>
      <c r="Z46" s="8" t="s">
        <v>12</v>
      </c>
      <c r="AA46" s="8" t="s">
        <v>14</v>
      </c>
      <c r="AB46" s="8" t="s">
        <v>15</v>
      </c>
      <c r="AC46" s="8" t="s">
        <v>208</v>
      </c>
      <c r="AD46" s="7" t="s">
        <v>41</v>
      </c>
    </row>
    <row r="47" spans="1:30" ht="45.75" customHeight="1" x14ac:dyDescent="0.25">
      <c r="A47" s="8" t="s">
        <v>26</v>
      </c>
      <c r="B47" s="130" t="s">
        <v>119</v>
      </c>
      <c r="C47" s="131">
        <f>IF(B47="","",VLOOKUP(AD47,Varsayımlar!$B:$Q,3,0))</f>
        <v>8698829380698</v>
      </c>
      <c r="D47" s="131"/>
      <c r="E47" s="132" t="s">
        <v>120</v>
      </c>
      <c r="F47" s="130"/>
      <c r="G47" s="130"/>
      <c r="H47" s="130" t="str">
        <f>IF(B47="","",VLOOKUP(AD47,Varsayımlar!$B:$Q,5,0))</f>
        <v>Nimet 25 cm</v>
      </c>
      <c r="I47" s="130"/>
      <c r="J47" s="130" t="str">
        <f>IF(B47="","",VLOOKUP(AD47,Varsayımlar!$B:$Q,6,0))</f>
        <v>SADE</v>
      </c>
      <c r="K47" s="130">
        <v>4000</v>
      </c>
      <c r="L47" s="130"/>
      <c r="M47" s="130">
        <f>IFERROR(IF(B47="","",K47/VLOOKUP(AD47,Varsayımlar!B:R,17,0)),"")</f>
        <v>80</v>
      </c>
      <c r="N47" s="130"/>
      <c r="O47" s="130">
        <v>60</v>
      </c>
      <c r="P47" s="130">
        <f>IF(B47="","",VLOOKUP(AD47,Varsayımlar!$B:$Q,7,0)*K47)</f>
        <v>48000</v>
      </c>
      <c r="Q47" s="130">
        <f>IF(B47="","",VLOOKUP(AD47,Varsayımlar!$B:$Q,8,0))</f>
        <v>25</v>
      </c>
      <c r="R47" s="130" t="str">
        <f>IF(B47="","",VLOOKUP(AD47,Varsayımlar!$B:$Q,9,0))</f>
        <v>Standart</v>
      </c>
      <c r="S47" s="130">
        <f>IF(B47="","",VLOOKUP(AD47,Varsayımlar!$B:$Q,10,0))</f>
        <v>12</v>
      </c>
      <c r="T47" s="130">
        <f>IF(B47="","",VLOOKUP(AD47,Varsayımlar!$B:$Q,11,0))</f>
        <v>12</v>
      </c>
      <c r="U47" s="130">
        <f>IF(B47="","",VLOOKUP(AD47,Varsayımlar!$B:$Q,12,0))</f>
        <v>840</v>
      </c>
      <c r="V47" s="130" t="str">
        <f>IF(B47="","",VLOOKUP(AD47,Varsayımlar!$B:$Q,13,0))</f>
        <v>YURTİÇİ</v>
      </c>
      <c r="W47" s="130">
        <f>IF(B47="","",VLOOKUP(AD47,Varsayımlar!$B:$Q,14,0))</f>
        <v>5</v>
      </c>
      <c r="X47" s="133" t="s">
        <v>113</v>
      </c>
      <c r="Y47" s="133" t="s">
        <v>113</v>
      </c>
      <c r="Z47" s="130" t="s">
        <v>113</v>
      </c>
      <c r="AA47" s="130" t="str">
        <f>IF(B47="","",VLOOKUP(AD47,Varsayımlar!$B:$Q,15,0))</f>
        <v>Nimet Kolisi</v>
      </c>
      <c r="AB47" s="130" t="str">
        <f>IF(B47="","",VLOOKUP(AD47,Varsayımlar!$B:$Q,16,0))</f>
        <v>24-26 CM</v>
      </c>
      <c r="AC47" s="64" t="s">
        <v>360</v>
      </c>
      <c r="AD47" s="57" t="str">
        <f>IF(B47="","",CONCATENATE(B47,E47))</f>
        <v>A101Nimet 25cm 12 pcs 840g</v>
      </c>
    </row>
    <row r="48" spans="1:30" ht="33" customHeight="1" x14ac:dyDescent="0.25">
      <c r="A48" s="8" t="s">
        <v>77</v>
      </c>
      <c r="B48" s="3" t="s">
        <v>64</v>
      </c>
      <c r="C48" s="3">
        <f>IF(B48="","",VLOOKUP(AD48,Varsayımlar!$B:$Q,3,0))</f>
        <v>8698829380698</v>
      </c>
      <c r="D48" s="3"/>
      <c r="E48" s="3" t="s">
        <v>108</v>
      </c>
      <c r="F48" s="3">
        <v>31</v>
      </c>
      <c r="G48" s="3"/>
      <c r="H48" s="3" t="str">
        <f>IF(B48="","",VLOOKUP(AD48,Varsayımlar!$B:$Q,5,0))</f>
        <v>Kırmızı Tortillas 25 cm</v>
      </c>
      <c r="I48" s="3">
        <f>IF(B48="","",VLOOKUP(AD48,Varsayımlar!B:T,19,0))</f>
        <v>0</v>
      </c>
      <c r="J48" s="3" t="str">
        <f>IF(B48="","",VLOOKUP(AD48,Varsayımlar!$B:$Q,6,0))</f>
        <v>SADE</v>
      </c>
      <c r="K48" s="3">
        <v>924</v>
      </c>
      <c r="L48" s="3"/>
      <c r="M48" s="3">
        <f>IFERROR(IF(B48="","",K48/VLOOKUP(AD48,Varsayımlar!B:R,17,0)),"")</f>
        <v>11</v>
      </c>
      <c r="N48" s="3"/>
      <c r="O48" s="3">
        <v>14</v>
      </c>
      <c r="P48" s="3">
        <f>IF(B48="","",VLOOKUP(AD48,Varsayımlar!$B:$Q,7,0)*K48)</f>
        <v>27720</v>
      </c>
      <c r="Q48" s="3">
        <f>IF(B48="","",VLOOKUP(AD48,Varsayımlar!$B:$Q,8,0))</f>
        <v>25</v>
      </c>
      <c r="R48" s="3" t="str">
        <f>IF(B48="","",VLOOKUP(AD48,Varsayımlar!$B:$Q,9,0))</f>
        <v>Soft</v>
      </c>
      <c r="S48" s="3">
        <f>IF(B48="","",VLOOKUP(AD48,Varsayımlar!$B:$Q,10,0))</f>
        <v>4</v>
      </c>
      <c r="T48" s="3">
        <f>IF(B48="","",VLOOKUP(AD48,Varsayımlar!$B:$Q,11,0))</f>
        <v>30</v>
      </c>
      <c r="U48" s="3">
        <f>IF(B48="","",VLOOKUP(AD48,Varsayımlar!$B:$Q,12,0))</f>
        <v>250</v>
      </c>
      <c r="V48" s="3" t="str">
        <f>IF(B48="","",VLOOKUP(AD48,Varsayımlar!$B:$Q,13,0))</f>
        <v>Yurtdışı</v>
      </c>
      <c r="W48" s="3">
        <f>IF(B48="","",VLOOKUP(AD48,Varsayımlar!$B:$Q,14,0))</f>
        <v>9</v>
      </c>
      <c r="X48" s="66">
        <v>46196</v>
      </c>
      <c r="Y48" s="66">
        <v>46469</v>
      </c>
      <c r="Z48" s="3">
        <v>26062325</v>
      </c>
      <c r="AA48" s="3" t="str">
        <f>IF(B48="","",VLOOKUP(AD48,Varsayımlar!$B:$Q,15,0))</f>
        <v>Kırmızı Koli- Üretim Tarihi Etiketli</v>
      </c>
      <c r="AB48" s="3" t="str">
        <f>IF(B48="","",VLOOKUP(AD48,Varsayımlar!$B:$Q,16,0))</f>
        <v>24-26 CM</v>
      </c>
      <c r="AC48" s="67" t="str">
        <f>IF(B48="","",VLOOKUP(Sayfa1!AD58,Varsayımlar!B:S,18,0))</f>
        <v>80x120cm -Epal+Epal</v>
      </c>
      <c r="AD48" s="57" t="str">
        <f t="shared" ref="AD48:AD55" si="1">IF(B48="","",CONCATENATE(B48,E48))</f>
        <v>SMART LLCKırmızı tortillas 25cm 4 lü 250g</v>
      </c>
    </row>
    <row r="49" spans="1:30" ht="47.25" x14ac:dyDescent="0.25">
      <c r="A49" s="8" t="s">
        <v>78</v>
      </c>
      <c r="B49" s="67" t="s">
        <v>268</v>
      </c>
      <c r="C49" s="42">
        <f>IF(B49="","",VLOOKUP(AD49,Varsayımlar!$B:$Q,3,0))</f>
        <v>8698829380698</v>
      </c>
      <c r="D49" s="42" t="s">
        <v>159</v>
      </c>
      <c r="E49" s="67" t="s">
        <v>342</v>
      </c>
      <c r="F49" s="67">
        <v>20250825</v>
      </c>
      <c r="G49" s="42" t="s">
        <v>68</v>
      </c>
      <c r="H49" s="67" t="str">
        <f>IF(B49="","",VLOOKUP(AD49,Varsayımlar!$B:$Q,5,0))</f>
        <v>Tortillas 25cm Sade</v>
      </c>
      <c r="I49" s="67">
        <f>IF(B49="","",VLOOKUP(AD49,Varsayımlar!B:T,19,0))</f>
        <v>0</v>
      </c>
      <c r="J49" s="67" t="str">
        <f>IF(B49="","",VLOOKUP(AD49,Varsayımlar!$B:$Q,6,0))</f>
        <v>SADE</v>
      </c>
      <c r="K49" s="67">
        <v>672</v>
      </c>
      <c r="L49" s="67"/>
      <c r="M49" s="67">
        <f>IFERROR(IF(B49="","",K49/VLOOKUP(AD49,Varsayımlar!B:R,17,0)),"")</f>
        <v>8</v>
      </c>
      <c r="N49" s="67"/>
      <c r="O49" s="67">
        <v>10</v>
      </c>
      <c r="P49" s="67">
        <f>IF(B49="","",VLOOKUP(AD49,Varsayımlar!$B:$Q,7,0)*K49)</f>
        <v>20160</v>
      </c>
      <c r="Q49" s="67">
        <f>IF(B49="","",VLOOKUP(AD49,Varsayımlar!$B:$Q,8,0))</f>
        <v>25</v>
      </c>
      <c r="R49" s="67" t="str">
        <f>IF(B49="","",VLOOKUP(AD49,Varsayımlar!$B:$Q,9,0))</f>
        <v>Soft-PA3</v>
      </c>
      <c r="S49" s="67">
        <f>IF(B49="","",VLOOKUP(AD49,Varsayımlar!$B:$Q,10,0))</f>
        <v>4</v>
      </c>
      <c r="T49" s="67">
        <f>IF(B49="","",VLOOKUP(AD49,Varsayımlar!$B:$Q,11,0))</f>
        <v>30</v>
      </c>
      <c r="U49" s="67">
        <f>IF(B49="","",VLOOKUP(AD49,Varsayımlar!$B:$Q,12,0))</f>
        <v>240</v>
      </c>
      <c r="V49" s="67" t="str">
        <f>IF(B49="","",VLOOKUP(AD49,Varsayımlar!$B:$Q,13,0))</f>
        <v>Yurtdışı</v>
      </c>
      <c r="W49" s="67">
        <f>IF(B49="","",VLOOKUP(AD49,Varsayımlar!$B:$Q,14,0))</f>
        <v>12</v>
      </c>
      <c r="X49" s="69">
        <v>46199</v>
      </c>
      <c r="Y49" s="69">
        <v>46564</v>
      </c>
      <c r="Z49" s="67">
        <v>26062625</v>
      </c>
      <c r="AA49" s="67" t="str">
        <f>IF(B49="","",VLOOKUP(AD49,Varsayımlar!$B:$Q,15,0))</f>
        <v>25cm Kolisi-Etiketli</v>
      </c>
      <c r="AB49" s="67" t="str">
        <f>IF(B49="","",VLOOKUP(AD49,Varsayımlar!$B:$Q,16,0))</f>
        <v>24-26 cm (Macca Hetto Inkjet Uzun Tarih)</v>
      </c>
      <c r="AC49" s="67" t="str">
        <f>IF(B49="","",VLOOKUP(Sayfa1!AD22,Varsayımlar!B:S,18,0))</f>
        <v>80x120cm</v>
      </c>
      <c r="AD49" s="57" t="str">
        <f t="shared" si="1"/>
        <v>LAIKYUZHN-BELARUSTortillas 25cm Sade 4pcs 240g</v>
      </c>
    </row>
    <row r="50" spans="1:30" ht="63" x14ac:dyDescent="0.25">
      <c r="A50" s="8" t="s">
        <v>79</v>
      </c>
      <c r="B50" s="62" t="s">
        <v>181</v>
      </c>
      <c r="C50" s="32">
        <f>IF(B50="","",VLOOKUP(AD50,Varsayımlar!$B:$Q,3,0))</f>
        <v>8698829380698</v>
      </c>
      <c r="D50" s="32"/>
      <c r="E50" s="62" t="s">
        <v>187</v>
      </c>
      <c r="F50" s="62">
        <v>26060101</v>
      </c>
      <c r="G50" s="32"/>
      <c r="H50" s="62" t="str">
        <f>IF(B50="","",VLOOKUP(AD50,Varsayımlar!$B:$Q,5,0))</f>
        <v>Tortillove 25cm</v>
      </c>
      <c r="I50" s="62" t="str">
        <f>IF(B50="","",VLOOKUP(AD50,Varsayımlar!B:T,19,0))</f>
        <v>Barkod üzerine Arnavutça içerik+Barkod-Tortillove</v>
      </c>
      <c r="J50" s="62" t="str">
        <f>IF(B50="","",VLOOKUP(AD50,Varsayımlar!$B:$Q,6,0))</f>
        <v>SADE</v>
      </c>
      <c r="K50" s="62">
        <v>168</v>
      </c>
      <c r="L50" s="62"/>
      <c r="M50" s="62">
        <f>IFERROR(IF(B50="","",K50/VLOOKUP(AD50,Varsayımlar!B:R,17,0)),"")</f>
        <v>2</v>
      </c>
      <c r="N50" s="62"/>
      <c r="O50" s="62">
        <v>2</v>
      </c>
      <c r="P50" s="62">
        <f>IF(B50="","",VLOOKUP(AD50,Varsayımlar!$B:$Q,7,0)*K50)</f>
        <v>3024</v>
      </c>
      <c r="Q50" s="62">
        <f>IF(B50="","",VLOOKUP(AD50,Varsayımlar!$B:$Q,8,0))</f>
        <v>25</v>
      </c>
      <c r="R50" s="62" t="str">
        <f>IF(B50="","",VLOOKUP(AD50,Varsayımlar!$B:$Q,9,0))</f>
        <v>Irak Soft</v>
      </c>
      <c r="S50" s="62">
        <f>IF(B50="","",VLOOKUP(AD50,Varsayımlar!$B:$Q,10,0))</f>
        <v>6</v>
      </c>
      <c r="T50" s="62">
        <f>IF(B50="","",VLOOKUP(AD50,Varsayımlar!$B:$Q,11,0))</f>
        <v>18</v>
      </c>
      <c r="U50" s="62">
        <f>IF(B50="","",VLOOKUP(AD50,Varsayımlar!$B:$Q,12,0))</f>
        <v>390</v>
      </c>
      <c r="V50" s="62" t="str">
        <f>IF(B50="","",VLOOKUP(AD50,Varsayımlar!$B:$Q,13,0))</f>
        <v>Yurtdışı</v>
      </c>
      <c r="W50" s="62">
        <f>IF(B50="","",VLOOKUP(AD50,Varsayımlar!$B:$Q,14,0))</f>
        <v>12</v>
      </c>
      <c r="X50" s="63">
        <v>46200</v>
      </c>
      <c r="Y50" s="63">
        <v>46565</v>
      </c>
      <c r="Z50" s="62">
        <v>26062725</v>
      </c>
      <c r="AA50" s="62" t="str">
        <f>IF(B50="","",VLOOKUP(AD50,Varsayımlar!$B:$Q,15,0))</f>
        <v>25cm Koli - Tortillove 390g Etiketli</v>
      </c>
      <c r="AB50" s="62" t="str">
        <f>IF(B50="","",VLOOKUP(AD50,Varsayımlar!$B:$Q,16,0))</f>
        <v>24-26 cm</v>
      </c>
      <c r="AC50" s="62">
        <f>IF(B50="","",VLOOKUP(Sayfa1!AD31,Varsayımlar!B:S,18,0))</f>
        <v>0</v>
      </c>
      <c r="AD50" s="57" t="str">
        <f t="shared" si="1"/>
        <v>ALDİ - KOSOVATortillove 25cm 6pcs 390g</v>
      </c>
    </row>
    <row r="51" spans="1:30" ht="63" x14ac:dyDescent="0.25">
      <c r="A51" s="8" t="s">
        <v>80</v>
      </c>
      <c r="B51" s="62" t="s">
        <v>181</v>
      </c>
      <c r="C51" s="32">
        <f>IF(B51="","",VLOOKUP(AD51,Varsayımlar!$B:$Q,3,0))</f>
        <v>8698829380698</v>
      </c>
      <c r="D51" s="32"/>
      <c r="E51" s="62" t="s">
        <v>189</v>
      </c>
      <c r="F51" s="62">
        <v>26060101</v>
      </c>
      <c r="G51" s="32"/>
      <c r="H51" s="62" t="str">
        <f>IF(B51="","",VLOOKUP(AD51,Varsayımlar!$B:$Q,5,0))</f>
        <v>Tortillas 25cm</v>
      </c>
      <c r="I51" s="62" t="str">
        <f>IF(B51="","",VLOOKUP(AD51,Varsayımlar!B:T,19,0))</f>
        <v>Barkod üzerine Arnavutça içerik+Barkod-Tortillas</v>
      </c>
      <c r="J51" s="62" t="str">
        <f>IF(B51="","",VLOOKUP(AD51,Varsayımlar!$B:$Q,6,0))</f>
        <v>SADE</v>
      </c>
      <c r="K51" s="62">
        <v>84</v>
      </c>
      <c r="L51" s="62"/>
      <c r="M51" s="62">
        <f>IFERROR(IF(B51="","",K51/VLOOKUP(AD51,Varsayımlar!B:R,17,0)),"")</f>
        <v>1</v>
      </c>
      <c r="N51" s="62"/>
      <c r="O51" s="62">
        <v>1</v>
      </c>
      <c r="P51" s="62">
        <f>IF(B51="","",VLOOKUP(AD51,Varsayımlar!$B:$Q,7,0)*K51)</f>
        <v>1512</v>
      </c>
      <c r="Q51" s="62">
        <f>IF(B51="","",VLOOKUP(AD51,Varsayımlar!$B:$Q,8,0))</f>
        <v>25</v>
      </c>
      <c r="R51" s="62" t="str">
        <f>IF(B51="","",VLOOKUP(AD51,Varsayımlar!$B:$Q,9,0))</f>
        <v>Irak Soft</v>
      </c>
      <c r="S51" s="62">
        <f>IF(B51="","",VLOOKUP(AD51,Varsayımlar!$B:$Q,10,0))</f>
        <v>6</v>
      </c>
      <c r="T51" s="62">
        <f>IF(B51="","",VLOOKUP(AD51,Varsayımlar!$B:$Q,11,0))</f>
        <v>18</v>
      </c>
      <c r="U51" s="62">
        <f>IF(B51="","",VLOOKUP(AD51,Varsayımlar!$B:$Q,12,0))</f>
        <v>390</v>
      </c>
      <c r="V51" s="62" t="str">
        <f>IF(B51="","",VLOOKUP(AD51,Varsayımlar!$B:$Q,13,0))</f>
        <v>Yurtdışı</v>
      </c>
      <c r="W51" s="62">
        <f>IF(B51="","",VLOOKUP(AD51,Varsayımlar!$B:$Q,14,0))</f>
        <v>12</v>
      </c>
      <c r="X51" s="63">
        <v>46200</v>
      </c>
      <c r="Y51" s="63">
        <v>46565</v>
      </c>
      <c r="Z51" s="62">
        <v>26062725</v>
      </c>
      <c r="AA51" s="62" t="str">
        <f>IF(B51="","",VLOOKUP(AD51,Varsayımlar!$B:$Q,15,0))</f>
        <v>25cm Koli - Tortillas 390g Etiketli</v>
      </c>
      <c r="AB51" s="62" t="str">
        <f>IF(B51="","",VLOOKUP(AD51,Varsayımlar!$B:$Q,16,0))</f>
        <v>24-26 cm</v>
      </c>
      <c r="AC51" s="62">
        <f>IF(B51="","",VLOOKUP(Sayfa1!AD32,Varsayımlar!B:S,18,0))</f>
        <v>0</v>
      </c>
      <c r="AD51" s="57" t="str">
        <f t="shared" si="1"/>
        <v>ALDİ - KOSOVATortillas 25cm 6pcs 390g</v>
      </c>
    </row>
    <row r="52" spans="1:30" ht="47.25" x14ac:dyDescent="0.25">
      <c r="A52" s="8" t="s">
        <v>81</v>
      </c>
      <c r="B52" s="62" t="s">
        <v>181</v>
      </c>
      <c r="C52" s="32">
        <f>IF(B52="","",VLOOKUP(AD52,Varsayımlar!$B:$Q,3,0))</f>
        <v>8698829380698</v>
      </c>
      <c r="D52" s="32"/>
      <c r="E52" s="62" t="s">
        <v>192</v>
      </c>
      <c r="F52" s="62">
        <v>26060101</v>
      </c>
      <c r="G52" s="32"/>
      <c r="H52" s="62" t="str">
        <f>IF(B52="","",VLOOKUP(AD52,Varsayımlar!$B:$Q,5,0))</f>
        <v>Tortillove 25cm</v>
      </c>
      <c r="I52" s="62" t="str">
        <f>IF(B52="","",VLOOKUP(AD52,Varsayımlar!B:T,19,0))</f>
        <v>Arka kısma Arnavutça içerik-Tortillove</v>
      </c>
      <c r="J52" s="62" t="str">
        <f>IF(B52="","",VLOOKUP(AD52,Varsayımlar!$B:$Q,6,0))</f>
        <v>SADE</v>
      </c>
      <c r="K52" s="62">
        <v>168</v>
      </c>
      <c r="L52" s="62"/>
      <c r="M52" s="62">
        <f>IFERROR(IF(B52="","",K52/VLOOKUP(AD52,Varsayımlar!B:R,17,0)),"")</f>
        <v>2</v>
      </c>
      <c r="N52" s="62"/>
      <c r="O52" s="62">
        <v>2</v>
      </c>
      <c r="P52" s="62">
        <f>IF(B52="","",VLOOKUP(AD52,Varsayımlar!$B:$Q,7,0)*K52)</f>
        <v>2016</v>
      </c>
      <c r="Q52" s="62">
        <f>IF(B52="","",VLOOKUP(AD52,Varsayımlar!$B:$Q,8,0))</f>
        <v>25</v>
      </c>
      <c r="R52" s="62" t="str">
        <f>IF(B52="","",VLOOKUP(AD52,Varsayımlar!$B:$Q,9,0))</f>
        <v>Irak Soft</v>
      </c>
      <c r="S52" s="62">
        <f>IF(B52="","",VLOOKUP(AD52,Varsayımlar!$B:$Q,10,0))</f>
        <v>10</v>
      </c>
      <c r="T52" s="62">
        <f>IF(B52="","",VLOOKUP(AD52,Varsayımlar!$B:$Q,11,0))</f>
        <v>12</v>
      </c>
      <c r="U52" s="62">
        <f>IF(B52="","",VLOOKUP(AD52,Varsayımlar!$B:$Q,12,0))</f>
        <v>650</v>
      </c>
      <c r="V52" s="62" t="str">
        <f>IF(B52="","",VLOOKUP(AD52,Varsayımlar!$B:$Q,13,0))</f>
        <v>Yurtdışı</v>
      </c>
      <c r="W52" s="62">
        <f>IF(B52="","",VLOOKUP(AD52,Varsayımlar!$B:$Q,14,0))</f>
        <v>12</v>
      </c>
      <c r="X52" s="63">
        <v>46200</v>
      </c>
      <c r="Y52" s="63">
        <v>46565</v>
      </c>
      <c r="Z52" s="62">
        <v>26062725</v>
      </c>
      <c r="AA52" s="62" t="str">
        <f>IF(B52="","",VLOOKUP(AD52,Varsayımlar!$B:$Q,15,0))</f>
        <v>25cm Koli - Tortillove 650g Etiketli</v>
      </c>
      <c r="AB52" s="62" t="str">
        <f>IF(B52="","",VLOOKUP(AD52,Varsayımlar!$B:$Q,16,0))</f>
        <v>24-26 cm</v>
      </c>
      <c r="AC52" s="62">
        <f>IF(B52="","",VLOOKUP(Sayfa1!AD33,Varsayımlar!B:S,18,0))</f>
        <v>0</v>
      </c>
      <c r="AD52" s="57" t="str">
        <f t="shared" si="1"/>
        <v>ALDİ - KOSOVATortillove 25cm 10pcs 650g</v>
      </c>
    </row>
    <row r="53" spans="1:30" ht="47.25" x14ac:dyDescent="0.25">
      <c r="A53" s="8" t="s">
        <v>82</v>
      </c>
      <c r="B53" s="62" t="s">
        <v>181</v>
      </c>
      <c r="C53" s="32">
        <f>IF(B53="","",VLOOKUP(AD53,Varsayımlar!$B:$Q,3,0))</f>
        <v>8698829380698</v>
      </c>
      <c r="D53" s="32"/>
      <c r="E53" s="62" t="s">
        <v>193</v>
      </c>
      <c r="F53" s="62">
        <v>26060101</v>
      </c>
      <c r="G53" s="32"/>
      <c r="H53" s="62" t="str">
        <f>IF(B53="","",VLOOKUP(AD53,Varsayımlar!$B:$Q,5,0))</f>
        <v>Tortillas 25cm</v>
      </c>
      <c r="I53" s="62" t="str">
        <f>IF(B53="","",VLOOKUP(AD53,Varsayımlar!B:T,19,0))</f>
        <v>Arka kısma Arnavutça içerik-Tortillas</v>
      </c>
      <c r="J53" s="62" t="str">
        <f>IF(B53="","",VLOOKUP(AD53,Varsayımlar!$B:$Q,6,0))</f>
        <v>SADE</v>
      </c>
      <c r="K53" s="62">
        <v>84</v>
      </c>
      <c r="L53" s="62"/>
      <c r="M53" s="62">
        <f>IFERROR(IF(B53="","",K53/VLOOKUP(AD53,Varsayımlar!B:R,17,0)),"")</f>
        <v>1</v>
      </c>
      <c r="N53" s="62"/>
      <c r="O53" s="62">
        <v>2</v>
      </c>
      <c r="P53" s="62">
        <f>IF(B53="","",VLOOKUP(AD53,Varsayımlar!$B:$Q,7,0)*K53)</f>
        <v>1008</v>
      </c>
      <c r="Q53" s="62">
        <f>IF(B53="","",VLOOKUP(AD53,Varsayımlar!$B:$Q,8,0))</f>
        <v>25</v>
      </c>
      <c r="R53" s="62" t="str">
        <f>IF(B53="","",VLOOKUP(AD53,Varsayımlar!$B:$Q,9,0))</f>
        <v>Irak Soft</v>
      </c>
      <c r="S53" s="62">
        <f>IF(B53="","",VLOOKUP(AD53,Varsayımlar!$B:$Q,10,0))</f>
        <v>10</v>
      </c>
      <c r="T53" s="62">
        <f>IF(B53="","",VLOOKUP(AD53,Varsayımlar!$B:$Q,11,0))</f>
        <v>12</v>
      </c>
      <c r="U53" s="62">
        <f>IF(B53="","",VLOOKUP(AD53,Varsayımlar!$B:$Q,12,0))</f>
        <v>650</v>
      </c>
      <c r="V53" s="62" t="str">
        <f>IF(B53="","",VLOOKUP(AD53,Varsayımlar!$B:$Q,13,0))</f>
        <v>Yurtdışı</v>
      </c>
      <c r="W53" s="62">
        <f>IF(B53="","",VLOOKUP(AD53,Varsayımlar!$B:$Q,14,0))</f>
        <v>12</v>
      </c>
      <c r="X53" s="63">
        <v>46200</v>
      </c>
      <c r="Y53" s="63">
        <v>46565</v>
      </c>
      <c r="Z53" s="62">
        <v>26062725</v>
      </c>
      <c r="AA53" s="62" t="str">
        <f>IF(B53="","",VLOOKUP(AD53,Varsayımlar!$B:$Q,15,0))</f>
        <v>25cm Koli - Tortillas 650g Etiketli</v>
      </c>
      <c r="AB53" s="62" t="str">
        <f>IF(B53="","",VLOOKUP(AD53,Varsayımlar!$B:$Q,16,0))</f>
        <v>24-26 cm</v>
      </c>
      <c r="AC53" s="62">
        <f>IF(B53="","",VLOOKUP(Sayfa1!AD34,Varsayımlar!B:S,18,0))</f>
        <v>0</v>
      </c>
      <c r="AD53" s="57" t="str">
        <f t="shared" si="1"/>
        <v>ALDİ - KOSOVATortillas 25cm 10pcs 650g</v>
      </c>
    </row>
    <row r="54" spans="1:30" ht="31.5" x14ac:dyDescent="0.25">
      <c r="A54" s="8" t="s">
        <v>83</v>
      </c>
      <c r="B54" s="64" t="s">
        <v>288</v>
      </c>
      <c r="C54" s="3">
        <f>IF(B54="","",VLOOKUP(AD54,Varsayımlar!$B:$Q,3,0))</f>
        <v>8698829380698</v>
      </c>
      <c r="D54" s="3"/>
      <c r="E54" s="64" t="s">
        <v>292</v>
      </c>
      <c r="F54" s="64">
        <v>20201016</v>
      </c>
      <c r="G54" s="3" t="s">
        <v>68</v>
      </c>
      <c r="H54" s="64" t="str">
        <f>IF(B54="","",VLOOKUP(AD54,Varsayımlar!$B:$Q,5,0))</f>
        <v>Kırmızı Tortillas 25cm Sade</v>
      </c>
      <c r="I54" s="64" t="str">
        <f>IF(B54="","",VLOOKUP(AD54,Varsayımlar!B:T,19,0))</f>
        <v>Arka kısma İçerik</v>
      </c>
      <c r="J54" s="64" t="str">
        <f>IF(B54="","",VLOOKUP(AD54,Varsayımlar!$B:$Q,6,0))</f>
        <v>SADE</v>
      </c>
      <c r="K54" s="64">
        <v>250</v>
      </c>
      <c r="L54" s="64"/>
      <c r="M54" s="64">
        <f>IFERROR(IF(B54="","",K54/VLOOKUP(AD54,Varsayımlar!B:R,17,0)),"")</f>
        <v>5</v>
      </c>
      <c r="N54" s="64"/>
      <c r="O54" s="64">
        <v>4</v>
      </c>
      <c r="P54" s="64">
        <f>IF(B54="","",VLOOKUP(AD54,Varsayımlar!$B:$Q,7,0)*K54)</f>
        <v>4500</v>
      </c>
      <c r="Q54" s="64">
        <f>IF(B54="","",VLOOKUP(AD54,Varsayımlar!$B:$Q,8,0))</f>
        <v>25</v>
      </c>
      <c r="R54" s="64" t="str">
        <f>IF(B54="","",VLOOKUP(AD54,Varsayımlar!$B:$Q,9,0))</f>
        <v>Irak Soft</v>
      </c>
      <c r="S54" s="64">
        <f>IF(B54="","",VLOOKUP(AD54,Varsayımlar!$B:$Q,10,0))</f>
        <v>6</v>
      </c>
      <c r="T54" s="64">
        <f>IF(B54="","",VLOOKUP(AD54,Varsayımlar!$B:$Q,11,0))</f>
        <v>18</v>
      </c>
      <c r="U54" s="64">
        <f>IF(B54="","",VLOOKUP(AD54,Varsayımlar!$B:$Q,12,0))</f>
        <v>390</v>
      </c>
      <c r="V54" s="64" t="str">
        <f>IF(B54="","",VLOOKUP(AD54,Varsayımlar!$B:$Q,13,0))</f>
        <v>YURTDIŞI</v>
      </c>
      <c r="W54" s="64">
        <f>IF(B54="","",VLOOKUP(AD54,Varsayımlar!$B:$Q,14,0))</f>
        <v>9</v>
      </c>
      <c r="X54" s="66">
        <v>46202</v>
      </c>
      <c r="Y54" s="66">
        <v>46475</v>
      </c>
      <c r="Z54" s="64">
        <v>26062925</v>
      </c>
      <c r="AA54" s="64" t="str">
        <f>IF(B54="","",VLOOKUP(AD54,Varsayımlar!$B:$Q,15,0))</f>
        <v>25cm Koli</v>
      </c>
      <c r="AB54" s="64" t="str">
        <f>IF(B54="","",VLOOKUP(AD54,Varsayımlar!$B:$Q,16,0))</f>
        <v>24-26 cm</v>
      </c>
      <c r="AC54" s="64" t="str">
        <f>IF(B54="","",VLOOKUP(Sayfa1!AD42,Varsayımlar!B:S,18,0))</f>
        <v>80x120cm</v>
      </c>
      <c r="AD54" s="57" t="str">
        <f t="shared" si="1"/>
        <v>UNITERA-KAZAKİSTANKırmızı Tortillas 25cm Sade 6pcs 390g</v>
      </c>
    </row>
    <row r="55" spans="1:30" ht="31.5" x14ac:dyDescent="0.25">
      <c r="A55" s="8" t="s">
        <v>84</v>
      </c>
      <c r="B55" s="80" t="s">
        <v>218</v>
      </c>
      <c r="C55" s="44">
        <f>IF(B55="","",VLOOKUP(AD55,Varsayımlar!$B:$Q,3,0))</f>
        <v>8698829380698</v>
      </c>
      <c r="D55" s="44" t="s">
        <v>160</v>
      </c>
      <c r="E55" s="80" t="s">
        <v>228</v>
      </c>
      <c r="F55" s="80">
        <v>26042907</v>
      </c>
      <c r="G55" s="44"/>
      <c r="H55" s="80" t="str">
        <f>IF(B55="","",VLOOKUP(AD55,Varsayımlar!$B:$Q,5,0))</f>
        <v>Tortillas Avrupa 25cm (698)</v>
      </c>
      <c r="I55" s="80">
        <f>IF(B55="","",VLOOKUP(AD55,Varsayımlar!B:T,19,0))</f>
        <v>0</v>
      </c>
      <c r="J55" s="80" t="str">
        <f>IF(B55="","",VLOOKUP(AD55,Varsayımlar!$B:$Q,6,0))</f>
        <v>SADE</v>
      </c>
      <c r="K55" s="80">
        <v>720</v>
      </c>
      <c r="L55" s="80"/>
      <c r="M55" s="80">
        <f>IFERROR(IF(B55="","",K55/VLOOKUP(AD55,Varsayımlar!B:R,17,0)),"")</f>
        <v>6</v>
      </c>
      <c r="N55" s="80"/>
      <c r="O55" s="80">
        <v>7</v>
      </c>
      <c r="P55" s="80">
        <f>IF(B55="","",VLOOKUP(AD55,Varsayımlar!$B:$Q,7,0)*K55)</f>
        <v>5760</v>
      </c>
      <c r="Q55" s="80">
        <f>IF(B55="","",VLOOKUP(AD55,Varsayımlar!$B:$Q,8,0))</f>
        <v>25</v>
      </c>
      <c r="R55" s="80" t="str">
        <f>IF(B55="","",VLOOKUP(AD55,Varsayımlar!$B:$Q,9,0))</f>
        <v>Irak Soft</v>
      </c>
      <c r="S55" s="80">
        <f>IF(B55="","",VLOOKUP(AD55,Varsayımlar!$B:$Q,10,0))</f>
        <v>10</v>
      </c>
      <c r="T55" s="80">
        <f>IF(B55="","",VLOOKUP(AD55,Varsayımlar!$B:$Q,11,0))</f>
        <v>8</v>
      </c>
      <c r="U55" s="80">
        <f>IF(B55="","",VLOOKUP(AD55,Varsayımlar!$B:$Q,12,0))</f>
        <v>650</v>
      </c>
      <c r="V55" s="80" t="str">
        <f>IF(B55="","",VLOOKUP(AD55,Varsayımlar!$B:$Q,13,0))</f>
        <v>Yurtdışı</v>
      </c>
      <c r="W55" s="80">
        <f>IF(B55="","",VLOOKUP(AD55,Varsayımlar!$B:$Q,14,0))</f>
        <v>9</v>
      </c>
      <c r="X55" s="81">
        <v>46203</v>
      </c>
      <c r="Y55" s="81">
        <v>46476</v>
      </c>
      <c r="Z55" s="80">
        <v>26063025</v>
      </c>
      <c r="AA55" s="80" t="str">
        <f>IF(B55="","",VLOOKUP(AD55,Varsayımlar!$B:$Q,15,0))</f>
        <v>25cm Perforeli-Bulgarca etiket</v>
      </c>
      <c r="AB55" s="80" t="str">
        <f>IF(B55="","",VLOOKUP(AD55,Varsayımlar!$B:$Q,16,0))</f>
        <v>24-26 cm</v>
      </c>
      <c r="AC55" s="80" t="str">
        <f>IF(B55="","",VLOOKUP(Sayfa1!AD56,Varsayımlar!B:S,18,0))</f>
        <v>80x120cm -Epal+Epal</v>
      </c>
      <c r="AD55" s="57" t="str">
        <f t="shared" si="1"/>
        <v>TASTE LAND-BULGARİSTANTortillas 25cm Sade 10pcs 650g</v>
      </c>
    </row>
    <row r="56" spans="1:30" ht="47.25" x14ac:dyDescent="0.25">
      <c r="A56" s="8" t="s">
        <v>85</v>
      </c>
      <c r="B56" s="54" t="s">
        <v>268</v>
      </c>
      <c r="C56" s="39">
        <f>IF(B56="","",VLOOKUP(AD56,Varsayımlar!$B:$Q,3,0))</f>
        <v>8698829380698</v>
      </c>
      <c r="D56" s="39" t="s">
        <v>160</v>
      </c>
      <c r="E56" s="54" t="s">
        <v>342</v>
      </c>
      <c r="F56" s="54" t="s">
        <v>343</v>
      </c>
      <c r="G56" s="39" t="s">
        <v>68</v>
      </c>
      <c r="H56" s="54" t="str">
        <f>IF(B56="","",VLOOKUP(AD56,Varsayımlar!$B:$Q,5,0))</f>
        <v>Tortillas 25cm Sade</v>
      </c>
      <c r="I56" s="54">
        <f>IF(B56="","",VLOOKUP(AD56,Varsayımlar!B:T,19,0))</f>
        <v>0</v>
      </c>
      <c r="J56" s="54" t="str">
        <f>IF(B56="","",VLOOKUP(AD56,Varsayımlar!$B:$Q,6,0))</f>
        <v>SADE</v>
      </c>
      <c r="K56" s="54">
        <v>420</v>
      </c>
      <c r="L56" s="54"/>
      <c r="M56" s="54">
        <f>IFERROR(IF(B56="","",K56/VLOOKUP(AD56,Varsayımlar!B:R,17,0)),"")</f>
        <v>5</v>
      </c>
      <c r="N56" s="54"/>
      <c r="O56" s="54">
        <v>7</v>
      </c>
      <c r="P56" s="54">
        <f>IF(B56="","",VLOOKUP(AD56,Varsayımlar!$B:$Q,7,0)*K56)</f>
        <v>12600</v>
      </c>
      <c r="Q56" s="54">
        <f>IF(B56="","",VLOOKUP(AD56,Varsayımlar!$B:$Q,8,0))</f>
        <v>25</v>
      </c>
      <c r="R56" s="54" t="str">
        <f>IF(B56="","",VLOOKUP(AD56,Varsayımlar!$B:$Q,9,0))</f>
        <v>Soft-PA3</v>
      </c>
      <c r="S56" s="54">
        <f>IF(B56="","",VLOOKUP(AD56,Varsayımlar!$B:$Q,10,0))</f>
        <v>4</v>
      </c>
      <c r="T56" s="54">
        <f>IF(B56="","",VLOOKUP(AD56,Varsayımlar!$B:$Q,11,0))</f>
        <v>30</v>
      </c>
      <c r="U56" s="54">
        <f>IF(B56="","",VLOOKUP(AD56,Varsayımlar!$B:$Q,12,0))</f>
        <v>240</v>
      </c>
      <c r="V56" s="54" t="str">
        <f>IF(B56="","",VLOOKUP(AD56,Varsayımlar!$B:$Q,13,0))</f>
        <v>Yurtdışı</v>
      </c>
      <c r="W56" s="54">
        <f>IF(B56="","",VLOOKUP(AD56,Varsayımlar!$B:$Q,14,0))</f>
        <v>12</v>
      </c>
      <c r="X56" s="56">
        <v>46205</v>
      </c>
      <c r="Y56" s="56">
        <v>46570</v>
      </c>
      <c r="Z56" s="54">
        <v>26070225</v>
      </c>
      <c r="AA56" s="54" t="str">
        <f>IF(B56="","",VLOOKUP(AD56,Varsayımlar!$B:$Q,15,0))</f>
        <v>25cm Kolisi-Etiketli</v>
      </c>
      <c r="AB56" s="54" t="str">
        <f>IF(B56="","",VLOOKUP(AD56,Varsayımlar!$B:$Q,16,0))</f>
        <v>24-26 cm (Macca Hetto Inkjet Uzun Tarih)</v>
      </c>
      <c r="AC56" s="54" t="str">
        <f>IF(B56="","",VLOOKUP(Sayfa1!AD35,Varsayımlar!B:S,18,0))</f>
        <v>80x120cm</v>
      </c>
      <c r="AD56" s="57" t="str">
        <f>IF(B56="","",CONCATENATE(B56,E56))</f>
        <v>LAIKYUZHN-BELARUSTortillas 25cm Sade 4pcs 240g</v>
      </c>
    </row>
    <row r="57" spans="1:30" ht="47.25" x14ac:dyDescent="0.25">
      <c r="A57" s="8" t="s">
        <v>86</v>
      </c>
      <c r="B57" s="64" t="s">
        <v>119</v>
      </c>
      <c r="C57" s="3">
        <f>IF(B57="","",VLOOKUP(AD57,Varsayımlar!$B:$Q,3,0))</f>
        <v>8698829380698</v>
      </c>
      <c r="D57" s="3"/>
      <c r="E57" s="65" t="s">
        <v>120</v>
      </c>
      <c r="F57" s="64"/>
      <c r="G57" s="64"/>
      <c r="H57" s="64" t="str">
        <f>IF(B57="","",VLOOKUP(AD57,Varsayımlar!$B:$Q,5,0))</f>
        <v>Nimet 25 cm</v>
      </c>
      <c r="I57" s="64"/>
      <c r="J57" s="64" t="str">
        <f>IF(B57="","",VLOOKUP(AD57,Varsayımlar!$B:$Q,6,0))</f>
        <v>SADE</v>
      </c>
      <c r="K57" s="64">
        <v>4000</v>
      </c>
      <c r="L57" s="64"/>
      <c r="M57" s="64">
        <f>IFERROR(IF(B57="","",K57/VLOOKUP(AD57,Varsayımlar!B:R,17,0)),"")</f>
        <v>80</v>
      </c>
      <c r="N57" s="64"/>
      <c r="O57" s="64">
        <v>60</v>
      </c>
      <c r="P57" s="64">
        <f>IF(B57="","",VLOOKUP(AD57,Varsayımlar!$B:$Q,7,0)*K57)</f>
        <v>48000</v>
      </c>
      <c r="Q57" s="64">
        <f>IF(B57="","",VLOOKUP(AD57,Varsayımlar!$B:$Q,8,0))</f>
        <v>25</v>
      </c>
      <c r="R57" s="64" t="str">
        <f>IF(B57="","",VLOOKUP(AD57,Varsayımlar!$B:$Q,9,0))</f>
        <v>Standart</v>
      </c>
      <c r="S57" s="64">
        <f>IF(B57="","",VLOOKUP(AD57,Varsayımlar!$B:$Q,10,0))</f>
        <v>12</v>
      </c>
      <c r="T57" s="64">
        <f>IF(B57="","",VLOOKUP(AD57,Varsayımlar!$B:$Q,11,0))</f>
        <v>12</v>
      </c>
      <c r="U57" s="64">
        <f>IF(B57="","",VLOOKUP(AD57,Varsayımlar!$B:$Q,12,0))</f>
        <v>840</v>
      </c>
      <c r="V57" s="64" t="str">
        <f>IF(B57="","",VLOOKUP(AD57,Varsayımlar!$B:$Q,13,0))</f>
        <v>YURTİÇİ</v>
      </c>
      <c r="W57" s="64">
        <f>IF(B57="","",VLOOKUP(AD57,Varsayımlar!$B:$Q,14,0))</f>
        <v>5</v>
      </c>
      <c r="X57" s="66" t="s">
        <v>113</v>
      </c>
      <c r="Y57" s="66" t="s">
        <v>113</v>
      </c>
      <c r="Z57" s="64" t="s">
        <v>113</v>
      </c>
      <c r="AA57" s="64" t="str">
        <f>IF(B57="","",VLOOKUP(AD57,Varsayımlar!$B:$Q,15,0))</f>
        <v>Nimet Kolisi</v>
      </c>
      <c r="AB57" s="64" t="str">
        <f>IF(B57="","",VLOOKUP(AD57,Varsayımlar!$B:$Q,16,0))</f>
        <v>24-26 CM</v>
      </c>
      <c r="AC57" s="64" t="s">
        <v>360</v>
      </c>
      <c r="AD57" s="57" t="str">
        <f t="shared" ref="AD57:AD64" si="2">IF(B57="","",CONCATENATE(B57,E57))</f>
        <v>A101Nimet 25cm 12 pcs 840g</v>
      </c>
    </row>
    <row r="58" spans="1:30" ht="31.5" x14ac:dyDescent="0.25">
      <c r="A58" s="8" t="s">
        <v>87</v>
      </c>
      <c r="B58" s="75" t="s">
        <v>218</v>
      </c>
      <c r="C58" s="43">
        <f>IF(B58="","",VLOOKUP(AD58,Varsayımlar!$B:$Q,3,0))</f>
        <v>8698829380698</v>
      </c>
      <c r="D58" s="43" t="s">
        <v>161</v>
      </c>
      <c r="E58" s="75" t="s">
        <v>228</v>
      </c>
      <c r="F58" s="75" t="s">
        <v>341</v>
      </c>
      <c r="G58" s="43"/>
      <c r="H58" s="75" t="str">
        <f>IF(B58="","",VLOOKUP(AD58,Varsayımlar!$B:$Q,5,0))</f>
        <v>Tortillas Avrupa 25cm (698)</v>
      </c>
      <c r="I58" s="75">
        <f>IF(B58="","",VLOOKUP(AD58,Varsayımlar!B:T,19,0))</f>
        <v>0</v>
      </c>
      <c r="J58" s="75" t="str">
        <f>IF(B58="","",VLOOKUP(AD58,Varsayımlar!$B:$Q,6,0))</f>
        <v>SADE</v>
      </c>
      <c r="K58" s="75">
        <v>720</v>
      </c>
      <c r="L58" s="75"/>
      <c r="M58" s="75">
        <f>IFERROR(IF(B58="","",K58/VLOOKUP(AD58,Varsayımlar!B:R,17,0)),"")</f>
        <v>6</v>
      </c>
      <c r="N58" s="75"/>
      <c r="O58" s="75">
        <v>7</v>
      </c>
      <c r="P58" s="75">
        <f>IF(B58="","",VLOOKUP(AD58,Varsayımlar!$B:$Q,7,0)*K58)</f>
        <v>5760</v>
      </c>
      <c r="Q58" s="75">
        <f>IF(B58="","",VLOOKUP(AD58,Varsayımlar!$B:$Q,8,0))</f>
        <v>25</v>
      </c>
      <c r="R58" s="75" t="str">
        <f>IF(B58="","",VLOOKUP(AD58,Varsayımlar!$B:$Q,9,0))</f>
        <v>Irak Soft</v>
      </c>
      <c r="S58" s="75">
        <f>IF(B58="","",VLOOKUP(AD58,Varsayımlar!$B:$Q,10,0))</f>
        <v>10</v>
      </c>
      <c r="T58" s="75">
        <f>IF(B58="","",VLOOKUP(AD58,Varsayımlar!$B:$Q,11,0))</f>
        <v>8</v>
      </c>
      <c r="U58" s="75">
        <f>IF(B58="","",VLOOKUP(AD58,Varsayımlar!$B:$Q,12,0))</f>
        <v>650</v>
      </c>
      <c r="V58" s="75" t="str">
        <f>IF(B58="","",VLOOKUP(AD58,Varsayımlar!$B:$Q,13,0))</f>
        <v>Yurtdışı</v>
      </c>
      <c r="W58" s="75">
        <f>IF(B58="","",VLOOKUP(AD58,Varsayımlar!$B:$Q,14,0))</f>
        <v>9</v>
      </c>
      <c r="X58" s="76"/>
      <c r="Y58" s="76"/>
      <c r="Z58" s="75"/>
      <c r="AA58" s="75" t="str">
        <f>IF(B58="","",VLOOKUP(AD58,Varsayımlar!$B:$Q,15,0))</f>
        <v>25cm Perforeli-Bulgarca etiket</v>
      </c>
      <c r="AB58" s="75" t="str">
        <f>IF(B58="","",VLOOKUP(AD58,Varsayımlar!$B:$Q,16,0))</f>
        <v>24-26 cm</v>
      </c>
      <c r="AC58" s="75" t="str">
        <f>IF(B58="","",VLOOKUP(Sayfa1!AD61,Varsayımlar!B:S,18,0))</f>
        <v>80x120cm -Epal+Epal</v>
      </c>
      <c r="AD58" s="57" t="str">
        <f t="shared" si="2"/>
        <v>TASTE LAND-BULGARİSTANTortillas 25cm Sade 10pcs 650g</v>
      </c>
    </row>
    <row r="59" spans="1:30" ht="47.25" x14ac:dyDescent="0.25">
      <c r="A59" s="8" t="s">
        <v>88</v>
      </c>
      <c r="B59" s="75" t="s">
        <v>218</v>
      </c>
      <c r="C59" s="43">
        <f>IF(B59="","",VLOOKUP(AD59,Varsayımlar!$B:$Q,3,0))</f>
        <v>8698829380698</v>
      </c>
      <c r="D59" s="43" t="s">
        <v>161</v>
      </c>
      <c r="E59" s="75" t="s">
        <v>250</v>
      </c>
      <c r="F59" s="75" t="s">
        <v>341</v>
      </c>
      <c r="G59" s="43"/>
      <c r="H59" s="75" t="str">
        <f>IF(B59="","",VLOOKUP(AD59,Varsayımlar!$B:$Q,5,0))</f>
        <v>Tortillas Avrupa 25cm (698)</v>
      </c>
      <c r="I59" s="75" t="str">
        <f>IF(B59="","",VLOOKUP(AD59,Varsayımlar!B:T,19,0))</f>
        <v>Barkod üzerine Barkod Etiketi (050)</v>
      </c>
      <c r="J59" s="75" t="str">
        <f>IF(B59="","",VLOOKUP(AD59,Varsayımlar!$B:$Q,6,0))</f>
        <v>SADE</v>
      </c>
      <c r="K59" s="75">
        <v>168</v>
      </c>
      <c r="L59" s="75"/>
      <c r="M59" s="75">
        <f>IFERROR(IF(B59="","",K59/VLOOKUP(AD59,Varsayımlar!B:R,17,0)),"")</f>
        <v>2</v>
      </c>
      <c r="N59" s="75"/>
      <c r="O59" s="75">
        <v>3</v>
      </c>
      <c r="P59" s="75">
        <f>IF(B59="","",VLOOKUP(AD59,Varsayımlar!$B:$Q,7,0)*K59)</f>
        <v>3024</v>
      </c>
      <c r="Q59" s="75">
        <f>IF(B59="","",VLOOKUP(AD59,Varsayımlar!$B:$Q,8,0))</f>
        <v>25</v>
      </c>
      <c r="R59" s="75" t="str">
        <f>IF(B59="","",VLOOKUP(AD59,Varsayımlar!$B:$Q,9,0))</f>
        <v>Irak Soft</v>
      </c>
      <c r="S59" s="75">
        <f>IF(B59="","",VLOOKUP(AD59,Varsayımlar!$B:$Q,10,0))</f>
        <v>6</v>
      </c>
      <c r="T59" s="75">
        <f>IF(B59="","",VLOOKUP(AD59,Varsayımlar!$B:$Q,11,0))</f>
        <v>18</v>
      </c>
      <c r="U59" s="75">
        <f>IF(B59="","",VLOOKUP(AD59,Varsayımlar!$B:$Q,12,0))</f>
        <v>390</v>
      </c>
      <c r="V59" s="75" t="str">
        <f>IF(B59="","",VLOOKUP(AD59,Varsayımlar!$B:$Q,13,0))</f>
        <v>Yurtdışı</v>
      </c>
      <c r="W59" s="75">
        <f>IF(B59="","",VLOOKUP(AD59,Varsayımlar!$B:$Q,14,0))</f>
        <v>9</v>
      </c>
      <c r="X59" s="76"/>
      <c r="Y59" s="76"/>
      <c r="Z59" s="75"/>
      <c r="AA59" s="75" t="str">
        <f>IF(B59="","",VLOOKUP(AD59,Varsayımlar!$B:$Q,15,0))</f>
        <v>25cm Kırmızı koli-Bulgarca Etiket</v>
      </c>
      <c r="AB59" s="75" t="str">
        <f>IF(B59="","",VLOOKUP(AD59,Varsayımlar!$B:$Q,16,0))</f>
        <v>24-26 cm</v>
      </c>
      <c r="AC59" s="75" t="str">
        <f>IF(B59="","",VLOOKUP(Sayfa1!AD62,Varsayımlar!B:S,18,0))</f>
        <v>80x120cm -Epal+Epal</v>
      </c>
      <c r="AD59" s="57" t="str">
        <f t="shared" si="2"/>
        <v>TASTE LAND-BULGARİSTANTortillas 25cm Sade 6pcs 390g</v>
      </c>
    </row>
    <row r="60" spans="1:30" x14ac:dyDescent="0.25">
      <c r="A60" s="8" t="s">
        <v>92</v>
      </c>
      <c r="B60" s="67"/>
      <c r="C60" s="42" t="str">
        <f>IF(B60="","",VLOOKUP(AD60,Varsayımlar!$B:$Q,3,0))</f>
        <v/>
      </c>
      <c r="D60" s="42"/>
      <c r="E60" s="42"/>
      <c r="F60" s="67"/>
      <c r="G60" s="67"/>
      <c r="H60" s="67" t="str">
        <f>IF(B60="","",VLOOKUP(AD60,Varsayımlar!$B:$Q,5,0))</f>
        <v/>
      </c>
      <c r="I60" s="67"/>
      <c r="J60" s="67" t="str">
        <f>IF(B60="","",VLOOKUP(AD60,Varsayımlar!$B:$Q,6,0))</f>
        <v/>
      </c>
      <c r="K60" s="67"/>
      <c r="L60" s="67"/>
      <c r="M60" s="67" t="str">
        <f>IFERROR(IF(B60="","",K60/VLOOKUP(AD60,Varsayımlar!B:R,17,0)),"")</f>
        <v/>
      </c>
      <c r="N60" s="67"/>
      <c r="O60" s="67"/>
      <c r="P60" s="67" t="str">
        <f>IF(B60="","",VLOOKUP(AD60,Varsayımlar!$B:$Q,7,0)*K60)</f>
        <v/>
      </c>
      <c r="Q60" s="67" t="str">
        <f>IF(B60="","",VLOOKUP(AD60,Varsayımlar!$B:$Q,8,0))</f>
        <v/>
      </c>
      <c r="R60" s="67" t="str">
        <f>IF(B60="","",VLOOKUP(AD60,Varsayımlar!$B:$Q,9,0))</f>
        <v/>
      </c>
      <c r="S60" s="67" t="str">
        <f>IF(B60="","",VLOOKUP(AD60,Varsayımlar!$B:$Q,10,0))</f>
        <v/>
      </c>
      <c r="T60" s="67" t="str">
        <f>IF(B60="","",VLOOKUP(AD60,Varsayımlar!$B:$Q,11,0))</f>
        <v/>
      </c>
      <c r="U60" s="67" t="str">
        <f>IF(B60="","",VLOOKUP(AD60,Varsayımlar!$B:$Q,12,0))</f>
        <v/>
      </c>
      <c r="V60" s="67" t="str">
        <f>IF(B60="","",VLOOKUP(AD60,Varsayımlar!$B:$Q,13,0))</f>
        <v/>
      </c>
      <c r="W60" s="67" t="str">
        <f>IF(B60="","",VLOOKUP(AD60,Varsayımlar!$B:$Q,14,0))</f>
        <v/>
      </c>
      <c r="X60" s="69"/>
      <c r="Y60" s="69"/>
      <c r="Z60" s="67"/>
      <c r="AA60" s="67" t="str">
        <f>IF(B60="","",VLOOKUP(AD60,Varsayımlar!$B:$Q,15,0))</f>
        <v/>
      </c>
      <c r="AB60" s="67" t="str">
        <f>IF(B60="","",VLOOKUP(AD60,Varsayımlar!$B:$Q,16,0))</f>
        <v/>
      </c>
      <c r="AC60" s="67"/>
      <c r="AD60" s="57" t="str">
        <f t="shared" si="2"/>
        <v/>
      </c>
    </row>
    <row r="61" spans="1:30" x14ac:dyDescent="0.25">
      <c r="A61" s="8" t="s">
        <v>93</v>
      </c>
      <c r="B61" s="67"/>
      <c r="C61" s="42" t="str">
        <f>IF(B61="","",VLOOKUP(AD61,Varsayımlar!$B:$Q,3,0))</f>
        <v/>
      </c>
      <c r="D61" s="42"/>
      <c r="E61" s="42"/>
      <c r="F61" s="67"/>
      <c r="G61" s="67"/>
      <c r="H61" s="67" t="str">
        <f>IF(B61="","",VLOOKUP(AD61,Varsayımlar!$B:$Q,5,0))</f>
        <v/>
      </c>
      <c r="I61" s="67"/>
      <c r="J61" s="67" t="str">
        <f>IF(B61="","",VLOOKUP(AD61,Varsayımlar!$B:$Q,6,0))</f>
        <v/>
      </c>
      <c r="K61" s="67"/>
      <c r="L61" s="67"/>
      <c r="M61" s="67" t="str">
        <f>IFERROR(IF(B61="","",K61/VLOOKUP(AD61,Varsayımlar!B:R,17,0)),"")</f>
        <v/>
      </c>
      <c r="N61" s="67"/>
      <c r="O61" s="67"/>
      <c r="P61" s="67" t="str">
        <f>IF(B61="","",VLOOKUP(AD61,Varsayımlar!$B:$Q,7,0)*K61)</f>
        <v/>
      </c>
      <c r="Q61" s="67" t="str">
        <f>IF(B61="","",VLOOKUP(AD61,Varsayımlar!$B:$Q,8,0))</f>
        <v/>
      </c>
      <c r="R61" s="67" t="str">
        <f>IF(B61="","",VLOOKUP(AD61,Varsayımlar!$B:$Q,9,0))</f>
        <v/>
      </c>
      <c r="S61" s="67" t="str">
        <f>IF(B61="","",VLOOKUP(AD61,Varsayımlar!$B:$Q,10,0))</f>
        <v/>
      </c>
      <c r="T61" s="67" t="str">
        <f>IF(B61="","",VLOOKUP(AD61,Varsayımlar!$B:$Q,11,0))</f>
        <v/>
      </c>
      <c r="U61" s="67" t="str">
        <f>IF(B61="","",VLOOKUP(AD61,Varsayımlar!$B:$Q,12,0))</f>
        <v/>
      </c>
      <c r="V61" s="67" t="str">
        <f>IF(B61="","",VLOOKUP(AD61,Varsayımlar!$B:$Q,13,0))</f>
        <v/>
      </c>
      <c r="W61" s="67" t="str">
        <f>IF(B61="","",VLOOKUP(AD61,Varsayımlar!$B:$Q,14,0))</f>
        <v/>
      </c>
      <c r="X61" s="69"/>
      <c r="Y61" s="69"/>
      <c r="Z61" s="67"/>
      <c r="AA61" s="67" t="str">
        <f>IF(B61="","",VLOOKUP(AD61,Varsayımlar!$B:$Q,15,0))</f>
        <v/>
      </c>
      <c r="AB61" s="67" t="str">
        <f>IF(B61="","",VLOOKUP(AD61,Varsayımlar!$B:$Q,16,0))</f>
        <v/>
      </c>
      <c r="AC61" s="67"/>
      <c r="AD61" s="57" t="str">
        <f t="shared" si="2"/>
        <v/>
      </c>
    </row>
    <row r="62" spans="1:30" x14ac:dyDescent="0.25">
      <c r="A62" s="8" t="s">
        <v>135</v>
      </c>
      <c r="B62" s="67"/>
      <c r="C62" s="42" t="str">
        <f>IF(B62="","",VLOOKUP(AD62,Varsayımlar!$B:$Q,3,0))</f>
        <v/>
      </c>
      <c r="D62" s="42"/>
      <c r="E62" s="42"/>
      <c r="F62" s="67"/>
      <c r="G62" s="67"/>
      <c r="H62" s="67" t="str">
        <f>IF(B62="","",VLOOKUP(AD62,Varsayımlar!$B:$Q,5,0))</f>
        <v/>
      </c>
      <c r="I62" s="67"/>
      <c r="J62" s="67" t="str">
        <f>IF(B62="","",VLOOKUP(AD62,Varsayımlar!$B:$Q,6,0))</f>
        <v/>
      </c>
      <c r="K62" s="67"/>
      <c r="L62" s="67"/>
      <c r="M62" s="67" t="str">
        <f>IFERROR(IF(B62="","",K62/VLOOKUP(AD62,Varsayımlar!B:R,17,0)),"")</f>
        <v/>
      </c>
      <c r="N62" s="67"/>
      <c r="O62" s="67"/>
      <c r="P62" s="67" t="str">
        <f>IF(B62="","",VLOOKUP(AD62,Varsayımlar!$B:$Q,7,0)*K62)</f>
        <v/>
      </c>
      <c r="Q62" s="67" t="str">
        <f>IF(B62="","",VLOOKUP(AD62,Varsayımlar!$B:$Q,8,0))</f>
        <v/>
      </c>
      <c r="R62" s="67" t="str">
        <f>IF(B62="","",VLOOKUP(AD62,Varsayımlar!$B:$Q,9,0))</f>
        <v/>
      </c>
      <c r="S62" s="67" t="str">
        <f>IF(B62="","",VLOOKUP(AD62,Varsayımlar!$B:$Q,10,0))</f>
        <v/>
      </c>
      <c r="T62" s="67" t="str">
        <f>IF(B62="","",VLOOKUP(AD62,Varsayımlar!$B:$Q,11,0))</f>
        <v/>
      </c>
      <c r="U62" s="67" t="str">
        <f>IF(B62="","",VLOOKUP(AD62,Varsayımlar!$B:$Q,12,0))</f>
        <v/>
      </c>
      <c r="V62" s="67" t="str">
        <f>IF(B62="","",VLOOKUP(AD62,Varsayımlar!$B:$Q,13,0))</f>
        <v/>
      </c>
      <c r="W62" s="67" t="str">
        <f>IF(B62="","",VLOOKUP(AD62,Varsayımlar!$B:$Q,14,0))</f>
        <v/>
      </c>
      <c r="X62" s="69"/>
      <c r="Y62" s="69"/>
      <c r="Z62" s="67"/>
      <c r="AA62" s="67" t="str">
        <f>IF(B62="","",VLOOKUP(AD62,Varsayımlar!$B:$Q,15,0))</f>
        <v/>
      </c>
      <c r="AB62" s="67" t="str">
        <f>IF(B62="","",VLOOKUP(AD62,Varsayımlar!$B:$Q,16,0))</f>
        <v/>
      </c>
      <c r="AC62" s="67"/>
      <c r="AD62" s="57" t="str">
        <f t="shared" si="2"/>
        <v/>
      </c>
    </row>
    <row r="63" spans="1:30" x14ac:dyDescent="0.25">
      <c r="A63" s="8" t="s">
        <v>136</v>
      </c>
      <c r="B63" s="67"/>
      <c r="C63" s="42" t="str">
        <f>IF(B63="","",VLOOKUP(AD63,Varsayımlar!$B:$Q,3,0))</f>
        <v/>
      </c>
      <c r="D63" s="42"/>
      <c r="E63" s="42"/>
      <c r="F63" s="67"/>
      <c r="G63" s="67"/>
      <c r="H63" s="67" t="str">
        <f>IF(B63="","",VLOOKUP(AD63,Varsayımlar!$B:$Q,5,0))</f>
        <v/>
      </c>
      <c r="I63" s="67"/>
      <c r="J63" s="67" t="str">
        <f>IF(B63="","",VLOOKUP(AD63,Varsayımlar!$B:$Q,6,0))</f>
        <v/>
      </c>
      <c r="K63" s="67"/>
      <c r="L63" s="67"/>
      <c r="M63" s="67" t="str">
        <f>IFERROR(IF(B63="","",K63/VLOOKUP(AD63,Varsayımlar!B:R,17,0)),"")</f>
        <v/>
      </c>
      <c r="N63" s="67"/>
      <c r="O63" s="67"/>
      <c r="P63" s="67" t="str">
        <f>IF(B63="","",VLOOKUP(AD63,Varsayımlar!$B:$Q,7,0)*K63)</f>
        <v/>
      </c>
      <c r="Q63" s="67" t="str">
        <f>IF(B63="","",VLOOKUP(AD63,Varsayımlar!$B:$Q,8,0))</f>
        <v/>
      </c>
      <c r="R63" s="67" t="str">
        <f>IF(B63="","",VLOOKUP(AD63,Varsayımlar!$B:$Q,9,0))</f>
        <v/>
      </c>
      <c r="S63" s="67" t="str">
        <f>IF(B63="","",VLOOKUP(AD63,Varsayımlar!$B:$Q,10,0))</f>
        <v/>
      </c>
      <c r="T63" s="67" t="str">
        <f>IF(B63="","",VLOOKUP(AD63,Varsayımlar!$B:$Q,11,0))</f>
        <v/>
      </c>
      <c r="U63" s="67" t="str">
        <f>IF(B63="","",VLOOKUP(AD63,Varsayımlar!$B:$Q,12,0))</f>
        <v/>
      </c>
      <c r="V63" s="67" t="str">
        <f>IF(B63="","",VLOOKUP(AD63,Varsayımlar!$B:$Q,13,0))</f>
        <v/>
      </c>
      <c r="W63" s="67" t="str">
        <f>IF(B63="","",VLOOKUP(AD63,Varsayımlar!$B:$Q,14,0))</f>
        <v/>
      </c>
      <c r="X63" s="69"/>
      <c r="Y63" s="69"/>
      <c r="Z63" s="67"/>
      <c r="AA63" s="67" t="str">
        <f>IF(B63="","",VLOOKUP(AD63,Varsayımlar!$B:$Q,15,0))</f>
        <v/>
      </c>
      <c r="AB63" s="67" t="str">
        <f>IF(B63="","",VLOOKUP(AD63,Varsayımlar!$B:$Q,16,0))</f>
        <v/>
      </c>
      <c r="AC63" s="67"/>
      <c r="AD63" s="57" t="str">
        <f t="shared" si="2"/>
        <v/>
      </c>
    </row>
    <row r="64" spans="1:30" x14ac:dyDescent="0.25">
      <c r="C64" s="53" t="str">
        <f>IF(B64="","",VLOOKUP(AD64,Varsayımlar!$B:$Q,3,0))</f>
        <v/>
      </c>
      <c r="H64" s="7" t="str">
        <f>IF(B64="","",VLOOKUP(AD64,Varsayımlar!$B:$Q,5,0))</f>
        <v/>
      </c>
      <c r="J64" s="7" t="str">
        <f>IF(B64="","",VLOOKUP(AD64,Varsayımlar!$B:$Q,6,0))</f>
        <v/>
      </c>
      <c r="P64" s="7" t="str">
        <f>IF(B64="","",VLOOKUP(AD64,Varsayımlar!$B:$Q,7,0)*K64)</f>
        <v/>
      </c>
      <c r="Q64" s="7" t="str">
        <f>IF(B64="","",VLOOKUP(AD64,Varsayımlar!$B:$Q,8,0))</f>
        <v/>
      </c>
      <c r="R64" s="7" t="str">
        <f>IF(B64="","",VLOOKUP(AD64,Varsayımlar!$B:$Q,9,0))</f>
        <v/>
      </c>
      <c r="S64" s="7" t="str">
        <f>IF(B64="","",VLOOKUP(AD64,Varsayımlar!$B:$Q,10,0))</f>
        <v/>
      </c>
      <c r="T64" s="7" t="str">
        <f>IF(B64="","",VLOOKUP(AD64,Varsayımlar!$B:$Q,11,0))</f>
        <v/>
      </c>
      <c r="U64" s="7" t="str">
        <f>IF(B64="","",VLOOKUP(AD64,Varsayımlar!$B:$Q,12,0))</f>
        <v/>
      </c>
      <c r="V64" s="7" t="str">
        <f>IF(B64="","",VLOOKUP(AD64,Varsayımlar!$B:$Q,13,0))</f>
        <v/>
      </c>
      <c r="W64" s="7" t="str">
        <f>IF(B64="","",VLOOKUP(AD64,Varsayımlar!$B:$Q,14,0))</f>
        <v/>
      </c>
      <c r="AA64" s="7" t="str">
        <f>IF(B64="","",VLOOKUP(AD64,Varsayımlar!$B:$Q,15,0))</f>
        <v/>
      </c>
      <c r="AB64" s="7" t="str">
        <f>IF(B64="","",VLOOKUP(AD64,Varsayımlar!$B:$Q,16,0))</f>
        <v/>
      </c>
      <c r="AD64" s="7" t="str">
        <f t="shared" si="2"/>
        <v/>
      </c>
    </row>
    <row r="65" spans="1:31" ht="31.5" customHeight="1" x14ac:dyDescent="0.25">
      <c r="A65" s="182" t="s">
        <v>345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4"/>
      <c r="AC65" s="38"/>
    </row>
    <row r="66" spans="1:31" ht="63" x14ac:dyDescent="0.25">
      <c r="A66" s="8" t="s">
        <v>0</v>
      </c>
      <c r="B66" s="8" t="s">
        <v>1</v>
      </c>
      <c r="C66" s="9" t="s">
        <v>31</v>
      </c>
      <c r="D66" s="9" t="s">
        <v>124</v>
      </c>
      <c r="E66" s="9" t="s">
        <v>36</v>
      </c>
      <c r="F66" s="8" t="s">
        <v>37</v>
      </c>
      <c r="G66" s="8" t="s">
        <v>13</v>
      </c>
      <c r="H66" s="8" t="s">
        <v>2</v>
      </c>
      <c r="I66" s="8" t="s">
        <v>49</v>
      </c>
      <c r="J66" s="8" t="s">
        <v>3</v>
      </c>
      <c r="K66" s="8" t="s">
        <v>21</v>
      </c>
      <c r="L66" s="8" t="s">
        <v>94</v>
      </c>
      <c r="M66" s="8" t="s">
        <v>20</v>
      </c>
      <c r="N66" s="8" t="s">
        <v>165</v>
      </c>
      <c r="O66" s="8" t="s">
        <v>123</v>
      </c>
      <c r="P66" s="8" t="s">
        <v>16</v>
      </c>
      <c r="Q66" s="8" t="s">
        <v>4</v>
      </c>
      <c r="R66" s="8" t="s">
        <v>5</v>
      </c>
      <c r="S66" s="8" t="s">
        <v>6</v>
      </c>
      <c r="T66" s="8" t="s">
        <v>28</v>
      </c>
      <c r="U66" s="8" t="s">
        <v>7</v>
      </c>
      <c r="V66" s="8" t="s">
        <v>8</v>
      </c>
      <c r="W66" s="8" t="s">
        <v>9</v>
      </c>
      <c r="X66" s="8" t="s">
        <v>10</v>
      </c>
      <c r="Y66" s="8" t="s">
        <v>11</v>
      </c>
      <c r="Z66" s="8" t="s">
        <v>12</v>
      </c>
      <c r="AA66" s="8" t="s">
        <v>14</v>
      </c>
      <c r="AB66" s="8" t="s">
        <v>15</v>
      </c>
      <c r="AC66" s="8" t="s">
        <v>208</v>
      </c>
      <c r="AD66" s="7" t="s">
        <v>41</v>
      </c>
    </row>
    <row r="67" spans="1:31" ht="54" customHeight="1" x14ac:dyDescent="0.25">
      <c r="A67" s="8" t="s">
        <v>26</v>
      </c>
      <c r="B67" s="54" t="s">
        <v>321</v>
      </c>
      <c r="C67" s="39">
        <f>IF(B67="","",VLOOKUP(AD67,Varsayımlar!$B:$Q,3,0))</f>
        <v>8698829380698</v>
      </c>
      <c r="D67" s="39"/>
      <c r="E67" s="54" t="s">
        <v>329</v>
      </c>
      <c r="F67" s="54"/>
      <c r="G67" s="54"/>
      <c r="H67" s="54" t="str">
        <f>IF(B67="","",VLOOKUP(AD67,Varsayımlar!$B:$Q,5,0))</f>
        <v>Baskısız 15 cm</v>
      </c>
      <c r="I67" s="54" t="str">
        <f>IF(B67="","",VLOOKUP(AD67,Varsayımlar!B:T,19,0))</f>
        <v>Lana 15cm 8pcs 220g Yuvarlak</v>
      </c>
      <c r="J67" s="54" t="str">
        <f>IF(B67="","",VLOOKUP(AD67,Varsayımlar!$B:$Q,6,0))</f>
        <v>SADE</v>
      </c>
      <c r="K67" s="54">
        <v>250</v>
      </c>
      <c r="L67" s="54">
        <v>8</v>
      </c>
      <c r="M67" s="54" t="str">
        <f>IFERROR(IF(B67="","",K67/VLOOKUP(AD67,Varsayımlar!B:R,17,0)),"")</f>
        <v/>
      </c>
      <c r="N67" s="54"/>
      <c r="O67" s="54">
        <v>4</v>
      </c>
      <c r="P67" s="54">
        <f>IF(B67="","",VLOOKUP(AD67,Varsayımlar!$B:$Q,7,0)*K67)</f>
        <v>3500</v>
      </c>
      <c r="Q67" s="54">
        <f>IF(B67="","",VLOOKUP(AD67,Varsayımlar!$B:$Q,8,0))</f>
        <v>15</v>
      </c>
      <c r="R67" s="54" t="str">
        <f>IF(B67="","",VLOOKUP(AD67,Varsayımlar!$B:$Q,9,0))</f>
        <v>Irak Soft</v>
      </c>
      <c r="S67" s="54">
        <f>IF(B67="","",VLOOKUP(AD67,Varsayımlar!$B:$Q,10,0))</f>
        <v>8</v>
      </c>
      <c r="T67" s="54">
        <f>IF(B67="","",VLOOKUP(AD67,Varsayımlar!$B:$Q,11,0))</f>
        <v>14</v>
      </c>
      <c r="U67" s="54">
        <f>IF(B67="","",VLOOKUP(AD67,Varsayımlar!$B:$Q,12,0))</f>
        <v>220</v>
      </c>
      <c r="V67" s="54" t="str">
        <f>IF(B67="","",VLOOKUP(AD67,Varsayımlar!$B:$Q,13,0))</f>
        <v>Yurtdışı</v>
      </c>
      <c r="W67" s="54">
        <f>IF(B67="","",VLOOKUP(AD67,Varsayımlar!$B:$Q,14,0))</f>
        <v>6</v>
      </c>
      <c r="X67" s="56">
        <v>46185</v>
      </c>
      <c r="Y67" s="56">
        <v>46368</v>
      </c>
      <c r="Z67" s="54">
        <v>26061215</v>
      </c>
      <c r="AA67" s="54" t="str">
        <f>IF(B67="","",VLOOKUP(AD67,Varsayımlar!$B:$Q,15,0))</f>
        <v>15cm koli</v>
      </c>
      <c r="AB67" s="54" t="str">
        <f>IF(B67="","",VLOOKUP(AD67,Varsayımlar!$B:$Q,16,0))</f>
        <v>24-26 cm (Inkjet ile Bilgiler Atılacak)</v>
      </c>
      <c r="AC67" s="64">
        <f>IF(B67="","",VLOOKUP(Sayfa1!AD75,Varsayımlar!B:S,18,0))</f>
        <v>0</v>
      </c>
      <c r="AD67" s="57" t="str">
        <f>IF(B67="","",CONCATENATE(B67,E67))</f>
        <v>Gülbahar CompanyBaskısız 15cm Sade 8pcs 220g</v>
      </c>
      <c r="AE67" s="7" t="s">
        <v>427</v>
      </c>
    </row>
    <row r="68" spans="1:31" ht="23.25" customHeight="1" x14ac:dyDescent="0.25">
      <c r="A68" s="8" t="s">
        <v>77</v>
      </c>
      <c r="B68" s="62" t="s">
        <v>119</v>
      </c>
      <c r="C68" s="32">
        <v>8698829380698</v>
      </c>
      <c r="D68" s="32"/>
      <c r="E68" s="32" t="s">
        <v>120</v>
      </c>
      <c r="F68" s="62"/>
      <c r="G68" s="32"/>
      <c r="H68" s="62" t="s">
        <v>121</v>
      </c>
      <c r="I68" s="62">
        <v>0</v>
      </c>
      <c r="J68" s="62" t="s">
        <v>19</v>
      </c>
      <c r="K68" s="62">
        <v>4000</v>
      </c>
      <c r="L68" s="62"/>
      <c r="M68" s="62">
        <v>80</v>
      </c>
      <c r="N68" s="62">
        <v>50</v>
      </c>
      <c r="O68" s="62">
        <v>40</v>
      </c>
      <c r="P68" s="62">
        <v>48000</v>
      </c>
      <c r="Q68" s="62">
        <v>25</v>
      </c>
      <c r="R68" s="62" t="s">
        <v>116</v>
      </c>
      <c r="S68" s="62">
        <v>12</v>
      </c>
      <c r="T68" s="62">
        <v>12</v>
      </c>
      <c r="U68" s="62">
        <v>840</v>
      </c>
      <c r="V68" s="62" t="s">
        <v>72</v>
      </c>
      <c r="W68" s="62">
        <v>5</v>
      </c>
      <c r="X68" s="63" t="s">
        <v>113</v>
      </c>
      <c r="Y68" s="63" t="s">
        <v>113</v>
      </c>
      <c r="Z68" s="63" t="s">
        <v>113</v>
      </c>
      <c r="AA68" s="62" t="s">
        <v>122</v>
      </c>
      <c r="AB68" s="62" t="s">
        <v>25</v>
      </c>
      <c r="AC68" s="62">
        <v>0</v>
      </c>
      <c r="AD68" s="57" t="s">
        <v>387</v>
      </c>
    </row>
    <row r="69" spans="1:31" ht="31.5" customHeight="1" x14ac:dyDescent="0.25">
      <c r="A69" s="8" t="s">
        <v>78</v>
      </c>
      <c r="B69" s="64" t="s">
        <v>335</v>
      </c>
      <c r="C69" s="3">
        <f>IF(B69="","",VLOOKUP(AD69,Varsayımlar!$B:$Q,3,0))</f>
        <v>8698829380698</v>
      </c>
      <c r="D69" s="3"/>
      <c r="E69" s="64" t="s">
        <v>299</v>
      </c>
      <c r="F69" s="64"/>
      <c r="G69" s="3"/>
      <c r="H69" s="64" t="str">
        <f>IF(B69="","",VLOOKUP(AD69,Varsayımlar!$B:$Q,5,0))</f>
        <v>Lazeza 30cm</v>
      </c>
      <c r="I69" s="64">
        <f>IF(B69="","",VLOOKUP(AD69,Varsayımlar!B:T,19,0))</f>
        <v>0</v>
      </c>
      <c r="J69" s="64" t="str">
        <f>IF(B69="","",VLOOKUP(AD69,Varsayımlar!$B:$Q,6,0))</f>
        <v>SADE</v>
      </c>
      <c r="K69" s="64">
        <v>1700</v>
      </c>
      <c r="L69" s="64"/>
      <c r="M69" s="64" t="str">
        <f>IFERROR(IF(B69="","",K69/VLOOKUP(AD69,Varsayımlar!B:R,17,0)),"")</f>
        <v/>
      </c>
      <c r="N69" s="64"/>
      <c r="O69" s="64">
        <v>17</v>
      </c>
      <c r="P69" s="64">
        <f>IF(B69="","",VLOOKUP(AD69,Varsayımlar!$B:$Q,7,0)*K69)</f>
        <v>30600</v>
      </c>
      <c r="Q69" s="64">
        <f>IF(B69="","",VLOOKUP(AD69,Varsayımlar!$B:$Q,8,0))</f>
        <v>30</v>
      </c>
      <c r="R69" s="64" t="str">
        <f>IF(B69="","",VLOOKUP(AD69,Varsayımlar!$B:$Q,9,0))</f>
        <v>Irak Soft</v>
      </c>
      <c r="S69" s="64">
        <f>IF(B69="","",VLOOKUP(AD69,Varsayımlar!$B:$Q,10,0))</f>
        <v>6</v>
      </c>
      <c r="T69" s="64">
        <f>IF(B69="","",VLOOKUP(AD69,Varsayımlar!$B:$Q,11,0))</f>
        <v>18</v>
      </c>
      <c r="U69" s="64">
        <f>IF(B69="","",VLOOKUP(AD69,Varsayımlar!$B:$Q,12,0))</f>
        <v>510</v>
      </c>
      <c r="V69" s="64" t="str">
        <f>IF(B69="","",VLOOKUP(AD69,Varsayımlar!$B:$Q,13,0))</f>
        <v>Yurtdışı</v>
      </c>
      <c r="W69" s="64">
        <f>IF(B69="","",VLOOKUP(AD69,Varsayımlar!$B:$Q,14,0))</f>
        <v>6</v>
      </c>
      <c r="X69" s="66">
        <v>46188</v>
      </c>
      <c r="Y69" s="66">
        <v>46736</v>
      </c>
      <c r="Z69" s="64">
        <v>26061530</v>
      </c>
      <c r="AA69" s="64" t="str">
        <f>IF(B69="","",VLOOKUP(AD69,Varsayımlar!$B:$Q,15,0))</f>
        <v>Lazeza Kolisi</v>
      </c>
      <c r="AB69" s="64" t="str">
        <f>IF(B69="","",VLOOKUP(AD69,Varsayımlar!$B:$Q,16,0))</f>
        <v>29-31 cm</v>
      </c>
      <c r="AC69" s="64" t="str">
        <f>IF(B69="","",VLOOKUP(Sayfa1!AD79,Varsayımlar!B:S,18,0))</f>
        <v>80x120cm -Epal+Epal</v>
      </c>
      <c r="AD69" s="57" t="str">
        <f>IF(B69="","",CONCATENATE(B69,E69))</f>
        <v>AjjawiLazeza 30 cm 6pcs 510g</v>
      </c>
    </row>
    <row r="70" spans="1:31" ht="31.5" customHeight="1" x14ac:dyDescent="0.25">
      <c r="A70" s="8" t="s">
        <v>79</v>
      </c>
      <c r="B70" s="119" t="s">
        <v>363</v>
      </c>
      <c r="C70" s="120">
        <f>IF(B70="","",VLOOKUP(AD70,Varsayımlar!$B:$Q,3,0))</f>
        <v>8698829380698</v>
      </c>
      <c r="D70" s="120"/>
      <c r="E70" s="120" t="s">
        <v>364</v>
      </c>
      <c r="F70" s="119"/>
      <c r="G70" s="120" t="s">
        <v>373</v>
      </c>
      <c r="H70" s="119" t="str">
        <f>IF(B70="","",VLOOKUP(AD70,Varsayımlar!$B:$Q,5,0))</f>
        <v>Durum 30cm Sade 18pcs 1620g</v>
      </c>
      <c r="I70" s="119">
        <f>IF(B70="","",VLOOKUP(AD70,Varsayımlar!B:T,19,0))</f>
        <v>0</v>
      </c>
      <c r="J70" s="119" t="str">
        <f>IF(B70="","",VLOOKUP(AD70,Varsayımlar!$B:$Q,6,0))</f>
        <v>SADE</v>
      </c>
      <c r="K70" s="119">
        <v>360</v>
      </c>
      <c r="L70" s="119" t="s">
        <v>424</v>
      </c>
      <c r="M70" s="119" t="str">
        <f>IFERROR(IF(B70="","",K70/VLOOKUP(AD70,Varsayımlar!B:R,17,0)),"")</f>
        <v/>
      </c>
      <c r="N70" s="119"/>
      <c r="O70" s="119">
        <v>9</v>
      </c>
      <c r="P70" s="119">
        <f>IF(B70="","",VLOOKUP(AD70,Varsayımlar!$B:$Q,7,0)*K70)</f>
        <v>6480</v>
      </c>
      <c r="Q70" s="119">
        <f>IF(B70="","",VLOOKUP(AD70,Varsayımlar!$B:$Q,8,0))</f>
        <v>30</v>
      </c>
      <c r="R70" s="119" t="str">
        <f>IF(B70="","",VLOOKUP(AD70,Varsayımlar!$B:$Q,9,0))</f>
        <v>Irak Soft</v>
      </c>
      <c r="S70" s="119">
        <f>IF(B70="","",VLOOKUP(AD70,Varsayımlar!$B:$Q,10,0))</f>
        <v>18</v>
      </c>
      <c r="T70" s="119">
        <f>IF(B70="","",VLOOKUP(AD70,Varsayımlar!$B:$Q,11,0))</f>
        <v>6</v>
      </c>
      <c r="U70" s="119">
        <f>IF(B70="","",VLOOKUP(AD70,Varsayımlar!$B:$Q,12,0))</f>
        <v>1620</v>
      </c>
      <c r="V70" s="119" t="str">
        <f>IF(B70="","",VLOOKUP(AD70,Varsayımlar!$B:$Q,13,0))</f>
        <v>Yurtdışı</v>
      </c>
      <c r="W70" s="119">
        <f>IF(B70="","",VLOOKUP(AD70,Varsayımlar!$B:$Q,14,0))</f>
        <v>0</v>
      </c>
      <c r="X70" s="121"/>
      <c r="Y70" s="121"/>
      <c r="Z70" s="119"/>
      <c r="AA70" s="119" t="str">
        <f>IF(B70="","",VLOOKUP(AD70,Varsayımlar!$B:$Q,15,0))</f>
        <v>30cm kolisi-Etiketli</v>
      </c>
      <c r="AB70" s="119" t="str">
        <f>IF(B70="","",VLOOKUP(AD70,Varsayımlar!$B:$Q,16,0))</f>
        <v>29-31 cm</v>
      </c>
      <c r="AC70" s="64">
        <f>IF(B70="","",VLOOKUP(Sayfa1!AD11,Varsayımlar!B:S,18,0))</f>
        <v>0</v>
      </c>
      <c r="AD70" s="57" t="str">
        <f>IF(B70="","",CONCATENATE(B70,E70))</f>
        <v>EyalDurum 30cm sade 18 li 1620g</v>
      </c>
    </row>
    <row r="71" spans="1:31" ht="26.25" customHeight="1" x14ac:dyDescent="0.25">
      <c r="A71" s="8" t="s">
        <v>80</v>
      </c>
      <c r="B71" s="67" t="s">
        <v>119</v>
      </c>
      <c r="C71" s="42">
        <v>8698829380698</v>
      </c>
      <c r="D71" s="42"/>
      <c r="E71" s="42" t="s">
        <v>120</v>
      </c>
      <c r="F71" s="67"/>
      <c r="G71" s="42"/>
      <c r="H71" s="67" t="s">
        <v>121</v>
      </c>
      <c r="I71" s="67">
        <v>0</v>
      </c>
      <c r="J71" s="67" t="s">
        <v>19</v>
      </c>
      <c r="K71" s="67">
        <v>4000</v>
      </c>
      <c r="L71" s="67"/>
      <c r="M71" s="67">
        <v>80</v>
      </c>
      <c r="N71" s="67">
        <v>50</v>
      </c>
      <c r="O71" s="67">
        <v>145</v>
      </c>
      <c r="P71" s="67">
        <v>48000</v>
      </c>
      <c r="Q71" s="67">
        <v>25</v>
      </c>
      <c r="R71" s="67" t="s">
        <v>116</v>
      </c>
      <c r="S71" s="67">
        <v>12</v>
      </c>
      <c r="T71" s="67">
        <v>12</v>
      </c>
      <c r="U71" s="67">
        <v>840</v>
      </c>
      <c r="V71" s="67" t="s">
        <v>72</v>
      </c>
      <c r="W71" s="67">
        <v>5</v>
      </c>
      <c r="X71" s="69" t="s">
        <v>113</v>
      </c>
      <c r="Y71" s="69" t="s">
        <v>113</v>
      </c>
      <c r="Z71" s="67" t="s">
        <v>113</v>
      </c>
      <c r="AA71" s="67" t="s">
        <v>122</v>
      </c>
      <c r="AB71" s="67" t="s">
        <v>25</v>
      </c>
      <c r="AC71" s="67">
        <v>0</v>
      </c>
      <c r="AD71" s="57" t="s">
        <v>387</v>
      </c>
    </row>
    <row r="72" spans="1:31" ht="47.25" x14ac:dyDescent="0.25">
      <c r="A72" s="8" t="s">
        <v>81</v>
      </c>
      <c r="B72" s="67" t="s">
        <v>268</v>
      </c>
      <c r="C72" s="42">
        <f>IF(B72="","",VLOOKUP(AD72,Varsayımlar!$B:$Q,3,0))</f>
        <v>8698829380698</v>
      </c>
      <c r="D72" s="42" t="s">
        <v>159</v>
      </c>
      <c r="E72" s="42" t="s">
        <v>244</v>
      </c>
      <c r="F72" s="67">
        <v>20250825</v>
      </c>
      <c r="G72" s="42" t="s">
        <v>68</v>
      </c>
      <c r="H72" s="67" t="str">
        <f>IF(B72="","",VLOOKUP(AD72,Varsayımlar!$B:$Q,5,0))</f>
        <v xml:space="preserve">Tortillas Pizza 26cm </v>
      </c>
      <c r="I72" s="67">
        <f>IF(B72="","",VLOOKUP(AD72,Varsayımlar!B:T,19,0))</f>
        <v>0</v>
      </c>
      <c r="J72" s="67" t="str">
        <f>IF(B72="","",VLOOKUP(AD72,Varsayımlar!$B:$Q,6,0))</f>
        <v>SADE</v>
      </c>
      <c r="K72" s="67">
        <v>960</v>
      </c>
      <c r="L72" s="67"/>
      <c r="M72" s="67">
        <f>IFERROR(IF(B72="","",K72/VLOOKUP(AD72,Varsayımlar!B:R,17,0)),"")</f>
        <v>5</v>
      </c>
      <c r="N72" s="67"/>
      <c r="O72" s="67">
        <v>11</v>
      </c>
      <c r="P72" s="67">
        <f>IF(B72="","",VLOOKUP(AD72,Varsayımlar!$B:$Q,7,0)*K72)</f>
        <v>11520</v>
      </c>
      <c r="Q72" s="67">
        <f>IF(B72="","",VLOOKUP(AD72,Varsayımlar!$B:$Q,8,0))</f>
        <v>26</v>
      </c>
      <c r="R72" s="67" t="str">
        <f>IF(B72="","",VLOOKUP(AD72,Varsayımlar!$B:$Q,9,0))</f>
        <v>Soft-PA3</v>
      </c>
      <c r="S72" s="67">
        <f>IF(B72="","",VLOOKUP(AD72,Varsayımlar!$B:$Q,10,0))</f>
        <v>2</v>
      </c>
      <c r="T72" s="67">
        <f>IF(B72="","",VLOOKUP(AD72,Varsayımlar!$B:$Q,11,0))</f>
        <v>12</v>
      </c>
      <c r="U72" s="67">
        <f>IF(B72="","",VLOOKUP(AD72,Varsayımlar!$B:$Q,12,0))</f>
        <v>240</v>
      </c>
      <c r="V72" s="67" t="str">
        <f>IF(B72="","",VLOOKUP(AD72,Varsayımlar!$B:$Q,13,0))</f>
        <v>Yurtdışı</v>
      </c>
      <c r="W72" s="67">
        <f>IF(B72="","",VLOOKUP(AD72,Varsayımlar!$B:$Q,14,0))</f>
        <v>9</v>
      </c>
      <c r="X72" s="69">
        <v>46199</v>
      </c>
      <c r="Y72" s="69">
        <v>46472</v>
      </c>
      <c r="Z72" s="67">
        <v>26062626</v>
      </c>
      <c r="AA72" s="67" t="str">
        <f>IF(B72="","",VLOOKUP(AD72,Varsayımlar!$B:$Q,15,0))</f>
        <v>26 cm pizza kolisi-Etiketli</v>
      </c>
      <c r="AB72" s="67" t="str">
        <f>IF(B72="","",VLOOKUP(AD72,Varsayımlar!$B:$Q,16,0))</f>
        <v>24-26 cm (Macca Hetto Inkjet Uzun Tarih)</v>
      </c>
      <c r="AC72" s="67" t="e">
        <f>IF(B72="","",VLOOKUP(Sayfa1!AD83,Varsayımlar!B:S,18,0))</f>
        <v>#N/A</v>
      </c>
      <c r="AD72" s="57" t="str">
        <f>IF(B72="","",CONCATENATE(B72,E72))</f>
        <v>LAIKYUZHN-BELARUSTortillas Pizza 26cm 4pcs 480g</v>
      </c>
    </row>
    <row r="73" spans="1:31" ht="94.5" x14ac:dyDescent="0.25">
      <c r="A73" s="8" t="s">
        <v>82</v>
      </c>
      <c r="B73" s="62" t="s">
        <v>181</v>
      </c>
      <c r="C73" s="32">
        <f>IF(B73="","",VLOOKUP(AD73,Varsayımlar!$B:$Q,3,0))</f>
        <v>8698829380698</v>
      </c>
      <c r="D73" s="32"/>
      <c r="E73" s="62" t="s">
        <v>206</v>
      </c>
      <c r="F73" s="62">
        <v>26060101</v>
      </c>
      <c r="G73" s="32"/>
      <c r="H73" s="62" t="str">
        <f>IF(B73="","",VLOOKUP(AD73,Varsayımlar!$B:$Q,5,0))</f>
        <v>Pizza-6 26 cm</v>
      </c>
      <c r="I73" s="62" t="str">
        <f>IF(B73="","",VLOOKUP(AD73,Varsayımlar!B:T,19,0))</f>
        <v>Arka kısma Arnavutça içerik-Pizza 6</v>
      </c>
      <c r="J73" s="62" t="str">
        <f>IF(B73="","",VLOOKUP(AD73,Varsayımlar!$B:$Q,6,0))</f>
        <v>SADE</v>
      </c>
      <c r="K73" s="62">
        <v>120</v>
      </c>
      <c r="L73" s="62"/>
      <c r="M73" s="62">
        <f>IFERROR(IF(B73="","",K73/VLOOKUP(AD73,Varsayımlar!B:R,17,0)),"")</f>
        <v>1</v>
      </c>
      <c r="N73" s="62"/>
      <c r="O73" s="62">
        <v>2</v>
      </c>
      <c r="P73" s="62">
        <f>IF(B73="","",VLOOKUP(AD73,Varsayımlar!$B:$Q,7,0)*K73)</f>
        <v>720</v>
      </c>
      <c r="Q73" s="62">
        <f>IF(B73="","",VLOOKUP(AD73,Varsayımlar!$B:$Q,8,0))</f>
        <v>26</v>
      </c>
      <c r="R73" s="62" t="str">
        <f>IF(B73="","",VLOOKUP(AD73,Varsayımlar!$B:$Q,9,0))</f>
        <v>Irak Soft</v>
      </c>
      <c r="S73" s="62">
        <f>IF(B73="","",VLOOKUP(AD73,Varsayımlar!$B:$Q,10,0))</f>
        <v>4</v>
      </c>
      <c r="T73" s="62">
        <f>IF(B73="","",VLOOKUP(AD73,Varsayımlar!$B:$Q,11,0))</f>
        <v>6</v>
      </c>
      <c r="U73" s="62">
        <f>IF(B73="","",VLOOKUP(AD73,Varsayımlar!$B:$Q,12,0))</f>
        <v>480</v>
      </c>
      <c r="V73" s="62" t="str">
        <f>IF(B73="","",VLOOKUP(AD73,Varsayımlar!$B:$Q,13,0))</f>
        <v>YURTDIŞI</v>
      </c>
      <c r="W73" s="62">
        <f>IF(B73="","",VLOOKUP(AD73,Varsayımlar!$B:$Q,14,0))</f>
        <v>12</v>
      </c>
      <c r="X73" s="63">
        <v>46200</v>
      </c>
      <c r="Y73" s="63">
        <v>46565</v>
      </c>
      <c r="Z73" s="62">
        <v>26062726</v>
      </c>
      <c r="AA73" s="62" t="str">
        <f>IF(B73="","",VLOOKUP(AD73,Varsayımlar!$B:$Q,15,0))</f>
        <v>Pizza kolisi</v>
      </c>
      <c r="AB73" s="62" t="str">
        <f>IF(B73="","",VLOOKUP(AD73,Varsayımlar!$B:$Q,16,0))</f>
        <v>26 cm kesme -Beze 145-150g, Kesilmmeiş çap 27-28cm, Kesilmemiş ağı: 520-540g, Kesilmiş:475-485g</v>
      </c>
      <c r="AC73" s="62">
        <f>IF(B73="","",VLOOKUP(Sayfa1!AD84,Varsayımlar!B:S,18,0))</f>
        <v>0</v>
      </c>
      <c r="AD73" s="57" t="str">
        <f>IF(B73="","",CONCATENATE(B73,E73))</f>
        <v>ALDİ - KOSOVAPizza-6 26cm 4pcs 480g</v>
      </c>
    </row>
    <row r="74" spans="1:31" ht="94.5" x14ac:dyDescent="0.25">
      <c r="A74" s="8" t="s">
        <v>83</v>
      </c>
      <c r="B74" s="80" t="s">
        <v>218</v>
      </c>
      <c r="C74" s="44">
        <f>IF(B74="","",VLOOKUP(AD74,Varsayımlar!$B:$Q,3,0))</f>
        <v>8698829380698</v>
      </c>
      <c r="D74" s="44" t="s">
        <v>160</v>
      </c>
      <c r="E74" s="80" t="s">
        <v>244</v>
      </c>
      <c r="F74" s="80">
        <v>26042907</v>
      </c>
      <c r="G74" s="44"/>
      <c r="H74" s="80" t="str">
        <f>IF(B74="","",VLOOKUP(AD74,Varsayımlar!$B:$Q,5,0))</f>
        <v>Tortillas Avrupa Pizza 26cm (742)</v>
      </c>
      <c r="I74" s="80">
        <f>IF(B74="","",VLOOKUP(AD74,Varsayımlar!B:T,19,0))</f>
        <v>0</v>
      </c>
      <c r="J74" s="80" t="str">
        <f>IF(B74="","",VLOOKUP(AD74,Varsayımlar!$B:$Q,6,0))</f>
        <v>SADE</v>
      </c>
      <c r="K74" s="80">
        <v>720</v>
      </c>
      <c r="L74" s="80"/>
      <c r="M74" s="80">
        <f>IFERROR(IF(B74="","",K74/VLOOKUP(AD74,Varsayımlar!B:R,17,0)),"")</f>
        <v>6</v>
      </c>
      <c r="N74" s="80"/>
      <c r="O74" s="80">
        <v>9</v>
      </c>
      <c r="P74" s="80">
        <f>IF(B74="","",VLOOKUP(AD74,Varsayımlar!$B:$Q,7,0)*K74)</f>
        <v>5760</v>
      </c>
      <c r="Q74" s="80">
        <f>IF(B74="","",VLOOKUP(AD74,Varsayımlar!$B:$Q,8,0))</f>
        <v>26</v>
      </c>
      <c r="R74" s="80" t="str">
        <f>IF(B74="","",VLOOKUP(AD74,Varsayımlar!$B:$Q,9,0))</f>
        <v>Irak Soft</v>
      </c>
      <c r="S74" s="80">
        <f>IF(B74="","",VLOOKUP(AD74,Varsayımlar!$B:$Q,10,0))</f>
        <v>4</v>
      </c>
      <c r="T74" s="80">
        <f>IF(B74="","",VLOOKUP(AD74,Varsayımlar!$B:$Q,11,0))</f>
        <v>8</v>
      </c>
      <c r="U74" s="80">
        <f>IF(B74="","",VLOOKUP(AD74,Varsayımlar!$B:$Q,12,0))</f>
        <v>480</v>
      </c>
      <c r="V74" s="80" t="str">
        <f>IF(B74="","",VLOOKUP(AD74,Varsayımlar!$B:$Q,13,0))</f>
        <v>Yurtdışı</v>
      </c>
      <c r="W74" s="80">
        <f>IF(B74="","",VLOOKUP(AD74,Varsayımlar!$B:$Q,14,0))</f>
        <v>9</v>
      </c>
      <c r="X74" s="81">
        <v>46203</v>
      </c>
      <c r="Y74" s="81">
        <v>46476</v>
      </c>
      <c r="Z74" s="80">
        <v>26063026</v>
      </c>
      <c r="AA74" s="80" t="str">
        <f>IF(B74="","",VLOOKUP(AD74,Varsayımlar!$B:$Q,15,0))</f>
        <v>26cm Pizza Perforeli-Bulgarca Etiket</v>
      </c>
      <c r="AB74" s="80" t="str">
        <f>IF(B74="","",VLOOKUP(AD74,Varsayımlar!$B:$Q,16,0))</f>
        <v>26 cm kesme -Beze 145-150g, Kesilmmeiş çap 27-28cm, Kesilmemiş ağı: 520-540g, Kesilmiş:475-485g</v>
      </c>
      <c r="AC74" s="80" t="str">
        <f>IF(B74="","",VLOOKUP(Sayfa1!AD80,Varsayımlar!B:S,18,0))</f>
        <v>80x120cm -Epal+Epal</v>
      </c>
      <c r="AD74" s="57" t="str">
        <f t="shared" ref="AD74:AD86" si="3">IF(B74="","",CONCATENATE(B74,E74))</f>
        <v>TASTE LAND-BULGARİSTANTortillas Pizza 26cm 4pcs 480g</v>
      </c>
    </row>
    <row r="75" spans="1:31" ht="47.25" x14ac:dyDescent="0.25">
      <c r="A75" s="8" t="s">
        <v>84</v>
      </c>
      <c r="B75" s="54" t="s">
        <v>268</v>
      </c>
      <c r="C75" s="39">
        <f>IF(B75="","",VLOOKUP(AD75,Varsayımlar!$B:$Q,3,0))</f>
        <v>8698829380698</v>
      </c>
      <c r="D75" s="39" t="s">
        <v>160</v>
      </c>
      <c r="E75" s="39" t="s">
        <v>244</v>
      </c>
      <c r="F75" s="54" t="s">
        <v>343</v>
      </c>
      <c r="G75" s="39" t="s">
        <v>68</v>
      </c>
      <c r="H75" s="54" t="str">
        <f>IF(B75="","",VLOOKUP(AD75,Varsayımlar!$B:$Q,5,0))</f>
        <v xml:space="preserve">Tortillas Pizza 26cm </v>
      </c>
      <c r="I75" s="54">
        <f>IF(B75="","",VLOOKUP(AD75,Varsayımlar!B:T,19,0))</f>
        <v>0</v>
      </c>
      <c r="J75" s="54" t="str">
        <f>IF(B75="","",VLOOKUP(AD75,Varsayımlar!$B:$Q,6,0))</f>
        <v>SADE</v>
      </c>
      <c r="K75" s="54">
        <v>768</v>
      </c>
      <c r="L75" s="54"/>
      <c r="M75" s="54">
        <f>IFERROR(IF(B75="","",K75/VLOOKUP(AD75,Varsayımlar!B:R,17,0)),"")</f>
        <v>4</v>
      </c>
      <c r="N75" s="54"/>
      <c r="O75" s="54">
        <v>9</v>
      </c>
      <c r="P75" s="54">
        <f>IF(B75="","",VLOOKUP(AD75,Varsayımlar!$B:$Q,7,0)*K75)</f>
        <v>9216</v>
      </c>
      <c r="Q75" s="54">
        <f>IF(B75="","",VLOOKUP(AD75,Varsayımlar!$B:$Q,8,0))</f>
        <v>26</v>
      </c>
      <c r="R75" s="54" t="str">
        <f>IF(B75="","",VLOOKUP(AD75,Varsayımlar!$B:$Q,9,0))</f>
        <v>Soft-PA3</v>
      </c>
      <c r="S75" s="54">
        <f>IF(B75="","",VLOOKUP(AD75,Varsayımlar!$B:$Q,10,0))</f>
        <v>2</v>
      </c>
      <c r="T75" s="54">
        <f>IF(B75="","",VLOOKUP(AD75,Varsayımlar!$B:$Q,11,0))</f>
        <v>12</v>
      </c>
      <c r="U75" s="54">
        <f>IF(B75="","",VLOOKUP(AD75,Varsayımlar!$B:$Q,12,0))</f>
        <v>240</v>
      </c>
      <c r="V75" s="54" t="str">
        <f>IF(B75="","",VLOOKUP(AD75,Varsayımlar!$B:$Q,13,0))</f>
        <v>Yurtdışı</v>
      </c>
      <c r="W75" s="54">
        <f>IF(B75="","",VLOOKUP(AD75,Varsayımlar!$B:$Q,14,0))</f>
        <v>9</v>
      </c>
      <c r="X75" s="56">
        <v>46205</v>
      </c>
      <c r="Y75" s="56">
        <v>46479</v>
      </c>
      <c r="Z75" s="54">
        <v>26070226</v>
      </c>
      <c r="AA75" s="54" t="str">
        <f>IF(B75="","",VLOOKUP(AD75,Varsayımlar!$B:$Q,15,0))</f>
        <v>26 cm pizza kolisi-Etiketli</v>
      </c>
      <c r="AB75" s="54" t="str">
        <f>IF(B75="","",VLOOKUP(AD75,Varsayımlar!$B:$Q,16,0))</f>
        <v>24-26 cm (Macca Hetto Inkjet Uzun Tarih)</v>
      </c>
      <c r="AC75" s="54" t="e">
        <f>IF(B75="","",VLOOKUP(Sayfa1!AD83,Varsayımlar!B:S,18,0))</f>
        <v>#N/A</v>
      </c>
      <c r="AD75" s="57" t="str">
        <f>IF(B75="","",CONCATENATE(B75,E75))</f>
        <v>LAIKYUZHN-BELARUSTortillas Pizza 26cm 4pcs 480g</v>
      </c>
    </row>
    <row r="76" spans="1:31" ht="94.5" x14ac:dyDescent="0.25">
      <c r="A76" s="8" t="s">
        <v>85</v>
      </c>
      <c r="B76" s="75" t="s">
        <v>218</v>
      </c>
      <c r="C76" s="43">
        <f>IF(B76="","",VLOOKUP(AD76,Varsayımlar!$B:$Q,3,0))</f>
        <v>8698829380698</v>
      </c>
      <c r="D76" s="43" t="s">
        <v>161</v>
      </c>
      <c r="E76" s="75" t="s">
        <v>244</v>
      </c>
      <c r="F76" s="75" t="s">
        <v>341</v>
      </c>
      <c r="G76" s="43"/>
      <c r="H76" s="75" t="str">
        <f>IF(B76="","",VLOOKUP(AD76,Varsayımlar!$B:$Q,5,0))</f>
        <v>Tortillas Avrupa Pizza 26cm (742)</v>
      </c>
      <c r="I76" s="75">
        <f>IF(B76="","",VLOOKUP(AD76,Varsayımlar!B:T,19,0))</f>
        <v>0</v>
      </c>
      <c r="J76" s="75" t="str">
        <f>IF(B76="","",VLOOKUP(AD76,Varsayımlar!$B:$Q,6,0))</f>
        <v>SADE</v>
      </c>
      <c r="K76" s="75">
        <v>840</v>
      </c>
      <c r="L76" s="75"/>
      <c r="M76" s="75">
        <f>IFERROR(IF(B76="","",K76/VLOOKUP(AD76,Varsayımlar!B:R,17,0)),"")</f>
        <v>7</v>
      </c>
      <c r="N76" s="75"/>
      <c r="O76" s="75">
        <v>11</v>
      </c>
      <c r="P76" s="75">
        <f>IF(B76="","",VLOOKUP(AD76,Varsayımlar!$B:$Q,7,0)*K76)</f>
        <v>6720</v>
      </c>
      <c r="Q76" s="75">
        <f>IF(B76="","",VLOOKUP(AD76,Varsayımlar!$B:$Q,8,0))</f>
        <v>26</v>
      </c>
      <c r="R76" s="75" t="str">
        <f>IF(B76="","",VLOOKUP(AD76,Varsayımlar!$B:$Q,9,0))</f>
        <v>Irak Soft</v>
      </c>
      <c r="S76" s="75">
        <f>IF(B76="","",VLOOKUP(AD76,Varsayımlar!$B:$Q,10,0))</f>
        <v>4</v>
      </c>
      <c r="T76" s="75">
        <f>IF(B76="","",VLOOKUP(AD76,Varsayımlar!$B:$Q,11,0))</f>
        <v>8</v>
      </c>
      <c r="U76" s="75">
        <f>IF(B76="","",VLOOKUP(AD76,Varsayımlar!$B:$Q,12,0))</f>
        <v>480</v>
      </c>
      <c r="V76" s="75" t="str">
        <f>IF(B76="","",VLOOKUP(AD76,Varsayımlar!$B:$Q,13,0))</f>
        <v>Yurtdışı</v>
      </c>
      <c r="W76" s="75">
        <f>IF(B76="","",VLOOKUP(AD76,Varsayımlar!$B:$Q,14,0))</f>
        <v>9</v>
      </c>
      <c r="X76" s="76"/>
      <c r="Y76" s="76"/>
      <c r="Z76" s="75"/>
      <c r="AA76" s="75" t="str">
        <f>IF(B76="","",VLOOKUP(AD76,Varsayımlar!$B:$Q,15,0))</f>
        <v>26cm Pizza Perforeli-Bulgarca Etiket</v>
      </c>
      <c r="AB76" s="75" t="str">
        <f>IF(B76="","",VLOOKUP(AD76,Varsayımlar!$B:$Q,16,0))</f>
        <v>26 cm kesme -Beze 145-150g, Kesilmmeiş çap 27-28cm, Kesilmemiş ağı: 520-540g, Kesilmiş:475-485g</v>
      </c>
      <c r="AC76" s="75" t="str">
        <f>IF(B76="","",VLOOKUP(Sayfa1!AD81,Varsayımlar!B:S,18,0))</f>
        <v>80x120cm -Epal+Epal</v>
      </c>
      <c r="AD76" s="57" t="str">
        <f t="shared" si="3"/>
        <v>TASTE LAND-BULGARİSTANTortillas Pizza 26cm 4pcs 480g</v>
      </c>
    </row>
    <row r="77" spans="1:31" x14ac:dyDescent="0.25">
      <c r="A77" s="8" t="s">
        <v>88</v>
      </c>
      <c r="B77" s="67"/>
      <c r="C77" s="42" t="str">
        <f>IF(B77="","",VLOOKUP(AD77,Varsayımlar!$B:$Q,3,0))</f>
        <v/>
      </c>
      <c r="D77" s="42"/>
      <c r="E77" s="42"/>
      <c r="F77" s="42"/>
      <c r="G77" s="42"/>
      <c r="H77" s="42" t="str">
        <f>IF(B77="","",VLOOKUP(AD77,Varsayımlar!$B:$Q,5,0))</f>
        <v/>
      </c>
      <c r="I77" s="42"/>
      <c r="J77" s="42" t="str">
        <f>IF(B77="","",VLOOKUP(AD77,Varsayımlar!$B:$Q,6,0))</f>
        <v/>
      </c>
      <c r="K77" s="42"/>
      <c r="L77" s="42"/>
      <c r="M77" s="42" t="str">
        <f>IFERROR(IF(B77="","",K77/VLOOKUP(AD77,Varsayımlar!B:R,17,0)),"")</f>
        <v/>
      </c>
      <c r="N77" s="42"/>
      <c r="O77" s="42"/>
      <c r="P77" s="42" t="str">
        <f>IF(B77="","",VLOOKUP(AD77,Varsayımlar!$B:$Q,7,0)*K77)</f>
        <v/>
      </c>
      <c r="Q77" s="42" t="str">
        <f>IF(B77="","",VLOOKUP(AD77,Varsayımlar!$B:$Q,8,0))</f>
        <v/>
      </c>
      <c r="R77" s="42" t="str">
        <f>IF(B77="","",VLOOKUP(AD77,Varsayımlar!$B:$Q,9,0))</f>
        <v/>
      </c>
      <c r="S77" s="42" t="str">
        <f>IF(B77="","",VLOOKUP(AD77,Varsayımlar!$B:$Q,10,0))</f>
        <v/>
      </c>
      <c r="T77" s="42" t="str">
        <f>IF(B77="","",VLOOKUP(AD77,Varsayımlar!$B:$Q,11,0))</f>
        <v/>
      </c>
      <c r="U77" s="42" t="str">
        <f>IF(B77="","",VLOOKUP(AD77,Varsayımlar!$B:$Q,12,0))</f>
        <v/>
      </c>
      <c r="V77" s="42" t="str">
        <f>IF(B77="","",VLOOKUP(AD77,Varsayımlar!$B:$Q,13,0))</f>
        <v/>
      </c>
      <c r="W77" s="67" t="str">
        <f>IF(B77="","",VLOOKUP(AD77,Varsayımlar!$B:$Q,14,0))</f>
        <v/>
      </c>
      <c r="X77" s="69"/>
      <c r="Y77" s="69"/>
      <c r="Z77" s="67"/>
      <c r="AA77" s="67" t="str">
        <f>IF(B77="","",VLOOKUP(AD77,Varsayımlar!$B:$Q,15,0))</f>
        <v/>
      </c>
      <c r="AB77" s="67" t="str">
        <f>IF(B77="","",VLOOKUP(AD77,Varsayımlar!$B:$Q,16,0))</f>
        <v/>
      </c>
      <c r="AC77" s="67"/>
      <c r="AD77" s="57" t="str">
        <f t="shared" si="3"/>
        <v/>
      </c>
    </row>
    <row r="78" spans="1:31" x14ac:dyDescent="0.25">
      <c r="A78" s="8" t="s">
        <v>89</v>
      </c>
      <c r="B78" s="67"/>
      <c r="C78" s="42" t="str">
        <f>IF(B78="","",VLOOKUP(AD78,Varsayımlar!$B:$Q,3,0))</f>
        <v/>
      </c>
      <c r="D78" s="42"/>
      <c r="E78" s="42"/>
      <c r="F78" s="42"/>
      <c r="G78" s="42"/>
      <c r="H78" s="42" t="str">
        <f>IF(B78="","",VLOOKUP(AD78,Varsayımlar!$B:$Q,5,0))</f>
        <v/>
      </c>
      <c r="I78" s="42"/>
      <c r="J78" s="42" t="str">
        <f>IF(B78="","",VLOOKUP(AD78,Varsayımlar!$B:$Q,6,0))</f>
        <v/>
      </c>
      <c r="K78" s="42"/>
      <c r="L78" s="42"/>
      <c r="M78" s="42" t="str">
        <f>IFERROR(IF(B78="","",K78/VLOOKUP(AD78,Varsayımlar!B:R,17,0)),"")</f>
        <v/>
      </c>
      <c r="N78" s="42"/>
      <c r="O78" s="42"/>
      <c r="P78" s="42" t="str">
        <f>IF(B78="","",VLOOKUP(AD78,Varsayımlar!$B:$Q,7,0)*K78)</f>
        <v/>
      </c>
      <c r="Q78" s="42" t="str">
        <f>IF(B78="","",VLOOKUP(AD78,Varsayımlar!$B:$Q,8,0))</f>
        <v/>
      </c>
      <c r="R78" s="42" t="str">
        <f>IF(B78="","",VLOOKUP(AD78,Varsayımlar!$B:$Q,9,0))</f>
        <v/>
      </c>
      <c r="S78" s="42" t="str">
        <f>IF(B78="","",VLOOKUP(AD78,Varsayımlar!$B:$Q,10,0))</f>
        <v/>
      </c>
      <c r="T78" s="42" t="str">
        <f>IF(B78="","",VLOOKUP(AD78,Varsayımlar!$B:$Q,11,0))</f>
        <v/>
      </c>
      <c r="U78" s="42" t="str">
        <f>IF(B78="","",VLOOKUP(AD78,Varsayımlar!$B:$Q,12,0))</f>
        <v/>
      </c>
      <c r="V78" s="42" t="str">
        <f>IF(B78="","",VLOOKUP(AD78,Varsayımlar!$B:$Q,13,0))</f>
        <v/>
      </c>
      <c r="W78" s="67" t="str">
        <f>IF(B78="","",VLOOKUP(AD78,Varsayımlar!$B:$Q,14,0))</f>
        <v/>
      </c>
      <c r="X78" s="69"/>
      <c r="Y78" s="69"/>
      <c r="Z78" s="67"/>
      <c r="AA78" s="67" t="str">
        <f>IF(B78="","",VLOOKUP(AD78,Varsayımlar!$B:$Q,15,0))</f>
        <v/>
      </c>
      <c r="AB78" s="67" t="str">
        <f>IF(B78="","",VLOOKUP(AD78,Varsayımlar!$B:$Q,16,0))</f>
        <v/>
      </c>
      <c r="AC78" s="67"/>
      <c r="AD78" s="57" t="str">
        <f t="shared" si="3"/>
        <v/>
      </c>
    </row>
    <row r="79" spans="1:31" x14ac:dyDescent="0.25">
      <c r="A79" s="8" t="s">
        <v>90</v>
      </c>
      <c r="B79" s="67"/>
      <c r="C79" s="42" t="str">
        <f>IF(B79="","",VLOOKUP(AD79,Varsayımlar!$B:$Q,3,0))</f>
        <v/>
      </c>
      <c r="D79" s="42"/>
      <c r="E79" s="42"/>
      <c r="F79" s="42"/>
      <c r="G79" s="42"/>
      <c r="H79" s="42" t="str">
        <f>IF(B79="","",VLOOKUP(AD79,Varsayımlar!$B:$Q,5,0))</f>
        <v/>
      </c>
      <c r="I79" s="42"/>
      <c r="J79" s="42" t="str">
        <f>IF(B79="","",VLOOKUP(AD79,Varsayımlar!$B:$Q,6,0))</f>
        <v/>
      </c>
      <c r="K79" s="42"/>
      <c r="L79" s="42"/>
      <c r="M79" s="42" t="str">
        <f>IFERROR(IF(B79="","",K79/VLOOKUP(AD79,Varsayımlar!B:R,17,0)),"")</f>
        <v/>
      </c>
      <c r="N79" s="42"/>
      <c r="O79" s="42"/>
      <c r="P79" s="42" t="str">
        <f>IF(B79="","",VLOOKUP(AD79,Varsayımlar!$B:$Q,7,0)*K79)</f>
        <v/>
      </c>
      <c r="Q79" s="42" t="str">
        <f>IF(B79="","",VLOOKUP(AD79,Varsayımlar!$B:$Q,8,0))</f>
        <v/>
      </c>
      <c r="R79" s="42" t="str">
        <f>IF(B79="","",VLOOKUP(AD79,Varsayımlar!$B:$Q,9,0))</f>
        <v/>
      </c>
      <c r="S79" s="42" t="str">
        <f>IF(B79="","",VLOOKUP(AD79,Varsayımlar!$B:$Q,10,0))</f>
        <v/>
      </c>
      <c r="T79" s="42" t="str">
        <f>IF(B79="","",VLOOKUP(AD79,Varsayımlar!$B:$Q,11,0))</f>
        <v/>
      </c>
      <c r="U79" s="42" t="str">
        <f>IF(B79="","",VLOOKUP(AD79,Varsayımlar!$B:$Q,12,0))</f>
        <v/>
      </c>
      <c r="V79" s="42" t="str">
        <f>IF(B79="","",VLOOKUP(AD79,Varsayımlar!$B:$Q,13,0))</f>
        <v/>
      </c>
      <c r="W79" s="67" t="str">
        <f>IF(B79="","",VLOOKUP(AD79,Varsayımlar!$B:$Q,14,0))</f>
        <v/>
      </c>
      <c r="X79" s="69"/>
      <c r="Y79" s="69"/>
      <c r="Z79" s="67"/>
      <c r="AA79" s="67" t="str">
        <f>IF(B79="","",VLOOKUP(AD79,Varsayımlar!$B:$Q,15,0))</f>
        <v/>
      </c>
      <c r="AB79" s="67" t="str">
        <f>IF(B79="","",VLOOKUP(AD79,Varsayımlar!$B:$Q,16,0))</f>
        <v/>
      </c>
      <c r="AC79" s="67"/>
      <c r="AD79" s="57" t="str">
        <f t="shared" si="3"/>
        <v/>
      </c>
    </row>
    <row r="80" spans="1:31" x14ac:dyDescent="0.25">
      <c r="A80" s="8" t="s">
        <v>91</v>
      </c>
      <c r="B80" s="67"/>
      <c r="C80" s="42" t="str">
        <f>IF(B80="","",VLOOKUP(AD80,Varsayımlar!$B:$Q,3,0))</f>
        <v/>
      </c>
      <c r="D80" s="42"/>
      <c r="E80" s="42"/>
      <c r="F80" s="42"/>
      <c r="G80" s="42"/>
      <c r="H80" s="42" t="str">
        <f>IF(B80="","",VLOOKUP(AD80,Varsayımlar!$B:$Q,5,0))</f>
        <v/>
      </c>
      <c r="I80" s="42"/>
      <c r="J80" s="42" t="str">
        <f>IF(B80="","",VLOOKUP(AD80,Varsayımlar!$B:$Q,6,0))</f>
        <v/>
      </c>
      <c r="K80" s="42"/>
      <c r="L80" s="42"/>
      <c r="M80" s="42" t="str">
        <f>IFERROR(IF(B80="","",K80/VLOOKUP(AD80,Varsayımlar!B:R,17,0)),"")</f>
        <v/>
      </c>
      <c r="N80" s="42"/>
      <c r="O80" s="42"/>
      <c r="P80" s="42" t="str">
        <f>IF(B80="","",VLOOKUP(AD80,Varsayımlar!$B:$Q,7,0)*K80)</f>
        <v/>
      </c>
      <c r="Q80" s="42" t="str">
        <f>IF(B80="","",VLOOKUP(AD80,Varsayımlar!$B:$Q,8,0))</f>
        <v/>
      </c>
      <c r="R80" s="42" t="str">
        <f>IF(B80="","",VLOOKUP(AD80,Varsayımlar!$B:$Q,9,0))</f>
        <v/>
      </c>
      <c r="S80" s="42" t="str">
        <f>IF(B80="","",VLOOKUP(AD80,Varsayımlar!$B:$Q,10,0))</f>
        <v/>
      </c>
      <c r="T80" s="42" t="str">
        <f>IF(B80="","",VLOOKUP(AD80,Varsayımlar!$B:$Q,11,0))</f>
        <v/>
      </c>
      <c r="U80" s="42" t="str">
        <f>IF(B80="","",VLOOKUP(AD80,Varsayımlar!$B:$Q,12,0))</f>
        <v/>
      </c>
      <c r="V80" s="42" t="str">
        <f>IF(B80="","",VLOOKUP(AD80,Varsayımlar!$B:$Q,13,0))</f>
        <v/>
      </c>
      <c r="W80" s="67" t="str">
        <f>IF(B80="","",VLOOKUP(AD80,Varsayımlar!$B:$Q,14,0))</f>
        <v/>
      </c>
      <c r="X80" s="69"/>
      <c r="Y80" s="69"/>
      <c r="Z80" s="67"/>
      <c r="AA80" s="67" t="str">
        <f>IF(B80="","",VLOOKUP(AD80,Varsayımlar!$B:$Q,15,0))</f>
        <v/>
      </c>
      <c r="AB80" s="67" t="str">
        <f>IF(B80="","",VLOOKUP(AD80,Varsayımlar!$B:$Q,16,0))</f>
        <v/>
      </c>
      <c r="AC80" s="67"/>
      <c r="AD80" s="57" t="str">
        <f t="shared" si="3"/>
        <v/>
      </c>
    </row>
    <row r="81" spans="1:30" x14ac:dyDescent="0.25">
      <c r="A81" s="8" t="s">
        <v>92</v>
      </c>
      <c r="B81" s="67"/>
      <c r="C81" s="42" t="str">
        <f>IF(B81="","",VLOOKUP(AD81,Varsayımlar!$B:$Q,3,0))</f>
        <v/>
      </c>
      <c r="D81" s="42"/>
      <c r="E81" s="42"/>
      <c r="F81" s="42"/>
      <c r="G81" s="42"/>
      <c r="H81" s="42" t="str">
        <f>IF(B81="","",VLOOKUP(AD81,Varsayımlar!$B:$Q,5,0))</f>
        <v/>
      </c>
      <c r="I81" s="42"/>
      <c r="J81" s="42" t="str">
        <f>IF(B81="","",VLOOKUP(AD81,Varsayımlar!$B:$Q,6,0))</f>
        <v/>
      </c>
      <c r="K81" s="42"/>
      <c r="L81" s="42"/>
      <c r="M81" s="42" t="str">
        <f>IFERROR(IF(B81="","",K81/VLOOKUP(AD81,Varsayımlar!B:R,17,0)),"")</f>
        <v/>
      </c>
      <c r="N81" s="42"/>
      <c r="O81" s="42"/>
      <c r="P81" s="42" t="str">
        <f>IF(B81="","",VLOOKUP(AD81,Varsayımlar!$B:$Q,7,0)*K81)</f>
        <v/>
      </c>
      <c r="Q81" s="42" t="str">
        <f>IF(B81="","",VLOOKUP(AD81,Varsayımlar!$B:$Q,8,0))</f>
        <v/>
      </c>
      <c r="R81" s="42" t="str">
        <f>IF(B81="","",VLOOKUP(AD81,Varsayımlar!$B:$Q,9,0))</f>
        <v/>
      </c>
      <c r="S81" s="42" t="str">
        <f>IF(B81="","",VLOOKUP(AD81,Varsayımlar!$B:$Q,10,0))</f>
        <v/>
      </c>
      <c r="T81" s="42" t="str">
        <f>IF(B81="","",VLOOKUP(AD81,Varsayımlar!$B:$Q,11,0))</f>
        <v/>
      </c>
      <c r="U81" s="42" t="str">
        <f>IF(B81="","",VLOOKUP(AD81,Varsayımlar!$B:$Q,12,0))</f>
        <v/>
      </c>
      <c r="V81" s="42" t="str">
        <f>IF(B81="","",VLOOKUP(AD81,Varsayımlar!$B:$Q,13,0))</f>
        <v/>
      </c>
      <c r="W81" s="67" t="str">
        <f>IF(B81="","",VLOOKUP(AD81,Varsayımlar!$B:$Q,14,0))</f>
        <v/>
      </c>
      <c r="X81" s="69"/>
      <c r="Y81" s="69"/>
      <c r="Z81" s="67"/>
      <c r="AA81" s="67" t="str">
        <f>IF(B81="","",VLOOKUP(AD81,Varsayımlar!$B:$Q,15,0))</f>
        <v/>
      </c>
      <c r="AB81" s="67" t="str">
        <f>IF(B81="","",VLOOKUP(AD81,Varsayımlar!$B:$Q,16,0))</f>
        <v/>
      </c>
      <c r="AC81" s="67"/>
      <c r="AD81" s="57" t="str">
        <f t="shared" si="3"/>
        <v/>
      </c>
    </row>
    <row r="82" spans="1:30" x14ac:dyDescent="0.25">
      <c r="A82" s="8" t="s">
        <v>93</v>
      </c>
      <c r="B82" s="67"/>
      <c r="C82" s="42" t="str">
        <f>IF(B82="","",VLOOKUP(AD82,Varsayımlar!$B:$Q,3,0))</f>
        <v/>
      </c>
      <c r="D82" s="42"/>
      <c r="E82" s="42"/>
      <c r="F82" s="42"/>
      <c r="G82" s="42"/>
      <c r="H82" s="42" t="str">
        <f>IF(B82="","",VLOOKUP(AD82,Varsayımlar!$B:$Q,5,0))</f>
        <v/>
      </c>
      <c r="I82" s="42"/>
      <c r="J82" s="42" t="str">
        <f>IF(B82="","",VLOOKUP(AD82,Varsayımlar!$B:$Q,6,0))</f>
        <v/>
      </c>
      <c r="K82" s="42"/>
      <c r="L82" s="42"/>
      <c r="M82" s="42" t="str">
        <f>IFERROR(IF(B82="","",K82/VLOOKUP(AD82,Varsayımlar!B:R,17,0)),"")</f>
        <v/>
      </c>
      <c r="N82" s="42"/>
      <c r="O82" s="42"/>
      <c r="P82" s="42" t="str">
        <f>IF(B82="","",VLOOKUP(AD82,Varsayımlar!$B:$Q,7,0)*K82)</f>
        <v/>
      </c>
      <c r="Q82" s="42" t="str">
        <f>IF(B82="","",VLOOKUP(AD82,Varsayımlar!$B:$Q,8,0))</f>
        <v/>
      </c>
      <c r="R82" s="42" t="str">
        <f>IF(B82="","",VLOOKUP(AD82,Varsayımlar!$B:$Q,9,0))</f>
        <v/>
      </c>
      <c r="S82" s="42" t="str">
        <f>IF(B82="","",VLOOKUP(AD82,Varsayımlar!$B:$Q,10,0))</f>
        <v/>
      </c>
      <c r="T82" s="42" t="str">
        <f>IF(B82="","",VLOOKUP(AD82,Varsayımlar!$B:$Q,11,0))</f>
        <v/>
      </c>
      <c r="U82" s="42" t="str">
        <f>IF(B82="","",VLOOKUP(AD82,Varsayımlar!$B:$Q,12,0))</f>
        <v/>
      </c>
      <c r="V82" s="42" t="str">
        <f>IF(B82="","",VLOOKUP(AD82,Varsayımlar!$B:$Q,13,0))</f>
        <v/>
      </c>
      <c r="W82" s="67" t="str">
        <f>IF(B82="","",VLOOKUP(AD82,Varsayımlar!$B:$Q,14,0))</f>
        <v/>
      </c>
      <c r="X82" s="69"/>
      <c r="Y82" s="69"/>
      <c r="Z82" s="67"/>
      <c r="AA82" s="67" t="str">
        <f>IF(B82="","",VLOOKUP(AD82,Varsayımlar!$B:$Q,15,0))</f>
        <v/>
      </c>
      <c r="AB82" s="67" t="str">
        <f>IF(B82="","",VLOOKUP(AD82,Varsayımlar!$B:$Q,16,0))</f>
        <v/>
      </c>
      <c r="AC82" s="67"/>
      <c r="AD82" s="57" t="str">
        <f t="shared" si="3"/>
        <v/>
      </c>
    </row>
    <row r="83" spans="1:30" x14ac:dyDescent="0.25">
      <c r="A83" s="8" t="s">
        <v>135</v>
      </c>
      <c r="B83" s="67"/>
      <c r="C83" s="42" t="str">
        <f>IF(B83="","",VLOOKUP(AD83,Varsayımlar!$B:$Q,3,0))</f>
        <v/>
      </c>
      <c r="D83" s="42"/>
      <c r="E83" s="42"/>
      <c r="F83" s="42"/>
      <c r="G83" s="42"/>
      <c r="H83" s="42" t="str">
        <f>IF(B83="","",VLOOKUP(AD83,Varsayımlar!$B:$Q,5,0))</f>
        <v/>
      </c>
      <c r="I83" s="42"/>
      <c r="J83" s="42" t="str">
        <f>IF(B83="","",VLOOKUP(AD83,Varsayımlar!$B:$Q,6,0))</f>
        <v/>
      </c>
      <c r="K83" s="42"/>
      <c r="L83" s="42"/>
      <c r="M83" s="42" t="str">
        <f>IFERROR(IF(B83="","",K83/VLOOKUP(AD83,Varsayımlar!B:R,17,0)),"")</f>
        <v/>
      </c>
      <c r="N83" s="42"/>
      <c r="O83" s="42"/>
      <c r="P83" s="42" t="str">
        <f>IF(B83="","",VLOOKUP(AD83,Varsayımlar!$B:$Q,7,0)*K83)</f>
        <v/>
      </c>
      <c r="Q83" s="42" t="str">
        <f>IF(B83="","",VLOOKUP(AD83,Varsayımlar!$B:$Q,8,0))</f>
        <v/>
      </c>
      <c r="R83" s="42" t="str">
        <f>IF(B83="","",VLOOKUP(AD83,Varsayımlar!$B:$Q,9,0))</f>
        <v/>
      </c>
      <c r="S83" s="42" t="str">
        <f>IF(B83="","",VLOOKUP(AD83,Varsayımlar!$B:$Q,10,0))</f>
        <v/>
      </c>
      <c r="T83" s="42" t="str">
        <f>IF(B83="","",VLOOKUP(AD83,Varsayımlar!$B:$Q,11,0))</f>
        <v/>
      </c>
      <c r="U83" s="42" t="str">
        <f>IF(B83="","",VLOOKUP(AD83,Varsayımlar!$B:$Q,12,0))</f>
        <v/>
      </c>
      <c r="V83" s="42" t="str">
        <f>IF(B83="","",VLOOKUP(AD83,Varsayımlar!$B:$Q,13,0))</f>
        <v/>
      </c>
      <c r="W83" s="67" t="str">
        <f>IF(B83="","",VLOOKUP(AD83,Varsayımlar!$B:$Q,14,0))</f>
        <v/>
      </c>
      <c r="X83" s="69"/>
      <c r="Y83" s="69"/>
      <c r="Z83" s="67"/>
      <c r="AA83" s="67" t="str">
        <f>IF(B83="","",VLOOKUP(AD83,Varsayımlar!$B:$Q,15,0))</f>
        <v/>
      </c>
      <c r="AB83" s="67" t="str">
        <f>IF(B83="","",VLOOKUP(AD83,Varsayımlar!$B:$Q,16,0))</f>
        <v/>
      </c>
      <c r="AC83" s="67"/>
      <c r="AD83" s="57" t="str">
        <f t="shared" si="3"/>
        <v/>
      </c>
    </row>
    <row r="84" spans="1:30" x14ac:dyDescent="0.25">
      <c r="A84" s="8" t="s">
        <v>136</v>
      </c>
      <c r="B84" s="67"/>
      <c r="C84" s="42" t="str">
        <f>IF(B84="","",VLOOKUP(AD84,Varsayımlar!$B:$Q,3,0))</f>
        <v/>
      </c>
      <c r="D84" s="42"/>
      <c r="E84" s="42"/>
      <c r="F84" s="42"/>
      <c r="G84" s="42"/>
      <c r="H84" s="42" t="str">
        <f>IF(B84="","",VLOOKUP(AD84,Varsayımlar!$B:$Q,5,0))</f>
        <v/>
      </c>
      <c r="I84" s="42"/>
      <c r="J84" s="42" t="str">
        <f>IF(B84="","",VLOOKUP(AD84,Varsayımlar!$B:$Q,6,0))</f>
        <v/>
      </c>
      <c r="K84" s="42"/>
      <c r="L84" s="42"/>
      <c r="M84" s="42" t="str">
        <f>IFERROR(IF(B84="","",K84/VLOOKUP(AD84,Varsayımlar!B:R,17,0)),"")</f>
        <v/>
      </c>
      <c r="N84" s="42"/>
      <c r="O84" s="42"/>
      <c r="P84" s="42" t="str">
        <f>IF(B84="","",VLOOKUP(AD84,Varsayımlar!$B:$Q,7,0)*K84)</f>
        <v/>
      </c>
      <c r="Q84" s="42" t="str">
        <f>IF(B84="","",VLOOKUP(AD84,Varsayımlar!$B:$Q,8,0))</f>
        <v/>
      </c>
      <c r="R84" s="42" t="str">
        <f>IF(B84="","",VLOOKUP(AD84,Varsayımlar!$B:$Q,9,0))</f>
        <v/>
      </c>
      <c r="S84" s="42" t="str">
        <f>IF(B84="","",VLOOKUP(AD84,Varsayımlar!$B:$Q,10,0))</f>
        <v/>
      </c>
      <c r="T84" s="42" t="str">
        <f>IF(B84="","",VLOOKUP(AD84,Varsayımlar!$B:$Q,11,0))</f>
        <v/>
      </c>
      <c r="U84" s="42" t="str">
        <f>IF(B84="","",VLOOKUP(AD84,Varsayımlar!$B:$Q,12,0))</f>
        <v/>
      </c>
      <c r="V84" s="42" t="str">
        <f>IF(B84="","",VLOOKUP(AD84,Varsayımlar!$B:$Q,13,0))</f>
        <v/>
      </c>
      <c r="W84" s="67" t="str">
        <f>IF(B84="","",VLOOKUP(AD84,Varsayımlar!$B:$Q,14,0))</f>
        <v/>
      </c>
      <c r="X84" s="69"/>
      <c r="Y84" s="69"/>
      <c r="Z84" s="67"/>
      <c r="AA84" s="67" t="str">
        <f>IF(B84="","",VLOOKUP(AD84,Varsayımlar!$B:$Q,15,0))</f>
        <v/>
      </c>
      <c r="AB84" s="67" t="str">
        <f>IF(B84="","",VLOOKUP(AD84,Varsayımlar!$B:$Q,16,0))</f>
        <v/>
      </c>
      <c r="AC84" s="67"/>
      <c r="AD84" s="57" t="str">
        <f t="shared" si="3"/>
        <v/>
      </c>
    </row>
    <row r="85" spans="1:30" x14ac:dyDescent="0.25">
      <c r="A85" s="8" t="s">
        <v>137</v>
      </c>
      <c r="B85" s="86"/>
      <c r="C85" s="87" t="str">
        <f>IF(B85="","",VLOOKUP(AD85,Varsayımlar!$B:$Q,3,0))</f>
        <v/>
      </c>
      <c r="D85" s="87"/>
      <c r="H85" s="57" t="str">
        <f>IF(B85="","",VLOOKUP(AD85,Varsayımlar!$B:$Q,5,0))</f>
        <v/>
      </c>
      <c r="I85" s="57"/>
      <c r="J85" s="57" t="str">
        <f>IF(B85="","",VLOOKUP(AD85,Varsayımlar!$B:$Q,6,0))</f>
        <v/>
      </c>
      <c r="P85" s="57" t="str">
        <f>IF(B85="","",VLOOKUP(AD85,Varsayımlar!$B:$Q,7,0)*K85)</f>
        <v/>
      </c>
      <c r="Q85" s="57" t="str">
        <f>IF(B85="","",VLOOKUP(AD85,Varsayımlar!$B:$Q,8,0))</f>
        <v/>
      </c>
      <c r="R85" s="57" t="str">
        <f>IF(B85="","",VLOOKUP(AD85,Varsayımlar!$B:$Q,9,0))</f>
        <v/>
      </c>
      <c r="S85" s="57" t="str">
        <f>IF(B85="","",VLOOKUP(AD85,Varsayımlar!$B:$Q,10,0))</f>
        <v/>
      </c>
      <c r="T85" s="57" t="str">
        <f>IF(B85="","",VLOOKUP(AD85,Varsayımlar!$B:$Q,11,0))</f>
        <v/>
      </c>
      <c r="U85" s="57" t="str">
        <f>IF(B85="","",VLOOKUP(AD85,Varsayımlar!$B:$Q,12,0))</f>
        <v/>
      </c>
      <c r="V85" s="57" t="str">
        <f>IF(B85="","",VLOOKUP(AD85,Varsayımlar!$B:$Q,13,0))</f>
        <v/>
      </c>
      <c r="W85" s="57" t="str">
        <f>IF(B85="","",VLOOKUP(AD85,Varsayımlar!$B:$Q,14,0))</f>
        <v/>
      </c>
      <c r="AA85" s="57" t="str">
        <f>IF(B85="","",VLOOKUP(AD85,Varsayımlar!$B:$Q,15,0))</f>
        <v/>
      </c>
      <c r="AB85" s="57" t="str">
        <f>IF(B85="","",VLOOKUP(AD85,Varsayımlar!$B:$Q,16,0))</f>
        <v/>
      </c>
      <c r="AC85" s="57" t="str">
        <f>IF(B85="","",VLOOKUP(Sayfa1!AD93,Varsayımlar!B:S,18,0))</f>
        <v/>
      </c>
      <c r="AD85" s="57" t="str">
        <f t="shared" si="3"/>
        <v/>
      </c>
    </row>
    <row r="86" spans="1:30" x14ac:dyDescent="0.25">
      <c r="C86" s="53" t="str">
        <f>IF(B86="","",VLOOKUP(AD86,Varsayımlar!$B:$Q,3,0))</f>
        <v/>
      </c>
      <c r="H86" s="7" t="str">
        <f>IF(B86="","",VLOOKUP(AD86,Varsayımlar!$B:$Q,5,0))</f>
        <v/>
      </c>
      <c r="J86" s="7" t="str">
        <f>IF(B86="","",VLOOKUP(AD86,Varsayımlar!$B:$Q,6,0))</f>
        <v/>
      </c>
      <c r="P86" s="7" t="str">
        <f>IF(B86="","",VLOOKUP(AD86,Varsayımlar!$B:$Q,7,0)*K86)</f>
        <v/>
      </c>
      <c r="Q86" s="7" t="str">
        <f>IF(B86="","",VLOOKUP(AD86,Varsayımlar!$B:$Q,8,0))</f>
        <v/>
      </c>
      <c r="R86" s="7" t="str">
        <f>IF(B86="","",VLOOKUP(AD86,Varsayımlar!$B:$Q,9,0))</f>
        <v/>
      </c>
      <c r="S86" s="7" t="str">
        <f>IF(B86="","",VLOOKUP(AD86,Varsayımlar!$B:$Q,10,0))</f>
        <v/>
      </c>
      <c r="T86" s="7" t="str">
        <f>IF(B86="","",VLOOKUP(AD86,Varsayımlar!$B:$Q,11,0))</f>
        <v/>
      </c>
      <c r="U86" s="7" t="str">
        <f>IF(B86="","",VLOOKUP(AD86,Varsayımlar!$B:$Q,12,0))</f>
        <v/>
      </c>
      <c r="V86" s="7" t="str">
        <f>IF(B86="","",VLOOKUP(AD86,Varsayımlar!$B:$Q,13,0))</f>
        <v/>
      </c>
      <c r="W86" s="7" t="str">
        <f>IF(B86="","",VLOOKUP(AD86,Varsayımlar!$B:$Q,14,0))</f>
        <v/>
      </c>
      <c r="AA86" s="7" t="str">
        <f>IF(B86="","",VLOOKUP(AD86,Varsayımlar!$B:$Q,15,0))</f>
        <v/>
      </c>
      <c r="AB86" s="7" t="str">
        <f>IF(B86="","",VLOOKUP(AD86,Varsayımlar!$B:$Q,16,0))</f>
        <v/>
      </c>
      <c r="AC86" s="7" t="str">
        <f>IF(B86="","",VLOOKUP(Sayfa1!AD94,Varsayımlar!B:S,18,0))</f>
        <v/>
      </c>
      <c r="AD86" s="7" t="str">
        <f t="shared" si="3"/>
        <v/>
      </c>
    </row>
  </sheetData>
  <mergeCells count="5">
    <mergeCell ref="A1:AC1"/>
    <mergeCell ref="A2:Z2"/>
    <mergeCell ref="AB2:AC2"/>
    <mergeCell ref="A45:AB45"/>
    <mergeCell ref="A65:AB65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29" fitToHeight="6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82"/>
  <sheetViews>
    <sheetView zoomScale="60" zoomScaleNormal="60" workbookViewId="0">
      <selection activeCell="F12" sqref="F12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28515625" style="53" hidden="1" customWidth="1"/>
    <col min="4" max="4" width="10.85546875" style="53" customWidth="1"/>
    <col min="5" max="5" width="42" style="53" customWidth="1"/>
    <col min="6" max="6" width="17.7109375" style="7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1.42578125" style="7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17.28515625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46185</v>
      </c>
      <c r="AB2" s="185">
        <v>0.69444444444444442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x14ac:dyDescent="0.25">
      <c r="A4" s="8" t="s">
        <v>26</v>
      </c>
      <c r="B4" s="67" t="s">
        <v>64</v>
      </c>
      <c r="C4" s="42">
        <f>IF(B4="","",VLOOKUP(AD4,Varsayımlar!$B:$Q,3,0))</f>
        <v>8698829380698</v>
      </c>
      <c r="D4" s="42"/>
      <c r="E4" s="67" t="s">
        <v>65</v>
      </c>
      <c r="F4" s="67">
        <v>30</v>
      </c>
      <c r="G4" s="42" t="s">
        <v>68</v>
      </c>
      <c r="H4" s="67" t="str">
        <f>IF(B4="","",VLOOKUP(AD4,Varsayımlar!$B:$Q,5,0))</f>
        <v>TORTİLLAS 20CM (SAMAKAT BİLGİLERİ EKLİ)</v>
      </c>
      <c r="I4" s="67">
        <f>IF(B4="","",VLOOKUP(AD4,Varsayımlar!B:T,19,0))</f>
        <v>0</v>
      </c>
      <c r="J4" s="67" t="str">
        <f>IF(B4="","",VLOOKUP(AD4,Varsayımlar!$B:$Q,6,0))</f>
        <v>SADE</v>
      </c>
      <c r="K4" s="67">
        <v>6975</v>
      </c>
      <c r="L4" s="67">
        <v>225</v>
      </c>
      <c r="M4" s="67">
        <f>IFERROR(IF(B4="","",K4/VLOOKUP(AD4,Varsayımlar!B:R,17,0)),"")</f>
        <v>31</v>
      </c>
      <c r="N4" s="67"/>
      <c r="O4" s="67">
        <v>12</v>
      </c>
      <c r="P4" s="67">
        <f>IF(B4="","",VLOOKUP(AD4,Varsayımlar!$B:$Q,7,0)*K4)</f>
        <v>97650</v>
      </c>
      <c r="Q4" s="67">
        <f>IF(B4="","",VLOOKUP(AD4,Varsayımlar!$B:$Q,8,0))</f>
        <v>20</v>
      </c>
      <c r="R4" s="67" t="str">
        <f>IF(B4="","",VLOOKUP(AD4,Varsayımlar!$B:$Q,9,0))</f>
        <v>IRAK SOFT</v>
      </c>
      <c r="S4" s="67">
        <f>IF(B4="","",VLOOKUP(AD4,Varsayımlar!$B:$Q,10,0))</f>
        <v>4</v>
      </c>
      <c r="T4" s="67">
        <f>IF(B4="","",VLOOKUP(AD4,Varsayımlar!$B:$Q,11,0))</f>
        <v>14</v>
      </c>
      <c r="U4" s="67">
        <f>IF(B4="","",VLOOKUP(AD4,Varsayımlar!$B:$Q,12,0))</f>
        <v>166</v>
      </c>
      <c r="V4" s="67" t="str">
        <f>IF(B4="","",VLOOKUP(AD4,Varsayımlar!$B:$Q,13,0))</f>
        <v>YURTDIŞI</v>
      </c>
      <c r="W4" s="67">
        <f>IF(B4="","",VLOOKUP(AD4,Varsayımlar!$B:$Q,14,0))</f>
        <v>9</v>
      </c>
      <c r="X4" s="69">
        <v>46195</v>
      </c>
      <c r="Y4" s="69">
        <v>46468</v>
      </c>
      <c r="Z4" s="67">
        <v>26062220</v>
      </c>
      <c r="AA4" s="67" t="str">
        <f>IF(B4="","",VLOOKUP(AD4,Varsayımlar!$B:$Q,15,0))</f>
        <v>SİYAH KARE KOLİ- Üretim Tarihi Etiketli</v>
      </c>
      <c r="AB4" s="67" t="str">
        <f>IF(B4="","",VLOOKUP(AD4,Varsayımlar!$B:$Q,16,0))</f>
        <v>19-21 CM</v>
      </c>
      <c r="AC4" s="67">
        <f>IF(B4="","",VLOOKUP(Sayfa1!AD16,Varsayımlar!B:S,18,0))</f>
        <v>0</v>
      </c>
      <c r="AD4" s="57" t="str">
        <f>IF(B4="","",CONCATENATE(B4,E4))</f>
        <v>SMART LLCTORTİLLAS SAMAKAT 20CM 166G</v>
      </c>
    </row>
    <row r="5" spans="1:30" ht="39" customHeight="1" x14ac:dyDescent="0.25">
      <c r="A5" s="8" t="s">
        <v>77</v>
      </c>
      <c r="B5" s="54" t="s">
        <v>64</v>
      </c>
      <c r="C5" s="39">
        <f>IF(B5="","",VLOOKUP(AD5,Varsayımlar!$B:$Q,3,0))</f>
        <v>8698829380698</v>
      </c>
      <c r="D5" s="39"/>
      <c r="E5" s="54" t="s">
        <v>176</v>
      </c>
      <c r="F5" s="54">
        <v>29</v>
      </c>
      <c r="G5" s="39" t="s">
        <v>68</v>
      </c>
      <c r="H5" s="54" t="str">
        <f>IF(B5="","",VLOOKUP(AD5,Varsayımlar!$B:$Q,5,0))</f>
        <v>Tortillas 20cm (Samakat Bilgileri Ekli)</v>
      </c>
      <c r="I5" s="54">
        <f>IF(B5="","",VLOOKUP(AD5,Varsayımlar!B:T,19,0))</f>
        <v>0</v>
      </c>
      <c r="J5" s="54" t="str">
        <f>IF(B5="","",VLOOKUP(AD5,Varsayımlar!$B:$Q,6,0))</f>
        <v>PEYNİRLİ</v>
      </c>
      <c r="K5" s="54">
        <v>7200</v>
      </c>
      <c r="L5" s="54">
        <v>6945</v>
      </c>
      <c r="M5" s="54">
        <f>IFERROR(IF(B5="","",K5/VLOOKUP(AD5,Varsayımlar!B:R,17,0)),"")</f>
        <v>32</v>
      </c>
      <c r="N5" s="54">
        <v>225</v>
      </c>
      <c r="O5" s="54">
        <v>2</v>
      </c>
      <c r="P5" s="54">
        <f>IF(B5="","",VLOOKUP(AD5,Varsayımlar!$B:$Q,7,0)*K5)</f>
        <v>100800</v>
      </c>
      <c r="Q5" s="54">
        <f>IF(B5="","",VLOOKUP(AD5,Varsayımlar!$B:$Q,8,0))</f>
        <v>20</v>
      </c>
      <c r="R5" s="54" t="str">
        <f>IF(B5="","",VLOOKUP(AD5,Varsayımlar!$B:$Q,9,0))</f>
        <v>IRAK SOFT-AT</v>
      </c>
      <c r="S5" s="54">
        <f>IF(B5="","",VLOOKUP(AD5,Varsayımlar!$B:$Q,10,0))</f>
        <v>4</v>
      </c>
      <c r="T5" s="54">
        <f>IF(B5="","",VLOOKUP(AD5,Varsayımlar!$B:$Q,11,0))</f>
        <v>14</v>
      </c>
      <c r="U5" s="54">
        <f>IF(B5="","",VLOOKUP(AD5,Varsayımlar!$B:$Q,12,0))</f>
        <v>166</v>
      </c>
      <c r="V5" s="54" t="str">
        <f>IF(B5="","",VLOOKUP(AD5,Varsayımlar!$B:$Q,13,0))</f>
        <v>YURTDIŞI</v>
      </c>
      <c r="W5" s="54">
        <f>IF(B5="","",VLOOKUP(AD5,Varsayımlar!$B:$Q,14,0))</f>
        <v>9</v>
      </c>
      <c r="X5" s="56">
        <v>46184</v>
      </c>
      <c r="Y5" s="56">
        <v>46457</v>
      </c>
      <c r="Z5" s="54" t="s">
        <v>333</v>
      </c>
      <c r="AA5" s="54" t="str">
        <f>IF(B5="","",VLOOKUP(AD5,Varsayımlar!$B:$Q,15,0))</f>
        <v>Kare Koli-Üretim Tarihli Etiket</v>
      </c>
      <c r="AB5" s="54" t="str">
        <f>IF(B5="","",VLOOKUP(AD5,Varsayımlar!$B:$Q,16,0))</f>
        <v>19-21 cm</v>
      </c>
      <c r="AC5" s="54">
        <f>IF(B5="","",VLOOKUP(Sayfa1!AD5,Varsayımlar!B:S,18,0))</f>
        <v>0</v>
      </c>
      <c r="AD5" s="57" t="str">
        <f>IF(B5="","",CONCATENATE(B5,E5))</f>
        <v>SMART LLCTortillas 20cm Peynirli 4pcs 166g</v>
      </c>
    </row>
    <row r="6" spans="1:30" ht="31.5" x14ac:dyDescent="0.25">
      <c r="A6" s="8" t="s">
        <v>78</v>
      </c>
      <c r="B6" s="67" t="s">
        <v>64</v>
      </c>
      <c r="C6" s="42">
        <f>IF(B6="","",VLOOKUP(AD6,Varsayımlar!$B:$Q,3,0))</f>
        <v>8698829380698</v>
      </c>
      <c r="D6" s="42"/>
      <c r="E6" s="67" t="s">
        <v>176</v>
      </c>
      <c r="F6" s="67">
        <v>28</v>
      </c>
      <c r="G6" s="42" t="s">
        <v>68</v>
      </c>
      <c r="H6" s="67" t="str">
        <f>IF(B6="","",VLOOKUP(AD6,Varsayımlar!$B:$Q,5,0))</f>
        <v>Tortillas 20cm (Samakat Bilgileri Ekli)</v>
      </c>
      <c r="I6" s="67">
        <f>IF(B6="","",VLOOKUP(AD6,Varsayımlar!B:T,19,0))</f>
        <v>0</v>
      </c>
      <c r="J6" s="67" t="str">
        <f>IF(B6="","",VLOOKUP(AD6,Varsayımlar!$B:$Q,6,0))</f>
        <v>PEYNİRLİ</v>
      </c>
      <c r="K6" s="67">
        <v>1575</v>
      </c>
      <c r="L6" s="67"/>
      <c r="M6" s="67">
        <f>IFERROR(IF(B6="","",K6/VLOOKUP(AD6,Varsayımlar!B:R,17,0)),"")</f>
        <v>7</v>
      </c>
      <c r="N6" s="67">
        <v>225</v>
      </c>
      <c r="O6" s="67">
        <v>11</v>
      </c>
      <c r="P6" s="67">
        <f>IF(B6="","",VLOOKUP(AD6,Varsayımlar!$B:$Q,7,0)*K6)</f>
        <v>22050</v>
      </c>
      <c r="Q6" s="67">
        <f>IF(B6="","",VLOOKUP(AD6,Varsayımlar!$B:$Q,8,0))</f>
        <v>20</v>
      </c>
      <c r="R6" s="67" t="str">
        <f>IF(B6="","",VLOOKUP(AD6,Varsayımlar!$B:$Q,9,0))</f>
        <v>IRAK SOFT-AT</v>
      </c>
      <c r="S6" s="67">
        <f>IF(B6="","",VLOOKUP(AD6,Varsayımlar!$B:$Q,10,0))</f>
        <v>4</v>
      </c>
      <c r="T6" s="67">
        <f>IF(B6="","",VLOOKUP(AD6,Varsayımlar!$B:$Q,11,0))</f>
        <v>14</v>
      </c>
      <c r="U6" s="67">
        <f>IF(B6="","",VLOOKUP(AD6,Varsayımlar!$B:$Q,12,0))</f>
        <v>166</v>
      </c>
      <c r="V6" s="67" t="str">
        <f>IF(B6="","",VLOOKUP(AD6,Varsayımlar!$B:$Q,13,0))</f>
        <v>YURTDIŞI</v>
      </c>
      <c r="W6" s="67">
        <f>IF(B6="","",VLOOKUP(AD6,Varsayımlar!$B:$Q,14,0))</f>
        <v>9</v>
      </c>
      <c r="X6" s="69">
        <v>46188</v>
      </c>
      <c r="Y6" s="69">
        <v>46461</v>
      </c>
      <c r="Z6" s="67" t="s">
        <v>172</v>
      </c>
      <c r="AA6" s="67" t="str">
        <f>IF(B6="","",VLOOKUP(AD6,Varsayımlar!$B:$Q,15,0))</f>
        <v>Kare Koli-Üretim Tarihli Etiket</v>
      </c>
      <c r="AB6" s="67" t="str">
        <f>IF(B6="","",VLOOKUP(AD6,Varsayımlar!$B:$Q,16,0))</f>
        <v>19-21 cm</v>
      </c>
      <c r="AC6" s="67">
        <f>IF(B6="","",VLOOKUP(Sayfa1!AD9,Varsayımlar!B:S,18,0))</f>
        <v>0</v>
      </c>
      <c r="AD6" s="57" t="str">
        <f>IF(B6="","",CONCATENATE(B6,E6))</f>
        <v>SMART LLCTortillas 20cm Peynirli 4pcs 166g</v>
      </c>
    </row>
    <row r="7" spans="1:30" ht="31.5" x14ac:dyDescent="0.25">
      <c r="A7" s="8" t="s">
        <v>79</v>
      </c>
      <c r="B7" s="67" t="s">
        <v>64</v>
      </c>
      <c r="C7" s="42">
        <f>IF(B7="","",VLOOKUP(AD7,Varsayımlar!$B:$Q,3,0))</f>
        <v>8698829380698</v>
      </c>
      <c r="D7" s="42"/>
      <c r="E7" s="42" t="s">
        <v>296</v>
      </c>
      <c r="F7" s="67">
        <v>28</v>
      </c>
      <c r="G7" s="42" t="s">
        <v>68</v>
      </c>
      <c r="H7" s="67" t="str">
        <f>IF(B7="","",VLOOKUP(AD7,Varsayımlar!$B:$Q,5,0))</f>
        <v>Tortillas 20cm Çok Tahıllı</v>
      </c>
      <c r="I7" s="67">
        <f>IF(B7="","",VLOOKUP(AD7,Varsayımlar!B:T,19,0))</f>
        <v>0</v>
      </c>
      <c r="J7" s="67" t="str">
        <f>IF(B7="","",VLOOKUP(AD7,Varsayımlar!$B:$Q,6,0))</f>
        <v>Çok Tahıllı</v>
      </c>
      <c r="K7" s="67">
        <v>5625</v>
      </c>
      <c r="L7" s="67"/>
      <c r="M7" s="67">
        <f>IFERROR(IF(B7="","",K7/VLOOKUP(AD7,Varsayımlar!B:R,17,0)),"")</f>
        <v>25</v>
      </c>
      <c r="N7" s="67">
        <v>225</v>
      </c>
      <c r="O7" s="67">
        <v>45</v>
      </c>
      <c r="P7" s="67">
        <f>IF(B7="","",VLOOKUP(AD7,Varsayımlar!$B:$Q,7,0)*K7)</f>
        <v>78750</v>
      </c>
      <c r="Q7" s="67">
        <f>IF(B7="","",VLOOKUP(AD7,Varsayımlar!$B:$Q,8,0))</f>
        <v>20</v>
      </c>
      <c r="R7" s="67" t="str">
        <f>IF(B7="","",VLOOKUP(AD7,Varsayımlar!$B:$Q,9,0))</f>
        <v>Irak Soft</v>
      </c>
      <c r="S7" s="67">
        <f>IF(B7="","",VLOOKUP(AD7,Varsayımlar!$B:$Q,10,0))</f>
        <v>4</v>
      </c>
      <c r="T7" s="67">
        <f>IF(B7="","",VLOOKUP(AD7,Varsayımlar!$B:$Q,11,0))</f>
        <v>14</v>
      </c>
      <c r="U7" s="67">
        <f>IF(B7="","",VLOOKUP(AD7,Varsayımlar!$B:$Q,12,0))</f>
        <v>166</v>
      </c>
      <c r="V7" s="67" t="str">
        <f>IF(B7="","",VLOOKUP(AD7,Varsayımlar!$B:$Q,13,0))</f>
        <v>Yurtdışı</v>
      </c>
      <c r="W7" s="67">
        <f>IF(B7="","",VLOOKUP(AD7,Varsayımlar!$B:$Q,14,0))</f>
        <v>9</v>
      </c>
      <c r="X7" s="69">
        <v>46188</v>
      </c>
      <c r="Y7" s="69">
        <v>46461</v>
      </c>
      <c r="Z7" s="67" t="s">
        <v>419</v>
      </c>
      <c r="AA7" s="67" t="str">
        <f>IF(B7="","",VLOOKUP(AD7,Varsayımlar!$B:$Q,15,0))</f>
        <v>SİYAH KARE KOLİ-Üretim Tarihi Etiketli</v>
      </c>
      <c r="AB7" s="67" t="str">
        <f>IF(B7="","",VLOOKUP(AD7,Varsayımlar!$B:$Q,16,0))</f>
        <v>19-21 cm</v>
      </c>
      <c r="AC7" s="58">
        <f>IF(B7="","",VLOOKUP(Sayfa1!AD8,Varsayımlar!B:S,18,0))</f>
        <v>0</v>
      </c>
      <c r="AD7" s="57" t="str">
        <f>IF(B7="","",CONCATENATE(B7,E7))</f>
        <v>SMART LLCTortillas 20cm Çok Tahıllı 4pcs 166g</v>
      </c>
    </row>
    <row r="8" spans="1:30" ht="23.25" customHeight="1" x14ac:dyDescent="0.25">
      <c r="A8" s="8"/>
      <c r="B8" s="187" t="s">
        <v>428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9"/>
      <c r="AC8" s="58"/>
      <c r="AD8" s="57"/>
    </row>
    <row r="9" spans="1:30" ht="63" x14ac:dyDescent="0.25">
      <c r="A9" s="8" t="s">
        <v>80</v>
      </c>
      <c r="B9" s="117" t="s">
        <v>53</v>
      </c>
      <c r="C9" s="118">
        <f>IF(B9="","",VLOOKUP(AD9,Varsayımlar!$B:$Q,3,0))</f>
        <v>8698829380698</v>
      </c>
      <c r="D9" s="117" t="s">
        <v>403</v>
      </c>
      <c r="E9" s="117" t="s">
        <v>54</v>
      </c>
      <c r="F9" s="117"/>
      <c r="G9" s="117" t="s">
        <v>404</v>
      </c>
      <c r="H9" s="117" t="str">
        <f>IF(B9="","",VLOOKUP(AD9,Varsayımlar!$B:$Q,5,0))</f>
        <v>MAGNİT MAVİ AMBALAJ 25CM</v>
      </c>
      <c r="I9" s="117">
        <f>IF(B9="","",VLOOKUP(AD9,Varsayımlar!B:T,19,0))</f>
        <v>0</v>
      </c>
      <c r="J9" s="117" t="str">
        <f>IF(B9="","",VLOOKUP(AD9,Varsayımlar!$B:$Q,6,0))</f>
        <v>SADE</v>
      </c>
      <c r="K9" s="117">
        <v>2016</v>
      </c>
      <c r="L9" s="117"/>
      <c r="M9" s="117" t="str">
        <f>IFERROR(IF(B9="","",K9/VLOOKUP(AD9,#REF!,17,0)),"")</f>
        <v/>
      </c>
      <c r="N9" s="117"/>
      <c r="O9" s="117">
        <v>18</v>
      </c>
      <c r="P9" s="117">
        <f>IF(B9="","",VLOOKUP(AD9,Varsayımlar!$B:$Q,7,0)*K9)</f>
        <v>60480</v>
      </c>
      <c r="Q9" s="117">
        <f>IF(B9="","",VLOOKUP(AD9,Varsayımlar!$B:$Q,8,0))</f>
        <v>25</v>
      </c>
      <c r="R9" s="117" t="str">
        <f>IF(B9="","",VLOOKUP(AD9,Varsayımlar!$B:$Q,9,0))</f>
        <v>SOFT</v>
      </c>
      <c r="S9" s="117">
        <f>IF(B9="","",VLOOKUP(AD9,Varsayımlar!$B:$Q,10,0))</f>
        <v>4</v>
      </c>
      <c r="T9" s="117">
        <f>IF(B9="","",VLOOKUP(AD9,Varsayımlar!$B:$Q,11,0))</f>
        <v>30</v>
      </c>
      <c r="U9" s="117">
        <f>IF(B9="","",VLOOKUP(AD9,Varsayımlar!$B:$Q,12,0))</f>
        <v>260</v>
      </c>
      <c r="V9" s="117" t="str">
        <f>IF(B9="","",VLOOKUP(AD9,Varsayımlar!$B:$Q,13,0))</f>
        <v>YURTDIŞI</v>
      </c>
      <c r="W9" s="117">
        <f>IF(B9="","",VLOOKUP(AD9,Varsayımlar!$B:$Q,14,0))</f>
        <v>9</v>
      </c>
      <c r="X9" s="122">
        <v>46193</v>
      </c>
      <c r="Y9" s="122">
        <v>46466</v>
      </c>
      <c r="Z9" s="117" t="s">
        <v>405</v>
      </c>
      <c r="AA9" s="117" t="str">
        <f>IF(B9="","",VLOOKUP(AD9,Varsayımlar!$B:$Q,15,0))</f>
        <v>25CM TURUNCU KOLİ-SOL ÜST DİKDÖRTGENE ÜRETİM TARİHİ BASILACAK</v>
      </c>
      <c r="AB9" s="117" t="str">
        <f>IF(B9="","",VLOOKUP(AD9,Varsayımlar!$B:$Q,16,0))</f>
        <v>24-26 CM</v>
      </c>
      <c r="AC9" s="73" t="e">
        <f>IF(B9="","",VLOOKUP(#REF!,#REF!,18,0))</f>
        <v>#REF!</v>
      </c>
      <c r="AD9" s="73" t="str">
        <f t="shared" ref="AD9:AD40" si="0">IF(B9="","",CONCATENATE(B9,E9))</f>
        <v>MAGNİTMAGNİT MAVİ AMBALAJ 25 CM 260G</v>
      </c>
    </row>
    <row r="10" spans="1:30" ht="31.5" x14ac:dyDescent="0.25">
      <c r="A10" s="8" t="s">
        <v>81</v>
      </c>
      <c r="B10" s="67" t="s">
        <v>64</v>
      </c>
      <c r="C10" s="42">
        <f>IF(B10="","",VLOOKUP(AD10,Varsayımlar!$B:$Q,3,0))</f>
        <v>8698829380698</v>
      </c>
      <c r="D10" s="42"/>
      <c r="E10" s="67" t="s">
        <v>296</v>
      </c>
      <c r="F10" s="67">
        <v>30</v>
      </c>
      <c r="G10" s="42" t="s">
        <v>68</v>
      </c>
      <c r="H10" s="67" t="str">
        <f>IF(B10="","",VLOOKUP(AD10,Varsayımlar!$B:$Q,5,0))</f>
        <v>Tortillas 20cm Çok Tahıllı</v>
      </c>
      <c r="I10" s="67">
        <f>IF(B10="","",VLOOKUP(AD10,Varsayımlar!B:T,19,0))</f>
        <v>0</v>
      </c>
      <c r="J10" s="67" t="str">
        <f>IF(B10="","",VLOOKUP(AD10,Varsayımlar!$B:$Q,6,0))</f>
        <v>Çok Tahıllı</v>
      </c>
      <c r="K10" s="67">
        <v>225</v>
      </c>
      <c r="L10" s="67"/>
      <c r="M10" s="67">
        <f>IFERROR(IF(B10="","",K10/VLOOKUP(AD10,Varsayımlar!B:R,17,0)),"")</f>
        <v>1</v>
      </c>
      <c r="N10" s="67"/>
      <c r="O10" s="67">
        <v>2</v>
      </c>
      <c r="P10" s="67">
        <f>IF(B10="","",VLOOKUP(AD10,Varsayımlar!$B:$Q,7,0)*K10)</f>
        <v>3150</v>
      </c>
      <c r="Q10" s="67">
        <f>IF(B10="","",VLOOKUP(AD10,Varsayımlar!$B:$Q,8,0))</f>
        <v>20</v>
      </c>
      <c r="R10" s="67" t="str">
        <f>IF(B10="","",VLOOKUP(AD10,Varsayımlar!$B:$Q,9,0))</f>
        <v>Irak Soft</v>
      </c>
      <c r="S10" s="67">
        <f>IF(B10="","",VLOOKUP(AD10,Varsayımlar!$B:$Q,10,0))</f>
        <v>4</v>
      </c>
      <c r="T10" s="67">
        <f>IF(B10="","",VLOOKUP(AD10,Varsayımlar!$B:$Q,11,0))</f>
        <v>14</v>
      </c>
      <c r="U10" s="67">
        <f>IF(B10="","",VLOOKUP(AD10,Varsayımlar!$B:$Q,12,0))</f>
        <v>166</v>
      </c>
      <c r="V10" s="67" t="str">
        <f>IF(B10="","",VLOOKUP(AD10,Varsayımlar!$B:$Q,13,0))</f>
        <v>Yurtdışı</v>
      </c>
      <c r="W10" s="67">
        <f>IF(B10="","",VLOOKUP(AD10,Varsayımlar!$B:$Q,14,0))</f>
        <v>9</v>
      </c>
      <c r="X10" s="69">
        <v>46195</v>
      </c>
      <c r="Y10" s="69">
        <v>46468</v>
      </c>
      <c r="Z10" s="67" t="s">
        <v>338</v>
      </c>
      <c r="AA10" s="67" t="str">
        <f>IF(B10="","",VLOOKUP(AD10,Varsayımlar!$B:$Q,15,0))</f>
        <v>SİYAH KARE KOLİ-Üretim Tarihi Etiketli</v>
      </c>
      <c r="AB10" s="67" t="str">
        <f>IF(B10="","",VLOOKUP(AD10,Varsayımlar!$B:$Q,16,0))</f>
        <v>19-21 cm</v>
      </c>
      <c r="AC10" s="67">
        <f>IF(B10="","",VLOOKUP(Sayfa1!AD14,Varsayımlar!B:S,18,0))</f>
        <v>0</v>
      </c>
      <c r="AD10" s="57" t="str">
        <f t="shared" si="0"/>
        <v>SMART LLCTortillas 20cm Çok Tahıllı 4pcs 166g</v>
      </c>
    </row>
    <row r="11" spans="1:30" ht="31.5" x14ac:dyDescent="0.25">
      <c r="A11" s="8" t="s">
        <v>82</v>
      </c>
      <c r="B11" s="64" t="s">
        <v>64</v>
      </c>
      <c r="C11" s="3">
        <f>IF(B11="","",VLOOKUP(AD11,Varsayımlar!$B:$Q,3,0))</f>
        <v>8698829380698</v>
      </c>
      <c r="D11" s="3"/>
      <c r="E11" s="64" t="s">
        <v>296</v>
      </c>
      <c r="F11" s="64">
        <v>31</v>
      </c>
      <c r="G11" s="3" t="s">
        <v>68</v>
      </c>
      <c r="H11" s="64" t="str">
        <f>IF(B11="","",VLOOKUP(AD11,Varsayımlar!$B:$Q,5,0))</f>
        <v>Tortillas 20cm Çok Tahıllı</v>
      </c>
      <c r="I11" s="64">
        <f>IF(B11="","",VLOOKUP(AD11,Varsayımlar!B:T,19,0))</f>
        <v>0</v>
      </c>
      <c r="J11" s="64" t="str">
        <f>IF(B11="","",VLOOKUP(AD11,Varsayımlar!$B:$Q,6,0))</f>
        <v>Çok Tahıllı</v>
      </c>
      <c r="K11" s="64">
        <v>1800</v>
      </c>
      <c r="L11" s="64"/>
      <c r="M11" s="64">
        <f>IFERROR(IF(B11="","",K11/VLOOKUP(AD11,Varsayımlar!B:R,17,0)),"")</f>
        <v>8</v>
      </c>
      <c r="N11" s="64"/>
      <c r="O11" s="64">
        <v>15</v>
      </c>
      <c r="P11" s="64">
        <f>IF(B11="","",VLOOKUP(AD11,Varsayımlar!$B:$Q,7,0)*K11)</f>
        <v>25200</v>
      </c>
      <c r="Q11" s="64">
        <f>IF(B11="","",VLOOKUP(AD11,Varsayımlar!$B:$Q,8,0))</f>
        <v>20</v>
      </c>
      <c r="R11" s="64" t="str">
        <f>IF(B11="","",VLOOKUP(AD11,Varsayımlar!$B:$Q,9,0))</f>
        <v>Irak Soft</v>
      </c>
      <c r="S11" s="64">
        <f>IF(B11="","",VLOOKUP(AD11,Varsayımlar!$B:$Q,10,0))</f>
        <v>4</v>
      </c>
      <c r="T11" s="64">
        <f>IF(B11="","",VLOOKUP(AD11,Varsayımlar!$B:$Q,11,0))</f>
        <v>14</v>
      </c>
      <c r="U11" s="64">
        <f>IF(B11="","",VLOOKUP(AD11,Varsayımlar!$B:$Q,12,0))</f>
        <v>166</v>
      </c>
      <c r="V11" s="64" t="str">
        <f>IF(B11="","",VLOOKUP(AD11,Varsayımlar!$B:$Q,13,0))</f>
        <v>Yurtdışı</v>
      </c>
      <c r="W11" s="64">
        <f>IF(B11="","",VLOOKUP(AD11,Varsayımlar!$B:$Q,14,0))</f>
        <v>9</v>
      </c>
      <c r="X11" s="66">
        <v>46196</v>
      </c>
      <c r="Y11" s="66">
        <v>46469</v>
      </c>
      <c r="Z11" s="64" t="s">
        <v>339</v>
      </c>
      <c r="AA11" s="64" t="str">
        <f>IF(B11="","",VLOOKUP(AD11,Varsayımlar!$B:$Q,15,0))</f>
        <v>SİYAH KARE KOLİ-Üretim Tarihi Etiketli</v>
      </c>
      <c r="AB11" s="64" t="str">
        <f>IF(B11="","",VLOOKUP(AD11,Varsayımlar!$B:$Q,16,0))</f>
        <v>19-21 cm</v>
      </c>
      <c r="AC11" s="64">
        <f>IF(B11="","",VLOOKUP(Sayfa1!AD15,Varsayımlar!B:S,18,0))</f>
        <v>0</v>
      </c>
      <c r="AD11" s="57" t="str">
        <f t="shared" si="0"/>
        <v>SMART LLCTortillas 20cm Çok Tahıllı 4pcs 166g</v>
      </c>
    </row>
    <row r="12" spans="1:30" ht="31.5" x14ac:dyDescent="0.25">
      <c r="A12" s="8" t="s">
        <v>83</v>
      </c>
      <c r="B12" s="64" t="s">
        <v>64</v>
      </c>
      <c r="C12" s="3">
        <f>IF(B12="","",VLOOKUP(AD12,Varsayımlar!$B:$Q,3,0))</f>
        <v>8698829380698</v>
      </c>
      <c r="D12" s="3"/>
      <c r="E12" s="64" t="s">
        <v>176</v>
      </c>
      <c r="F12" s="64">
        <v>31</v>
      </c>
      <c r="G12" s="3" t="s">
        <v>68</v>
      </c>
      <c r="H12" s="64" t="str">
        <f>IF(B12="","",VLOOKUP(AD12,Varsayımlar!$B:$Q,5,0))</f>
        <v>Tortillas 20cm (Samakat Bilgileri Ekli)</v>
      </c>
      <c r="I12" s="64">
        <f>IF(B12="","",VLOOKUP(AD12,Varsayımlar!B:T,19,0))</f>
        <v>0</v>
      </c>
      <c r="J12" s="64" t="str">
        <f>IF(B12="","",VLOOKUP(AD12,Varsayımlar!$B:$Q,6,0))</f>
        <v>PEYNİRLİ</v>
      </c>
      <c r="K12" s="64">
        <v>2925</v>
      </c>
      <c r="L12" s="64"/>
      <c r="M12" s="64">
        <f>IFERROR(IF(B12="","",K12/VLOOKUP(AD12,Varsayımlar!B:R,17,0)),"")</f>
        <v>13</v>
      </c>
      <c r="N12" s="64"/>
      <c r="O12" s="64">
        <v>24</v>
      </c>
      <c r="P12" s="64">
        <f>IF(B12="","",VLOOKUP(AD12,Varsayımlar!$B:$Q,7,0)*K12)</f>
        <v>40950</v>
      </c>
      <c r="Q12" s="64">
        <f>IF(B12="","",VLOOKUP(AD12,Varsayımlar!$B:$Q,8,0))</f>
        <v>20</v>
      </c>
      <c r="R12" s="64" t="str">
        <f>IF(B12="","",VLOOKUP(AD12,Varsayımlar!$B:$Q,9,0))</f>
        <v>IRAK SOFT-AT</v>
      </c>
      <c r="S12" s="64">
        <f>IF(B12="","",VLOOKUP(AD12,Varsayımlar!$B:$Q,10,0))</f>
        <v>4</v>
      </c>
      <c r="T12" s="64">
        <f>IF(B12="","",VLOOKUP(AD12,Varsayımlar!$B:$Q,11,0))</f>
        <v>14</v>
      </c>
      <c r="U12" s="64">
        <f>IF(B12="","",VLOOKUP(AD12,Varsayımlar!$B:$Q,12,0))</f>
        <v>166</v>
      </c>
      <c r="V12" s="64" t="str">
        <f>IF(B12="","",VLOOKUP(AD12,Varsayımlar!$B:$Q,13,0))</f>
        <v>YURTDIŞI</v>
      </c>
      <c r="W12" s="64">
        <f>IF(B12="","",VLOOKUP(AD12,Varsayımlar!$B:$Q,14,0))</f>
        <v>9</v>
      </c>
      <c r="X12" s="66">
        <v>46196</v>
      </c>
      <c r="Y12" s="66">
        <v>46469</v>
      </c>
      <c r="Z12" s="64" t="s">
        <v>340</v>
      </c>
      <c r="AA12" s="64" t="str">
        <f>IF(B12="","",VLOOKUP(AD12,Varsayımlar!$B:$Q,15,0))</f>
        <v>Kare Koli-Üretim Tarihli Etiket</v>
      </c>
      <c r="AB12" s="64" t="str">
        <f>IF(B12="","",VLOOKUP(AD12,Varsayımlar!$B:$Q,16,0))</f>
        <v>19-21 cm</v>
      </c>
      <c r="AC12" s="64">
        <f>IF(B12="","",VLOOKUP(Sayfa1!AD17,Varsayımlar!B:S,18,0))</f>
        <v>0</v>
      </c>
      <c r="AD12" s="57" t="str">
        <f t="shared" si="0"/>
        <v>SMART LLCTortillas 20cm Peynirli 4pcs 166g</v>
      </c>
    </row>
    <row r="13" spans="1:30" ht="47.25" x14ac:dyDescent="0.25">
      <c r="A13" s="8" t="s">
        <v>84</v>
      </c>
      <c r="B13" s="67" t="s">
        <v>268</v>
      </c>
      <c r="C13" s="42">
        <f>IF(B13="","",VLOOKUP(AD13,Varsayımlar!$B:$Q,3,0))</f>
        <v>8698829380698</v>
      </c>
      <c r="D13" s="42" t="s">
        <v>159</v>
      </c>
      <c r="E13" s="67" t="s">
        <v>269</v>
      </c>
      <c r="F13" s="67">
        <v>20250825</v>
      </c>
      <c r="G13" s="42" t="s">
        <v>68</v>
      </c>
      <c r="H13" s="67" t="str">
        <f>IF(B13="","",VLOOKUP(AD13,Varsayımlar!$B:$Q,5,0))</f>
        <v>Tortillas 25cm Tam Buğday</v>
      </c>
      <c r="I13" s="67">
        <f>IF(B13="","",VLOOKUP(AD13,Varsayımlar!B:T,19,0))</f>
        <v>0</v>
      </c>
      <c r="J13" s="67" t="str">
        <f>IF(B13="","",VLOOKUP(AD13,Varsayımlar!$B:$Q,6,0))</f>
        <v>Tam Buğdaylı</v>
      </c>
      <c r="K13" s="67">
        <v>252</v>
      </c>
      <c r="L13" s="67"/>
      <c r="M13" s="67">
        <f>IFERROR(IF(B13="","",K13/VLOOKUP(AD13,Varsayımlar!B:R,17,0)),"")</f>
        <v>3</v>
      </c>
      <c r="N13" s="67"/>
      <c r="O13" s="67">
        <v>5</v>
      </c>
      <c r="P13" s="67">
        <f>IF(B13="","",VLOOKUP(AD13,Varsayımlar!$B:$Q,7,0)*K13)</f>
        <v>7560</v>
      </c>
      <c r="Q13" s="67">
        <f>IF(B13="","",VLOOKUP(AD13,Varsayımlar!$B:$Q,8,0))</f>
        <v>25</v>
      </c>
      <c r="R13" s="67" t="str">
        <f>IF(B13="","",VLOOKUP(AD13,Varsayımlar!$B:$Q,9,0))</f>
        <v>Soft-PA3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240</v>
      </c>
      <c r="V13" s="67" t="str">
        <f>IF(B13="","",VLOOKUP(AD13,Varsayımlar!$B:$Q,13,0))</f>
        <v>Yurtdışı</v>
      </c>
      <c r="W13" s="67">
        <f>IF(B13="","",VLOOKUP(AD13,Varsayımlar!$B:$Q,14,0))</f>
        <v>12</v>
      </c>
      <c r="X13" s="69">
        <v>46199</v>
      </c>
      <c r="Y13" s="69">
        <v>46564</v>
      </c>
      <c r="Z13" s="67" t="s">
        <v>374</v>
      </c>
      <c r="AA13" s="67" t="str">
        <f>IF(B13="","",VLOOKUP(AD13,Varsayımlar!$B:$Q,15,0))</f>
        <v>25cm Kolisi-Etiketli</v>
      </c>
      <c r="AB13" s="67" t="str">
        <f>IF(B13="","",VLOOKUP(AD13,Varsayımlar!$B:$Q,16,0))</f>
        <v>24-26 cm (Macca Hetto Inkjet Uzun Tarih)</v>
      </c>
      <c r="AC13" s="67" t="str">
        <f>IF(B13="","",VLOOKUP(Sayfa1!AD23,Varsayımlar!B:S,18,0))</f>
        <v>80x120cm</v>
      </c>
      <c r="AD13" s="57" t="str">
        <f t="shared" si="0"/>
        <v>LAIKYUZHN-BELARUSTortillas 25cm Tam buğday 4pcs 240g</v>
      </c>
    </row>
    <row r="14" spans="1:30" ht="47.25" x14ac:dyDescent="0.25">
      <c r="A14" s="8" t="s">
        <v>85</v>
      </c>
      <c r="B14" s="67" t="s">
        <v>268</v>
      </c>
      <c r="C14" s="42">
        <f>IF(B14="","",VLOOKUP(AD14,Varsayımlar!$B:$Q,3,0))</f>
        <v>8698829380698</v>
      </c>
      <c r="D14" s="42" t="s">
        <v>159</v>
      </c>
      <c r="E14" s="67" t="s">
        <v>274</v>
      </c>
      <c r="F14" s="67">
        <v>20250825</v>
      </c>
      <c r="G14" s="42" t="s">
        <v>68</v>
      </c>
      <c r="H14" s="67" t="str">
        <f>IF(B14="","",VLOOKUP(AD14,Varsayımlar!$B:$Q,5,0))</f>
        <v>Tortillas 25cm Domatesli</v>
      </c>
      <c r="I14" s="67">
        <f>IF(B14="","",VLOOKUP(AD14,Varsayımlar!B:T,19,0))</f>
        <v>0</v>
      </c>
      <c r="J14" s="67" t="str">
        <f>IF(B14="","",VLOOKUP(AD14,Varsayımlar!$B:$Q,6,0))</f>
        <v>Domatesli</v>
      </c>
      <c r="K14" s="67">
        <v>252</v>
      </c>
      <c r="L14" s="67"/>
      <c r="M14" s="67">
        <f>IFERROR(IF(B14="","",K14/VLOOKUP(AD14,Varsayımlar!B:R,17,0)),"")</f>
        <v>3</v>
      </c>
      <c r="N14" s="67"/>
      <c r="O14" s="67">
        <v>5</v>
      </c>
      <c r="P14" s="67">
        <f>IF(B14="","",VLOOKUP(AD14,Varsayımlar!$B:$Q,7,0)*K14)</f>
        <v>7560</v>
      </c>
      <c r="Q14" s="67">
        <f>IF(B14="","",VLOOKUP(AD14,Varsayımlar!$B:$Q,8,0))</f>
        <v>25</v>
      </c>
      <c r="R14" s="67" t="str">
        <f>IF(B14="","",VLOOKUP(AD14,Varsayımlar!$B:$Q,9,0))</f>
        <v>Soft-PA3</v>
      </c>
      <c r="S14" s="67">
        <f>IF(B14="","",VLOOKUP(AD14,Varsayımlar!$B:$Q,10,0))</f>
        <v>4</v>
      </c>
      <c r="T14" s="67">
        <f>IF(B14="","",VLOOKUP(AD14,Varsayımlar!$B:$Q,11,0))</f>
        <v>30</v>
      </c>
      <c r="U14" s="67">
        <f>IF(B14="","",VLOOKUP(AD14,Varsayımlar!$B:$Q,12,0))</f>
        <v>240</v>
      </c>
      <c r="V14" s="67" t="str">
        <f>IF(B14="","",VLOOKUP(AD14,Varsayımlar!$B:$Q,13,0))</f>
        <v>Yurtdışı</v>
      </c>
      <c r="W14" s="67">
        <f>IF(B14="","",VLOOKUP(AD14,Varsayımlar!$B:$Q,14,0))</f>
        <v>12</v>
      </c>
      <c r="X14" s="69">
        <v>46199</v>
      </c>
      <c r="Y14" s="69">
        <v>46564</v>
      </c>
      <c r="Z14" s="67" t="s">
        <v>375</v>
      </c>
      <c r="AA14" s="67" t="str">
        <f>IF(B14="","",VLOOKUP(AD14,Varsayımlar!$B:$Q,15,0))</f>
        <v>25cm Kolisi-Etiketli</v>
      </c>
      <c r="AB14" s="67" t="str">
        <f>IF(B14="","",VLOOKUP(AD14,Varsayımlar!$B:$Q,16,0))</f>
        <v>24-26 cm (Macca Hetto Inkjet Uzun Tarih)</v>
      </c>
      <c r="AC14" s="67" t="str">
        <f>IF(B14="","",VLOOKUP(Sayfa1!AD24,Varsayımlar!B:S,18,0))</f>
        <v>80x120cm</v>
      </c>
      <c r="AD14" s="57" t="str">
        <f t="shared" si="0"/>
        <v>LAIKYUZHN-BELARUSTortillas 25cm Domatesli 4pcs 240g</v>
      </c>
    </row>
    <row r="15" spans="1:30" ht="47.25" x14ac:dyDescent="0.25">
      <c r="A15" s="8" t="s">
        <v>86</v>
      </c>
      <c r="B15" s="67" t="s">
        <v>268</v>
      </c>
      <c r="C15" s="42">
        <f>IF(B15="","",VLOOKUP(AD15,Varsayımlar!$B:$Q,3,0))</f>
        <v>8698829380698</v>
      </c>
      <c r="D15" s="42" t="s">
        <v>159</v>
      </c>
      <c r="E15" s="67" t="s">
        <v>276</v>
      </c>
      <c r="F15" s="67">
        <v>20250825</v>
      </c>
      <c r="G15" s="42" t="s">
        <v>68</v>
      </c>
      <c r="H15" s="67" t="str">
        <f>IF(B15="","",VLOOKUP(AD15,Varsayımlar!$B:$Q,5,0))</f>
        <v>Tortillas 25cm Ispanaklı</v>
      </c>
      <c r="I15" s="67">
        <f>IF(B15="","",VLOOKUP(AD15,Varsayımlar!B:T,19,0))</f>
        <v>0</v>
      </c>
      <c r="J15" s="67" t="str">
        <f>IF(B15="","",VLOOKUP(AD15,Varsayımlar!$B:$Q,6,0))</f>
        <v>Ispanaklı</v>
      </c>
      <c r="K15" s="67">
        <v>420</v>
      </c>
      <c r="L15" s="67"/>
      <c r="M15" s="67">
        <f>IFERROR(IF(B15="","",K15/VLOOKUP(AD15,Varsayımlar!B:R,17,0)),"")</f>
        <v>5</v>
      </c>
      <c r="N15" s="67"/>
      <c r="O15" s="67">
        <v>7</v>
      </c>
      <c r="P15" s="67">
        <f>IF(B15="","",VLOOKUP(AD15,Varsayımlar!$B:$Q,7,0)*K15)</f>
        <v>12600</v>
      </c>
      <c r="Q15" s="67">
        <f>IF(B15="","",VLOOKUP(AD15,Varsayımlar!$B:$Q,8,0))</f>
        <v>25</v>
      </c>
      <c r="R15" s="67" t="str">
        <f>IF(B15="","",VLOOKUP(AD15,Varsayımlar!$B:$Q,9,0))</f>
        <v>Soft-PA3</v>
      </c>
      <c r="S15" s="67">
        <f>IF(B15="","",VLOOKUP(AD15,Varsayımlar!$B:$Q,10,0))</f>
        <v>4</v>
      </c>
      <c r="T15" s="67">
        <f>IF(B15="","",VLOOKUP(AD15,Varsayımlar!$B:$Q,11,0))</f>
        <v>30</v>
      </c>
      <c r="U15" s="67">
        <f>IF(B15="","",VLOOKUP(AD15,Varsayımlar!$B:$Q,12,0))</f>
        <v>240</v>
      </c>
      <c r="V15" s="67" t="str">
        <f>IF(B15="","",VLOOKUP(AD15,Varsayımlar!$B:$Q,13,0))</f>
        <v>Yurtdışı</v>
      </c>
      <c r="W15" s="67">
        <f>IF(B15="","",VLOOKUP(AD15,Varsayımlar!$B:$Q,14,0))</f>
        <v>12</v>
      </c>
      <c r="X15" s="69">
        <v>46199</v>
      </c>
      <c r="Y15" s="69">
        <v>46564</v>
      </c>
      <c r="Z15" s="67" t="s">
        <v>376</v>
      </c>
      <c r="AA15" s="67" t="str">
        <f>IF(B15="","",VLOOKUP(AD15,Varsayımlar!$B:$Q,15,0))</f>
        <v>25cm Kolisi-Etiketli</v>
      </c>
      <c r="AB15" s="67" t="str">
        <f>IF(B15="","",VLOOKUP(AD15,Varsayımlar!$B:$Q,16,0))</f>
        <v>24-26 cm (Macca Hetto Inkjet Uzun Tarih)</v>
      </c>
      <c r="AC15" s="67" t="str">
        <f>IF(B15="","",VLOOKUP(Sayfa1!AD25,Varsayımlar!B:S,18,0))</f>
        <v>80x120cm</v>
      </c>
      <c r="AD15" s="57" t="str">
        <f t="shared" si="0"/>
        <v>LAIKYUZHN-BELARUSTortillas 25cm Ispanaklı 4pcs 240g</v>
      </c>
    </row>
    <row r="16" spans="1:30" ht="47.25" x14ac:dyDescent="0.25">
      <c r="A16" s="8" t="s">
        <v>87</v>
      </c>
      <c r="B16" s="67" t="s">
        <v>268</v>
      </c>
      <c r="C16" s="42">
        <f>IF(B16="","",VLOOKUP(AD16,Varsayımlar!$B:$Q,3,0))</f>
        <v>8698829380698</v>
      </c>
      <c r="D16" s="42" t="s">
        <v>159</v>
      </c>
      <c r="E16" s="67" t="s">
        <v>278</v>
      </c>
      <c r="F16" s="67">
        <v>20250825</v>
      </c>
      <c r="G16" s="42" t="s">
        <v>68</v>
      </c>
      <c r="H16" s="67" t="str">
        <f>IF(B16="","",VLOOKUP(AD16,Varsayımlar!$B:$Q,5,0))</f>
        <v>Magnit Tortillas 25cm Peynirli</v>
      </c>
      <c r="I16" s="67" t="str">
        <f>IF(B16="","",VLOOKUP(AD16,Varsayımlar!B:T,19,0))</f>
        <v>Etiketli</v>
      </c>
      <c r="J16" s="67" t="str">
        <f>IF(B16="","",VLOOKUP(AD16,Varsayımlar!$B:$Q,6,0))</f>
        <v>Peynirli</v>
      </c>
      <c r="K16" s="67">
        <v>420</v>
      </c>
      <c r="L16" s="67"/>
      <c r="M16" s="67">
        <f>IFERROR(IF(B16="","",K16/VLOOKUP(AD16,Varsayımlar!B:R,17,0)),"")</f>
        <v>5</v>
      </c>
      <c r="N16" s="67"/>
      <c r="O16" s="67">
        <v>7</v>
      </c>
      <c r="P16" s="67">
        <f>IF(B16="","",VLOOKUP(AD16,Varsayımlar!$B:$Q,7,0)*K16)</f>
        <v>12600</v>
      </c>
      <c r="Q16" s="67">
        <f>IF(B16="","",VLOOKUP(AD16,Varsayımlar!$B:$Q,8,0))</f>
        <v>25</v>
      </c>
      <c r="R16" s="67" t="str">
        <f>IF(B16="","",VLOOKUP(AD16,Varsayımlar!$B:$Q,9,0))</f>
        <v>Soft-PA3-AT</v>
      </c>
      <c r="S16" s="67">
        <f>IF(B16="","",VLOOKUP(AD16,Varsayımlar!$B:$Q,10,0))</f>
        <v>4</v>
      </c>
      <c r="T16" s="67">
        <f>IF(B16="","",VLOOKUP(AD16,Varsayımlar!$B:$Q,11,0))</f>
        <v>30</v>
      </c>
      <c r="U16" s="67">
        <f>IF(B16="","",VLOOKUP(AD16,Varsayımlar!$B:$Q,12,0))</f>
        <v>250</v>
      </c>
      <c r="V16" s="67" t="str">
        <f>IF(B16="","",VLOOKUP(AD16,Varsayımlar!$B:$Q,13,0))</f>
        <v>Yurtdışı</v>
      </c>
      <c r="W16" s="67">
        <f>IF(B16="","",VLOOKUP(AD16,Varsayımlar!$B:$Q,14,0))</f>
        <v>9</v>
      </c>
      <c r="X16" s="69">
        <v>46199</v>
      </c>
      <c r="Y16" s="69">
        <v>46472</v>
      </c>
      <c r="Z16" s="67" t="s">
        <v>377</v>
      </c>
      <c r="AA16" s="67" t="str">
        <f>IF(B16="","",VLOOKUP(AD16,Varsayımlar!$B:$Q,15,0))</f>
        <v>25cm Kolisi-Etiketli</v>
      </c>
      <c r="AB16" s="67" t="str">
        <f>IF(B16="","",VLOOKUP(AD16,Varsayımlar!$B:$Q,16,0))</f>
        <v>24-26 cm (Macca Hetto Inkjet Uzun Tarih)</v>
      </c>
      <c r="AC16" s="67" t="str">
        <f>IF(B16="","",VLOOKUP(Sayfa1!AD26,Varsayımlar!B:S,18,0))</f>
        <v>80x120cm</v>
      </c>
      <c r="AD16" s="57" t="str">
        <f t="shared" si="0"/>
        <v>LAIKYUZHN-BELARUSMagnit Tortillas 25cm Peynirli 4pcs 240g</v>
      </c>
    </row>
    <row r="17" spans="1:30" ht="47.25" x14ac:dyDescent="0.25">
      <c r="A17" s="8" t="s">
        <v>88</v>
      </c>
      <c r="B17" s="62" t="s">
        <v>181</v>
      </c>
      <c r="C17" s="32">
        <f>IF(B17="","",VLOOKUP(AD17,Varsayımlar!$B:$Q,3,0))</f>
        <v>8698829380698</v>
      </c>
      <c r="D17" s="32"/>
      <c r="E17" s="62" t="s">
        <v>182</v>
      </c>
      <c r="F17" s="62">
        <v>26060101</v>
      </c>
      <c r="G17" s="32"/>
      <c r="H17" s="62" t="str">
        <f>IF(B17="","",VLOOKUP(AD17,Varsayımlar!$B:$Q,5,0))</f>
        <v>Tortillove 30cm</v>
      </c>
      <c r="I17" s="62" t="str">
        <f>IF(B17="","",VLOOKUP(AD17,Varsayımlar!B:T,19,0))</f>
        <v>Arka kısma Arnavutça içerik-Tortillove</v>
      </c>
      <c r="J17" s="62" t="str">
        <f>IF(B17="","",VLOOKUP(AD17,Varsayımlar!$B:$Q,6,0))</f>
        <v>SADE</v>
      </c>
      <c r="K17" s="62">
        <v>100</v>
      </c>
      <c r="L17" s="62"/>
      <c r="M17" s="62">
        <f>IFERROR(IF(B17="","",K17/VLOOKUP(AD17,Varsayımlar!B:R,17,0)),"")</f>
        <v>2</v>
      </c>
      <c r="N17" s="62"/>
      <c r="O17" s="62">
        <v>2</v>
      </c>
      <c r="P17" s="62">
        <f>IF(B17="","",VLOOKUP(AD17,Varsayımlar!$B:$Q,7,0)*K17)</f>
        <v>1200</v>
      </c>
      <c r="Q17" s="62">
        <f>IF(B17="","",VLOOKUP(AD17,Varsayımlar!$B:$Q,8,0))</f>
        <v>30</v>
      </c>
      <c r="R17" s="62" t="str">
        <f>IF(B17="","",VLOOKUP(AD17,Varsayımlar!$B:$Q,9,0))</f>
        <v>Irak Soft</v>
      </c>
      <c r="S17" s="62">
        <f>IF(B17="","",VLOOKUP(AD17,Varsayımlar!$B:$Q,10,0))</f>
        <v>10</v>
      </c>
      <c r="T17" s="62">
        <f>IF(B17="","",VLOOKUP(AD17,Varsayımlar!$B:$Q,11,0))</f>
        <v>12</v>
      </c>
      <c r="U17" s="62">
        <f>IF(B17="","",VLOOKUP(AD17,Varsayımlar!$B:$Q,12,0))</f>
        <v>900</v>
      </c>
      <c r="V17" s="62" t="str">
        <f>IF(B17="","",VLOOKUP(AD17,Varsayımlar!$B:$Q,13,0))</f>
        <v>Yurtdışı</v>
      </c>
      <c r="W17" s="62">
        <f>IF(B17="","",VLOOKUP(AD17,Varsayımlar!$B:$Q,14,0))</f>
        <v>12</v>
      </c>
      <c r="X17" s="63">
        <v>46200</v>
      </c>
      <c r="Y17" s="63">
        <v>46565</v>
      </c>
      <c r="Z17" s="62">
        <v>26062730</v>
      </c>
      <c r="AA17" s="62" t="str">
        <f>IF(B17="","",VLOOKUP(AD17,Varsayımlar!$B:$Q,15,0))</f>
        <v>30cm Koli - Tortillove 900g Etiketli</v>
      </c>
      <c r="AB17" s="62" t="str">
        <f>IF(B17="","",VLOOKUP(AD17,Varsayımlar!$B:$Q,16,0))</f>
        <v>29-31 cm</v>
      </c>
      <c r="AC17" s="62">
        <f>IF(B17="","",VLOOKUP(Sayfa1!AD27,Varsayımlar!B:S,18,0))</f>
        <v>0</v>
      </c>
      <c r="AD17" s="57" t="str">
        <f t="shared" si="0"/>
        <v>ALDİ - KOSOVATortillove 30cm 10pcs 900g</v>
      </c>
    </row>
    <row r="18" spans="1:30" ht="47.25" x14ac:dyDescent="0.25">
      <c r="A18" s="8" t="s">
        <v>89</v>
      </c>
      <c r="B18" s="62" t="s">
        <v>181</v>
      </c>
      <c r="C18" s="32">
        <f>IF(B18="","",VLOOKUP(AD18,Varsayımlar!$B:$Q,3,0))</f>
        <v>8698829380698</v>
      </c>
      <c r="D18" s="32"/>
      <c r="E18" s="62" t="s">
        <v>185</v>
      </c>
      <c r="F18" s="62">
        <v>26060101</v>
      </c>
      <c r="G18" s="32"/>
      <c r="H18" s="62" t="str">
        <f>IF(B18="","",VLOOKUP(AD18,Varsayımlar!$B:$Q,5,0))</f>
        <v>Tortillas 30cm</v>
      </c>
      <c r="I18" s="62" t="str">
        <f>IF(B18="","",VLOOKUP(AD18,Varsayımlar!B:T,19,0))</f>
        <v>Arka kısma Arnavutça içerik-Tortillas</v>
      </c>
      <c r="J18" s="62" t="str">
        <f>IF(B18="","",VLOOKUP(AD18,Varsayımlar!$B:$Q,6,0))</f>
        <v>SADE</v>
      </c>
      <c r="K18" s="62">
        <v>50</v>
      </c>
      <c r="L18" s="62"/>
      <c r="M18" s="62">
        <f>IFERROR(IF(B18="","",K18/VLOOKUP(AD18,Varsayımlar!B:R,17,0)),"")</f>
        <v>1</v>
      </c>
      <c r="N18" s="62"/>
      <c r="O18" s="62">
        <v>1</v>
      </c>
      <c r="P18" s="62">
        <f>IF(B18="","",VLOOKUP(AD18,Varsayımlar!$B:$Q,7,0)*K18)</f>
        <v>600</v>
      </c>
      <c r="Q18" s="62">
        <f>IF(B18="","",VLOOKUP(AD18,Varsayımlar!$B:$Q,8,0))</f>
        <v>30</v>
      </c>
      <c r="R18" s="62" t="str">
        <f>IF(B18="","",VLOOKUP(AD18,Varsayımlar!$B:$Q,9,0))</f>
        <v>Irak Soft</v>
      </c>
      <c r="S18" s="62">
        <f>IF(B18="","",VLOOKUP(AD18,Varsayımlar!$B:$Q,10,0))</f>
        <v>10</v>
      </c>
      <c r="T18" s="62">
        <f>IF(B18="","",VLOOKUP(AD18,Varsayımlar!$B:$Q,11,0))</f>
        <v>12</v>
      </c>
      <c r="U18" s="62">
        <f>IF(B18="","",VLOOKUP(AD18,Varsayımlar!$B:$Q,12,0))</f>
        <v>900</v>
      </c>
      <c r="V18" s="62" t="str">
        <f>IF(B18="","",VLOOKUP(AD18,Varsayımlar!$B:$Q,13,0))</f>
        <v>Yurtdışı</v>
      </c>
      <c r="W18" s="62">
        <f>IF(B18="","",VLOOKUP(AD18,Varsayımlar!$B:$Q,14,0))</f>
        <v>12</v>
      </c>
      <c r="X18" s="63">
        <v>46200</v>
      </c>
      <c r="Y18" s="63">
        <v>46565</v>
      </c>
      <c r="Z18" s="62">
        <v>26062730</v>
      </c>
      <c r="AA18" s="62" t="str">
        <f>IF(B18="","",VLOOKUP(AD18,Varsayımlar!$B:$Q,15,0))</f>
        <v>30cm Koli - Tortillas 900g Etiketli</v>
      </c>
      <c r="AB18" s="62" t="str">
        <f>IF(B18="","",VLOOKUP(AD18,Varsayımlar!$B:$Q,16,0))</f>
        <v>29-31 cm</v>
      </c>
      <c r="AC18" s="62">
        <f>IF(B18="","",VLOOKUP(Sayfa1!AD28,Varsayımlar!B:S,18,0))</f>
        <v>0</v>
      </c>
      <c r="AD18" s="57" t="str">
        <f t="shared" si="0"/>
        <v>ALDİ - KOSOVATortillas 30cm 10pcs 900g</v>
      </c>
    </row>
    <row r="19" spans="1:30" ht="63" x14ac:dyDescent="0.25">
      <c r="A19" s="8" t="s">
        <v>90</v>
      </c>
      <c r="B19" s="62" t="s">
        <v>181</v>
      </c>
      <c r="C19" s="32">
        <f>IF(B19="","",VLOOKUP(AD19,Varsayımlar!$B:$Q,3,0))</f>
        <v>8698829380698</v>
      </c>
      <c r="D19" s="32"/>
      <c r="E19" s="32" t="s">
        <v>372</v>
      </c>
      <c r="F19" s="62">
        <v>26060101</v>
      </c>
      <c r="G19" s="32"/>
      <c r="H19" s="62" t="str">
        <f>IF(B19="","",VLOOKUP(AD19,Varsayımlar!$B:$Q,5,0))</f>
        <v>Tortillove Tam Buğday 25cm</v>
      </c>
      <c r="I19" s="62" t="str">
        <f>IF(B19="","",VLOOKUP(AD19,Varsayımlar!B:T,19,0))</f>
        <v>Barkod üzerine Arnavutça TB içerik+Barkod-Tortillove</v>
      </c>
      <c r="J19" s="62" t="str">
        <f>IF(B19="","",VLOOKUP(AD19,Varsayımlar!$B:$Q,6,0))</f>
        <v>Tam Buğdaylı</v>
      </c>
      <c r="K19" s="62">
        <v>84</v>
      </c>
      <c r="L19" s="62"/>
      <c r="M19" s="62">
        <f>IFERROR(IF(B19="","",K19/VLOOKUP(AD19,Varsayımlar!B:R,17,0)),"")</f>
        <v>1</v>
      </c>
      <c r="N19" s="62"/>
      <c r="O19" s="62">
        <v>2</v>
      </c>
      <c r="P19" s="62">
        <f>IF(B19="","",VLOOKUP(AD19,Varsayımlar!$B:$Q,7,0)*K19)</f>
        <v>1512</v>
      </c>
      <c r="Q19" s="62">
        <f>IF(B19="","",VLOOKUP(AD19,Varsayımlar!$B:$Q,8,0))</f>
        <v>25</v>
      </c>
      <c r="R19" s="62" t="str">
        <f>IF(B19="","",VLOOKUP(AD19,Varsayımlar!$B:$Q,9,0))</f>
        <v>Irak Soft</v>
      </c>
      <c r="S19" s="62">
        <f>IF(B19="","",VLOOKUP(AD19,Varsayımlar!$B:$Q,10,0))</f>
        <v>6</v>
      </c>
      <c r="T19" s="62">
        <f>IF(B19="","",VLOOKUP(AD19,Varsayımlar!$B:$Q,11,0))</f>
        <v>18</v>
      </c>
      <c r="U19" s="62">
        <f>IF(B19="","",VLOOKUP(AD19,Varsayımlar!$B:$Q,12,0))</f>
        <v>390</v>
      </c>
      <c r="V19" s="62" t="str">
        <f>IF(B19="","",VLOOKUP(AD19,Varsayımlar!$B:$Q,13,0))</f>
        <v>Yurtdışı</v>
      </c>
      <c r="W19" s="62">
        <f>IF(B19="","",VLOOKUP(AD19,Varsayımlar!$B:$Q,14,0))</f>
        <v>12</v>
      </c>
      <c r="X19" s="63">
        <v>46200</v>
      </c>
      <c r="Y19" s="63">
        <v>46565</v>
      </c>
      <c r="Z19" s="62">
        <v>26062725</v>
      </c>
      <c r="AA19" s="62" t="str">
        <f>IF(B19="","",VLOOKUP(AD19,Varsayımlar!$B:$Q,15,0))</f>
        <v>25cm Koli - Tortillove 390g TB Etiketli</v>
      </c>
      <c r="AB19" s="62" t="str">
        <f>IF(B19="","",VLOOKUP(AD19,Varsayımlar!$B:$Q,16,0))</f>
        <v>24-26 cm</v>
      </c>
      <c r="AC19" s="62">
        <f>IF(B19="","",VLOOKUP(Sayfa1!AD29,Varsayımlar!B:S,18,0))</f>
        <v>0</v>
      </c>
      <c r="AD19" s="57" t="str">
        <f t="shared" si="0"/>
        <v>ALDİ - KOSOVATortillove 25cm TB 6pcs 390g</v>
      </c>
    </row>
    <row r="20" spans="1:30" ht="63" x14ac:dyDescent="0.25">
      <c r="A20" s="8" t="s">
        <v>91</v>
      </c>
      <c r="B20" s="62" t="s">
        <v>181</v>
      </c>
      <c r="C20" s="32">
        <f>IF(B20="","",VLOOKUP(AD20,Varsayımlar!$B:$Q,3,0))</f>
        <v>8698829380698</v>
      </c>
      <c r="D20" s="32"/>
      <c r="E20" s="32" t="s">
        <v>251</v>
      </c>
      <c r="F20" s="62">
        <v>26060101</v>
      </c>
      <c r="G20" s="32"/>
      <c r="H20" s="62" t="str">
        <f>IF(B20="","",VLOOKUP(AD20,Varsayımlar!$B:$Q,5,0))</f>
        <v>Tortillas Tam Buğday 25cm</v>
      </c>
      <c r="I20" s="62" t="str">
        <f>IF(B20="","",VLOOKUP(AD20,Varsayımlar!B:T,19,0))</f>
        <v>Barkod üzerine Arnavutça TB içerik+Barkod-Tortillas</v>
      </c>
      <c r="J20" s="62" t="str">
        <f>IF(B20="","",VLOOKUP(AD20,Varsayımlar!$B:$Q,6,0))</f>
        <v>Tam Buğdaylı</v>
      </c>
      <c r="K20" s="62">
        <v>84</v>
      </c>
      <c r="L20" s="62"/>
      <c r="M20" s="62">
        <f>IFERROR(IF(B20="","",K20/VLOOKUP(AD20,Varsayımlar!B:R,17,0)),"")</f>
        <v>1</v>
      </c>
      <c r="N20" s="62"/>
      <c r="O20" s="62">
        <v>2</v>
      </c>
      <c r="P20" s="62">
        <f>IF(B20="","",VLOOKUP(AD20,Varsayımlar!$B:$Q,7,0)*K20)</f>
        <v>1512</v>
      </c>
      <c r="Q20" s="62">
        <f>IF(B20="","",VLOOKUP(AD20,Varsayımlar!$B:$Q,8,0))</f>
        <v>25</v>
      </c>
      <c r="R20" s="62" t="str">
        <f>IF(B20="","",VLOOKUP(AD20,Varsayımlar!$B:$Q,9,0))</f>
        <v>Irak Soft</v>
      </c>
      <c r="S20" s="62">
        <f>IF(B20="","",VLOOKUP(AD20,Varsayımlar!$B:$Q,10,0))</f>
        <v>6</v>
      </c>
      <c r="T20" s="62">
        <f>IF(B20="","",VLOOKUP(AD20,Varsayımlar!$B:$Q,11,0))</f>
        <v>18</v>
      </c>
      <c r="U20" s="62">
        <f>IF(B20="","",VLOOKUP(AD20,Varsayımlar!$B:$Q,12,0))</f>
        <v>390</v>
      </c>
      <c r="V20" s="62" t="str">
        <f>IF(B20="","",VLOOKUP(AD20,Varsayımlar!$B:$Q,13,0))</f>
        <v>Yurtdışı</v>
      </c>
      <c r="W20" s="62">
        <f>IF(B20="","",VLOOKUP(AD20,Varsayımlar!$B:$Q,14,0))</f>
        <v>12</v>
      </c>
      <c r="X20" s="63">
        <v>46200</v>
      </c>
      <c r="Y20" s="63">
        <v>46565</v>
      </c>
      <c r="Z20" s="62">
        <v>26062725</v>
      </c>
      <c r="AA20" s="62" t="str">
        <f>IF(B20="","",VLOOKUP(AD20,Varsayımlar!$B:$Q,15,0))</f>
        <v>25cm Koli - Tortillas 390g TB Etiketli</v>
      </c>
      <c r="AB20" s="62" t="str">
        <f>IF(B20="","",VLOOKUP(AD20,Varsayımlar!$B:$Q,16,0))</f>
        <v>24-26 cm</v>
      </c>
      <c r="AC20" s="62">
        <f>IF(B20="","",VLOOKUP(Sayfa1!AD30,Varsayımlar!B:S,18,0))</f>
        <v>0</v>
      </c>
      <c r="AD20" s="57" t="str">
        <f t="shared" si="0"/>
        <v>ALDİ - KOSOVATortillas 25cm TB 6pcs 390g</v>
      </c>
    </row>
    <row r="21" spans="1:30" ht="31.5" x14ac:dyDescent="0.25">
      <c r="A21" s="8" t="s">
        <v>139</v>
      </c>
      <c r="B21" s="64" t="s">
        <v>288</v>
      </c>
      <c r="C21" s="3">
        <f>IF(B21="","",VLOOKUP(AD21,Varsayımlar!$B:$Q,3,0))</f>
        <v>8698829380698</v>
      </c>
      <c r="D21" s="3"/>
      <c r="E21" s="64" t="s">
        <v>289</v>
      </c>
      <c r="F21" s="64">
        <v>20201016</v>
      </c>
      <c r="G21" s="3" t="s">
        <v>68</v>
      </c>
      <c r="H21" s="64" t="str">
        <f>IF(B21="","",VLOOKUP(AD21,Varsayımlar!$B:$Q,5,0))</f>
        <v>Tortillas 25cm Tam Buğday</v>
      </c>
      <c r="I21" s="64" t="str">
        <f>IF(B21="","",VLOOKUP(AD21,Varsayımlar!B:T,19,0))</f>
        <v>Arka kısma İçerik</v>
      </c>
      <c r="J21" s="64" t="str">
        <f>IF(B21="","",VLOOKUP(AD21,Varsayımlar!$B:$Q,6,0))</f>
        <v>Tam Buğdaylı</v>
      </c>
      <c r="K21" s="64">
        <v>250</v>
      </c>
      <c r="L21" s="64"/>
      <c r="M21" s="64">
        <f>IFERROR(IF(B21="","",K21/VLOOKUP(AD21,Varsayımlar!B:R,17,0)),"")</f>
        <v>5</v>
      </c>
      <c r="N21" s="64"/>
      <c r="O21" s="64">
        <v>4</v>
      </c>
      <c r="P21" s="64">
        <f>IF(B21="","",VLOOKUP(AD21,Varsayımlar!$B:$Q,7,0)*K21)</f>
        <v>4500</v>
      </c>
      <c r="Q21" s="64">
        <f>IF(B21="","",VLOOKUP(AD21,Varsayımlar!$B:$Q,8,0))</f>
        <v>25</v>
      </c>
      <c r="R21" s="64" t="str">
        <f>IF(B21="","",VLOOKUP(AD21,Varsayımlar!$B:$Q,9,0))</f>
        <v>Irak Soft</v>
      </c>
      <c r="S21" s="64">
        <f>IF(B21="","",VLOOKUP(AD21,Varsayımlar!$B:$Q,10,0))</f>
        <v>6</v>
      </c>
      <c r="T21" s="64">
        <f>IF(B21="","",VLOOKUP(AD21,Varsayımlar!$B:$Q,11,0))</f>
        <v>18</v>
      </c>
      <c r="U21" s="64">
        <f>IF(B21="","",VLOOKUP(AD21,Varsayımlar!$B:$Q,12,0))</f>
        <v>390</v>
      </c>
      <c r="V21" s="64" t="str">
        <f>IF(B21="","",VLOOKUP(AD21,Varsayımlar!$B:$Q,13,0))</f>
        <v>YURTDIŞI</v>
      </c>
      <c r="W21" s="64">
        <f>IF(B21="","",VLOOKUP(AD21,Varsayımlar!$B:$Q,14,0))</f>
        <v>9</v>
      </c>
      <c r="X21" s="66">
        <v>46202</v>
      </c>
      <c r="Y21" s="66">
        <v>46475</v>
      </c>
      <c r="Z21" s="64" t="s">
        <v>378</v>
      </c>
      <c r="AA21" s="64" t="str">
        <f>IF(B21="","",VLOOKUP(AD21,Varsayımlar!$B:$Q,15,0))</f>
        <v>25cm Koli-Kazakça Etiketli</v>
      </c>
      <c r="AB21" s="64" t="str">
        <f>IF(B21="","",VLOOKUP(AD21,Varsayımlar!$B:$Q,16,0))</f>
        <v>24-26 cm</v>
      </c>
      <c r="AC21" s="64" t="str">
        <f>IF(B21="","",VLOOKUP(Sayfa1!AD40,Varsayımlar!B:S,18,0))</f>
        <v>80x120cm</v>
      </c>
      <c r="AD21" s="57" t="str">
        <f t="shared" si="0"/>
        <v>UNITERA-KAZAKİSTANTortillas 25cm Tam Buğday 6pcs 390g</v>
      </c>
    </row>
    <row r="22" spans="1:30" ht="31.5" x14ac:dyDescent="0.25">
      <c r="A22" s="8" t="s">
        <v>140</v>
      </c>
      <c r="B22" s="64" t="s">
        <v>288</v>
      </c>
      <c r="C22" s="3">
        <f>IF(B22="","",VLOOKUP(AD22,Varsayımlar!$B:$Q,3,0))</f>
        <v>8698829380698</v>
      </c>
      <c r="D22" s="3"/>
      <c r="E22" s="64" t="s">
        <v>252</v>
      </c>
      <c r="F22" s="64">
        <v>20201016</v>
      </c>
      <c r="G22" s="3" t="s">
        <v>68</v>
      </c>
      <c r="H22" s="64" t="str">
        <f>IF(B22="","",VLOOKUP(AD22,Varsayımlar!$B:$Q,5,0))</f>
        <v>Tortillas 20cm Sade</v>
      </c>
      <c r="I22" s="64" t="str">
        <f>IF(B22="","",VLOOKUP(AD22,Varsayımlar!B:T,19,0))</f>
        <v>Arka kısma İçerik</v>
      </c>
      <c r="J22" s="64" t="str">
        <f>IF(B22="","",VLOOKUP(AD22,Varsayımlar!$B:$Q,6,0))</f>
        <v>SADE</v>
      </c>
      <c r="K22" s="64">
        <v>300</v>
      </c>
      <c r="L22" s="64"/>
      <c r="M22" s="64">
        <f>IFERROR(IF(B22="","",K22/VLOOKUP(AD22,Varsayımlar!B:R,17,0)),"")</f>
        <v>3</v>
      </c>
      <c r="N22" s="64"/>
      <c r="O22" s="64">
        <v>5</v>
      </c>
      <c r="P22" s="64">
        <f>IF(B22="","",VLOOKUP(AD22,Varsayımlar!$B:$Q,7,0)*K22)</f>
        <v>5400</v>
      </c>
      <c r="Q22" s="64">
        <f>IF(B22="","",VLOOKUP(AD22,Varsayımlar!$B:$Q,8,0))</f>
        <v>20</v>
      </c>
      <c r="R22" s="64" t="str">
        <f>IF(B22="","",VLOOKUP(AD22,Varsayımlar!$B:$Q,9,0))</f>
        <v>Irak Soft</v>
      </c>
      <c r="S22" s="64">
        <f>IF(B22="","",VLOOKUP(AD22,Varsayımlar!$B:$Q,10,0))</f>
        <v>6</v>
      </c>
      <c r="T22" s="64">
        <f>IF(B22="","",VLOOKUP(AD22,Varsayımlar!$B:$Q,11,0))</f>
        <v>18</v>
      </c>
      <c r="U22" s="64">
        <f>IF(B22="","",VLOOKUP(AD22,Varsayımlar!$B:$Q,12,0))</f>
        <v>270</v>
      </c>
      <c r="V22" s="64" t="str">
        <f>IF(B22="","",VLOOKUP(AD22,Varsayımlar!$B:$Q,13,0))</f>
        <v>YURTDIŞI</v>
      </c>
      <c r="W22" s="64">
        <f>IF(B22="","",VLOOKUP(AD22,Varsayımlar!$B:$Q,14,0))</f>
        <v>9</v>
      </c>
      <c r="X22" s="66">
        <v>46202</v>
      </c>
      <c r="Y22" s="66">
        <v>46475</v>
      </c>
      <c r="Z22" s="64">
        <v>26062920</v>
      </c>
      <c r="AA22" s="64" t="str">
        <f>IF(B22="","",VLOOKUP(AD22,Varsayımlar!$B:$Q,15,0))</f>
        <v>20cm Koli</v>
      </c>
      <c r="AB22" s="64" t="str">
        <f>IF(B22="","",VLOOKUP(AD22,Varsayımlar!$B:$Q,16,0))</f>
        <v>19-21cm</v>
      </c>
      <c r="AC22" s="64" t="str">
        <f>IF(B22="","",VLOOKUP(Sayfa1!AD41,Varsayımlar!B:S,18,0))</f>
        <v>80x120cm</v>
      </c>
      <c r="AD22" s="57" t="str">
        <f t="shared" si="0"/>
        <v>UNITERA-KAZAKİSTANTortillas 20cm Sade 6pcs 270g</v>
      </c>
    </row>
    <row r="23" spans="1:30" ht="31.5" x14ac:dyDescent="0.25">
      <c r="A23" s="8" t="s">
        <v>141</v>
      </c>
      <c r="B23" s="80" t="s">
        <v>218</v>
      </c>
      <c r="C23" s="44">
        <f>IF(B23="","",VLOOKUP(AD23,Varsayımlar!$B:$Q,3,0))</f>
        <v>8698829380698</v>
      </c>
      <c r="D23" s="44" t="s">
        <v>160</v>
      </c>
      <c r="E23" s="80" t="s">
        <v>229</v>
      </c>
      <c r="F23" s="80">
        <v>26042907</v>
      </c>
      <c r="G23" s="44"/>
      <c r="H23" s="80" t="str">
        <f>IF(B23="","",VLOOKUP(AD23,Varsayımlar!$B:$Q,5,0))</f>
        <v>Tortillas Avrupa 25cm Tam Buğday (711)</v>
      </c>
      <c r="I23" s="80">
        <f>IF(B23="","",VLOOKUP(AD23,Varsayımlar!B:T,19,0))</f>
        <v>0</v>
      </c>
      <c r="J23" s="80" t="str">
        <f>IF(B23="","",VLOOKUP(AD23,Varsayımlar!$B:$Q,6,0))</f>
        <v>Tam Buğdaylı</v>
      </c>
      <c r="K23" s="80">
        <v>840</v>
      </c>
      <c r="L23" s="80"/>
      <c r="M23" s="80">
        <f>IFERROR(IF(B23="","",K23/VLOOKUP(AD23,Varsayımlar!B:R,17,0)),"")</f>
        <v>7</v>
      </c>
      <c r="N23" s="80"/>
      <c r="O23" s="80">
        <v>9</v>
      </c>
      <c r="P23" s="80">
        <f>IF(B23="","",VLOOKUP(AD23,Varsayımlar!$B:$Q,7,0)*K23)</f>
        <v>6720</v>
      </c>
      <c r="Q23" s="80">
        <f>IF(B23="","",VLOOKUP(AD23,Varsayımlar!$B:$Q,8,0))</f>
        <v>25</v>
      </c>
      <c r="R23" s="80" t="str">
        <f>IF(B23="","",VLOOKUP(AD23,Varsayımlar!$B:$Q,9,0))</f>
        <v>Irak Soft</v>
      </c>
      <c r="S23" s="80">
        <f>IF(B23="","",VLOOKUP(AD23,Varsayımlar!$B:$Q,10,0))</f>
        <v>10</v>
      </c>
      <c r="T23" s="80">
        <f>IF(B23="","",VLOOKUP(AD23,Varsayımlar!$B:$Q,11,0))</f>
        <v>8</v>
      </c>
      <c r="U23" s="80">
        <f>IF(B23="","",VLOOKUP(AD23,Varsayımlar!$B:$Q,12,0))</f>
        <v>650</v>
      </c>
      <c r="V23" s="80" t="str">
        <f>IF(B23="","",VLOOKUP(AD23,Varsayımlar!$B:$Q,13,0))</f>
        <v>Yurtdışı</v>
      </c>
      <c r="W23" s="80">
        <f>IF(B23="","",VLOOKUP(AD23,Varsayımlar!$B:$Q,14,0))</f>
        <v>9</v>
      </c>
      <c r="X23" s="81">
        <v>46203</v>
      </c>
      <c r="Y23" s="81">
        <v>46476</v>
      </c>
      <c r="Z23" s="80" t="s">
        <v>379</v>
      </c>
      <c r="AA23" s="80" t="str">
        <f>IF(B23="","",VLOOKUP(AD23,Varsayımlar!$B:$Q,15,0))</f>
        <v>25cm Perforeli-Bulgarca TB etiket</v>
      </c>
      <c r="AB23" s="80" t="str">
        <f>IF(B23="","",VLOOKUP(AD23,Varsayımlar!$B:$Q,16,0))</f>
        <v>24-26 cm</v>
      </c>
      <c r="AC23" s="80" t="str">
        <f>IF(B23="","",VLOOKUP(Sayfa1!AD57,Varsayımlar!B:S,18,0))</f>
        <v>80x120cm -Epal+Epal</v>
      </c>
      <c r="AD23" s="57" t="str">
        <f t="shared" si="0"/>
        <v>TASTE LAND-BULGARİSTANTortillas 25cm Tam Buğday 10pcs 650g</v>
      </c>
    </row>
    <row r="24" spans="1:30" ht="47.25" x14ac:dyDescent="0.25">
      <c r="A24" s="8" t="s">
        <v>142</v>
      </c>
      <c r="B24" s="80" t="s">
        <v>218</v>
      </c>
      <c r="C24" s="44">
        <f>IF(B24="","",VLOOKUP(AD24,Varsayımlar!$B:$Q,3,0))</f>
        <v>8698829380698</v>
      </c>
      <c r="D24" s="44" t="s">
        <v>160</v>
      </c>
      <c r="E24" s="80" t="s">
        <v>232</v>
      </c>
      <c r="F24" s="80">
        <v>26042907</v>
      </c>
      <c r="G24" s="44"/>
      <c r="H24" s="80" t="str">
        <f>IF(B24="","",VLOOKUP(AD24,Varsayımlar!$B:$Q,5,0))</f>
        <v>Tortillas Avrupa 25cm Domatesli (074)</v>
      </c>
      <c r="I24" s="80">
        <f>IF(B24="","",VLOOKUP(AD24,Varsayımlar!B:T,19,0))</f>
        <v>0</v>
      </c>
      <c r="J24" s="80" t="str">
        <f>IF(B24="","",VLOOKUP(AD24,Varsayımlar!$B:$Q,6,0))</f>
        <v>Domatesli</v>
      </c>
      <c r="K24" s="80">
        <v>480</v>
      </c>
      <c r="L24" s="80"/>
      <c r="M24" s="80">
        <f>IFERROR(IF(B24="","",K24/VLOOKUP(AD24,Varsayımlar!B:R,17,0)),"")</f>
        <v>4</v>
      </c>
      <c r="N24" s="80"/>
      <c r="O24" s="80">
        <v>5</v>
      </c>
      <c r="P24" s="80">
        <f>IF(B24="","",VLOOKUP(AD24,Varsayımlar!$B:$Q,7,0)*K24)</f>
        <v>5760</v>
      </c>
      <c r="Q24" s="80">
        <f>IF(B24="","",VLOOKUP(AD24,Varsayımlar!$B:$Q,8,0))</f>
        <v>25</v>
      </c>
      <c r="R24" s="80" t="str">
        <f>IF(B24="","",VLOOKUP(AD24,Varsayımlar!$B:$Q,9,0))</f>
        <v>Irak Soft</v>
      </c>
      <c r="S24" s="80">
        <f>IF(B24="","",VLOOKUP(AD24,Varsayımlar!$B:$Q,10,0))</f>
        <v>6</v>
      </c>
      <c r="T24" s="80">
        <f>IF(B24="","",VLOOKUP(AD24,Varsayımlar!$B:$Q,11,0))</f>
        <v>12</v>
      </c>
      <c r="U24" s="80">
        <f>IF(B24="","",VLOOKUP(AD24,Varsayımlar!$B:$Q,12,0))</f>
        <v>390</v>
      </c>
      <c r="V24" s="80" t="str">
        <f>IF(B24="","",VLOOKUP(AD24,Varsayımlar!$B:$Q,13,0))</f>
        <v>Yurtdışı</v>
      </c>
      <c r="W24" s="80">
        <f>IF(B24="","",VLOOKUP(AD24,Varsayımlar!$B:$Q,14,0))</f>
        <v>9</v>
      </c>
      <c r="X24" s="81">
        <v>46203</v>
      </c>
      <c r="Y24" s="81">
        <v>46476</v>
      </c>
      <c r="Z24" s="80" t="s">
        <v>380</v>
      </c>
      <c r="AA24" s="80" t="str">
        <f>IF(B24="","",VLOOKUP(AD24,Varsayımlar!$B:$Q,15,0))</f>
        <v>25cm Perforeli-Bulgarca Domatesli etiket</v>
      </c>
      <c r="AB24" s="80" t="str">
        <f>IF(B24="","",VLOOKUP(AD24,Varsayımlar!$B:$Q,16,0))</f>
        <v>24-26 cm</v>
      </c>
      <c r="AC24" s="80" t="str">
        <f>IF(B24="","",VLOOKUP(Sayfa1!AD58,Varsayımlar!B:S,18,0))</f>
        <v>80x120cm -Epal+Epal</v>
      </c>
      <c r="AD24" s="57" t="str">
        <f t="shared" si="0"/>
        <v>TASTE LAND-BULGARİSTANTortillas 25cm Domatesli 6pcs 390g</v>
      </c>
    </row>
    <row r="25" spans="1:30" ht="47.25" x14ac:dyDescent="0.25">
      <c r="A25" s="8" t="s">
        <v>143</v>
      </c>
      <c r="B25" s="80" t="s">
        <v>218</v>
      </c>
      <c r="C25" s="44">
        <f>IF(B25="","",VLOOKUP(AD25,Varsayımlar!$B:$Q,3,0))</f>
        <v>8698829380698</v>
      </c>
      <c r="D25" s="44" t="s">
        <v>160</v>
      </c>
      <c r="E25" s="80" t="s">
        <v>235</v>
      </c>
      <c r="F25" s="80">
        <v>26042907</v>
      </c>
      <c r="G25" s="44"/>
      <c r="H25" s="80" t="str">
        <f>IF(B25="","",VLOOKUP(AD25,Varsayımlar!$B:$Q,5,0))</f>
        <v>Tortillas Avrupa 25cm Ispanaklı (081)</v>
      </c>
      <c r="I25" s="80">
        <f>IF(B25="","",VLOOKUP(AD25,Varsayımlar!B:T,19,0))</f>
        <v>0</v>
      </c>
      <c r="J25" s="80" t="str">
        <f>IF(B25="","",VLOOKUP(AD25,Varsayımlar!$B:$Q,6,0))</f>
        <v>Ispanaklı</v>
      </c>
      <c r="K25" s="80">
        <v>480</v>
      </c>
      <c r="L25" s="80"/>
      <c r="M25" s="80">
        <f>IFERROR(IF(B25="","",K25/VLOOKUP(AD25,Varsayımlar!B:R,17,0)),"")</f>
        <v>4</v>
      </c>
      <c r="N25" s="80"/>
      <c r="O25" s="80">
        <v>5</v>
      </c>
      <c r="P25" s="80">
        <f>IF(B25="","",VLOOKUP(AD25,Varsayımlar!$B:$Q,7,0)*K25)</f>
        <v>5760</v>
      </c>
      <c r="Q25" s="80">
        <f>IF(B25="","",VLOOKUP(AD25,Varsayımlar!$B:$Q,8,0))</f>
        <v>25</v>
      </c>
      <c r="R25" s="80" t="str">
        <f>IF(B25="","",VLOOKUP(AD25,Varsayımlar!$B:$Q,9,0))</f>
        <v>Irak Soft</v>
      </c>
      <c r="S25" s="80">
        <f>IF(B25="","",VLOOKUP(AD25,Varsayımlar!$B:$Q,10,0))</f>
        <v>6</v>
      </c>
      <c r="T25" s="80">
        <f>IF(B25="","",VLOOKUP(AD25,Varsayımlar!$B:$Q,11,0))</f>
        <v>12</v>
      </c>
      <c r="U25" s="80">
        <f>IF(B25="","",VLOOKUP(AD25,Varsayımlar!$B:$Q,12,0))</f>
        <v>390</v>
      </c>
      <c r="V25" s="80" t="str">
        <f>IF(B25="","",VLOOKUP(AD25,Varsayımlar!$B:$Q,13,0))</f>
        <v>Yurtdışı</v>
      </c>
      <c r="W25" s="80">
        <f>IF(B25="","",VLOOKUP(AD25,Varsayımlar!$B:$Q,14,0))</f>
        <v>9</v>
      </c>
      <c r="X25" s="81">
        <v>46203</v>
      </c>
      <c r="Y25" s="81">
        <v>46476</v>
      </c>
      <c r="Z25" s="80" t="s">
        <v>381</v>
      </c>
      <c r="AA25" s="80" t="str">
        <f>IF(B25="","",VLOOKUP(AD25,Varsayımlar!$B:$Q,15,0))</f>
        <v>25cm Perforeli-Bulgarca Ispanaklı etiket</v>
      </c>
      <c r="AB25" s="80" t="str">
        <f>IF(B25="","",VLOOKUP(AD25,Varsayımlar!$B:$Q,16,0))</f>
        <v>24-26 cm</v>
      </c>
      <c r="AC25" s="80" t="str">
        <f>IF(B25="","",VLOOKUP(Sayfa1!AD59,Varsayımlar!B:S,18,0))</f>
        <v>80x120cm -Epal+Epal</v>
      </c>
      <c r="AD25" s="57" t="str">
        <f t="shared" si="0"/>
        <v>TASTE LAND-BULGARİSTANTortillas 25cm Ispanaklı 6pcs 390g</v>
      </c>
    </row>
    <row r="26" spans="1:30" ht="47.25" x14ac:dyDescent="0.25">
      <c r="A26" s="8" t="s">
        <v>144</v>
      </c>
      <c r="B26" s="80" t="s">
        <v>218</v>
      </c>
      <c r="C26" s="44">
        <f>IF(B26="","",VLOOKUP(AD26,Varsayımlar!$B:$Q,3,0))</f>
        <v>8698829380698</v>
      </c>
      <c r="D26" s="44" t="s">
        <v>160</v>
      </c>
      <c r="E26" s="80" t="s">
        <v>240</v>
      </c>
      <c r="F26" s="80">
        <v>26042907</v>
      </c>
      <c r="G26" s="44"/>
      <c r="H26" s="80" t="str">
        <f>IF(B26="","",VLOOKUP(AD26,Varsayımlar!$B:$Q,5,0))</f>
        <v>Tortillas Avrupa 25cm Peynirli (098)</v>
      </c>
      <c r="I26" s="80">
        <f>IF(B26="","",VLOOKUP(AD26,Varsayımlar!B:T,19,0))</f>
        <v>0</v>
      </c>
      <c r="J26" s="80" t="str">
        <f>IF(B26="","",VLOOKUP(AD26,Varsayımlar!$B:$Q,6,0))</f>
        <v>Peynirli</v>
      </c>
      <c r="K26" s="80">
        <v>360</v>
      </c>
      <c r="L26" s="80"/>
      <c r="M26" s="80">
        <f>IFERROR(IF(B26="","",K26/VLOOKUP(AD26,Varsayımlar!B:R,17,0)),"")</f>
        <v>3</v>
      </c>
      <c r="N26" s="80"/>
      <c r="O26" s="80">
        <v>4</v>
      </c>
      <c r="P26" s="80">
        <f>IF(B26="","",VLOOKUP(AD26,Varsayımlar!$B:$Q,7,0)*K26)</f>
        <v>4320</v>
      </c>
      <c r="Q26" s="80">
        <f>IF(B26="","",VLOOKUP(AD26,Varsayımlar!$B:$Q,8,0))</f>
        <v>25</v>
      </c>
      <c r="R26" s="80" t="str">
        <f>IF(B26="","",VLOOKUP(AD26,Varsayımlar!$B:$Q,9,0))</f>
        <v>Irak Soft-AT</v>
      </c>
      <c r="S26" s="80">
        <f>IF(B26="","",VLOOKUP(AD26,Varsayımlar!$B:$Q,10,0))</f>
        <v>6</v>
      </c>
      <c r="T26" s="80">
        <f>IF(B26="","",VLOOKUP(AD26,Varsayımlar!$B:$Q,11,0))</f>
        <v>12</v>
      </c>
      <c r="U26" s="80">
        <f>IF(B26="","",VLOOKUP(AD26,Varsayımlar!$B:$Q,12,0))</f>
        <v>390</v>
      </c>
      <c r="V26" s="80" t="str">
        <f>IF(B26="","",VLOOKUP(AD26,Varsayımlar!$B:$Q,13,0))</f>
        <v>Yurtdışı</v>
      </c>
      <c r="W26" s="80">
        <f>IF(B26="","",VLOOKUP(AD26,Varsayımlar!$B:$Q,14,0))</f>
        <v>9</v>
      </c>
      <c r="X26" s="81">
        <v>46203</v>
      </c>
      <c r="Y26" s="81">
        <v>46476</v>
      </c>
      <c r="Z26" s="80" t="s">
        <v>382</v>
      </c>
      <c r="AA26" s="80" t="str">
        <f>IF(B26="","",VLOOKUP(AD26,Varsayımlar!$B:$Q,15,0))</f>
        <v>25cm Perforeli-Bulgarca Peynirli etiket</v>
      </c>
      <c r="AB26" s="80" t="str">
        <f>IF(B26="","",VLOOKUP(AD26,Varsayımlar!$B:$Q,16,0))</f>
        <v>24-26 cm</v>
      </c>
      <c r="AC26" s="80" t="str">
        <f>IF(B26="","",VLOOKUP(Sayfa1!AD60,Varsayımlar!B:S,18,0))</f>
        <v>80x120cm -Epal+Epal</v>
      </c>
      <c r="AD26" s="57" t="str">
        <f t="shared" si="0"/>
        <v>TASTE LAND-BULGARİSTANTortillas 25cm Peynirli 6pcs 390g</v>
      </c>
    </row>
    <row r="27" spans="1:30" ht="47.25" x14ac:dyDescent="0.25">
      <c r="A27" s="8" t="s">
        <v>145</v>
      </c>
      <c r="B27" s="54" t="s">
        <v>268</v>
      </c>
      <c r="C27" s="39">
        <f>IF(B27="","",VLOOKUP(AD27,Varsayımlar!$B:$Q,3,0))</f>
        <v>8698829380698</v>
      </c>
      <c r="D27" s="39" t="s">
        <v>160</v>
      </c>
      <c r="E27" s="54" t="s">
        <v>269</v>
      </c>
      <c r="F27" s="54" t="s">
        <v>343</v>
      </c>
      <c r="G27" s="39" t="s">
        <v>68</v>
      </c>
      <c r="H27" s="54" t="str">
        <f>IF(B27="","",VLOOKUP(AD27,Varsayımlar!$B:$Q,5,0))</f>
        <v>Tortillas 25cm Tam Buğday</v>
      </c>
      <c r="I27" s="54">
        <f>IF(B27="","",VLOOKUP(AD27,Varsayımlar!B:T,19,0))</f>
        <v>0</v>
      </c>
      <c r="J27" s="54" t="str">
        <f>IF(B27="","",VLOOKUP(AD27,Varsayımlar!$B:$Q,6,0))</f>
        <v>Tam Buğdaylı</v>
      </c>
      <c r="K27" s="54">
        <v>336</v>
      </c>
      <c r="L27" s="54"/>
      <c r="M27" s="54">
        <f>IFERROR(IF(B27="","",K27/VLOOKUP(AD27,Varsayımlar!B:R,17,0)),"")</f>
        <v>4</v>
      </c>
      <c r="N27" s="54"/>
      <c r="O27" s="54">
        <v>6</v>
      </c>
      <c r="P27" s="54">
        <f>IF(B27="","",VLOOKUP(AD27,Varsayımlar!$B:$Q,7,0)*K27)</f>
        <v>10080</v>
      </c>
      <c r="Q27" s="54">
        <f>IF(B27="","",VLOOKUP(AD27,Varsayımlar!$B:$Q,8,0))</f>
        <v>25</v>
      </c>
      <c r="R27" s="54" t="str">
        <f>IF(B27="","",VLOOKUP(AD27,Varsayımlar!$B:$Q,9,0))</f>
        <v>Soft-PA3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240</v>
      </c>
      <c r="V27" s="54" t="str">
        <f>IF(B27="","",VLOOKUP(AD27,Varsayımlar!$B:$Q,13,0))</f>
        <v>Yurtdışı</v>
      </c>
      <c r="W27" s="54">
        <f>IF(B27="","",VLOOKUP(AD27,Varsayımlar!$B:$Q,14,0))</f>
        <v>12</v>
      </c>
      <c r="X27" s="56">
        <v>46205</v>
      </c>
      <c r="Y27" s="56">
        <v>46570</v>
      </c>
      <c r="Z27" s="54" t="s">
        <v>383</v>
      </c>
      <c r="AA27" s="54" t="str">
        <f>IF(B27="","",VLOOKUP(AD27,Varsayımlar!$B:$Q,15,0))</f>
        <v>25cm Kolisi-Etiketli</v>
      </c>
      <c r="AB27" s="54" t="str">
        <f>IF(B27="","",VLOOKUP(AD27,Varsayımlar!$B:$Q,16,0))</f>
        <v>24-26 cm (Macca Hetto Inkjet Uzun Tarih)</v>
      </c>
      <c r="AC27" s="54" t="str">
        <f>IF(B27="","",VLOOKUP(Sayfa1!AD36,Varsayımlar!B:S,18,0))</f>
        <v>80x120cm</v>
      </c>
      <c r="AD27" s="57" t="str">
        <f t="shared" si="0"/>
        <v>LAIKYUZHN-BELARUSTortillas 25cm Tam buğday 4pcs 240g</v>
      </c>
    </row>
    <row r="28" spans="1:30" ht="47.25" x14ac:dyDescent="0.25">
      <c r="A28" s="8" t="s">
        <v>146</v>
      </c>
      <c r="B28" s="54" t="s">
        <v>268</v>
      </c>
      <c r="C28" s="39">
        <f>IF(B28="","",VLOOKUP(AD28,Varsayımlar!$B:$Q,3,0))</f>
        <v>8698829380698</v>
      </c>
      <c r="D28" s="39" t="s">
        <v>160</v>
      </c>
      <c r="E28" s="54" t="s">
        <v>274</v>
      </c>
      <c r="F28" s="54" t="s">
        <v>343</v>
      </c>
      <c r="G28" s="39" t="s">
        <v>68</v>
      </c>
      <c r="H28" s="54" t="str">
        <f>IF(B28="","",VLOOKUP(AD28,Varsayımlar!$B:$Q,5,0))</f>
        <v>Tortillas 25cm Domatesli</v>
      </c>
      <c r="I28" s="54">
        <f>IF(B28="","",VLOOKUP(AD28,Varsayımlar!B:T,19,0))</f>
        <v>0</v>
      </c>
      <c r="J28" s="54" t="str">
        <f>IF(B28="","",VLOOKUP(AD28,Varsayımlar!$B:$Q,6,0))</f>
        <v>Domatesli</v>
      </c>
      <c r="K28" s="54">
        <v>420</v>
      </c>
      <c r="L28" s="54"/>
      <c r="M28" s="54">
        <f>IFERROR(IF(B28="","",K28/VLOOKUP(AD28,Varsayımlar!B:R,17,0)),"")</f>
        <v>5</v>
      </c>
      <c r="N28" s="54"/>
      <c r="O28" s="54">
        <v>7</v>
      </c>
      <c r="P28" s="54">
        <f>IF(B28="","",VLOOKUP(AD28,Varsayımlar!$B:$Q,7,0)*K28)</f>
        <v>12600</v>
      </c>
      <c r="Q28" s="54">
        <f>IF(B28="","",VLOOKUP(AD28,Varsayımlar!$B:$Q,8,0))</f>
        <v>25</v>
      </c>
      <c r="R28" s="54" t="str">
        <f>IF(B28="","",VLOOKUP(AD28,Varsayımlar!$B:$Q,9,0))</f>
        <v>Soft-PA3</v>
      </c>
      <c r="S28" s="54">
        <f>IF(B28="","",VLOOKUP(AD28,Varsayımlar!$B:$Q,10,0))</f>
        <v>4</v>
      </c>
      <c r="T28" s="54">
        <f>IF(B28="","",VLOOKUP(AD28,Varsayımlar!$B:$Q,11,0))</f>
        <v>30</v>
      </c>
      <c r="U28" s="54">
        <f>IF(B28="","",VLOOKUP(AD28,Varsayımlar!$B:$Q,12,0))</f>
        <v>240</v>
      </c>
      <c r="V28" s="54" t="str">
        <f>IF(B28="","",VLOOKUP(AD28,Varsayımlar!$B:$Q,13,0))</f>
        <v>Yurtdışı</v>
      </c>
      <c r="W28" s="54">
        <f>IF(B28="","",VLOOKUP(AD28,Varsayımlar!$B:$Q,14,0))</f>
        <v>12</v>
      </c>
      <c r="X28" s="56">
        <v>46205</v>
      </c>
      <c r="Y28" s="56">
        <v>46570</v>
      </c>
      <c r="Z28" s="54" t="s">
        <v>384</v>
      </c>
      <c r="AA28" s="54" t="str">
        <f>IF(B28="","",VLOOKUP(AD28,Varsayımlar!$B:$Q,15,0))</f>
        <v>25cm Kolisi-Etiketli</v>
      </c>
      <c r="AB28" s="54" t="str">
        <f>IF(B28="","",VLOOKUP(AD28,Varsayımlar!$B:$Q,16,0))</f>
        <v>24-26 cm (Macca Hetto Inkjet Uzun Tarih)</v>
      </c>
      <c r="AC28" s="54" t="str">
        <f>IF(B28="","",VLOOKUP(Sayfa1!AD37,Varsayımlar!B:S,18,0))</f>
        <v>80x120cm</v>
      </c>
      <c r="AD28" s="57" t="str">
        <f t="shared" si="0"/>
        <v>LAIKYUZHN-BELARUSTortillas 25cm Domatesli 4pcs 240g</v>
      </c>
    </row>
    <row r="29" spans="1:30" ht="47.25" x14ac:dyDescent="0.25">
      <c r="A29" s="8" t="s">
        <v>147</v>
      </c>
      <c r="B29" s="54" t="s">
        <v>268</v>
      </c>
      <c r="C29" s="39">
        <f>IF(B29="","",VLOOKUP(AD29,Varsayımlar!$B:$Q,3,0))</f>
        <v>8698829380698</v>
      </c>
      <c r="D29" s="39" t="s">
        <v>160</v>
      </c>
      <c r="E29" s="54" t="s">
        <v>276</v>
      </c>
      <c r="F29" s="54" t="s">
        <v>343</v>
      </c>
      <c r="G29" s="39" t="s">
        <v>68</v>
      </c>
      <c r="H29" s="54" t="str">
        <f>IF(B29="","",VLOOKUP(AD29,Varsayımlar!$B:$Q,5,0))</f>
        <v>Tortillas 25cm Ispanaklı</v>
      </c>
      <c r="I29" s="54">
        <f>IF(B29="","",VLOOKUP(AD29,Varsayımlar!B:T,19,0))</f>
        <v>0</v>
      </c>
      <c r="J29" s="54" t="str">
        <f>IF(B29="","",VLOOKUP(AD29,Varsayımlar!$B:$Q,6,0))</f>
        <v>Ispanaklı</v>
      </c>
      <c r="K29" s="54">
        <v>336</v>
      </c>
      <c r="L29" s="54"/>
      <c r="M29" s="54">
        <f>IFERROR(IF(B29="","",K29/VLOOKUP(AD29,Varsayımlar!B:R,17,0)),"")</f>
        <v>4</v>
      </c>
      <c r="N29" s="54"/>
      <c r="O29" s="54">
        <v>6</v>
      </c>
      <c r="P29" s="54">
        <f>IF(B29="","",VLOOKUP(AD29,Varsayımlar!$B:$Q,7,0)*K29)</f>
        <v>10080</v>
      </c>
      <c r="Q29" s="54">
        <f>IF(B29="","",VLOOKUP(AD29,Varsayımlar!$B:$Q,8,0))</f>
        <v>25</v>
      </c>
      <c r="R29" s="54" t="str">
        <f>IF(B29="","",VLOOKUP(AD29,Varsayımlar!$B:$Q,9,0))</f>
        <v>Soft-PA3</v>
      </c>
      <c r="S29" s="54">
        <f>IF(B29="","",VLOOKUP(AD29,Varsayımlar!$B:$Q,10,0))</f>
        <v>4</v>
      </c>
      <c r="T29" s="54">
        <f>IF(B29="","",VLOOKUP(AD29,Varsayımlar!$B:$Q,11,0))</f>
        <v>30</v>
      </c>
      <c r="U29" s="54">
        <f>IF(B29="","",VLOOKUP(AD29,Varsayımlar!$B:$Q,12,0))</f>
        <v>240</v>
      </c>
      <c r="V29" s="54" t="str">
        <f>IF(B29="","",VLOOKUP(AD29,Varsayımlar!$B:$Q,13,0))</f>
        <v>Yurtdışı</v>
      </c>
      <c r="W29" s="54">
        <f>IF(B29="","",VLOOKUP(AD29,Varsayımlar!$B:$Q,14,0))</f>
        <v>12</v>
      </c>
      <c r="X29" s="56">
        <v>46205</v>
      </c>
      <c r="Y29" s="56">
        <v>46570</v>
      </c>
      <c r="Z29" s="54" t="s">
        <v>385</v>
      </c>
      <c r="AA29" s="54" t="str">
        <f>IF(B29="","",VLOOKUP(AD29,Varsayımlar!$B:$Q,15,0))</f>
        <v>25cm Kolisi-Etiketli</v>
      </c>
      <c r="AB29" s="54" t="str">
        <f>IF(B29="","",VLOOKUP(AD29,Varsayımlar!$B:$Q,16,0))</f>
        <v>24-26 cm (Macca Hetto Inkjet Uzun Tarih)</v>
      </c>
      <c r="AC29" s="54" t="str">
        <f>IF(B29="","",VLOOKUP(Sayfa1!AD38,Varsayımlar!B:S,18,0))</f>
        <v>80x120cm</v>
      </c>
      <c r="AD29" s="57" t="str">
        <f t="shared" si="0"/>
        <v>LAIKYUZHN-BELARUSTortillas 25cm Ispanaklı 4pcs 240g</v>
      </c>
    </row>
    <row r="30" spans="1:30" ht="47.25" x14ac:dyDescent="0.25">
      <c r="A30" s="8" t="s">
        <v>148</v>
      </c>
      <c r="B30" s="54" t="s">
        <v>268</v>
      </c>
      <c r="C30" s="39">
        <f>IF(B30="","",VLOOKUP(AD30,Varsayımlar!$B:$Q,3,0))</f>
        <v>8698829380698</v>
      </c>
      <c r="D30" s="39" t="s">
        <v>160</v>
      </c>
      <c r="E30" s="54" t="s">
        <v>278</v>
      </c>
      <c r="F30" s="54" t="s">
        <v>343</v>
      </c>
      <c r="G30" s="39" t="s">
        <v>68</v>
      </c>
      <c r="H30" s="54" t="str">
        <f>IF(B30="","",VLOOKUP(AD30,Varsayımlar!$B:$Q,5,0))</f>
        <v>Magnit Tortillas 25cm Peynirli</v>
      </c>
      <c r="I30" s="54" t="str">
        <f>IF(B30="","",VLOOKUP(AD30,Varsayımlar!B:T,19,0))</f>
        <v>Etiketli</v>
      </c>
      <c r="J30" s="54" t="str">
        <f>IF(B30="","",VLOOKUP(AD30,Varsayımlar!$B:$Q,6,0))</f>
        <v>Peynirli</v>
      </c>
      <c r="K30" s="54">
        <v>504</v>
      </c>
      <c r="L30" s="54"/>
      <c r="M30" s="54">
        <f>IFERROR(IF(B30="","",K30/VLOOKUP(AD30,Varsayımlar!B:R,17,0)),"")</f>
        <v>6</v>
      </c>
      <c r="N30" s="54"/>
      <c r="O30" s="54">
        <v>9</v>
      </c>
      <c r="P30" s="54">
        <f>IF(B30="","",VLOOKUP(AD30,Varsayımlar!$B:$Q,7,0)*K30)</f>
        <v>15120</v>
      </c>
      <c r="Q30" s="54">
        <f>IF(B30="","",VLOOKUP(AD30,Varsayımlar!$B:$Q,8,0))</f>
        <v>25</v>
      </c>
      <c r="R30" s="54" t="str">
        <f>IF(B30="","",VLOOKUP(AD30,Varsayımlar!$B:$Q,9,0))</f>
        <v>Soft-PA3-AT</v>
      </c>
      <c r="S30" s="54">
        <f>IF(B30="","",VLOOKUP(AD30,Varsayımlar!$B:$Q,10,0))</f>
        <v>4</v>
      </c>
      <c r="T30" s="54">
        <f>IF(B30="","",VLOOKUP(AD30,Varsayımlar!$B:$Q,11,0))</f>
        <v>30</v>
      </c>
      <c r="U30" s="54">
        <f>IF(B30="","",VLOOKUP(AD30,Varsayımlar!$B:$Q,12,0))</f>
        <v>250</v>
      </c>
      <c r="V30" s="54" t="str">
        <f>IF(B30="","",VLOOKUP(AD30,Varsayımlar!$B:$Q,13,0))</f>
        <v>Yurtdışı</v>
      </c>
      <c r="W30" s="54">
        <f>IF(B30="","",VLOOKUP(AD30,Varsayımlar!$B:$Q,14,0))</f>
        <v>9</v>
      </c>
      <c r="X30" s="56">
        <v>46205</v>
      </c>
      <c r="Y30" s="56">
        <v>46479</v>
      </c>
      <c r="Z30" s="54" t="s">
        <v>386</v>
      </c>
      <c r="AA30" s="54" t="str">
        <f>IF(B30="","",VLOOKUP(AD30,Varsayımlar!$B:$Q,15,0))</f>
        <v>25cm Kolisi-Etiketli</v>
      </c>
      <c r="AB30" s="54" t="str">
        <f>IF(B30="","",VLOOKUP(AD30,Varsayımlar!$B:$Q,16,0))</f>
        <v>24-26 cm (Macca Hetto Inkjet Uzun Tarih)</v>
      </c>
      <c r="AC30" s="54" t="str">
        <f>IF(B30="","",VLOOKUP(Sayfa1!AD39,Varsayımlar!B:S,18,0))</f>
        <v>80x120cm</v>
      </c>
      <c r="AD30" s="57" t="str">
        <f t="shared" si="0"/>
        <v>LAIKYUZHN-BELARUSMagnit Tortillas 25cm Peynirli 4pcs 240g</v>
      </c>
    </row>
    <row r="31" spans="1:30" ht="47.25" x14ac:dyDescent="0.25">
      <c r="A31" s="8" t="s">
        <v>149</v>
      </c>
      <c r="B31" s="75" t="s">
        <v>218</v>
      </c>
      <c r="C31" s="43">
        <f>IF(B31="","",VLOOKUP(AD31,Varsayımlar!$B:$Q,3,0))</f>
        <v>8698829380698</v>
      </c>
      <c r="D31" s="43" t="s">
        <v>161</v>
      </c>
      <c r="E31" s="75" t="s">
        <v>252</v>
      </c>
      <c r="F31" s="75" t="s">
        <v>341</v>
      </c>
      <c r="G31" s="43"/>
      <c r="H31" s="75" t="str">
        <f>IF(B31="","",VLOOKUP(AD31,Varsayımlar!$B:$Q,5,0))</f>
        <v xml:space="preserve">Tortillas 20cm Sade </v>
      </c>
      <c r="I31" s="75" t="str">
        <f>IF(B31="","",VLOOKUP(AD31,Varsayımlar!B:T,19,0))</f>
        <v>Barkod üzerine Barkod Etiketi (104)</v>
      </c>
      <c r="J31" s="75" t="str">
        <f>IF(B31="","",VLOOKUP(AD31,Varsayımlar!$B:$Q,6,0))</f>
        <v>SADE</v>
      </c>
      <c r="K31" s="75">
        <v>120</v>
      </c>
      <c r="L31" s="75"/>
      <c r="M31" s="75">
        <f>IFERROR(IF(B31="","",K31/VLOOKUP(AD31,Varsayımlar!B:R,17,0)),"")</f>
        <v>1</v>
      </c>
      <c r="N31" s="75"/>
      <c r="O31" s="75">
        <v>2</v>
      </c>
      <c r="P31" s="75">
        <f>IF(B31="","",VLOOKUP(AD31,Varsayımlar!$B:$Q,7,0)*K31)</f>
        <v>2160</v>
      </c>
      <c r="Q31" s="75">
        <f>IF(B31="","",VLOOKUP(AD31,Varsayımlar!$B:$Q,8,0))</f>
        <v>20</v>
      </c>
      <c r="R31" s="75" t="str">
        <f>IF(B31="","",VLOOKUP(AD31,Varsayımlar!$B:$Q,9,0))</f>
        <v>Irak Soft</v>
      </c>
      <c r="S31" s="75">
        <f>IF(B31="","",VLOOKUP(AD31,Varsayımlar!$B:$Q,10,0))</f>
        <v>6</v>
      </c>
      <c r="T31" s="75">
        <f>IF(B31="","",VLOOKUP(AD31,Varsayımlar!$B:$Q,11,0))</f>
        <v>18</v>
      </c>
      <c r="U31" s="75">
        <f>IF(B31="","",VLOOKUP(AD31,Varsayımlar!$B:$Q,12,0))</f>
        <v>270</v>
      </c>
      <c r="V31" s="75" t="str">
        <f>IF(B31="","",VLOOKUP(AD31,Varsayımlar!$B:$Q,13,0))</f>
        <v>Yurtdışı</v>
      </c>
      <c r="W31" s="75">
        <f>IF(B31="","",VLOOKUP(AD31,Varsayımlar!$B:$Q,14,0))</f>
        <v>9</v>
      </c>
      <c r="X31" s="76"/>
      <c r="Y31" s="76"/>
      <c r="Z31" s="75"/>
      <c r="AA31" s="75" t="str">
        <f>IF(B31="","",VLOOKUP(AD31,Varsayımlar!$B:$Q,15,0))</f>
        <v>20cm Lacivert-Bulgarca Etiket</v>
      </c>
      <c r="AB31" s="75" t="str">
        <f>IF(B31="","",VLOOKUP(AD31,Varsayımlar!$B:$Q,16,0))</f>
        <v>19-21 cm</v>
      </c>
      <c r="AC31" s="75" t="str">
        <f>IF(B31="","",VLOOKUP(Sayfa1!AD21,Varsayımlar!B:S,18,0))</f>
        <v>100x120cm-Epal+Epal</v>
      </c>
      <c r="AD31" s="57" t="str">
        <f t="shared" si="0"/>
        <v>TASTE LAND-BULGARİSTANTortillas 20cm Sade 6pcs 270g</v>
      </c>
    </row>
    <row r="32" spans="1:30" ht="78.75" x14ac:dyDescent="0.25">
      <c r="A32" s="8" t="s">
        <v>150</v>
      </c>
      <c r="B32" s="75" t="s">
        <v>218</v>
      </c>
      <c r="C32" s="43">
        <f>IF(B32="","",VLOOKUP(AD32,Varsayımlar!$B:$Q,3,0))</f>
        <v>8698829380698</v>
      </c>
      <c r="D32" s="43" t="s">
        <v>161</v>
      </c>
      <c r="E32" s="75" t="s">
        <v>222</v>
      </c>
      <c r="F32" s="75" t="s">
        <v>341</v>
      </c>
      <c r="G32" s="43"/>
      <c r="H32" s="75" t="str">
        <f>IF(B32="","",VLOOKUP(AD32,Varsayımlar!$B:$Q,5,0))</f>
        <v xml:space="preserve">Tortillas 30cm Tam Buğday </v>
      </c>
      <c r="I32" s="75" t="str">
        <f>IF(B32="","",VLOOKUP(AD32,Varsayımlar!B:T,19,0))</f>
        <v>Barkod üzerine-Bulgarca Barkodlu TB içerik etiketi (029)</v>
      </c>
      <c r="J32" s="75" t="str">
        <f>IF(B32="","",VLOOKUP(AD32,Varsayımlar!$B:$Q,6,0))</f>
        <v>Tam Buğdaylı</v>
      </c>
      <c r="K32" s="75">
        <v>60</v>
      </c>
      <c r="L32" s="75"/>
      <c r="M32" s="75">
        <f>IFERROR(IF(B32="","",K32/VLOOKUP(AD32,Varsayımlar!B:R,17,0)),"")</f>
        <v>1</v>
      </c>
      <c r="N32" s="75"/>
      <c r="O32" s="75">
        <v>1</v>
      </c>
      <c r="P32" s="75">
        <f>IF(B32="","",VLOOKUP(AD32,Varsayımlar!$B:$Q,7,0)*K32)</f>
        <v>360</v>
      </c>
      <c r="Q32" s="75">
        <f>IF(B32="","",VLOOKUP(AD32,Varsayımlar!$B:$Q,8,0))</f>
        <v>30</v>
      </c>
      <c r="R32" s="75" t="str">
        <f>IF(B32="","",VLOOKUP(AD32,Varsayımlar!$B:$Q,9,0))</f>
        <v>Irak Soft</v>
      </c>
      <c r="S32" s="75">
        <f>IF(B32="","",VLOOKUP(AD32,Varsayımlar!$B:$Q,10,0))</f>
        <v>18</v>
      </c>
      <c r="T32" s="75">
        <f>IF(B32="","",VLOOKUP(AD32,Varsayımlar!$B:$Q,11,0))</f>
        <v>6</v>
      </c>
      <c r="U32" s="75">
        <f>IF(B32="","",VLOOKUP(AD32,Varsayımlar!$B:$Q,12,0))</f>
        <v>1620</v>
      </c>
      <c r="V32" s="75" t="str">
        <f>IF(B32="","",VLOOKUP(AD32,Varsayımlar!$B:$Q,13,0))</f>
        <v>Yurtdışı</v>
      </c>
      <c r="W32" s="75">
        <f>IF(B32="","",VLOOKUP(AD32,Varsayımlar!$B:$Q,14,0))</f>
        <v>9</v>
      </c>
      <c r="X32" s="76"/>
      <c r="Y32" s="76"/>
      <c r="Z32" s="75"/>
      <c r="AA32" s="75" t="str">
        <f>IF(B32="","",VLOOKUP(AD32,Varsayımlar!$B:$Q,15,0))</f>
        <v>30cm Lacivert Koli- Bulgarca TB Etiket</v>
      </c>
      <c r="AB32" s="75" t="str">
        <f>IF(B32="","",VLOOKUP(AD32,Varsayımlar!$B:$Q,16,0))</f>
        <v>29-31 cm</v>
      </c>
      <c r="AC32" s="75" t="str">
        <f>IF(B32="","",VLOOKUP(Sayfa1!AD20,Varsayımlar!B:S,18,0))</f>
        <v>95x130cm</v>
      </c>
      <c r="AD32" s="57" t="str">
        <f t="shared" si="0"/>
        <v>TASTE LAND-BULGARİSTANTortillas 30cm Tam Buğday 18pcs 1620g</v>
      </c>
    </row>
    <row r="33" spans="1:30" ht="31.5" x14ac:dyDescent="0.25">
      <c r="A33" s="8" t="s">
        <v>151</v>
      </c>
      <c r="B33" s="75" t="s">
        <v>218</v>
      </c>
      <c r="C33" s="43">
        <f>IF(B33="","",VLOOKUP(AD33,Varsayımlar!$B:$Q,3,0))</f>
        <v>8698829380698</v>
      </c>
      <c r="D33" s="43" t="s">
        <v>161</v>
      </c>
      <c r="E33" s="75" t="s">
        <v>229</v>
      </c>
      <c r="F33" s="75" t="s">
        <v>341</v>
      </c>
      <c r="G33" s="43"/>
      <c r="H33" s="75" t="str">
        <f>IF(B33="","",VLOOKUP(AD33,Varsayımlar!$B:$Q,5,0))</f>
        <v>Tortillas Avrupa 25cm Tam Buğday (711)</v>
      </c>
      <c r="I33" s="75">
        <f>IF(B33="","",VLOOKUP(AD33,Varsayımlar!B:T,19,0))</f>
        <v>0</v>
      </c>
      <c r="J33" s="75" t="str">
        <f>IF(B33="","",VLOOKUP(AD33,Varsayımlar!$B:$Q,6,0))</f>
        <v>Tam Buğdaylı</v>
      </c>
      <c r="K33" s="75">
        <v>840</v>
      </c>
      <c r="L33" s="75"/>
      <c r="M33" s="75">
        <f>IFERROR(IF(B33="","",K33/VLOOKUP(AD33,Varsayımlar!B:R,17,0)),"")</f>
        <v>7</v>
      </c>
      <c r="N33" s="75"/>
      <c r="O33" s="75">
        <v>9</v>
      </c>
      <c r="P33" s="75">
        <f>IF(B33="","",VLOOKUP(AD33,Varsayımlar!$B:$Q,7,0)*K33)</f>
        <v>6720</v>
      </c>
      <c r="Q33" s="75">
        <f>IF(B33="","",VLOOKUP(AD33,Varsayımlar!$B:$Q,8,0))</f>
        <v>25</v>
      </c>
      <c r="R33" s="75" t="str">
        <f>IF(B33="","",VLOOKUP(AD33,Varsayımlar!$B:$Q,9,0))</f>
        <v>Irak Soft</v>
      </c>
      <c r="S33" s="75">
        <f>IF(B33="","",VLOOKUP(AD33,Varsayımlar!$B:$Q,10,0))</f>
        <v>10</v>
      </c>
      <c r="T33" s="75">
        <f>IF(B33="","",VLOOKUP(AD33,Varsayımlar!$B:$Q,11,0))</f>
        <v>8</v>
      </c>
      <c r="U33" s="75">
        <f>IF(B33="","",VLOOKUP(AD33,Varsayımlar!$B:$Q,12,0))</f>
        <v>650</v>
      </c>
      <c r="V33" s="75" t="str">
        <f>IF(B33="","",VLOOKUP(AD33,Varsayımlar!$B:$Q,13,0))</f>
        <v>Yurtdışı</v>
      </c>
      <c r="W33" s="75">
        <f>IF(B33="","",VLOOKUP(AD33,Varsayımlar!$B:$Q,14,0))</f>
        <v>9</v>
      </c>
      <c r="X33" s="76"/>
      <c r="Y33" s="76"/>
      <c r="Z33" s="75"/>
      <c r="AA33" s="75" t="str">
        <f>IF(B33="","",VLOOKUP(AD33,Varsayımlar!$B:$Q,15,0))</f>
        <v>25cm Perforeli-Bulgarca TB etiket</v>
      </c>
      <c r="AB33" s="75" t="str">
        <f>IF(B33="","",VLOOKUP(AD33,Varsayımlar!$B:$Q,16,0))</f>
        <v>24-26 cm</v>
      </c>
      <c r="AC33" s="75" t="str">
        <f>IF(B33="","",VLOOKUP(Sayfa1!AD63,Varsayımlar!B:S,18,0))</f>
        <v>80x120cm -Epal+Epal</v>
      </c>
      <c r="AD33" s="57" t="str">
        <f t="shared" si="0"/>
        <v>TASTE LAND-BULGARİSTANTortillas 25cm Tam Buğday 10pcs 650g</v>
      </c>
    </row>
    <row r="34" spans="1:30" ht="47.25" x14ac:dyDescent="0.25">
      <c r="A34" s="8" t="s">
        <v>152</v>
      </c>
      <c r="B34" s="75" t="s">
        <v>218</v>
      </c>
      <c r="C34" s="43">
        <f>IF(B34="","",VLOOKUP(AD34,Varsayımlar!$B:$Q,3,0))</f>
        <v>8698829380698</v>
      </c>
      <c r="D34" s="43" t="s">
        <v>161</v>
      </c>
      <c r="E34" s="75" t="s">
        <v>251</v>
      </c>
      <c r="F34" s="75" t="s">
        <v>341</v>
      </c>
      <c r="G34" s="43"/>
      <c r="H34" s="75" t="str">
        <f>IF(B34="","",VLOOKUP(AD34,Varsayımlar!$B:$Q,5,0))</f>
        <v>Tortillas Avrupa 25cm TB (711)</v>
      </c>
      <c r="I34" s="75" t="str">
        <f>IF(B34="","",VLOOKUP(AD34,Varsayımlar!B:T,19,0))</f>
        <v>Barkod üzerine Barkod Etiketi (067)</v>
      </c>
      <c r="J34" s="75" t="str">
        <f>IF(B34="","",VLOOKUP(AD34,Varsayımlar!$B:$Q,6,0))</f>
        <v>Tam Buğdaylı</v>
      </c>
      <c r="K34" s="75">
        <v>84</v>
      </c>
      <c r="L34" s="75"/>
      <c r="M34" s="75">
        <f>IFERROR(IF(B34="","",K34/VLOOKUP(AD34,Varsayımlar!B:R,17,0)),"")</f>
        <v>1</v>
      </c>
      <c r="N34" s="75"/>
      <c r="O34" s="75">
        <v>2</v>
      </c>
      <c r="P34" s="75">
        <f>IF(B34="","",VLOOKUP(AD34,Varsayımlar!$B:$Q,7,0)*K34)</f>
        <v>1512</v>
      </c>
      <c r="Q34" s="75">
        <f>IF(B34="","",VLOOKUP(AD34,Varsayımlar!$B:$Q,8,0))</f>
        <v>25</v>
      </c>
      <c r="R34" s="75" t="str">
        <f>IF(B34="","",VLOOKUP(AD34,Varsayımlar!$B:$Q,9,0))</f>
        <v>Irak Soft</v>
      </c>
      <c r="S34" s="75">
        <f>IF(B34="","",VLOOKUP(AD34,Varsayımlar!$B:$Q,10,0))</f>
        <v>6</v>
      </c>
      <c r="T34" s="75">
        <f>IF(B34="","",VLOOKUP(AD34,Varsayımlar!$B:$Q,11,0))</f>
        <v>18</v>
      </c>
      <c r="U34" s="75">
        <f>IF(B34="","",VLOOKUP(AD34,Varsayımlar!$B:$Q,12,0))</f>
        <v>390</v>
      </c>
      <c r="V34" s="75" t="str">
        <f>IF(B34="","",VLOOKUP(AD34,Varsayımlar!$B:$Q,13,0))</f>
        <v>Yurtdışı</v>
      </c>
      <c r="W34" s="75">
        <f>IF(B34="","",VLOOKUP(AD34,Varsayımlar!$B:$Q,14,0))</f>
        <v>9</v>
      </c>
      <c r="X34" s="76"/>
      <c r="Y34" s="76"/>
      <c r="Z34" s="75"/>
      <c r="AA34" s="75" t="str">
        <f>IF(B34="","",VLOOKUP(AD34,Varsayımlar!$B:$Q,15,0))</f>
        <v>25cm Kırmızı koli-Bulgarca TB Etiket</v>
      </c>
      <c r="AB34" s="75" t="str">
        <f>IF(B34="","",VLOOKUP(AD34,Varsayımlar!$B:$Q,16,0))</f>
        <v>24-26 cm</v>
      </c>
      <c r="AC34" s="75" t="str">
        <f>IF(B34="","",VLOOKUP(Sayfa1!AD64,Varsayımlar!B:S,18,0))</f>
        <v>80x120cm -Epal+Epal</v>
      </c>
      <c r="AD34" s="57" t="str">
        <f t="shared" si="0"/>
        <v>TASTE LAND-BULGARİSTANTortillas 25cm TB 6pcs 390g</v>
      </c>
    </row>
    <row r="35" spans="1:30" ht="47.25" x14ac:dyDescent="0.25">
      <c r="A35" s="8" t="s">
        <v>153</v>
      </c>
      <c r="B35" s="75" t="s">
        <v>218</v>
      </c>
      <c r="C35" s="43">
        <f>IF(B35="","",VLOOKUP(AD35,Varsayımlar!$B:$Q,3,0))</f>
        <v>8698829380698</v>
      </c>
      <c r="D35" s="43" t="s">
        <v>161</v>
      </c>
      <c r="E35" s="75" t="s">
        <v>232</v>
      </c>
      <c r="F35" s="75" t="s">
        <v>341</v>
      </c>
      <c r="G35" s="43"/>
      <c r="H35" s="75" t="str">
        <f>IF(B35="","",VLOOKUP(AD35,Varsayımlar!$B:$Q,5,0))</f>
        <v>Tortillas Avrupa 25cm Domatesli (074)</v>
      </c>
      <c r="I35" s="75">
        <f>IF(B35="","",VLOOKUP(AD35,Varsayımlar!B:T,19,0))</f>
        <v>0</v>
      </c>
      <c r="J35" s="75" t="str">
        <f>IF(B35="","",VLOOKUP(AD35,Varsayımlar!$B:$Q,6,0))</f>
        <v>Domatesli</v>
      </c>
      <c r="K35" s="75">
        <v>240</v>
      </c>
      <c r="L35" s="75"/>
      <c r="M35" s="75">
        <f>IFERROR(IF(B35="","",K35/VLOOKUP(AD35,Varsayımlar!B:R,17,0)),"")</f>
        <v>2</v>
      </c>
      <c r="N35" s="75"/>
      <c r="O35" s="75">
        <v>3</v>
      </c>
      <c r="P35" s="75">
        <f>IF(B35="","",VLOOKUP(AD35,Varsayımlar!$B:$Q,7,0)*K35)</f>
        <v>2880</v>
      </c>
      <c r="Q35" s="75">
        <f>IF(B35="","",VLOOKUP(AD35,Varsayımlar!$B:$Q,8,0))</f>
        <v>25</v>
      </c>
      <c r="R35" s="75" t="str">
        <f>IF(B35="","",VLOOKUP(AD35,Varsayımlar!$B:$Q,9,0))</f>
        <v>Irak Soft</v>
      </c>
      <c r="S35" s="75">
        <f>IF(B35="","",VLOOKUP(AD35,Varsayımlar!$B:$Q,10,0))</f>
        <v>6</v>
      </c>
      <c r="T35" s="75">
        <f>IF(B35="","",VLOOKUP(AD35,Varsayımlar!$B:$Q,11,0))</f>
        <v>12</v>
      </c>
      <c r="U35" s="75">
        <f>IF(B35="","",VLOOKUP(AD35,Varsayımlar!$B:$Q,12,0))</f>
        <v>390</v>
      </c>
      <c r="V35" s="75" t="str">
        <f>IF(B35="","",VLOOKUP(AD35,Varsayımlar!$B:$Q,13,0))</f>
        <v>Yurtdışı</v>
      </c>
      <c r="W35" s="75">
        <f>IF(B35="","",VLOOKUP(AD35,Varsayımlar!$B:$Q,14,0))</f>
        <v>9</v>
      </c>
      <c r="X35" s="76"/>
      <c r="Y35" s="76"/>
      <c r="Z35" s="75"/>
      <c r="AA35" s="75" t="str">
        <f>IF(B35="","",VLOOKUP(AD35,Varsayımlar!$B:$Q,15,0))</f>
        <v>25cm Perforeli-Bulgarca Domatesli etiket</v>
      </c>
      <c r="AB35" s="75" t="str">
        <f>IF(B35="","",VLOOKUP(AD35,Varsayımlar!$B:$Q,16,0))</f>
        <v>24-26 cm</v>
      </c>
      <c r="AC35" s="75" t="str">
        <f>IF(B35="","",VLOOKUP(Sayfa1!AD65,Varsayımlar!B:S,18,0))</f>
        <v>80x120cm -Epal+Epal</v>
      </c>
      <c r="AD35" s="57" t="str">
        <f t="shared" si="0"/>
        <v>TASTE LAND-BULGARİSTANTortillas 25cm Domatesli 6pcs 390g</v>
      </c>
    </row>
    <row r="36" spans="1:30" ht="47.25" x14ac:dyDescent="0.25">
      <c r="A36" s="8" t="s">
        <v>154</v>
      </c>
      <c r="B36" s="75" t="s">
        <v>218</v>
      </c>
      <c r="C36" s="43">
        <f>IF(B36="","",VLOOKUP(AD36,Varsayımlar!$B:$Q,3,0))</f>
        <v>8698829380698</v>
      </c>
      <c r="D36" s="43" t="s">
        <v>161</v>
      </c>
      <c r="E36" s="75" t="s">
        <v>235</v>
      </c>
      <c r="F36" s="75" t="s">
        <v>341</v>
      </c>
      <c r="G36" s="43"/>
      <c r="H36" s="75" t="str">
        <f>IF(B36="","",VLOOKUP(AD36,Varsayımlar!$B:$Q,5,0))</f>
        <v>Tortillas Avrupa 25cm Ispanaklı (081)</v>
      </c>
      <c r="I36" s="75">
        <f>IF(B36="","",VLOOKUP(AD36,Varsayımlar!B:T,19,0))</f>
        <v>0</v>
      </c>
      <c r="J36" s="75" t="str">
        <f>IF(B36="","",VLOOKUP(AD36,Varsayımlar!$B:$Q,6,0))</f>
        <v>Ispanaklı</v>
      </c>
      <c r="K36" s="75">
        <v>240</v>
      </c>
      <c r="L36" s="75"/>
      <c r="M36" s="75">
        <f>IFERROR(IF(B36="","",K36/VLOOKUP(AD36,Varsayımlar!B:R,17,0)),"")</f>
        <v>2</v>
      </c>
      <c r="N36" s="75"/>
      <c r="O36" s="75">
        <v>3</v>
      </c>
      <c r="P36" s="75">
        <f>IF(B36="","",VLOOKUP(AD36,Varsayımlar!$B:$Q,7,0)*K36)</f>
        <v>2880</v>
      </c>
      <c r="Q36" s="75">
        <f>IF(B36="","",VLOOKUP(AD36,Varsayımlar!$B:$Q,8,0))</f>
        <v>25</v>
      </c>
      <c r="R36" s="75" t="str">
        <f>IF(B36="","",VLOOKUP(AD36,Varsayımlar!$B:$Q,9,0))</f>
        <v>Irak Soft</v>
      </c>
      <c r="S36" s="75">
        <f>IF(B36="","",VLOOKUP(AD36,Varsayımlar!$B:$Q,10,0))</f>
        <v>6</v>
      </c>
      <c r="T36" s="75">
        <f>IF(B36="","",VLOOKUP(AD36,Varsayımlar!$B:$Q,11,0))</f>
        <v>12</v>
      </c>
      <c r="U36" s="75">
        <f>IF(B36="","",VLOOKUP(AD36,Varsayımlar!$B:$Q,12,0))</f>
        <v>390</v>
      </c>
      <c r="V36" s="75" t="str">
        <f>IF(B36="","",VLOOKUP(AD36,Varsayımlar!$B:$Q,13,0))</f>
        <v>Yurtdışı</v>
      </c>
      <c r="W36" s="75">
        <f>IF(B36="","",VLOOKUP(AD36,Varsayımlar!$B:$Q,14,0))</f>
        <v>9</v>
      </c>
      <c r="X36" s="76"/>
      <c r="Y36" s="76"/>
      <c r="Z36" s="75"/>
      <c r="AA36" s="75" t="str">
        <f>IF(B36="","",VLOOKUP(AD36,Varsayımlar!$B:$Q,15,0))</f>
        <v>25cm Perforeli-Bulgarca Ispanaklı etiket</v>
      </c>
      <c r="AB36" s="75" t="str">
        <f>IF(B36="","",VLOOKUP(AD36,Varsayımlar!$B:$Q,16,0))</f>
        <v>24-26 cm</v>
      </c>
      <c r="AC36" s="75" t="str">
        <f>IF(B36="","",VLOOKUP(Sayfa1!AD66,Varsayımlar!B:S,18,0))</f>
        <v>80x120cm -Epal+Epal</v>
      </c>
      <c r="AD36" s="57" t="str">
        <f t="shared" si="0"/>
        <v>TASTE LAND-BULGARİSTANTortillas 25cm Ispanaklı 6pcs 390g</v>
      </c>
    </row>
    <row r="37" spans="1:30" ht="47.25" x14ac:dyDescent="0.25">
      <c r="A37" s="8" t="s">
        <v>155</v>
      </c>
      <c r="B37" s="75" t="s">
        <v>218</v>
      </c>
      <c r="C37" s="43">
        <f>IF(B37="","",VLOOKUP(AD37,Varsayımlar!$B:$Q,3,0))</f>
        <v>8698829380698</v>
      </c>
      <c r="D37" s="43" t="s">
        <v>161</v>
      </c>
      <c r="E37" s="75" t="s">
        <v>240</v>
      </c>
      <c r="F37" s="75" t="s">
        <v>341</v>
      </c>
      <c r="G37" s="43"/>
      <c r="H37" s="75" t="str">
        <f>IF(B37="","",VLOOKUP(AD37,Varsayımlar!$B:$Q,5,0))</f>
        <v>Tortillas Avrupa 25cm Peynirli (098)</v>
      </c>
      <c r="I37" s="75">
        <f>IF(B37="","",VLOOKUP(AD37,Varsayımlar!B:T,19,0))</f>
        <v>0</v>
      </c>
      <c r="J37" s="75" t="str">
        <f>IF(B37="","",VLOOKUP(AD37,Varsayımlar!$B:$Q,6,0))</f>
        <v>Peynirli</v>
      </c>
      <c r="K37" s="75">
        <v>120</v>
      </c>
      <c r="L37" s="75"/>
      <c r="M37" s="75">
        <f>IFERROR(IF(B37="","",K37/VLOOKUP(AD37,Varsayımlar!B:R,17,0)),"")</f>
        <v>1</v>
      </c>
      <c r="N37" s="75"/>
      <c r="O37" s="75">
        <v>2</v>
      </c>
      <c r="P37" s="75">
        <f>IF(B37="","",VLOOKUP(AD37,Varsayımlar!$B:$Q,7,0)*K37)</f>
        <v>1440</v>
      </c>
      <c r="Q37" s="75">
        <f>IF(B37="","",VLOOKUP(AD37,Varsayımlar!$B:$Q,8,0))</f>
        <v>25</v>
      </c>
      <c r="R37" s="75" t="str">
        <f>IF(B37="","",VLOOKUP(AD37,Varsayımlar!$B:$Q,9,0))</f>
        <v>Irak Soft-AT</v>
      </c>
      <c r="S37" s="75">
        <f>IF(B37="","",VLOOKUP(AD37,Varsayımlar!$B:$Q,10,0))</f>
        <v>6</v>
      </c>
      <c r="T37" s="75">
        <f>IF(B37="","",VLOOKUP(AD37,Varsayımlar!$B:$Q,11,0))</f>
        <v>12</v>
      </c>
      <c r="U37" s="75">
        <f>IF(B37="","",VLOOKUP(AD37,Varsayımlar!$B:$Q,12,0))</f>
        <v>390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/>
      <c r="Y37" s="76"/>
      <c r="Z37" s="75"/>
      <c r="AA37" s="75" t="str">
        <f>IF(B37="","",VLOOKUP(AD37,Varsayımlar!$B:$Q,15,0))</f>
        <v>25cm Perforeli-Bulgarca Peynirli etiket</v>
      </c>
      <c r="AB37" s="75" t="str">
        <f>IF(B37="","",VLOOKUP(AD37,Varsayımlar!$B:$Q,16,0))</f>
        <v>24-26 cm</v>
      </c>
      <c r="AC37" s="75" t="str">
        <f>IF(B37="","",VLOOKUP(Sayfa1!AD67,Varsayımlar!B:S,18,0))</f>
        <v>80x120cm -Epal+Epal</v>
      </c>
      <c r="AD37" s="57" t="str">
        <f t="shared" si="0"/>
        <v>TASTE LAND-BULGARİSTANTortillas 25cm Peynirli 6pcs 390g</v>
      </c>
    </row>
    <row r="38" spans="1:30" x14ac:dyDescent="0.25">
      <c r="A38" s="8" t="s">
        <v>156</v>
      </c>
      <c r="B38" s="64"/>
      <c r="C38" s="3" t="str">
        <f>IF(B38="","",VLOOKUP(AD38,Varsayımlar!$B:$Q,3,0))</f>
        <v/>
      </c>
      <c r="D38" s="3"/>
      <c r="E38" s="3"/>
      <c r="F38" s="64"/>
      <c r="G38" s="3"/>
      <c r="H38" s="64" t="str">
        <f>IF(B38="","",VLOOKUP(AD38,Varsayımlar!$B:$Q,5,0))</f>
        <v/>
      </c>
      <c r="I38" s="64" t="str">
        <f>IF(B38="","",VLOOKUP(AD38,Varsayımlar!B:T,19,0))</f>
        <v/>
      </c>
      <c r="J38" s="64" t="str">
        <f>IF(B38="","",VLOOKUP(AD38,Varsayımlar!$B:$Q,6,0))</f>
        <v/>
      </c>
      <c r="K38" s="64"/>
      <c r="L38" s="64"/>
      <c r="M38" s="64" t="str">
        <f>IFERROR(IF(B38="","",K38/VLOOKUP(AD38,Varsayımlar!B:R,17,0)),"")</f>
        <v/>
      </c>
      <c r="N38" s="64"/>
      <c r="O38" s="64"/>
      <c r="P38" s="64" t="str">
        <f>IF(B38="","",VLOOKUP(AD38,Varsayımlar!$B:$Q,7,0)*K38)</f>
        <v/>
      </c>
      <c r="Q38" s="64" t="str">
        <f>IF(B38="","",VLOOKUP(AD38,Varsayımlar!$B:$Q,8,0))</f>
        <v/>
      </c>
      <c r="R38" s="64" t="str">
        <f>IF(B38="","",VLOOKUP(AD38,Varsayımlar!$B:$Q,9,0))</f>
        <v/>
      </c>
      <c r="S38" s="64" t="str">
        <f>IF(B38="","",VLOOKUP(AD38,Varsayımlar!$B:$Q,10,0))</f>
        <v/>
      </c>
      <c r="T38" s="64" t="str">
        <f>IF(B38="","",VLOOKUP(AD38,Varsayımlar!$B:$Q,11,0))</f>
        <v/>
      </c>
      <c r="U38" s="64" t="str">
        <f>IF(B38="","",VLOOKUP(AD38,Varsayımlar!$B:$Q,12,0))</f>
        <v/>
      </c>
      <c r="V38" s="64" t="str">
        <f>IF(B38="","",VLOOKUP(AD38,Varsayımlar!$B:$Q,13,0))</f>
        <v/>
      </c>
      <c r="W38" s="64" t="str">
        <f>IF(B38="","",VLOOKUP(AD38,Varsayımlar!$B:$Q,14,0))</f>
        <v/>
      </c>
      <c r="X38" s="66"/>
      <c r="Y38" s="66"/>
      <c r="Z38" s="64"/>
      <c r="AA38" s="64" t="str">
        <f>IF(B38="","",VLOOKUP(AD38,Varsayımlar!$B:$Q,15,0))</f>
        <v/>
      </c>
      <c r="AB38" s="64" t="str">
        <f>IF(B38="","",VLOOKUP(AD38,Varsayımlar!$B:$Q,16,0))</f>
        <v/>
      </c>
      <c r="AC38" s="64" t="str">
        <f>IF(B38="","",VLOOKUP(Sayfa1!AD43,Varsayımlar!B:S,18,0))</f>
        <v/>
      </c>
      <c r="AD38" s="57" t="str">
        <f t="shared" si="0"/>
        <v/>
      </c>
    </row>
    <row r="39" spans="1:30" x14ac:dyDescent="0.25">
      <c r="A39" s="8" t="s">
        <v>157</v>
      </c>
      <c r="B39" s="64"/>
      <c r="C39" s="3" t="str">
        <f>IF(B39="","",VLOOKUP(AD39,Varsayımlar!$B:$Q,3,0))</f>
        <v/>
      </c>
      <c r="D39" s="3"/>
      <c r="E39" s="3"/>
      <c r="F39" s="64"/>
      <c r="G39" s="3"/>
      <c r="H39" s="64" t="str">
        <f>IF(B39="","",VLOOKUP(AD39,Varsayımlar!$B:$Q,5,0))</f>
        <v/>
      </c>
      <c r="I39" s="64" t="str">
        <f>IF(B39="","",VLOOKUP(AD39,Varsayımlar!B:T,19,0))</f>
        <v/>
      </c>
      <c r="J39" s="64" t="str">
        <f>IF(B39="","",VLOOKUP(AD39,Varsayımlar!$B:$Q,6,0))</f>
        <v/>
      </c>
      <c r="K39" s="64"/>
      <c r="L39" s="64"/>
      <c r="M39" s="64" t="str">
        <f>IFERROR(IF(B39="","",K39/VLOOKUP(AD39,Varsayımlar!B:R,17,0)),"")</f>
        <v/>
      </c>
      <c r="N39" s="64"/>
      <c r="O39" s="64"/>
      <c r="P39" s="64" t="str">
        <f>IF(B39="","",VLOOKUP(AD39,Varsayımlar!$B:$Q,7,0)*K39)</f>
        <v/>
      </c>
      <c r="Q39" s="64" t="str">
        <f>IF(B39="","",VLOOKUP(AD39,Varsayımlar!$B:$Q,8,0))</f>
        <v/>
      </c>
      <c r="R39" s="64" t="str">
        <f>IF(B39="","",VLOOKUP(AD39,Varsayımlar!$B:$Q,9,0))</f>
        <v/>
      </c>
      <c r="S39" s="64" t="str">
        <f>IF(B39="","",VLOOKUP(AD39,Varsayımlar!$B:$Q,10,0))</f>
        <v/>
      </c>
      <c r="T39" s="64" t="str">
        <f>IF(B39="","",VLOOKUP(AD39,Varsayımlar!$B:$Q,11,0))</f>
        <v/>
      </c>
      <c r="U39" s="64" t="str">
        <f>IF(B39="","",VLOOKUP(AD39,Varsayımlar!$B:$Q,12,0))</f>
        <v/>
      </c>
      <c r="V39" s="64" t="str">
        <f>IF(B39="","",VLOOKUP(AD39,Varsayımlar!$B:$Q,13,0))</f>
        <v/>
      </c>
      <c r="W39" s="64" t="str">
        <f>IF(B39="","",VLOOKUP(AD39,Varsayımlar!$B:$Q,14,0))</f>
        <v/>
      </c>
      <c r="X39" s="66"/>
      <c r="Y39" s="66"/>
      <c r="Z39" s="64"/>
      <c r="AA39" s="64" t="str">
        <f>IF(B39="","",VLOOKUP(AD39,Varsayımlar!$B:$Q,15,0))</f>
        <v/>
      </c>
      <c r="AB39" s="64" t="str">
        <f>IF(B39="","",VLOOKUP(AD39,Varsayımlar!$B:$Q,16,0))</f>
        <v/>
      </c>
      <c r="AC39" s="64" t="str">
        <f>IF(B39="","",VLOOKUP(Sayfa1!AD44,Varsayımlar!B:S,18,0))</f>
        <v/>
      </c>
      <c r="AD39" s="57" t="str">
        <f t="shared" si="0"/>
        <v/>
      </c>
    </row>
    <row r="40" spans="1:30" x14ac:dyDescent="0.25">
      <c r="A40" s="8" t="s">
        <v>158</v>
      </c>
      <c r="B40" s="64"/>
      <c r="C40" s="3" t="str">
        <f>IF(B40="","",VLOOKUP(AD40,Varsayımlar!$B:$Q,3,0))</f>
        <v/>
      </c>
      <c r="D40" s="3"/>
      <c r="E40" s="3"/>
      <c r="F40" s="64"/>
      <c r="G40" s="3"/>
      <c r="H40" s="64" t="str">
        <f>IF(B40="","",VLOOKUP(AD40,Varsayımlar!$B:$Q,5,0))</f>
        <v/>
      </c>
      <c r="I40" s="64" t="str">
        <f>IF(B40="","",VLOOKUP(AD40,Varsayımlar!B:T,19,0))</f>
        <v/>
      </c>
      <c r="J40" s="64" t="str">
        <f>IF(B40="","",VLOOKUP(AD40,Varsayımlar!$B:$Q,6,0))</f>
        <v/>
      </c>
      <c r="K40" s="64"/>
      <c r="L40" s="64"/>
      <c r="M40" s="64" t="str">
        <f>IFERROR(IF(B40="","",K40/VLOOKUP(AD40,Varsayımlar!B:R,17,0)),"")</f>
        <v/>
      </c>
      <c r="N40" s="64"/>
      <c r="O40" s="64"/>
      <c r="P40" s="64" t="str">
        <f>IF(B40="","",VLOOKUP(AD40,Varsayımlar!$B:$Q,7,0)*K40)</f>
        <v/>
      </c>
      <c r="Q40" s="64" t="str">
        <f>IF(B40="","",VLOOKUP(AD40,Varsayımlar!$B:$Q,8,0))</f>
        <v/>
      </c>
      <c r="R40" s="64" t="str">
        <f>IF(B40="","",VLOOKUP(AD40,Varsayımlar!$B:$Q,9,0))</f>
        <v/>
      </c>
      <c r="S40" s="64" t="str">
        <f>IF(B40="","",VLOOKUP(AD40,Varsayımlar!$B:$Q,10,0))</f>
        <v/>
      </c>
      <c r="T40" s="64" t="str">
        <f>IF(B40="","",VLOOKUP(AD40,Varsayımlar!$B:$Q,11,0))</f>
        <v/>
      </c>
      <c r="U40" s="64" t="str">
        <f>IF(B40="","",VLOOKUP(AD40,Varsayımlar!$B:$Q,12,0))</f>
        <v/>
      </c>
      <c r="V40" s="64" t="str">
        <f>IF(B40="","",VLOOKUP(AD40,Varsayımlar!$B:$Q,13,0))</f>
        <v/>
      </c>
      <c r="W40" s="64" t="str">
        <f>IF(B40="","",VLOOKUP(AD40,Varsayımlar!$B:$Q,14,0))</f>
        <v/>
      </c>
      <c r="X40" s="66"/>
      <c r="Y40" s="66"/>
      <c r="Z40" s="64"/>
      <c r="AA40" s="64" t="str">
        <f>IF(B40="","",VLOOKUP(AD40,Varsayımlar!$B:$Q,15,0))</f>
        <v/>
      </c>
      <c r="AB40" s="64" t="str">
        <f>IF(B40="","",VLOOKUP(AD40,Varsayımlar!$B:$Q,16,0))</f>
        <v/>
      </c>
      <c r="AC40" s="64" t="str">
        <f>IF(B40="","",VLOOKUP(Sayfa1!AD45,Varsayımlar!B:S,18,0))</f>
        <v/>
      </c>
      <c r="AD40" s="57" t="str">
        <f t="shared" si="0"/>
        <v/>
      </c>
    </row>
    <row r="41" spans="1:30" ht="31.5" customHeight="1" x14ac:dyDescent="0.25">
      <c r="A41" s="182" t="s">
        <v>344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4"/>
      <c r="AC41" s="38"/>
    </row>
    <row r="42" spans="1:30" ht="63" x14ac:dyDescent="0.25">
      <c r="A42" s="8" t="s">
        <v>0</v>
      </c>
      <c r="B42" s="8" t="s">
        <v>1</v>
      </c>
      <c r="C42" s="9" t="s">
        <v>31</v>
      </c>
      <c r="D42" s="9" t="s">
        <v>124</v>
      </c>
      <c r="E42" s="9" t="s">
        <v>36</v>
      </c>
      <c r="F42" s="8" t="s">
        <v>37</v>
      </c>
      <c r="G42" s="8" t="s">
        <v>13</v>
      </c>
      <c r="H42" s="8" t="s">
        <v>2</v>
      </c>
      <c r="I42" s="8" t="s">
        <v>49</v>
      </c>
      <c r="J42" s="8" t="s">
        <v>3</v>
      </c>
      <c r="K42" s="8" t="s">
        <v>21</v>
      </c>
      <c r="L42" s="8" t="s">
        <v>94</v>
      </c>
      <c r="M42" s="8" t="s">
        <v>20</v>
      </c>
      <c r="N42" s="8" t="s">
        <v>165</v>
      </c>
      <c r="O42" s="8" t="s">
        <v>123</v>
      </c>
      <c r="P42" s="8" t="s">
        <v>16</v>
      </c>
      <c r="Q42" s="8" t="s">
        <v>4</v>
      </c>
      <c r="R42" s="8" t="s">
        <v>5</v>
      </c>
      <c r="S42" s="8" t="s">
        <v>6</v>
      </c>
      <c r="T42" s="8" t="s">
        <v>28</v>
      </c>
      <c r="U42" s="8" t="s">
        <v>7</v>
      </c>
      <c r="V42" s="8" t="s">
        <v>8</v>
      </c>
      <c r="W42" s="8" t="s">
        <v>267</v>
      </c>
      <c r="X42" s="8" t="s">
        <v>10</v>
      </c>
      <c r="Y42" s="8" t="s">
        <v>11</v>
      </c>
      <c r="Z42" s="8" t="s">
        <v>12</v>
      </c>
      <c r="AA42" s="8" t="s">
        <v>14</v>
      </c>
      <c r="AB42" s="8" t="s">
        <v>15</v>
      </c>
      <c r="AC42" s="8" t="s">
        <v>208</v>
      </c>
      <c r="AD42" s="7" t="s">
        <v>41</v>
      </c>
    </row>
    <row r="43" spans="1:30" ht="78.75" x14ac:dyDescent="0.25">
      <c r="A43" s="8" t="s">
        <v>26</v>
      </c>
      <c r="B43" s="64" t="s">
        <v>53</v>
      </c>
      <c r="C43" s="3">
        <f>IF(B43="","",VLOOKUP(AD43,Varsayımlar!$B:$Q,3,0))</f>
        <v>8698829380698</v>
      </c>
      <c r="D43" s="64" t="s">
        <v>397</v>
      </c>
      <c r="E43" s="64" t="s">
        <v>54</v>
      </c>
      <c r="F43" s="64"/>
      <c r="G43" s="64" t="s">
        <v>398</v>
      </c>
      <c r="H43" s="64" t="str">
        <f>IF(B43="","",VLOOKUP(AD43,Varsayımlar!$B:$Q,5,0))</f>
        <v>MAGNİT MAVİ AMBALAJ 25CM</v>
      </c>
      <c r="I43" s="64">
        <f>IF(B43="","",VLOOKUP(AD43,Varsayımlar!B:T,19,0))</f>
        <v>0</v>
      </c>
      <c r="J43" s="64" t="str">
        <f>IF(B43="","",VLOOKUP(AD43,Varsayımlar!$B:$Q,6,0))</f>
        <v>SADE</v>
      </c>
      <c r="K43" s="64">
        <v>2016</v>
      </c>
      <c r="L43" s="64">
        <v>336</v>
      </c>
      <c r="M43" s="64" t="str">
        <f>IFERROR(IF(B43="","",K43/VLOOKUP(AD43,#REF!,17,0)),"")</f>
        <v/>
      </c>
      <c r="N43" s="64"/>
      <c r="O43" s="64">
        <v>24</v>
      </c>
      <c r="P43" s="64">
        <f>IF(B43="","",VLOOKUP(AD43,Varsayımlar!$B:$Q,7,0)*K43)</f>
        <v>60480</v>
      </c>
      <c r="Q43" s="64">
        <f>IF(B43="","",VLOOKUP(AD43,Varsayımlar!$B:$Q,8,0))</f>
        <v>25</v>
      </c>
      <c r="R43" s="64" t="str">
        <f>IF(B43="","",VLOOKUP(AD43,Varsayımlar!$B:$Q,9,0))</f>
        <v>SOFT</v>
      </c>
      <c r="S43" s="64">
        <f>IF(B43="","",VLOOKUP(AD43,Varsayımlar!$B:$Q,10,0))</f>
        <v>4</v>
      </c>
      <c r="T43" s="64">
        <f>IF(B43="","",VLOOKUP(AD43,Varsayımlar!$B:$Q,11,0))</f>
        <v>30</v>
      </c>
      <c r="U43" s="64">
        <f>IF(B43="","",VLOOKUP(AD43,Varsayımlar!$B:$Q,12,0))</f>
        <v>260</v>
      </c>
      <c r="V43" s="64" t="str">
        <f>IF(B43="","",VLOOKUP(AD43,Varsayımlar!$B:$Q,13,0))</f>
        <v>YURTDIŞI</v>
      </c>
      <c r="W43" s="64">
        <f>IF(B43="","",VLOOKUP(AD43,Varsayımlar!$B:$Q,14,0))</f>
        <v>9</v>
      </c>
      <c r="X43" s="66">
        <v>46190</v>
      </c>
      <c r="Y43" s="66">
        <v>46463</v>
      </c>
      <c r="Z43" s="64" t="s">
        <v>399</v>
      </c>
      <c r="AA43" s="64" t="str">
        <f>IF(B43="","",VLOOKUP(AD43,Varsayımlar!$B:$Q,15,0))</f>
        <v>25CM TURUNCU KOLİ-SOL ÜST DİKDÖRTGENE ÜRETİM TARİHİ BASILACAK</v>
      </c>
      <c r="AB43" s="64" t="str">
        <f>IF(B43="","",VLOOKUP(AD43,Varsayımlar!$B:$Q,16,0))</f>
        <v>24-26 CM</v>
      </c>
      <c r="AC43" s="73" t="e">
        <f>IF(B43="","",VLOOKUP(#REF!,#REF!,18,0))</f>
        <v>#REF!</v>
      </c>
      <c r="AD43" s="73" t="str">
        <f>IF(B43="","",CONCATENATE(B43,E43))</f>
        <v>MAGNİTMAGNİT MAVİ AMBALAJ 25 CM 260G</v>
      </c>
    </row>
    <row r="44" spans="1:30" ht="78.75" x14ac:dyDescent="0.25">
      <c r="A44" s="8" t="s">
        <v>77</v>
      </c>
      <c r="B44" s="80" t="s">
        <v>53</v>
      </c>
      <c r="C44" s="44">
        <f>IF(B44="","",VLOOKUP(AD44,Varsayımlar!$B:$Q,3,0))</f>
        <v>8698829380698</v>
      </c>
      <c r="D44" s="80" t="s">
        <v>394</v>
      </c>
      <c r="E44" s="80" t="s">
        <v>54</v>
      </c>
      <c r="F44" s="80"/>
      <c r="G44" s="80" t="s">
        <v>395</v>
      </c>
      <c r="H44" s="80" t="str">
        <f>IF(B44="","",VLOOKUP(AD44,Varsayımlar!$B:$Q,5,0))</f>
        <v>MAGNİT MAVİ AMBALAJ 25CM</v>
      </c>
      <c r="I44" s="80">
        <f>IF(B44="","",VLOOKUP(AD44,Varsayımlar!B:T,19,0))</f>
        <v>0</v>
      </c>
      <c r="J44" s="80" t="str">
        <f>IF(B44="","",VLOOKUP(AD44,Varsayımlar!$B:$Q,6,0))</f>
        <v>SADE</v>
      </c>
      <c r="K44" s="80">
        <v>2016</v>
      </c>
      <c r="L44" s="80"/>
      <c r="M44" s="80" t="str">
        <f>IFERROR(IF(B44="","",K44/VLOOKUP(AD44,#REF!,17,0)),"")</f>
        <v/>
      </c>
      <c r="N44" s="80"/>
      <c r="O44" s="80">
        <v>30</v>
      </c>
      <c r="P44" s="80">
        <f>IF(B44="","",VLOOKUP(AD44,Varsayımlar!$B:$Q,7,0)*K44)</f>
        <v>60480</v>
      </c>
      <c r="Q44" s="80">
        <f>IF(B44="","",VLOOKUP(AD44,Varsayımlar!$B:$Q,8,0))</f>
        <v>25</v>
      </c>
      <c r="R44" s="80" t="str">
        <f>IF(B44="","",VLOOKUP(AD44,Varsayımlar!$B:$Q,9,0))</f>
        <v>SOFT</v>
      </c>
      <c r="S44" s="80">
        <f>IF(B44="","",VLOOKUP(AD44,Varsayımlar!$B:$Q,10,0))</f>
        <v>4</v>
      </c>
      <c r="T44" s="80">
        <f>IF(B44="","",VLOOKUP(AD44,Varsayımlar!$B:$Q,11,0))</f>
        <v>30</v>
      </c>
      <c r="U44" s="80">
        <f>IF(B44="","",VLOOKUP(AD44,Varsayımlar!$B:$Q,12,0))</f>
        <v>260</v>
      </c>
      <c r="V44" s="80" t="str">
        <f>IF(B44="","",VLOOKUP(AD44,Varsayımlar!$B:$Q,13,0))</f>
        <v>YURTDIŞI</v>
      </c>
      <c r="W44" s="80">
        <f>IF(B44="","",VLOOKUP(AD44,Varsayımlar!$B:$Q,14,0))</f>
        <v>9</v>
      </c>
      <c r="X44" s="81">
        <v>46190</v>
      </c>
      <c r="Y44" s="81">
        <v>46463</v>
      </c>
      <c r="Z44" s="80" t="s">
        <v>396</v>
      </c>
      <c r="AA44" s="80" t="str">
        <f>IF(B44="","",VLOOKUP(AD44,Varsayımlar!$B:$Q,15,0))</f>
        <v>25CM TURUNCU KOLİ-SOL ÜST DİKDÖRTGENE ÜRETİM TARİHİ BASILACAK</v>
      </c>
      <c r="AB44" s="80" t="str">
        <f>IF(B44="","",VLOOKUP(AD44,Varsayımlar!$B:$Q,16,0))</f>
        <v>24-26 CM</v>
      </c>
      <c r="AC44" s="73" t="e">
        <f>IF(B44="","",VLOOKUP(#REF!,#REF!,18,0))</f>
        <v>#REF!</v>
      </c>
      <c r="AD44" s="73" t="str">
        <f>IF(B44="","",CONCATENATE(B44,E44))</f>
        <v>MAGNİTMAGNİT MAVİ AMBALAJ 25 CM 260G</v>
      </c>
    </row>
    <row r="45" spans="1:30" ht="78.75" x14ac:dyDescent="0.25">
      <c r="A45" s="8" t="s">
        <v>78</v>
      </c>
      <c r="B45" s="67" t="s">
        <v>53</v>
      </c>
      <c r="C45" s="42">
        <f>IF(B45="","",VLOOKUP(AD45,Varsayımlar!$B:$Q,3,0))</f>
        <v>8698829380698</v>
      </c>
      <c r="D45" s="67" t="s">
        <v>400</v>
      </c>
      <c r="E45" s="67" t="s">
        <v>54</v>
      </c>
      <c r="F45" s="67"/>
      <c r="G45" s="67" t="s">
        <v>401</v>
      </c>
      <c r="H45" s="67" t="str">
        <f>IF(B45="","",VLOOKUP(AD45,Varsayımlar!$B:$Q,5,0))</f>
        <v>MAGNİT MAVİ AMBALAJ 25CM</v>
      </c>
      <c r="I45" s="67">
        <f>IF(B45="","",VLOOKUP(AD45,Varsayımlar!B:T,19,0))</f>
        <v>0</v>
      </c>
      <c r="J45" s="67" t="str">
        <f>IF(B45="","",VLOOKUP(AD45,Varsayımlar!$B:$Q,6,0))</f>
        <v>SADE</v>
      </c>
      <c r="K45" s="67">
        <v>2016</v>
      </c>
      <c r="L45" s="67"/>
      <c r="M45" s="67" t="str">
        <f>IFERROR(IF(B45="","",K45/VLOOKUP(AD45,#REF!,17,0)),"")</f>
        <v/>
      </c>
      <c r="N45" s="67"/>
      <c r="O45" s="67">
        <v>30</v>
      </c>
      <c r="P45" s="67">
        <f>IF(B45="","",VLOOKUP(AD45,Varsayımlar!$B:$Q,7,0)*K45)</f>
        <v>60480</v>
      </c>
      <c r="Q45" s="67">
        <f>IF(B45="","",VLOOKUP(AD45,Varsayımlar!$B:$Q,8,0))</f>
        <v>25</v>
      </c>
      <c r="R45" s="67" t="str">
        <f>IF(B45="","",VLOOKUP(AD45,Varsayımlar!$B:$Q,9,0))</f>
        <v>SOFT</v>
      </c>
      <c r="S45" s="67">
        <f>IF(B45="","",VLOOKUP(AD45,Varsayımlar!$B:$Q,10,0))</f>
        <v>4</v>
      </c>
      <c r="T45" s="67">
        <f>IF(B45="","",VLOOKUP(AD45,Varsayımlar!$B:$Q,11,0))</f>
        <v>30</v>
      </c>
      <c r="U45" s="67">
        <f>IF(B45="","",VLOOKUP(AD45,Varsayımlar!$B:$Q,12,0))</f>
        <v>260</v>
      </c>
      <c r="V45" s="67" t="str">
        <f>IF(B45="","",VLOOKUP(AD45,Varsayımlar!$B:$Q,13,0))</f>
        <v>YURTDIŞI</v>
      </c>
      <c r="W45" s="67">
        <f>IF(B45="","",VLOOKUP(AD45,Varsayımlar!$B:$Q,14,0))</f>
        <v>9</v>
      </c>
      <c r="X45" s="69">
        <v>46191</v>
      </c>
      <c r="Y45" s="69">
        <v>46464</v>
      </c>
      <c r="Z45" s="67" t="s">
        <v>402</v>
      </c>
      <c r="AA45" s="67" t="str">
        <f>IF(B45="","",VLOOKUP(AD45,Varsayımlar!$B:$Q,15,0))</f>
        <v>25CM TURUNCU KOLİ-SOL ÜST DİKDÖRTGENE ÜRETİM TARİHİ BASILACAK</v>
      </c>
      <c r="AB45" s="67" t="str">
        <f>IF(B45="","",VLOOKUP(AD45,Varsayımlar!$B:$Q,16,0))</f>
        <v>24-26 CM</v>
      </c>
      <c r="AC45" s="73" t="e">
        <f>IF(B45="","",VLOOKUP(#REF!,#REF!,18,0))</f>
        <v>#REF!</v>
      </c>
      <c r="AD45" s="73" t="str">
        <f>IF(B45="","",CONCATENATE(B45,E45))</f>
        <v>MAGNİTMAGNİT MAVİ AMBALAJ 25 CM 260G</v>
      </c>
    </row>
    <row r="46" spans="1:30" ht="39" customHeight="1" x14ac:dyDescent="0.25">
      <c r="A46" s="8" t="s">
        <v>79</v>
      </c>
      <c r="B46" s="3" t="s">
        <v>64</v>
      </c>
      <c r="C46" s="3">
        <f>IF(B46="","",VLOOKUP(AD46,Varsayımlar!$B:$Q,3,0))</f>
        <v>8698829380698</v>
      </c>
      <c r="D46" s="3"/>
      <c r="E46" s="3" t="s">
        <v>108</v>
      </c>
      <c r="F46" s="3">
        <v>31</v>
      </c>
      <c r="G46" s="3"/>
      <c r="H46" s="3" t="str">
        <f>IF(B46="","",VLOOKUP(AD46,Varsayımlar!$B:$Q,5,0))</f>
        <v>Kırmızı Tortillas 25 cm</v>
      </c>
      <c r="I46" s="3">
        <f>IF(B46="","",VLOOKUP(AD46,Varsayımlar!B:T,19,0))</f>
        <v>0</v>
      </c>
      <c r="J46" s="3" t="str">
        <f>IF(B46="","",VLOOKUP(AD46,Varsayımlar!$B:$Q,6,0))</f>
        <v>SADE</v>
      </c>
      <c r="K46" s="3">
        <v>924</v>
      </c>
      <c r="L46" s="3"/>
      <c r="M46" s="3">
        <f>IFERROR(IF(B46="","",K46/VLOOKUP(AD46,Varsayımlar!B:R,17,0)),"")</f>
        <v>11</v>
      </c>
      <c r="N46" s="3"/>
      <c r="O46" s="3">
        <v>14</v>
      </c>
      <c r="P46" s="3">
        <f>IF(B46="","",VLOOKUP(AD46,Varsayımlar!$B:$Q,7,0)*K46)</f>
        <v>27720</v>
      </c>
      <c r="Q46" s="3">
        <f>IF(B46="","",VLOOKUP(AD46,Varsayımlar!$B:$Q,8,0))</f>
        <v>25</v>
      </c>
      <c r="R46" s="3" t="str">
        <f>IF(B46="","",VLOOKUP(AD46,Varsayımlar!$B:$Q,9,0))</f>
        <v>Soft</v>
      </c>
      <c r="S46" s="3">
        <f>IF(B46="","",VLOOKUP(AD46,Varsayımlar!$B:$Q,10,0))</f>
        <v>4</v>
      </c>
      <c r="T46" s="3">
        <f>IF(B46="","",VLOOKUP(AD46,Varsayımlar!$B:$Q,11,0))</f>
        <v>30</v>
      </c>
      <c r="U46" s="3">
        <f>IF(B46="","",VLOOKUP(AD46,Varsayımlar!$B:$Q,12,0))</f>
        <v>250</v>
      </c>
      <c r="V46" s="3" t="str">
        <f>IF(B46="","",VLOOKUP(AD46,Varsayımlar!$B:$Q,13,0))</f>
        <v>Yurtdışı</v>
      </c>
      <c r="W46" s="3">
        <f>IF(B46="","",VLOOKUP(AD46,Varsayımlar!$B:$Q,14,0))</f>
        <v>9</v>
      </c>
      <c r="X46" s="66">
        <v>46196</v>
      </c>
      <c r="Y46" s="66">
        <v>46469</v>
      </c>
      <c r="Z46" s="3">
        <v>26062325</v>
      </c>
      <c r="AA46" s="3" t="str">
        <f>IF(B46="","",VLOOKUP(AD46,Varsayımlar!$B:$Q,15,0))</f>
        <v>Kırmızı Koli- Üretim Tarihi Etiketli</v>
      </c>
      <c r="AB46" s="3" t="str">
        <f>IF(B46="","",VLOOKUP(AD46,Varsayımlar!$B:$Q,16,0))</f>
        <v>24-26 CM</v>
      </c>
      <c r="AC46" s="67" t="str">
        <f>IF(B46="","",VLOOKUP(Sayfa1!AD58,Varsayımlar!B:S,18,0))</f>
        <v>80x120cm -Epal+Epal</v>
      </c>
      <c r="AD46" s="57" t="str">
        <f t="shared" ref="AD46:AD53" si="1">IF(B46="","",CONCATENATE(B46,E46))</f>
        <v>SMART LLCKırmızı tortillas 25cm 4 lü 250g</v>
      </c>
    </row>
    <row r="47" spans="1:30" ht="47.25" x14ac:dyDescent="0.25">
      <c r="A47" s="8" t="s">
        <v>80</v>
      </c>
      <c r="B47" s="67" t="s">
        <v>268</v>
      </c>
      <c r="C47" s="42">
        <f>IF(B47="","",VLOOKUP(AD47,Varsayımlar!$B:$Q,3,0))</f>
        <v>8698829380698</v>
      </c>
      <c r="D47" s="42" t="s">
        <v>159</v>
      </c>
      <c r="E47" s="67" t="s">
        <v>342</v>
      </c>
      <c r="F47" s="67">
        <v>20250825</v>
      </c>
      <c r="G47" s="42" t="s">
        <v>68</v>
      </c>
      <c r="H47" s="67" t="str">
        <f>IF(B47="","",VLOOKUP(AD47,Varsayımlar!$B:$Q,5,0))</f>
        <v>Tortillas 25cm Sade</v>
      </c>
      <c r="I47" s="67">
        <f>IF(B47="","",VLOOKUP(AD47,Varsayımlar!B:T,19,0))</f>
        <v>0</v>
      </c>
      <c r="J47" s="67" t="str">
        <f>IF(B47="","",VLOOKUP(AD47,Varsayımlar!$B:$Q,6,0))</f>
        <v>SADE</v>
      </c>
      <c r="K47" s="67">
        <v>672</v>
      </c>
      <c r="L47" s="67"/>
      <c r="M47" s="67">
        <f>IFERROR(IF(B47="","",K47/VLOOKUP(AD47,Varsayımlar!B:R,17,0)),"")</f>
        <v>8</v>
      </c>
      <c r="N47" s="67"/>
      <c r="O47" s="67">
        <v>10</v>
      </c>
      <c r="P47" s="67">
        <f>IF(B47="","",VLOOKUP(AD47,Varsayımlar!$B:$Q,7,0)*K47)</f>
        <v>20160</v>
      </c>
      <c r="Q47" s="67">
        <f>IF(B47="","",VLOOKUP(AD47,Varsayımlar!$B:$Q,8,0))</f>
        <v>25</v>
      </c>
      <c r="R47" s="67" t="str">
        <f>IF(B47="","",VLOOKUP(AD47,Varsayımlar!$B:$Q,9,0))</f>
        <v>Soft-PA3</v>
      </c>
      <c r="S47" s="67">
        <f>IF(B47="","",VLOOKUP(AD47,Varsayımlar!$B:$Q,10,0))</f>
        <v>4</v>
      </c>
      <c r="T47" s="67">
        <f>IF(B47="","",VLOOKUP(AD47,Varsayımlar!$B:$Q,11,0))</f>
        <v>30</v>
      </c>
      <c r="U47" s="67">
        <f>IF(B47="","",VLOOKUP(AD47,Varsayımlar!$B:$Q,12,0))</f>
        <v>240</v>
      </c>
      <c r="V47" s="67" t="str">
        <f>IF(B47="","",VLOOKUP(AD47,Varsayımlar!$B:$Q,13,0))</f>
        <v>Yurtdışı</v>
      </c>
      <c r="W47" s="67">
        <f>IF(B47="","",VLOOKUP(AD47,Varsayımlar!$B:$Q,14,0))</f>
        <v>12</v>
      </c>
      <c r="X47" s="69">
        <v>46199</v>
      </c>
      <c r="Y47" s="69">
        <v>46564</v>
      </c>
      <c r="Z47" s="67">
        <v>26062625</v>
      </c>
      <c r="AA47" s="67" t="str">
        <f>IF(B47="","",VLOOKUP(AD47,Varsayımlar!$B:$Q,15,0))</f>
        <v>25cm Kolisi-Etiketli</v>
      </c>
      <c r="AB47" s="67" t="str">
        <f>IF(B47="","",VLOOKUP(AD47,Varsayımlar!$B:$Q,16,0))</f>
        <v>24-26 cm (Macca Hetto Inkjet Uzun Tarih)</v>
      </c>
      <c r="AC47" s="67" t="str">
        <f>IF(B47="","",VLOOKUP(Sayfa1!AD22,Varsayımlar!B:S,18,0))</f>
        <v>80x120cm</v>
      </c>
      <c r="AD47" s="57" t="str">
        <f t="shared" si="1"/>
        <v>LAIKYUZHN-BELARUSTortillas 25cm Sade 4pcs 240g</v>
      </c>
    </row>
    <row r="48" spans="1:30" ht="63" x14ac:dyDescent="0.25">
      <c r="A48" s="8" t="s">
        <v>81</v>
      </c>
      <c r="B48" s="62" t="s">
        <v>181</v>
      </c>
      <c r="C48" s="32">
        <f>IF(B48="","",VLOOKUP(AD48,Varsayımlar!$B:$Q,3,0))</f>
        <v>8698829380698</v>
      </c>
      <c r="D48" s="32"/>
      <c r="E48" s="62" t="s">
        <v>187</v>
      </c>
      <c r="F48" s="62">
        <v>26060101</v>
      </c>
      <c r="G48" s="32"/>
      <c r="H48" s="62" t="str">
        <f>IF(B48="","",VLOOKUP(AD48,Varsayımlar!$B:$Q,5,0))</f>
        <v>Tortillove 25cm</v>
      </c>
      <c r="I48" s="62" t="str">
        <f>IF(B48="","",VLOOKUP(AD48,Varsayımlar!B:T,19,0))</f>
        <v>Barkod üzerine Arnavutça içerik+Barkod-Tortillove</v>
      </c>
      <c r="J48" s="62" t="str">
        <f>IF(B48="","",VLOOKUP(AD48,Varsayımlar!$B:$Q,6,0))</f>
        <v>SADE</v>
      </c>
      <c r="K48" s="62">
        <v>168</v>
      </c>
      <c r="L48" s="62"/>
      <c r="M48" s="62">
        <f>IFERROR(IF(B48="","",K48/VLOOKUP(AD48,Varsayımlar!B:R,17,0)),"")</f>
        <v>2</v>
      </c>
      <c r="N48" s="62"/>
      <c r="O48" s="62">
        <v>2</v>
      </c>
      <c r="P48" s="62">
        <f>IF(B48="","",VLOOKUP(AD48,Varsayımlar!$B:$Q,7,0)*K48)</f>
        <v>3024</v>
      </c>
      <c r="Q48" s="62">
        <f>IF(B48="","",VLOOKUP(AD48,Varsayımlar!$B:$Q,8,0))</f>
        <v>25</v>
      </c>
      <c r="R48" s="62" t="str">
        <f>IF(B48="","",VLOOKUP(AD48,Varsayımlar!$B:$Q,9,0))</f>
        <v>Irak Soft</v>
      </c>
      <c r="S48" s="62">
        <f>IF(B48="","",VLOOKUP(AD48,Varsayımlar!$B:$Q,10,0))</f>
        <v>6</v>
      </c>
      <c r="T48" s="62">
        <f>IF(B48="","",VLOOKUP(AD48,Varsayımlar!$B:$Q,11,0))</f>
        <v>18</v>
      </c>
      <c r="U48" s="62">
        <f>IF(B48="","",VLOOKUP(AD48,Varsayımlar!$B:$Q,12,0))</f>
        <v>390</v>
      </c>
      <c r="V48" s="62" t="str">
        <f>IF(B48="","",VLOOKUP(AD48,Varsayımlar!$B:$Q,13,0))</f>
        <v>Yurtdışı</v>
      </c>
      <c r="W48" s="62">
        <f>IF(B48="","",VLOOKUP(AD48,Varsayımlar!$B:$Q,14,0))</f>
        <v>12</v>
      </c>
      <c r="X48" s="63">
        <v>46200</v>
      </c>
      <c r="Y48" s="63">
        <v>46565</v>
      </c>
      <c r="Z48" s="62">
        <v>26062725</v>
      </c>
      <c r="AA48" s="62" t="str">
        <f>IF(B48="","",VLOOKUP(AD48,Varsayımlar!$B:$Q,15,0))</f>
        <v>25cm Koli - Tortillove 390g Etiketli</v>
      </c>
      <c r="AB48" s="62" t="str">
        <f>IF(B48="","",VLOOKUP(AD48,Varsayımlar!$B:$Q,16,0))</f>
        <v>24-26 cm</v>
      </c>
      <c r="AC48" s="62">
        <f>IF(B48="","",VLOOKUP(Sayfa1!AD31,Varsayımlar!B:S,18,0))</f>
        <v>0</v>
      </c>
      <c r="AD48" s="57" t="str">
        <f t="shared" si="1"/>
        <v>ALDİ - KOSOVATortillove 25cm 6pcs 390g</v>
      </c>
    </row>
    <row r="49" spans="1:30" ht="63" x14ac:dyDescent="0.25">
      <c r="A49" s="8" t="s">
        <v>82</v>
      </c>
      <c r="B49" s="62" t="s">
        <v>181</v>
      </c>
      <c r="C49" s="32">
        <f>IF(B49="","",VLOOKUP(AD49,Varsayımlar!$B:$Q,3,0))</f>
        <v>8698829380698</v>
      </c>
      <c r="D49" s="32"/>
      <c r="E49" s="62" t="s">
        <v>189</v>
      </c>
      <c r="F49" s="62">
        <v>26060101</v>
      </c>
      <c r="G49" s="32"/>
      <c r="H49" s="62" t="str">
        <f>IF(B49="","",VLOOKUP(AD49,Varsayımlar!$B:$Q,5,0))</f>
        <v>Tortillas 25cm</v>
      </c>
      <c r="I49" s="62" t="str">
        <f>IF(B49="","",VLOOKUP(AD49,Varsayımlar!B:T,19,0))</f>
        <v>Barkod üzerine Arnavutça içerik+Barkod-Tortillas</v>
      </c>
      <c r="J49" s="62" t="str">
        <f>IF(B49="","",VLOOKUP(AD49,Varsayımlar!$B:$Q,6,0))</f>
        <v>SADE</v>
      </c>
      <c r="K49" s="62">
        <v>84</v>
      </c>
      <c r="L49" s="62"/>
      <c r="M49" s="62">
        <f>IFERROR(IF(B49="","",K49/VLOOKUP(AD49,Varsayımlar!B:R,17,0)),"")</f>
        <v>1</v>
      </c>
      <c r="N49" s="62"/>
      <c r="O49" s="62">
        <v>1</v>
      </c>
      <c r="P49" s="62">
        <f>IF(B49="","",VLOOKUP(AD49,Varsayımlar!$B:$Q,7,0)*K49)</f>
        <v>1512</v>
      </c>
      <c r="Q49" s="62">
        <f>IF(B49="","",VLOOKUP(AD49,Varsayımlar!$B:$Q,8,0))</f>
        <v>25</v>
      </c>
      <c r="R49" s="62" t="str">
        <f>IF(B49="","",VLOOKUP(AD49,Varsayımlar!$B:$Q,9,0))</f>
        <v>Irak Soft</v>
      </c>
      <c r="S49" s="62">
        <f>IF(B49="","",VLOOKUP(AD49,Varsayımlar!$B:$Q,10,0))</f>
        <v>6</v>
      </c>
      <c r="T49" s="62">
        <f>IF(B49="","",VLOOKUP(AD49,Varsayımlar!$B:$Q,11,0))</f>
        <v>18</v>
      </c>
      <c r="U49" s="62">
        <f>IF(B49="","",VLOOKUP(AD49,Varsayımlar!$B:$Q,12,0))</f>
        <v>390</v>
      </c>
      <c r="V49" s="62" t="str">
        <f>IF(B49="","",VLOOKUP(AD49,Varsayımlar!$B:$Q,13,0))</f>
        <v>Yurtdışı</v>
      </c>
      <c r="W49" s="62">
        <f>IF(B49="","",VLOOKUP(AD49,Varsayımlar!$B:$Q,14,0))</f>
        <v>12</v>
      </c>
      <c r="X49" s="63">
        <v>46200</v>
      </c>
      <c r="Y49" s="63">
        <v>46565</v>
      </c>
      <c r="Z49" s="62">
        <v>26062725</v>
      </c>
      <c r="AA49" s="62" t="str">
        <f>IF(B49="","",VLOOKUP(AD49,Varsayımlar!$B:$Q,15,0))</f>
        <v>25cm Koli - Tortillas 390g Etiketli</v>
      </c>
      <c r="AB49" s="62" t="str">
        <f>IF(B49="","",VLOOKUP(AD49,Varsayımlar!$B:$Q,16,0))</f>
        <v>24-26 cm</v>
      </c>
      <c r="AC49" s="62">
        <f>IF(B49="","",VLOOKUP(Sayfa1!AD32,Varsayımlar!B:S,18,0))</f>
        <v>0</v>
      </c>
      <c r="AD49" s="57" t="str">
        <f t="shared" si="1"/>
        <v>ALDİ - KOSOVATortillas 25cm 6pcs 390g</v>
      </c>
    </row>
    <row r="50" spans="1:30" ht="47.25" x14ac:dyDescent="0.25">
      <c r="A50" s="8" t="s">
        <v>83</v>
      </c>
      <c r="B50" s="62" t="s">
        <v>181</v>
      </c>
      <c r="C50" s="32">
        <f>IF(B50="","",VLOOKUP(AD50,Varsayımlar!$B:$Q,3,0))</f>
        <v>8698829380698</v>
      </c>
      <c r="D50" s="32"/>
      <c r="E50" s="62" t="s">
        <v>192</v>
      </c>
      <c r="F50" s="62">
        <v>26060101</v>
      </c>
      <c r="G50" s="32"/>
      <c r="H50" s="62" t="str">
        <f>IF(B50="","",VLOOKUP(AD50,Varsayımlar!$B:$Q,5,0))</f>
        <v>Tortillove 25cm</v>
      </c>
      <c r="I50" s="62" t="str">
        <f>IF(B50="","",VLOOKUP(AD50,Varsayımlar!B:T,19,0))</f>
        <v>Arka kısma Arnavutça içerik-Tortillove</v>
      </c>
      <c r="J50" s="62" t="str">
        <f>IF(B50="","",VLOOKUP(AD50,Varsayımlar!$B:$Q,6,0))</f>
        <v>SADE</v>
      </c>
      <c r="K50" s="62">
        <v>168</v>
      </c>
      <c r="L50" s="62"/>
      <c r="M50" s="62">
        <f>IFERROR(IF(B50="","",K50/VLOOKUP(AD50,Varsayımlar!B:R,17,0)),"")</f>
        <v>2</v>
      </c>
      <c r="N50" s="62"/>
      <c r="O50" s="62">
        <v>2</v>
      </c>
      <c r="P50" s="62">
        <f>IF(B50="","",VLOOKUP(AD50,Varsayımlar!$B:$Q,7,0)*K50)</f>
        <v>2016</v>
      </c>
      <c r="Q50" s="62">
        <f>IF(B50="","",VLOOKUP(AD50,Varsayımlar!$B:$Q,8,0))</f>
        <v>25</v>
      </c>
      <c r="R50" s="62" t="str">
        <f>IF(B50="","",VLOOKUP(AD50,Varsayımlar!$B:$Q,9,0))</f>
        <v>Irak Soft</v>
      </c>
      <c r="S50" s="62">
        <f>IF(B50="","",VLOOKUP(AD50,Varsayımlar!$B:$Q,10,0))</f>
        <v>10</v>
      </c>
      <c r="T50" s="62">
        <f>IF(B50="","",VLOOKUP(AD50,Varsayımlar!$B:$Q,11,0))</f>
        <v>12</v>
      </c>
      <c r="U50" s="62">
        <f>IF(B50="","",VLOOKUP(AD50,Varsayımlar!$B:$Q,12,0))</f>
        <v>650</v>
      </c>
      <c r="V50" s="62" t="str">
        <f>IF(B50="","",VLOOKUP(AD50,Varsayımlar!$B:$Q,13,0))</f>
        <v>Yurtdışı</v>
      </c>
      <c r="W50" s="62">
        <f>IF(B50="","",VLOOKUP(AD50,Varsayımlar!$B:$Q,14,0))</f>
        <v>12</v>
      </c>
      <c r="X50" s="63">
        <v>46200</v>
      </c>
      <c r="Y50" s="63">
        <v>46565</v>
      </c>
      <c r="Z50" s="62">
        <v>26062725</v>
      </c>
      <c r="AA50" s="62" t="str">
        <f>IF(B50="","",VLOOKUP(AD50,Varsayımlar!$B:$Q,15,0))</f>
        <v>25cm Koli - Tortillove 650g Etiketli</v>
      </c>
      <c r="AB50" s="62" t="str">
        <f>IF(B50="","",VLOOKUP(AD50,Varsayımlar!$B:$Q,16,0))</f>
        <v>24-26 cm</v>
      </c>
      <c r="AC50" s="62">
        <f>IF(B50="","",VLOOKUP(Sayfa1!AD33,Varsayımlar!B:S,18,0))</f>
        <v>0</v>
      </c>
      <c r="AD50" s="57" t="str">
        <f t="shared" si="1"/>
        <v>ALDİ - KOSOVATortillove 25cm 10pcs 650g</v>
      </c>
    </row>
    <row r="51" spans="1:30" ht="47.25" x14ac:dyDescent="0.25">
      <c r="A51" s="8" t="s">
        <v>84</v>
      </c>
      <c r="B51" s="62" t="s">
        <v>181</v>
      </c>
      <c r="C51" s="32">
        <f>IF(B51="","",VLOOKUP(AD51,Varsayımlar!$B:$Q,3,0))</f>
        <v>8698829380698</v>
      </c>
      <c r="D51" s="32"/>
      <c r="E51" s="62" t="s">
        <v>193</v>
      </c>
      <c r="F51" s="62">
        <v>26060101</v>
      </c>
      <c r="G51" s="32"/>
      <c r="H51" s="62" t="str">
        <f>IF(B51="","",VLOOKUP(AD51,Varsayımlar!$B:$Q,5,0))</f>
        <v>Tortillas 25cm</v>
      </c>
      <c r="I51" s="62" t="str">
        <f>IF(B51="","",VLOOKUP(AD51,Varsayımlar!B:T,19,0))</f>
        <v>Arka kısma Arnavutça içerik-Tortillas</v>
      </c>
      <c r="J51" s="62" t="str">
        <f>IF(B51="","",VLOOKUP(AD51,Varsayımlar!$B:$Q,6,0))</f>
        <v>SADE</v>
      </c>
      <c r="K51" s="62">
        <v>84</v>
      </c>
      <c r="L51" s="62"/>
      <c r="M51" s="62">
        <f>IFERROR(IF(B51="","",K51/VLOOKUP(AD51,Varsayımlar!B:R,17,0)),"")</f>
        <v>1</v>
      </c>
      <c r="N51" s="62"/>
      <c r="O51" s="62">
        <v>2</v>
      </c>
      <c r="P51" s="62">
        <f>IF(B51="","",VLOOKUP(AD51,Varsayımlar!$B:$Q,7,0)*K51)</f>
        <v>1008</v>
      </c>
      <c r="Q51" s="62">
        <f>IF(B51="","",VLOOKUP(AD51,Varsayımlar!$B:$Q,8,0))</f>
        <v>25</v>
      </c>
      <c r="R51" s="62" t="str">
        <f>IF(B51="","",VLOOKUP(AD51,Varsayımlar!$B:$Q,9,0))</f>
        <v>Irak Soft</v>
      </c>
      <c r="S51" s="62">
        <f>IF(B51="","",VLOOKUP(AD51,Varsayımlar!$B:$Q,10,0))</f>
        <v>10</v>
      </c>
      <c r="T51" s="62">
        <f>IF(B51="","",VLOOKUP(AD51,Varsayımlar!$B:$Q,11,0))</f>
        <v>12</v>
      </c>
      <c r="U51" s="62">
        <f>IF(B51="","",VLOOKUP(AD51,Varsayımlar!$B:$Q,12,0))</f>
        <v>650</v>
      </c>
      <c r="V51" s="62" t="str">
        <f>IF(B51="","",VLOOKUP(AD51,Varsayımlar!$B:$Q,13,0))</f>
        <v>Yurtdışı</v>
      </c>
      <c r="W51" s="62">
        <f>IF(B51="","",VLOOKUP(AD51,Varsayımlar!$B:$Q,14,0))</f>
        <v>12</v>
      </c>
      <c r="X51" s="63">
        <v>46200</v>
      </c>
      <c r="Y51" s="63">
        <v>46565</v>
      </c>
      <c r="Z51" s="62">
        <v>26062725</v>
      </c>
      <c r="AA51" s="62" t="str">
        <f>IF(B51="","",VLOOKUP(AD51,Varsayımlar!$B:$Q,15,0))</f>
        <v>25cm Koli - Tortillas 650g Etiketli</v>
      </c>
      <c r="AB51" s="62" t="str">
        <f>IF(B51="","",VLOOKUP(AD51,Varsayımlar!$B:$Q,16,0))</f>
        <v>24-26 cm</v>
      </c>
      <c r="AC51" s="62">
        <f>IF(B51="","",VLOOKUP(Sayfa1!AD34,Varsayımlar!B:S,18,0))</f>
        <v>0</v>
      </c>
      <c r="AD51" s="57" t="str">
        <f t="shared" si="1"/>
        <v>ALDİ - KOSOVATortillas 25cm 10pcs 650g</v>
      </c>
    </row>
    <row r="52" spans="1:30" ht="31.5" x14ac:dyDescent="0.25">
      <c r="A52" s="8" t="s">
        <v>85</v>
      </c>
      <c r="B52" s="64" t="s">
        <v>288</v>
      </c>
      <c r="C52" s="3">
        <f>IF(B52="","",VLOOKUP(AD52,Varsayımlar!$B:$Q,3,0))</f>
        <v>8698829380698</v>
      </c>
      <c r="D52" s="3"/>
      <c r="E52" s="64" t="s">
        <v>292</v>
      </c>
      <c r="F52" s="64">
        <v>20201016</v>
      </c>
      <c r="G52" s="3" t="s">
        <v>68</v>
      </c>
      <c r="H52" s="64" t="str">
        <f>IF(B52="","",VLOOKUP(AD52,Varsayımlar!$B:$Q,5,0))</f>
        <v>Kırmızı Tortillas 25cm Sade</v>
      </c>
      <c r="I52" s="64" t="str">
        <f>IF(B52="","",VLOOKUP(AD52,Varsayımlar!B:T,19,0))</f>
        <v>Arka kısma İçerik</v>
      </c>
      <c r="J52" s="64" t="str">
        <f>IF(B52="","",VLOOKUP(AD52,Varsayımlar!$B:$Q,6,0))</f>
        <v>SADE</v>
      </c>
      <c r="K52" s="64">
        <v>250</v>
      </c>
      <c r="L52" s="64"/>
      <c r="M52" s="64">
        <f>IFERROR(IF(B52="","",K52/VLOOKUP(AD52,Varsayımlar!B:R,17,0)),"")</f>
        <v>5</v>
      </c>
      <c r="N52" s="64"/>
      <c r="O52" s="64">
        <v>4</v>
      </c>
      <c r="P52" s="64">
        <f>IF(B52="","",VLOOKUP(AD52,Varsayımlar!$B:$Q,7,0)*K52)</f>
        <v>4500</v>
      </c>
      <c r="Q52" s="64">
        <f>IF(B52="","",VLOOKUP(AD52,Varsayımlar!$B:$Q,8,0))</f>
        <v>25</v>
      </c>
      <c r="R52" s="64" t="str">
        <f>IF(B52="","",VLOOKUP(AD52,Varsayımlar!$B:$Q,9,0))</f>
        <v>Irak Soft</v>
      </c>
      <c r="S52" s="64">
        <f>IF(B52="","",VLOOKUP(AD52,Varsayımlar!$B:$Q,10,0))</f>
        <v>6</v>
      </c>
      <c r="T52" s="64">
        <f>IF(B52="","",VLOOKUP(AD52,Varsayımlar!$B:$Q,11,0))</f>
        <v>18</v>
      </c>
      <c r="U52" s="64">
        <f>IF(B52="","",VLOOKUP(AD52,Varsayımlar!$B:$Q,12,0))</f>
        <v>390</v>
      </c>
      <c r="V52" s="64" t="str">
        <f>IF(B52="","",VLOOKUP(AD52,Varsayımlar!$B:$Q,13,0))</f>
        <v>YURTDIŞI</v>
      </c>
      <c r="W52" s="64">
        <f>IF(B52="","",VLOOKUP(AD52,Varsayımlar!$B:$Q,14,0))</f>
        <v>9</v>
      </c>
      <c r="X52" s="66">
        <v>46202</v>
      </c>
      <c r="Y52" s="66">
        <v>46475</v>
      </c>
      <c r="Z52" s="64">
        <v>26062925</v>
      </c>
      <c r="AA52" s="64" t="str">
        <f>IF(B52="","",VLOOKUP(AD52,Varsayımlar!$B:$Q,15,0))</f>
        <v>25cm Koli</v>
      </c>
      <c r="AB52" s="64" t="str">
        <f>IF(B52="","",VLOOKUP(AD52,Varsayımlar!$B:$Q,16,0))</f>
        <v>24-26 cm</v>
      </c>
      <c r="AC52" s="64" t="str">
        <f>IF(B52="","",VLOOKUP(Sayfa1!AD42,Varsayımlar!B:S,18,0))</f>
        <v>80x120cm</v>
      </c>
      <c r="AD52" s="57" t="str">
        <f t="shared" si="1"/>
        <v>UNITERA-KAZAKİSTANKırmızı Tortillas 25cm Sade 6pcs 390g</v>
      </c>
    </row>
    <row r="53" spans="1:30" ht="31.5" x14ac:dyDescent="0.25">
      <c r="A53" s="8" t="s">
        <v>86</v>
      </c>
      <c r="B53" s="80" t="s">
        <v>218</v>
      </c>
      <c r="C53" s="44">
        <f>IF(B53="","",VLOOKUP(AD53,Varsayımlar!$B:$Q,3,0))</f>
        <v>8698829380698</v>
      </c>
      <c r="D53" s="44" t="s">
        <v>160</v>
      </c>
      <c r="E53" s="80" t="s">
        <v>228</v>
      </c>
      <c r="F53" s="80">
        <v>26042907</v>
      </c>
      <c r="G53" s="44"/>
      <c r="H53" s="80" t="str">
        <f>IF(B53="","",VLOOKUP(AD53,Varsayımlar!$B:$Q,5,0))</f>
        <v>Tortillas Avrupa 25cm (698)</v>
      </c>
      <c r="I53" s="80">
        <f>IF(B53="","",VLOOKUP(AD53,Varsayımlar!B:T,19,0))</f>
        <v>0</v>
      </c>
      <c r="J53" s="80" t="str">
        <f>IF(B53="","",VLOOKUP(AD53,Varsayımlar!$B:$Q,6,0))</f>
        <v>SADE</v>
      </c>
      <c r="K53" s="80">
        <v>720</v>
      </c>
      <c r="L53" s="80"/>
      <c r="M53" s="80">
        <f>IFERROR(IF(B53="","",K53/VLOOKUP(AD53,Varsayımlar!B:R,17,0)),"")</f>
        <v>6</v>
      </c>
      <c r="N53" s="80"/>
      <c r="O53" s="80">
        <v>7</v>
      </c>
      <c r="P53" s="80">
        <f>IF(B53="","",VLOOKUP(AD53,Varsayımlar!$B:$Q,7,0)*K53)</f>
        <v>5760</v>
      </c>
      <c r="Q53" s="80">
        <f>IF(B53="","",VLOOKUP(AD53,Varsayımlar!$B:$Q,8,0))</f>
        <v>25</v>
      </c>
      <c r="R53" s="80" t="str">
        <f>IF(B53="","",VLOOKUP(AD53,Varsayımlar!$B:$Q,9,0))</f>
        <v>Irak Soft</v>
      </c>
      <c r="S53" s="80">
        <f>IF(B53="","",VLOOKUP(AD53,Varsayımlar!$B:$Q,10,0))</f>
        <v>10</v>
      </c>
      <c r="T53" s="80">
        <f>IF(B53="","",VLOOKUP(AD53,Varsayımlar!$B:$Q,11,0))</f>
        <v>8</v>
      </c>
      <c r="U53" s="80">
        <f>IF(B53="","",VLOOKUP(AD53,Varsayımlar!$B:$Q,12,0))</f>
        <v>650</v>
      </c>
      <c r="V53" s="80" t="str">
        <f>IF(B53="","",VLOOKUP(AD53,Varsayımlar!$B:$Q,13,0))</f>
        <v>Yurtdışı</v>
      </c>
      <c r="W53" s="80">
        <f>IF(B53="","",VLOOKUP(AD53,Varsayımlar!$B:$Q,14,0))</f>
        <v>9</v>
      </c>
      <c r="X53" s="81">
        <v>46203</v>
      </c>
      <c r="Y53" s="81">
        <v>46476</v>
      </c>
      <c r="Z53" s="80">
        <v>26063025</v>
      </c>
      <c r="AA53" s="80" t="str">
        <f>IF(B53="","",VLOOKUP(AD53,Varsayımlar!$B:$Q,15,0))</f>
        <v>25cm Perforeli-Bulgarca etiket</v>
      </c>
      <c r="AB53" s="80" t="str">
        <f>IF(B53="","",VLOOKUP(AD53,Varsayımlar!$B:$Q,16,0))</f>
        <v>24-26 cm</v>
      </c>
      <c r="AC53" s="80" t="str">
        <f>IF(B53="","",VLOOKUP(Sayfa1!AD56,Varsayımlar!B:S,18,0))</f>
        <v>80x120cm -Epal+Epal</v>
      </c>
      <c r="AD53" s="57" t="str">
        <f t="shared" si="1"/>
        <v>TASTE LAND-BULGARİSTANTortillas 25cm Sade 10pcs 650g</v>
      </c>
    </row>
    <row r="54" spans="1:30" ht="47.25" x14ac:dyDescent="0.25">
      <c r="A54" s="8" t="s">
        <v>87</v>
      </c>
      <c r="B54" s="54" t="s">
        <v>268</v>
      </c>
      <c r="C54" s="39">
        <f>IF(B54="","",VLOOKUP(AD54,Varsayımlar!$B:$Q,3,0))</f>
        <v>8698829380698</v>
      </c>
      <c r="D54" s="39" t="s">
        <v>160</v>
      </c>
      <c r="E54" s="54" t="s">
        <v>342</v>
      </c>
      <c r="F54" s="54" t="s">
        <v>343</v>
      </c>
      <c r="G54" s="39" t="s">
        <v>68</v>
      </c>
      <c r="H54" s="54" t="str">
        <f>IF(B54="","",VLOOKUP(AD54,Varsayımlar!$B:$Q,5,0))</f>
        <v>Tortillas 25cm Sade</v>
      </c>
      <c r="I54" s="54">
        <f>IF(B54="","",VLOOKUP(AD54,Varsayımlar!B:T,19,0))</f>
        <v>0</v>
      </c>
      <c r="J54" s="54" t="str">
        <f>IF(B54="","",VLOOKUP(AD54,Varsayımlar!$B:$Q,6,0))</f>
        <v>SADE</v>
      </c>
      <c r="K54" s="54">
        <v>420</v>
      </c>
      <c r="L54" s="54"/>
      <c r="M54" s="54">
        <f>IFERROR(IF(B54="","",K54/VLOOKUP(AD54,Varsayımlar!B:R,17,0)),"")</f>
        <v>5</v>
      </c>
      <c r="N54" s="54"/>
      <c r="O54" s="54">
        <v>7</v>
      </c>
      <c r="P54" s="54">
        <f>IF(B54="","",VLOOKUP(AD54,Varsayımlar!$B:$Q,7,0)*K54)</f>
        <v>12600</v>
      </c>
      <c r="Q54" s="54">
        <f>IF(B54="","",VLOOKUP(AD54,Varsayımlar!$B:$Q,8,0))</f>
        <v>25</v>
      </c>
      <c r="R54" s="54" t="str">
        <f>IF(B54="","",VLOOKUP(AD54,Varsayımlar!$B:$Q,9,0))</f>
        <v>Soft-PA3</v>
      </c>
      <c r="S54" s="54">
        <f>IF(B54="","",VLOOKUP(AD54,Varsayımlar!$B:$Q,10,0))</f>
        <v>4</v>
      </c>
      <c r="T54" s="54">
        <f>IF(B54="","",VLOOKUP(AD54,Varsayımlar!$B:$Q,11,0))</f>
        <v>30</v>
      </c>
      <c r="U54" s="54">
        <f>IF(B54="","",VLOOKUP(AD54,Varsayımlar!$B:$Q,12,0))</f>
        <v>240</v>
      </c>
      <c r="V54" s="54" t="str">
        <f>IF(B54="","",VLOOKUP(AD54,Varsayımlar!$B:$Q,13,0))</f>
        <v>Yurtdışı</v>
      </c>
      <c r="W54" s="54">
        <f>IF(B54="","",VLOOKUP(AD54,Varsayımlar!$B:$Q,14,0))</f>
        <v>12</v>
      </c>
      <c r="X54" s="56">
        <v>46205</v>
      </c>
      <c r="Y54" s="56">
        <v>46570</v>
      </c>
      <c r="Z54" s="54">
        <v>26070225</v>
      </c>
      <c r="AA54" s="54" t="str">
        <f>IF(B54="","",VLOOKUP(AD54,Varsayımlar!$B:$Q,15,0))</f>
        <v>25cm Kolisi-Etiketli</v>
      </c>
      <c r="AB54" s="54" t="str">
        <f>IF(B54="","",VLOOKUP(AD54,Varsayımlar!$B:$Q,16,0))</f>
        <v>24-26 cm (Macca Hetto Inkjet Uzun Tarih)</v>
      </c>
      <c r="AC54" s="54" t="str">
        <f>IF(B54="","",VLOOKUP(Sayfa1!AD35,Varsayımlar!B:S,18,0))</f>
        <v>80x120cm</v>
      </c>
      <c r="AD54" s="57" t="str">
        <f>IF(B54="","",CONCATENATE(B54,E54))</f>
        <v>LAIKYUZHN-BELARUSTortillas 25cm Sade 4pcs 240g</v>
      </c>
    </row>
    <row r="55" spans="1:30" ht="47.25" x14ac:dyDescent="0.25">
      <c r="A55" s="8" t="s">
        <v>88</v>
      </c>
      <c r="B55" s="64" t="s">
        <v>119</v>
      </c>
      <c r="C55" s="3">
        <f>IF(B55="","",VLOOKUP(AD55,Varsayımlar!$B:$Q,3,0))</f>
        <v>8698829380698</v>
      </c>
      <c r="D55" s="3"/>
      <c r="E55" s="65" t="s">
        <v>120</v>
      </c>
      <c r="F55" s="64"/>
      <c r="G55" s="64"/>
      <c r="H55" s="64" t="str">
        <f>IF(B55="","",VLOOKUP(AD55,Varsayımlar!$B:$Q,5,0))</f>
        <v>Nimet 25 cm</v>
      </c>
      <c r="I55" s="64"/>
      <c r="J55" s="64" t="str">
        <f>IF(B55="","",VLOOKUP(AD55,Varsayımlar!$B:$Q,6,0))</f>
        <v>SADE</v>
      </c>
      <c r="K55" s="64">
        <v>4000</v>
      </c>
      <c r="L55" s="64"/>
      <c r="M55" s="64">
        <f>IFERROR(IF(B55="","",K55/VLOOKUP(AD55,Varsayımlar!B:R,17,0)),"")</f>
        <v>80</v>
      </c>
      <c r="N55" s="64"/>
      <c r="O55" s="64">
        <v>60</v>
      </c>
      <c r="P55" s="64">
        <f>IF(B55="","",VLOOKUP(AD55,Varsayımlar!$B:$Q,7,0)*K55)</f>
        <v>48000</v>
      </c>
      <c r="Q55" s="64">
        <f>IF(B55="","",VLOOKUP(AD55,Varsayımlar!$B:$Q,8,0))</f>
        <v>25</v>
      </c>
      <c r="R55" s="64" t="str">
        <f>IF(B55="","",VLOOKUP(AD55,Varsayımlar!$B:$Q,9,0))</f>
        <v>Standart</v>
      </c>
      <c r="S55" s="64">
        <f>IF(B55="","",VLOOKUP(AD55,Varsayımlar!$B:$Q,10,0))</f>
        <v>12</v>
      </c>
      <c r="T55" s="64">
        <f>IF(B55="","",VLOOKUP(AD55,Varsayımlar!$B:$Q,11,0))</f>
        <v>12</v>
      </c>
      <c r="U55" s="64">
        <f>IF(B55="","",VLOOKUP(AD55,Varsayımlar!$B:$Q,12,0))</f>
        <v>840</v>
      </c>
      <c r="V55" s="64" t="str">
        <f>IF(B55="","",VLOOKUP(AD55,Varsayımlar!$B:$Q,13,0))</f>
        <v>YURTİÇİ</v>
      </c>
      <c r="W55" s="64">
        <f>IF(B55="","",VLOOKUP(AD55,Varsayımlar!$B:$Q,14,0))</f>
        <v>5</v>
      </c>
      <c r="X55" s="66" t="s">
        <v>113</v>
      </c>
      <c r="Y55" s="66" t="s">
        <v>113</v>
      </c>
      <c r="Z55" s="64" t="s">
        <v>113</v>
      </c>
      <c r="AA55" s="64" t="str">
        <f>IF(B55="","",VLOOKUP(AD55,Varsayımlar!$B:$Q,15,0))</f>
        <v>Nimet Kolisi</v>
      </c>
      <c r="AB55" s="64" t="str">
        <f>IF(B55="","",VLOOKUP(AD55,Varsayımlar!$B:$Q,16,0))</f>
        <v>24-26 CM</v>
      </c>
      <c r="AC55" s="64" t="s">
        <v>360</v>
      </c>
      <c r="AD55" s="57" t="str">
        <f t="shared" ref="AD55:AD62" si="2">IF(B55="","",CONCATENATE(B55,E55))</f>
        <v>A101Nimet 25cm 12 pcs 840g</v>
      </c>
    </row>
    <row r="56" spans="1:30" ht="31.5" x14ac:dyDescent="0.25">
      <c r="A56" s="8" t="s">
        <v>89</v>
      </c>
      <c r="B56" s="75" t="s">
        <v>218</v>
      </c>
      <c r="C56" s="43">
        <f>IF(B56="","",VLOOKUP(AD56,Varsayımlar!$B:$Q,3,0))</f>
        <v>8698829380698</v>
      </c>
      <c r="D56" s="43" t="s">
        <v>161</v>
      </c>
      <c r="E56" s="75" t="s">
        <v>228</v>
      </c>
      <c r="F56" s="75" t="s">
        <v>341</v>
      </c>
      <c r="G56" s="43"/>
      <c r="H56" s="75" t="str">
        <f>IF(B56="","",VLOOKUP(AD56,Varsayımlar!$B:$Q,5,0))</f>
        <v>Tortillas Avrupa 25cm (698)</v>
      </c>
      <c r="I56" s="75">
        <f>IF(B56="","",VLOOKUP(AD56,Varsayımlar!B:T,19,0))</f>
        <v>0</v>
      </c>
      <c r="J56" s="75" t="str">
        <f>IF(B56="","",VLOOKUP(AD56,Varsayımlar!$B:$Q,6,0))</f>
        <v>SADE</v>
      </c>
      <c r="K56" s="75">
        <v>720</v>
      </c>
      <c r="L56" s="75"/>
      <c r="M56" s="75">
        <f>IFERROR(IF(B56="","",K56/VLOOKUP(AD56,Varsayımlar!B:R,17,0)),"")</f>
        <v>6</v>
      </c>
      <c r="N56" s="75"/>
      <c r="O56" s="75">
        <v>7</v>
      </c>
      <c r="P56" s="75">
        <f>IF(B56="","",VLOOKUP(AD56,Varsayımlar!$B:$Q,7,0)*K56)</f>
        <v>5760</v>
      </c>
      <c r="Q56" s="75">
        <f>IF(B56="","",VLOOKUP(AD56,Varsayımlar!$B:$Q,8,0))</f>
        <v>25</v>
      </c>
      <c r="R56" s="75" t="str">
        <f>IF(B56="","",VLOOKUP(AD56,Varsayımlar!$B:$Q,9,0))</f>
        <v>Irak Soft</v>
      </c>
      <c r="S56" s="75">
        <f>IF(B56="","",VLOOKUP(AD56,Varsayımlar!$B:$Q,10,0))</f>
        <v>10</v>
      </c>
      <c r="T56" s="75">
        <f>IF(B56="","",VLOOKUP(AD56,Varsayımlar!$B:$Q,11,0))</f>
        <v>8</v>
      </c>
      <c r="U56" s="75">
        <f>IF(B56="","",VLOOKUP(AD56,Varsayımlar!$B:$Q,12,0))</f>
        <v>650</v>
      </c>
      <c r="V56" s="75" t="str">
        <f>IF(B56="","",VLOOKUP(AD56,Varsayımlar!$B:$Q,13,0))</f>
        <v>Yurtdışı</v>
      </c>
      <c r="W56" s="75">
        <f>IF(B56="","",VLOOKUP(AD56,Varsayımlar!$B:$Q,14,0))</f>
        <v>9</v>
      </c>
      <c r="X56" s="76"/>
      <c r="Y56" s="76"/>
      <c r="Z56" s="75"/>
      <c r="AA56" s="75" t="str">
        <f>IF(B56="","",VLOOKUP(AD56,Varsayımlar!$B:$Q,15,0))</f>
        <v>25cm Perforeli-Bulgarca etiket</v>
      </c>
      <c r="AB56" s="75" t="str">
        <f>IF(B56="","",VLOOKUP(AD56,Varsayımlar!$B:$Q,16,0))</f>
        <v>24-26 cm</v>
      </c>
      <c r="AC56" s="75" t="str">
        <f>IF(B56="","",VLOOKUP(Sayfa1!AD61,Varsayımlar!B:S,18,0))</f>
        <v>80x120cm -Epal+Epal</v>
      </c>
      <c r="AD56" s="57" t="str">
        <f t="shared" si="2"/>
        <v>TASTE LAND-BULGARİSTANTortillas 25cm Sade 10pcs 650g</v>
      </c>
    </row>
    <row r="57" spans="1:30" ht="47.25" x14ac:dyDescent="0.25">
      <c r="A57" s="8" t="s">
        <v>90</v>
      </c>
      <c r="B57" s="75" t="s">
        <v>218</v>
      </c>
      <c r="C57" s="43">
        <f>IF(B57="","",VLOOKUP(AD57,Varsayımlar!$B:$Q,3,0))</f>
        <v>8698829380698</v>
      </c>
      <c r="D57" s="43" t="s">
        <v>161</v>
      </c>
      <c r="E57" s="75" t="s">
        <v>250</v>
      </c>
      <c r="F57" s="75" t="s">
        <v>341</v>
      </c>
      <c r="G57" s="43"/>
      <c r="H57" s="75" t="str">
        <f>IF(B57="","",VLOOKUP(AD57,Varsayımlar!$B:$Q,5,0))</f>
        <v>Tortillas Avrupa 25cm (698)</v>
      </c>
      <c r="I57" s="75" t="str">
        <f>IF(B57="","",VLOOKUP(AD57,Varsayımlar!B:T,19,0))</f>
        <v>Barkod üzerine Barkod Etiketi (050)</v>
      </c>
      <c r="J57" s="75" t="str">
        <f>IF(B57="","",VLOOKUP(AD57,Varsayımlar!$B:$Q,6,0))</f>
        <v>SADE</v>
      </c>
      <c r="K57" s="75">
        <v>168</v>
      </c>
      <c r="L57" s="75"/>
      <c r="M57" s="75">
        <f>IFERROR(IF(B57="","",K57/VLOOKUP(AD57,Varsayımlar!B:R,17,0)),"")</f>
        <v>2</v>
      </c>
      <c r="N57" s="75"/>
      <c r="O57" s="75">
        <v>3</v>
      </c>
      <c r="P57" s="75">
        <f>IF(B57="","",VLOOKUP(AD57,Varsayımlar!$B:$Q,7,0)*K57)</f>
        <v>3024</v>
      </c>
      <c r="Q57" s="75">
        <f>IF(B57="","",VLOOKUP(AD57,Varsayımlar!$B:$Q,8,0))</f>
        <v>25</v>
      </c>
      <c r="R57" s="75" t="str">
        <f>IF(B57="","",VLOOKUP(AD57,Varsayımlar!$B:$Q,9,0))</f>
        <v>Irak Soft</v>
      </c>
      <c r="S57" s="75">
        <f>IF(B57="","",VLOOKUP(AD57,Varsayımlar!$B:$Q,10,0))</f>
        <v>6</v>
      </c>
      <c r="T57" s="75">
        <f>IF(B57="","",VLOOKUP(AD57,Varsayımlar!$B:$Q,11,0))</f>
        <v>18</v>
      </c>
      <c r="U57" s="75">
        <f>IF(B57="","",VLOOKUP(AD57,Varsayımlar!$B:$Q,12,0))</f>
        <v>390</v>
      </c>
      <c r="V57" s="75" t="str">
        <f>IF(B57="","",VLOOKUP(AD57,Varsayımlar!$B:$Q,13,0))</f>
        <v>Yurtdışı</v>
      </c>
      <c r="W57" s="75">
        <f>IF(B57="","",VLOOKUP(AD57,Varsayımlar!$B:$Q,14,0))</f>
        <v>9</v>
      </c>
      <c r="X57" s="76"/>
      <c r="Y57" s="76"/>
      <c r="Z57" s="75"/>
      <c r="AA57" s="75" t="str">
        <f>IF(B57="","",VLOOKUP(AD57,Varsayımlar!$B:$Q,15,0))</f>
        <v>25cm Kırmızı koli-Bulgarca Etiket</v>
      </c>
      <c r="AB57" s="75" t="str">
        <f>IF(B57="","",VLOOKUP(AD57,Varsayımlar!$B:$Q,16,0))</f>
        <v>24-26 cm</v>
      </c>
      <c r="AC57" s="75" t="str">
        <f>IF(B57="","",VLOOKUP(Sayfa1!AD62,Varsayımlar!B:S,18,0))</f>
        <v>80x120cm -Epal+Epal</v>
      </c>
      <c r="AD57" s="57" t="str">
        <f t="shared" si="2"/>
        <v>TASTE LAND-BULGARİSTANTortillas 25cm Sade 6pcs 390g</v>
      </c>
    </row>
    <row r="58" spans="1:30" x14ac:dyDescent="0.25">
      <c r="A58" s="8" t="s">
        <v>91</v>
      </c>
      <c r="B58" s="67"/>
      <c r="C58" s="42" t="str">
        <f>IF(B58="","",VLOOKUP(AD58,Varsayımlar!$B:$Q,3,0))</f>
        <v/>
      </c>
      <c r="D58" s="42"/>
      <c r="E58" s="42"/>
      <c r="F58" s="67"/>
      <c r="G58" s="67"/>
      <c r="H58" s="67" t="str">
        <f>IF(B58="","",VLOOKUP(AD58,Varsayımlar!$B:$Q,5,0))</f>
        <v/>
      </c>
      <c r="I58" s="67"/>
      <c r="J58" s="67" t="str">
        <f>IF(B58="","",VLOOKUP(AD58,Varsayımlar!$B:$Q,6,0))</f>
        <v/>
      </c>
      <c r="K58" s="67"/>
      <c r="L58" s="67"/>
      <c r="M58" s="67" t="str">
        <f>IFERROR(IF(B58="","",K58/VLOOKUP(AD58,Varsayımlar!B:R,17,0)),"")</f>
        <v/>
      </c>
      <c r="N58" s="67"/>
      <c r="O58" s="67"/>
      <c r="P58" s="67" t="str">
        <f>IF(B58="","",VLOOKUP(AD58,Varsayımlar!$B:$Q,7,0)*K58)</f>
        <v/>
      </c>
      <c r="Q58" s="67" t="str">
        <f>IF(B58="","",VLOOKUP(AD58,Varsayımlar!$B:$Q,8,0))</f>
        <v/>
      </c>
      <c r="R58" s="67" t="str">
        <f>IF(B58="","",VLOOKUP(AD58,Varsayımlar!$B:$Q,9,0))</f>
        <v/>
      </c>
      <c r="S58" s="67" t="str">
        <f>IF(B58="","",VLOOKUP(AD58,Varsayımlar!$B:$Q,10,0))</f>
        <v/>
      </c>
      <c r="T58" s="67" t="str">
        <f>IF(B58="","",VLOOKUP(AD58,Varsayımlar!$B:$Q,11,0))</f>
        <v/>
      </c>
      <c r="U58" s="67" t="str">
        <f>IF(B58="","",VLOOKUP(AD58,Varsayımlar!$B:$Q,12,0))</f>
        <v/>
      </c>
      <c r="V58" s="67" t="str">
        <f>IF(B58="","",VLOOKUP(AD58,Varsayımlar!$B:$Q,13,0))</f>
        <v/>
      </c>
      <c r="W58" s="67" t="str">
        <f>IF(B58="","",VLOOKUP(AD58,Varsayımlar!$B:$Q,14,0))</f>
        <v/>
      </c>
      <c r="X58" s="69"/>
      <c r="Y58" s="69"/>
      <c r="Z58" s="67"/>
      <c r="AA58" s="67" t="str">
        <f>IF(B58="","",VLOOKUP(AD58,Varsayımlar!$B:$Q,15,0))</f>
        <v/>
      </c>
      <c r="AB58" s="67" t="str">
        <f>IF(B58="","",VLOOKUP(AD58,Varsayımlar!$B:$Q,16,0))</f>
        <v/>
      </c>
      <c r="AC58" s="67"/>
      <c r="AD58" s="57" t="str">
        <f t="shared" si="2"/>
        <v/>
      </c>
    </row>
    <row r="59" spans="1:30" x14ac:dyDescent="0.25">
      <c r="A59" s="8" t="s">
        <v>92</v>
      </c>
      <c r="B59" s="67"/>
      <c r="C59" s="42" t="str">
        <f>IF(B59="","",VLOOKUP(AD59,Varsayımlar!$B:$Q,3,0))</f>
        <v/>
      </c>
      <c r="D59" s="42"/>
      <c r="E59" s="42"/>
      <c r="F59" s="67"/>
      <c r="G59" s="67"/>
      <c r="H59" s="67" t="str">
        <f>IF(B59="","",VLOOKUP(AD59,Varsayımlar!$B:$Q,5,0))</f>
        <v/>
      </c>
      <c r="I59" s="67"/>
      <c r="J59" s="67" t="str">
        <f>IF(B59="","",VLOOKUP(AD59,Varsayımlar!$B:$Q,6,0))</f>
        <v/>
      </c>
      <c r="K59" s="67"/>
      <c r="L59" s="67"/>
      <c r="M59" s="67" t="str">
        <f>IFERROR(IF(B59="","",K59/VLOOKUP(AD59,Varsayımlar!B:R,17,0)),"")</f>
        <v/>
      </c>
      <c r="N59" s="67"/>
      <c r="O59" s="67"/>
      <c r="P59" s="67" t="str">
        <f>IF(B59="","",VLOOKUP(AD59,Varsayımlar!$B:$Q,7,0)*K59)</f>
        <v/>
      </c>
      <c r="Q59" s="67" t="str">
        <f>IF(B59="","",VLOOKUP(AD59,Varsayımlar!$B:$Q,8,0))</f>
        <v/>
      </c>
      <c r="R59" s="67" t="str">
        <f>IF(B59="","",VLOOKUP(AD59,Varsayımlar!$B:$Q,9,0))</f>
        <v/>
      </c>
      <c r="S59" s="67" t="str">
        <f>IF(B59="","",VLOOKUP(AD59,Varsayımlar!$B:$Q,10,0))</f>
        <v/>
      </c>
      <c r="T59" s="67" t="str">
        <f>IF(B59="","",VLOOKUP(AD59,Varsayımlar!$B:$Q,11,0))</f>
        <v/>
      </c>
      <c r="U59" s="67" t="str">
        <f>IF(B59="","",VLOOKUP(AD59,Varsayımlar!$B:$Q,12,0))</f>
        <v/>
      </c>
      <c r="V59" s="67" t="str">
        <f>IF(B59="","",VLOOKUP(AD59,Varsayımlar!$B:$Q,13,0))</f>
        <v/>
      </c>
      <c r="W59" s="67" t="str">
        <f>IF(B59="","",VLOOKUP(AD59,Varsayımlar!$B:$Q,14,0))</f>
        <v/>
      </c>
      <c r="X59" s="69"/>
      <c r="Y59" s="69"/>
      <c r="Z59" s="67"/>
      <c r="AA59" s="67" t="str">
        <f>IF(B59="","",VLOOKUP(AD59,Varsayımlar!$B:$Q,15,0))</f>
        <v/>
      </c>
      <c r="AB59" s="67" t="str">
        <f>IF(B59="","",VLOOKUP(AD59,Varsayımlar!$B:$Q,16,0))</f>
        <v/>
      </c>
      <c r="AC59" s="67"/>
      <c r="AD59" s="57" t="str">
        <f t="shared" si="2"/>
        <v/>
      </c>
    </row>
    <row r="60" spans="1:30" x14ac:dyDescent="0.25">
      <c r="A60" s="8" t="s">
        <v>93</v>
      </c>
      <c r="B60" s="67"/>
      <c r="C60" s="42" t="str">
        <f>IF(B60="","",VLOOKUP(AD60,Varsayımlar!$B:$Q,3,0))</f>
        <v/>
      </c>
      <c r="D60" s="42"/>
      <c r="E60" s="42"/>
      <c r="F60" s="67"/>
      <c r="G60" s="67"/>
      <c r="H60" s="67" t="str">
        <f>IF(B60="","",VLOOKUP(AD60,Varsayımlar!$B:$Q,5,0))</f>
        <v/>
      </c>
      <c r="I60" s="67"/>
      <c r="J60" s="67" t="str">
        <f>IF(B60="","",VLOOKUP(AD60,Varsayımlar!$B:$Q,6,0))</f>
        <v/>
      </c>
      <c r="K60" s="67"/>
      <c r="L60" s="67"/>
      <c r="M60" s="67" t="str">
        <f>IFERROR(IF(B60="","",K60/VLOOKUP(AD60,Varsayımlar!B:R,17,0)),"")</f>
        <v/>
      </c>
      <c r="N60" s="67"/>
      <c r="O60" s="67"/>
      <c r="P60" s="67" t="str">
        <f>IF(B60="","",VLOOKUP(AD60,Varsayımlar!$B:$Q,7,0)*K60)</f>
        <v/>
      </c>
      <c r="Q60" s="67" t="str">
        <f>IF(B60="","",VLOOKUP(AD60,Varsayımlar!$B:$Q,8,0))</f>
        <v/>
      </c>
      <c r="R60" s="67" t="str">
        <f>IF(B60="","",VLOOKUP(AD60,Varsayımlar!$B:$Q,9,0))</f>
        <v/>
      </c>
      <c r="S60" s="67" t="str">
        <f>IF(B60="","",VLOOKUP(AD60,Varsayımlar!$B:$Q,10,0))</f>
        <v/>
      </c>
      <c r="T60" s="67" t="str">
        <f>IF(B60="","",VLOOKUP(AD60,Varsayımlar!$B:$Q,11,0))</f>
        <v/>
      </c>
      <c r="U60" s="67" t="str">
        <f>IF(B60="","",VLOOKUP(AD60,Varsayımlar!$B:$Q,12,0))</f>
        <v/>
      </c>
      <c r="V60" s="67" t="str">
        <f>IF(B60="","",VLOOKUP(AD60,Varsayımlar!$B:$Q,13,0))</f>
        <v/>
      </c>
      <c r="W60" s="67" t="str">
        <f>IF(B60="","",VLOOKUP(AD60,Varsayımlar!$B:$Q,14,0))</f>
        <v/>
      </c>
      <c r="X60" s="69"/>
      <c r="Y60" s="69"/>
      <c r="Z60" s="67"/>
      <c r="AA60" s="67" t="str">
        <f>IF(B60="","",VLOOKUP(AD60,Varsayımlar!$B:$Q,15,0))</f>
        <v/>
      </c>
      <c r="AB60" s="67" t="str">
        <f>IF(B60="","",VLOOKUP(AD60,Varsayımlar!$B:$Q,16,0))</f>
        <v/>
      </c>
      <c r="AC60" s="67"/>
      <c r="AD60" s="57" t="str">
        <f t="shared" si="2"/>
        <v/>
      </c>
    </row>
    <row r="61" spans="1:30" x14ac:dyDescent="0.25">
      <c r="A61" s="8" t="s">
        <v>136</v>
      </c>
      <c r="B61" s="67"/>
      <c r="C61" s="42" t="str">
        <f>IF(B61="","",VLOOKUP(AD61,Varsayımlar!$B:$Q,3,0))</f>
        <v/>
      </c>
      <c r="D61" s="42"/>
      <c r="E61" s="42"/>
      <c r="F61" s="67"/>
      <c r="G61" s="67"/>
      <c r="H61" s="67" t="str">
        <f>IF(B61="","",VLOOKUP(AD61,Varsayımlar!$B:$Q,5,0))</f>
        <v/>
      </c>
      <c r="I61" s="67"/>
      <c r="J61" s="67" t="str">
        <f>IF(B61="","",VLOOKUP(AD61,Varsayımlar!$B:$Q,6,0))</f>
        <v/>
      </c>
      <c r="K61" s="67"/>
      <c r="L61" s="67"/>
      <c r="M61" s="67" t="str">
        <f>IFERROR(IF(B61="","",K61/VLOOKUP(AD61,Varsayımlar!B:R,17,0)),"")</f>
        <v/>
      </c>
      <c r="N61" s="67"/>
      <c r="O61" s="67"/>
      <c r="P61" s="67" t="str">
        <f>IF(B61="","",VLOOKUP(AD61,Varsayımlar!$B:$Q,7,0)*K61)</f>
        <v/>
      </c>
      <c r="Q61" s="67" t="str">
        <f>IF(B61="","",VLOOKUP(AD61,Varsayımlar!$B:$Q,8,0))</f>
        <v/>
      </c>
      <c r="R61" s="67" t="str">
        <f>IF(B61="","",VLOOKUP(AD61,Varsayımlar!$B:$Q,9,0))</f>
        <v/>
      </c>
      <c r="S61" s="67" t="str">
        <f>IF(B61="","",VLOOKUP(AD61,Varsayımlar!$B:$Q,10,0))</f>
        <v/>
      </c>
      <c r="T61" s="67" t="str">
        <f>IF(B61="","",VLOOKUP(AD61,Varsayımlar!$B:$Q,11,0))</f>
        <v/>
      </c>
      <c r="U61" s="67" t="str">
        <f>IF(B61="","",VLOOKUP(AD61,Varsayımlar!$B:$Q,12,0))</f>
        <v/>
      </c>
      <c r="V61" s="67" t="str">
        <f>IF(B61="","",VLOOKUP(AD61,Varsayımlar!$B:$Q,13,0))</f>
        <v/>
      </c>
      <c r="W61" s="67" t="str">
        <f>IF(B61="","",VLOOKUP(AD61,Varsayımlar!$B:$Q,14,0))</f>
        <v/>
      </c>
      <c r="X61" s="69"/>
      <c r="Y61" s="69"/>
      <c r="Z61" s="67"/>
      <c r="AA61" s="67" t="str">
        <f>IF(B61="","",VLOOKUP(AD61,Varsayımlar!$B:$Q,15,0))</f>
        <v/>
      </c>
      <c r="AB61" s="67" t="str">
        <f>IF(B61="","",VLOOKUP(AD61,Varsayımlar!$B:$Q,16,0))</f>
        <v/>
      </c>
      <c r="AC61" s="67"/>
      <c r="AD61" s="57" t="str">
        <f t="shared" si="2"/>
        <v/>
      </c>
    </row>
    <row r="62" spans="1:30" x14ac:dyDescent="0.25">
      <c r="C62" s="53" t="str">
        <f>IF(B62="","",VLOOKUP(AD62,Varsayımlar!$B:$Q,3,0))</f>
        <v/>
      </c>
      <c r="H62" s="7" t="str">
        <f>IF(B62="","",VLOOKUP(AD62,Varsayımlar!$B:$Q,5,0))</f>
        <v/>
      </c>
      <c r="J62" s="7" t="str">
        <f>IF(B62="","",VLOOKUP(AD62,Varsayımlar!$B:$Q,6,0))</f>
        <v/>
      </c>
      <c r="P62" s="7" t="str">
        <f>IF(B62="","",VLOOKUP(AD62,Varsayımlar!$B:$Q,7,0)*K62)</f>
        <v/>
      </c>
      <c r="Q62" s="7" t="str">
        <f>IF(B62="","",VLOOKUP(AD62,Varsayımlar!$B:$Q,8,0))</f>
        <v/>
      </c>
      <c r="R62" s="7" t="str">
        <f>IF(B62="","",VLOOKUP(AD62,Varsayımlar!$B:$Q,9,0))</f>
        <v/>
      </c>
      <c r="S62" s="7" t="str">
        <f>IF(B62="","",VLOOKUP(AD62,Varsayımlar!$B:$Q,10,0))</f>
        <v/>
      </c>
      <c r="T62" s="7" t="str">
        <f>IF(B62="","",VLOOKUP(AD62,Varsayımlar!$B:$Q,11,0))</f>
        <v/>
      </c>
      <c r="U62" s="7" t="str">
        <f>IF(B62="","",VLOOKUP(AD62,Varsayımlar!$B:$Q,12,0))</f>
        <v/>
      </c>
      <c r="V62" s="7" t="str">
        <f>IF(B62="","",VLOOKUP(AD62,Varsayımlar!$B:$Q,13,0))</f>
        <v/>
      </c>
      <c r="W62" s="7" t="str">
        <f>IF(B62="","",VLOOKUP(AD62,Varsayımlar!$B:$Q,14,0))</f>
        <v/>
      </c>
      <c r="AA62" s="7" t="str">
        <f>IF(B62="","",VLOOKUP(AD62,Varsayımlar!$B:$Q,15,0))</f>
        <v/>
      </c>
      <c r="AB62" s="7" t="str">
        <f>IF(B62="","",VLOOKUP(AD62,Varsayımlar!$B:$Q,16,0))</f>
        <v/>
      </c>
      <c r="AD62" s="7" t="str">
        <f t="shared" si="2"/>
        <v/>
      </c>
    </row>
    <row r="63" spans="1:30" ht="31.5" customHeight="1" x14ac:dyDescent="0.25">
      <c r="A63" s="182" t="s">
        <v>345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4"/>
      <c r="AC63" s="38"/>
    </row>
    <row r="64" spans="1:30" ht="63" x14ac:dyDescent="0.25">
      <c r="A64" s="8" t="s">
        <v>0</v>
      </c>
      <c r="B64" s="8" t="s">
        <v>1</v>
      </c>
      <c r="C64" s="9" t="s">
        <v>31</v>
      </c>
      <c r="D64" s="9" t="s">
        <v>124</v>
      </c>
      <c r="E64" s="9" t="s">
        <v>36</v>
      </c>
      <c r="F64" s="8" t="s">
        <v>37</v>
      </c>
      <c r="G64" s="8" t="s">
        <v>13</v>
      </c>
      <c r="H64" s="8" t="s">
        <v>2</v>
      </c>
      <c r="I64" s="8" t="s">
        <v>49</v>
      </c>
      <c r="J64" s="8" t="s">
        <v>3</v>
      </c>
      <c r="K64" s="8" t="s">
        <v>21</v>
      </c>
      <c r="L64" s="8" t="s">
        <v>94</v>
      </c>
      <c r="M64" s="8" t="s">
        <v>20</v>
      </c>
      <c r="N64" s="8" t="s">
        <v>165</v>
      </c>
      <c r="O64" s="8" t="s">
        <v>123</v>
      </c>
      <c r="P64" s="8" t="s">
        <v>16</v>
      </c>
      <c r="Q64" s="8" t="s">
        <v>4</v>
      </c>
      <c r="R64" s="8" t="s">
        <v>5</v>
      </c>
      <c r="S64" s="8" t="s">
        <v>6</v>
      </c>
      <c r="T64" s="8" t="s">
        <v>28</v>
      </c>
      <c r="U64" s="8" t="s">
        <v>7</v>
      </c>
      <c r="V64" s="8" t="s">
        <v>8</v>
      </c>
      <c r="W64" s="8" t="s">
        <v>9</v>
      </c>
      <c r="X64" s="8" t="s">
        <v>10</v>
      </c>
      <c r="Y64" s="8" t="s">
        <v>11</v>
      </c>
      <c r="Z64" s="8" t="s">
        <v>12</v>
      </c>
      <c r="AA64" s="8" t="s">
        <v>14</v>
      </c>
      <c r="AB64" s="8" t="s">
        <v>15</v>
      </c>
      <c r="AC64" s="8" t="s">
        <v>208</v>
      </c>
      <c r="AD64" s="7" t="s">
        <v>41</v>
      </c>
    </row>
    <row r="65" spans="1:30" ht="31.5" customHeight="1" x14ac:dyDescent="0.25">
      <c r="A65" s="8" t="s">
        <v>78</v>
      </c>
      <c r="B65" s="64" t="s">
        <v>335</v>
      </c>
      <c r="C65" s="3">
        <f>IF(B65="","",VLOOKUP(AD65,Varsayımlar!$B:$Q,3,0))</f>
        <v>8698829380698</v>
      </c>
      <c r="D65" s="3"/>
      <c r="E65" s="64" t="s">
        <v>299</v>
      </c>
      <c r="F65" s="64"/>
      <c r="G65" s="3"/>
      <c r="H65" s="64" t="str">
        <f>IF(B65="","",VLOOKUP(AD65,Varsayımlar!$B:$Q,5,0))</f>
        <v>Lazeza 30cm</v>
      </c>
      <c r="I65" s="64">
        <f>IF(B65="","",VLOOKUP(AD65,Varsayımlar!B:T,19,0))</f>
        <v>0</v>
      </c>
      <c r="J65" s="64" t="str">
        <f>IF(B65="","",VLOOKUP(AD65,Varsayımlar!$B:$Q,6,0))</f>
        <v>SADE</v>
      </c>
      <c r="K65" s="64">
        <v>1700</v>
      </c>
      <c r="L65" s="64"/>
      <c r="M65" s="64" t="str">
        <f>IFERROR(IF(B65="","",K65/VLOOKUP(AD65,Varsayımlar!B:R,17,0)),"")</f>
        <v/>
      </c>
      <c r="N65" s="64"/>
      <c r="O65" s="64">
        <v>47</v>
      </c>
      <c r="P65" s="64">
        <f>IF(B65="","",VLOOKUP(AD65,Varsayımlar!$B:$Q,7,0)*K65)</f>
        <v>30600</v>
      </c>
      <c r="Q65" s="64">
        <f>IF(B65="","",VLOOKUP(AD65,Varsayımlar!$B:$Q,8,0))</f>
        <v>30</v>
      </c>
      <c r="R65" s="64" t="str">
        <f>IF(B65="","",VLOOKUP(AD65,Varsayımlar!$B:$Q,9,0))</f>
        <v>Irak Soft</v>
      </c>
      <c r="S65" s="64">
        <f>IF(B65="","",VLOOKUP(AD65,Varsayımlar!$B:$Q,10,0))</f>
        <v>6</v>
      </c>
      <c r="T65" s="64">
        <f>IF(B65="","",VLOOKUP(AD65,Varsayımlar!$B:$Q,11,0))</f>
        <v>18</v>
      </c>
      <c r="U65" s="64">
        <f>IF(B65="","",VLOOKUP(AD65,Varsayımlar!$B:$Q,12,0))</f>
        <v>510</v>
      </c>
      <c r="V65" s="64" t="str">
        <f>IF(B65="","",VLOOKUP(AD65,Varsayımlar!$B:$Q,13,0))</f>
        <v>Yurtdışı</v>
      </c>
      <c r="W65" s="64">
        <f>IF(B65="","",VLOOKUP(AD65,Varsayımlar!$B:$Q,14,0))</f>
        <v>6</v>
      </c>
      <c r="X65" s="66">
        <v>46188</v>
      </c>
      <c r="Y65" s="66">
        <v>46736</v>
      </c>
      <c r="Z65" s="64">
        <v>26061530</v>
      </c>
      <c r="AA65" s="64" t="str">
        <f>IF(B65="","",VLOOKUP(AD65,Varsayımlar!$B:$Q,15,0))</f>
        <v>Lazeza Kolisi</v>
      </c>
      <c r="AB65" s="64" t="str">
        <f>IF(B65="","",VLOOKUP(AD65,Varsayımlar!$B:$Q,16,0))</f>
        <v>29-31 cm</v>
      </c>
      <c r="AC65" s="64" t="str">
        <f>IF(B65="","",VLOOKUP(Sayfa1!AD79,Varsayımlar!B:S,18,0))</f>
        <v>80x120cm -Epal+Epal</v>
      </c>
      <c r="AD65" s="57" t="str">
        <f>IF(B65="","",CONCATENATE(B65,E65))</f>
        <v>AjjawiLazeza 30 cm 6pcs 510g</v>
      </c>
    </row>
    <row r="66" spans="1:30" ht="31.5" customHeight="1" x14ac:dyDescent="0.25">
      <c r="A66" s="8" t="s">
        <v>79</v>
      </c>
      <c r="B66" s="119" t="s">
        <v>363</v>
      </c>
      <c r="C66" s="120">
        <f>IF(B66="","",VLOOKUP(AD66,Varsayımlar!$B:$Q,3,0))</f>
        <v>8698829380698</v>
      </c>
      <c r="D66" s="120"/>
      <c r="E66" s="120" t="s">
        <v>364</v>
      </c>
      <c r="F66" s="119"/>
      <c r="G66" s="120" t="s">
        <v>373</v>
      </c>
      <c r="H66" s="119" t="str">
        <f>IF(B66="","",VLOOKUP(AD66,Varsayımlar!$B:$Q,5,0))</f>
        <v>Durum 30cm Sade 18pcs 1620g</v>
      </c>
      <c r="I66" s="119">
        <f>IF(B66="","",VLOOKUP(AD66,Varsayımlar!B:T,19,0))</f>
        <v>0</v>
      </c>
      <c r="J66" s="119" t="str">
        <f>IF(B66="","",VLOOKUP(AD66,Varsayımlar!$B:$Q,6,0))</f>
        <v>SADE</v>
      </c>
      <c r="K66" s="119">
        <v>360</v>
      </c>
      <c r="L66" s="119" t="s">
        <v>424</v>
      </c>
      <c r="M66" s="119" t="str">
        <f>IFERROR(IF(B66="","",K66/VLOOKUP(AD66,Varsayımlar!B:R,17,0)),"")</f>
        <v/>
      </c>
      <c r="N66" s="119"/>
      <c r="O66" s="119">
        <v>9</v>
      </c>
      <c r="P66" s="119">
        <f>IF(B66="","",VLOOKUP(AD66,Varsayımlar!$B:$Q,7,0)*K66)</f>
        <v>6480</v>
      </c>
      <c r="Q66" s="119">
        <f>IF(B66="","",VLOOKUP(AD66,Varsayımlar!$B:$Q,8,0))</f>
        <v>30</v>
      </c>
      <c r="R66" s="119" t="str">
        <f>IF(B66="","",VLOOKUP(AD66,Varsayımlar!$B:$Q,9,0))</f>
        <v>Irak Soft</v>
      </c>
      <c r="S66" s="119">
        <f>IF(B66="","",VLOOKUP(AD66,Varsayımlar!$B:$Q,10,0))</f>
        <v>18</v>
      </c>
      <c r="T66" s="119">
        <f>IF(B66="","",VLOOKUP(AD66,Varsayımlar!$B:$Q,11,0))</f>
        <v>6</v>
      </c>
      <c r="U66" s="119">
        <f>IF(B66="","",VLOOKUP(AD66,Varsayımlar!$B:$Q,12,0))</f>
        <v>1620</v>
      </c>
      <c r="V66" s="119" t="str">
        <f>IF(B66="","",VLOOKUP(AD66,Varsayımlar!$B:$Q,13,0))</f>
        <v>Yurtdışı</v>
      </c>
      <c r="W66" s="119">
        <f>IF(B66="","",VLOOKUP(AD66,Varsayımlar!$B:$Q,14,0))</f>
        <v>0</v>
      </c>
      <c r="X66" s="121"/>
      <c r="Y66" s="121"/>
      <c r="Z66" s="119"/>
      <c r="AA66" s="119" t="str">
        <f>IF(B66="","",VLOOKUP(AD66,Varsayımlar!$B:$Q,15,0))</f>
        <v>30cm kolisi-Etiketli</v>
      </c>
      <c r="AB66" s="119" t="str">
        <f>IF(B66="","",VLOOKUP(AD66,Varsayımlar!$B:$Q,16,0))</f>
        <v>29-31 cm</v>
      </c>
      <c r="AC66" s="64">
        <f>IF(B66="","",VLOOKUP(Sayfa1!AD11,Varsayımlar!B:S,18,0))</f>
        <v>0</v>
      </c>
      <c r="AD66" s="57" t="str">
        <f>IF(B66="","",CONCATENATE(B66,E66))</f>
        <v>EyalDurum 30cm sade 18 li 1620g</v>
      </c>
    </row>
    <row r="67" spans="1:30" ht="26.25" customHeight="1" x14ac:dyDescent="0.25">
      <c r="A67" s="8" t="s">
        <v>80</v>
      </c>
      <c r="B67" s="67" t="s">
        <v>119</v>
      </c>
      <c r="C67" s="42">
        <v>8698829380698</v>
      </c>
      <c r="D67" s="42"/>
      <c r="E67" s="42" t="s">
        <v>120</v>
      </c>
      <c r="F67" s="67"/>
      <c r="G67" s="42"/>
      <c r="H67" s="67" t="s">
        <v>121</v>
      </c>
      <c r="I67" s="67">
        <v>0</v>
      </c>
      <c r="J67" s="67" t="s">
        <v>19</v>
      </c>
      <c r="K67" s="67">
        <v>4000</v>
      </c>
      <c r="L67" s="67"/>
      <c r="M67" s="67">
        <v>80</v>
      </c>
      <c r="N67" s="67">
        <v>50</v>
      </c>
      <c r="O67" s="67">
        <v>145</v>
      </c>
      <c r="P67" s="67">
        <v>48000</v>
      </c>
      <c r="Q67" s="67">
        <v>25</v>
      </c>
      <c r="R67" s="67" t="s">
        <v>116</v>
      </c>
      <c r="S67" s="67">
        <v>12</v>
      </c>
      <c r="T67" s="67">
        <v>12</v>
      </c>
      <c r="U67" s="67">
        <v>840</v>
      </c>
      <c r="V67" s="67" t="s">
        <v>72</v>
      </c>
      <c r="W67" s="67">
        <v>5</v>
      </c>
      <c r="X67" s="69" t="s">
        <v>113</v>
      </c>
      <c r="Y67" s="69" t="s">
        <v>113</v>
      </c>
      <c r="Z67" s="67" t="s">
        <v>113</v>
      </c>
      <c r="AA67" s="67" t="s">
        <v>122</v>
      </c>
      <c r="AB67" s="67" t="s">
        <v>25</v>
      </c>
      <c r="AC67" s="67">
        <v>0</v>
      </c>
      <c r="AD67" s="57" t="s">
        <v>387</v>
      </c>
    </row>
    <row r="68" spans="1:30" ht="47.25" x14ac:dyDescent="0.25">
      <c r="A68" s="8" t="s">
        <v>81</v>
      </c>
      <c r="B68" s="67" t="s">
        <v>268</v>
      </c>
      <c r="C68" s="42">
        <f>IF(B68="","",VLOOKUP(AD68,Varsayımlar!$B:$Q,3,0))</f>
        <v>8698829380698</v>
      </c>
      <c r="D68" s="42" t="s">
        <v>159</v>
      </c>
      <c r="E68" s="42" t="s">
        <v>244</v>
      </c>
      <c r="F68" s="67">
        <v>20250825</v>
      </c>
      <c r="G68" s="42" t="s">
        <v>68</v>
      </c>
      <c r="H68" s="67" t="str">
        <f>IF(B68="","",VLOOKUP(AD68,Varsayımlar!$B:$Q,5,0))</f>
        <v xml:space="preserve">Tortillas Pizza 26cm </v>
      </c>
      <c r="I68" s="67">
        <f>IF(B68="","",VLOOKUP(AD68,Varsayımlar!B:T,19,0))</f>
        <v>0</v>
      </c>
      <c r="J68" s="67" t="str">
        <f>IF(B68="","",VLOOKUP(AD68,Varsayımlar!$B:$Q,6,0))</f>
        <v>SADE</v>
      </c>
      <c r="K68" s="67">
        <v>960</v>
      </c>
      <c r="L68" s="67"/>
      <c r="M68" s="67">
        <f>IFERROR(IF(B68="","",K68/VLOOKUP(AD68,Varsayımlar!B:R,17,0)),"")</f>
        <v>5</v>
      </c>
      <c r="N68" s="67"/>
      <c r="O68" s="67">
        <v>11</v>
      </c>
      <c r="P68" s="67">
        <f>IF(B68="","",VLOOKUP(AD68,Varsayımlar!$B:$Q,7,0)*K68)</f>
        <v>11520</v>
      </c>
      <c r="Q68" s="67">
        <f>IF(B68="","",VLOOKUP(AD68,Varsayımlar!$B:$Q,8,0))</f>
        <v>26</v>
      </c>
      <c r="R68" s="67" t="str">
        <f>IF(B68="","",VLOOKUP(AD68,Varsayımlar!$B:$Q,9,0))</f>
        <v>Soft-PA3</v>
      </c>
      <c r="S68" s="67">
        <f>IF(B68="","",VLOOKUP(AD68,Varsayımlar!$B:$Q,10,0))</f>
        <v>2</v>
      </c>
      <c r="T68" s="67">
        <f>IF(B68="","",VLOOKUP(AD68,Varsayımlar!$B:$Q,11,0))</f>
        <v>12</v>
      </c>
      <c r="U68" s="67">
        <f>IF(B68="","",VLOOKUP(AD68,Varsayımlar!$B:$Q,12,0))</f>
        <v>240</v>
      </c>
      <c r="V68" s="67" t="str">
        <f>IF(B68="","",VLOOKUP(AD68,Varsayımlar!$B:$Q,13,0))</f>
        <v>Yurtdışı</v>
      </c>
      <c r="W68" s="67">
        <f>IF(B68="","",VLOOKUP(AD68,Varsayımlar!$B:$Q,14,0))</f>
        <v>9</v>
      </c>
      <c r="X68" s="69">
        <v>46199</v>
      </c>
      <c r="Y68" s="69">
        <v>46472</v>
      </c>
      <c r="Z68" s="67">
        <v>26062626</v>
      </c>
      <c r="AA68" s="67" t="str">
        <f>IF(B68="","",VLOOKUP(AD68,Varsayımlar!$B:$Q,15,0))</f>
        <v>26 cm pizza kolisi-Etiketli</v>
      </c>
      <c r="AB68" s="67" t="str">
        <f>IF(B68="","",VLOOKUP(AD68,Varsayımlar!$B:$Q,16,0))</f>
        <v>24-26 cm (Macca Hetto Inkjet Uzun Tarih)</v>
      </c>
      <c r="AC68" s="67" t="e">
        <f>IF(B68="","",VLOOKUP(Sayfa1!AD83,Varsayımlar!B:S,18,0))</f>
        <v>#N/A</v>
      </c>
      <c r="AD68" s="57" t="str">
        <f>IF(B68="","",CONCATENATE(B68,E68))</f>
        <v>LAIKYUZHN-BELARUSTortillas Pizza 26cm 4pcs 480g</v>
      </c>
    </row>
    <row r="69" spans="1:30" ht="94.5" x14ac:dyDescent="0.25">
      <c r="A69" s="8" t="s">
        <v>82</v>
      </c>
      <c r="B69" s="62" t="s">
        <v>181</v>
      </c>
      <c r="C69" s="32">
        <f>IF(B69="","",VLOOKUP(AD69,Varsayımlar!$B:$Q,3,0))</f>
        <v>8698829380698</v>
      </c>
      <c r="D69" s="32"/>
      <c r="E69" s="62" t="s">
        <v>206</v>
      </c>
      <c r="F69" s="62">
        <v>26060101</v>
      </c>
      <c r="G69" s="32"/>
      <c r="H69" s="62" t="str">
        <f>IF(B69="","",VLOOKUP(AD69,Varsayımlar!$B:$Q,5,0))</f>
        <v>Pizza-6 26 cm</v>
      </c>
      <c r="I69" s="62" t="str">
        <f>IF(B69="","",VLOOKUP(AD69,Varsayımlar!B:T,19,0))</f>
        <v>Arka kısma Arnavutça içerik-Pizza 6</v>
      </c>
      <c r="J69" s="62" t="str">
        <f>IF(B69="","",VLOOKUP(AD69,Varsayımlar!$B:$Q,6,0))</f>
        <v>SADE</v>
      </c>
      <c r="K69" s="62">
        <v>120</v>
      </c>
      <c r="L69" s="62"/>
      <c r="M69" s="62">
        <f>IFERROR(IF(B69="","",K69/VLOOKUP(AD69,Varsayımlar!B:R,17,0)),"")</f>
        <v>1</v>
      </c>
      <c r="N69" s="62"/>
      <c r="O69" s="62">
        <v>2</v>
      </c>
      <c r="P69" s="62">
        <f>IF(B69="","",VLOOKUP(AD69,Varsayımlar!$B:$Q,7,0)*K69)</f>
        <v>720</v>
      </c>
      <c r="Q69" s="62">
        <f>IF(B69="","",VLOOKUP(AD69,Varsayımlar!$B:$Q,8,0))</f>
        <v>26</v>
      </c>
      <c r="R69" s="62" t="str">
        <f>IF(B69="","",VLOOKUP(AD69,Varsayımlar!$B:$Q,9,0))</f>
        <v>Irak Soft</v>
      </c>
      <c r="S69" s="62">
        <f>IF(B69="","",VLOOKUP(AD69,Varsayımlar!$B:$Q,10,0))</f>
        <v>4</v>
      </c>
      <c r="T69" s="62">
        <f>IF(B69="","",VLOOKUP(AD69,Varsayımlar!$B:$Q,11,0))</f>
        <v>6</v>
      </c>
      <c r="U69" s="62">
        <f>IF(B69="","",VLOOKUP(AD69,Varsayımlar!$B:$Q,12,0))</f>
        <v>480</v>
      </c>
      <c r="V69" s="62" t="str">
        <f>IF(B69="","",VLOOKUP(AD69,Varsayımlar!$B:$Q,13,0))</f>
        <v>YURTDIŞI</v>
      </c>
      <c r="W69" s="62">
        <f>IF(B69="","",VLOOKUP(AD69,Varsayımlar!$B:$Q,14,0))</f>
        <v>12</v>
      </c>
      <c r="X69" s="63">
        <v>46200</v>
      </c>
      <c r="Y69" s="63">
        <v>46565</v>
      </c>
      <c r="Z69" s="62">
        <v>26062726</v>
      </c>
      <c r="AA69" s="62" t="str">
        <f>IF(B69="","",VLOOKUP(AD69,Varsayımlar!$B:$Q,15,0))</f>
        <v>Pizza kolisi</v>
      </c>
      <c r="AB69" s="62" t="str">
        <f>IF(B69="","",VLOOKUP(AD69,Varsayımlar!$B:$Q,16,0))</f>
        <v>26 cm kesme -Beze 145-150g, Kesilmmeiş çap 27-28cm, Kesilmemiş ağı: 520-540g, Kesilmiş:475-485g</v>
      </c>
      <c r="AC69" s="62">
        <f>IF(B69="","",VLOOKUP(Sayfa1!AD84,Varsayımlar!B:S,18,0))</f>
        <v>0</v>
      </c>
      <c r="AD69" s="57" t="str">
        <f>IF(B69="","",CONCATENATE(B69,E69))</f>
        <v>ALDİ - KOSOVAPizza-6 26cm 4pcs 480g</v>
      </c>
    </row>
    <row r="70" spans="1:30" ht="94.5" x14ac:dyDescent="0.25">
      <c r="A70" s="8" t="s">
        <v>83</v>
      </c>
      <c r="B70" s="80" t="s">
        <v>218</v>
      </c>
      <c r="C70" s="44">
        <f>IF(B70="","",VLOOKUP(AD70,Varsayımlar!$B:$Q,3,0))</f>
        <v>8698829380698</v>
      </c>
      <c r="D70" s="44" t="s">
        <v>160</v>
      </c>
      <c r="E70" s="80" t="s">
        <v>244</v>
      </c>
      <c r="F70" s="80">
        <v>26042907</v>
      </c>
      <c r="G70" s="44"/>
      <c r="H70" s="80" t="str">
        <f>IF(B70="","",VLOOKUP(AD70,Varsayımlar!$B:$Q,5,0))</f>
        <v>Tortillas Avrupa Pizza 26cm (742)</v>
      </c>
      <c r="I70" s="80">
        <f>IF(B70="","",VLOOKUP(AD70,Varsayımlar!B:T,19,0))</f>
        <v>0</v>
      </c>
      <c r="J70" s="80" t="str">
        <f>IF(B70="","",VLOOKUP(AD70,Varsayımlar!$B:$Q,6,0))</f>
        <v>SADE</v>
      </c>
      <c r="K70" s="80">
        <v>720</v>
      </c>
      <c r="L70" s="80"/>
      <c r="M70" s="80">
        <f>IFERROR(IF(B70="","",K70/VLOOKUP(AD70,Varsayımlar!B:R,17,0)),"")</f>
        <v>6</v>
      </c>
      <c r="N70" s="80"/>
      <c r="O70" s="80">
        <v>9</v>
      </c>
      <c r="P70" s="80">
        <f>IF(B70="","",VLOOKUP(AD70,Varsayımlar!$B:$Q,7,0)*K70)</f>
        <v>5760</v>
      </c>
      <c r="Q70" s="80">
        <f>IF(B70="","",VLOOKUP(AD70,Varsayımlar!$B:$Q,8,0))</f>
        <v>26</v>
      </c>
      <c r="R70" s="80" t="str">
        <f>IF(B70="","",VLOOKUP(AD70,Varsayımlar!$B:$Q,9,0))</f>
        <v>Irak Soft</v>
      </c>
      <c r="S70" s="80">
        <f>IF(B70="","",VLOOKUP(AD70,Varsayımlar!$B:$Q,10,0))</f>
        <v>4</v>
      </c>
      <c r="T70" s="80">
        <f>IF(B70="","",VLOOKUP(AD70,Varsayımlar!$B:$Q,11,0))</f>
        <v>8</v>
      </c>
      <c r="U70" s="80">
        <f>IF(B70="","",VLOOKUP(AD70,Varsayımlar!$B:$Q,12,0))</f>
        <v>480</v>
      </c>
      <c r="V70" s="80" t="str">
        <f>IF(B70="","",VLOOKUP(AD70,Varsayımlar!$B:$Q,13,0))</f>
        <v>Yurtdışı</v>
      </c>
      <c r="W70" s="80">
        <f>IF(B70="","",VLOOKUP(AD70,Varsayımlar!$B:$Q,14,0))</f>
        <v>9</v>
      </c>
      <c r="X70" s="81">
        <v>46203</v>
      </c>
      <c r="Y70" s="81">
        <v>46476</v>
      </c>
      <c r="Z70" s="80">
        <v>26063026</v>
      </c>
      <c r="AA70" s="80" t="str">
        <f>IF(B70="","",VLOOKUP(AD70,Varsayımlar!$B:$Q,15,0))</f>
        <v>26cm Pizza Perforeli-Bulgarca Etiket</v>
      </c>
      <c r="AB70" s="80" t="str">
        <f>IF(B70="","",VLOOKUP(AD70,Varsayımlar!$B:$Q,16,0))</f>
        <v>26 cm kesme -Beze 145-150g, Kesilmmeiş çap 27-28cm, Kesilmemiş ağı: 520-540g, Kesilmiş:475-485g</v>
      </c>
      <c r="AC70" s="80" t="str">
        <f>IF(B70="","",VLOOKUP(Sayfa1!AD80,Varsayımlar!B:S,18,0))</f>
        <v>80x120cm -Epal+Epal</v>
      </c>
      <c r="AD70" s="57" t="str">
        <f t="shared" ref="AD70:AD82" si="3">IF(B70="","",CONCATENATE(B70,E70))</f>
        <v>TASTE LAND-BULGARİSTANTortillas Pizza 26cm 4pcs 480g</v>
      </c>
    </row>
    <row r="71" spans="1:30" ht="47.25" x14ac:dyDescent="0.25">
      <c r="A71" s="8" t="s">
        <v>84</v>
      </c>
      <c r="B71" s="54" t="s">
        <v>268</v>
      </c>
      <c r="C71" s="39">
        <f>IF(B71="","",VLOOKUP(AD71,Varsayımlar!$B:$Q,3,0))</f>
        <v>8698829380698</v>
      </c>
      <c r="D71" s="39" t="s">
        <v>160</v>
      </c>
      <c r="E71" s="39" t="s">
        <v>244</v>
      </c>
      <c r="F71" s="54" t="s">
        <v>343</v>
      </c>
      <c r="G71" s="39" t="s">
        <v>68</v>
      </c>
      <c r="H71" s="54" t="str">
        <f>IF(B71="","",VLOOKUP(AD71,Varsayımlar!$B:$Q,5,0))</f>
        <v xml:space="preserve">Tortillas Pizza 26cm </v>
      </c>
      <c r="I71" s="54">
        <f>IF(B71="","",VLOOKUP(AD71,Varsayımlar!B:T,19,0))</f>
        <v>0</v>
      </c>
      <c r="J71" s="54" t="str">
        <f>IF(B71="","",VLOOKUP(AD71,Varsayımlar!$B:$Q,6,0))</f>
        <v>SADE</v>
      </c>
      <c r="K71" s="54">
        <v>768</v>
      </c>
      <c r="L71" s="54"/>
      <c r="M71" s="54">
        <f>IFERROR(IF(B71="","",K71/VLOOKUP(AD71,Varsayımlar!B:R,17,0)),"")</f>
        <v>4</v>
      </c>
      <c r="N71" s="54"/>
      <c r="O71" s="54">
        <v>9</v>
      </c>
      <c r="P71" s="54">
        <f>IF(B71="","",VLOOKUP(AD71,Varsayımlar!$B:$Q,7,0)*K71)</f>
        <v>9216</v>
      </c>
      <c r="Q71" s="54">
        <f>IF(B71="","",VLOOKUP(AD71,Varsayımlar!$B:$Q,8,0))</f>
        <v>26</v>
      </c>
      <c r="R71" s="54" t="str">
        <f>IF(B71="","",VLOOKUP(AD71,Varsayımlar!$B:$Q,9,0))</f>
        <v>Soft-PA3</v>
      </c>
      <c r="S71" s="54">
        <f>IF(B71="","",VLOOKUP(AD71,Varsayımlar!$B:$Q,10,0))</f>
        <v>2</v>
      </c>
      <c r="T71" s="54">
        <f>IF(B71="","",VLOOKUP(AD71,Varsayımlar!$B:$Q,11,0))</f>
        <v>12</v>
      </c>
      <c r="U71" s="54">
        <f>IF(B71="","",VLOOKUP(AD71,Varsayımlar!$B:$Q,12,0))</f>
        <v>240</v>
      </c>
      <c r="V71" s="54" t="str">
        <f>IF(B71="","",VLOOKUP(AD71,Varsayımlar!$B:$Q,13,0))</f>
        <v>Yurtdışı</v>
      </c>
      <c r="W71" s="54">
        <f>IF(B71="","",VLOOKUP(AD71,Varsayımlar!$B:$Q,14,0))</f>
        <v>9</v>
      </c>
      <c r="X71" s="56">
        <v>46205</v>
      </c>
      <c r="Y71" s="56">
        <v>46479</v>
      </c>
      <c r="Z71" s="54">
        <v>26070226</v>
      </c>
      <c r="AA71" s="54" t="str">
        <f>IF(B71="","",VLOOKUP(AD71,Varsayımlar!$B:$Q,15,0))</f>
        <v>26 cm pizza kolisi-Etiketli</v>
      </c>
      <c r="AB71" s="54" t="str">
        <f>IF(B71="","",VLOOKUP(AD71,Varsayımlar!$B:$Q,16,0))</f>
        <v>24-26 cm (Macca Hetto Inkjet Uzun Tarih)</v>
      </c>
      <c r="AC71" s="54" t="e">
        <f>IF(B71="","",VLOOKUP(Sayfa1!AD83,Varsayımlar!B:S,18,0))</f>
        <v>#N/A</v>
      </c>
      <c r="AD71" s="57" t="str">
        <f>IF(B71="","",CONCATENATE(B71,E71))</f>
        <v>LAIKYUZHN-BELARUSTortillas Pizza 26cm 4pcs 480g</v>
      </c>
    </row>
    <row r="72" spans="1:30" ht="94.5" x14ac:dyDescent="0.25">
      <c r="A72" s="8" t="s">
        <v>85</v>
      </c>
      <c r="B72" s="75" t="s">
        <v>218</v>
      </c>
      <c r="C72" s="43">
        <f>IF(B72="","",VLOOKUP(AD72,Varsayımlar!$B:$Q,3,0))</f>
        <v>8698829380698</v>
      </c>
      <c r="D72" s="43" t="s">
        <v>161</v>
      </c>
      <c r="E72" s="75" t="s">
        <v>244</v>
      </c>
      <c r="F72" s="75" t="s">
        <v>341</v>
      </c>
      <c r="G72" s="43"/>
      <c r="H72" s="75" t="str">
        <f>IF(B72="","",VLOOKUP(AD72,Varsayımlar!$B:$Q,5,0))</f>
        <v>Tortillas Avrupa Pizza 26cm (742)</v>
      </c>
      <c r="I72" s="75">
        <f>IF(B72="","",VLOOKUP(AD72,Varsayımlar!B:T,19,0))</f>
        <v>0</v>
      </c>
      <c r="J72" s="75" t="str">
        <f>IF(B72="","",VLOOKUP(AD72,Varsayımlar!$B:$Q,6,0))</f>
        <v>SADE</v>
      </c>
      <c r="K72" s="75">
        <v>840</v>
      </c>
      <c r="L72" s="75"/>
      <c r="M72" s="75">
        <f>IFERROR(IF(B72="","",K72/VLOOKUP(AD72,Varsayımlar!B:R,17,0)),"")</f>
        <v>7</v>
      </c>
      <c r="N72" s="75"/>
      <c r="O72" s="75">
        <v>11</v>
      </c>
      <c r="P72" s="75">
        <f>IF(B72="","",VLOOKUP(AD72,Varsayımlar!$B:$Q,7,0)*K72)</f>
        <v>6720</v>
      </c>
      <c r="Q72" s="75">
        <f>IF(B72="","",VLOOKUP(AD72,Varsayımlar!$B:$Q,8,0))</f>
        <v>26</v>
      </c>
      <c r="R72" s="75" t="str">
        <f>IF(B72="","",VLOOKUP(AD72,Varsayımlar!$B:$Q,9,0))</f>
        <v>Irak Soft</v>
      </c>
      <c r="S72" s="75">
        <f>IF(B72="","",VLOOKUP(AD72,Varsayımlar!$B:$Q,10,0))</f>
        <v>4</v>
      </c>
      <c r="T72" s="75">
        <f>IF(B72="","",VLOOKUP(AD72,Varsayımlar!$B:$Q,11,0))</f>
        <v>8</v>
      </c>
      <c r="U72" s="75">
        <f>IF(B72="","",VLOOKUP(AD72,Varsayımlar!$B:$Q,12,0))</f>
        <v>480</v>
      </c>
      <c r="V72" s="75" t="str">
        <f>IF(B72="","",VLOOKUP(AD72,Varsayımlar!$B:$Q,13,0))</f>
        <v>Yurtdışı</v>
      </c>
      <c r="W72" s="75">
        <f>IF(B72="","",VLOOKUP(AD72,Varsayımlar!$B:$Q,14,0))</f>
        <v>9</v>
      </c>
      <c r="X72" s="76"/>
      <c r="Y72" s="76"/>
      <c r="Z72" s="75"/>
      <c r="AA72" s="75" t="str">
        <f>IF(B72="","",VLOOKUP(AD72,Varsayımlar!$B:$Q,15,0))</f>
        <v>26cm Pizza Perforeli-Bulgarca Etiket</v>
      </c>
      <c r="AB72" s="75" t="str">
        <f>IF(B72="","",VLOOKUP(AD72,Varsayımlar!$B:$Q,16,0))</f>
        <v>26 cm kesme -Beze 145-150g, Kesilmmeiş çap 27-28cm, Kesilmemiş ağı: 520-540g, Kesilmiş:475-485g</v>
      </c>
      <c r="AC72" s="75" t="str">
        <f>IF(B72="","",VLOOKUP(Sayfa1!AD81,Varsayımlar!B:S,18,0))</f>
        <v>80x120cm -Epal+Epal</v>
      </c>
      <c r="AD72" s="57" t="str">
        <f t="shared" si="3"/>
        <v>TASTE LAND-BULGARİSTANTortillas Pizza 26cm 4pcs 480g</v>
      </c>
    </row>
    <row r="73" spans="1:30" x14ac:dyDescent="0.25">
      <c r="A73" s="8" t="s">
        <v>88</v>
      </c>
      <c r="B73" s="67"/>
      <c r="C73" s="42" t="str">
        <f>IF(B73="","",VLOOKUP(AD73,Varsayımlar!$B:$Q,3,0))</f>
        <v/>
      </c>
      <c r="D73" s="42"/>
      <c r="E73" s="42"/>
      <c r="F73" s="42"/>
      <c r="G73" s="42"/>
      <c r="H73" s="42" t="str">
        <f>IF(B73="","",VLOOKUP(AD73,Varsayımlar!$B:$Q,5,0))</f>
        <v/>
      </c>
      <c r="I73" s="42"/>
      <c r="J73" s="42" t="str">
        <f>IF(B73="","",VLOOKUP(AD73,Varsayımlar!$B:$Q,6,0))</f>
        <v/>
      </c>
      <c r="K73" s="42"/>
      <c r="L73" s="42"/>
      <c r="M73" s="42" t="str">
        <f>IFERROR(IF(B73="","",K73/VLOOKUP(AD73,Varsayımlar!B:R,17,0)),"")</f>
        <v/>
      </c>
      <c r="N73" s="42"/>
      <c r="O73" s="42"/>
      <c r="P73" s="42" t="str">
        <f>IF(B73="","",VLOOKUP(AD73,Varsayımlar!$B:$Q,7,0)*K73)</f>
        <v/>
      </c>
      <c r="Q73" s="42" t="str">
        <f>IF(B73="","",VLOOKUP(AD73,Varsayımlar!$B:$Q,8,0))</f>
        <v/>
      </c>
      <c r="R73" s="42" t="str">
        <f>IF(B73="","",VLOOKUP(AD73,Varsayımlar!$B:$Q,9,0))</f>
        <v/>
      </c>
      <c r="S73" s="42" t="str">
        <f>IF(B73="","",VLOOKUP(AD73,Varsayımlar!$B:$Q,10,0))</f>
        <v/>
      </c>
      <c r="T73" s="42" t="str">
        <f>IF(B73="","",VLOOKUP(AD73,Varsayımlar!$B:$Q,11,0))</f>
        <v/>
      </c>
      <c r="U73" s="42" t="str">
        <f>IF(B73="","",VLOOKUP(AD73,Varsayımlar!$B:$Q,12,0))</f>
        <v/>
      </c>
      <c r="V73" s="42" t="str">
        <f>IF(B73="","",VLOOKUP(AD73,Varsayımlar!$B:$Q,13,0))</f>
        <v/>
      </c>
      <c r="W73" s="67" t="str">
        <f>IF(B73="","",VLOOKUP(AD73,Varsayımlar!$B:$Q,14,0))</f>
        <v/>
      </c>
      <c r="X73" s="69"/>
      <c r="Y73" s="69"/>
      <c r="Z73" s="67"/>
      <c r="AA73" s="67" t="str">
        <f>IF(B73="","",VLOOKUP(AD73,Varsayımlar!$B:$Q,15,0))</f>
        <v/>
      </c>
      <c r="AB73" s="67" t="str">
        <f>IF(B73="","",VLOOKUP(AD73,Varsayımlar!$B:$Q,16,0))</f>
        <v/>
      </c>
      <c r="AC73" s="67"/>
      <c r="AD73" s="57" t="str">
        <f t="shared" si="3"/>
        <v/>
      </c>
    </row>
    <row r="74" spans="1:30" x14ac:dyDescent="0.25">
      <c r="A74" s="8" t="s">
        <v>89</v>
      </c>
      <c r="B74" s="67"/>
      <c r="C74" s="42" t="str">
        <f>IF(B74="","",VLOOKUP(AD74,Varsayımlar!$B:$Q,3,0))</f>
        <v/>
      </c>
      <c r="D74" s="42"/>
      <c r="E74" s="42"/>
      <c r="F74" s="42"/>
      <c r="G74" s="42"/>
      <c r="H74" s="42" t="str">
        <f>IF(B74="","",VLOOKUP(AD74,Varsayımlar!$B:$Q,5,0))</f>
        <v/>
      </c>
      <c r="I74" s="42"/>
      <c r="J74" s="42" t="str">
        <f>IF(B74="","",VLOOKUP(AD74,Varsayımlar!$B:$Q,6,0))</f>
        <v/>
      </c>
      <c r="K74" s="42"/>
      <c r="L74" s="42"/>
      <c r="M74" s="42" t="str">
        <f>IFERROR(IF(B74="","",K74/VLOOKUP(AD74,Varsayımlar!B:R,17,0)),"")</f>
        <v/>
      </c>
      <c r="N74" s="42"/>
      <c r="O74" s="42"/>
      <c r="P74" s="42" t="str">
        <f>IF(B74="","",VLOOKUP(AD74,Varsayımlar!$B:$Q,7,0)*K74)</f>
        <v/>
      </c>
      <c r="Q74" s="42" t="str">
        <f>IF(B74="","",VLOOKUP(AD74,Varsayımlar!$B:$Q,8,0))</f>
        <v/>
      </c>
      <c r="R74" s="42" t="str">
        <f>IF(B74="","",VLOOKUP(AD74,Varsayımlar!$B:$Q,9,0))</f>
        <v/>
      </c>
      <c r="S74" s="42" t="str">
        <f>IF(B74="","",VLOOKUP(AD74,Varsayımlar!$B:$Q,10,0))</f>
        <v/>
      </c>
      <c r="T74" s="42" t="str">
        <f>IF(B74="","",VLOOKUP(AD74,Varsayımlar!$B:$Q,11,0))</f>
        <v/>
      </c>
      <c r="U74" s="42" t="str">
        <f>IF(B74="","",VLOOKUP(AD74,Varsayımlar!$B:$Q,12,0))</f>
        <v/>
      </c>
      <c r="V74" s="42" t="str">
        <f>IF(B74="","",VLOOKUP(AD74,Varsayımlar!$B:$Q,13,0))</f>
        <v/>
      </c>
      <c r="W74" s="67" t="str">
        <f>IF(B74="","",VLOOKUP(AD74,Varsayımlar!$B:$Q,14,0))</f>
        <v/>
      </c>
      <c r="X74" s="69"/>
      <c r="Y74" s="69"/>
      <c r="Z74" s="67"/>
      <c r="AA74" s="67" t="str">
        <f>IF(B74="","",VLOOKUP(AD74,Varsayımlar!$B:$Q,15,0))</f>
        <v/>
      </c>
      <c r="AB74" s="67" t="str">
        <f>IF(B74="","",VLOOKUP(AD74,Varsayımlar!$B:$Q,16,0))</f>
        <v/>
      </c>
      <c r="AC74" s="67"/>
      <c r="AD74" s="57" t="str">
        <f t="shared" si="3"/>
        <v/>
      </c>
    </row>
    <row r="75" spans="1:30" x14ac:dyDescent="0.25">
      <c r="A75" s="8" t="s">
        <v>90</v>
      </c>
      <c r="B75" s="67"/>
      <c r="C75" s="42" t="str">
        <f>IF(B75="","",VLOOKUP(AD75,Varsayımlar!$B:$Q,3,0))</f>
        <v/>
      </c>
      <c r="D75" s="42"/>
      <c r="E75" s="42"/>
      <c r="F75" s="42"/>
      <c r="G75" s="42"/>
      <c r="H75" s="42" t="str">
        <f>IF(B75="","",VLOOKUP(AD75,Varsayımlar!$B:$Q,5,0))</f>
        <v/>
      </c>
      <c r="I75" s="42"/>
      <c r="J75" s="42" t="str">
        <f>IF(B75="","",VLOOKUP(AD75,Varsayımlar!$B:$Q,6,0))</f>
        <v/>
      </c>
      <c r="K75" s="42"/>
      <c r="L75" s="42"/>
      <c r="M75" s="42" t="str">
        <f>IFERROR(IF(B75="","",K75/VLOOKUP(AD75,Varsayımlar!B:R,17,0)),"")</f>
        <v/>
      </c>
      <c r="N75" s="42"/>
      <c r="O75" s="42"/>
      <c r="P75" s="42" t="str">
        <f>IF(B75="","",VLOOKUP(AD75,Varsayımlar!$B:$Q,7,0)*K75)</f>
        <v/>
      </c>
      <c r="Q75" s="42" t="str">
        <f>IF(B75="","",VLOOKUP(AD75,Varsayımlar!$B:$Q,8,0))</f>
        <v/>
      </c>
      <c r="R75" s="42" t="str">
        <f>IF(B75="","",VLOOKUP(AD75,Varsayımlar!$B:$Q,9,0))</f>
        <v/>
      </c>
      <c r="S75" s="42" t="str">
        <f>IF(B75="","",VLOOKUP(AD75,Varsayımlar!$B:$Q,10,0))</f>
        <v/>
      </c>
      <c r="T75" s="42" t="str">
        <f>IF(B75="","",VLOOKUP(AD75,Varsayımlar!$B:$Q,11,0))</f>
        <v/>
      </c>
      <c r="U75" s="42" t="str">
        <f>IF(B75="","",VLOOKUP(AD75,Varsayımlar!$B:$Q,12,0))</f>
        <v/>
      </c>
      <c r="V75" s="42" t="str">
        <f>IF(B75="","",VLOOKUP(AD75,Varsayımlar!$B:$Q,13,0))</f>
        <v/>
      </c>
      <c r="W75" s="67" t="str">
        <f>IF(B75="","",VLOOKUP(AD75,Varsayımlar!$B:$Q,14,0))</f>
        <v/>
      </c>
      <c r="X75" s="69"/>
      <c r="Y75" s="69"/>
      <c r="Z75" s="67"/>
      <c r="AA75" s="67" t="str">
        <f>IF(B75="","",VLOOKUP(AD75,Varsayımlar!$B:$Q,15,0))</f>
        <v/>
      </c>
      <c r="AB75" s="67" t="str">
        <f>IF(B75="","",VLOOKUP(AD75,Varsayımlar!$B:$Q,16,0))</f>
        <v/>
      </c>
      <c r="AC75" s="67"/>
      <c r="AD75" s="57" t="str">
        <f t="shared" si="3"/>
        <v/>
      </c>
    </row>
    <row r="76" spans="1:30" x14ac:dyDescent="0.25">
      <c r="A76" s="8" t="s">
        <v>91</v>
      </c>
      <c r="B76" s="67"/>
      <c r="C76" s="42" t="str">
        <f>IF(B76="","",VLOOKUP(AD76,Varsayımlar!$B:$Q,3,0))</f>
        <v/>
      </c>
      <c r="D76" s="42"/>
      <c r="E76" s="42"/>
      <c r="F76" s="42"/>
      <c r="G76" s="42"/>
      <c r="H76" s="42" t="str">
        <f>IF(B76="","",VLOOKUP(AD76,Varsayımlar!$B:$Q,5,0))</f>
        <v/>
      </c>
      <c r="I76" s="42"/>
      <c r="J76" s="42" t="str">
        <f>IF(B76="","",VLOOKUP(AD76,Varsayımlar!$B:$Q,6,0))</f>
        <v/>
      </c>
      <c r="K76" s="42"/>
      <c r="L76" s="42"/>
      <c r="M76" s="42" t="str">
        <f>IFERROR(IF(B76="","",K76/VLOOKUP(AD76,Varsayımlar!B:R,17,0)),"")</f>
        <v/>
      </c>
      <c r="N76" s="42"/>
      <c r="O76" s="42"/>
      <c r="P76" s="42" t="str">
        <f>IF(B76="","",VLOOKUP(AD76,Varsayımlar!$B:$Q,7,0)*K76)</f>
        <v/>
      </c>
      <c r="Q76" s="42" t="str">
        <f>IF(B76="","",VLOOKUP(AD76,Varsayımlar!$B:$Q,8,0))</f>
        <v/>
      </c>
      <c r="R76" s="42" t="str">
        <f>IF(B76="","",VLOOKUP(AD76,Varsayımlar!$B:$Q,9,0))</f>
        <v/>
      </c>
      <c r="S76" s="42" t="str">
        <f>IF(B76="","",VLOOKUP(AD76,Varsayımlar!$B:$Q,10,0))</f>
        <v/>
      </c>
      <c r="T76" s="42" t="str">
        <f>IF(B76="","",VLOOKUP(AD76,Varsayımlar!$B:$Q,11,0))</f>
        <v/>
      </c>
      <c r="U76" s="42" t="str">
        <f>IF(B76="","",VLOOKUP(AD76,Varsayımlar!$B:$Q,12,0))</f>
        <v/>
      </c>
      <c r="V76" s="42" t="str">
        <f>IF(B76="","",VLOOKUP(AD76,Varsayımlar!$B:$Q,13,0))</f>
        <v/>
      </c>
      <c r="W76" s="67" t="str">
        <f>IF(B76="","",VLOOKUP(AD76,Varsayımlar!$B:$Q,14,0))</f>
        <v/>
      </c>
      <c r="X76" s="69"/>
      <c r="Y76" s="69"/>
      <c r="Z76" s="67"/>
      <c r="AA76" s="67" t="str">
        <f>IF(B76="","",VLOOKUP(AD76,Varsayımlar!$B:$Q,15,0))</f>
        <v/>
      </c>
      <c r="AB76" s="67" t="str">
        <f>IF(B76="","",VLOOKUP(AD76,Varsayımlar!$B:$Q,16,0))</f>
        <v/>
      </c>
      <c r="AC76" s="67"/>
      <c r="AD76" s="57" t="str">
        <f t="shared" si="3"/>
        <v/>
      </c>
    </row>
    <row r="77" spans="1:30" x14ac:dyDescent="0.25">
      <c r="A77" s="8" t="s">
        <v>92</v>
      </c>
      <c r="B77" s="67"/>
      <c r="C77" s="42" t="str">
        <f>IF(B77="","",VLOOKUP(AD77,Varsayımlar!$B:$Q,3,0))</f>
        <v/>
      </c>
      <c r="D77" s="42"/>
      <c r="E77" s="42"/>
      <c r="F77" s="42"/>
      <c r="G77" s="42"/>
      <c r="H77" s="42" t="str">
        <f>IF(B77="","",VLOOKUP(AD77,Varsayımlar!$B:$Q,5,0))</f>
        <v/>
      </c>
      <c r="I77" s="42"/>
      <c r="J77" s="42" t="str">
        <f>IF(B77="","",VLOOKUP(AD77,Varsayımlar!$B:$Q,6,0))</f>
        <v/>
      </c>
      <c r="K77" s="42"/>
      <c r="L77" s="42"/>
      <c r="M77" s="42" t="str">
        <f>IFERROR(IF(B77="","",K77/VLOOKUP(AD77,Varsayımlar!B:R,17,0)),"")</f>
        <v/>
      </c>
      <c r="N77" s="42"/>
      <c r="O77" s="42"/>
      <c r="P77" s="42" t="str">
        <f>IF(B77="","",VLOOKUP(AD77,Varsayımlar!$B:$Q,7,0)*K77)</f>
        <v/>
      </c>
      <c r="Q77" s="42" t="str">
        <f>IF(B77="","",VLOOKUP(AD77,Varsayımlar!$B:$Q,8,0))</f>
        <v/>
      </c>
      <c r="R77" s="42" t="str">
        <f>IF(B77="","",VLOOKUP(AD77,Varsayımlar!$B:$Q,9,0))</f>
        <v/>
      </c>
      <c r="S77" s="42" t="str">
        <f>IF(B77="","",VLOOKUP(AD77,Varsayımlar!$B:$Q,10,0))</f>
        <v/>
      </c>
      <c r="T77" s="42" t="str">
        <f>IF(B77="","",VLOOKUP(AD77,Varsayımlar!$B:$Q,11,0))</f>
        <v/>
      </c>
      <c r="U77" s="42" t="str">
        <f>IF(B77="","",VLOOKUP(AD77,Varsayımlar!$B:$Q,12,0))</f>
        <v/>
      </c>
      <c r="V77" s="42" t="str">
        <f>IF(B77="","",VLOOKUP(AD77,Varsayımlar!$B:$Q,13,0))</f>
        <v/>
      </c>
      <c r="W77" s="67" t="str">
        <f>IF(B77="","",VLOOKUP(AD77,Varsayımlar!$B:$Q,14,0))</f>
        <v/>
      </c>
      <c r="X77" s="69"/>
      <c r="Y77" s="69"/>
      <c r="Z77" s="67"/>
      <c r="AA77" s="67" t="str">
        <f>IF(B77="","",VLOOKUP(AD77,Varsayımlar!$B:$Q,15,0))</f>
        <v/>
      </c>
      <c r="AB77" s="67" t="str">
        <f>IF(B77="","",VLOOKUP(AD77,Varsayımlar!$B:$Q,16,0))</f>
        <v/>
      </c>
      <c r="AC77" s="67"/>
      <c r="AD77" s="57" t="str">
        <f t="shared" si="3"/>
        <v/>
      </c>
    </row>
    <row r="78" spans="1:30" x14ac:dyDescent="0.25">
      <c r="A78" s="8" t="s">
        <v>93</v>
      </c>
      <c r="B78" s="67"/>
      <c r="C78" s="42" t="str">
        <f>IF(B78="","",VLOOKUP(AD78,Varsayımlar!$B:$Q,3,0))</f>
        <v/>
      </c>
      <c r="D78" s="42"/>
      <c r="E78" s="42"/>
      <c r="F78" s="42"/>
      <c r="G78" s="42"/>
      <c r="H78" s="42" t="str">
        <f>IF(B78="","",VLOOKUP(AD78,Varsayımlar!$B:$Q,5,0))</f>
        <v/>
      </c>
      <c r="I78" s="42"/>
      <c r="J78" s="42" t="str">
        <f>IF(B78="","",VLOOKUP(AD78,Varsayımlar!$B:$Q,6,0))</f>
        <v/>
      </c>
      <c r="K78" s="42"/>
      <c r="L78" s="42"/>
      <c r="M78" s="42" t="str">
        <f>IFERROR(IF(B78="","",K78/VLOOKUP(AD78,Varsayımlar!B:R,17,0)),"")</f>
        <v/>
      </c>
      <c r="N78" s="42"/>
      <c r="O78" s="42"/>
      <c r="P78" s="42" t="str">
        <f>IF(B78="","",VLOOKUP(AD78,Varsayımlar!$B:$Q,7,0)*K78)</f>
        <v/>
      </c>
      <c r="Q78" s="42" t="str">
        <f>IF(B78="","",VLOOKUP(AD78,Varsayımlar!$B:$Q,8,0))</f>
        <v/>
      </c>
      <c r="R78" s="42" t="str">
        <f>IF(B78="","",VLOOKUP(AD78,Varsayımlar!$B:$Q,9,0))</f>
        <v/>
      </c>
      <c r="S78" s="42" t="str">
        <f>IF(B78="","",VLOOKUP(AD78,Varsayımlar!$B:$Q,10,0))</f>
        <v/>
      </c>
      <c r="T78" s="42" t="str">
        <f>IF(B78="","",VLOOKUP(AD78,Varsayımlar!$B:$Q,11,0))</f>
        <v/>
      </c>
      <c r="U78" s="42" t="str">
        <f>IF(B78="","",VLOOKUP(AD78,Varsayımlar!$B:$Q,12,0))</f>
        <v/>
      </c>
      <c r="V78" s="42" t="str">
        <f>IF(B78="","",VLOOKUP(AD78,Varsayımlar!$B:$Q,13,0))</f>
        <v/>
      </c>
      <c r="W78" s="67" t="str">
        <f>IF(B78="","",VLOOKUP(AD78,Varsayımlar!$B:$Q,14,0))</f>
        <v/>
      </c>
      <c r="X78" s="69"/>
      <c r="Y78" s="69"/>
      <c r="Z78" s="67"/>
      <c r="AA78" s="67" t="str">
        <f>IF(B78="","",VLOOKUP(AD78,Varsayımlar!$B:$Q,15,0))</f>
        <v/>
      </c>
      <c r="AB78" s="67" t="str">
        <f>IF(B78="","",VLOOKUP(AD78,Varsayımlar!$B:$Q,16,0))</f>
        <v/>
      </c>
      <c r="AC78" s="67"/>
      <c r="AD78" s="57" t="str">
        <f t="shared" si="3"/>
        <v/>
      </c>
    </row>
    <row r="79" spans="1:30" x14ac:dyDescent="0.25">
      <c r="A79" s="8" t="s">
        <v>135</v>
      </c>
      <c r="B79" s="67"/>
      <c r="C79" s="42" t="str">
        <f>IF(B79="","",VLOOKUP(AD79,Varsayımlar!$B:$Q,3,0))</f>
        <v/>
      </c>
      <c r="D79" s="42"/>
      <c r="E79" s="42"/>
      <c r="F79" s="42"/>
      <c r="G79" s="42"/>
      <c r="H79" s="42" t="str">
        <f>IF(B79="","",VLOOKUP(AD79,Varsayımlar!$B:$Q,5,0))</f>
        <v/>
      </c>
      <c r="I79" s="42"/>
      <c r="J79" s="42" t="str">
        <f>IF(B79="","",VLOOKUP(AD79,Varsayımlar!$B:$Q,6,0))</f>
        <v/>
      </c>
      <c r="K79" s="42"/>
      <c r="L79" s="42"/>
      <c r="M79" s="42" t="str">
        <f>IFERROR(IF(B79="","",K79/VLOOKUP(AD79,Varsayımlar!B:R,17,0)),"")</f>
        <v/>
      </c>
      <c r="N79" s="42"/>
      <c r="O79" s="42"/>
      <c r="P79" s="42" t="str">
        <f>IF(B79="","",VLOOKUP(AD79,Varsayımlar!$B:$Q,7,0)*K79)</f>
        <v/>
      </c>
      <c r="Q79" s="42" t="str">
        <f>IF(B79="","",VLOOKUP(AD79,Varsayımlar!$B:$Q,8,0))</f>
        <v/>
      </c>
      <c r="R79" s="42" t="str">
        <f>IF(B79="","",VLOOKUP(AD79,Varsayımlar!$B:$Q,9,0))</f>
        <v/>
      </c>
      <c r="S79" s="42" t="str">
        <f>IF(B79="","",VLOOKUP(AD79,Varsayımlar!$B:$Q,10,0))</f>
        <v/>
      </c>
      <c r="T79" s="42" t="str">
        <f>IF(B79="","",VLOOKUP(AD79,Varsayımlar!$B:$Q,11,0))</f>
        <v/>
      </c>
      <c r="U79" s="42" t="str">
        <f>IF(B79="","",VLOOKUP(AD79,Varsayımlar!$B:$Q,12,0))</f>
        <v/>
      </c>
      <c r="V79" s="42" t="str">
        <f>IF(B79="","",VLOOKUP(AD79,Varsayımlar!$B:$Q,13,0))</f>
        <v/>
      </c>
      <c r="W79" s="67" t="str">
        <f>IF(B79="","",VLOOKUP(AD79,Varsayımlar!$B:$Q,14,0))</f>
        <v/>
      </c>
      <c r="X79" s="69"/>
      <c r="Y79" s="69"/>
      <c r="Z79" s="67"/>
      <c r="AA79" s="67" t="str">
        <f>IF(B79="","",VLOOKUP(AD79,Varsayımlar!$B:$Q,15,0))</f>
        <v/>
      </c>
      <c r="AB79" s="67" t="str">
        <f>IF(B79="","",VLOOKUP(AD79,Varsayımlar!$B:$Q,16,0))</f>
        <v/>
      </c>
      <c r="AC79" s="67"/>
      <c r="AD79" s="57" t="str">
        <f t="shared" si="3"/>
        <v/>
      </c>
    </row>
    <row r="80" spans="1:30" x14ac:dyDescent="0.25">
      <c r="A80" s="8" t="s">
        <v>136</v>
      </c>
      <c r="B80" s="67"/>
      <c r="C80" s="42" t="str">
        <f>IF(B80="","",VLOOKUP(AD80,Varsayımlar!$B:$Q,3,0))</f>
        <v/>
      </c>
      <c r="D80" s="42"/>
      <c r="E80" s="42"/>
      <c r="F80" s="42"/>
      <c r="G80" s="42"/>
      <c r="H80" s="42" t="str">
        <f>IF(B80="","",VLOOKUP(AD80,Varsayımlar!$B:$Q,5,0))</f>
        <v/>
      </c>
      <c r="I80" s="42"/>
      <c r="J80" s="42" t="str">
        <f>IF(B80="","",VLOOKUP(AD80,Varsayımlar!$B:$Q,6,0))</f>
        <v/>
      </c>
      <c r="K80" s="42"/>
      <c r="L80" s="42"/>
      <c r="M80" s="42" t="str">
        <f>IFERROR(IF(B80="","",K80/VLOOKUP(AD80,Varsayımlar!B:R,17,0)),"")</f>
        <v/>
      </c>
      <c r="N80" s="42"/>
      <c r="O80" s="42"/>
      <c r="P80" s="42" t="str">
        <f>IF(B80="","",VLOOKUP(AD80,Varsayımlar!$B:$Q,7,0)*K80)</f>
        <v/>
      </c>
      <c r="Q80" s="42" t="str">
        <f>IF(B80="","",VLOOKUP(AD80,Varsayımlar!$B:$Q,8,0))</f>
        <v/>
      </c>
      <c r="R80" s="42" t="str">
        <f>IF(B80="","",VLOOKUP(AD80,Varsayımlar!$B:$Q,9,0))</f>
        <v/>
      </c>
      <c r="S80" s="42" t="str">
        <f>IF(B80="","",VLOOKUP(AD80,Varsayımlar!$B:$Q,10,0))</f>
        <v/>
      </c>
      <c r="T80" s="42" t="str">
        <f>IF(B80="","",VLOOKUP(AD80,Varsayımlar!$B:$Q,11,0))</f>
        <v/>
      </c>
      <c r="U80" s="42" t="str">
        <f>IF(B80="","",VLOOKUP(AD80,Varsayımlar!$B:$Q,12,0))</f>
        <v/>
      </c>
      <c r="V80" s="42" t="str">
        <f>IF(B80="","",VLOOKUP(AD80,Varsayımlar!$B:$Q,13,0))</f>
        <v/>
      </c>
      <c r="W80" s="67" t="str">
        <f>IF(B80="","",VLOOKUP(AD80,Varsayımlar!$B:$Q,14,0))</f>
        <v/>
      </c>
      <c r="X80" s="69"/>
      <c r="Y80" s="69"/>
      <c r="Z80" s="67"/>
      <c r="AA80" s="67" t="str">
        <f>IF(B80="","",VLOOKUP(AD80,Varsayımlar!$B:$Q,15,0))</f>
        <v/>
      </c>
      <c r="AB80" s="67" t="str">
        <f>IF(B80="","",VLOOKUP(AD80,Varsayımlar!$B:$Q,16,0))</f>
        <v/>
      </c>
      <c r="AC80" s="67"/>
      <c r="AD80" s="57" t="str">
        <f t="shared" si="3"/>
        <v/>
      </c>
    </row>
    <row r="81" spans="1:30" x14ac:dyDescent="0.25">
      <c r="A81" s="8" t="s">
        <v>137</v>
      </c>
      <c r="B81" s="86"/>
      <c r="C81" s="87" t="str">
        <f>IF(B81="","",VLOOKUP(AD81,Varsayımlar!$B:$Q,3,0))</f>
        <v/>
      </c>
      <c r="D81" s="87"/>
      <c r="H81" s="57" t="str">
        <f>IF(B81="","",VLOOKUP(AD81,Varsayımlar!$B:$Q,5,0))</f>
        <v/>
      </c>
      <c r="I81" s="57"/>
      <c r="J81" s="57" t="str">
        <f>IF(B81="","",VLOOKUP(AD81,Varsayımlar!$B:$Q,6,0))</f>
        <v/>
      </c>
      <c r="P81" s="57" t="str">
        <f>IF(B81="","",VLOOKUP(AD81,Varsayımlar!$B:$Q,7,0)*K81)</f>
        <v/>
      </c>
      <c r="Q81" s="57" t="str">
        <f>IF(B81="","",VLOOKUP(AD81,Varsayımlar!$B:$Q,8,0))</f>
        <v/>
      </c>
      <c r="R81" s="57" t="str">
        <f>IF(B81="","",VLOOKUP(AD81,Varsayımlar!$B:$Q,9,0))</f>
        <v/>
      </c>
      <c r="S81" s="57" t="str">
        <f>IF(B81="","",VLOOKUP(AD81,Varsayımlar!$B:$Q,10,0))</f>
        <v/>
      </c>
      <c r="T81" s="57" t="str">
        <f>IF(B81="","",VLOOKUP(AD81,Varsayımlar!$B:$Q,11,0))</f>
        <v/>
      </c>
      <c r="U81" s="57" t="str">
        <f>IF(B81="","",VLOOKUP(AD81,Varsayımlar!$B:$Q,12,0))</f>
        <v/>
      </c>
      <c r="V81" s="57" t="str">
        <f>IF(B81="","",VLOOKUP(AD81,Varsayımlar!$B:$Q,13,0))</f>
        <v/>
      </c>
      <c r="W81" s="57" t="str">
        <f>IF(B81="","",VLOOKUP(AD81,Varsayımlar!$B:$Q,14,0))</f>
        <v/>
      </c>
      <c r="AA81" s="57" t="str">
        <f>IF(B81="","",VLOOKUP(AD81,Varsayımlar!$B:$Q,15,0))</f>
        <v/>
      </c>
      <c r="AB81" s="57" t="str">
        <f>IF(B81="","",VLOOKUP(AD81,Varsayımlar!$B:$Q,16,0))</f>
        <v/>
      </c>
      <c r="AC81" s="57" t="str">
        <f>IF(B81="","",VLOOKUP(Sayfa1!AD93,Varsayımlar!B:S,18,0))</f>
        <v/>
      </c>
      <c r="AD81" s="57" t="str">
        <f t="shared" si="3"/>
        <v/>
      </c>
    </row>
    <row r="82" spans="1:30" x14ac:dyDescent="0.25">
      <c r="C82" s="53" t="str">
        <f>IF(B82="","",VLOOKUP(AD82,Varsayımlar!$B:$Q,3,0))</f>
        <v/>
      </c>
      <c r="H82" s="7" t="str">
        <f>IF(B82="","",VLOOKUP(AD82,Varsayımlar!$B:$Q,5,0))</f>
        <v/>
      </c>
      <c r="J82" s="7" t="str">
        <f>IF(B82="","",VLOOKUP(AD82,Varsayımlar!$B:$Q,6,0))</f>
        <v/>
      </c>
      <c r="P82" s="7" t="str">
        <f>IF(B82="","",VLOOKUP(AD82,Varsayımlar!$B:$Q,7,0)*K82)</f>
        <v/>
      </c>
      <c r="Q82" s="7" t="str">
        <f>IF(B82="","",VLOOKUP(AD82,Varsayımlar!$B:$Q,8,0))</f>
        <v/>
      </c>
      <c r="R82" s="7" t="str">
        <f>IF(B82="","",VLOOKUP(AD82,Varsayımlar!$B:$Q,9,0))</f>
        <v/>
      </c>
      <c r="S82" s="7" t="str">
        <f>IF(B82="","",VLOOKUP(AD82,Varsayımlar!$B:$Q,10,0))</f>
        <v/>
      </c>
      <c r="T82" s="7" t="str">
        <f>IF(B82="","",VLOOKUP(AD82,Varsayımlar!$B:$Q,11,0))</f>
        <v/>
      </c>
      <c r="U82" s="7" t="str">
        <f>IF(B82="","",VLOOKUP(AD82,Varsayımlar!$B:$Q,12,0))</f>
        <v/>
      </c>
      <c r="V82" s="7" t="str">
        <f>IF(B82="","",VLOOKUP(AD82,Varsayımlar!$B:$Q,13,0))</f>
        <v/>
      </c>
      <c r="W82" s="7" t="str">
        <f>IF(B82="","",VLOOKUP(AD82,Varsayımlar!$B:$Q,14,0))</f>
        <v/>
      </c>
      <c r="AA82" s="7" t="str">
        <f>IF(B82="","",VLOOKUP(AD82,Varsayımlar!$B:$Q,15,0))</f>
        <v/>
      </c>
      <c r="AB82" s="7" t="str">
        <f>IF(B82="","",VLOOKUP(AD82,Varsayımlar!$B:$Q,16,0))</f>
        <v/>
      </c>
      <c r="AC82" s="7" t="str">
        <f>IF(B82="","",VLOOKUP(Sayfa1!AD94,Varsayımlar!B:S,18,0))</f>
        <v/>
      </c>
      <c r="AD82" s="7" t="str">
        <f t="shared" si="3"/>
        <v/>
      </c>
    </row>
  </sheetData>
  <mergeCells count="6">
    <mergeCell ref="A1:AC1"/>
    <mergeCell ref="A2:Z2"/>
    <mergeCell ref="AB2:AC2"/>
    <mergeCell ref="A41:AB41"/>
    <mergeCell ref="A63:AB63"/>
    <mergeCell ref="B8:AB8"/>
  </mergeCells>
  <pageMargins left="0.70866141732283472" right="0.70866141732283472" top="0.74803149606299213" bottom="0.74803149606299213" header="0.31496062992125984" footer="0.31496062992125984"/>
  <pageSetup paperSize="9" scale="35" fitToHeight="3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86"/>
  <sheetViews>
    <sheetView zoomScale="70" zoomScaleNormal="70" workbookViewId="0">
      <selection activeCell="A66" sqref="A66:XFD66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5703125" style="53" hidden="1" customWidth="1"/>
    <col min="4" max="4" width="10.85546875" style="53" hidden="1" customWidth="1"/>
    <col min="5" max="5" width="42" style="53" hidden="1" customWidth="1"/>
    <col min="6" max="6" width="17.7109375" style="7" hidden="1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1.42578125" style="7" customWidth="1"/>
    <col min="23" max="23" width="8.5703125" style="7" bestFit="1" customWidth="1"/>
    <col min="24" max="25" width="13.140625" style="7" bestFit="1" customWidth="1"/>
    <col min="26" max="26" width="13" style="7" bestFit="1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17.28515625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46189</v>
      </c>
      <c r="AB2" s="185">
        <v>0.70833333333333337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x14ac:dyDescent="0.25">
      <c r="A4" s="8" t="s">
        <v>26</v>
      </c>
      <c r="B4" s="67" t="s">
        <v>64</v>
      </c>
      <c r="C4" s="42">
        <f>IF(B4="","",VLOOKUP(AD4,Varsayımlar!$B:$Q,3,0))</f>
        <v>8698829380698</v>
      </c>
      <c r="D4" s="42"/>
      <c r="E4" s="42" t="s">
        <v>296</v>
      </c>
      <c r="F4" s="67">
        <v>28</v>
      </c>
      <c r="G4" s="42" t="s">
        <v>68</v>
      </c>
      <c r="H4" s="67" t="str">
        <f>IF(B4="","",VLOOKUP(AD4,Varsayımlar!$B:$Q,5,0))</f>
        <v>Tortillas 20cm Çok Tahıllı</v>
      </c>
      <c r="I4" s="67">
        <f>IF(B4="","",VLOOKUP(AD4,Varsayımlar!B:T,19,0))</f>
        <v>0</v>
      </c>
      <c r="J4" s="67" t="str">
        <f>IF(B4="","",VLOOKUP(AD4,Varsayımlar!$B:$Q,6,0))</f>
        <v>Çok Tahıllı</v>
      </c>
      <c r="K4" s="67">
        <v>5625</v>
      </c>
      <c r="L4" s="67"/>
      <c r="M4" s="67">
        <f>IFERROR(IF(B4="","",K4/VLOOKUP(AD4,Varsayımlar!B:R,17,0)),"")</f>
        <v>25</v>
      </c>
      <c r="N4" s="67">
        <v>225</v>
      </c>
      <c r="O4" s="67">
        <v>45</v>
      </c>
      <c r="P4" s="67">
        <f>IF(B4="","",VLOOKUP(AD4,Varsayımlar!$B:$Q,7,0)*K4)</f>
        <v>78750</v>
      </c>
      <c r="Q4" s="67">
        <f>IF(B4="","",VLOOKUP(AD4,Varsayımlar!$B:$Q,8,0))</f>
        <v>20</v>
      </c>
      <c r="R4" s="67" t="str">
        <f>IF(B4="","",VLOOKUP(AD4,Varsayımlar!$B:$Q,9,0))</f>
        <v>Irak Soft</v>
      </c>
      <c r="S4" s="67">
        <f>IF(B4="","",VLOOKUP(AD4,Varsayımlar!$B:$Q,10,0))</f>
        <v>4</v>
      </c>
      <c r="T4" s="67">
        <f>IF(B4="","",VLOOKUP(AD4,Varsayımlar!$B:$Q,11,0))</f>
        <v>14</v>
      </c>
      <c r="U4" s="67">
        <f>IF(B4="","",VLOOKUP(AD4,Varsayımlar!$B:$Q,12,0))</f>
        <v>166</v>
      </c>
      <c r="V4" s="67" t="str">
        <f>IF(B4="","",VLOOKUP(AD4,Varsayımlar!$B:$Q,13,0))</f>
        <v>Yurtdışı</v>
      </c>
      <c r="W4" s="67">
        <f>IF(B4="","",VLOOKUP(AD4,Varsayımlar!$B:$Q,14,0))</f>
        <v>9</v>
      </c>
      <c r="X4" s="69">
        <v>46188</v>
      </c>
      <c r="Y4" s="69">
        <v>46461</v>
      </c>
      <c r="Z4" s="67" t="s">
        <v>419</v>
      </c>
      <c r="AA4" s="67" t="str">
        <f>IF(B4="","",VLOOKUP(AD4,Varsayımlar!$B:$Q,15,0))</f>
        <v>SİYAH KARE KOLİ-Üretim Tarihi Etiketli</v>
      </c>
      <c r="AB4" s="67" t="str">
        <f>IF(B4="","",VLOOKUP(AD4,Varsayımlar!$B:$Q,16,0))</f>
        <v>19-21 cm</v>
      </c>
      <c r="AC4" s="58">
        <f>IF(B4="","",VLOOKUP(Sayfa1!AD8,Varsayımlar!B:S,18,0))</f>
        <v>0</v>
      </c>
      <c r="AD4" s="57" t="str">
        <f>IF(B4="","",CONCATENATE(B4,E4))</f>
        <v>SMART LLCTortillas 20cm Çok Tahıllı 4pcs 166g</v>
      </c>
    </row>
    <row r="5" spans="1:30" ht="31.5" x14ac:dyDescent="0.25">
      <c r="A5" s="8" t="s">
        <v>77</v>
      </c>
      <c r="B5" s="67" t="s">
        <v>64</v>
      </c>
      <c r="C5" s="42">
        <f>IF(B5="","",VLOOKUP(AD5,Varsayımlar!$B:$Q,3,0))</f>
        <v>8698829380698</v>
      </c>
      <c r="D5" s="42"/>
      <c r="E5" s="67" t="s">
        <v>296</v>
      </c>
      <c r="F5" s="67">
        <v>30</v>
      </c>
      <c r="G5" s="42" t="s">
        <v>68</v>
      </c>
      <c r="H5" s="67" t="str">
        <f>IF(B5="","",VLOOKUP(AD5,Varsayımlar!$B:$Q,5,0))</f>
        <v>Tortillas 20cm Çok Tahıllı</v>
      </c>
      <c r="I5" s="67">
        <f>IF(B5="","",VLOOKUP(AD5,Varsayımlar!B:T,19,0))</f>
        <v>0</v>
      </c>
      <c r="J5" s="67" t="str">
        <f>IF(B5="","",VLOOKUP(AD5,Varsayımlar!$B:$Q,6,0))</f>
        <v>Çok Tahıllı</v>
      </c>
      <c r="K5" s="67">
        <v>225</v>
      </c>
      <c r="L5" s="67"/>
      <c r="M5" s="67">
        <f>IFERROR(IF(B5="","",K5/VLOOKUP(AD5,Varsayımlar!B:R,17,0)),"")</f>
        <v>1</v>
      </c>
      <c r="N5" s="67"/>
      <c r="O5" s="67">
        <v>2</v>
      </c>
      <c r="P5" s="67">
        <f>IF(B5="","",VLOOKUP(AD5,Varsayımlar!$B:$Q,7,0)*K5)</f>
        <v>3150</v>
      </c>
      <c r="Q5" s="67">
        <f>IF(B5="","",VLOOKUP(AD5,Varsayımlar!$B:$Q,8,0))</f>
        <v>20</v>
      </c>
      <c r="R5" s="67" t="str">
        <f>IF(B5="","",VLOOKUP(AD5,Varsayımlar!$B:$Q,9,0))</f>
        <v>Irak Soft</v>
      </c>
      <c r="S5" s="67">
        <f>IF(B5="","",VLOOKUP(AD5,Varsayımlar!$B:$Q,10,0))</f>
        <v>4</v>
      </c>
      <c r="T5" s="67">
        <f>IF(B5="","",VLOOKUP(AD5,Varsayımlar!$B:$Q,11,0))</f>
        <v>14</v>
      </c>
      <c r="U5" s="67">
        <f>IF(B5="","",VLOOKUP(AD5,Varsayımlar!$B:$Q,12,0))</f>
        <v>166</v>
      </c>
      <c r="V5" s="67" t="str">
        <f>IF(B5="","",VLOOKUP(AD5,Varsayımlar!$B:$Q,13,0))</f>
        <v>Yurtdışı</v>
      </c>
      <c r="W5" s="67">
        <f>IF(B5="","",VLOOKUP(AD5,Varsayımlar!$B:$Q,14,0))</f>
        <v>9</v>
      </c>
      <c r="X5" s="69">
        <v>46195</v>
      </c>
      <c r="Y5" s="69">
        <v>46468</v>
      </c>
      <c r="Z5" s="67" t="s">
        <v>338</v>
      </c>
      <c r="AA5" s="67" t="str">
        <f>IF(B5="","",VLOOKUP(AD5,Varsayımlar!$B:$Q,15,0))</f>
        <v>SİYAH KARE KOLİ-Üretim Tarihi Etiketli</v>
      </c>
      <c r="AB5" s="67" t="str">
        <f>IF(B5="","",VLOOKUP(AD5,Varsayımlar!$B:$Q,16,0))</f>
        <v>19-21 cm</v>
      </c>
      <c r="AC5" s="67">
        <f>IF(B5="","",VLOOKUP(Sayfa1!AD14,Varsayımlar!B:S,18,0))</f>
        <v>0</v>
      </c>
      <c r="AD5" s="57" t="str">
        <f>IF(B5="","",CONCATENATE(B5,E5))</f>
        <v>SMART LLCTortillas 20cm Çok Tahıllı 4pcs 166g</v>
      </c>
    </row>
    <row r="6" spans="1:30" ht="45.75" customHeight="1" x14ac:dyDescent="0.25">
      <c r="A6" s="8" t="s">
        <v>78</v>
      </c>
      <c r="B6" s="130" t="s">
        <v>119</v>
      </c>
      <c r="C6" s="131">
        <f>IF(B6="","",VLOOKUP(AD6,Varsayımlar!$B:$Q,3,0))</f>
        <v>8698829380698</v>
      </c>
      <c r="D6" s="131"/>
      <c r="E6" s="132" t="s">
        <v>120</v>
      </c>
      <c r="F6" s="130"/>
      <c r="G6" s="130"/>
      <c r="H6" s="130" t="str">
        <f>IF(B6="","",VLOOKUP(AD6,Varsayımlar!$B:$Q,5,0))</f>
        <v>Nimet 25 cm</v>
      </c>
      <c r="I6" s="130"/>
      <c r="J6" s="130" t="str">
        <f>IF(B6="","",VLOOKUP(AD6,Varsayımlar!$B:$Q,6,0))</f>
        <v>SADE</v>
      </c>
      <c r="K6" s="130">
        <v>1500</v>
      </c>
      <c r="L6" s="130"/>
      <c r="M6" s="130">
        <f>IFERROR(IF(B6="","",K6/VLOOKUP(AD6,Varsayımlar!B:R,17,0)),"")</f>
        <v>30</v>
      </c>
      <c r="N6" s="130"/>
      <c r="O6" s="130">
        <v>30</v>
      </c>
      <c r="P6" s="130">
        <f>IF(B6="","",VLOOKUP(AD6,Varsayımlar!$B:$Q,7,0)*K6)</f>
        <v>18000</v>
      </c>
      <c r="Q6" s="130">
        <f>IF(B6="","",VLOOKUP(AD6,Varsayımlar!$B:$Q,8,0))</f>
        <v>25</v>
      </c>
      <c r="R6" s="130" t="str">
        <f>IF(B6="","",VLOOKUP(AD6,Varsayımlar!$B:$Q,9,0))</f>
        <v>Standart</v>
      </c>
      <c r="S6" s="130">
        <f>IF(B6="","",VLOOKUP(AD6,Varsayımlar!$B:$Q,10,0))</f>
        <v>12</v>
      </c>
      <c r="T6" s="130">
        <f>IF(B6="","",VLOOKUP(AD6,Varsayımlar!$B:$Q,11,0))</f>
        <v>12</v>
      </c>
      <c r="U6" s="130">
        <f>IF(B6="","",VLOOKUP(AD6,Varsayımlar!$B:$Q,12,0))</f>
        <v>840</v>
      </c>
      <c r="V6" s="130" t="str">
        <f>IF(B6="","",VLOOKUP(AD6,Varsayımlar!$B:$Q,13,0))</f>
        <v>YURTİÇİ</v>
      </c>
      <c r="W6" s="130">
        <f>IF(B6="","",VLOOKUP(AD6,Varsayımlar!$B:$Q,14,0))</f>
        <v>5</v>
      </c>
      <c r="X6" s="133" t="s">
        <v>113</v>
      </c>
      <c r="Y6" s="133" t="s">
        <v>113</v>
      </c>
      <c r="Z6" s="130" t="s">
        <v>113</v>
      </c>
      <c r="AA6" s="130" t="str">
        <f>IF(B6="","",VLOOKUP(AD6,Varsayımlar!$B:$Q,15,0))</f>
        <v>Nimet Kolisi</v>
      </c>
      <c r="AB6" s="130" t="str">
        <f>IF(B6="","",VLOOKUP(AD6,Varsayımlar!$B:$Q,16,0))</f>
        <v>24-26 CM</v>
      </c>
      <c r="AC6" s="64" t="s">
        <v>360</v>
      </c>
      <c r="AD6" s="57" t="str">
        <f>IF(B6="","",CONCATENATE(B6,E6))</f>
        <v>A101Nimet 25cm 12 pcs 840g</v>
      </c>
    </row>
    <row r="7" spans="1:30" ht="23.25" customHeight="1" x14ac:dyDescent="0.25">
      <c r="A7" s="8"/>
      <c r="B7" s="187" t="s">
        <v>447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9"/>
      <c r="AC7" s="58"/>
      <c r="AD7" s="57"/>
    </row>
    <row r="8" spans="1:30" ht="63" x14ac:dyDescent="0.25">
      <c r="A8" s="8" t="s">
        <v>79</v>
      </c>
      <c r="B8" s="117" t="s">
        <v>53</v>
      </c>
      <c r="C8" s="118">
        <f>IF(B8="","",VLOOKUP(AD8,Varsayımlar!$B:$Q,3,0))</f>
        <v>8698829380698</v>
      </c>
      <c r="D8" s="117" t="s">
        <v>403</v>
      </c>
      <c r="E8" s="117" t="s">
        <v>54</v>
      </c>
      <c r="F8" s="117"/>
      <c r="G8" s="117" t="s">
        <v>404</v>
      </c>
      <c r="H8" s="117" t="str">
        <f>IF(B8="","",VLOOKUP(AD8,Varsayımlar!$B:$Q,5,0))</f>
        <v>MAGNİT MAVİ AMBALAJ 25CM</v>
      </c>
      <c r="I8" s="117">
        <f>IF(B8="","",VLOOKUP(AD8,Varsayımlar!B:T,19,0))</f>
        <v>0</v>
      </c>
      <c r="J8" s="117" t="str">
        <f>IF(B8="","",VLOOKUP(AD8,Varsayımlar!$B:$Q,6,0))</f>
        <v>SADE</v>
      </c>
      <c r="K8" s="117">
        <v>2016</v>
      </c>
      <c r="L8" s="117"/>
      <c r="M8" s="117" t="str">
        <f>IFERROR(IF(B8="","",K8/VLOOKUP(AD8,#REF!,17,0)),"")</f>
        <v/>
      </c>
      <c r="N8" s="117"/>
      <c r="O8" s="117">
        <v>34</v>
      </c>
      <c r="P8" s="117">
        <f>IF(B8="","",VLOOKUP(AD8,Varsayımlar!$B:$Q,7,0)*K8)</f>
        <v>60480</v>
      </c>
      <c r="Q8" s="117">
        <f>IF(B8="","",VLOOKUP(AD8,Varsayımlar!$B:$Q,8,0))</f>
        <v>25</v>
      </c>
      <c r="R8" s="117" t="str">
        <f>IF(B8="","",VLOOKUP(AD8,Varsayımlar!$B:$Q,9,0))</f>
        <v>SOFT</v>
      </c>
      <c r="S8" s="117">
        <f>IF(B8="","",VLOOKUP(AD8,Varsayımlar!$B:$Q,10,0))</f>
        <v>4</v>
      </c>
      <c r="T8" s="117">
        <f>IF(B8="","",VLOOKUP(AD8,Varsayımlar!$B:$Q,11,0))</f>
        <v>30</v>
      </c>
      <c r="U8" s="117">
        <f>IF(B8="","",VLOOKUP(AD8,Varsayımlar!$B:$Q,12,0))</f>
        <v>260</v>
      </c>
      <c r="V8" s="117" t="str">
        <f>IF(B8="","",VLOOKUP(AD8,Varsayımlar!$B:$Q,13,0))</f>
        <v>YURTDIŞI</v>
      </c>
      <c r="W8" s="117">
        <f>IF(B8="","",VLOOKUP(AD8,Varsayımlar!$B:$Q,14,0))</f>
        <v>9</v>
      </c>
      <c r="X8" s="122">
        <v>46193</v>
      </c>
      <c r="Y8" s="122">
        <v>46466</v>
      </c>
      <c r="Z8" s="117" t="s">
        <v>405</v>
      </c>
      <c r="AA8" s="117" t="str">
        <f>IF(B8="","",VLOOKUP(AD8,Varsayımlar!$B:$Q,15,0))</f>
        <v>25CM TURUNCU KOLİ-SOL ÜST DİKDÖRTGENE ÜRETİM TARİHİ BASILACAK</v>
      </c>
      <c r="AB8" s="117" t="str">
        <f>IF(B8="","",VLOOKUP(AD8,Varsayımlar!$B:$Q,16,0))</f>
        <v>24-26 CM</v>
      </c>
      <c r="AC8" s="73" t="e">
        <f>IF(B8="","",VLOOKUP(#REF!,#REF!,18,0))</f>
        <v>#REF!</v>
      </c>
      <c r="AD8" s="73" t="str">
        <f>IF(B8="","",CONCATENATE(B8,E8))</f>
        <v>MAGNİTMAGNİT MAVİ AMBALAJ 25 CM 260G</v>
      </c>
    </row>
    <row r="9" spans="1:30" ht="31.5" x14ac:dyDescent="0.25">
      <c r="A9" s="8" t="s">
        <v>80</v>
      </c>
      <c r="B9" s="64" t="s">
        <v>64</v>
      </c>
      <c r="C9" s="3">
        <f>IF(B9="","",VLOOKUP(AD9,Varsayımlar!$B:$Q,3,0))</f>
        <v>8698829380698</v>
      </c>
      <c r="D9" s="3"/>
      <c r="E9" s="64" t="s">
        <v>296</v>
      </c>
      <c r="F9" s="64">
        <v>31</v>
      </c>
      <c r="G9" s="3" t="s">
        <v>68</v>
      </c>
      <c r="H9" s="64" t="str">
        <f>IF(B9="","",VLOOKUP(AD9,Varsayımlar!$B:$Q,5,0))</f>
        <v>Tortillas 20cm Çok Tahıllı</v>
      </c>
      <c r="I9" s="64">
        <f>IF(B9="","",VLOOKUP(AD9,Varsayımlar!B:T,19,0))</f>
        <v>0</v>
      </c>
      <c r="J9" s="64" t="str">
        <f>IF(B9="","",VLOOKUP(AD9,Varsayımlar!$B:$Q,6,0))</f>
        <v>Çok Tahıllı</v>
      </c>
      <c r="K9" s="64">
        <v>1800</v>
      </c>
      <c r="L9" s="64"/>
      <c r="M9" s="64">
        <f>IFERROR(IF(B9="","",K9/VLOOKUP(AD9,Varsayımlar!B:R,17,0)),"")</f>
        <v>8</v>
      </c>
      <c r="N9" s="64"/>
      <c r="O9" s="64">
        <v>15</v>
      </c>
      <c r="P9" s="64">
        <f>IF(B9="","",VLOOKUP(AD9,Varsayımlar!$B:$Q,7,0)*K9)</f>
        <v>25200</v>
      </c>
      <c r="Q9" s="64">
        <f>IF(B9="","",VLOOKUP(AD9,Varsayımlar!$B:$Q,8,0))</f>
        <v>20</v>
      </c>
      <c r="R9" s="64" t="str">
        <f>IF(B9="","",VLOOKUP(AD9,Varsayımlar!$B:$Q,9,0))</f>
        <v>Irak Soft</v>
      </c>
      <c r="S9" s="64">
        <f>IF(B9="","",VLOOKUP(AD9,Varsayımlar!$B:$Q,10,0))</f>
        <v>4</v>
      </c>
      <c r="T9" s="64">
        <f>IF(B9="","",VLOOKUP(AD9,Varsayımlar!$B:$Q,11,0))</f>
        <v>14</v>
      </c>
      <c r="U9" s="64">
        <f>IF(B9="","",VLOOKUP(AD9,Varsayımlar!$B:$Q,12,0))</f>
        <v>166</v>
      </c>
      <c r="V9" s="64" t="str">
        <f>IF(B9="","",VLOOKUP(AD9,Varsayımlar!$B:$Q,13,0))</f>
        <v>Yurtdışı</v>
      </c>
      <c r="W9" s="64">
        <f>IF(B9="","",VLOOKUP(AD9,Varsayımlar!$B:$Q,14,0))</f>
        <v>9</v>
      </c>
      <c r="X9" s="66">
        <v>46196</v>
      </c>
      <c r="Y9" s="66">
        <v>46469</v>
      </c>
      <c r="Z9" s="64" t="s">
        <v>339</v>
      </c>
      <c r="AA9" s="64" t="str">
        <f>IF(B9="","",VLOOKUP(AD9,Varsayımlar!$B:$Q,15,0))</f>
        <v>SİYAH KARE KOLİ-Üretim Tarihi Etiketli</v>
      </c>
      <c r="AB9" s="64" t="str">
        <f>IF(B9="","",VLOOKUP(AD9,Varsayımlar!$B:$Q,16,0))</f>
        <v>19-21 cm</v>
      </c>
      <c r="AC9" s="64">
        <f>IF(B9="","",VLOOKUP(Sayfa1!AD15,Varsayımlar!B:S,18,0))</f>
        <v>0</v>
      </c>
      <c r="AD9" s="57" t="str">
        <f t="shared" ref="AD9:AD39" si="0">IF(B9="","",CONCATENATE(B9,E9))</f>
        <v>SMART LLCTortillas 20cm Çok Tahıllı 4pcs 166g</v>
      </c>
    </row>
    <row r="10" spans="1:30" ht="31.5" x14ac:dyDescent="0.25">
      <c r="A10" s="8" t="s">
        <v>81</v>
      </c>
      <c r="B10" s="64" t="s">
        <v>64</v>
      </c>
      <c r="C10" s="3">
        <f>IF(B10="","",VLOOKUP(AD10,Varsayımlar!$B:$Q,3,0))</f>
        <v>8698829380698</v>
      </c>
      <c r="D10" s="3"/>
      <c r="E10" s="64" t="s">
        <v>176</v>
      </c>
      <c r="F10" s="64">
        <v>31</v>
      </c>
      <c r="G10" s="3" t="s">
        <v>68</v>
      </c>
      <c r="H10" s="64" t="str">
        <f>IF(B10="","",VLOOKUP(AD10,Varsayımlar!$B:$Q,5,0))</f>
        <v>Tortillas 20cm (Samakat Bilgileri Ekli)</v>
      </c>
      <c r="I10" s="64">
        <f>IF(B10="","",VLOOKUP(AD10,Varsayımlar!B:T,19,0))</f>
        <v>0</v>
      </c>
      <c r="J10" s="64" t="str">
        <f>IF(B10="","",VLOOKUP(AD10,Varsayımlar!$B:$Q,6,0))</f>
        <v>PEYNİRLİ</v>
      </c>
      <c r="K10" s="64">
        <v>2925</v>
      </c>
      <c r="L10" s="64"/>
      <c r="M10" s="64">
        <f>IFERROR(IF(B10="","",K10/VLOOKUP(AD10,Varsayımlar!B:R,17,0)),"")</f>
        <v>13</v>
      </c>
      <c r="N10" s="64"/>
      <c r="O10" s="64">
        <v>24</v>
      </c>
      <c r="P10" s="64">
        <f>IF(B10="","",VLOOKUP(AD10,Varsayımlar!$B:$Q,7,0)*K10)</f>
        <v>40950</v>
      </c>
      <c r="Q10" s="64">
        <f>IF(B10="","",VLOOKUP(AD10,Varsayımlar!$B:$Q,8,0))</f>
        <v>20</v>
      </c>
      <c r="R10" s="64" t="str">
        <f>IF(B10="","",VLOOKUP(AD10,Varsayımlar!$B:$Q,9,0))</f>
        <v>IRAK SOFT-AT</v>
      </c>
      <c r="S10" s="64">
        <f>IF(B10="","",VLOOKUP(AD10,Varsayımlar!$B:$Q,10,0))</f>
        <v>4</v>
      </c>
      <c r="T10" s="64">
        <f>IF(B10="","",VLOOKUP(AD10,Varsayımlar!$B:$Q,11,0))</f>
        <v>14</v>
      </c>
      <c r="U10" s="64">
        <f>IF(B10="","",VLOOKUP(AD10,Varsayımlar!$B:$Q,12,0))</f>
        <v>166</v>
      </c>
      <c r="V10" s="64" t="str">
        <f>IF(B10="","",VLOOKUP(AD10,Varsayımlar!$B:$Q,13,0))</f>
        <v>YURTDIŞI</v>
      </c>
      <c r="W10" s="64">
        <f>IF(B10="","",VLOOKUP(AD10,Varsayımlar!$B:$Q,14,0))</f>
        <v>9</v>
      </c>
      <c r="X10" s="66">
        <v>46196</v>
      </c>
      <c r="Y10" s="66">
        <v>46469</v>
      </c>
      <c r="Z10" s="64" t="s">
        <v>340</v>
      </c>
      <c r="AA10" s="64" t="str">
        <f>IF(B10="","",VLOOKUP(AD10,Varsayımlar!$B:$Q,15,0))</f>
        <v>Kare Koli-Üretim Tarihli Etiket</v>
      </c>
      <c r="AB10" s="64" t="str">
        <f>IF(B10="","",VLOOKUP(AD10,Varsayımlar!$B:$Q,16,0))</f>
        <v>19-21 cm</v>
      </c>
      <c r="AC10" s="64">
        <f>IF(B10="","",VLOOKUP(Sayfa1!AD17,Varsayımlar!B:S,18,0))</f>
        <v>0</v>
      </c>
      <c r="AD10" s="57" t="str">
        <f t="shared" si="0"/>
        <v>SMART LLCTortillas 20cm Peynirli 4pcs 166g</v>
      </c>
    </row>
    <row r="11" spans="1:30" ht="47.25" x14ac:dyDescent="0.25">
      <c r="A11" s="8" t="s">
        <v>82</v>
      </c>
      <c r="B11" s="67" t="s">
        <v>268</v>
      </c>
      <c r="C11" s="42">
        <f>IF(B11="","",VLOOKUP(AD11,Varsayımlar!$B:$Q,3,0))</f>
        <v>8698829380698</v>
      </c>
      <c r="D11" s="42" t="s">
        <v>159</v>
      </c>
      <c r="E11" s="67" t="s">
        <v>269</v>
      </c>
      <c r="F11" s="67">
        <v>20250825</v>
      </c>
      <c r="G11" s="42" t="s">
        <v>68</v>
      </c>
      <c r="H11" s="67" t="str">
        <f>IF(B11="","",VLOOKUP(AD11,Varsayımlar!$B:$Q,5,0))</f>
        <v>Tortillas 25cm Tam Buğday</v>
      </c>
      <c r="I11" s="67">
        <f>IF(B11="","",VLOOKUP(AD11,Varsayımlar!B:T,19,0))</f>
        <v>0</v>
      </c>
      <c r="J11" s="67" t="str">
        <f>IF(B11="","",VLOOKUP(AD11,Varsayımlar!$B:$Q,6,0))</f>
        <v>Tam Buğdaylı</v>
      </c>
      <c r="K11" s="67">
        <v>252</v>
      </c>
      <c r="L11" s="67"/>
      <c r="M11" s="67">
        <f>IFERROR(IF(B11="","",K11/VLOOKUP(AD11,Varsayımlar!B:R,17,0)),"")</f>
        <v>3</v>
      </c>
      <c r="N11" s="67"/>
      <c r="O11" s="67">
        <v>5</v>
      </c>
      <c r="P11" s="67">
        <f>IF(B11="","",VLOOKUP(AD11,Varsayımlar!$B:$Q,7,0)*K11)</f>
        <v>7560</v>
      </c>
      <c r="Q11" s="67">
        <f>IF(B11="","",VLOOKUP(AD11,Varsayımlar!$B:$Q,8,0))</f>
        <v>25</v>
      </c>
      <c r="R11" s="67" t="str">
        <f>IF(B11="","",VLOOKUP(AD11,Varsayımlar!$B:$Q,9,0))</f>
        <v>Soft-PA3</v>
      </c>
      <c r="S11" s="67">
        <f>IF(B11="","",VLOOKUP(AD11,Varsayımlar!$B:$Q,10,0))</f>
        <v>4</v>
      </c>
      <c r="T11" s="67">
        <f>IF(B11="","",VLOOKUP(AD11,Varsayımlar!$B:$Q,11,0))</f>
        <v>30</v>
      </c>
      <c r="U11" s="67">
        <f>IF(B11="","",VLOOKUP(AD11,Varsayımlar!$B:$Q,12,0))</f>
        <v>240</v>
      </c>
      <c r="V11" s="67" t="str">
        <f>IF(B11="","",VLOOKUP(AD11,Varsayımlar!$B:$Q,13,0))</f>
        <v>Yurtdışı</v>
      </c>
      <c r="W11" s="67">
        <f>IF(B11="","",VLOOKUP(AD11,Varsayımlar!$B:$Q,14,0))</f>
        <v>12</v>
      </c>
      <c r="X11" s="69">
        <v>46199</v>
      </c>
      <c r="Y11" s="69">
        <v>46564</v>
      </c>
      <c r="Z11" s="67" t="s">
        <v>374</v>
      </c>
      <c r="AA11" s="67" t="str">
        <f>IF(B11="","",VLOOKUP(AD11,Varsayımlar!$B:$Q,15,0))</f>
        <v>25cm Kolisi-Etiketli</v>
      </c>
      <c r="AB11" s="67" t="str">
        <f>IF(B11="","",VLOOKUP(AD11,Varsayımlar!$B:$Q,16,0))</f>
        <v>24-26 cm (Macca Hetto Inkjet Uzun Tarih)</v>
      </c>
      <c r="AC11" s="67" t="str">
        <f>IF(B11="","",VLOOKUP(Sayfa1!AD23,Varsayımlar!B:S,18,0))</f>
        <v>80x120cm</v>
      </c>
      <c r="AD11" s="57" t="str">
        <f t="shared" si="0"/>
        <v>LAIKYUZHN-BELARUSTortillas 25cm Tam buğday 4pcs 240g</v>
      </c>
    </row>
    <row r="12" spans="1:30" ht="47.25" x14ac:dyDescent="0.25">
      <c r="A12" s="8" t="s">
        <v>83</v>
      </c>
      <c r="B12" s="67" t="s">
        <v>268</v>
      </c>
      <c r="C12" s="42">
        <f>IF(B12="","",VLOOKUP(AD12,Varsayımlar!$B:$Q,3,0))</f>
        <v>8698829380698</v>
      </c>
      <c r="D12" s="42" t="s">
        <v>159</v>
      </c>
      <c r="E12" s="67" t="s">
        <v>274</v>
      </c>
      <c r="F12" s="67">
        <v>20250825</v>
      </c>
      <c r="G12" s="42" t="s">
        <v>68</v>
      </c>
      <c r="H12" s="67" t="str">
        <f>IF(B12="","",VLOOKUP(AD12,Varsayımlar!$B:$Q,5,0))</f>
        <v>Tortillas 25cm Domatesli</v>
      </c>
      <c r="I12" s="67">
        <f>IF(B12="","",VLOOKUP(AD12,Varsayımlar!B:T,19,0))</f>
        <v>0</v>
      </c>
      <c r="J12" s="67" t="str">
        <f>IF(B12="","",VLOOKUP(AD12,Varsayımlar!$B:$Q,6,0))</f>
        <v>Domatesli</v>
      </c>
      <c r="K12" s="67">
        <v>252</v>
      </c>
      <c r="L12" s="67"/>
      <c r="M12" s="67">
        <f>IFERROR(IF(B12="","",K12/VLOOKUP(AD12,Varsayımlar!B:R,17,0)),"")</f>
        <v>3</v>
      </c>
      <c r="N12" s="67"/>
      <c r="O12" s="67">
        <v>5</v>
      </c>
      <c r="P12" s="67">
        <f>IF(B12="","",VLOOKUP(AD12,Varsayımlar!$B:$Q,7,0)*K12)</f>
        <v>7560</v>
      </c>
      <c r="Q12" s="67">
        <f>IF(B12="","",VLOOKUP(AD12,Varsayımlar!$B:$Q,8,0))</f>
        <v>25</v>
      </c>
      <c r="R12" s="67" t="str">
        <f>IF(B12="","",VLOOKUP(AD12,Varsayımlar!$B:$Q,9,0))</f>
        <v>Soft-PA3</v>
      </c>
      <c r="S12" s="67">
        <f>IF(B12="","",VLOOKUP(AD12,Varsayımlar!$B:$Q,10,0))</f>
        <v>4</v>
      </c>
      <c r="T12" s="67">
        <f>IF(B12="","",VLOOKUP(AD12,Varsayımlar!$B:$Q,11,0))</f>
        <v>30</v>
      </c>
      <c r="U12" s="67">
        <f>IF(B12="","",VLOOKUP(AD12,Varsayımlar!$B:$Q,12,0))</f>
        <v>240</v>
      </c>
      <c r="V12" s="67" t="str">
        <f>IF(B12="","",VLOOKUP(AD12,Varsayımlar!$B:$Q,13,0))</f>
        <v>Yurtdışı</v>
      </c>
      <c r="W12" s="67">
        <f>IF(B12="","",VLOOKUP(AD12,Varsayımlar!$B:$Q,14,0))</f>
        <v>12</v>
      </c>
      <c r="X12" s="69">
        <v>46199</v>
      </c>
      <c r="Y12" s="69">
        <v>46564</v>
      </c>
      <c r="Z12" s="67" t="s">
        <v>375</v>
      </c>
      <c r="AA12" s="67" t="str">
        <f>IF(B12="","",VLOOKUP(AD12,Varsayımlar!$B:$Q,15,0))</f>
        <v>25cm Kolisi-Etiketli</v>
      </c>
      <c r="AB12" s="67" t="str">
        <f>IF(B12="","",VLOOKUP(AD12,Varsayımlar!$B:$Q,16,0))</f>
        <v>24-26 cm (Macca Hetto Inkjet Uzun Tarih)</v>
      </c>
      <c r="AC12" s="67" t="str">
        <f>IF(B12="","",VLOOKUP(Sayfa1!AD24,Varsayımlar!B:S,18,0))</f>
        <v>80x120cm</v>
      </c>
      <c r="AD12" s="57" t="str">
        <f t="shared" si="0"/>
        <v>LAIKYUZHN-BELARUSTortillas 25cm Domatesli 4pcs 240g</v>
      </c>
    </row>
    <row r="13" spans="1:30" ht="47.25" x14ac:dyDescent="0.25">
      <c r="A13" s="8" t="s">
        <v>84</v>
      </c>
      <c r="B13" s="67" t="s">
        <v>268</v>
      </c>
      <c r="C13" s="42">
        <f>IF(B13="","",VLOOKUP(AD13,Varsayımlar!$B:$Q,3,0))</f>
        <v>8698829380698</v>
      </c>
      <c r="D13" s="42" t="s">
        <v>159</v>
      </c>
      <c r="E13" s="67" t="s">
        <v>276</v>
      </c>
      <c r="F13" s="67">
        <v>20250825</v>
      </c>
      <c r="G13" s="42" t="s">
        <v>68</v>
      </c>
      <c r="H13" s="67" t="str">
        <f>IF(B13="","",VLOOKUP(AD13,Varsayımlar!$B:$Q,5,0))</f>
        <v>Tortillas 25cm Ispanaklı</v>
      </c>
      <c r="I13" s="67">
        <f>IF(B13="","",VLOOKUP(AD13,Varsayımlar!B:T,19,0))</f>
        <v>0</v>
      </c>
      <c r="J13" s="67" t="str">
        <f>IF(B13="","",VLOOKUP(AD13,Varsayımlar!$B:$Q,6,0))</f>
        <v>Ispanaklı</v>
      </c>
      <c r="K13" s="67">
        <v>420</v>
      </c>
      <c r="L13" s="67"/>
      <c r="M13" s="67">
        <f>IFERROR(IF(B13="","",K13/VLOOKUP(AD13,Varsayımlar!B:R,17,0)),"")</f>
        <v>5</v>
      </c>
      <c r="N13" s="67"/>
      <c r="O13" s="67">
        <v>7</v>
      </c>
      <c r="P13" s="67">
        <f>IF(B13="","",VLOOKUP(AD13,Varsayımlar!$B:$Q,7,0)*K13)</f>
        <v>12600</v>
      </c>
      <c r="Q13" s="67">
        <f>IF(B13="","",VLOOKUP(AD13,Varsayımlar!$B:$Q,8,0))</f>
        <v>25</v>
      </c>
      <c r="R13" s="67" t="str">
        <f>IF(B13="","",VLOOKUP(AD13,Varsayımlar!$B:$Q,9,0))</f>
        <v>Soft-PA3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240</v>
      </c>
      <c r="V13" s="67" t="str">
        <f>IF(B13="","",VLOOKUP(AD13,Varsayımlar!$B:$Q,13,0))</f>
        <v>Yurtdışı</v>
      </c>
      <c r="W13" s="67">
        <f>IF(B13="","",VLOOKUP(AD13,Varsayımlar!$B:$Q,14,0))</f>
        <v>12</v>
      </c>
      <c r="X13" s="69">
        <v>46199</v>
      </c>
      <c r="Y13" s="69">
        <v>46564</v>
      </c>
      <c r="Z13" s="67" t="s">
        <v>376</v>
      </c>
      <c r="AA13" s="67" t="str">
        <f>IF(B13="","",VLOOKUP(AD13,Varsayımlar!$B:$Q,15,0))</f>
        <v>25cm Kolisi-Etiketli</v>
      </c>
      <c r="AB13" s="67" t="str">
        <f>IF(B13="","",VLOOKUP(AD13,Varsayımlar!$B:$Q,16,0))</f>
        <v>24-26 cm (Macca Hetto Inkjet Uzun Tarih)</v>
      </c>
      <c r="AC13" s="67" t="str">
        <f>IF(B13="","",VLOOKUP(Sayfa1!AD25,Varsayımlar!B:S,18,0))</f>
        <v>80x120cm</v>
      </c>
      <c r="AD13" s="57" t="str">
        <f t="shared" si="0"/>
        <v>LAIKYUZHN-BELARUSTortillas 25cm Ispanaklı 4pcs 240g</v>
      </c>
    </row>
    <row r="14" spans="1:30" ht="47.25" x14ac:dyDescent="0.25">
      <c r="A14" s="8" t="s">
        <v>85</v>
      </c>
      <c r="B14" s="67" t="s">
        <v>268</v>
      </c>
      <c r="C14" s="42">
        <f>IF(B14="","",VLOOKUP(AD14,Varsayımlar!$B:$Q,3,0))</f>
        <v>8698829380698</v>
      </c>
      <c r="D14" s="42" t="s">
        <v>159</v>
      </c>
      <c r="E14" s="67" t="s">
        <v>278</v>
      </c>
      <c r="F14" s="67">
        <v>20250825</v>
      </c>
      <c r="G14" s="42" t="s">
        <v>68</v>
      </c>
      <c r="H14" s="67" t="str">
        <f>IF(B14="","",VLOOKUP(AD14,Varsayımlar!$B:$Q,5,0))</f>
        <v>Magnit Tortillas 25cm Peynirli</v>
      </c>
      <c r="I14" s="67" t="str">
        <f>IF(B14="","",VLOOKUP(AD14,Varsayımlar!B:T,19,0))</f>
        <v>Etiketli</v>
      </c>
      <c r="J14" s="67" t="str">
        <f>IF(B14="","",VLOOKUP(AD14,Varsayımlar!$B:$Q,6,0))</f>
        <v>Peynirli</v>
      </c>
      <c r="K14" s="67">
        <v>420</v>
      </c>
      <c r="L14" s="67"/>
      <c r="M14" s="67">
        <f>IFERROR(IF(B14="","",K14/VLOOKUP(AD14,Varsayımlar!B:R,17,0)),"")</f>
        <v>5</v>
      </c>
      <c r="N14" s="67"/>
      <c r="O14" s="67">
        <v>7</v>
      </c>
      <c r="P14" s="67">
        <f>IF(B14="","",VLOOKUP(AD14,Varsayımlar!$B:$Q,7,0)*K14)</f>
        <v>12600</v>
      </c>
      <c r="Q14" s="67">
        <f>IF(B14="","",VLOOKUP(AD14,Varsayımlar!$B:$Q,8,0))</f>
        <v>25</v>
      </c>
      <c r="R14" s="67" t="str">
        <f>IF(B14="","",VLOOKUP(AD14,Varsayımlar!$B:$Q,9,0))</f>
        <v>Soft-PA3-AT</v>
      </c>
      <c r="S14" s="67">
        <f>IF(B14="","",VLOOKUP(AD14,Varsayımlar!$B:$Q,10,0))</f>
        <v>4</v>
      </c>
      <c r="T14" s="67">
        <f>IF(B14="","",VLOOKUP(AD14,Varsayımlar!$B:$Q,11,0))</f>
        <v>30</v>
      </c>
      <c r="U14" s="67">
        <f>IF(B14="","",VLOOKUP(AD14,Varsayımlar!$B:$Q,12,0))</f>
        <v>250</v>
      </c>
      <c r="V14" s="67" t="str">
        <f>IF(B14="","",VLOOKUP(AD14,Varsayımlar!$B:$Q,13,0))</f>
        <v>Yurtdışı</v>
      </c>
      <c r="W14" s="67">
        <f>IF(B14="","",VLOOKUP(AD14,Varsayımlar!$B:$Q,14,0))</f>
        <v>9</v>
      </c>
      <c r="X14" s="69">
        <v>46199</v>
      </c>
      <c r="Y14" s="69">
        <v>46472</v>
      </c>
      <c r="Z14" s="67" t="s">
        <v>377</v>
      </c>
      <c r="AA14" s="67" t="str">
        <f>IF(B14="","",VLOOKUP(AD14,Varsayımlar!$B:$Q,15,0))</f>
        <v>25cm Kolisi-Etiketli</v>
      </c>
      <c r="AB14" s="67" t="str">
        <f>IF(B14="","",VLOOKUP(AD14,Varsayımlar!$B:$Q,16,0))</f>
        <v>24-26 cm (Macca Hetto Inkjet Uzun Tarih)</v>
      </c>
      <c r="AC14" s="67" t="str">
        <f>IF(B14="","",VLOOKUP(Sayfa1!AD26,Varsayımlar!B:S,18,0))</f>
        <v>80x120cm</v>
      </c>
      <c r="AD14" s="57" t="str">
        <f t="shared" si="0"/>
        <v>LAIKYUZHN-BELARUSMagnit Tortillas 25cm Peynirli 4pcs 240g</v>
      </c>
    </row>
    <row r="15" spans="1:30" ht="47.25" x14ac:dyDescent="0.25">
      <c r="A15" s="8" t="s">
        <v>86</v>
      </c>
      <c r="B15" s="62" t="s">
        <v>181</v>
      </c>
      <c r="C15" s="32">
        <f>IF(B15="","",VLOOKUP(AD15,Varsayımlar!$B:$Q,3,0))</f>
        <v>8698829380698</v>
      </c>
      <c r="D15" s="32"/>
      <c r="E15" s="62" t="s">
        <v>182</v>
      </c>
      <c r="F15" s="62">
        <v>26060101</v>
      </c>
      <c r="G15" s="32"/>
      <c r="H15" s="62" t="str">
        <f>IF(B15="","",VLOOKUP(AD15,Varsayımlar!$B:$Q,5,0))</f>
        <v>Tortillove 30cm</v>
      </c>
      <c r="I15" s="62" t="str">
        <f>IF(B15="","",VLOOKUP(AD15,Varsayımlar!B:T,19,0))</f>
        <v>Arka kısma Arnavutça içerik-Tortillove</v>
      </c>
      <c r="J15" s="62" t="str">
        <f>IF(B15="","",VLOOKUP(AD15,Varsayımlar!$B:$Q,6,0))</f>
        <v>SADE</v>
      </c>
      <c r="K15" s="62">
        <v>100</v>
      </c>
      <c r="L15" s="62"/>
      <c r="M15" s="62">
        <f>IFERROR(IF(B15="","",K15/VLOOKUP(AD15,Varsayımlar!B:R,17,0)),"")</f>
        <v>2</v>
      </c>
      <c r="N15" s="62"/>
      <c r="O15" s="62">
        <v>2</v>
      </c>
      <c r="P15" s="62">
        <f>IF(B15="","",VLOOKUP(AD15,Varsayımlar!$B:$Q,7,0)*K15)</f>
        <v>1200</v>
      </c>
      <c r="Q15" s="62">
        <f>IF(B15="","",VLOOKUP(AD15,Varsayımlar!$B:$Q,8,0))</f>
        <v>30</v>
      </c>
      <c r="R15" s="62" t="str">
        <f>IF(B15="","",VLOOKUP(AD15,Varsayımlar!$B:$Q,9,0))</f>
        <v>Irak Soft</v>
      </c>
      <c r="S15" s="62">
        <f>IF(B15="","",VLOOKUP(AD15,Varsayımlar!$B:$Q,10,0))</f>
        <v>10</v>
      </c>
      <c r="T15" s="62">
        <f>IF(B15="","",VLOOKUP(AD15,Varsayımlar!$B:$Q,11,0))</f>
        <v>12</v>
      </c>
      <c r="U15" s="62">
        <f>IF(B15="","",VLOOKUP(AD15,Varsayımlar!$B:$Q,12,0))</f>
        <v>900</v>
      </c>
      <c r="V15" s="62" t="str">
        <f>IF(B15="","",VLOOKUP(AD15,Varsayımlar!$B:$Q,13,0))</f>
        <v>Yurtdışı</v>
      </c>
      <c r="W15" s="62">
        <f>IF(B15="","",VLOOKUP(AD15,Varsayımlar!$B:$Q,14,0))</f>
        <v>12</v>
      </c>
      <c r="X15" s="63">
        <v>46200</v>
      </c>
      <c r="Y15" s="63">
        <v>46565</v>
      </c>
      <c r="Z15" s="62">
        <v>26062730</v>
      </c>
      <c r="AA15" s="62" t="str">
        <f>IF(B15="","",VLOOKUP(AD15,Varsayımlar!$B:$Q,15,0))</f>
        <v>30cm Koli - Tortillove 900g Etiketli</v>
      </c>
      <c r="AB15" s="62" t="str">
        <f>IF(B15="","",VLOOKUP(AD15,Varsayımlar!$B:$Q,16,0))</f>
        <v>29-31 cm</v>
      </c>
      <c r="AC15" s="62">
        <f>IF(B15="","",VLOOKUP(Sayfa1!AD27,Varsayımlar!B:S,18,0))</f>
        <v>0</v>
      </c>
      <c r="AD15" s="57" t="str">
        <f t="shared" si="0"/>
        <v>ALDİ - KOSOVATortillove 30cm 10pcs 900g</v>
      </c>
    </row>
    <row r="16" spans="1:30" ht="47.25" x14ac:dyDescent="0.25">
      <c r="A16" s="8" t="s">
        <v>87</v>
      </c>
      <c r="B16" s="62" t="s">
        <v>181</v>
      </c>
      <c r="C16" s="32">
        <f>IF(B16="","",VLOOKUP(AD16,Varsayımlar!$B:$Q,3,0))</f>
        <v>8698829380698</v>
      </c>
      <c r="D16" s="32"/>
      <c r="E16" s="62" t="s">
        <v>185</v>
      </c>
      <c r="F16" s="62">
        <v>26060101</v>
      </c>
      <c r="G16" s="32"/>
      <c r="H16" s="62" t="str">
        <f>IF(B16="","",VLOOKUP(AD16,Varsayımlar!$B:$Q,5,0))</f>
        <v>Tortillas 30cm</v>
      </c>
      <c r="I16" s="62" t="str">
        <f>IF(B16="","",VLOOKUP(AD16,Varsayımlar!B:T,19,0))</f>
        <v>Arka kısma Arnavutça içerik-Tortillas</v>
      </c>
      <c r="J16" s="62" t="str">
        <f>IF(B16="","",VLOOKUP(AD16,Varsayımlar!$B:$Q,6,0))</f>
        <v>SADE</v>
      </c>
      <c r="K16" s="62">
        <v>50</v>
      </c>
      <c r="L16" s="62"/>
      <c r="M16" s="62">
        <f>IFERROR(IF(B16="","",K16/VLOOKUP(AD16,Varsayımlar!B:R,17,0)),"")</f>
        <v>1</v>
      </c>
      <c r="N16" s="62"/>
      <c r="O16" s="62">
        <v>1</v>
      </c>
      <c r="P16" s="62">
        <f>IF(B16="","",VLOOKUP(AD16,Varsayımlar!$B:$Q,7,0)*K16)</f>
        <v>600</v>
      </c>
      <c r="Q16" s="62">
        <f>IF(B16="","",VLOOKUP(AD16,Varsayımlar!$B:$Q,8,0))</f>
        <v>30</v>
      </c>
      <c r="R16" s="62" t="str">
        <f>IF(B16="","",VLOOKUP(AD16,Varsayımlar!$B:$Q,9,0))</f>
        <v>Irak Soft</v>
      </c>
      <c r="S16" s="62">
        <f>IF(B16="","",VLOOKUP(AD16,Varsayımlar!$B:$Q,10,0))</f>
        <v>10</v>
      </c>
      <c r="T16" s="62">
        <f>IF(B16="","",VLOOKUP(AD16,Varsayımlar!$B:$Q,11,0))</f>
        <v>12</v>
      </c>
      <c r="U16" s="62">
        <f>IF(B16="","",VLOOKUP(AD16,Varsayımlar!$B:$Q,12,0))</f>
        <v>900</v>
      </c>
      <c r="V16" s="62" t="str">
        <f>IF(B16="","",VLOOKUP(AD16,Varsayımlar!$B:$Q,13,0))</f>
        <v>Yurtdışı</v>
      </c>
      <c r="W16" s="62">
        <f>IF(B16="","",VLOOKUP(AD16,Varsayımlar!$B:$Q,14,0))</f>
        <v>12</v>
      </c>
      <c r="X16" s="63">
        <v>46200</v>
      </c>
      <c r="Y16" s="63">
        <v>46565</v>
      </c>
      <c r="Z16" s="62">
        <v>26062730</v>
      </c>
      <c r="AA16" s="62" t="str">
        <f>IF(B16="","",VLOOKUP(AD16,Varsayımlar!$B:$Q,15,0))</f>
        <v>30cm Koli - Tortillas 900g Etiketli</v>
      </c>
      <c r="AB16" s="62" t="str">
        <f>IF(B16="","",VLOOKUP(AD16,Varsayımlar!$B:$Q,16,0))</f>
        <v>29-31 cm</v>
      </c>
      <c r="AC16" s="62">
        <f>IF(B16="","",VLOOKUP(Sayfa1!AD28,Varsayımlar!B:S,18,0))</f>
        <v>0</v>
      </c>
      <c r="AD16" s="57" t="str">
        <f t="shared" si="0"/>
        <v>ALDİ - KOSOVATortillas 30cm 10pcs 900g</v>
      </c>
    </row>
    <row r="17" spans="1:30" ht="63" x14ac:dyDescent="0.25">
      <c r="A17" s="8" t="s">
        <v>88</v>
      </c>
      <c r="B17" s="62" t="s">
        <v>181</v>
      </c>
      <c r="C17" s="32">
        <f>IF(B17="","",VLOOKUP(AD17,Varsayımlar!$B:$Q,3,0))</f>
        <v>8698829380698</v>
      </c>
      <c r="D17" s="32"/>
      <c r="E17" s="32" t="s">
        <v>372</v>
      </c>
      <c r="F17" s="62">
        <v>26060101</v>
      </c>
      <c r="G17" s="32"/>
      <c r="H17" s="62" t="str">
        <f>IF(B17="","",VLOOKUP(AD17,Varsayımlar!$B:$Q,5,0))</f>
        <v>Tortillove Tam Buğday 25cm</v>
      </c>
      <c r="I17" s="62" t="str">
        <f>IF(B17="","",VLOOKUP(AD17,Varsayımlar!B:T,19,0))</f>
        <v>Barkod üzerine Arnavutça TB içerik+Barkod-Tortillove</v>
      </c>
      <c r="J17" s="62" t="str">
        <f>IF(B17="","",VLOOKUP(AD17,Varsayımlar!$B:$Q,6,0))</f>
        <v>Tam Buğdaylı</v>
      </c>
      <c r="K17" s="62">
        <v>84</v>
      </c>
      <c r="L17" s="62"/>
      <c r="M17" s="62">
        <f>IFERROR(IF(B17="","",K17/VLOOKUP(AD17,Varsayımlar!B:R,17,0)),"")</f>
        <v>1</v>
      </c>
      <c r="N17" s="62"/>
      <c r="O17" s="62">
        <v>2</v>
      </c>
      <c r="P17" s="62">
        <f>IF(B17="","",VLOOKUP(AD17,Varsayımlar!$B:$Q,7,0)*K17)</f>
        <v>1512</v>
      </c>
      <c r="Q17" s="62">
        <f>IF(B17="","",VLOOKUP(AD17,Varsayımlar!$B:$Q,8,0))</f>
        <v>25</v>
      </c>
      <c r="R17" s="62" t="str">
        <f>IF(B17="","",VLOOKUP(AD17,Varsayımlar!$B:$Q,9,0))</f>
        <v>Irak Soft</v>
      </c>
      <c r="S17" s="62">
        <f>IF(B17="","",VLOOKUP(AD17,Varsayımlar!$B:$Q,10,0))</f>
        <v>6</v>
      </c>
      <c r="T17" s="62">
        <f>IF(B17="","",VLOOKUP(AD17,Varsayımlar!$B:$Q,11,0))</f>
        <v>18</v>
      </c>
      <c r="U17" s="62">
        <f>IF(B17="","",VLOOKUP(AD17,Varsayımlar!$B:$Q,12,0))</f>
        <v>390</v>
      </c>
      <c r="V17" s="62" t="str">
        <f>IF(B17="","",VLOOKUP(AD17,Varsayımlar!$B:$Q,13,0))</f>
        <v>Yurtdışı</v>
      </c>
      <c r="W17" s="62">
        <f>IF(B17="","",VLOOKUP(AD17,Varsayımlar!$B:$Q,14,0))</f>
        <v>12</v>
      </c>
      <c r="X17" s="63">
        <v>46200</v>
      </c>
      <c r="Y17" s="63">
        <v>46565</v>
      </c>
      <c r="Z17" s="62">
        <v>26062725</v>
      </c>
      <c r="AA17" s="62" t="str">
        <f>IF(B17="","",VLOOKUP(AD17,Varsayımlar!$B:$Q,15,0))</f>
        <v>25cm Koli - Tortillove 390g TB Etiketli</v>
      </c>
      <c r="AB17" s="62" t="str">
        <f>IF(B17="","",VLOOKUP(AD17,Varsayımlar!$B:$Q,16,0))</f>
        <v>24-26 cm</v>
      </c>
      <c r="AC17" s="62">
        <f>IF(B17="","",VLOOKUP(Sayfa1!AD29,Varsayımlar!B:S,18,0))</f>
        <v>0</v>
      </c>
      <c r="AD17" s="57" t="str">
        <f t="shared" si="0"/>
        <v>ALDİ - KOSOVATortillove 25cm TB 6pcs 390g</v>
      </c>
    </row>
    <row r="18" spans="1:30" ht="63" x14ac:dyDescent="0.25">
      <c r="A18" s="8" t="s">
        <v>89</v>
      </c>
      <c r="B18" s="62" t="s">
        <v>181</v>
      </c>
      <c r="C18" s="32">
        <f>IF(B18="","",VLOOKUP(AD18,Varsayımlar!$B:$Q,3,0))</f>
        <v>8698829380698</v>
      </c>
      <c r="D18" s="32"/>
      <c r="E18" s="32" t="s">
        <v>251</v>
      </c>
      <c r="F18" s="62">
        <v>26060101</v>
      </c>
      <c r="G18" s="32"/>
      <c r="H18" s="62" t="str">
        <f>IF(B18="","",VLOOKUP(AD18,Varsayımlar!$B:$Q,5,0))</f>
        <v>Tortillas Tam Buğday 25cm</v>
      </c>
      <c r="I18" s="62" t="str">
        <f>IF(B18="","",VLOOKUP(AD18,Varsayımlar!B:T,19,0))</f>
        <v>Barkod üzerine Arnavutça TB içerik+Barkod-Tortillas</v>
      </c>
      <c r="J18" s="62" t="str">
        <f>IF(B18="","",VLOOKUP(AD18,Varsayımlar!$B:$Q,6,0))</f>
        <v>Tam Buğdaylı</v>
      </c>
      <c r="K18" s="62">
        <v>84</v>
      </c>
      <c r="L18" s="62"/>
      <c r="M18" s="62">
        <f>IFERROR(IF(B18="","",K18/VLOOKUP(AD18,Varsayımlar!B:R,17,0)),"")</f>
        <v>1</v>
      </c>
      <c r="N18" s="62"/>
      <c r="O18" s="62">
        <v>2</v>
      </c>
      <c r="P18" s="62">
        <f>IF(B18="","",VLOOKUP(AD18,Varsayımlar!$B:$Q,7,0)*K18)</f>
        <v>1512</v>
      </c>
      <c r="Q18" s="62">
        <f>IF(B18="","",VLOOKUP(AD18,Varsayımlar!$B:$Q,8,0))</f>
        <v>25</v>
      </c>
      <c r="R18" s="62" t="str">
        <f>IF(B18="","",VLOOKUP(AD18,Varsayımlar!$B:$Q,9,0))</f>
        <v>Irak Soft</v>
      </c>
      <c r="S18" s="62">
        <f>IF(B18="","",VLOOKUP(AD18,Varsayımlar!$B:$Q,10,0))</f>
        <v>6</v>
      </c>
      <c r="T18" s="62">
        <f>IF(B18="","",VLOOKUP(AD18,Varsayımlar!$B:$Q,11,0))</f>
        <v>18</v>
      </c>
      <c r="U18" s="62">
        <f>IF(B18="","",VLOOKUP(AD18,Varsayımlar!$B:$Q,12,0))</f>
        <v>390</v>
      </c>
      <c r="V18" s="62" t="str">
        <f>IF(B18="","",VLOOKUP(AD18,Varsayımlar!$B:$Q,13,0))</f>
        <v>Yurtdışı</v>
      </c>
      <c r="W18" s="62">
        <f>IF(B18="","",VLOOKUP(AD18,Varsayımlar!$B:$Q,14,0))</f>
        <v>12</v>
      </c>
      <c r="X18" s="63">
        <v>46200</v>
      </c>
      <c r="Y18" s="63">
        <v>46565</v>
      </c>
      <c r="Z18" s="62">
        <v>26062725</v>
      </c>
      <c r="AA18" s="62" t="str">
        <f>IF(B18="","",VLOOKUP(AD18,Varsayımlar!$B:$Q,15,0))</f>
        <v>25cm Koli - Tortillas 390g TB Etiketli</v>
      </c>
      <c r="AB18" s="62" t="str">
        <f>IF(B18="","",VLOOKUP(AD18,Varsayımlar!$B:$Q,16,0))</f>
        <v>24-26 cm</v>
      </c>
      <c r="AC18" s="62">
        <f>IF(B18="","",VLOOKUP(Sayfa1!AD30,Varsayımlar!B:S,18,0))</f>
        <v>0</v>
      </c>
      <c r="AD18" s="57" t="str">
        <f t="shared" si="0"/>
        <v>ALDİ - KOSOVATortillas 25cm TB 6pcs 390g</v>
      </c>
    </row>
    <row r="19" spans="1:30" ht="45.75" customHeight="1" x14ac:dyDescent="0.25">
      <c r="A19" s="8" t="s">
        <v>90</v>
      </c>
      <c r="B19" s="130" t="s">
        <v>119</v>
      </c>
      <c r="C19" s="131">
        <f>IF(B19="","",VLOOKUP(AD19,Varsayımlar!$B:$Q,3,0))</f>
        <v>8698829380698</v>
      </c>
      <c r="D19" s="131"/>
      <c r="E19" s="132" t="s">
        <v>120</v>
      </c>
      <c r="F19" s="130"/>
      <c r="G19" s="130"/>
      <c r="H19" s="130" t="str">
        <f>IF(B19="","",VLOOKUP(AD19,Varsayımlar!$B:$Q,5,0))</f>
        <v>Nimet 25 cm</v>
      </c>
      <c r="I19" s="130"/>
      <c r="J19" s="130" t="str">
        <f>IF(B19="","",VLOOKUP(AD19,Varsayımlar!$B:$Q,6,0))</f>
        <v>SADE</v>
      </c>
      <c r="K19" s="130">
        <v>2000</v>
      </c>
      <c r="L19" s="130"/>
      <c r="M19" s="130">
        <f>IFERROR(IF(B19="","",K19/VLOOKUP(AD19,Varsayımlar!B:R,17,0)),"")</f>
        <v>40</v>
      </c>
      <c r="N19" s="130"/>
      <c r="O19" s="130">
        <v>40</v>
      </c>
      <c r="P19" s="130">
        <f>IF(B19="","",VLOOKUP(AD19,Varsayımlar!$B:$Q,7,0)*K19)</f>
        <v>24000</v>
      </c>
      <c r="Q19" s="130">
        <f>IF(B19="","",VLOOKUP(AD19,Varsayımlar!$B:$Q,8,0))</f>
        <v>25</v>
      </c>
      <c r="R19" s="130" t="str">
        <f>IF(B19="","",VLOOKUP(AD19,Varsayımlar!$B:$Q,9,0))</f>
        <v>Standart</v>
      </c>
      <c r="S19" s="130">
        <f>IF(B19="","",VLOOKUP(AD19,Varsayımlar!$B:$Q,10,0))</f>
        <v>12</v>
      </c>
      <c r="T19" s="130">
        <f>IF(B19="","",VLOOKUP(AD19,Varsayımlar!$B:$Q,11,0))</f>
        <v>12</v>
      </c>
      <c r="U19" s="130">
        <f>IF(B19="","",VLOOKUP(AD19,Varsayımlar!$B:$Q,12,0))</f>
        <v>840</v>
      </c>
      <c r="V19" s="130" t="str">
        <f>IF(B19="","",VLOOKUP(AD19,Varsayımlar!$B:$Q,13,0))</f>
        <v>YURTİÇİ</v>
      </c>
      <c r="W19" s="130">
        <f>IF(B19="","",VLOOKUP(AD19,Varsayımlar!$B:$Q,14,0))</f>
        <v>5</v>
      </c>
      <c r="X19" s="133" t="s">
        <v>113</v>
      </c>
      <c r="Y19" s="133" t="s">
        <v>113</v>
      </c>
      <c r="Z19" s="130" t="s">
        <v>113</v>
      </c>
      <c r="AA19" s="130" t="str">
        <f>IF(B19="","",VLOOKUP(AD19,Varsayımlar!$B:$Q,15,0))</f>
        <v>Nimet Kolisi</v>
      </c>
      <c r="AB19" s="130" t="str">
        <f>IF(B19="","",VLOOKUP(AD19,Varsayımlar!$B:$Q,16,0))</f>
        <v>24-26 CM</v>
      </c>
      <c r="AC19" s="64" t="s">
        <v>360</v>
      </c>
      <c r="AD19" s="57" t="str">
        <f>IF(B19="","",CONCATENATE(B19,E19))</f>
        <v>A101Nimet 25cm 12 pcs 840g</v>
      </c>
    </row>
    <row r="20" spans="1:30" ht="31.5" x14ac:dyDescent="0.25">
      <c r="A20" s="8" t="s">
        <v>89</v>
      </c>
      <c r="B20" s="64" t="s">
        <v>288</v>
      </c>
      <c r="C20" s="3">
        <f>IF(B20="","",VLOOKUP(AD20,Varsayımlar!$B:$Q,3,0))</f>
        <v>8698829380698</v>
      </c>
      <c r="D20" s="3"/>
      <c r="E20" s="64" t="s">
        <v>289</v>
      </c>
      <c r="F20" s="64">
        <v>20201016</v>
      </c>
      <c r="G20" s="3" t="s">
        <v>68</v>
      </c>
      <c r="H20" s="64" t="str">
        <f>IF(B20="","",VLOOKUP(AD20,Varsayımlar!$B:$Q,5,0))</f>
        <v>Tortillas 25cm Tam Buğday</v>
      </c>
      <c r="I20" s="64" t="str">
        <f>IF(B20="","",VLOOKUP(AD20,Varsayımlar!B:T,19,0))</f>
        <v>Arka kısma İçerik</v>
      </c>
      <c r="J20" s="64" t="str">
        <f>IF(B20="","",VLOOKUP(AD20,Varsayımlar!$B:$Q,6,0))</f>
        <v>Tam Buğdaylı</v>
      </c>
      <c r="K20" s="64">
        <v>250</v>
      </c>
      <c r="L20" s="64"/>
      <c r="M20" s="64">
        <f>IFERROR(IF(B20="","",K20/VLOOKUP(AD20,Varsayımlar!B:R,17,0)),"")</f>
        <v>5</v>
      </c>
      <c r="N20" s="64"/>
      <c r="O20" s="64">
        <v>4</v>
      </c>
      <c r="P20" s="64">
        <f>IF(B20="","",VLOOKUP(AD20,Varsayımlar!$B:$Q,7,0)*K20)</f>
        <v>4500</v>
      </c>
      <c r="Q20" s="64">
        <f>IF(B20="","",VLOOKUP(AD20,Varsayımlar!$B:$Q,8,0))</f>
        <v>25</v>
      </c>
      <c r="R20" s="64" t="str">
        <f>IF(B20="","",VLOOKUP(AD20,Varsayımlar!$B:$Q,9,0))</f>
        <v>Irak Soft</v>
      </c>
      <c r="S20" s="64">
        <f>IF(B20="","",VLOOKUP(AD20,Varsayımlar!$B:$Q,10,0))</f>
        <v>6</v>
      </c>
      <c r="T20" s="64">
        <f>IF(B20="","",VLOOKUP(AD20,Varsayımlar!$B:$Q,11,0))</f>
        <v>18</v>
      </c>
      <c r="U20" s="64">
        <f>IF(B20="","",VLOOKUP(AD20,Varsayımlar!$B:$Q,12,0))</f>
        <v>390</v>
      </c>
      <c r="V20" s="64" t="str">
        <f>IF(B20="","",VLOOKUP(AD20,Varsayımlar!$B:$Q,13,0))</f>
        <v>YURTDIŞI</v>
      </c>
      <c r="W20" s="64">
        <f>IF(B20="","",VLOOKUP(AD20,Varsayımlar!$B:$Q,14,0))</f>
        <v>9</v>
      </c>
      <c r="X20" s="66">
        <v>46202</v>
      </c>
      <c r="Y20" s="66">
        <v>46475</v>
      </c>
      <c r="Z20" s="64" t="s">
        <v>378</v>
      </c>
      <c r="AA20" s="64" t="str">
        <f>IF(B20="","",VLOOKUP(AD20,Varsayımlar!$B:$Q,15,0))</f>
        <v>25cm Koli-Kazakça Etiketli</v>
      </c>
      <c r="AB20" s="64" t="str">
        <f>IF(B20="","",VLOOKUP(AD20,Varsayımlar!$B:$Q,16,0))</f>
        <v>24-26 cm</v>
      </c>
      <c r="AC20" s="64" t="str">
        <f>IF(B20="","",VLOOKUP(Sayfa1!AD40,Varsayımlar!B:S,18,0))</f>
        <v>80x120cm</v>
      </c>
      <c r="AD20" s="57" t="str">
        <f t="shared" si="0"/>
        <v>UNITERA-KAZAKİSTANTortillas 25cm Tam Buğday 6pcs 390g</v>
      </c>
    </row>
    <row r="21" spans="1:30" ht="31.5" x14ac:dyDescent="0.25">
      <c r="A21" s="8" t="s">
        <v>90</v>
      </c>
      <c r="B21" s="64" t="s">
        <v>288</v>
      </c>
      <c r="C21" s="3">
        <f>IF(B21="","",VLOOKUP(AD21,Varsayımlar!$B:$Q,3,0))</f>
        <v>8698829380698</v>
      </c>
      <c r="D21" s="3"/>
      <c r="E21" s="64" t="s">
        <v>252</v>
      </c>
      <c r="F21" s="64">
        <v>20201016</v>
      </c>
      <c r="G21" s="3" t="s">
        <v>68</v>
      </c>
      <c r="H21" s="64" t="str">
        <f>IF(B21="","",VLOOKUP(AD21,Varsayımlar!$B:$Q,5,0))</f>
        <v>Tortillas 20cm Sade</v>
      </c>
      <c r="I21" s="64" t="str">
        <f>IF(B21="","",VLOOKUP(AD21,Varsayımlar!B:T,19,0))</f>
        <v>Arka kısma İçerik</v>
      </c>
      <c r="J21" s="64" t="str">
        <f>IF(B21="","",VLOOKUP(AD21,Varsayımlar!$B:$Q,6,0))</f>
        <v>SADE</v>
      </c>
      <c r="K21" s="64">
        <v>300</v>
      </c>
      <c r="L21" s="64"/>
      <c r="M21" s="64">
        <f>IFERROR(IF(B21="","",K21/VLOOKUP(AD21,Varsayımlar!B:R,17,0)),"")</f>
        <v>3</v>
      </c>
      <c r="N21" s="64"/>
      <c r="O21" s="64">
        <v>5</v>
      </c>
      <c r="P21" s="64">
        <f>IF(B21="","",VLOOKUP(AD21,Varsayımlar!$B:$Q,7,0)*K21)</f>
        <v>5400</v>
      </c>
      <c r="Q21" s="64">
        <f>IF(B21="","",VLOOKUP(AD21,Varsayımlar!$B:$Q,8,0))</f>
        <v>20</v>
      </c>
      <c r="R21" s="64" t="str">
        <f>IF(B21="","",VLOOKUP(AD21,Varsayımlar!$B:$Q,9,0))</f>
        <v>Irak Soft</v>
      </c>
      <c r="S21" s="64">
        <f>IF(B21="","",VLOOKUP(AD21,Varsayımlar!$B:$Q,10,0))</f>
        <v>6</v>
      </c>
      <c r="T21" s="64">
        <f>IF(B21="","",VLOOKUP(AD21,Varsayımlar!$B:$Q,11,0))</f>
        <v>18</v>
      </c>
      <c r="U21" s="64">
        <f>IF(B21="","",VLOOKUP(AD21,Varsayımlar!$B:$Q,12,0))</f>
        <v>270</v>
      </c>
      <c r="V21" s="64" t="str">
        <f>IF(B21="","",VLOOKUP(AD21,Varsayımlar!$B:$Q,13,0))</f>
        <v>YURTDIŞI</v>
      </c>
      <c r="W21" s="64">
        <f>IF(B21="","",VLOOKUP(AD21,Varsayımlar!$B:$Q,14,0))</f>
        <v>9</v>
      </c>
      <c r="X21" s="66">
        <v>46202</v>
      </c>
      <c r="Y21" s="66">
        <v>46475</v>
      </c>
      <c r="Z21" s="64">
        <v>26062920</v>
      </c>
      <c r="AA21" s="64" t="str">
        <f>IF(B21="","",VLOOKUP(AD21,Varsayımlar!$B:$Q,15,0))</f>
        <v>20cm Koli</v>
      </c>
      <c r="AB21" s="64" t="str">
        <f>IF(B21="","",VLOOKUP(AD21,Varsayımlar!$B:$Q,16,0))</f>
        <v>19-21cm</v>
      </c>
      <c r="AC21" s="64" t="str">
        <f>IF(B21="","",VLOOKUP(Sayfa1!AD41,Varsayımlar!B:S,18,0))</f>
        <v>80x120cm</v>
      </c>
      <c r="AD21" s="57" t="str">
        <f t="shared" si="0"/>
        <v>UNITERA-KAZAKİSTANTortillas 20cm Sade 6pcs 270g</v>
      </c>
    </row>
    <row r="22" spans="1:30" ht="31.5" x14ac:dyDescent="0.25">
      <c r="A22" s="8" t="s">
        <v>93</v>
      </c>
      <c r="B22" s="80" t="s">
        <v>218</v>
      </c>
      <c r="C22" s="44">
        <f>IF(B22="","",VLOOKUP(AD22,Varsayımlar!$B:$Q,3,0))</f>
        <v>8698829380698</v>
      </c>
      <c r="D22" s="44" t="s">
        <v>160</v>
      </c>
      <c r="E22" s="80" t="s">
        <v>229</v>
      </c>
      <c r="F22" s="80">
        <v>26042907</v>
      </c>
      <c r="G22" s="44"/>
      <c r="H22" s="80" t="str">
        <f>IF(B22="","",VLOOKUP(AD22,Varsayımlar!$B:$Q,5,0))</f>
        <v>Tortillas Avrupa 25cm Tam Buğday (711)</v>
      </c>
      <c r="I22" s="80">
        <f>IF(B22="","",VLOOKUP(AD22,Varsayımlar!B:T,19,0))</f>
        <v>0</v>
      </c>
      <c r="J22" s="80" t="str">
        <f>IF(B22="","",VLOOKUP(AD22,Varsayımlar!$B:$Q,6,0))</f>
        <v>Tam Buğdaylı</v>
      </c>
      <c r="K22" s="80">
        <v>840</v>
      </c>
      <c r="L22" s="80"/>
      <c r="M22" s="80">
        <f>IFERROR(IF(B22="","",K22/VLOOKUP(AD22,Varsayımlar!B:R,17,0)),"")</f>
        <v>7</v>
      </c>
      <c r="N22" s="80"/>
      <c r="O22" s="80">
        <v>9</v>
      </c>
      <c r="P22" s="80">
        <f>IF(B22="","",VLOOKUP(AD22,Varsayımlar!$B:$Q,7,0)*K22)</f>
        <v>6720</v>
      </c>
      <c r="Q22" s="80">
        <f>IF(B22="","",VLOOKUP(AD22,Varsayımlar!$B:$Q,8,0))</f>
        <v>25</v>
      </c>
      <c r="R22" s="80" t="str">
        <f>IF(B22="","",VLOOKUP(AD22,Varsayımlar!$B:$Q,9,0))</f>
        <v>Irak Soft</v>
      </c>
      <c r="S22" s="80">
        <f>IF(B22="","",VLOOKUP(AD22,Varsayımlar!$B:$Q,10,0))</f>
        <v>10</v>
      </c>
      <c r="T22" s="80">
        <f>IF(B22="","",VLOOKUP(AD22,Varsayımlar!$B:$Q,11,0))</f>
        <v>8</v>
      </c>
      <c r="U22" s="80">
        <f>IF(B22="","",VLOOKUP(AD22,Varsayımlar!$B:$Q,12,0))</f>
        <v>650</v>
      </c>
      <c r="V22" s="80" t="str">
        <f>IF(B22="","",VLOOKUP(AD22,Varsayımlar!$B:$Q,13,0))</f>
        <v>Yurtdışı</v>
      </c>
      <c r="W22" s="80">
        <f>IF(B22="","",VLOOKUP(AD22,Varsayımlar!$B:$Q,14,0))</f>
        <v>9</v>
      </c>
      <c r="X22" s="81">
        <v>46203</v>
      </c>
      <c r="Y22" s="81">
        <v>46476</v>
      </c>
      <c r="Z22" s="80" t="s">
        <v>379</v>
      </c>
      <c r="AA22" s="80" t="str">
        <f>IF(B22="","",VLOOKUP(AD22,Varsayımlar!$B:$Q,15,0))</f>
        <v>25cm Perforeli-Bulgarca TB etiket</v>
      </c>
      <c r="AB22" s="80" t="str">
        <f>IF(B22="","",VLOOKUP(AD22,Varsayımlar!$B:$Q,16,0))</f>
        <v>24-26 cm</v>
      </c>
      <c r="AC22" s="80" t="str">
        <f>IF(B22="","",VLOOKUP(Sayfa1!AD57,Varsayımlar!B:S,18,0))</f>
        <v>80x120cm -Epal+Epal</v>
      </c>
      <c r="AD22" s="57" t="str">
        <f t="shared" si="0"/>
        <v>TASTE LAND-BULGARİSTANTortillas 25cm Tam Buğday 10pcs 650g</v>
      </c>
    </row>
    <row r="23" spans="1:30" ht="47.25" x14ac:dyDescent="0.25">
      <c r="A23" s="8" t="s">
        <v>135</v>
      </c>
      <c r="B23" s="80" t="s">
        <v>218</v>
      </c>
      <c r="C23" s="44">
        <f>IF(B23="","",VLOOKUP(AD23,Varsayımlar!$B:$Q,3,0))</f>
        <v>8698829380698</v>
      </c>
      <c r="D23" s="44" t="s">
        <v>160</v>
      </c>
      <c r="E23" s="80" t="s">
        <v>232</v>
      </c>
      <c r="F23" s="80">
        <v>26042907</v>
      </c>
      <c r="G23" s="44"/>
      <c r="H23" s="80" t="str">
        <f>IF(B23="","",VLOOKUP(AD23,Varsayımlar!$B:$Q,5,0))</f>
        <v>Tortillas Avrupa 25cm Domatesli (074)</v>
      </c>
      <c r="I23" s="80">
        <f>IF(B23="","",VLOOKUP(AD23,Varsayımlar!B:T,19,0))</f>
        <v>0</v>
      </c>
      <c r="J23" s="80" t="str">
        <f>IF(B23="","",VLOOKUP(AD23,Varsayımlar!$B:$Q,6,0))</f>
        <v>Domatesli</v>
      </c>
      <c r="K23" s="80">
        <v>480</v>
      </c>
      <c r="L23" s="80"/>
      <c r="M23" s="80">
        <f>IFERROR(IF(B23="","",K23/VLOOKUP(AD23,Varsayımlar!B:R,17,0)),"")</f>
        <v>4</v>
      </c>
      <c r="N23" s="80"/>
      <c r="O23" s="80">
        <v>5</v>
      </c>
      <c r="P23" s="80">
        <f>IF(B23="","",VLOOKUP(AD23,Varsayımlar!$B:$Q,7,0)*K23)</f>
        <v>5760</v>
      </c>
      <c r="Q23" s="80">
        <f>IF(B23="","",VLOOKUP(AD23,Varsayımlar!$B:$Q,8,0))</f>
        <v>25</v>
      </c>
      <c r="R23" s="80" t="str">
        <f>IF(B23="","",VLOOKUP(AD23,Varsayımlar!$B:$Q,9,0))</f>
        <v>Irak Soft</v>
      </c>
      <c r="S23" s="80">
        <f>IF(B23="","",VLOOKUP(AD23,Varsayımlar!$B:$Q,10,0))</f>
        <v>6</v>
      </c>
      <c r="T23" s="80">
        <f>IF(B23="","",VLOOKUP(AD23,Varsayımlar!$B:$Q,11,0))</f>
        <v>12</v>
      </c>
      <c r="U23" s="80">
        <f>IF(B23="","",VLOOKUP(AD23,Varsayımlar!$B:$Q,12,0))</f>
        <v>390</v>
      </c>
      <c r="V23" s="80" t="str">
        <f>IF(B23="","",VLOOKUP(AD23,Varsayımlar!$B:$Q,13,0))</f>
        <v>Yurtdışı</v>
      </c>
      <c r="W23" s="80">
        <f>IF(B23="","",VLOOKUP(AD23,Varsayımlar!$B:$Q,14,0))</f>
        <v>9</v>
      </c>
      <c r="X23" s="81">
        <v>46203</v>
      </c>
      <c r="Y23" s="81">
        <v>46476</v>
      </c>
      <c r="Z23" s="80" t="s">
        <v>380</v>
      </c>
      <c r="AA23" s="80" t="str">
        <f>IF(B23="","",VLOOKUP(AD23,Varsayımlar!$B:$Q,15,0))</f>
        <v>25cm Perforeli-Bulgarca Domatesli etiket</v>
      </c>
      <c r="AB23" s="80" t="str">
        <f>IF(B23="","",VLOOKUP(AD23,Varsayımlar!$B:$Q,16,0))</f>
        <v>24-26 cm</v>
      </c>
      <c r="AC23" s="80" t="str">
        <f>IF(B23="","",VLOOKUP(Sayfa1!AD58,Varsayımlar!B:S,18,0))</f>
        <v>80x120cm -Epal+Epal</v>
      </c>
      <c r="AD23" s="57" t="str">
        <f t="shared" si="0"/>
        <v>TASTE LAND-BULGARİSTANTortillas 25cm Domatesli 6pcs 390g</v>
      </c>
    </row>
    <row r="24" spans="1:30" ht="47.25" x14ac:dyDescent="0.25">
      <c r="A24" s="8" t="s">
        <v>136</v>
      </c>
      <c r="B24" s="80" t="s">
        <v>218</v>
      </c>
      <c r="C24" s="44">
        <f>IF(B24="","",VLOOKUP(AD24,Varsayımlar!$B:$Q,3,0))</f>
        <v>8698829380698</v>
      </c>
      <c r="D24" s="44" t="s">
        <v>160</v>
      </c>
      <c r="E24" s="80" t="s">
        <v>235</v>
      </c>
      <c r="F24" s="80">
        <v>26042907</v>
      </c>
      <c r="G24" s="44"/>
      <c r="H24" s="80" t="str">
        <f>IF(B24="","",VLOOKUP(AD24,Varsayımlar!$B:$Q,5,0))</f>
        <v>Tortillas Avrupa 25cm Ispanaklı (081)</v>
      </c>
      <c r="I24" s="80">
        <f>IF(B24="","",VLOOKUP(AD24,Varsayımlar!B:T,19,0))</f>
        <v>0</v>
      </c>
      <c r="J24" s="80" t="str">
        <f>IF(B24="","",VLOOKUP(AD24,Varsayımlar!$B:$Q,6,0))</f>
        <v>Ispanaklı</v>
      </c>
      <c r="K24" s="80">
        <v>480</v>
      </c>
      <c r="L24" s="80"/>
      <c r="M24" s="80">
        <f>IFERROR(IF(B24="","",K24/VLOOKUP(AD24,Varsayımlar!B:R,17,0)),"")</f>
        <v>4</v>
      </c>
      <c r="N24" s="80"/>
      <c r="O24" s="80">
        <v>5</v>
      </c>
      <c r="P24" s="80">
        <f>IF(B24="","",VLOOKUP(AD24,Varsayımlar!$B:$Q,7,0)*K24)</f>
        <v>5760</v>
      </c>
      <c r="Q24" s="80">
        <f>IF(B24="","",VLOOKUP(AD24,Varsayımlar!$B:$Q,8,0))</f>
        <v>25</v>
      </c>
      <c r="R24" s="80" t="str">
        <f>IF(B24="","",VLOOKUP(AD24,Varsayımlar!$B:$Q,9,0))</f>
        <v>Irak Soft</v>
      </c>
      <c r="S24" s="80">
        <f>IF(B24="","",VLOOKUP(AD24,Varsayımlar!$B:$Q,10,0))</f>
        <v>6</v>
      </c>
      <c r="T24" s="80">
        <f>IF(B24="","",VLOOKUP(AD24,Varsayımlar!$B:$Q,11,0))</f>
        <v>12</v>
      </c>
      <c r="U24" s="80">
        <f>IF(B24="","",VLOOKUP(AD24,Varsayımlar!$B:$Q,12,0))</f>
        <v>390</v>
      </c>
      <c r="V24" s="80" t="str">
        <f>IF(B24="","",VLOOKUP(AD24,Varsayımlar!$B:$Q,13,0))</f>
        <v>Yurtdışı</v>
      </c>
      <c r="W24" s="80">
        <f>IF(B24="","",VLOOKUP(AD24,Varsayımlar!$B:$Q,14,0))</f>
        <v>9</v>
      </c>
      <c r="X24" s="81">
        <v>46203</v>
      </c>
      <c r="Y24" s="81">
        <v>46476</v>
      </c>
      <c r="Z24" s="80" t="s">
        <v>381</v>
      </c>
      <c r="AA24" s="80" t="str">
        <f>IF(B24="","",VLOOKUP(AD24,Varsayımlar!$B:$Q,15,0))</f>
        <v>25cm Perforeli-Bulgarca Ispanaklı etiket</v>
      </c>
      <c r="AB24" s="80" t="str">
        <f>IF(B24="","",VLOOKUP(AD24,Varsayımlar!$B:$Q,16,0))</f>
        <v>24-26 cm</v>
      </c>
      <c r="AC24" s="80" t="str">
        <f>IF(B24="","",VLOOKUP(Sayfa1!AD59,Varsayımlar!B:S,18,0))</f>
        <v>80x120cm -Epal+Epal</v>
      </c>
      <c r="AD24" s="57" t="str">
        <f t="shared" si="0"/>
        <v>TASTE LAND-BULGARİSTANTortillas 25cm Ispanaklı 6pcs 390g</v>
      </c>
    </row>
    <row r="25" spans="1:30" ht="47.25" x14ac:dyDescent="0.25">
      <c r="A25" s="8" t="s">
        <v>137</v>
      </c>
      <c r="B25" s="80" t="s">
        <v>218</v>
      </c>
      <c r="C25" s="44">
        <f>IF(B25="","",VLOOKUP(AD25,Varsayımlar!$B:$Q,3,0))</f>
        <v>8698829380698</v>
      </c>
      <c r="D25" s="44" t="s">
        <v>160</v>
      </c>
      <c r="E25" s="80" t="s">
        <v>240</v>
      </c>
      <c r="F25" s="80">
        <v>26042907</v>
      </c>
      <c r="G25" s="44"/>
      <c r="H25" s="80" t="str">
        <f>IF(B25="","",VLOOKUP(AD25,Varsayımlar!$B:$Q,5,0))</f>
        <v>Tortillas Avrupa 25cm Peynirli (098)</v>
      </c>
      <c r="I25" s="80">
        <f>IF(B25="","",VLOOKUP(AD25,Varsayımlar!B:T,19,0))</f>
        <v>0</v>
      </c>
      <c r="J25" s="80" t="str">
        <f>IF(B25="","",VLOOKUP(AD25,Varsayımlar!$B:$Q,6,0))</f>
        <v>Peynirli</v>
      </c>
      <c r="K25" s="80">
        <v>360</v>
      </c>
      <c r="L25" s="80"/>
      <c r="M25" s="80">
        <f>IFERROR(IF(B25="","",K25/VLOOKUP(AD25,Varsayımlar!B:R,17,0)),"")</f>
        <v>3</v>
      </c>
      <c r="N25" s="80"/>
      <c r="O25" s="80">
        <v>4</v>
      </c>
      <c r="P25" s="80">
        <f>IF(B25="","",VLOOKUP(AD25,Varsayımlar!$B:$Q,7,0)*K25)</f>
        <v>4320</v>
      </c>
      <c r="Q25" s="80">
        <f>IF(B25="","",VLOOKUP(AD25,Varsayımlar!$B:$Q,8,0))</f>
        <v>25</v>
      </c>
      <c r="R25" s="80" t="str">
        <f>IF(B25="","",VLOOKUP(AD25,Varsayımlar!$B:$Q,9,0))</f>
        <v>Irak Soft-AT</v>
      </c>
      <c r="S25" s="80">
        <f>IF(B25="","",VLOOKUP(AD25,Varsayımlar!$B:$Q,10,0))</f>
        <v>6</v>
      </c>
      <c r="T25" s="80">
        <f>IF(B25="","",VLOOKUP(AD25,Varsayımlar!$B:$Q,11,0))</f>
        <v>12</v>
      </c>
      <c r="U25" s="80">
        <f>IF(B25="","",VLOOKUP(AD25,Varsayımlar!$B:$Q,12,0))</f>
        <v>390</v>
      </c>
      <c r="V25" s="80" t="str">
        <f>IF(B25="","",VLOOKUP(AD25,Varsayımlar!$B:$Q,13,0))</f>
        <v>Yurtdışı</v>
      </c>
      <c r="W25" s="80">
        <f>IF(B25="","",VLOOKUP(AD25,Varsayımlar!$B:$Q,14,0))</f>
        <v>9</v>
      </c>
      <c r="X25" s="81">
        <v>46203</v>
      </c>
      <c r="Y25" s="81">
        <v>46476</v>
      </c>
      <c r="Z25" s="80" t="s">
        <v>382</v>
      </c>
      <c r="AA25" s="80" t="str">
        <f>IF(B25="","",VLOOKUP(AD25,Varsayımlar!$B:$Q,15,0))</f>
        <v>25cm Perforeli-Bulgarca Peynirli etiket</v>
      </c>
      <c r="AB25" s="80" t="str">
        <f>IF(B25="","",VLOOKUP(AD25,Varsayımlar!$B:$Q,16,0))</f>
        <v>24-26 cm</v>
      </c>
      <c r="AC25" s="80" t="str">
        <f>IF(B25="","",VLOOKUP(Sayfa1!AD60,Varsayımlar!B:S,18,0))</f>
        <v>80x120cm -Epal+Epal</v>
      </c>
      <c r="AD25" s="57" t="str">
        <f t="shared" si="0"/>
        <v>TASTE LAND-BULGARİSTANTortillas 25cm Peynirli 6pcs 390g</v>
      </c>
    </row>
    <row r="26" spans="1:30" ht="47.25" x14ac:dyDescent="0.25">
      <c r="A26" s="8" t="s">
        <v>138</v>
      </c>
      <c r="B26" s="54" t="s">
        <v>268</v>
      </c>
      <c r="C26" s="39">
        <f>IF(B26="","",VLOOKUP(AD26,Varsayımlar!$B:$Q,3,0))</f>
        <v>8698829380698</v>
      </c>
      <c r="D26" s="39" t="s">
        <v>160</v>
      </c>
      <c r="E26" s="54" t="s">
        <v>269</v>
      </c>
      <c r="F26" s="54" t="s">
        <v>343</v>
      </c>
      <c r="G26" s="39" t="s">
        <v>68</v>
      </c>
      <c r="H26" s="54" t="str">
        <f>IF(B26="","",VLOOKUP(AD26,Varsayımlar!$B:$Q,5,0))</f>
        <v>Tortillas 25cm Tam Buğday</v>
      </c>
      <c r="I26" s="54">
        <f>IF(B26="","",VLOOKUP(AD26,Varsayımlar!B:T,19,0))</f>
        <v>0</v>
      </c>
      <c r="J26" s="54" t="str">
        <f>IF(B26="","",VLOOKUP(AD26,Varsayımlar!$B:$Q,6,0))</f>
        <v>Tam Buğdaylı</v>
      </c>
      <c r="K26" s="54">
        <v>336</v>
      </c>
      <c r="L26" s="54"/>
      <c r="M26" s="54">
        <f>IFERROR(IF(B26="","",K26/VLOOKUP(AD26,Varsayımlar!B:R,17,0)),"")</f>
        <v>4</v>
      </c>
      <c r="N26" s="54"/>
      <c r="O26" s="54">
        <v>6</v>
      </c>
      <c r="P26" s="54">
        <f>IF(B26="","",VLOOKUP(AD26,Varsayımlar!$B:$Q,7,0)*K26)</f>
        <v>10080</v>
      </c>
      <c r="Q26" s="54">
        <f>IF(B26="","",VLOOKUP(AD26,Varsayımlar!$B:$Q,8,0))</f>
        <v>25</v>
      </c>
      <c r="R26" s="54" t="str">
        <f>IF(B26="","",VLOOKUP(AD26,Varsayımlar!$B:$Q,9,0))</f>
        <v>Soft-PA3</v>
      </c>
      <c r="S26" s="54">
        <f>IF(B26="","",VLOOKUP(AD26,Varsayımlar!$B:$Q,10,0))</f>
        <v>4</v>
      </c>
      <c r="T26" s="54">
        <f>IF(B26="","",VLOOKUP(AD26,Varsayımlar!$B:$Q,11,0))</f>
        <v>30</v>
      </c>
      <c r="U26" s="54">
        <f>IF(B26="","",VLOOKUP(AD26,Varsayımlar!$B:$Q,12,0))</f>
        <v>240</v>
      </c>
      <c r="V26" s="54" t="str">
        <f>IF(B26="","",VLOOKUP(AD26,Varsayımlar!$B:$Q,13,0))</f>
        <v>Yurtdışı</v>
      </c>
      <c r="W26" s="54">
        <f>IF(B26="","",VLOOKUP(AD26,Varsayımlar!$B:$Q,14,0))</f>
        <v>12</v>
      </c>
      <c r="X26" s="56">
        <v>46205</v>
      </c>
      <c r="Y26" s="56">
        <v>46570</v>
      </c>
      <c r="Z26" s="54" t="s">
        <v>383</v>
      </c>
      <c r="AA26" s="54" t="str">
        <f>IF(B26="","",VLOOKUP(AD26,Varsayımlar!$B:$Q,15,0))</f>
        <v>25cm Kolisi-Etiketli</v>
      </c>
      <c r="AB26" s="54" t="str">
        <f>IF(B26="","",VLOOKUP(AD26,Varsayımlar!$B:$Q,16,0))</f>
        <v>24-26 cm (Macca Hetto Inkjet Uzun Tarih)</v>
      </c>
      <c r="AC26" s="54" t="str">
        <f>IF(B26="","",VLOOKUP(Sayfa1!AD36,Varsayımlar!B:S,18,0))</f>
        <v>80x120cm</v>
      </c>
      <c r="AD26" s="57" t="str">
        <f t="shared" si="0"/>
        <v>LAIKYUZHN-BELARUSTortillas 25cm Tam buğday 4pcs 240g</v>
      </c>
    </row>
    <row r="27" spans="1:30" ht="47.25" x14ac:dyDescent="0.25">
      <c r="A27" s="8" t="s">
        <v>139</v>
      </c>
      <c r="B27" s="54" t="s">
        <v>268</v>
      </c>
      <c r="C27" s="39">
        <f>IF(B27="","",VLOOKUP(AD27,Varsayımlar!$B:$Q,3,0))</f>
        <v>8698829380698</v>
      </c>
      <c r="D27" s="39" t="s">
        <v>160</v>
      </c>
      <c r="E27" s="54" t="s">
        <v>274</v>
      </c>
      <c r="F27" s="54" t="s">
        <v>343</v>
      </c>
      <c r="G27" s="39" t="s">
        <v>68</v>
      </c>
      <c r="H27" s="54" t="str">
        <f>IF(B27="","",VLOOKUP(AD27,Varsayımlar!$B:$Q,5,0))</f>
        <v>Tortillas 25cm Domatesli</v>
      </c>
      <c r="I27" s="54">
        <f>IF(B27="","",VLOOKUP(AD27,Varsayımlar!B:T,19,0))</f>
        <v>0</v>
      </c>
      <c r="J27" s="54" t="str">
        <f>IF(B27="","",VLOOKUP(AD27,Varsayımlar!$B:$Q,6,0))</f>
        <v>Domatesli</v>
      </c>
      <c r="K27" s="54">
        <v>420</v>
      </c>
      <c r="L27" s="54"/>
      <c r="M27" s="54">
        <f>IFERROR(IF(B27="","",K27/VLOOKUP(AD27,Varsayımlar!B:R,17,0)),"")</f>
        <v>5</v>
      </c>
      <c r="N27" s="54"/>
      <c r="O27" s="54">
        <v>7</v>
      </c>
      <c r="P27" s="54">
        <f>IF(B27="","",VLOOKUP(AD27,Varsayımlar!$B:$Q,7,0)*K27)</f>
        <v>12600</v>
      </c>
      <c r="Q27" s="54">
        <f>IF(B27="","",VLOOKUP(AD27,Varsayımlar!$B:$Q,8,0))</f>
        <v>25</v>
      </c>
      <c r="R27" s="54" t="str">
        <f>IF(B27="","",VLOOKUP(AD27,Varsayımlar!$B:$Q,9,0))</f>
        <v>Soft-PA3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240</v>
      </c>
      <c r="V27" s="54" t="str">
        <f>IF(B27="","",VLOOKUP(AD27,Varsayımlar!$B:$Q,13,0))</f>
        <v>Yurtdışı</v>
      </c>
      <c r="W27" s="54">
        <f>IF(B27="","",VLOOKUP(AD27,Varsayımlar!$B:$Q,14,0))</f>
        <v>12</v>
      </c>
      <c r="X27" s="56">
        <v>46205</v>
      </c>
      <c r="Y27" s="56">
        <v>46570</v>
      </c>
      <c r="Z27" s="54" t="s">
        <v>384</v>
      </c>
      <c r="AA27" s="54" t="str">
        <f>IF(B27="","",VLOOKUP(AD27,Varsayımlar!$B:$Q,15,0))</f>
        <v>25cm Kolisi-Etiketli</v>
      </c>
      <c r="AB27" s="54" t="str">
        <f>IF(B27="","",VLOOKUP(AD27,Varsayımlar!$B:$Q,16,0))</f>
        <v>24-26 cm (Macca Hetto Inkjet Uzun Tarih)</v>
      </c>
      <c r="AC27" s="54" t="str">
        <f>IF(B27="","",VLOOKUP(Sayfa1!AD37,Varsayımlar!B:S,18,0))</f>
        <v>80x120cm</v>
      </c>
      <c r="AD27" s="57" t="str">
        <f t="shared" si="0"/>
        <v>LAIKYUZHN-BELARUSTortillas 25cm Domatesli 4pcs 240g</v>
      </c>
    </row>
    <row r="28" spans="1:30" ht="47.25" x14ac:dyDescent="0.25">
      <c r="A28" s="8" t="s">
        <v>140</v>
      </c>
      <c r="B28" s="54" t="s">
        <v>268</v>
      </c>
      <c r="C28" s="39">
        <f>IF(B28="","",VLOOKUP(AD28,Varsayımlar!$B:$Q,3,0))</f>
        <v>8698829380698</v>
      </c>
      <c r="D28" s="39" t="s">
        <v>160</v>
      </c>
      <c r="E28" s="54" t="s">
        <v>276</v>
      </c>
      <c r="F28" s="54" t="s">
        <v>343</v>
      </c>
      <c r="G28" s="39" t="s">
        <v>68</v>
      </c>
      <c r="H28" s="54" t="str">
        <f>IF(B28="","",VLOOKUP(AD28,Varsayımlar!$B:$Q,5,0))</f>
        <v>Tortillas 25cm Ispanaklı</v>
      </c>
      <c r="I28" s="54">
        <f>IF(B28="","",VLOOKUP(AD28,Varsayımlar!B:T,19,0))</f>
        <v>0</v>
      </c>
      <c r="J28" s="54" t="str">
        <f>IF(B28="","",VLOOKUP(AD28,Varsayımlar!$B:$Q,6,0))</f>
        <v>Ispanaklı</v>
      </c>
      <c r="K28" s="54">
        <v>336</v>
      </c>
      <c r="L28" s="54"/>
      <c r="M28" s="54">
        <f>IFERROR(IF(B28="","",K28/VLOOKUP(AD28,Varsayımlar!B:R,17,0)),"")</f>
        <v>4</v>
      </c>
      <c r="N28" s="54"/>
      <c r="O28" s="54">
        <v>6</v>
      </c>
      <c r="P28" s="54">
        <f>IF(B28="","",VLOOKUP(AD28,Varsayımlar!$B:$Q,7,0)*K28)</f>
        <v>10080</v>
      </c>
      <c r="Q28" s="54">
        <f>IF(B28="","",VLOOKUP(AD28,Varsayımlar!$B:$Q,8,0))</f>
        <v>25</v>
      </c>
      <c r="R28" s="54" t="str">
        <f>IF(B28="","",VLOOKUP(AD28,Varsayımlar!$B:$Q,9,0))</f>
        <v>Soft-PA3</v>
      </c>
      <c r="S28" s="54">
        <f>IF(B28="","",VLOOKUP(AD28,Varsayımlar!$B:$Q,10,0))</f>
        <v>4</v>
      </c>
      <c r="T28" s="54">
        <f>IF(B28="","",VLOOKUP(AD28,Varsayımlar!$B:$Q,11,0))</f>
        <v>30</v>
      </c>
      <c r="U28" s="54">
        <f>IF(B28="","",VLOOKUP(AD28,Varsayımlar!$B:$Q,12,0))</f>
        <v>240</v>
      </c>
      <c r="V28" s="54" t="str">
        <f>IF(B28="","",VLOOKUP(AD28,Varsayımlar!$B:$Q,13,0))</f>
        <v>Yurtdışı</v>
      </c>
      <c r="W28" s="54">
        <f>IF(B28="","",VLOOKUP(AD28,Varsayımlar!$B:$Q,14,0))</f>
        <v>12</v>
      </c>
      <c r="X28" s="56">
        <v>46205</v>
      </c>
      <c r="Y28" s="56">
        <v>46570</v>
      </c>
      <c r="Z28" s="54" t="s">
        <v>385</v>
      </c>
      <c r="AA28" s="54" t="str">
        <f>IF(B28="","",VLOOKUP(AD28,Varsayımlar!$B:$Q,15,0))</f>
        <v>25cm Kolisi-Etiketli</v>
      </c>
      <c r="AB28" s="54" t="str">
        <f>IF(B28="","",VLOOKUP(AD28,Varsayımlar!$B:$Q,16,0))</f>
        <v>24-26 cm (Macca Hetto Inkjet Uzun Tarih)</v>
      </c>
      <c r="AC28" s="54" t="str">
        <f>IF(B28="","",VLOOKUP(Sayfa1!AD38,Varsayımlar!B:S,18,0))</f>
        <v>80x120cm</v>
      </c>
      <c r="AD28" s="57" t="str">
        <f t="shared" si="0"/>
        <v>LAIKYUZHN-BELARUSTortillas 25cm Ispanaklı 4pcs 240g</v>
      </c>
    </row>
    <row r="29" spans="1:30" ht="47.25" x14ac:dyDescent="0.25">
      <c r="A29" s="8" t="s">
        <v>141</v>
      </c>
      <c r="B29" s="54" t="s">
        <v>268</v>
      </c>
      <c r="C29" s="39">
        <f>IF(B29="","",VLOOKUP(AD29,Varsayımlar!$B:$Q,3,0))</f>
        <v>8698829380698</v>
      </c>
      <c r="D29" s="39" t="s">
        <v>160</v>
      </c>
      <c r="E29" s="54" t="s">
        <v>278</v>
      </c>
      <c r="F29" s="54" t="s">
        <v>343</v>
      </c>
      <c r="G29" s="39" t="s">
        <v>68</v>
      </c>
      <c r="H29" s="54" t="str">
        <f>IF(B29="","",VLOOKUP(AD29,Varsayımlar!$B:$Q,5,0))</f>
        <v>Magnit Tortillas 25cm Peynirli</v>
      </c>
      <c r="I29" s="54" t="str">
        <f>IF(B29="","",VLOOKUP(AD29,Varsayımlar!B:T,19,0))</f>
        <v>Etiketli</v>
      </c>
      <c r="J29" s="54" t="str">
        <f>IF(B29="","",VLOOKUP(AD29,Varsayımlar!$B:$Q,6,0))</f>
        <v>Peynirli</v>
      </c>
      <c r="K29" s="54">
        <v>504</v>
      </c>
      <c r="L29" s="54"/>
      <c r="M29" s="54">
        <f>IFERROR(IF(B29="","",K29/VLOOKUP(AD29,Varsayımlar!B:R,17,0)),"")</f>
        <v>6</v>
      </c>
      <c r="N29" s="54"/>
      <c r="O29" s="54">
        <v>9</v>
      </c>
      <c r="P29" s="54">
        <f>IF(B29="","",VLOOKUP(AD29,Varsayımlar!$B:$Q,7,0)*K29)</f>
        <v>15120</v>
      </c>
      <c r="Q29" s="54">
        <f>IF(B29="","",VLOOKUP(AD29,Varsayımlar!$B:$Q,8,0))</f>
        <v>25</v>
      </c>
      <c r="R29" s="54" t="str">
        <f>IF(B29="","",VLOOKUP(AD29,Varsayımlar!$B:$Q,9,0))</f>
        <v>Soft-PA3-AT</v>
      </c>
      <c r="S29" s="54">
        <f>IF(B29="","",VLOOKUP(AD29,Varsayımlar!$B:$Q,10,0))</f>
        <v>4</v>
      </c>
      <c r="T29" s="54">
        <f>IF(B29="","",VLOOKUP(AD29,Varsayımlar!$B:$Q,11,0))</f>
        <v>30</v>
      </c>
      <c r="U29" s="54">
        <f>IF(B29="","",VLOOKUP(AD29,Varsayımlar!$B:$Q,12,0))</f>
        <v>250</v>
      </c>
      <c r="V29" s="54" t="str">
        <f>IF(B29="","",VLOOKUP(AD29,Varsayımlar!$B:$Q,13,0))</f>
        <v>Yurtdışı</v>
      </c>
      <c r="W29" s="54">
        <f>IF(B29="","",VLOOKUP(AD29,Varsayımlar!$B:$Q,14,0))</f>
        <v>9</v>
      </c>
      <c r="X29" s="56">
        <v>46205</v>
      </c>
      <c r="Y29" s="56">
        <v>46479</v>
      </c>
      <c r="Z29" s="54" t="s">
        <v>386</v>
      </c>
      <c r="AA29" s="54" t="str">
        <f>IF(B29="","",VLOOKUP(AD29,Varsayımlar!$B:$Q,15,0))</f>
        <v>25cm Kolisi-Etiketli</v>
      </c>
      <c r="AB29" s="54" t="str">
        <f>IF(B29="","",VLOOKUP(AD29,Varsayımlar!$B:$Q,16,0))</f>
        <v>24-26 cm (Macca Hetto Inkjet Uzun Tarih)</v>
      </c>
      <c r="AC29" s="54" t="str">
        <f>IF(B29="","",VLOOKUP(Sayfa1!AD39,Varsayımlar!B:S,18,0))</f>
        <v>80x120cm</v>
      </c>
      <c r="AD29" s="57" t="str">
        <f t="shared" si="0"/>
        <v>LAIKYUZHN-BELARUSMagnit Tortillas 25cm Peynirli 4pcs 240g</v>
      </c>
    </row>
    <row r="30" spans="1:30" ht="45.75" customHeight="1" x14ac:dyDescent="0.25">
      <c r="A30" s="8" t="s">
        <v>26</v>
      </c>
      <c r="B30" s="130" t="s">
        <v>119</v>
      </c>
      <c r="C30" s="131">
        <f>IF(B30="","",VLOOKUP(AD30,Varsayımlar!$B:$Q,3,0))</f>
        <v>8698829380698</v>
      </c>
      <c r="D30" s="131"/>
      <c r="E30" s="132" t="s">
        <v>120</v>
      </c>
      <c r="F30" s="130"/>
      <c r="G30" s="130"/>
      <c r="H30" s="130" t="str">
        <f>IF(B30="","",VLOOKUP(AD30,Varsayımlar!$B:$Q,5,0))</f>
        <v>Nimet 25 cm</v>
      </c>
      <c r="I30" s="130"/>
      <c r="J30" s="130" t="str">
        <f>IF(B30="","",VLOOKUP(AD30,Varsayımlar!$B:$Q,6,0))</f>
        <v>SADE</v>
      </c>
      <c r="K30" s="130">
        <v>5000</v>
      </c>
      <c r="L30" s="130"/>
      <c r="M30" s="130">
        <f>IFERROR(IF(B30="","",K30/VLOOKUP(AD30,Varsayımlar!B:R,17,0)),"")</f>
        <v>100</v>
      </c>
      <c r="N30" s="130"/>
      <c r="O30" s="130">
        <v>100</v>
      </c>
      <c r="P30" s="130">
        <f>IF(B30="","",VLOOKUP(AD30,Varsayımlar!$B:$Q,7,0)*K30)</f>
        <v>60000</v>
      </c>
      <c r="Q30" s="130">
        <f>IF(B30="","",VLOOKUP(AD30,Varsayımlar!$B:$Q,8,0))</f>
        <v>25</v>
      </c>
      <c r="R30" s="130" t="str">
        <f>IF(B30="","",VLOOKUP(AD30,Varsayımlar!$B:$Q,9,0))</f>
        <v>Standart</v>
      </c>
      <c r="S30" s="130">
        <f>IF(B30="","",VLOOKUP(AD30,Varsayımlar!$B:$Q,10,0))</f>
        <v>12</v>
      </c>
      <c r="T30" s="130">
        <f>IF(B30="","",VLOOKUP(AD30,Varsayımlar!$B:$Q,11,0))</f>
        <v>12</v>
      </c>
      <c r="U30" s="130">
        <f>IF(B30="","",VLOOKUP(AD30,Varsayımlar!$B:$Q,12,0))</f>
        <v>840</v>
      </c>
      <c r="V30" s="130" t="str">
        <f>IF(B30="","",VLOOKUP(AD30,Varsayımlar!$B:$Q,13,0))</f>
        <v>YURTİÇİ</v>
      </c>
      <c r="W30" s="130">
        <f>IF(B30="","",VLOOKUP(AD30,Varsayımlar!$B:$Q,14,0))</f>
        <v>5</v>
      </c>
      <c r="X30" s="133" t="s">
        <v>113</v>
      </c>
      <c r="Y30" s="133" t="s">
        <v>113</v>
      </c>
      <c r="Z30" s="130" t="s">
        <v>113</v>
      </c>
      <c r="AA30" s="130" t="str">
        <f>IF(B30="","",VLOOKUP(AD30,Varsayımlar!$B:$Q,15,0))</f>
        <v>Nimet Kolisi</v>
      </c>
      <c r="AB30" s="130" t="str">
        <f>IF(B30="","",VLOOKUP(AD30,Varsayımlar!$B:$Q,16,0))</f>
        <v>24-26 CM</v>
      </c>
      <c r="AC30" s="64" t="s">
        <v>360</v>
      </c>
      <c r="AD30" s="57" t="str">
        <f>IF(B30="","",CONCATENATE(B30,E30))</f>
        <v>A101Nimet 25cm 12 pcs 840g</v>
      </c>
    </row>
    <row r="31" spans="1:30" ht="47.25" x14ac:dyDescent="0.25">
      <c r="A31" s="8" t="s">
        <v>142</v>
      </c>
      <c r="B31" s="75" t="s">
        <v>218</v>
      </c>
      <c r="C31" s="43">
        <f>IF(B31="","",VLOOKUP(AD31,Varsayımlar!$B:$Q,3,0))</f>
        <v>8698829380698</v>
      </c>
      <c r="D31" s="43" t="s">
        <v>161</v>
      </c>
      <c r="E31" s="75" t="s">
        <v>252</v>
      </c>
      <c r="F31" s="75" t="s">
        <v>341</v>
      </c>
      <c r="G31" s="43"/>
      <c r="H31" s="75" t="str">
        <f>IF(B31="","",VLOOKUP(AD31,Varsayımlar!$B:$Q,5,0))</f>
        <v xml:space="preserve">Tortillas 20cm Sade </v>
      </c>
      <c r="I31" s="75" t="str">
        <f>IF(B31="","",VLOOKUP(AD31,Varsayımlar!B:T,19,0))</f>
        <v>Barkod üzerine Barkod Etiketi (104)</v>
      </c>
      <c r="J31" s="75" t="str">
        <f>IF(B31="","",VLOOKUP(AD31,Varsayımlar!$B:$Q,6,0))</f>
        <v>SADE</v>
      </c>
      <c r="K31" s="75">
        <v>120</v>
      </c>
      <c r="L31" s="75"/>
      <c r="M31" s="75">
        <f>IFERROR(IF(B31="","",K31/VLOOKUP(AD31,Varsayımlar!B:R,17,0)),"")</f>
        <v>1</v>
      </c>
      <c r="N31" s="75"/>
      <c r="O31" s="75">
        <v>2</v>
      </c>
      <c r="P31" s="75">
        <f>IF(B31="","",VLOOKUP(AD31,Varsayımlar!$B:$Q,7,0)*K31)</f>
        <v>2160</v>
      </c>
      <c r="Q31" s="75">
        <f>IF(B31="","",VLOOKUP(AD31,Varsayımlar!$B:$Q,8,0))</f>
        <v>20</v>
      </c>
      <c r="R31" s="75" t="str">
        <f>IF(B31="","",VLOOKUP(AD31,Varsayımlar!$B:$Q,9,0))</f>
        <v>Irak Soft</v>
      </c>
      <c r="S31" s="75">
        <f>IF(B31="","",VLOOKUP(AD31,Varsayımlar!$B:$Q,10,0))</f>
        <v>6</v>
      </c>
      <c r="T31" s="75">
        <f>IF(B31="","",VLOOKUP(AD31,Varsayımlar!$B:$Q,11,0))</f>
        <v>18</v>
      </c>
      <c r="U31" s="75">
        <f>IF(B31="","",VLOOKUP(AD31,Varsayımlar!$B:$Q,12,0))</f>
        <v>270</v>
      </c>
      <c r="V31" s="75" t="str">
        <f>IF(B31="","",VLOOKUP(AD31,Varsayımlar!$B:$Q,13,0))</f>
        <v>Yurtdışı</v>
      </c>
      <c r="W31" s="75">
        <f>IF(B31="","",VLOOKUP(AD31,Varsayımlar!$B:$Q,14,0))</f>
        <v>9</v>
      </c>
      <c r="X31" s="76">
        <v>46213</v>
      </c>
      <c r="Y31" s="76">
        <v>46487</v>
      </c>
      <c r="Z31" s="75">
        <v>26071020</v>
      </c>
      <c r="AA31" s="75" t="str">
        <f>IF(B31="","",VLOOKUP(AD31,Varsayımlar!$B:$Q,15,0))</f>
        <v>20cm Lacivert-Bulgarca Etiket</v>
      </c>
      <c r="AB31" s="75" t="str">
        <f>IF(B31="","",VLOOKUP(AD31,Varsayımlar!$B:$Q,16,0))</f>
        <v>19-21 cm</v>
      </c>
      <c r="AC31" s="75" t="str">
        <f>IF(B31="","",VLOOKUP(Sayfa1!AD21,Varsayımlar!B:S,18,0))</f>
        <v>100x120cm-Epal+Epal</v>
      </c>
      <c r="AD31" s="57" t="str">
        <f t="shared" si="0"/>
        <v>TASTE LAND-BULGARİSTANTortillas 20cm Sade 6pcs 270g</v>
      </c>
    </row>
    <row r="32" spans="1:30" ht="78.75" x14ac:dyDescent="0.25">
      <c r="A32" s="8" t="s">
        <v>143</v>
      </c>
      <c r="B32" s="75" t="s">
        <v>218</v>
      </c>
      <c r="C32" s="43">
        <f>IF(B32="","",VLOOKUP(AD32,Varsayımlar!$B:$Q,3,0))</f>
        <v>8698829380698</v>
      </c>
      <c r="D32" s="43" t="s">
        <v>161</v>
      </c>
      <c r="E32" s="75" t="s">
        <v>222</v>
      </c>
      <c r="F32" s="75" t="s">
        <v>341</v>
      </c>
      <c r="G32" s="43"/>
      <c r="H32" s="75" t="str">
        <f>IF(B32="","",VLOOKUP(AD32,Varsayımlar!$B:$Q,5,0))</f>
        <v xml:space="preserve">Tortillas 30cm Tam Buğday </v>
      </c>
      <c r="I32" s="75" t="str">
        <f>IF(B32="","",VLOOKUP(AD32,Varsayımlar!B:T,19,0))</f>
        <v>Barkod üzerine-Bulgarca Barkodlu TB içerik etiketi (029)</v>
      </c>
      <c r="J32" s="75" t="str">
        <f>IF(B32="","",VLOOKUP(AD32,Varsayımlar!$B:$Q,6,0))</f>
        <v>Tam Buğdaylı</v>
      </c>
      <c r="K32" s="75">
        <v>60</v>
      </c>
      <c r="L32" s="75"/>
      <c r="M32" s="75">
        <f>IFERROR(IF(B32="","",K32/VLOOKUP(AD32,Varsayımlar!B:R,17,0)),"")</f>
        <v>1</v>
      </c>
      <c r="N32" s="75"/>
      <c r="O32" s="75">
        <v>1</v>
      </c>
      <c r="P32" s="75">
        <f>IF(B32="","",VLOOKUP(AD32,Varsayımlar!$B:$Q,7,0)*K32)</f>
        <v>360</v>
      </c>
      <c r="Q32" s="75">
        <f>IF(B32="","",VLOOKUP(AD32,Varsayımlar!$B:$Q,8,0))</f>
        <v>30</v>
      </c>
      <c r="R32" s="75" t="str">
        <f>IF(B32="","",VLOOKUP(AD32,Varsayımlar!$B:$Q,9,0))</f>
        <v>Irak Soft</v>
      </c>
      <c r="S32" s="75">
        <f>IF(B32="","",VLOOKUP(AD32,Varsayımlar!$B:$Q,10,0))</f>
        <v>18</v>
      </c>
      <c r="T32" s="75">
        <f>IF(B32="","",VLOOKUP(AD32,Varsayımlar!$B:$Q,11,0))</f>
        <v>6</v>
      </c>
      <c r="U32" s="75">
        <f>IF(B32="","",VLOOKUP(AD32,Varsayımlar!$B:$Q,12,0))</f>
        <v>1620</v>
      </c>
      <c r="V32" s="75" t="str">
        <f>IF(B32="","",VLOOKUP(AD32,Varsayımlar!$B:$Q,13,0))</f>
        <v>Yurtdışı</v>
      </c>
      <c r="W32" s="75">
        <f>IF(B32="","",VLOOKUP(AD32,Varsayımlar!$B:$Q,14,0))</f>
        <v>9</v>
      </c>
      <c r="X32" s="76">
        <v>46213</v>
      </c>
      <c r="Y32" s="76">
        <v>46487</v>
      </c>
      <c r="Z32" s="75" t="s">
        <v>442</v>
      </c>
      <c r="AA32" s="75" t="str">
        <f>IF(B32="","",VLOOKUP(AD32,Varsayımlar!$B:$Q,15,0))</f>
        <v>30cm Lacivert Koli- Bulgarca TB Etiket</v>
      </c>
      <c r="AB32" s="75" t="str">
        <f>IF(B32="","",VLOOKUP(AD32,Varsayımlar!$B:$Q,16,0))</f>
        <v>29-31 cm</v>
      </c>
      <c r="AC32" s="75" t="str">
        <f>IF(B32="","",VLOOKUP(Sayfa1!AD20,Varsayımlar!B:S,18,0))</f>
        <v>95x130cm</v>
      </c>
      <c r="AD32" s="57" t="str">
        <f t="shared" si="0"/>
        <v>TASTE LAND-BULGARİSTANTortillas 30cm Tam Buğday 18pcs 1620g</v>
      </c>
    </row>
    <row r="33" spans="1:30" ht="31.5" x14ac:dyDescent="0.25">
      <c r="A33" s="8" t="s">
        <v>144</v>
      </c>
      <c r="B33" s="75" t="s">
        <v>218</v>
      </c>
      <c r="C33" s="43">
        <f>IF(B33="","",VLOOKUP(AD33,Varsayımlar!$B:$Q,3,0))</f>
        <v>8698829380698</v>
      </c>
      <c r="D33" s="43" t="s">
        <v>161</v>
      </c>
      <c r="E33" s="75" t="s">
        <v>229</v>
      </c>
      <c r="F33" s="75" t="s">
        <v>341</v>
      </c>
      <c r="G33" s="43"/>
      <c r="H33" s="75" t="str">
        <f>IF(B33="","",VLOOKUP(AD33,Varsayımlar!$B:$Q,5,0))</f>
        <v>Tortillas Avrupa 25cm Tam Buğday (711)</v>
      </c>
      <c r="I33" s="75">
        <f>IF(B33="","",VLOOKUP(AD33,Varsayımlar!B:T,19,0))</f>
        <v>0</v>
      </c>
      <c r="J33" s="75" t="str">
        <f>IF(B33="","",VLOOKUP(AD33,Varsayımlar!$B:$Q,6,0))</f>
        <v>Tam Buğdaylı</v>
      </c>
      <c r="K33" s="75">
        <v>840</v>
      </c>
      <c r="L33" s="75"/>
      <c r="M33" s="75">
        <f>IFERROR(IF(B33="","",K33/VLOOKUP(AD33,Varsayımlar!B:R,17,0)),"")</f>
        <v>7</v>
      </c>
      <c r="N33" s="75"/>
      <c r="O33" s="75">
        <v>9</v>
      </c>
      <c r="P33" s="75">
        <f>IF(B33="","",VLOOKUP(AD33,Varsayımlar!$B:$Q,7,0)*K33)</f>
        <v>6720</v>
      </c>
      <c r="Q33" s="75">
        <f>IF(B33="","",VLOOKUP(AD33,Varsayımlar!$B:$Q,8,0))</f>
        <v>25</v>
      </c>
      <c r="R33" s="75" t="str">
        <f>IF(B33="","",VLOOKUP(AD33,Varsayımlar!$B:$Q,9,0))</f>
        <v>Irak Soft</v>
      </c>
      <c r="S33" s="75">
        <f>IF(B33="","",VLOOKUP(AD33,Varsayımlar!$B:$Q,10,0))</f>
        <v>10</v>
      </c>
      <c r="T33" s="75">
        <f>IF(B33="","",VLOOKUP(AD33,Varsayımlar!$B:$Q,11,0))</f>
        <v>8</v>
      </c>
      <c r="U33" s="75">
        <f>IF(B33="","",VLOOKUP(AD33,Varsayımlar!$B:$Q,12,0))</f>
        <v>650</v>
      </c>
      <c r="V33" s="75" t="str">
        <f>IF(B33="","",VLOOKUP(AD33,Varsayımlar!$B:$Q,13,0))</f>
        <v>Yurtdışı</v>
      </c>
      <c r="W33" s="75">
        <f>IF(B33="","",VLOOKUP(AD33,Varsayımlar!$B:$Q,14,0))</f>
        <v>9</v>
      </c>
      <c r="X33" s="76">
        <v>46213</v>
      </c>
      <c r="Y33" s="76">
        <v>46487</v>
      </c>
      <c r="Z33" s="75" t="s">
        <v>442</v>
      </c>
      <c r="AA33" s="75" t="str">
        <f>IF(B33="","",VLOOKUP(AD33,Varsayımlar!$B:$Q,15,0))</f>
        <v>25cm Perforeli-Bulgarca TB etiket</v>
      </c>
      <c r="AB33" s="75" t="str">
        <f>IF(B33="","",VLOOKUP(AD33,Varsayımlar!$B:$Q,16,0))</f>
        <v>24-26 cm</v>
      </c>
      <c r="AC33" s="75" t="str">
        <f>IF(B33="","",VLOOKUP(Sayfa1!AD63,Varsayımlar!B:S,18,0))</f>
        <v>80x120cm -Epal+Epal</v>
      </c>
      <c r="AD33" s="57" t="str">
        <f t="shared" si="0"/>
        <v>TASTE LAND-BULGARİSTANTortillas 25cm Tam Buğday 10pcs 650g</v>
      </c>
    </row>
    <row r="34" spans="1:30" ht="47.25" x14ac:dyDescent="0.25">
      <c r="A34" s="8" t="s">
        <v>145</v>
      </c>
      <c r="B34" s="75" t="s">
        <v>218</v>
      </c>
      <c r="C34" s="43">
        <f>IF(B34="","",VLOOKUP(AD34,Varsayımlar!$B:$Q,3,0))</f>
        <v>8698829380698</v>
      </c>
      <c r="D34" s="43" t="s">
        <v>161</v>
      </c>
      <c r="E34" s="75" t="s">
        <v>251</v>
      </c>
      <c r="F34" s="75" t="s">
        <v>341</v>
      </c>
      <c r="G34" s="43"/>
      <c r="H34" s="75" t="str">
        <f>IF(B34="","",VLOOKUP(AD34,Varsayımlar!$B:$Q,5,0))</f>
        <v>Tortillas Avrupa 25cm TB (711)</v>
      </c>
      <c r="I34" s="75" t="str">
        <f>IF(B34="","",VLOOKUP(AD34,Varsayımlar!B:T,19,0))</f>
        <v>Barkod üzerine Barkod Etiketi (067)</v>
      </c>
      <c r="J34" s="75" t="str">
        <f>IF(B34="","",VLOOKUP(AD34,Varsayımlar!$B:$Q,6,0))</f>
        <v>Tam Buğdaylı</v>
      </c>
      <c r="K34" s="75">
        <v>84</v>
      </c>
      <c r="L34" s="75"/>
      <c r="M34" s="75">
        <f>IFERROR(IF(B34="","",K34/VLOOKUP(AD34,Varsayımlar!B:R,17,0)),"")</f>
        <v>1</v>
      </c>
      <c r="N34" s="75"/>
      <c r="O34" s="75">
        <v>2</v>
      </c>
      <c r="P34" s="75">
        <f>IF(B34="","",VLOOKUP(AD34,Varsayımlar!$B:$Q,7,0)*K34)</f>
        <v>1512</v>
      </c>
      <c r="Q34" s="75">
        <f>IF(B34="","",VLOOKUP(AD34,Varsayımlar!$B:$Q,8,0))</f>
        <v>25</v>
      </c>
      <c r="R34" s="75" t="str">
        <f>IF(B34="","",VLOOKUP(AD34,Varsayımlar!$B:$Q,9,0))</f>
        <v>Irak Soft</v>
      </c>
      <c r="S34" s="75">
        <f>IF(B34="","",VLOOKUP(AD34,Varsayımlar!$B:$Q,10,0))</f>
        <v>6</v>
      </c>
      <c r="T34" s="75">
        <f>IF(B34="","",VLOOKUP(AD34,Varsayımlar!$B:$Q,11,0))</f>
        <v>18</v>
      </c>
      <c r="U34" s="75">
        <f>IF(B34="","",VLOOKUP(AD34,Varsayımlar!$B:$Q,12,0))</f>
        <v>390</v>
      </c>
      <c r="V34" s="75" t="str">
        <f>IF(B34="","",VLOOKUP(AD34,Varsayımlar!$B:$Q,13,0))</f>
        <v>Yurtdışı</v>
      </c>
      <c r="W34" s="75">
        <f>IF(B34="","",VLOOKUP(AD34,Varsayımlar!$B:$Q,14,0))</f>
        <v>9</v>
      </c>
      <c r="X34" s="76">
        <v>46213</v>
      </c>
      <c r="Y34" s="76">
        <v>46487</v>
      </c>
      <c r="Z34" s="75" t="s">
        <v>442</v>
      </c>
      <c r="AA34" s="75" t="str">
        <f>IF(B34="","",VLOOKUP(AD34,Varsayımlar!$B:$Q,15,0))</f>
        <v>25cm Kırmızı koli-Bulgarca TB Etiket</v>
      </c>
      <c r="AB34" s="75" t="str">
        <f>IF(B34="","",VLOOKUP(AD34,Varsayımlar!$B:$Q,16,0))</f>
        <v>24-26 cm</v>
      </c>
      <c r="AC34" s="75" t="str">
        <f>IF(B34="","",VLOOKUP(Sayfa1!AD64,Varsayımlar!B:S,18,0))</f>
        <v>80x120cm -Epal+Epal</v>
      </c>
      <c r="AD34" s="57" t="str">
        <f t="shared" si="0"/>
        <v>TASTE LAND-BULGARİSTANTortillas 25cm TB 6pcs 390g</v>
      </c>
    </row>
    <row r="35" spans="1:30" ht="47.25" x14ac:dyDescent="0.25">
      <c r="A35" s="8" t="s">
        <v>146</v>
      </c>
      <c r="B35" s="75" t="s">
        <v>218</v>
      </c>
      <c r="C35" s="43">
        <f>IF(B35="","",VLOOKUP(AD35,Varsayımlar!$B:$Q,3,0))</f>
        <v>8698829380698</v>
      </c>
      <c r="D35" s="43" t="s">
        <v>161</v>
      </c>
      <c r="E35" s="75" t="s">
        <v>232</v>
      </c>
      <c r="F35" s="75" t="s">
        <v>341</v>
      </c>
      <c r="G35" s="43"/>
      <c r="H35" s="75" t="str">
        <f>IF(B35="","",VLOOKUP(AD35,Varsayımlar!$B:$Q,5,0))</f>
        <v>Tortillas Avrupa 25cm Domatesli (074)</v>
      </c>
      <c r="I35" s="75">
        <f>IF(B35="","",VLOOKUP(AD35,Varsayımlar!B:T,19,0))</f>
        <v>0</v>
      </c>
      <c r="J35" s="75" t="str">
        <f>IF(B35="","",VLOOKUP(AD35,Varsayımlar!$B:$Q,6,0))</f>
        <v>Domatesli</v>
      </c>
      <c r="K35" s="75">
        <v>240</v>
      </c>
      <c r="L35" s="75"/>
      <c r="M35" s="75">
        <f>IFERROR(IF(B35="","",K35/VLOOKUP(AD35,Varsayımlar!B:R,17,0)),"")</f>
        <v>2</v>
      </c>
      <c r="N35" s="75"/>
      <c r="O35" s="75">
        <v>3</v>
      </c>
      <c r="P35" s="75">
        <f>IF(B35="","",VLOOKUP(AD35,Varsayımlar!$B:$Q,7,0)*K35)</f>
        <v>2880</v>
      </c>
      <c r="Q35" s="75">
        <f>IF(B35="","",VLOOKUP(AD35,Varsayımlar!$B:$Q,8,0))</f>
        <v>25</v>
      </c>
      <c r="R35" s="75" t="str">
        <f>IF(B35="","",VLOOKUP(AD35,Varsayımlar!$B:$Q,9,0))</f>
        <v>Irak Soft</v>
      </c>
      <c r="S35" s="75">
        <f>IF(B35="","",VLOOKUP(AD35,Varsayımlar!$B:$Q,10,0))</f>
        <v>6</v>
      </c>
      <c r="T35" s="75">
        <f>IF(B35="","",VLOOKUP(AD35,Varsayımlar!$B:$Q,11,0))</f>
        <v>12</v>
      </c>
      <c r="U35" s="75">
        <f>IF(B35="","",VLOOKUP(AD35,Varsayımlar!$B:$Q,12,0))</f>
        <v>390</v>
      </c>
      <c r="V35" s="75" t="str">
        <f>IF(B35="","",VLOOKUP(AD35,Varsayımlar!$B:$Q,13,0))</f>
        <v>Yurtdışı</v>
      </c>
      <c r="W35" s="75">
        <f>IF(B35="","",VLOOKUP(AD35,Varsayımlar!$B:$Q,14,0))</f>
        <v>9</v>
      </c>
      <c r="X35" s="76">
        <v>46213</v>
      </c>
      <c r="Y35" s="76">
        <v>46487</v>
      </c>
      <c r="Z35" s="75" t="s">
        <v>443</v>
      </c>
      <c r="AA35" s="75" t="str">
        <f>IF(B35="","",VLOOKUP(AD35,Varsayımlar!$B:$Q,15,0))</f>
        <v>25cm Perforeli-Bulgarca Domatesli etiket</v>
      </c>
      <c r="AB35" s="75" t="str">
        <f>IF(B35="","",VLOOKUP(AD35,Varsayımlar!$B:$Q,16,0))</f>
        <v>24-26 cm</v>
      </c>
      <c r="AC35" s="75" t="str">
        <f>IF(B35="","",VLOOKUP(Sayfa1!AD65,Varsayımlar!B:S,18,0))</f>
        <v>80x120cm -Epal+Epal</v>
      </c>
      <c r="AD35" s="57" t="str">
        <f t="shared" si="0"/>
        <v>TASTE LAND-BULGARİSTANTortillas 25cm Domatesli 6pcs 390g</v>
      </c>
    </row>
    <row r="36" spans="1:30" ht="47.25" x14ac:dyDescent="0.25">
      <c r="A36" s="8" t="s">
        <v>147</v>
      </c>
      <c r="B36" s="75" t="s">
        <v>218</v>
      </c>
      <c r="C36" s="43">
        <f>IF(B36="","",VLOOKUP(AD36,Varsayımlar!$B:$Q,3,0))</f>
        <v>8698829380698</v>
      </c>
      <c r="D36" s="43" t="s">
        <v>161</v>
      </c>
      <c r="E36" s="75" t="s">
        <v>235</v>
      </c>
      <c r="F36" s="75" t="s">
        <v>341</v>
      </c>
      <c r="G36" s="43"/>
      <c r="H36" s="75" t="str">
        <f>IF(B36="","",VLOOKUP(AD36,Varsayımlar!$B:$Q,5,0))</f>
        <v>Tortillas Avrupa 25cm Ispanaklı (081)</v>
      </c>
      <c r="I36" s="75">
        <f>IF(B36="","",VLOOKUP(AD36,Varsayımlar!B:T,19,0))</f>
        <v>0</v>
      </c>
      <c r="J36" s="75" t="str">
        <f>IF(B36="","",VLOOKUP(AD36,Varsayımlar!$B:$Q,6,0))</f>
        <v>Ispanaklı</v>
      </c>
      <c r="K36" s="75">
        <v>240</v>
      </c>
      <c r="L36" s="75"/>
      <c r="M36" s="75">
        <f>IFERROR(IF(B36="","",K36/VLOOKUP(AD36,Varsayımlar!B:R,17,0)),"")</f>
        <v>2</v>
      </c>
      <c r="N36" s="75"/>
      <c r="O36" s="75">
        <v>3</v>
      </c>
      <c r="P36" s="75">
        <f>IF(B36="","",VLOOKUP(AD36,Varsayımlar!$B:$Q,7,0)*K36)</f>
        <v>2880</v>
      </c>
      <c r="Q36" s="75">
        <f>IF(B36="","",VLOOKUP(AD36,Varsayımlar!$B:$Q,8,0))</f>
        <v>25</v>
      </c>
      <c r="R36" s="75" t="str">
        <f>IF(B36="","",VLOOKUP(AD36,Varsayımlar!$B:$Q,9,0))</f>
        <v>Irak Soft</v>
      </c>
      <c r="S36" s="75">
        <f>IF(B36="","",VLOOKUP(AD36,Varsayımlar!$B:$Q,10,0))</f>
        <v>6</v>
      </c>
      <c r="T36" s="75">
        <f>IF(B36="","",VLOOKUP(AD36,Varsayımlar!$B:$Q,11,0))</f>
        <v>12</v>
      </c>
      <c r="U36" s="75">
        <f>IF(B36="","",VLOOKUP(AD36,Varsayımlar!$B:$Q,12,0))</f>
        <v>390</v>
      </c>
      <c r="V36" s="75" t="str">
        <f>IF(B36="","",VLOOKUP(AD36,Varsayımlar!$B:$Q,13,0))</f>
        <v>Yurtdışı</v>
      </c>
      <c r="W36" s="75">
        <f>IF(B36="","",VLOOKUP(AD36,Varsayımlar!$B:$Q,14,0))</f>
        <v>9</v>
      </c>
      <c r="X36" s="76">
        <v>46213</v>
      </c>
      <c r="Y36" s="76">
        <v>46487</v>
      </c>
      <c r="Z36" s="75" t="s">
        <v>444</v>
      </c>
      <c r="AA36" s="75" t="str">
        <f>IF(B36="","",VLOOKUP(AD36,Varsayımlar!$B:$Q,15,0))</f>
        <v>25cm Perforeli-Bulgarca Ispanaklı etiket</v>
      </c>
      <c r="AB36" s="75" t="str">
        <f>IF(B36="","",VLOOKUP(AD36,Varsayımlar!$B:$Q,16,0))</f>
        <v>24-26 cm</v>
      </c>
      <c r="AC36" s="75" t="str">
        <f>IF(B36="","",VLOOKUP(Sayfa1!AD66,Varsayımlar!B:S,18,0))</f>
        <v>80x120cm -Epal+Epal</v>
      </c>
      <c r="AD36" s="57" t="str">
        <f t="shared" si="0"/>
        <v>TASTE LAND-BULGARİSTANTortillas 25cm Ispanaklı 6pcs 390g</v>
      </c>
    </row>
    <row r="37" spans="1:30" ht="47.25" x14ac:dyDescent="0.25">
      <c r="A37" s="8" t="s">
        <v>148</v>
      </c>
      <c r="B37" s="75" t="s">
        <v>218</v>
      </c>
      <c r="C37" s="43">
        <f>IF(B37="","",VLOOKUP(AD37,Varsayımlar!$B:$Q,3,0))</f>
        <v>8698829380698</v>
      </c>
      <c r="D37" s="43" t="s">
        <v>161</v>
      </c>
      <c r="E37" s="75" t="s">
        <v>240</v>
      </c>
      <c r="F37" s="75" t="s">
        <v>341</v>
      </c>
      <c r="G37" s="43"/>
      <c r="H37" s="75" t="str">
        <f>IF(B37="","",VLOOKUP(AD37,Varsayımlar!$B:$Q,5,0))</f>
        <v>Tortillas Avrupa 25cm Peynirli (098)</v>
      </c>
      <c r="I37" s="75">
        <f>IF(B37="","",VLOOKUP(AD37,Varsayımlar!B:T,19,0))</f>
        <v>0</v>
      </c>
      <c r="J37" s="75" t="str">
        <f>IF(B37="","",VLOOKUP(AD37,Varsayımlar!$B:$Q,6,0))</f>
        <v>Peynirli</v>
      </c>
      <c r="K37" s="75">
        <v>120</v>
      </c>
      <c r="L37" s="75"/>
      <c r="M37" s="75">
        <f>IFERROR(IF(B37="","",K37/VLOOKUP(AD37,Varsayımlar!B:R,17,0)),"")</f>
        <v>1</v>
      </c>
      <c r="N37" s="75"/>
      <c r="O37" s="75">
        <v>2</v>
      </c>
      <c r="P37" s="75">
        <f>IF(B37="","",VLOOKUP(AD37,Varsayımlar!$B:$Q,7,0)*K37)</f>
        <v>1440</v>
      </c>
      <c r="Q37" s="75">
        <f>IF(B37="","",VLOOKUP(AD37,Varsayımlar!$B:$Q,8,0))</f>
        <v>25</v>
      </c>
      <c r="R37" s="75" t="str">
        <f>IF(B37="","",VLOOKUP(AD37,Varsayımlar!$B:$Q,9,0))</f>
        <v>Irak Soft-AT</v>
      </c>
      <c r="S37" s="75">
        <f>IF(B37="","",VLOOKUP(AD37,Varsayımlar!$B:$Q,10,0))</f>
        <v>6</v>
      </c>
      <c r="T37" s="75">
        <f>IF(B37="","",VLOOKUP(AD37,Varsayımlar!$B:$Q,11,0))</f>
        <v>12</v>
      </c>
      <c r="U37" s="75">
        <f>IF(B37="","",VLOOKUP(AD37,Varsayımlar!$B:$Q,12,0))</f>
        <v>390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>
        <v>46213</v>
      </c>
      <c r="Y37" s="76">
        <v>46487</v>
      </c>
      <c r="Z37" s="75" t="s">
        <v>445</v>
      </c>
      <c r="AA37" s="75" t="str">
        <f>IF(B37="","",VLOOKUP(AD37,Varsayımlar!$B:$Q,15,0))</f>
        <v>25cm Perforeli-Bulgarca Peynirli etiket</v>
      </c>
      <c r="AB37" s="75" t="str">
        <f>IF(B37="","",VLOOKUP(AD37,Varsayımlar!$B:$Q,16,0))</f>
        <v>24-26 cm</v>
      </c>
      <c r="AC37" s="75" t="str">
        <f>IF(B37="","",VLOOKUP(Sayfa1!AD67,Varsayımlar!B:S,18,0))</f>
        <v>80x120cm -Epal+Epal</v>
      </c>
      <c r="AD37" s="57" t="str">
        <f t="shared" si="0"/>
        <v>TASTE LAND-BULGARİSTANTortillas 25cm Peynirli 6pcs 390g</v>
      </c>
    </row>
    <row r="38" spans="1:30" x14ac:dyDescent="0.25">
      <c r="A38" s="8" t="s">
        <v>149</v>
      </c>
      <c r="B38" s="64"/>
      <c r="C38" s="3" t="str">
        <f>IF(B38="","",VLOOKUP(AD38,Varsayımlar!$B:$Q,3,0))</f>
        <v/>
      </c>
      <c r="D38" s="3"/>
      <c r="E38" s="3"/>
      <c r="F38" s="64"/>
      <c r="G38" s="3"/>
      <c r="H38" s="64" t="str">
        <f>IF(B38="","",VLOOKUP(AD38,Varsayımlar!$B:$Q,5,0))</f>
        <v/>
      </c>
      <c r="I38" s="64" t="str">
        <f>IF(B38="","",VLOOKUP(AD38,Varsayımlar!B:T,19,0))</f>
        <v/>
      </c>
      <c r="J38" s="64" t="str">
        <f>IF(B38="","",VLOOKUP(AD38,Varsayımlar!$B:$Q,6,0))</f>
        <v/>
      </c>
      <c r="K38" s="64"/>
      <c r="L38" s="64"/>
      <c r="M38" s="64" t="str">
        <f>IFERROR(IF(B38="","",K38/VLOOKUP(AD38,Varsayımlar!B:R,17,0)),"")</f>
        <v/>
      </c>
      <c r="N38" s="64"/>
      <c r="O38" s="64"/>
      <c r="P38" s="64" t="str">
        <f>IF(B38="","",VLOOKUP(AD38,Varsayımlar!$B:$Q,7,0)*K38)</f>
        <v/>
      </c>
      <c r="Q38" s="64" t="str">
        <f>IF(B38="","",VLOOKUP(AD38,Varsayımlar!$B:$Q,8,0))</f>
        <v/>
      </c>
      <c r="R38" s="64" t="str">
        <f>IF(B38="","",VLOOKUP(AD38,Varsayımlar!$B:$Q,9,0))</f>
        <v/>
      </c>
      <c r="S38" s="64" t="str">
        <f>IF(B38="","",VLOOKUP(AD38,Varsayımlar!$B:$Q,10,0))</f>
        <v/>
      </c>
      <c r="T38" s="64" t="str">
        <f>IF(B38="","",VLOOKUP(AD38,Varsayımlar!$B:$Q,11,0))</f>
        <v/>
      </c>
      <c r="U38" s="64" t="str">
        <f>IF(B38="","",VLOOKUP(AD38,Varsayımlar!$B:$Q,12,0))</f>
        <v/>
      </c>
      <c r="V38" s="64" t="str">
        <f>IF(B38="","",VLOOKUP(AD38,Varsayımlar!$B:$Q,13,0))</f>
        <v/>
      </c>
      <c r="W38" s="64" t="str">
        <f>IF(B38="","",VLOOKUP(AD38,Varsayımlar!$B:$Q,14,0))</f>
        <v/>
      </c>
      <c r="X38" s="66"/>
      <c r="Y38" s="66"/>
      <c r="Z38" s="64"/>
      <c r="AA38" s="64" t="str">
        <f>IF(B38="","",VLOOKUP(AD38,Varsayımlar!$B:$Q,15,0))</f>
        <v/>
      </c>
      <c r="AB38" s="64" t="str">
        <f>IF(B38="","",VLOOKUP(AD38,Varsayımlar!$B:$Q,16,0))</f>
        <v/>
      </c>
      <c r="AC38" s="64" t="str">
        <f>IF(B38="","",VLOOKUP(Sayfa1!AD44,Varsayımlar!B:S,18,0))</f>
        <v/>
      </c>
      <c r="AD38" s="57" t="str">
        <f t="shared" si="0"/>
        <v/>
      </c>
    </row>
    <row r="39" spans="1:30" x14ac:dyDescent="0.25">
      <c r="A39" s="8" t="s">
        <v>150</v>
      </c>
      <c r="B39" s="64"/>
      <c r="C39" s="3" t="str">
        <f>IF(B39="","",VLOOKUP(AD39,Varsayımlar!$B:$Q,3,0))</f>
        <v/>
      </c>
      <c r="D39" s="3"/>
      <c r="E39" s="3"/>
      <c r="F39" s="64"/>
      <c r="G39" s="3"/>
      <c r="H39" s="64" t="str">
        <f>IF(B39="","",VLOOKUP(AD39,Varsayımlar!$B:$Q,5,0))</f>
        <v/>
      </c>
      <c r="I39" s="64" t="str">
        <f>IF(B39="","",VLOOKUP(AD39,Varsayımlar!B:T,19,0))</f>
        <v/>
      </c>
      <c r="J39" s="64" t="str">
        <f>IF(B39="","",VLOOKUP(AD39,Varsayımlar!$B:$Q,6,0))</f>
        <v/>
      </c>
      <c r="K39" s="64"/>
      <c r="L39" s="64"/>
      <c r="M39" s="64" t="str">
        <f>IFERROR(IF(B39="","",K39/VLOOKUP(AD39,Varsayımlar!B:R,17,0)),"")</f>
        <v/>
      </c>
      <c r="N39" s="64"/>
      <c r="O39" s="64"/>
      <c r="P39" s="64" t="str">
        <f>IF(B39="","",VLOOKUP(AD39,Varsayımlar!$B:$Q,7,0)*K39)</f>
        <v/>
      </c>
      <c r="Q39" s="64" t="str">
        <f>IF(B39="","",VLOOKUP(AD39,Varsayımlar!$B:$Q,8,0))</f>
        <v/>
      </c>
      <c r="R39" s="64" t="str">
        <f>IF(B39="","",VLOOKUP(AD39,Varsayımlar!$B:$Q,9,0))</f>
        <v/>
      </c>
      <c r="S39" s="64" t="str">
        <f>IF(B39="","",VLOOKUP(AD39,Varsayımlar!$B:$Q,10,0))</f>
        <v/>
      </c>
      <c r="T39" s="64" t="str">
        <f>IF(B39="","",VLOOKUP(AD39,Varsayımlar!$B:$Q,11,0))</f>
        <v/>
      </c>
      <c r="U39" s="64" t="str">
        <f>IF(B39="","",VLOOKUP(AD39,Varsayımlar!$B:$Q,12,0))</f>
        <v/>
      </c>
      <c r="V39" s="64" t="str">
        <f>IF(B39="","",VLOOKUP(AD39,Varsayımlar!$B:$Q,13,0))</f>
        <v/>
      </c>
      <c r="W39" s="64" t="str">
        <f>IF(B39="","",VLOOKUP(AD39,Varsayımlar!$B:$Q,14,0))</f>
        <v/>
      </c>
      <c r="X39" s="66"/>
      <c r="Y39" s="66"/>
      <c r="Z39" s="64"/>
      <c r="AA39" s="64" t="str">
        <f>IF(B39="","",VLOOKUP(AD39,Varsayımlar!$B:$Q,15,0))</f>
        <v/>
      </c>
      <c r="AB39" s="64" t="str">
        <f>IF(B39="","",VLOOKUP(AD39,Varsayımlar!$B:$Q,16,0))</f>
        <v/>
      </c>
      <c r="AC39" s="64" t="str">
        <f>IF(B39="","",VLOOKUP(Sayfa1!AD45,Varsayımlar!B:S,18,0))</f>
        <v/>
      </c>
      <c r="AD39" s="57" t="str">
        <f t="shared" si="0"/>
        <v/>
      </c>
    </row>
    <row r="40" spans="1:30" ht="31.5" customHeight="1" x14ac:dyDescent="0.25">
      <c r="A40" s="182" t="s">
        <v>344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4"/>
      <c r="AC40" s="38"/>
    </row>
    <row r="41" spans="1:30" ht="63" x14ac:dyDescent="0.25">
      <c r="A41" s="8" t="s">
        <v>0</v>
      </c>
      <c r="B41" s="8" t="s">
        <v>1</v>
      </c>
      <c r="C41" s="9" t="s">
        <v>31</v>
      </c>
      <c r="D41" s="9" t="s">
        <v>124</v>
      </c>
      <c r="E41" s="9" t="s">
        <v>36</v>
      </c>
      <c r="F41" s="8" t="s">
        <v>37</v>
      </c>
      <c r="G41" s="8" t="s">
        <v>13</v>
      </c>
      <c r="H41" s="8" t="s">
        <v>2</v>
      </c>
      <c r="I41" s="8" t="s">
        <v>49</v>
      </c>
      <c r="J41" s="8" t="s">
        <v>3</v>
      </c>
      <c r="K41" s="8" t="s">
        <v>21</v>
      </c>
      <c r="L41" s="8" t="s">
        <v>94</v>
      </c>
      <c r="M41" s="8" t="s">
        <v>20</v>
      </c>
      <c r="N41" s="8" t="s">
        <v>165</v>
      </c>
      <c r="O41" s="8" t="s">
        <v>123</v>
      </c>
      <c r="P41" s="8" t="s">
        <v>16</v>
      </c>
      <c r="Q41" s="8" t="s">
        <v>4</v>
      </c>
      <c r="R41" s="8" t="s">
        <v>5</v>
      </c>
      <c r="S41" s="8" t="s">
        <v>6</v>
      </c>
      <c r="T41" s="8" t="s">
        <v>28</v>
      </c>
      <c r="U41" s="8" t="s">
        <v>7</v>
      </c>
      <c r="V41" s="8" t="s">
        <v>8</v>
      </c>
      <c r="W41" s="8" t="s">
        <v>267</v>
      </c>
      <c r="X41" s="8" t="s">
        <v>10</v>
      </c>
      <c r="Y41" s="8" t="s">
        <v>11</v>
      </c>
      <c r="Z41" s="8" t="s">
        <v>12</v>
      </c>
      <c r="AA41" s="8" t="s">
        <v>14</v>
      </c>
      <c r="AB41" s="8" t="s">
        <v>15</v>
      </c>
      <c r="AC41" s="8" t="s">
        <v>208</v>
      </c>
      <c r="AD41" s="7" t="s">
        <v>41</v>
      </c>
    </row>
    <row r="42" spans="1:30" ht="78.75" x14ac:dyDescent="0.25">
      <c r="A42" s="8" t="s">
        <v>26</v>
      </c>
      <c r="B42" s="64" t="s">
        <v>53</v>
      </c>
      <c r="C42" s="3">
        <f>IF(B42="","",VLOOKUP(AD42,Varsayımlar!$B:$Q,3,0))</f>
        <v>8698829380698</v>
      </c>
      <c r="D42" s="64" t="s">
        <v>397</v>
      </c>
      <c r="E42" s="64" t="s">
        <v>54</v>
      </c>
      <c r="F42" s="64"/>
      <c r="G42" s="64" t="s">
        <v>398</v>
      </c>
      <c r="H42" s="64" t="str">
        <f>IF(B42="","",VLOOKUP(AD42,Varsayımlar!$B:$Q,5,0))</f>
        <v>MAGNİT MAVİ AMBALAJ 25CM</v>
      </c>
      <c r="I42" s="64">
        <f>IF(B42="","",VLOOKUP(AD42,Varsayımlar!B:T,19,0))</f>
        <v>0</v>
      </c>
      <c r="J42" s="64" t="str">
        <f>IF(B42="","",VLOOKUP(AD42,Varsayımlar!$B:$Q,6,0))</f>
        <v>SADE</v>
      </c>
      <c r="K42" s="64">
        <v>2016</v>
      </c>
      <c r="L42" s="64"/>
      <c r="M42" s="64" t="str">
        <f>IFERROR(IF(B42="","",K42/VLOOKUP(AD42,#REF!,17,0)),"")</f>
        <v/>
      </c>
      <c r="N42" s="64"/>
      <c r="O42" s="64">
        <v>3</v>
      </c>
      <c r="P42" s="64">
        <f>IF(B42="","",VLOOKUP(AD42,Varsayımlar!$B:$Q,7,0)*K42)</f>
        <v>60480</v>
      </c>
      <c r="Q42" s="64">
        <f>IF(B42="","",VLOOKUP(AD42,Varsayımlar!$B:$Q,8,0))</f>
        <v>25</v>
      </c>
      <c r="R42" s="64" t="str">
        <f>IF(B42="","",VLOOKUP(AD42,Varsayımlar!$B:$Q,9,0))</f>
        <v>SOFT</v>
      </c>
      <c r="S42" s="64">
        <f>IF(B42="","",VLOOKUP(AD42,Varsayımlar!$B:$Q,10,0))</f>
        <v>4</v>
      </c>
      <c r="T42" s="64">
        <f>IF(B42="","",VLOOKUP(AD42,Varsayımlar!$B:$Q,11,0))</f>
        <v>30</v>
      </c>
      <c r="U42" s="64">
        <f>IF(B42="","",VLOOKUP(AD42,Varsayımlar!$B:$Q,12,0))</f>
        <v>260</v>
      </c>
      <c r="V42" s="64" t="str">
        <f>IF(B42="","",VLOOKUP(AD42,Varsayımlar!$B:$Q,13,0))</f>
        <v>YURTDIŞI</v>
      </c>
      <c r="W42" s="64">
        <f>IF(B42="","",VLOOKUP(AD42,Varsayımlar!$B:$Q,14,0))</f>
        <v>9</v>
      </c>
      <c r="X42" s="66">
        <v>46190</v>
      </c>
      <c r="Y42" s="66">
        <v>46463</v>
      </c>
      <c r="Z42" s="64" t="s">
        <v>399</v>
      </c>
      <c r="AA42" s="64" t="str">
        <f>IF(B42="","",VLOOKUP(AD42,Varsayımlar!$B:$Q,15,0))</f>
        <v>25CM TURUNCU KOLİ-SOL ÜST DİKDÖRTGENE ÜRETİM TARİHİ BASILACAK</v>
      </c>
      <c r="AB42" s="64" t="str">
        <f>IF(B42="","",VLOOKUP(AD42,Varsayımlar!$B:$Q,16,0))</f>
        <v>24-26 CM</v>
      </c>
      <c r="AC42" s="73" t="e">
        <f>IF(B42="","",VLOOKUP(#REF!,#REF!,18,0))</f>
        <v>#REF!</v>
      </c>
      <c r="AD42" s="73" t="str">
        <f>IF(B42="","",CONCATENATE(B42,E42))</f>
        <v>MAGNİTMAGNİT MAVİ AMBALAJ 25 CM 260G</v>
      </c>
    </row>
    <row r="43" spans="1:30" ht="78.75" x14ac:dyDescent="0.25">
      <c r="A43" s="8" t="s">
        <v>77</v>
      </c>
      <c r="B43" s="80" t="s">
        <v>53</v>
      </c>
      <c r="C43" s="44">
        <f>IF(B43="","",VLOOKUP(AD43,Varsayımlar!$B:$Q,3,0))</f>
        <v>8698829380698</v>
      </c>
      <c r="D43" s="80" t="s">
        <v>394</v>
      </c>
      <c r="E43" s="80" t="s">
        <v>54</v>
      </c>
      <c r="F43" s="80"/>
      <c r="G43" s="80" t="s">
        <v>395</v>
      </c>
      <c r="H43" s="80" t="str">
        <f>IF(B43="","",VLOOKUP(AD43,Varsayımlar!$B:$Q,5,0))</f>
        <v>MAGNİT MAVİ AMBALAJ 25CM</v>
      </c>
      <c r="I43" s="80">
        <f>IF(B43="","",VLOOKUP(AD43,Varsayımlar!B:T,19,0))</f>
        <v>0</v>
      </c>
      <c r="J43" s="80" t="str">
        <f>IF(B43="","",VLOOKUP(AD43,Varsayımlar!$B:$Q,6,0))</f>
        <v>SADE</v>
      </c>
      <c r="K43" s="80">
        <v>2016</v>
      </c>
      <c r="L43" s="80"/>
      <c r="M43" s="80" t="str">
        <f>IFERROR(IF(B43="","",K43/VLOOKUP(AD43,#REF!,17,0)),"")</f>
        <v/>
      </c>
      <c r="N43" s="80"/>
      <c r="O43" s="80">
        <v>30</v>
      </c>
      <c r="P43" s="80">
        <f>IF(B43="","",VLOOKUP(AD43,Varsayımlar!$B:$Q,7,0)*K43)</f>
        <v>60480</v>
      </c>
      <c r="Q43" s="80">
        <f>IF(B43="","",VLOOKUP(AD43,Varsayımlar!$B:$Q,8,0))</f>
        <v>25</v>
      </c>
      <c r="R43" s="80" t="str">
        <f>IF(B43="","",VLOOKUP(AD43,Varsayımlar!$B:$Q,9,0))</f>
        <v>SOFT</v>
      </c>
      <c r="S43" s="80">
        <f>IF(B43="","",VLOOKUP(AD43,Varsayımlar!$B:$Q,10,0))</f>
        <v>4</v>
      </c>
      <c r="T43" s="80">
        <f>IF(B43="","",VLOOKUP(AD43,Varsayımlar!$B:$Q,11,0))</f>
        <v>30</v>
      </c>
      <c r="U43" s="80">
        <f>IF(B43="","",VLOOKUP(AD43,Varsayımlar!$B:$Q,12,0))</f>
        <v>260</v>
      </c>
      <c r="V43" s="80" t="str">
        <f>IF(B43="","",VLOOKUP(AD43,Varsayımlar!$B:$Q,13,0))</f>
        <v>YURTDIŞI</v>
      </c>
      <c r="W43" s="80">
        <f>IF(B43="","",VLOOKUP(AD43,Varsayımlar!$B:$Q,14,0))</f>
        <v>9</v>
      </c>
      <c r="X43" s="81">
        <v>46190</v>
      </c>
      <c r="Y43" s="81">
        <v>46463</v>
      </c>
      <c r="Z43" s="80" t="s">
        <v>396</v>
      </c>
      <c r="AA43" s="80" t="str">
        <f>IF(B43="","",VLOOKUP(AD43,Varsayımlar!$B:$Q,15,0))</f>
        <v>25CM TURUNCU KOLİ-SOL ÜST DİKDÖRTGENE ÜRETİM TARİHİ BASILACAK</v>
      </c>
      <c r="AB43" s="80" t="str">
        <f>IF(B43="","",VLOOKUP(AD43,Varsayımlar!$B:$Q,16,0))</f>
        <v>24-26 CM</v>
      </c>
      <c r="AC43" s="73" t="e">
        <f>IF(B43="","",VLOOKUP(#REF!,#REF!,18,0))</f>
        <v>#REF!</v>
      </c>
      <c r="AD43" s="73" t="str">
        <f>IF(B43="","",CONCATENATE(B43,E43))</f>
        <v>MAGNİTMAGNİT MAVİ AMBALAJ 25 CM 260G</v>
      </c>
    </row>
    <row r="44" spans="1:30" ht="78.75" x14ac:dyDescent="0.25">
      <c r="A44" s="8" t="s">
        <v>78</v>
      </c>
      <c r="B44" s="67" t="s">
        <v>53</v>
      </c>
      <c r="C44" s="42">
        <f>IF(B44="","",VLOOKUP(AD44,Varsayımlar!$B:$Q,3,0))</f>
        <v>8698829380698</v>
      </c>
      <c r="D44" s="67" t="s">
        <v>400</v>
      </c>
      <c r="E44" s="67" t="s">
        <v>54</v>
      </c>
      <c r="F44" s="67"/>
      <c r="G44" s="67" t="s">
        <v>401</v>
      </c>
      <c r="H44" s="67" t="str">
        <f>IF(B44="","",VLOOKUP(AD44,Varsayımlar!$B:$Q,5,0))</f>
        <v>MAGNİT MAVİ AMBALAJ 25CM</v>
      </c>
      <c r="I44" s="67">
        <f>IF(B44="","",VLOOKUP(AD44,Varsayımlar!B:T,19,0))</f>
        <v>0</v>
      </c>
      <c r="J44" s="67" t="str">
        <f>IF(B44="","",VLOOKUP(AD44,Varsayımlar!$B:$Q,6,0))</f>
        <v>SADE</v>
      </c>
      <c r="K44" s="67">
        <v>2016</v>
      </c>
      <c r="L44" s="67"/>
      <c r="M44" s="67" t="str">
        <f>IFERROR(IF(B44="","",K44/VLOOKUP(AD44,#REF!,17,0)),"")</f>
        <v/>
      </c>
      <c r="N44" s="67"/>
      <c r="O44" s="67">
        <v>30</v>
      </c>
      <c r="P44" s="67">
        <f>IF(B44="","",VLOOKUP(AD44,Varsayımlar!$B:$Q,7,0)*K44)</f>
        <v>60480</v>
      </c>
      <c r="Q44" s="67">
        <f>IF(B44="","",VLOOKUP(AD44,Varsayımlar!$B:$Q,8,0))</f>
        <v>25</v>
      </c>
      <c r="R44" s="67" t="str">
        <f>IF(B44="","",VLOOKUP(AD44,Varsayımlar!$B:$Q,9,0))</f>
        <v>SOFT</v>
      </c>
      <c r="S44" s="67">
        <f>IF(B44="","",VLOOKUP(AD44,Varsayımlar!$B:$Q,10,0))</f>
        <v>4</v>
      </c>
      <c r="T44" s="67">
        <f>IF(B44="","",VLOOKUP(AD44,Varsayımlar!$B:$Q,11,0))</f>
        <v>30</v>
      </c>
      <c r="U44" s="67">
        <f>IF(B44="","",VLOOKUP(AD44,Varsayımlar!$B:$Q,12,0))</f>
        <v>260</v>
      </c>
      <c r="V44" s="67" t="str">
        <f>IF(B44="","",VLOOKUP(AD44,Varsayımlar!$B:$Q,13,0))</f>
        <v>YURTDIŞI</v>
      </c>
      <c r="W44" s="67">
        <f>IF(B44="","",VLOOKUP(AD44,Varsayımlar!$B:$Q,14,0))</f>
        <v>9</v>
      </c>
      <c r="X44" s="69">
        <v>46191</v>
      </c>
      <c r="Y44" s="69">
        <v>46464</v>
      </c>
      <c r="Z44" s="67" t="s">
        <v>402</v>
      </c>
      <c r="AA44" s="67" t="str">
        <f>IF(B44="","",VLOOKUP(AD44,Varsayımlar!$B:$Q,15,0))</f>
        <v>25CM TURUNCU KOLİ-SOL ÜST DİKDÖRTGENE ÜRETİM TARİHİ BASILACAK</v>
      </c>
      <c r="AB44" s="67" t="str">
        <f>IF(B44="","",VLOOKUP(AD44,Varsayımlar!$B:$Q,16,0))</f>
        <v>24-26 CM</v>
      </c>
      <c r="AC44" s="73" t="e">
        <f>IF(B44="","",VLOOKUP(#REF!,#REF!,18,0))</f>
        <v>#REF!</v>
      </c>
      <c r="AD44" s="73" t="str">
        <f>IF(B44="","",CONCATENATE(B44,E44))</f>
        <v>MAGNİTMAGNİT MAVİ AMBALAJ 25 CM 260G</v>
      </c>
    </row>
    <row r="45" spans="1:30" ht="31.5" x14ac:dyDescent="0.25">
      <c r="A45" s="8" t="s">
        <v>79</v>
      </c>
      <c r="B45" s="67" t="s">
        <v>431</v>
      </c>
      <c r="C45" s="42">
        <f>IF(B45="","",VLOOKUP(AD45,Varsayımlar!$B:$Q,3,0))</f>
        <v>8698829380698</v>
      </c>
      <c r="D45" s="67"/>
      <c r="E45" s="67" t="s">
        <v>102</v>
      </c>
      <c r="F45" s="67">
        <v>20260612</v>
      </c>
      <c r="G45" s="67"/>
      <c r="H45" s="67" t="str">
        <f>IF(B45="","",VLOOKUP(AD45,Varsayımlar!$B:$Q,5,0))</f>
        <v>Happylla 25cm</v>
      </c>
      <c r="I45" s="67" t="str">
        <f>IF(B45="","",VLOOKUP(AD45,Varsayımlar!B:T,19,0))</f>
        <v>Happylla 650g-Etiketli</v>
      </c>
      <c r="J45" s="67" t="str">
        <f>IF(B45="","",VLOOKUP(AD45,Varsayımlar!$B:$Q,6,0))</f>
        <v>Tam Buğdaylı</v>
      </c>
      <c r="K45" s="67">
        <v>312</v>
      </c>
      <c r="L45" s="67"/>
      <c r="M45" s="67">
        <f>IFERROR(IF(B45="","",K45/VLOOKUP(AD45,Varsayımlar!B:R,17,0)),"")</f>
        <v>3</v>
      </c>
      <c r="N45" s="67">
        <v>104</v>
      </c>
      <c r="O45" s="67">
        <v>5</v>
      </c>
      <c r="P45" s="67">
        <f>IF(B45="","",VLOOKUP(AD45,Varsayımlar!$B:$Q,7,0)*K45)</f>
        <v>3744</v>
      </c>
      <c r="Q45" s="67">
        <f>IF(B45="","",VLOOKUP(AD45,Varsayımlar!$B:$Q,8,0))</f>
        <v>25</v>
      </c>
      <c r="R45" s="67" t="str">
        <f>IF(B45="","",VLOOKUP(AD45,Varsayımlar!$B:$Q,9,0))</f>
        <v>Standart</v>
      </c>
      <c r="S45" s="67">
        <f>IF(B45="","",VLOOKUP(AD45,Varsayımlar!$B:$Q,10,0))</f>
        <v>10</v>
      </c>
      <c r="T45" s="67">
        <f>IF(B45="","",VLOOKUP(AD45,Varsayımlar!$B:$Q,11,0))</f>
        <v>12</v>
      </c>
      <c r="U45" s="67">
        <f>IF(B45="","",VLOOKUP(AD45,Varsayımlar!$B:$Q,12,0))</f>
        <v>650</v>
      </c>
      <c r="V45" s="67" t="str">
        <f>IF(B45="","",VLOOKUP(AD45,Varsayımlar!$B:$Q,13,0))</f>
        <v>Yurtdışı</v>
      </c>
      <c r="W45" s="67">
        <f>IF(B45="","",VLOOKUP(AD45,Varsayımlar!$B:$Q,14,0))</f>
        <v>6</v>
      </c>
      <c r="X45" s="69">
        <v>46196</v>
      </c>
      <c r="Y45" s="69">
        <v>46379</v>
      </c>
      <c r="Z45" s="67" t="s">
        <v>446</v>
      </c>
      <c r="AA45" s="67" t="str">
        <f>IF(B45="","",VLOOKUP(AD45,Varsayımlar!$B:$Q,15,0))</f>
        <v>Kırmızı Koli 25cm-Arapça etiketli</v>
      </c>
      <c r="AB45" s="67" t="str">
        <f>IF(B45="","",VLOOKUP(AD45,Varsayımlar!$B:$Q,16,0))</f>
        <v>24-26cm</v>
      </c>
      <c r="AC45" s="64">
        <f>IF(B45="","",VLOOKUP(Sayfa1!AD43,Varsayımlar!B:S,18,0))</f>
        <v>0</v>
      </c>
      <c r="AD45" s="57" t="str">
        <f>IF(B45="","",CONCATENATE(B45,E45))</f>
        <v>Bağ TicaretHappylla 25 cm 10 lu 650g</v>
      </c>
    </row>
    <row r="46" spans="1:30" ht="45.75" customHeight="1" x14ac:dyDescent="0.25">
      <c r="A46" s="8" t="s">
        <v>80</v>
      </c>
      <c r="B46" s="130" t="s">
        <v>119</v>
      </c>
      <c r="C46" s="131">
        <f>IF(B46="","",VLOOKUP(AD46,Varsayımlar!$B:$Q,3,0))</f>
        <v>8698829380698</v>
      </c>
      <c r="D46" s="131"/>
      <c r="E46" s="132" t="s">
        <v>120</v>
      </c>
      <c r="F46" s="130"/>
      <c r="G46" s="130"/>
      <c r="H46" s="130" t="str">
        <f>IF(B46="","",VLOOKUP(AD46,Varsayımlar!$B:$Q,5,0))</f>
        <v>Nimet 25 cm</v>
      </c>
      <c r="I46" s="130"/>
      <c r="J46" s="130" t="str">
        <f>IF(B46="","",VLOOKUP(AD46,Varsayımlar!$B:$Q,6,0))</f>
        <v>SADE</v>
      </c>
      <c r="K46" s="130">
        <v>4000</v>
      </c>
      <c r="L46" s="130"/>
      <c r="M46" s="130">
        <f>IFERROR(IF(B46="","",K46/VLOOKUP(AD46,Varsayımlar!B:R,17,0)),"")</f>
        <v>80</v>
      </c>
      <c r="N46" s="130"/>
      <c r="O46" s="130">
        <v>60</v>
      </c>
      <c r="P46" s="130">
        <f>IF(B46="","",VLOOKUP(AD46,Varsayımlar!$B:$Q,7,0)*K46)</f>
        <v>48000</v>
      </c>
      <c r="Q46" s="130">
        <f>IF(B46="","",VLOOKUP(AD46,Varsayımlar!$B:$Q,8,0))</f>
        <v>25</v>
      </c>
      <c r="R46" s="130" t="str">
        <f>IF(B46="","",VLOOKUP(AD46,Varsayımlar!$B:$Q,9,0))</f>
        <v>Standart</v>
      </c>
      <c r="S46" s="130">
        <f>IF(B46="","",VLOOKUP(AD46,Varsayımlar!$B:$Q,10,0))</f>
        <v>12</v>
      </c>
      <c r="T46" s="130">
        <f>IF(B46="","",VLOOKUP(AD46,Varsayımlar!$B:$Q,11,0))</f>
        <v>12</v>
      </c>
      <c r="U46" s="130">
        <f>IF(B46="","",VLOOKUP(AD46,Varsayımlar!$B:$Q,12,0))</f>
        <v>840</v>
      </c>
      <c r="V46" s="130" t="str">
        <f>IF(B46="","",VLOOKUP(AD46,Varsayımlar!$B:$Q,13,0))</f>
        <v>YURTİÇİ</v>
      </c>
      <c r="W46" s="130">
        <f>IF(B46="","",VLOOKUP(AD46,Varsayımlar!$B:$Q,14,0))</f>
        <v>5</v>
      </c>
      <c r="X46" s="133" t="s">
        <v>113</v>
      </c>
      <c r="Y46" s="133" t="s">
        <v>113</v>
      </c>
      <c r="Z46" s="130" t="s">
        <v>113</v>
      </c>
      <c r="AA46" s="130" t="str">
        <f>IF(B46="","",VLOOKUP(AD46,Varsayımlar!$B:$Q,15,0))</f>
        <v>Nimet Kolisi</v>
      </c>
      <c r="AB46" s="130" t="str">
        <f>IF(B46="","",VLOOKUP(AD46,Varsayımlar!$B:$Q,16,0))</f>
        <v>24-26 CM</v>
      </c>
      <c r="AC46" s="64" t="s">
        <v>360</v>
      </c>
      <c r="AD46" s="57" t="str">
        <f>IF(B46="","",CONCATENATE(B46,E46))</f>
        <v>A101Nimet 25cm 12 pcs 840g</v>
      </c>
    </row>
    <row r="47" spans="1:30" ht="39" customHeight="1" x14ac:dyDescent="0.25">
      <c r="A47" s="8" t="s">
        <v>81</v>
      </c>
      <c r="B47" s="3" t="s">
        <v>64</v>
      </c>
      <c r="C47" s="3">
        <f>IF(B47="","",VLOOKUP(AD47,Varsayımlar!$B:$Q,3,0))</f>
        <v>8698829380698</v>
      </c>
      <c r="D47" s="3"/>
      <c r="E47" s="3" t="s">
        <v>108</v>
      </c>
      <c r="F47" s="3">
        <v>31</v>
      </c>
      <c r="G47" s="3"/>
      <c r="H47" s="3" t="str">
        <f>IF(B47="","",VLOOKUP(AD47,Varsayımlar!$B:$Q,5,0))</f>
        <v>Kırmızı Tortillas 25 cm</v>
      </c>
      <c r="I47" s="3">
        <f>IF(B47="","",VLOOKUP(AD47,Varsayımlar!B:T,19,0))</f>
        <v>0</v>
      </c>
      <c r="J47" s="3" t="str">
        <f>IF(B47="","",VLOOKUP(AD47,Varsayımlar!$B:$Q,6,0))</f>
        <v>SADE</v>
      </c>
      <c r="K47" s="3">
        <v>924</v>
      </c>
      <c r="L47" s="3"/>
      <c r="M47" s="3">
        <f>IFERROR(IF(B47="","",K47/VLOOKUP(AD47,Varsayımlar!B:R,17,0)),"")</f>
        <v>11</v>
      </c>
      <c r="N47" s="3"/>
      <c r="O47" s="3">
        <v>14</v>
      </c>
      <c r="P47" s="3">
        <f>IF(B47="","",VLOOKUP(AD47,Varsayımlar!$B:$Q,7,0)*K47)</f>
        <v>27720</v>
      </c>
      <c r="Q47" s="3">
        <f>IF(B47="","",VLOOKUP(AD47,Varsayımlar!$B:$Q,8,0))</f>
        <v>25</v>
      </c>
      <c r="R47" s="3" t="str">
        <f>IF(B47="","",VLOOKUP(AD47,Varsayımlar!$B:$Q,9,0))</f>
        <v>Soft</v>
      </c>
      <c r="S47" s="3">
        <f>IF(B47="","",VLOOKUP(AD47,Varsayımlar!$B:$Q,10,0))</f>
        <v>4</v>
      </c>
      <c r="T47" s="3">
        <f>IF(B47="","",VLOOKUP(AD47,Varsayımlar!$B:$Q,11,0))</f>
        <v>30</v>
      </c>
      <c r="U47" s="3">
        <f>IF(B47="","",VLOOKUP(AD47,Varsayımlar!$B:$Q,12,0))</f>
        <v>250</v>
      </c>
      <c r="V47" s="3" t="str">
        <f>IF(B47="","",VLOOKUP(AD47,Varsayımlar!$B:$Q,13,0))</f>
        <v>Yurtdışı</v>
      </c>
      <c r="W47" s="3">
        <f>IF(B47="","",VLOOKUP(AD47,Varsayımlar!$B:$Q,14,0))</f>
        <v>9</v>
      </c>
      <c r="X47" s="66">
        <v>46196</v>
      </c>
      <c r="Y47" s="66">
        <v>46469</v>
      </c>
      <c r="Z47" s="3">
        <v>26062325</v>
      </c>
      <c r="AA47" s="3" t="str">
        <f>IF(B47="","",VLOOKUP(AD47,Varsayımlar!$B:$Q,15,0))</f>
        <v>Kırmızı Koli- Üretim Tarihi Etiketli</v>
      </c>
      <c r="AB47" s="3" t="str">
        <f>IF(B47="","",VLOOKUP(AD47,Varsayımlar!$B:$Q,16,0))</f>
        <v>24-26 CM</v>
      </c>
      <c r="AC47" s="67" t="str">
        <f>IF(B47="","",VLOOKUP(Sayfa1!AD58,Varsayımlar!B:S,18,0))</f>
        <v>80x120cm -Epal+Epal</v>
      </c>
      <c r="AD47" s="57" t="str">
        <f t="shared" ref="AD47:AD54" si="1">IF(B47="","",CONCATENATE(B47,E47))</f>
        <v>SMART LLCKırmızı tortillas 25cm 4 lü 250g</v>
      </c>
    </row>
    <row r="48" spans="1:30" ht="47.25" x14ac:dyDescent="0.25">
      <c r="A48" s="8" t="s">
        <v>82</v>
      </c>
      <c r="B48" s="67" t="s">
        <v>268</v>
      </c>
      <c r="C48" s="42">
        <f>IF(B48="","",VLOOKUP(AD48,Varsayımlar!$B:$Q,3,0))</f>
        <v>8698829380698</v>
      </c>
      <c r="D48" s="42" t="s">
        <v>159</v>
      </c>
      <c r="E48" s="67" t="s">
        <v>342</v>
      </c>
      <c r="F48" s="67">
        <v>20250825</v>
      </c>
      <c r="G48" s="42" t="s">
        <v>68</v>
      </c>
      <c r="H48" s="67" t="str">
        <f>IF(B48="","",VLOOKUP(AD48,Varsayımlar!$B:$Q,5,0))</f>
        <v>Tortillas 25cm Sade</v>
      </c>
      <c r="I48" s="67">
        <f>IF(B48="","",VLOOKUP(AD48,Varsayımlar!B:T,19,0))</f>
        <v>0</v>
      </c>
      <c r="J48" s="67" t="str">
        <f>IF(B48="","",VLOOKUP(AD48,Varsayımlar!$B:$Q,6,0))</f>
        <v>SADE</v>
      </c>
      <c r="K48" s="67">
        <v>672</v>
      </c>
      <c r="L48" s="67"/>
      <c r="M48" s="67">
        <f>IFERROR(IF(B48="","",K48/VLOOKUP(AD48,Varsayımlar!B:R,17,0)),"")</f>
        <v>8</v>
      </c>
      <c r="N48" s="67"/>
      <c r="O48" s="67">
        <v>10</v>
      </c>
      <c r="P48" s="67">
        <f>IF(B48="","",VLOOKUP(AD48,Varsayımlar!$B:$Q,7,0)*K48)</f>
        <v>20160</v>
      </c>
      <c r="Q48" s="67">
        <f>IF(B48="","",VLOOKUP(AD48,Varsayımlar!$B:$Q,8,0))</f>
        <v>25</v>
      </c>
      <c r="R48" s="67" t="str">
        <f>IF(B48="","",VLOOKUP(AD48,Varsayımlar!$B:$Q,9,0))</f>
        <v>Soft-PA3</v>
      </c>
      <c r="S48" s="67">
        <f>IF(B48="","",VLOOKUP(AD48,Varsayımlar!$B:$Q,10,0))</f>
        <v>4</v>
      </c>
      <c r="T48" s="67">
        <f>IF(B48="","",VLOOKUP(AD48,Varsayımlar!$B:$Q,11,0))</f>
        <v>30</v>
      </c>
      <c r="U48" s="67">
        <f>IF(B48="","",VLOOKUP(AD48,Varsayımlar!$B:$Q,12,0))</f>
        <v>240</v>
      </c>
      <c r="V48" s="67" t="str">
        <f>IF(B48="","",VLOOKUP(AD48,Varsayımlar!$B:$Q,13,0))</f>
        <v>Yurtdışı</v>
      </c>
      <c r="W48" s="67">
        <f>IF(B48="","",VLOOKUP(AD48,Varsayımlar!$B:$Q,14,0))</f>
        <v>12</v>
      </c>
      <c r="X48" s="69">
        <v>46199</v>
      </c>
      <c r="Y48" s="69">
        <v>46564</v>
      </c>
      <c r="Z48" s="67">
        <v>26062625</v>
      </c>
      <c r="AA48" s="67" t="str">
        <f>IF(B48="","",VLOOKUP(AD48,Varsayımlar!$B:$Q,15,0))</f>
        <v>25cm Kolisi-Etiketli</v>
      </c>
      <c r="AB48" s="67" t="str">
        <f>IF(B48="","",VLOOKUP(AD48,Varsayımlar!$B:$Q,16,0))</f>
        <v>24-26 cm (Macca Hetto Inkjet Uzun Tarih)</v>
      </c>
      <c r="AC48" s="67" t="str">
        <f>IF(B48="","",VLOOKUP(Sayfa1!AD22,Varsayımlar!B:S,18,0))</f>
        <v>80x120cm</v>
      </c>
      <c r="AD48" s="57" t="str">
        <f t="shared" si="1"/>
        <v>LAIKYUZHN-BELARUSTortillas 25cm Sade 4pcs 240g</v>
      </c>
    </row>
    <row r="49" spans="1:30" ht="63" x14ac:dyDescent="0.25">
      <c r="A49" s="8" t="s">
        <v>83</v>
      </c>
      <c r="B49" s="62" t="s">
        <v>181</v>
      </c>
      <c r="C49" s="32">
        <f>IF(B49="","",VLOOKUP(AD49,Varsayımlar!$B:$Q,3,0))</f>
        <v>8698829380698</v>
      </c>
      <c r="D49" s="32"/>
      <c r="E49" s="62" t="s">
        <v>187</v>
      </c>
      <c r="F49" s="62">
        <v>26060101</v>
      </c>
      <c r="G49" s="32"/>
      <c r="H49" s="62" t="str">
        <f>IF(B49="","",VLOOKUP(AD49,Varsayımlar!$B:$Q,5,0))</f>
        <v>Tortillove 25cm</v>
      </c>
      <c r="I49" s="62" t="str">
        <f>IF(B49="","",VLOOKUP(AD49,Varsayımlar!B:T,19,0))</f>
        <v>Barkod üzerine Arnavutça içerik+Barkod-Tortillove</v>
      </c>
      <c r="J49" s="62" t="str">
        <f>IF(B49="","",VLOOKUP(AD49,Varsayımlar!$B:$Q,6,0))</f>
        <v>SADE</v>
      </c>
      <c r="K49" s="62">
        <v>168</v>
      </c>
      <c r="L49" s="62"/>
      <c r="M49" s="62">
        <f>IFERROR(IF(B49="","",K49/VLOOKUP(AD49,Varsayımlar!B:R,17,0)),"")</f>
        <v>2</v>
      </c>
      <c r="N49" s="62"/>
      <c r="O49" s="62">
        <v>2</v>
      </c>
      <c r="P49" s="62">
        <f>IF(B49="","",VLOOKUP(AD49,Varsayımlar!$B:$Q,7,0)*K49)</f>
        <v>3024</v>
      </c>
      <c r="Q49" s="62">
        <f>IF(B49="","",VLOOKUP(AD49,Varsayımlar!$B:$Q,8,0))</f>
        <v>25</v>
      </c>
      <c r="R49" s="62" t="str">
        <f>IF(B49="","",VLOOKUP(AD49,Varsayımlar!$B:$Q,9,0))</f>
        <v>Irak Soft</v>
      </c>
      <c r="S49" s="62">
        <f>IF(B49="","",VLOOKUP(AD49,Varsayımlar!$B:$Q,10,0))</f>
        <v>6</v>
      </c>
      <c r="T49" s="62">
        <f>IF(B49="","",VLOOKUP(AD49,Varsayımlar!$B:$Q,11,0))</f>
        <v>18</v>
      </c>
      <c r="U49" s="62">
        <f>IF(B49="","",VLOOKUP(AD49,Varsayımlar!$B:$Q,12,0))</f>
        <v>390</v>
      </c>
      <c r="V49" s="62" t="str">
        <f>IF(B49="","",VLOOKUP(AD49,Varsayımlar!$B:$Q,13,0))</f>
        <v>Yurtdışı</v>
      </c>
      <c r="W49" s="62">
        <f>IF(B49="","",VLOOKUP(AD49,Varsayımlar!$B:$Q,14,0))</f>
        <v>12</v>
      </c>
      <c r="X49" s="63">
        <v>46200</v>
      </c>
      <c r="Y49" s="63">
        <v>46565</v>
      </c>
      <c r="Z49" s="62">
        <v>26062725</v>
      </c>
      <c r="AA49" s="62" t="str">
        <f>IF(B49="","",VLOOKUP(AD49,Varsayımlar!$B:$Q,15,0))</f>
        <v>25cm Koli - Tortillove 390g Etiketli</v>
      </c>
      <c r="AB49" s="62" t="str">
        <f>IF(B49="","",VLOOKUP(AD49,Varsayımlar!$B:$Q,16,0))</f>
        <v>24-26 cm</v>
      </c>
      <c r="AC49" s="62">
        <f>IF(B49="","",VLOOKUP(Sayfa1!AD31,Varsayımlar!B:S,18,0))</f>
        <v>0</v>
      </c>
      <c r="AD49" s="57" t="str">
        <f t="shared" si="1"/>
        <v>ALDİ - KOSOVATortillove 25cm 6pcs 390g</v>
      </c>
    </row>
    <row r="50" spans="1:30" ht="63" x14ac:dyDescent="0.25">
      <c r="A50" s="8" t="s">
        <v>84</v>
      </c>
      <c r="B50" s="62" t="s">
        <v>181</v>
      </c>
      <c r="C50" s="32">
        <f>IF(B50="","",VLOOKUP(AD50,Varsayımlar!$B:$Q,3,0))</f>
        <v>8698829380698</v>
      </c>
      <c r="D50" s="32"/>
      <c r="E50" s="62" t="s">
        <v>189</v>
      </c>
      <c r="F50" s="62">
        <v>26060101</v>
      </c>
      <c r="G50" s="32"/>
      <c r="H50" s="62" t="str">
        <f>IF(B50="","",VLOOKUP(AD50,Varsayımlar!$B:$Q,5,0))</f>
        <v>Tortillas 25cm</v>
      </c>
      <c r="I50" s="62" t="str">
        <f>IF(B50="","",VLOOKUP(AD50,Varsayımlar!B:T,19,0))</f>
        <v>Barkod üzerine Arnavutça içerik+Barkod-Tortillas</v>
      </c>
      <c r="J50" s="62" t="str">
        <f>IF(B50="","",VLOOKUP(AD50,Varsayımlar!$B:$Q,6,0))</f>
        <v>SADE</v>
      </c>
      <c r="K50" s="62">
        <v>84</v>
      </c>
      <c r="L50" s="62"/>
      <c r="M50" s="62">
        <f>IFERROR(IF(B50="","",K50/VLOOKUP(AD50,Varsayımlar!B:R,17,0)),"")</f>
        <v>1</v>
      </c>
      <c r="N50" s="62"/>
      <c r="O50" s="62">
        <v>1</v>
      </c>
      <c r="P50" s="62">
        <f>IF(B50="","",VLOOKUP(AD50,Varsayımlar!$B:$Q,7,0)*K50)</f>
        <v>1512</v>
      </c>
      <c r="Q50" s="62">
        <f>IF(B50="","",VLOOKUP(AD50,Varsayımlar!$B:$Q,8,0))</f>
        <v>25</v>
      </c>
      <c r="R50" s="62" t="str">
        <f>IF(B50="","",VLOOKUP(AD50,Varsayımlar!$B:$Q,9,0))</f>
        <v>Irak Soft</v>
      </c>
      <c r="S50" s="62">
        <f>IF(B50="","",VLOOKUP(AD50,Varsayımlar!$B:$Q,10,0))</f>
        <v>6</v>
      </c>
      <c r="T50" s="62">
        <f>IF(B50="","",VLOOKUP(AD50,Varsayımlar!$B:$Q,11,0))</f>
        <v>18</v>
      </c>
      <c r="U50" s="62">
        <f>IF(B50="","",VLOOKUP(AD50,Varsayımlar!$B:$Q,12,0))</f>
        <v>390</v>
      </c>
      <c r="V50" s="62" t="str">
        <f>IF(B50="","",VLOOKUP(AD50,Varsayımlar!$B:$Q,13,0))</f>
        <v>Yurtdışı</v>
      </c>
      <c r="W50" s="62">
        <f>IF(B50="","",VLOOKUP(AD50,Varsayımlar!$B:$Q,14,0))</f>
        <v>12</v>
      </c>
      <c r="X50" s="63">
        <v>46200</v>
      </c>
      <c r="Y50" s="63">
        <v>46565</v>
      </c>
      <c r="Z50" s="62">
        <v>26062725</v>
      </c>
      <c r="AA50" s="62" t="str">
        <f>IF(B50="","",VLOOKUP(AD50,Varsayımlar!$B:$Q,15,0))</f>
        <v>25cm Koli - Tortillas 390g Etiketli</v>
      </c>
      <c r="AB50" s="62" t="str">
        <f>IF(B50="","",VLOOKUP(AD50,Varsayımlar!$B:$Q,16,0))</f>
        <v>24-26 cm</v>
      </c>
      <c r="AC50" s="62">
        <f>IF(B50="","",VLOOKUP(Sayfa1!AD32,Varsayımlar!B:S,18,0))</f>
        <v>0</v>
      </c>
      <c r="AD50" s="57" t="str">
        <f t="shared" si="1"/>
        <v>ALDİ - KOSOVATortillas 25cm 6pcs 390g</v>
      </c>
    </row>
    <row r="51" spans="1:30" ht="47.25" x14ac:dyDescent="0.25">
      <c r="A51" s="8" t="s">
        <v>85</v>
      </c>
      <c r="B51" s="62" t="s">
        <v>181</v>
      </c>
      <c r="C51" s="32">
        <f>IF(B51="","",VLOOKUP(AD51,Varsayımlar!$B:$Q,3,0))</f>
        <v>8698829380698</v>
      </c>
      <c r="D51" s="32"/>
      <c r="E51" s="62" t="s">
        <v>192</v>
      </c>
      <c r="F51" s="62">
        <v>26060101</v>
      </c>
      <c r="G51" s="32"/>
      <c r="H51" s="62" t="str">
        <f>IF(B51="","",VLOOKUP(AD51,Varsayımlar!$B:$Q,5,0))</f>
        <v>Tortillove 25cm</v>
      </c>
      <c r="I51" s="62" t="str">
        <f>IF(B51="","",VLOOKUP(AD51,Varsayımlar!B:T,19,0))</f>
        <v>Arka kısma Arnavutça içerik-Tortillove</v>
      </c>
      <c r="J51" s="62" t="str">
        <f>IF(B51="","",VLOOKUP(AD51,Varsayımlar!$B:$Q,6,0))</f>
        <v>SADE</v>
      </c>
      <c r="K51" s="62">
        <v>168</v>
      </c>
      <c r="L51" s="62"/>
      <c r="M51" s="62">
        <f>IFERROR(IF(B51="","",K51/VLOOKUP(AD51,Varsayımlar!B:R,17,0)),"")</f>
        <v>2</v>
      </c>
      <c r="N51" s="62"/>
      <c r="O51" s="62">
        <v>2</v>
      </c>
      <c r="P51" s="62">
        <f>IF(B51="","",VLOOKUP(AD51,Varsayımlar!$B:$Q,7,0)*K51)</f>
        <v>2016</v>
      </c>
      <c r="Q51" s="62">
        <f>IF(B51="","",VLOOKUP(AD51,Varsayımlar!$B:$Q,8,0))</f>
        <v>25</v>
      </c>
      <c r="R51" s="62" t="str">
        <f>IF(B51="","",VLOOKUP(AD51,Varsayımlar!$B:$Q,9,0))</f>
        <v>Irak Soft</v>
      </c>
      <c r="S51" s="62">
        <f>IF(B51="","",VLOOKUP(AD51,Varsayımlar!$B:$Q,10,0))</f>
        <v>10</v>
      </c>
      <c r="T51" s="62">
        <f>IF(B51="","",VLOOKUP(AD51,Varsayımlar!$B:$Q,11,0))</f>
        <v>12</v>
      </c>
      <c r="U51" s="62">
        <f>IF(B51="","",VLOOKUP(AD51,Varsayımlar!$B:$Q,12,0))</f>
        <v>650</v>
      </c>
      <c r="V51" s="62" t="str">
        <f>IF(B51="","",VLOOKUP(AD51,Varsayımlar!$B:$Q,13,0))</f>
        <v>Yurtdışı</v>
      </c>
      <c r="W51" s="62">
        <f>IF(B51="","",VLOOKUP(AD51,Varsayımlar!$B:$Q,14,0))</f>
        <v>12</v>
      </c>
      <c r="X51" s="63">
        <v>46200</v>
      </c>
      <c r="Y51" s="63">
        <v>46565</v>
      </c>
      <c r="Z51" s="62">
        <v>26062725</v>
      </c>
      <c r="AA51" s="62" t="str">
        <f>IF(B51="","",VLOOKUP(AD51,Varsayımlar!$B:$Q,15,0))</f>
        <v>25cm Koli - Tortillove 650g Etiketli</v>
      </c>
      <c r="AB51" s="62" t="str">
        <f>IF(B51="","",VLOOKUP(AD51,Varsayımlar!$B:$Q,16,0))</f>
        <v>24-26 cm</v>
      </c>
      <c r="AC51" s="62">
        <f>IF(B51="","",VLOOKUP(Sayfa1!AD33,Varsayımlar!B:S,18,0))</f>
        <v>0</v>
      </c>
      <c r="AD51" s="57" t="str">
        <f t="shared" si="1"/>
        <v>ALDİ - KOSOVATortillove 25cm 10pcs 650g</v>
      </c>
    </row>
    <row r="52" spans="1:30" ht="47.25" x14ac:dyDescent="0.25">
      <c r="A52" s="8" t="s">
        <v>86</v>
      </c>
      <c r="B52" s="62" t="s">
        <v>181</v>
      </c>
      <c r="C52" s="32">
        <f>IF(B52="","",VLOOKUP(AD52,Varsayımlar!$B:$Q,3,0))</f>
        <v>8698829380698</v>
      </c>
      <c r="D52" s="32"/>
      <c r="E52" s="62" t="s">
        <v>193</v>
      </c>
      <c r="F52" s="62">
        <v>26060101</v>
      </c>
      <c r="G52" s="32"/>
      <c r="H52" s="62" t="str">
        <f>IF(B52="","",VLOOKUP(AD52,Varsayımlar!$B:$Q,5,0))</f>
        <v>Tortillas 25cm</v>
      </c>
      <c r="I52" s="62" t="str">
        <f>IF(B52="","",VLOOKUP(AD52,Varsayımlar!B:T,19,0))</f>
        <v>Arka kısma Arnavutça içerik-Tortillas</v>
      </c>
      <c r="J52" s="62" t="str">
        <f>IF(B52="","",VLOOKUP(AD52,Varsayımlar!$B:$Q,6,0))</f>
        <v>SADE</v>
      </c>
      <c r="K52" s="62">
        <v>84</v>
      </c>
      <c r="L52" s="62"/>
      <c r="M52" s="62">
        <f>IFERROR(IF(B52="","",K52/VLOOKUP(AD52,Varsayımlar!B:R,17,0)),"")</f>
        <v>1</v>
      </c>
      <c r="N52" s="62"/>
      <c r="O52" s="62">
        <v>2</v>
      </c>
      <c r="P52" s="62">
        <f>IF(B52="","",VLOOKUP(AD52,Varsayımlar!$B:$Q,7,0)*K52)</f>
        <v>1008</v>
      </c>
      <c r="Q52" s="62">
        <f>IF(B52="","",VLOOKUP(AD52,Varsayımlar!$B:$Q,8,0))</f>
        <v>25</v>
      </c>
      <c r="R52" s="62" t="str">
        <f>IF(B52="","",VLOOKUP(AD52,Varsayımlar!$B:$Q,9,0))</f>
        <v>Irak Soft</v>
      </c>
      <c r="S52" s="62">
        <f>IF(B52="","",VLOOKUP(AD52,Varsayımlar!$B:$Q,10,0))</f>
        <v>10</v>
      </c>
      <c r="T52" s="62">
        <f>IF(B52="","",VLOOKUP(AD52,Varsayımlar!$B:$Q,11,0))</f>
        <v>12</v>
      </c>
      <c r="U52" s="62">
        <f>IF(B52="","",VLOOKUP(AD52,Varsayımlar!$B:$Q,12,0))</f>
        <v>650</v>
      </c>
      <c r="V52" s="62" t="str">
        <f>IF(B52="","",VLOOKUP(AD52,Varsayımlar!$B:$Q,13,0))</f>
        <v>Yurtdışı</v>
      </c>
      <c r="W52" s="62">
        <f>IF(B52="","",VLOOKUP(AD52,Varsayımlar!$B:$Q,14,0))</f>
        <v>12</v>
      </c>
      <c r="X52" s="63">
        <v>46200</v>
      </c>
      <c r="Y52" s="63">
        <v>46565</v>
      </c>
      <c r="Z52" s="62">
        <v>26062725</v>
      </c>
      <c r="AA52" s="62" t="str">
        <f>IF(B52="","",VLOOKUP(AD52,Varsayımlar!$B:$Q,15,0))</f>
        <v>25cm Koli - Tortillas 650g Etiketli</v>
      </c>
      <c r="AB52" s="62" t="str">
        <f>IF(B52="","",VLOOKUP(AD52,Varsayımlar!$B:$Q,16,0))</f>
        <v>24-26 cm</v>
      </c>
      <c r="AC52" s="62">
        <f>IF(B52="","",VLOOKUP(Sayfa1!AD34,Varsayımlar!B:S,18,0))</f>
        <v>0</v>
      </c>
      <c r="AD52" s="57" t="str">
        <f t="shared" si="1"/>
        <v>ALDİ - KOSOVATortillas 25cm 10pcs 650g</v>
      </c>
    </row>
    <row r="53" spans="1:30" ht="31.5" x14ac:dyDescent="0.25">
      <c r="A53" s="8" t="s">
        <v>87</v>
      </c>
      <c r="B53" s="64" t="s">
        <v>288</v>
      </c>
      <c r="C53" s="3">
        <f>IF(B53="","",VLOOKUP(AD53,Varsayımlar!$B:$Q,3,0))</f>
        <v>8698829380698</v>
      </c>
      <c r="D53" s="3"/>
      <c r="E53" s="64" t="s">
        <v>292</v>
      </c>
      <c r="F53" s="64">
        <v>20201016</v>
      </c>
      <c r="G53" s="3" t="s">
        <v>68</v>
      </c>
      <c r="H53" s="64" t="str">
        <f>IF(B53="","",VLOOKUP(AD53,Varsayımlar!$B:$Q,5,0))</f>
        <v>Kırmızı Tortillas 25cm Sade</v>
      </c>
      <c r="I53" s="64" t="str">
        <f>IF(B53="","",VLOOKUP(AD53,Varsayımlar!B:T,19,0))</f>
        <v>Arka kısma İçerik</v>
      </c>
      <c r="J53" s="64" t="str">
        <f>IF(B53="","",VLOOKUP(AD53,Varsayımlar!$B:$Q,6,0))</f>
        <v>SADE</v>
      </c>
      <c r="K53" s="64">
        <v>250</v>
      </c>
      <c r="L53" s="64"/>
      <c r="M53" s="64">
        <f>IFERROR(IF(B53="","",K53/VLOOKUP(AD53,Varsayımlar!B:R,17,0)),"")</f>
        <v>5</v>
      </c>
      <c r="N53" s="64"/>
      <c r="O53" s="64">
        <v>4</v>
      </c>
      <c r="P53" s="64">
        <f>IF(B53="","",VLOOKUP(AD53,Varsayımlar!$B:$Q,7,0)*K53)</f>
        <v>4500</v>
      </c>
      <c r="Q53" s="64">
        <f>IF(B53="","",VLOOKUP(AD53,Varsayımlar!$B:$Q,8,0))</f>
        <v>25</v>
      </c>
      <c r="R53" s="64" t="str">
        <f>IF(B53="","",VLOOKUP(AD53,Varsayımlar!$B:$Q,9,0))</f>
        <v>Irak Soft</v>
      </c>
      <c r="S53" s="64">
        <f>IF(B53="","",VLOOKUP(AD53,Varsayımlar!$B:$Q,10,0))</f>
        <v>6</v>
      </c>
      <c r="T53" s="64">
        <f>IF(B53="","",VLOOKUP(AD53,Varsayımlar!$B:$Q,11,0))</f>
        <v>18</v>
      </c>
      <c r="U53" s="64">
        <f>IF(B53="","",VLOOKUP(AD53,Varsayımlar!$B:$Q,12,0))</f>
        <v>390</v>
      </c>
      <c r="V53" s="64" t="str">
        <f>IF(B53="","",VLOOKUP(AD53,Varsayımlar!$B:$Q,13,0))</f>
        <v>YURTDIŞI</v>
      </c>
      <c r="W53" s="64">
        <f>IF(B53="","",VLOOKUP(AD53,Varsayımlar!$B:$Q,14,0))</f>
        <v>9</v>
      </c>
      <c r="X53" s="66">
        <v>46202</v>
      </c>
      <c r="Y53" s="66">
        <v>46475</v>
      </c>
      <c r="Z53" s="64">
        <v>26062925</v>
      </c>
      <c r="AA53" s="64" t="str">
        <f>IF(B53="","",VLOOKUP(AD53,Varsayımlar!$B:$Q,15,0))</f>
        <v>25cm Koli</v>
      </c>
      <c r="AB53" s="64" t="str">
        <f>IF(B53="","",VLOOKUP(AD53,Varsayımlar!$B:$Q,16,0))</f>
        <v>24-26 cm</v>
      </c>
      <c r="AC53" s="64" t="str">
        <f>IF(B53="","",VLOOKUP(Sayfa1!AD42,Varsayımlar!B:S,18,0))</f>
        <v>80x120cm</v>
      </c>
      <c r="AD53" s="57" t="str">
        <f t="shared" si="1"/>
        <v>UNITERA-KAZAKİSTANKırmızı Tortillas 25cm Sade 6pcs 390g</v>
      </c>
    </row>
    <row r="54" spans="1:30" ht="31.5" x14ac:dyDescent="0.25">
      <c r="A54" s="8" t="s">
        <v>88</v>
      </c>
      <c r="B54" s="80" t="s">
        <v>218</v>
      </c>
      <c r="C54" s="44">
        <f>IF(B54="","",VLOOKUP(AD54,Varsayımlar!$B:$Q,3,0))</f>
        <v>8698829380698</v>
      </c>
      <c r="D54" s="44" t="s">
        <v>160</v>
      </c>
      <c r="E54" s="80" t="s">
        <v>228</v>
      </c>
      <c r="F54" s="80">
        <v>26042907</v>
      </c>
      <c r="G54" s="44"/>
      <c r="H54" s="80" t="str">
        <f>IF(B54="","",VLOOKUP(AD54,Varsayımlar!$B:$Q,5,0))</f>
        <v>Tortillas Avrupa 25cm (698)</v>
      </c>
      <c r="I54" s="80">
        <f>IF(B54="","",VLOOKUP(AD54,Varsayımlar!B:T,19,0))</f>
        <v>0</v>
      </c>
      <c r="J54" s="80" t="str">
        <f>IF(B54="","",VLOOKUP(AD54,Varsayımlar!$B:$Q,6,0))</f>
        <v>SADE</v>
      </c>
      <c r="K54" s="80">
        <v>720</v>
      </c>
      <c r="L54" s="80"/>
      <c r="M54" s="80">
        <f>IFERROR(IF(B54="","",K54/VLOOKUP(AD54,Varsayımlar!B:R,17,0)),"")</f>
        <v>6</v>
      </c>
      <c r="N54" s="80"/>
      <c r="O54" s="80">
        <v>7</v>
      </c>
      <c r="P54" s="80">
        <f>IF(B54="","",VLOOKUP(AD54,Varsayımlar!$B:$Q,7,0)*K54)</f>
        <v>5760</v>
      </c>
      <c r="Q54" s="80">
        <f>IF(B54="","",VLOOKUP(AD54,Varsayımlar!$B:$Q,8,0))</f>
        <v>25</v>
      </c>
      <c r="R54" s="80" t="str">
        <f>IF(B54="","",VLOOKUP(AD54,Varsayımlar!$B:$Q,9,0))</f>
        <v>Irak Soft</v>
      </c>
      <c r="S54" s="80">
        <f>IF(B54="","",VLOOKUP(AD54,Varsayımlar!$B:$Q,10,0))</f>
        <v>10</v>
      </c>
      <c r="T54" s="80">
        <f>IF(B54="","",VLOOKUP(AD54,Varsayımlar!$B:$Q,11,0))</f>
        <v>8</v>
      </c>
      <c r="U54" s="80">
        <f>IF(B54="","",VLOOKUP(AD54,Varsayımlar!$B:$Q,12,0))</f>
        <v>650</v>
      </c>
      <c r="V54" s="80" t="str">
        <f>IF(B54="","",VLOOKUP(AD54,Varsayımlar!$B:$Q,13,0))</f>
        <v>Yurtdışı</v>
      </c>
      <c r="W54" s="80">
        <f>IF(B54="","",VLOOKUP(AD54,Varsayımlar!$B:$Q,14,0))</f>
        <v>9</v>
      </c>
      <c r="X54" s="81">
        <v>46203</v>
      </c>
      <c r="Y54" s="81">
        <v>46476</v>
      </c>
      <c r="Z54" s="80">
        <v>26063025</v>
      </c>
      <c r="AA54" s="80" t="str">
        <f>IF(B54="","",VLOOKUP(AD54,Varsayımlar!$B:$Q,15,0))</f>
        <v>25cm Perforeli-Bulgarca etiket</v>
      </c>
      <c r="AB54" s="80" t="str">
        <f>IF(B54="","",VLOOKUP(AD54,Varsayımlar!$B:$Q,16,0))</f>
        <v>24-26 cm</v>
      </c>
      <c r="AC54" s="80" t="str">
        <f>IF(B54="","",VLOOKUP(Sayfa1!AD56,Varsayımlar!B:S,18,0))</f>
        <v>80x120cm -Epal+Epal</v>
      </c>
      <c r="AD54" s="57" t="str">
        <f t="shared" si="1"/>
        <v>TASTE LAND-BULGARİSTANTortillas 25cm Sade 10pcs 650g</v>
      </c>
    </row>
    <row r="55" spans="1:30" ht="47.25" x14ac:dyDescent="0.25">
      <c r="A55" s="8" t="s">
        <v>89</v>
      </c>
      <c r="B55" s="54" t="s">
        <v>268</v>
      </c>
      <c r="C55" s="39">
        <f>IF(B55="","",VLOOKUP(AD55,Varsayımlar!$B:$Q,3,0))</f>
        <v>8698829380698</v>
      </c>
      <c r="D55" s="39" t="s">
        <v>160</v>
      </c>
      <c r="E55" s="54" t="s">
        <v>342</v>
      </c>
      <c r="F55" s="54" t="s">
        <v>343</v>
      </c>
      <c r="G55" s="39" t="s">
        <v>68</v>
      </c>
      <c r="H55" s="54" t="str">
        <f>IF(B55="","",VLOOKUP(AD55,Varsayımlar!$B:$Q,5,0))</f>
        <v>Tortillas 25cm Sade</v>
      </c>
      <c r="I55" s="54">
        <f>IF(B55="","",VLOOKUP(AD55,Varsayımlar!B:T,19,0))</f>
        <v>0</v>
      </c>
      <c r="J55" s="54" t="str">
        <f>IF(B55="","",VLOOKUP(AD55,Varsayımlar!$B:$Q,6,0))</f>
        <v>SADE</v>
      </c>
      <c r="K55" s="54">
        <v>420</v>
      </c>
      <c r="L55" s="54"/>
      <c r="M55" s="54">
        <f>IFERROR(IF(B55="","",K55/VLOOKUP(AD55,Varsayımlar!B:R,17,0)),"")</f>
        <v>5</v>
      </c>
      <c r="N55" s="54"/>
      <c r="O55" s="54">
        <v>7</v>
      </c>
      <c r="P55" s="54">
        <f>IF(B55="","",VLOOKUP(AD55,Varsayımlar!$B:$Q,7,0)*K55)</f>
        <v>12600</v>
      </c>
      <c r="Q55" s="54">
        <f>IF(B55="","",VLOOKUP(AD55,Varsayımlar!$B:$Q,8,0))</f>
        <v>25</v>
      </c>
      <c r="R55" s="54" t="str">
        <f>IF(B55="","",VLOOKUP(AD55,Varsayımlar!$B:$Q,9,0))</f>
        <v>Soft-PA3</v>
      </c>
      <c r="S55" s="54">
        <f>IF(B55="","",VLOOKUP(AD55,Varsayımlar!$B:$Q,10,0))</f>
        <v>4</v>
      </c>
      <c r="T55" s="54">
        <f>IF(B55="","",VLOOKUP(AD55,Varsayımlar!$B:$Q,11,0))</f>
        <v>30</v>
      </c>
      <c r="U55" s="54">
        <f>IF(B55="","",VLOOKUP(AD55,Varsayımlar!$B:$Q,12,0))</f>
        <v>240</v>
      </c>
      <c r="V55" s="54" t="str">
        <f>IF(B55="","",VLOOKUP(AD55,Varsayımlar!$B:$Q,13,0))</f>
        <v>Yurtdışı</v>
      </c>
      <c r="W55" s="54">
        <f>IF(B55="","",VLOOKUP(AD55,Varsayımlar!$B:$Q,14,0))</f>
        <v>12</v>
      </c>
      <c r="X55" s="56">
        <v>46205</v>
      </c>
      <c r="Y55" s="56">
        <v>46570</v>
      </c>
      <c r="Z55" s="54">
        <v>26070225</v>
      </c>
      <c r="AA55" s="54" t="str">
        <f>IF(B55="","",VLOOKUP(AD55,Varsayımlar!$B:$Q,15,0))</f>
        <v>25cm Kolisi-Etiketli</v>
      </c>
      <c r="AB55" s="54" t="str">
        <f>IF(B55="","",VLOOKUP(AD55,Varsayımlar!$B:$Q,16,0))</f>
        <v>24-26 cm (Macca Hetto Inkjet Uzun Tarih)</v>
      </c>
      <c r="AC55" s="54" t="str">
        <f>IF(B55="","",VLOOKUP(Sayfa1!AD35,Varsayımlar!B:S,18,0))</f>
        <v>80x120cm</v>
      </c>
      <c r="AD55" s="57" t="str">
        <f>IF(B55="","",CONCATENATE(B55,E55))</f>
        <v>LAIKYUZHN-BELARUSTortillas 25cm Sade 4pcs 240g</v>
      </c>
    </row>
    <row r="56" spans="1:30" ht="47.25" x14ac:dyDescent="0.25">
      <c r="A56" s="8" t="s">
        <v>90</v>
      </c>
      <c r="B56" s="64" t="s">
        <v>119</v>
      </c>
      <c r="C56" s="3">
        <f>IF(B56="","",VLOOKUP(AD56,Varsayımlar!$B:$Q,3,0))</f>
        <v>8698829380698</v>
      </c>
      <c r="D56" s="3"/>
      <c r="E56" s="65" t="s">
        <v>120</v>
      </c>
      <c r="F56" s="64"/>
      <c r="G56" s="64"/>
      <c r="H56" s="64" t="str">
        <f>IF(B56="","",VLOOKUP(AD56,Varsayımlar!$B:$Q,5,0))</f>
        <v>Nimet 25 cm</v>
      </c>
      <c r="I56" s="64"/>
      <c r="J56" s="64" t="str">
        <f>IF(B56="","",VLOOKUP(AD56,Varsayımlar!$B:$Q,6,0))</f>
        <v>SADE</v>
      </c>
      <c r="K56" s="64">
        <v>4000</v>
      </c>
      <c r="L56" s="64"/>
      <c r="M56" s="64">
        <f>IFERROR(IF(B56="","",K56/VLOOKUP(AD56,Varsayımlar!B:R,17,0)),"")</f>
        <v>80</v>
      </c>
      <c r="N56" s="64"/>
      <c r="O56" s="64">
        <v>60</v>
      </c>
      <c r="P56" s="64">
        <f>IF(B56="","",VLOOKUP(AD56,Varsayımlar!$B:$Q,7,0)*K56)</f>
        <v>48000</v>
      </c>
      <c r="Q56" s="64">
        <f>IF(B56="","",VLOOKUP(AD56,Varsayımlar!$B:$Q,8,0))</f>
        <v>25</v>
      </c>
      <c r="R56" s="64" t="str">
        <f>IF(B56="","",VLOOKUP(AD56,Varsayımlar!$B:$Q,9,0))</f>
        <v>Standart</v>
      </c>
      <c r="S56" s="64">
        <f>IF(B56="","",VLOOKUP(AD56,Varsayımlar!$B:$Q,10,0))</f>
        <v>12</v>
      </c>
      <c r="T56" s="64">
        <f>IF(B56="","",VLOOKUP(AD56,Varsayımlar!$B:$Q,11,0))</f>
        <v>12</v>
      </c>
      <c r="U56" s="64">
        <f>IF(B56="","",VLOOKUP(AD56,Varsayımlar!$B:$Q,12,0))</f>
        <v>840</v>
      </c>
      <c r="V56" s="64" t="str">
        <f>IF(B56="","",VLOOKUP(AD56,Varsayımlar!$B:$Q,13,0))</f>
        <v>YURTİÇİ</v>
      </c>
      <c r="W56" s="64">
        <f>IF(B56="","",VLOOKUP(AD56,Varsayımlar!$B:$Q,14,0))</f>
        <v>5</v>
      </c>
      <c r="X56" s="66" t="s">
        <v>113</v>
      </c>
      <c r="Y56" s="66" t="s">
        <v>113</v>
      </c>
      <c r="Z56" s="64" t="s">
        <v>113</v>
      </c>
      <c r="AA56" s="64" t="str">
        <f>IF(B56="","",VLOOKUP(AD56,Varsayımlar!$B:$Q,15,0))</f>
        <v>Nimet Kolisi</v>
      </c>
      <c r="AB56" s="64" t="str">
        <f>IF(B56="","",VLOOKUP(AD56,Varsayımlar!$B:$Q,16,0))</f>
        <v>24-26 CM</v>
      </c>
      <c r="AC56" s="64" t="s">
        <v>360</v>
      </c>
      <c r="AD56" s="57" t="str">
        <f t="shared" ref="AD56:AD63" si="2">IF(B56="","",CONCATENATE(B56,E56))</f>
        <v>A101Nimet 25cm 12 pcs 840g</v>
      </c>
    </row>
    <row r="57" spans="1:30" ht="31.5" x14ac:dyDescent="0.25">
      <c r="A57" s="8" t="s">
        <v>91</v>
      </c>
      <c r="B57" s="75" t="s">
        <v>218</v>
      </c>
      <c r="C57" s="43">
        <f>IF(B57="","",VLOOKUP(AD57,Varsayımlar!$B:$Q,3,0))</f>
        <v>8698829380698</v>
      </c>
      <c r="D57" s="43" t="s">
        <v>161</v>
      </c>
      <c r="E57" s="75" t="s">
        <v>228</v>
      </c>
      <c r="F57" s="75" t="s">
        <v>341</v>
      </c>
      <c r="G57" s="43"/>
      <c r="H57" s="75" t="str">
        <f>IF(B57="","",VLOOKUP(AD57,Varsayımlar!$B:$Q,5,0))</f>
        <v>Tortillas Avrupa 25cm (698)</v>
      </c>
      <c r="I57" s="75">
        <f>IF(B57="","",VLOOKUP(AD57,Varsayımlar!B:T,19,0))</f>
        <v>0</v>
      </c>
      <c r="J57" s="75" t="str">
        <f>IF(B57="","",VLOOKUP(AD57,Varsayımlar!$B:$Q,6,0))</f>
        <v>SADE</v>
      </c>
      <c r="K57" s="75">
        <v>720</v>
      </c>
      <c r="L57" s="75"/>
      <c r="M57" s="75">
        <f>IFERROR(IF(B57="","",K57/VLOOKUP(AD57,Varsayımlar!B:R,17,0)),"")</f>
        <v>6</v>
      </c>
      <c r="N57" s="75"/>
      <c r="O57" s="75">
        <v>7</v>
      </c>
      <c r="P57" s="75">
        <f>IF(B57="","",VLOOKUP(AD57,Varsayımlar!$B:$Q,7,0)*K57)</f>
        <v>5760</v>
      </c>
      <c r="Q57" s="75">
        <f>IF(B57="","",VLOOKUP(AD57,Varsayımlar!$B:$Q,8,0))</f>
        <v>25</v>
      </c>
      <c r="R57" s="75" t="str">
        <f>IF(B57="","",VLOOKUP(AD57,Varsayımlar!$B:$Q,9,0))</f>
        <v>Irak Soft</v>
      </c>
      <c r="S57" s="75">
        <f>IF(B57="","",VLOOKUP(AD57,Varsayımlar!$B:$Q,10,0))</f>
        <v>10</v>
      </c>
      <c r="T57" s="75">
        <f>IF(B57="","",VLOOKUP(AD57,Varsayımlar!$B:$Q,11,0))</f>
        <v>8</v>
      </c>
      <c r="U57" s="75">
        <f>IF(B57="","",VLOOKUP(AD57,Varsayımlar!$B:$Q,12,0))</f>
        <v>650</v>
      </c>
      <c r="V57" s="75" t="str">
        <f>IF(B57="","",VLOOKUP(AD57,Varsayımlar!$B:$Q,13,0))</f>
        <v>Yurtdışı</v>
      </c>
      <c r="W57" s="75">
        <f>IF(B57="","",VLOOKUP(AD57,Varsayımlar!$B:$Q,14,0))</f>
        <v>9</v>
      </c>
      <c r="X57" s="76">
        <v>46213</v>
      </c>
      <c r="Y57" s="76">
        <v>46487</v>
      </c>
      <c r="Z57" s="75">
        <v>26071025</v>
      </c>
      <c r="AA57" s="75" t="str">
        <f>IF(B57="","",VLOOKUP(AD57,Varsayımlar!$B:$Q,15,0))</f>
        <v>25cm Perforeli-Bulgarca etiket</v>
      </c>
      <c r="AB57" s="75" t="str">
        <f>IF(B57="","",VLOOKUP(AD57,Varsayımlar!$B:$Q,16,0))</f>
        <v>24-26 cm</v>
      </c>
      <c r="AC57" s="75" t="str">
        <f>IF(B57="","",VLOOKUP(Sayfa1!AD61,Varsayımlar!B:S,18,0))</f>
        <v>80x120cm -Epal+Epal</v>
      </c>
      <c r="AD57" s="57" t="str">
        <f t="shared" si="2"/>
        <v>TASTE LAND-BULGARİSTANTortillas 25cm Sade 10pcs 650g</v>
      </c>
    </row>
    <row r="58" spans="1:30" ht="47.25" x14ac:dyDescent="0.25">
      <c r="A58" s="8" t="s">
        <v>92</v>
      </c>
      <c r="B58" s="75" t="s">
        <v>218</v>
      </c>
      <c r="C58" s="43">
        <f>IF(B58="","",VLOOKUP(AD58,Varsayımlar!$B:$Q,3,0))</f>
        <v>8698829380698</v>
      </c>
      <c r="D58" s="43" t="s">
        <v>161</v>
      </c>
      <c r="E58" s="75" t="s">
        <v>250</v>
      </c>
      <c r="F58" s="75" t="s">
        <v>341</v>
      </c>
      <c r="G58" s="43"/>
      <c r="H58" s="75" t="str">
        <f>IF(B58="","",VLOOKUP(AD58,Varsayımlar!$B:$Q,5,0))</f>
        <v>Tortillas Avrupa 25cm (698)</v>
      </c>
      <c r="I58" s="75" t="str">
        <f>IF(B58="","",VLOOKUP(AD58,Varsayımlar!B:T,19,0))</f>
        <v>Barkod üzerine Barkod Etiketi (050)</v>
      </c>
      <c r="J58" s="75" t="str">
        <f>IF(B58="","",VLOOKUP(AD58,Varsayımlar!$B:$Q,6,0))</f>
        <v>SADE</v>
      </c>
      <c r="K58" s="75">
        <v>168</v>
      </c>
      <c r="L58" s="75"/>
      <c r="M58" s="75">
        <f>IFERROR(IF(B58="","",K58/VLOOKUP(AD58,Varsayımlar!B:R,17,0)),"")</f>
        <v>2</v>
      </c>
      <c r="N58" s="75"/>
      <c r="O58" s="75">
        <v>3</v>
      </c>
      <c r="P58" s="75">
        <f>IF(B58="","",VLOOKUP(AD58,Varsayımlar!$B:$Q,7,0)*K58)</f>
        <v>3024</v>
      </c>
      <c r="Q58" s="75">
        <f>IF(B58="","",VLOOKUP(AD58,Varsayımlar!$B:$Q,8,0))</f>
        <v>25</v>
      </c>
      <c r="R58" s="75" t="str">
        <f>IF(B58="","",VLOOKUP(AD58,Varsayımlar!$B:$Q,9,0))</f>
        <v>Irak Soft</v>
      </c>
      <c r="S58" s="75">
        <f>IF(B58="","",VLOOKUP(AD58,Varsayımlar!$B:$Q,10,0))</f>
        <v>6</v>
      </c>
      <c r="T58" s="75">
        <f>IF(B58="","",VLOOKUP(AD58,Varsayımlar!$B:$Q,11,0))</f>
        <v>18</v>
      </c>
      <c r="U58" s="75">
        <f>IF(B58="","",VLOOKUP(AD58,Varsayımlar!$B:$Q,12,0))</f>
        <v>390</v>
      </c>
      <c r="V58" s="75" t="str">
        <f>IF(B58="","",VLOOKUP(AD58,Varsayımlar!$B:$Q,13,0))</f>
        <v>Yurtdışı</v>
      </c>
      <c r="W58" s="75">
        <f>IF(B58="","",VLOOKUP(AD58,Varsayımlar!$B:$Q,14,0))</f>
        <v>9</v>
      </c>
      <c r="X58" s="76">
        <v>46213</v>
      </c>
      <c r="Y58" s="76">
        <v>46487</v>
      </c>
      <c r="Z58" s="75">
        <v>26071025</v>
      </c>
      <c r="AA58" s="75" t="str">
        <f>IF(B58="","",VLOOKUP(AD58,Varsayımlar!$B:$Q,15,0))</f>
        <v>25cm Kırmızı koli-Bulgarca Etiket</v>
      </c>
      <c r="AB58" s="75" t="str">
        <f>IF(B58="","",VLOOKUP(AD58,Varsayımlar!$B:$Q,16,0))</f>
        <v>24-26 cm</v>
      </c>
      <c r="AC58" s="75" t="str">
        <f>IF(B58="","",VLOOKUP(Sayfa1!AD62,Varsayımlar!B:S,18,0))</f>
        <v>80x120cm -Epal+Epal</v>
      </c>
      <c r="AD58" s="57" t="str">
        <f t="shared" si="2"/>
        <v>TASTE LAND-BULGARİSTANTortillas 25cm Sade 6pcs 390g</v>
      </c>
    </row>
    <row r="59" spans="1:30" x14ac:dyDescent="0.25">
      <c r="A59" s="8" t="s">
        <v>93</v>
      </c>
      <c r="B59" s="67"/>
      <c r="C59" s="42" t="str">
        <f>IF(B59="","",VLOOKUP(AD59,Varsayımlar!$B:$Q,3,0))</f>
        <v/>
      </c>
      <c r="D59" s="42"/>
      <c r="E59" s="42"/>
      <c r="F59" s="67"/>
      <c r="G59" s="67"/>
      <c r="H59" s="67" t="str">
        <f>IF(B59="","",VLOOKUP(AD59,Varsayımlar!$B:$Q,5,0))</f>
        <v/>
      </c>
      <c r="I59" s="67"/>
      <c r="J59" s="67" t="str">
        <f>IF(B59="","",VLOOKUP(AD59,Varsayımlar!$B:$Q,6,0))</f>
        <v/>
      </c>
      <c r="K59" s="67"/>
      <c r="L59" s="67"/>
      <c r="M59" s="67" t="str">
        <f>IFERROR(IF(B59="","",K59/VLOOKUP(AD59,Varsayımlar!B:R,17,0)),"")</f>
        <v/>
      </c>
      <c r="N59" s="67"/>
      <c r="O59" s="67"/>
      <c r="P59" s="67" t="str">
        <f>IF(B59="","",VLOOKUP(AD59,Varsayımlar!$B:$Q,7,0)*K59)</f>
        <v/>
      </c>
      <c r="Q59" s="67" t="str">
        <f>IF(B59="","",VLOOKUP(AD59,Varsayımlar!$B:$Q,8,0))</f>
        <v/>
      </c>
      <c r="R59" s="67" t="str">
        <f>IF(B59="","",VLOOKUP(AD59,Varsayımlar!$B:$Q,9,0))</f>
        <v/>
      </c>
      <c r="S59" s="67" t="str">
        <f>IF(B59="","",VLOOKUP(AD59,Varsayımlar!$B:$Q,10,0))</f>
        <v/>
      </c>
      <c r="T59" s="67" t="str">
        <f>IF(B59="","",VLOOKUP(AD59,Varsayımlar!$B:$Q,11,0))</f>
        <v/>
      </c>
      <c r="U59" s="67" t="str">
        <f>IF(B59="","",VLOOKUP(AD59,Varsayımlar!$B:$Q,12,0))</f>
        <v/>
      </c>
      <c r="V59" s="67" t="str">
        <f>IF(B59="","",VLOOKUP(AD59,Varsayımlar!$B:$Q,13,0))</f>
        <v/>
      </c>
      <c r="W59" s="67" t="str">
        <f>IF(B59="","",VLOOKUP(AD59,Varsayımlar!$B:$Q,14,0))</f>
        <v/>
      </c>
      <c r="X59" s="69"/>
      <c r="Y59" s="69"/>
      <c r="Z59" s="67"/>
      <c r="AA59" s="67" t="str">
        <f>IF(B59="","",VLOOKUP(AD59,Varsayımlar!$B:$Q,15,0))</f>
        <v/>
      </c>
      <c r="AB59" s="67" t="str">
        <f>IF(B59="","",VLOOKUP(AD59,Varsayımlar!$B:$Q,16,0))</f>
        <v/>
      </c>
      <c r="AC59" s="67"/>
      <c r="AD59" s="57" t="str">
        <f t="shared" si="2"/>
        <v/>
      </c>
    </row>
    <row r="60" spans="1:30" x14ac:dyDescent="0.25">
      <c r="A60" s="8" t="s">
        <v>135</v>
      </c>
      <c r="B60" s="67"/>
      <c r="C60" s="42" t="str">
        <f>IF(B60="","",VLOOKUP(AD60,Varsayımlar!$B:$Q,3,0))</f>
        <v/>
      </c>
      <c r="D60" s="42"/>
      <c r="E60" s="42"/>
      <c r="F60" s="67"/>
      <c r="G60" s="67"/>
      <c r="H60" s="67" t="str">
        <f>IF(B60="","",VLOOKUP(AD60,Varsayımlar!$B:$Q,5,0))</f>
        <v/>
      </c>
      <c r="I60" s="67"/>
      <c r="J60" s="67" t="str">
        <f>IF(B60="","",VLOOKUP(AD60,Varsayımlar!$B:$Q,6,0))</f>
        <v/>
      </c>
      <c r="K60" s="67"/>
      <c r="L60" s="67"/>
      <c r="M60" s="67" t="str">
        <f>IFERROR(IF(B60="","",K60/VLOOKUP(AD60,Varsayımlar!B:R,17,0)),"")</f>
        <v/>
      </c>
      <c r="N60" s="67"/>
      <c r="O60" s="67"/>
      <c r="P60" s="67" t="str">
        <f>IF(B60="","",VLOOKUP(AD60,Varsayımlar!$B:$Q,7,0)*K60)</f>
        <v/>
      </c>
      <c r="Q60" s="67" t="str">
        <f>IF(B60="","",VLOOKUP(AD60,Varsayımlar!$B:$Q,8,0))</f>
        <v/>
      </c>
      <c r="R60" s="67" t="str">
        <f>IF(B60="","",VLOOKUP(AD60,Varsayımlar!$B:$Q,9,0))</f>
        <v/>
      </c>
      <c r="S60" s="67" t="str">
        <f>IF(B60="","",VLOOKUP(AD60,Varsayımlar!$B:$Q,10,0))</f>
        <v/>
      </c>
      <c r="T60" s="67" t="str">
        <f>IF(B60="","",VLOOKUP(AD60,Varsayımlar!$B:$Q,11,0))</f>
        <v/>
      </c>
      <c r="U60" s="67" t="str">
        <f>IF(B60="","",VLOOKUP(AD60,Varsayımlar!$B:$Q,12,0))</f>
        <v/>
      </c>
      <c r="V60" s="67" t="str">
        <f>IF(B60="","",VLOOKUP(AD60,Varsayımlar!$B:$Q,13,0))</f>
        <v/>
      </c>
      <c r="W60" s="67" t="str">
        <f>IF(B60="","",VLOOKUP(AD60,Varsayımlar!$B:$Q,14,0))</f>
        <v/>
      </c>
      <c r="X60" s="69"/>
      <c r="Y60" s="69"/>
      <c r="Z60" s="67"/>
      <c r="AA60" s="67" t="str">
        <f>IF(B60="","",VLOOKUP(AD60,Varsayımlar!$B:$Q,15,0))</f>
        <v/>
      </c>
      <c r="AB60" s="67" t="str">
        <f>IF(B60="","",VLOOKUP(AD60,Varsayımlar!$B:$Q,16,0))</f>
        <v/>
      </c>
      <c r="AC60" s="67"/>
      <c r="AD60" s="57" t="str">
        <f t="shared" si="2"/>
        <v/>
      </c>
    </row>
    <row r="61" spans="1:30" x14ac:dyDescent="0.25">
      <c r="A61" s="8" t="s">
        <v>136</v>
      </c>
      <c r="B61" s="67"/>
      <c r="C61" s="42" t="str">
        <f>IF(B61="","",VLOOKUP(AD61,Varsayımlar!$B:$Q,3,0))</f>
        <v/>
      </c>
      <c r="D61" s="42"/>
      <c r="E61" s="42"/>
      <c r="F61" s="67"/>
      <c r="G61" s="67"/>
      <c r="H61" s="67" t="str">
        <f>IF(B61="","",VLOOKUP(AD61,Varsayımlar!$B:$Q,5,0))</f>
        <v/>
      </c>
      <c r="I61" s="67"/>
      <c r="J61" s="67" t="str">
        <f>IF(B61="","",VLOOKUP(AD61,Varsayımlar!$B:$Q,6,0))</f>
        <v/>
      </c>
      <c r="K61" s="67"/>
      <c r="L61" s="67"/>
      <c r="M61" s="67" t="str">
        <f>IFERROR(IF(B61="","",K61/VLOOKUP(AD61,Varsayımlar!B:R,17,0)),"")</f>
        <v/>
      </c>
      <c r="N61" s="67"/>
      <c r="O61" s="67"/>
      <c r="P61" s="67" t="str">
        <f>IF(B61="","",VLOOKUP(AD61,Varsayımlar!$B:$Q,7,0)*K61)</f>
        <v/>
      </c>
      <c r="Q61" s="67" t="str">
        <f>IF(B61="","",VLOOKUP(AD61,Varsayımlar!$B:$Q,8,0))</f>
        <v/>
      </c>
      <c r="R61" s="67" t="str">
        <f>IF(B61="","",VLOOKUP(AD61,Varsayımlar!$B:$Q,9,0))</f>
        <v/>
      </c>
      <c r="S61" s="67" t="str">
        <f>IF(B61="","",VLOOKUP(AD61,Varsayımlar!$B:$Q,10,0))</f>
        <v/>
      </c>
      <c r="T61" s="67" t="str">
        <f>IF(B61="","",VLOOKUP(AD61,Varsayımlar!$B:$Q,11,0))</f>
        <v/>
      </c>
      <c r="U61" s="67" t="str">
        <f>IF(B61="","",VLOOKUP(AD61,Varsayımlar!$B:$Q,12,0))</f>
        <v/>
      </c>
      <c r="V61" s="67" t="str">
        <f>IF(B61="","",VLOOKUP(AD61,Varsayımlar!$B:$Q,13,0))</f>
        <v/>
      </c>
      <c r="W61" s="67" t="str">
        <f>IF(B61="","",VLOOKUP(AD61,Varsayımlar!$B:$Q,14,0))</f>
        <v/>
      </c>
      <c r="X61" s="69"/>
      <c r="Y61" s="69"/>
      <c r="Z61" s="67"/>
      <c r="AA61" s="67" t="str">
        <f>IF(B61="","",VLOOKUP(AD61,Varsayımlar!$B:$Q,15,0))</f>
        <v/>
      </c>
      <c r="AB61" s="67" t="str">
        <f>IF(B61="","",VLOOKUP(AD61,Varsayımlar!$B:$Q,16,0))</f>
        <v/>
      </c>
      <c r="AC61" s="67"/>
      <c r="AD61" s="57" t="str">
        <f t="shared" si="2"/>
        <v/>
      </c>
    </row>
    <row r="62" spans="1:30" x14ac:dyDescent="0.25">
      <c r="A62" s="8" t="s">
        <v>137</v>
      </c>
      <c r="B62" s="67"/>
      <c r="C62" s="42" t="str">
        <f>IF(B62="","",VLOOKUP(AD62,Varsayımlar!$B:$Q,3,0))</f>
        <v/>
      </c>
      <c r="D62" s="42"/>
      <c r="E62" s="42"/>
      <c r="F62" s="67"/>
      <c r="G62" s="67"/>
      <c r="H62" s="67" t="str">
        <f>IF(B62="","",VLOOKUP(AD62,Varsayımlar!$B:$Q,5,0))</f>
        <v/>
      </c>
      <c r="I62" s="67"/>
      <c r="J62" s="67" t="str">
        <f>IF(B62="","",VLOOKUP(AD62,Varsayımlar!$B:$Q,6,0))</f>
        <v/>
      </c>
      <c r="K62" s="67"/>
      <c r="L62" s="67"/>
      <c r="M62" s="67" t="str">
        <f>IFERROR(IF(B62="","",K62/VLOOKUP(AD62,Varsayımlar!B:R,17,0)),"")</f>
        <v/>
      </c>
      <c r="N62" s="67"/>
      <c r="O62" s="67"/>
      <c r="P62" s="67" t="str">
        <f>IF(B62="","",VLOOKUP(AD62,Varsayımlar!$B:$Q,7,0)*K62)</f>
        <v/>
      </c>
      <c r="Q62" s="67" t="str">
        <f>IF(B62="","",VLOOKUP(AD62,Varsayımlar!$B:$Q,8,0))</f>
        <v/>
      </c>
      <c r="R62" s="67" t="str">
        <f>IF(B62="","",VLOOKUP(AD62,Varsayımlar!$B:$Q,9,0))</f>
        <v/>
      </c>
      <c r="S62" s="67" t="str">
        <f>IF(B62="","",VLOOKUP(AD62,Varsayımlar!$B:$Q,10,0))</f>
        <v/>
      </c>
      <c r="T62" s="67" t="str">
        <f>IF(B62="","",VLOOKUP(AD62,Varsayımlar!$B:$Q,11,0))</f>
        <v/>
      </c>
      <c r="U62" s="67" t="str">
        <f>IF(B62="","",VLOOKUP(AD62,Varsayımlar!$B:$Q,12,0))</f>
        <v/>
      </c>
      <c r="V62" s="67" t="str">
        <f>IF(B62="","",VLOOKUP(AD62,Varsayımlar!$B:$Q,13,0))</f>
        <v/>
      </c>
      <c r="W62" s="67" t="str">
        <f>IF(B62="","",VLOOKUP(AD62,Varsayımlar!$B:$Q,14,0))</f>
        <v/>
      </c>
      <c r="X62" s="69"/>
      <c r="Y62" s="69"/>
      <c r="Z62" s="67"/>
      <c r="AA62" s="67" t="str">
        <f>IF(B62="","",VLOOKUP(AD62,Varsayımlar!$B:$Q,15,0))</f>
        <v/>
      </c>
      <c r="AB62" s="67" t="str">
        <f>IF(B62="","",VLOOKUP(AD62,Varsayımlar!$B:$Q,16,0))</f>
        <v/>
      </c>
      <c r="AC62" s="67"/>
      <c r="AD62" s="57" t="str">
        <f t="shared" si="2"/>
        <v/>
      </c>
    </row>
    <row r="63" spans="1:30" x14ac:dyDescent="0.25">
      <c r="C63" s="53" t="str">
        <f>IF(B63="","",VLOOKUP(AD63,Varsayımlar!$B:$Q,3,0))</f>
        <v/>
      </c>
      <c r="H63" s="7" t="str">
        <f>IF(B63="","",VLOOKUP(AD63,Varsayımlar!$B:$Q,5,0))</f>
        <v/>
      </c>
      <c r="J63" s="7" t="str">
        <f>IF(B63="","",VLOOKUP(AD63,Varsayımlar!$B:$Q,6,0))</f>
        <v/>
      </c>
      <c r="P63" s="7" t="str">
        <f>IF(B63="","",VLOOKUP(AD63,Varsayımlar!$B:$Q,7,0)*K63)</f>
        <v/>
      </c>
      <c r="Q63" s="7" t="str">
        <f>IF(B63="","",VLOOKUP(AD63,Varsayımlar!$B:$Q,8,0))</f>
        <v/>
      </c>
      <c r="R63" s="7" t="str">
        <f>IF(B63="","",VLOOKUP(AD63,Varsayımlar!$B:$Q,9,0))</f>
        <v/>
      </c>
      <c r="S63" s="7" t="str">
        <f>IF(B63="","",VLOOKUP(AD63,Varsayımlar!$B:$Q,10,0))</f>
        <v/>
      </c>
      <c r="T63" s="7" t="str">
        <f>IF(B63="","",VLOOKUP(AD63,Varsayımlar!$B:$Q,11,0))</f>
        <v/>
      </c>
      <c r="U63" s="7" t="str">
        <f>IF(B63="","",VLOOKUP(AD63,Varsayımlar!$B:$Q,12,0))</f>
        <v/>
      </c>
      <c r="V63" s="7" t="str">
        <f>IF(B63="","",VLOOKUP(AD63,Varsayımlar!$B:$Q,13,0))</f>
        <v/>
      </c>
      <c r="W63" s="7" t="str">
        <f>IF(B63="","",VLOOKUP(AD63,Varsayımlar!$B:$Q,14,0))</f>
        <v/>
      </c>
      <c r="AA63" s="7" t="str">
        <f>IF(B63="","",VLOOKUP(AD63,Varsayımlar!$B:$Q,15,0))</f>
        <v/>
      </c>
      <c r="AB63" s="7" t="str">
        <f>IF(B63="","",VLOOKUP(AD63,Varsayımlar!$B:$Q,16,0))</f>
        <v/>
      </c>
      <c r="AD63" s="7" t="str">
        <f t="shared" si="2"/>
        <v/>
      </c>
    </row>
    <row r="64" spans="1:30" ht="31.5" customHeight="1" x14ac:dyDescent="0.25">
      <c r="A64" s="182" t="s">
        <v>345</v>
      </c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4"/>
      <c r="AC64" s="38"/>
    </row>
    <row r="65" spans="1:30" ht="63" x14ac:dyDescent="0.25">
      <c r="A65" s="8" t="s">
        <v>0</v>
      </c>
      <c r="B65" s="8" t="s">
        <v>1</v>
      </c>
      <c r="C65" s="9" t="s">
        <v>31</v>
      </c>
      <c r="D65" s="9" t="s">
        <v>124</v>
      </c>
      <c r="E65" s="9" t="s">
        <v>36</v>
      </c>
      <c r="F65" s="8" t="s">
        <v>37</v>
      </c>
      <c r="G65" s="8" t="s">
        <v>13</v>
      </c>
      <c r="H65" s="8" t="s">
        <v>2</v>
      </c>
      <c r="I65" s="8" t="s">
        <v>49</v>
      </c>
      <c r="J65" s="8" t="s">
        <v>3</v>
      </c>
      <c r="K65" s="8" t="s">
        <v>21</v>
      </c>
      <c r="L65" s="8" t="s">
        <v>94</v>
      </c>
      <c r="M65" s="8" t="s">
        <v>20</v>
      </c>
      <c r="N65" s="8" t="s">
        <v>165</v>
      </c>
      <c r="O65" s="8" t="s">
        <v>123</v>
      </c>
      <c r="P65" s="8" t="s">
        <v>16</v>
      </c>
      <c r="Q65" s="8" t="s">
        <v>4</v>
      </c>
      <c r="R65" s="8" t="s">
        <v>5</v>
      </c>
      <c r="S65" s="8" t="s">
        <v>6</v>
      </c>
      <c r="T65" s="8" t="s">
        <v>28</v>
      </c>
      <c r="U65" s="8" t="s">
        <v>7</v>
      </c>
      <c r="V65" s="8" t="s">
        <v>8</v>
      </c>
      <c r="W65" s="8" t="s">
        <v>9</v>
      </c>
      <c r="X65" s="8" t="s">
        <v>10</v>
      </c>
      <c r="Y65" s="8" t="s">
        <v>11</v>
      </c>
      <c r="Z65" s="8" t="s">
        <v>12</v>
      </c>
      <c r="AA65" s="8" t="s">
        <v>14</v>
      </c>
      <c r="AB65" s="8" t="s">
        <v>15</v>
      </c>
      <c r="AC65" s="8" t="s">
        <v>208</v>
      </c>
      <c r="AD65" s="7" t="s">
        <v>41</v>
      </c>
    </row>
    <row r="66" spans="1:30" ht="31.5" x14ac:dyDescent="0.25">
      <c r="A66" s="8" t="s">
        <v>26</v>
      </c>
      <c r="B66" s="64" t="s">
        <v>95</v>
      </c>
      <c r="C66" s="3">
        <f>IF(B66="","",VLOOKUP(AD66,Varsayımlar!$B:$Q,3,0))</f>
        <v>8698829380698</v>
      </c>
      <c r="D66" s="3"/>
      <c r="E66" s="65" t="s">
        <v>114</v>
      </c>
      <c r="F66" s="64"/>
      <c r="G66" s="64"/>
      <c r="H66" s="64" t="str">
        <f>IF(B66="","",VLOOKUP(AD66,Varsayımlar!$B:$Q,5,0))</f>
        <v>Bisto 25 cm</v>
      </c>
      <c r="I66" s="64"/>
      <c r="J66" s="64" t="str">
        <f>IF(B66="","",VLOOKUP(AD66,Varsayımlar!$B:$Q,6,0))</f>
        <v>SADE</v>
      </c>
      <c r="K66" s="64">
        <v>576</v>
      </c>
      <c r="L66" s="64"/>
      <c r="M66" s="64">
        <f>IFERROR(IF(B66="","",K66/VLOOKUP(AD66,Varsayımlar!B:R,17,0)),"")</f>
        <v>12</v>
      </c>
      <c r="N66" s="64"/>
      <c r="O66" s="64">
        <v>15</v>
      </c>
      <c r="P66" s="64">
        <f>IF(B66="","",VLOOKUP(AD66,Varsayımlar!$B:$Q,7,0)*K66)</f>
        <v>6912</v>
      </c>
      <c r="Q66" s="64">
        <f>IF(B66="","",VLOOKUP(AD66,Varsayımlar!$B:$Q,8,0))</f>
        <v>25</v>
      </c>
      <c r="R66" s="64" t="str">
        <f>IF(B66="","",VLOOKUP(AD66,Varsayımlar!$B:$Q,9,0))</f>
        <v>Standart</v>
      </c>
      <c r="S66" s="64">
        <f>IF(B66="","",VLOOKUP(AD66,Varsayımlar!$B:$Q,10,0))</f>
        <v>12</v>
      </c>
      <c r="T66" s="64">
        <f>IF(B66="","",VLOOKUP(AD66,Varsayımlar!$B:$Q,11,0))</f>
        <v>12</v>
      </c>
      <c r="U66" s="64">
        <f>IF(B66="","",VLOOKUP(AD66,Varsayımlar!$B:$Q,12,0))</f>
        <v>840</v>
      </c>
      <c r="V66" s="64" t="str">
        <f>IF(B66="","",VLOOKUP(AD66,Varsayımlar!$B:$Q,13,0))</f>
        <v>Yurtiçi</v>
      </c>
      <c r="W66" s="64">
        <f>IF(B66="","",VLOOKUP(AD66,Varsayımlar!$B:$Q,14,0))</f>
        <v>6</v>
      </c>
      <c r="X66" s="66" t="s">
        <v>113</v>
      </c>
      <c r="Y66" s="66" t="s">
        <v>113</v>
      </c>
      <c r="Z66" s="64" t="s">
        <v>113</v>
      </c>
      <c r="AA66" s="64" t="str">
        <f>IF(B66="","",VLOOKUP(AD66,Varsayımlar!$B:$Q,15,0))</f>
        <v>Bisto Kolisi</v>
      </c>
      <c r="AB66" s="64" t="str">
        <f>IF(B66="","",VLOOKUP(AD66,Varsayımlar!$B:$Q,16,0))</f>
        <v>24-26 Cm</v>
      </c>
      <c r="AC66" s="64" t="s">
        <v>362</v>
      </c>
      <c r="AD66" s="57" t="str">
        <f t="shared" ref="AD66" si="3">IF(B66="","",CONCATENATE(B66,E66))</f>
        <v>Şok MarketBisto 25 cm 12 pcs 840g</v>
      </c>
    </row>
    <row r="67" spans="1:30" ht="31.5" customHeight="1" x14ac:dyDescent="0.25">
      <c r="A67" s="8" t="s">
        <v>77</v>
      </c>
      <c r="B67" s="119" t="s">
        <v>363</v>
      </c>
      <c r="C67" s="120">
        <f>IF(B67="","",VLOOKUP(AD67,Varsayımlar!$B:$Q,3,0))</f>
        <v>8698829380698</v>
      </c>
      <c r="D67" s="120"/>
      <c r="E67" s="120" t="s">
        <v>364</v>
      </c>
      <c r="F67" s="119"/>
      <c r="G67" s="120" t="s">
        <v>373</v>
      </c>
      <c r="H67" s="119" t="str">
        <f>IF(B67="","",VLOOKUP(AD67,Varsayımlar!$B:$Q,5,0))</f>
        <v>Durum 30cm Sade 18pcs 1620g</v>
      </c>
      <c r="I67" s="119">
        <f>IF(B67="","",VLOOKUP(AD67,Varsayımlar!B:T,19,0))</f>
        <v>0</v>
      </c>
      <c r="J67" s="119" t="str">
        <f>IF(B67="","",VLOOKUP(AD67,Varsayımlar!$B:$Q,6,0))</f>
        <v>SADE</v>
      </c>
      <c r="K67" s="119">
        <v>360</v>
      </c>
      <c r="L67" s="119" t="s">
        <v>424</v>
      </c>
      <c r="M67" s="119" t="str">
        <f>IFERROR(IF(B67="","",K67/VLOOKUP(AD67,Varsayımlar!B:R,17,0)),"")</f>
        <v/>
      </c>
      <c r="N67" s="119"/>
      <c r="O67" s="119">
        <v>9</v>
      </c>
      <c r="P67" s="119">
        <f>IF(B67="","",VLOOKUP(AD67,Varsayımlar!$B:$Q,7,0)*K67)</f>
        <v>6480</v>
      </c>
      <c r="Q67" s="119">
        <f>IF(B67="","",VLOOKUP(AD67,Varsayımlar!$B:$Q,8,0))</f>
        <v>30</v>
      </c>
      <c r="R67" s="119" t="str">
        <f>IF(B67="","",VLOOKUP(AD67,Varsayımlar!$B:$Q,9,0))</f>
        <v>Irak Soft</v>
      </c>
      <c r="S67" s="119">
        <f>IF(B67="","",VLOOKUP(AD67,Varsayımlar!$B:$Q,10,0))</f>
        <v>18</v>
      </c>
      <c r="T67" s="119">
        <f>IF(B67="","",VLOOKUP(AD67,Varsayımlar!$B:$Q,11,0))</f>
        <v>6</v>
      </c>
      <c r="U67" s="119">
        <f>IF(B67="","",VLOOKUP(AD67,Varsayımlar!$B:$Q,12,0))</f>
        <v>1620</v>
      </c>
      <c r="V67" s="119" t="str">
        <f>IF(B67="","",VLOOKUP(AD67,Varsayımlar!$B:$Q,13,0))</f>
        <v>Yurtdışı</v>
      </c>
      <c r="W67" s="119">
        <f>IF(B67="","",VLOOKUP(AD67,Varsayımlar!$B:$Q,14,0))</f>
        <v>0</v>
      </c>
      <c r="X67" s="121"/>
      <c r="Y67" s="121"/>
      <c r="Z67" s="119"/>
      <c r="AA67" s="119" t="str">
        <f>IF(B67="","",VLOOKUP(AD67,Varsayımlar!$B:$Q,15,0))</f>
        <v>30cm kolisi-Etiketli</v>
      </c>
      <c r="AB67" s="119" t="str">
        <f>IF(B67="","",VLOOKUP(AD67,Varsayımlar!$B:$Q,16,0))</f>
        <v>29-31 cm</v>
      </c>
      <c r="AC67" s="64">
        <f>IF(B67="","",VLOOKUP(Sayfa1!AD11,Varsayımlar!B:S,18,0))</f>
        <v>0</v>
      </c>
      <c r="AD67" s="57" t="str">
        <f>IF(B67="","",CONCATENATE(B67,E67))</f>
        <v>EyalDurum 30cm sade 18 li 1620g</v>
      </c>
    </row>
    <row r="68" spans="1:30" ht="31.5" customHeight="1" x14ac:dyDescent="0.25">
      <c r="A68" s="8" t="s">
        <v>78</v>
      </c>
      <c r="B68" s="64" t="s">
        <v>335</v>
      </c>
      <c r="C68" s="3">
        <f>IF(B68="","",VLOOKUP(AD68,Varsayımlar!$B:$Q,3,0))</f>
        <v>8698829380698</v>
      </c>
      <c r="D68" s="3"/>
      <c r="E68" s="64" t="s">
        <v>299</v>
      </c>
      <c r="F68" s="64"/>
      <c r="G68" s="3"/>
      <c r="H68" s="64" t="str">
        <f>IF(B68="","",VLOOKUP(AD68,Varsayımlar!$B:$Q,5,0))</f>
        <v>Lazeza 30cm</v>
      </c>
      <c r="I68" s="64">
        <f>IF(B68="","",VLOOKUP(AD68,Varsayımlar!B:T,19,0))</f>
        <v>0</v>
      </c>
      <c r="J68" s="64" t="str">
        <f>IF(B68="","",VLOOKUP(AD68,Varsayımlar!$B:$Q,6,0))</f>
        <v>SADE</v>
      </c>
      <c r="K68" s="64">
        <v>1700</v>
      </c>
      <c r="L68" s="64"/>
      <c r="M68" s="64" t="str">
        <f>IFERROR(IF(B68="","",K68/VLOOKUP(AD68,Varsayımlar!B:R,17,0)),"")</f>
        <v/>
      </c>
      <c r="N68" s="64"/>
      <c r="O68" s="64">
        <v>47</v>
      </c>
      <c r="P68" s="64">
        <f>IF(B68="","",VLOOKUP(AD68,Varsayımlar!$B:$Q,7,0)*K68)</f>
        <v>30600</v>
      </c>
      <c r="Q68" s="64">
        <f>IF(B68="","",VLOOKUP(AD68,Varsayımlar!$B:$Q,8,0))</f>
        <v>30</v>
      </c>
      <c r="R68" s="64" t="str">
        <f>IF(B68="","",VLOOKUP(AD68,Varsayımlar!$B:$Q,9,0))</f>
        <v>Irak Soft</v>
      </c>
      <c r="S68" s="64">
        <f>IF(B68="","",VLOOKUP(AD68,Varsayımlar!$B:$Q,10,0))</f>
        <v>6</v>
      </c>
      <c r="T68" s="64">
        <f>IF(B68="","",VLOOKUP(AD68,Varsayımlar!$B:$Q,11,0))</f>
        <v>18</v>
      </c>
      <c r="U68" s="64">
        <f>IF(B68="","",VLOOKUP(AD68,Varsayımlar!$B:$Q,12,0))</f>
        <v>510</v>
      </c>
      <c r="V68" s="64" t="str">
        <f>IF(B68="","",VLOOKUP(AD68,Varsayımlar!$B:$Q,13,0))</f>
        <v>Yurtdışı</v>
      </c>
      <c r="W68" s="64">
        <f>IF(B68="","",VLOOKUP(AD68,Varsayımlar!$B:$Q,14,0))</f>
        <v>6</v>
      </c>
      <c r="X68" s="66">
        <v>46188</v>
      </c>
      <c r="Y68" s="66">
        <v>46736</v>
      </c>
      <c r="Z68" s="64">
        <v>26061530</v>
      </c>
      <c r="AA68" s="64" t="str">
        <f>IF(B68="","",VLOOKUP(AD68,Varsayımlar!$B:$Q,15,0))</f>
        <v>Lazeza Kolisi</v>
      </c>
      <c r="AB68" s="64" t="str">
        <f>IF(B68="","",VLOOKUP(AD68,Varsayımlar!$B:$Q,16,0))</f>
        <v>29-31 cm</v>
      </c>
      <c r="AC68" s="64" t="str">
        <f>IF(B68="","",VLOOKUP(Sayfa1!AD79,Varsayımlar!B:S,18,0))</f>
        <v>80x120cm -Epal+Epal</v>
      </c>
      <c r="AD68" s="57" t="str">
        <f>IF(B68="","",CONCATENATE(B68,E68))</f>
        <v>AjjawiLazeza 30 cm 6pcs 510g</v>
      </c>
    </row>
    <row r="69" spans="1:30" ht="27.75" customHeight="1" x14ac:dyDescent="0.25">
      <c r="A69" s="8" t="s">
        <v>79</v>
      </c>
      <c r="B69" s="67" t="s">
        <v>431</v>
      </c>
      <c r="C69" s="42">
        <f>IF(B69="","",VLOOKUP(AD69,Varsayımlar!$B:$Q,3,0))</f>
        <v>8698829380698</v>
      </c>
      <c r="D69" s="42"/>
      <c r="E69" s="42" t="s">
        <v>432</v>
      </c>
      <c r="F69" s="42">
        <v>20260612</v>
      </c>
      <c r="G69" s="42"/>
      <c r="H69" s="42" t="str">
        <f>IF(B69="","",VLOOKUP(AD69,Varsayımlar!$B:$Q,5,0))</f>
        <v xml:space="preserve">Happylla 30cm </v>
      </c>
      <c r="I69" s="42"/>
      <c r="J69" s="42" t="str">
        <f>IF(B69="","",VLOOKUP(AD69,Varsayımlar!$B:$Q,6,0))</f>
        <v>SADE</v>
      </c>
      <c r="K69" s="42">
        <v>120</v>
      </c>
      <c r="L69" s="42"/>
      <c r="M69" s="42">
        <f>IFERROR(IF(B69="","",K69/VLOOKUP(AD69,Varsayımlar!B:R,17,0)),"")</f>
        <v>2</v>
      </c>
      <c r="N69" s="42">
        <v>60</v>
      </c>
      <c r="O69" s="42">
        <v>4</v>
      </c>
      <c r="P69" s="42">
        <f>IF(B69="","",VLOOKUP(AD69,Varsayımlar!$B:$Q,7,0)*K69)</f>
        <v>1440</v>
      </c>
      <c r="Q69" s="42">
        <f>IF(B69="","",VLOOKUP(AD69,Varsayımlar!$B:$Q,8,0))</f>
        <v>30</v>
      </c>
      <c r="R69" s="42" t="str">
        <f>IF(B69="","",VLOOKUP(AD69,Varsayımlar!$B:$Q,9,0))</f>
        <v>Standart</v>
      </c>
      <c r="S69" s="42">
        <f>IF(B69="","",VLOOKUP(AD69,Varsayımlar!$B:$Q,10,0))</f>
        <v>10</v>
      </c>
      <c r="T69" s="42">
        <f>IF(B69="","",VLOOKUP(AD69,Varsayımlar!$B:$Q,11,0))</f>
        <v>12</v>
      </c>
      <c r="U69" s="42">
        <f>IF(B69="","",VLOOKUP(AD69,Varsayımlar!$B:$Q,12,0))</f>
        <v>900</v>
      </c>
      <c r="V69" s="42" t="str">
        <f>IF(B69="","",VLOOKUP(AD69,Varsayımlar!$B:$Q,13,0))</f>
        <v>Yurtdışı</v>
      </c>
      <c r="W69" s="67">
        <f>IF(B69="","",VLOOKUP(AD69,Varsayımlar!$B:$Q,14,0))</f>
        <v>6</v>
      </c>
      <c r="X69" s="69">
        <v>46196</v>
      </c>
      <c r="Y69" s="69">
        <v>46379</v>
      </c>
      <c r="Z69" s="67">
        <v>26062330</v>
      </c>
      <c r="AA69" s="67" t="str">
        <f>IF(B69="","",VLOOKUP(AD69,Varsayımlar!$B:$Q,15,0))</f>
        <v>30cm kolisi</v>
      </c>
      <c r="AB69" s="67" t="str">
        <f>IF(B69="","",VLOOKUP(AD69,Varsayımlar!$B:$Q,16,0))</f>
        <v>29-31 cm</v>
      </c>
      <c r="AC69" s="67"/>
      <c r="AD69" s="57" t="str">
        <f>IF(B69="","",CONCATENATE(B69,E69))</f>
        <v>Bağ TicaretHappylla 30cm Sade 10pcs 900g</v>
      </c>
    </row>
    <row r="70" spans="1:30" x14ac:dyDescent="0.25">
      <c r="A70" s="8" t="s">
        <v>80</v>
      </c>
      <c r="B70" s="67" t="s">
        <v>431</v>
      </c>
      <c r="C70" s="42">
        <f>IF(B70="","",VLOOKUP(AD70,Varsayımlar!$B:$Q,3,0))</f>
        <v>8698829380698</v>
      </c>
      <c r="D70" s="42"/>
      <c r="E70" s="42" t="s">
        <v>435</v>
      </c>
      <c r="F70" s="42">
        <v>20260612</v>
      </c>
      <c r="G70" s="42"/>
      <c r="H70" s="42" t="str">
        <f>IF(B70="","",VLOOKUP(AD70,Varsayımlar!$B:$Q,5,0))</f>
        <v xml:space="preserve">Happylla 500g </v>
      </c>
      <c r="I70" s="42"/>
      <c r="J70" s="42" t="str">
        <f>IF(B70="","",VLOOKUP(AD70,Varsayımlar!$B:$Q,6,0))</f>
        <v>SADE</v>
      </c>
      <c r="K70" s="42">
        <v>1768</v>
      </c>
      <c r="L70" s="42"/>
      <c r="M70" s="42">
        <f>IFERROR(IF(B70="","",K70/VLOOKUP(AD70,Varsayımlar!B:R,17,0)),"")</f>
        <v>17</v>
      </c>
      <c r="N70" s="42">
        <v>104</v>
      </c>
      <c r="O70" s="42">
        <v>50</v>
      </c>
      <c r="P70" s="42">
        <f>IF(B70="","",VLOOKUP(AD70,Varsayımlar!$B:$Q,7,0)*K70)</f>
        <v>21216</v>
      </c>
      <c r="Q70" s="42">
        <f>IF(B70="","",VLOOKUP(AD70,Varsayımlar!$B:$Q,8,0))</f>
        <v>25</v>
      </c>
      <c r="R70" s="42" t="str">
        <f>IF(B70="","",VLOOKUP(AD70,Varsayımlar!$B:$Q,9,0))</f>
        <v>Irak Soft</v>
      </c>
      <c r="S70" s="42">
        <f>IF(B70="","",VLOOKUP(AD70,Varsayımlar!$B:$Q,10,0))</f>
        <v>10</v>
      </c>
      <c r="T70" s="42">
        <f>IF(B70="","",VLOOKUP(AD70,Varsayımlar!$B:$Q,11,0))</f>
        <v>12</v>
      </c>
      <c r="U70" s="42">
        <f>IF(B70="","",VLOOKUP(AD70,Varsayımlar!$B:$Q,12,0))</f>
        <v>500</v>
      </c>
      <c r="V70" s="42" t="str">
        <f>IF(B70="","",VLOOKUP(AD70,Varsayımlar!$B:$Q,13,0))</f>
        <v>Yurtdışı</v>
      </c>
      <c r="W70" s="67">
        <f>IF(B70="","",VLOOKUP(AD70,Varsayımlar!$B:$Q,14,0))</f>
        <v>6</v>
      </c>
      <c r="X70" s="69">
        <v>46196</v>
      </c>
      <c r="Y70" s="69">
        <v>46379</v>
      </c>
      <c r="Z70" s="67">
        <v>26062325</v>
      </c>
      <c r="AA70" s="67" t="str">
        <f>IF(B70="","",VLOOKUP(AD70,Varsayımlar!$B:$Q,15,0))</f>
        <v>Kırmızı Koli 25cm</v>
      </c>
      <c r="AB70" s="67" t="str">
        <f>IF(B70="","",VLOOKUP(AD70,Varsayımlar!$B:$Q,16,0))</f>
        <v>23-26cm</v>
      </c>
      <c r="AC70" s="67"/>
      <c r="AD70" s="57" t="str">
        <f>IF(B70="","",CONCATENATE(B70,E70))</f>
        <v>Bağ TicaretHappylla 25cm Sade 10pcs 500g</v>
      </c>
    </row>
    <row r="71" spans="1:30" ht="26.25" hidden="1" customHeight="1" x14ac:dyDescent="0.25">
      <c r="A71" s="8" t="s">
        <v>81</v>
      </c>
      <c r="B71" s="67" t="s">
        <v>119</v>
      </c>
      <c r="C71" s="42">
        <v>8698829380698</v>
      </c>
      <c r="D71" s="42"/>
      <c r="E71" s="42" t="s">
        <v>120</v>
      </c>
      <c r="F71" s="67"/>
      <c r="G71" s="42"/>
      <c r="H71" s="67" t="s">
        <v>121</v>
      </c>
      <c r="I71" s="67">
        <v>0</v>
      </c>
      <c r="J71" s="67" t="s">
        <v>19</v>
      </c>
      <c r="K71" s="67">
        <v>2000</v>
      </c>
      <c r="L71" s="67"/>
      <c r="M71" s="67">
        <v>80</v>
      </c>
      <c r="N71" s="67">
        <v>50</v>
      </c>
      <c r="O71" s="67">
        <v>72</v>
      </c>
      <c r="P71" s="67">
        <v>48000</v>
      </c>
      <c r="Q71" s="67">
        <v>25</v>
      </c>
      <c r="R71" s="67" t="s">
        <v>116</v>
      </c>
      <c r="S71" s="67">
        <v>12</v>
      </c>
      <c r="T71" s="67">
        <v>12</v>
      </c>
      <c r="U71" s="67">
        <v>840</v>
      </c>
      <c r="V71" s="67" t="s">
        <v>72</v>
      </c>
      <c r="W71" s="67">
        <v>5</v>
      </c>
      <c r="X71" s="69" t="s">
        <v>113</v>
      </c>
      <c r="Y71" s="69" t="s">
        <v>113</v>
      </c>
      <c r="Z71" s="67" t="s">
        <v>113</v>
      </c>
      <c r="AA71" s="67" t="s">
        <v>122</v>
      </c>
      <c r="AB71" s="67" t="s">
        <v>25</v>
      </c>
      <c r="AC71" s="67">
        <v>0</v>
      </c>
      <c r="AD71" s="57" t="s">
        <v>387</v>
      </c>
    </row>
    <row r="72" spans="1:30" ht="47.25" hidden="1" x14ac:dyDescent="0.25">
      <c r="A72" s="8" t="s">
        <v>82</v>
      </c>
      <c r="B72" s="67" t="s">
        <v>268</v>
      </c>
      <c r="C72" s="42">
        <f>IF(B72="","",VLOOKUP(AD72,Varsayımlar!$B:$Q,3,0))</f>
        <v>8698829380698</v>
      </c>
      <c r="D72" s="42" t="s">
        <v>159</v>
      </c>
      <c r="E72" s="42" t="s">
        <v>244</v>
      </c>
      <c r="F72" s="67">
        <v>20250825</v>
      </c>
      <c r="G72" s="42" t="s">
        <v>68</v>
      </c>
      <c r="H72" s="67" t="str">
        <f>IF(B72="","",VLOOKUP(AD72,Varsayımlar!$B:$Q,5,0))</f>
        <v xml:space="preserve">Tortillas Pizza 26cm </v>
      </c>
      <c r="I72" s="67">
        <f>IF(B72="","",VLOOKUP(AD72,Varsayımlar!B:T,19,0))</f>
        <v>0</v>
      </c>
      <c r="J72" s="67" t="str">
        <f>IF(B72="","",VLOOKUP(AD72,Varsayımlar!$B:$Q,6,0))</f>
        <v>SADE</v>
      </c>
      <c r="K72" s="67">
        <v>960</v>
      </c>
      <c r="L72" s="67"/>
      <c r="M72" s="67">
        <f>IFERROR(IF(B72="","",K72/VLOOKUP(AD72,Varsayımlar!B:R,17,0)),"")</f>
        <v>5</v>
      </c>
      <c r="N72" s="67"/>
      <c r="O72" s="67">
        <v>11</v>
      </c>
      <c r="P72" s="67">
        <f>IF(B72="","",VLOOKUP(AD72,Varsayımlar!$B:$Q,7,0)*K72)</f>
        <v>11520</v>
      </c>
      <c r="Q72" s="67">
        <f>IF(B72="","",VLOOKUP(AD72,Varsayımlar!$B:$Q,8,0))</f>
        <v>26</v>
      </c>
      <c r="R72" s="67" t="str">
        <f>IF(B72="","",VLOOKUP(AD72,Varsayımlar!$B:$Q,9,0))</f>
        <v>Soft-PA3</v>
      </c>
      <c r="S72" s="67">
        <f>IF(B72="","",VLOOKUP(AD72,Varsayımlar!$B:$Q,10,0))</f>
        <v>2</v>
      </c>
      <c r="T72" s="67">
        <f>IF(B72="","",VLOOKUP(AD72,Varsayımlar!$B:$Q,11,0))</f>
        <v>12</v>
      </c>
      <c r="U72" s="67">
        <f>IF(B72="","",VLOOKUP(AD72,Varsayımlar!$B:$Q,12,0))</f>
        <v>240</v>
      </c>
      <c r="V72" s="67" t="str">
        <f>IF(B72="","",VLOOKUP(AD72,Varsayımlar!$B:$Q,13,0))</f>
        <v>Yurtdışı</v>
      </c>
      <c r="W72" s="67">
        <f>IF(B72="","",VLOOKUP(AD72,Varsayımlar!$B:$Q,14,0))</f>
        <v>9</v>
      </c>
      <c r="X72" s="69">
        <v>46199</v>
      </c>
      <c r="Y72" s="69">
        <v>46472</v>
      </c>
      <c r="Z72" s="67">
        <v>26062626</v>
      </c>
      <c r="AA72" s="67" t="str">
        <f>IF(B72="","",VLOOKUP(AD72,Varsayımlar!$B:$Q,15,0))</f>
        <v>26 cm pizza kolisi-Etiketli</v>
      </c>
      <c r="AB72" s="67" t="str">
        <f>IF(B72="","",VLOOKUP(AD72,Varsayımlar!$B:$Q,16,0))</f>
        <v>24-26 cm (Macca Hetto Inkjet Uzun Tarih)</v>
      </c>
      <c r="AC72" s="67" t="e">
        <f>IF(B72="","",VLOOKUP(Sayfa1!AD83,Varsayımlar!B:S,18,0))</f>
        <v>#N/A</v>
      </c>
      <c r="AD72" s="57" t="str">
        <f>IF(B72="","",CONCATENATE(B72,E72))</f>
        <v>LAIKYUZHN-BELARUSTortillas Pizza 26cm 4pcs 480g</v>
      </c>
    </row>
    <row r="73" spans="1:30" ht="94.5" hidden="1" x14ac:dyDescent="0.25">
      <c r="A73" s="8" t="s">
        <v>83</v>
      </c>
      <c r="B73" s="62" t="s">
        <v>181</v>
      </c>
      <c r="C73" s="32">
        <f>IF(B73="","",VLOOKUP(AD73,Varsayımlar!$B:$Q,3,0))</f>
        <v>8698829380698</v>
      </c>
      <c r="D73" s="32"/>
      <c r="E73" s="62" t="s">
        <v>206</v>
      </c>
      <c r="F73" s="62">
        <v>26060101</v>
      </c>
      <c r="G73" s="32"/>
      <c r="H73" s="62" t="str">
        <f>IF(B73="","",VLOOKUP(AD73,Varsayımlar!$B:$Q,5,0))</f>
        <v>Pizza-6 26 cm</v>
      </c>
      <c r="I73" s="62" t="str">
        <f>IF(B73="","",VLOOKUP(AD73,Varsayımlar!B:T,19,0))</f>
        <v>Arka kısma Arnavutça içerik-Pizza 6</v>
      </c>
      <c r="J73" s="62" t="str">
        <f>IF(B73="","",VLOOKUP(AD73,Varsayımlar!$B:$Q,6,0))</f>
        <v>SADE</v>
      </c>
      <c r="K73" s="62">
        <v>120</v>
      </c>
      <c r="L73" s="62"/>
      <c r="M73" s="62">
        <f>IFERROR(IF(B73="","",K73/VLOOKUP(AD73,Varsayımlar!B:R,17,0)),"")</f>
        <v>1</v>
      </c>
      <c r="N73" s="62"/>
      <c r="O73" s="62">
        <v>2</v>
      </c>
      <c r="P73" s="62">
        <f>IF(B73="","",VLOOKUP(AD73,Varsayımlar!$B:$Q,7,0)*K73)</f>
        <v>720</v>
      </c>
      <c r="Q73" s="62">
        <f>IF(B73="","",VLOOKUP(AD73,Varsayımlar!$B:$Q,8,0))</f>
        <v>26</v>
      </c>
      <c r="R73" s="62" t="str">
        <f>IF(B73="","",VLOOKUP(AD73,Varsayımlar!$B:$Q,9,0))</f>
        <v>Irak Soft</v>
      </c>
      <c r="S73" s="62">
        <f>IF(B73="","",VLOOKUP(AD73,Varsayımlar!$B:$Q,10,0))</f>
        <v>4</v>
      </c>
      <c r="T73" s="62">
        <f>IF(B73="","",VLOOKUP(AD73,Varsayımlar!$B:$Q,11,0))</f>
        <v>6</v>
      </c>
      <c r="U73" s="62">
        <f>IF(B73="","",VLOOKUP(AD73,Varsayımlar!$B:$Q,12,0))</f>
        <v>480</v>
      </c>
      <c r="V73" s="62" t="str">
        <f>IF(B73="","",VLOOKUP(AD73,Varsayımlar!$B:$Q,13,0))</f>
        <v>YURTDIŞI</v>
      </c>
      <c r="W73" s="62">
        <f>IF(B73="","",VLOOKUP(AD73,Varsayımlar!$B:$Q,14,0))</f>
        <v>12</v>
      </c>
      <c r="X73" s="63">
        <v>46200</v>
      </c>
      <c r="Y73" s="63">
        <v>46565</v>
      </c>
      <c r="Z73" s="62">
        <v>26062726</v>
      </c>
      <c r="AA73" s="62" t="str">
        <f>IF(B73="","",VLOOKUP(AD73,Varsayımlar!$B:$Q,15,0))</f>
        <v>Pizza kolisi</v>
      </c>
      <c r="AB73" s="62" t="str">
        <f>IF(B73="","",VLOOKUP(AD73,Varsayımlar!$B:$Q,16,0))</f>
        <v>26 cm kesme -Beze 145-150g, Kesilmmeiş çap 27-28cm, Kesilmemiş ağı: 520-540g, Kesilmiş:475-485g</v>
      </c>
      <c r="AC73" s="62">
        <f>IF(B73="","",VLOOKUP(Sayfa1!AD84,Varsayımlar!B:S,18,0))</f>
        <v>0</v>
      </c>
      <c r="AD73" s="57" t="str">
        <f>IF(B73="","",CONCATENATE(B73,E73))</f>
        <v>ALDİ - KOSOVAPizza-6 26cm 4pcs 480g</v>
      </c>
    </row>
    <row r="74" spans="1:30" ht="26.25" hidden="1" customHeight="1" x14ac:dyDescent="0.25">
      <c r="A74" s="8" t="s">
        <v>84</v>
      </c>
      <c r="B74" s="67" t="s">
        <v>119</v>
      </c>
      <c r="C74" s="42">
        <v>8698829380698</v>
      </c>
      <c r="D74" s="42"/>
      <c r="E74" s="42" t="s">
        <v>120</v>
      </c>
      <c r="F74" s="67"/>
      <c r="G74" s="42"/>
      <c r="H74" s="67" t="s">
        <v>121</v>
      </c>
      <c r="I74" s="67">
        <v>0</v>
      </c>
      <c r="J74" s="67" t="s">
        <v>19</v>
      </c>
      <c r="K74" s="67">
        <v>1500</v>
      </c>
      <c r="L74" s="67"/>
      <c r="M74" s="67">
        <v>80</v>
      </c>
      <c r="N74" s="67">
        <v>50</v>
      </c>
      <c r="O74" s="67">
        <v>54</v>
      </c>
      <c r="P74" s="67">
        <v>48000</v>
      </c>
      <c r="Q74" s="67">
        <v>25</v>
      </c>
      <c r="R74" s="67" t="s">
        <v>116</v>
      </c>
      <c r="S74" s="67">
        <v>12</v>
      </c>
      <c r="T74" s="67">
        <v>12</v>
      </c>
      <c r="U74" s="67">
        <v>840</v>
      </c>
      <c r="V74" s="67" t="s">
        <v>72</v>
      </c>
      <c r="W74" s="67">
        <v>5</v>
      </c>
      <c r="X74" s="69" t="s">
        <v>113</v>
      </c>
      <c r="Y74" s="69" t="s">
        <v>113</v>
      </c>
      <c r="Z74" s="67" t="s">
        <v>113</v>
      </c>
      <c r="AA74" s="67" t="s">
        <v>122</v>
      </c>
      <c r="AB74" s="67" t="s">
        <v>25</v>
      </c>
      <c r="AC74" s="67">
        <v>0</v>
      </c>
      <c r="AD74" s="57" t="s">
        <v>387</v>
      </c>
    </row>
    <row r="75" spans="1:30" ht="94.5" hidden="1" x14ac:dyDescent="0.25">
      <c r="A75" s="8" t="s">
        <v>85</v>
      </c>
      <c r="B75" s="80" t="s">
        <v>218</v>
      </c>
      <c r="C75" s="44">
        <f>IF(B75="","",VLOOKUP(AD75,Varsayımlar!$B:$Q,3,0))</f>
        <v>8698829380698</v>
      </c>
      <c r="D75" s="44" t="s">
        <v>160</v>
      </c>
      <c r="E75" s="80" t="s">
        <v>244</v>
      </c>
      <c r="F75" s="80">
        <v>26042907</v>
      </c>
      <c r="G75" s="44"/>
      <c r="H75" s="80" t="str">
        <f>IF(B75="","",VLOOKUP(AD75,Varsayımlar!$B:$Q,5,0))</f>
        <v>Tortillas Avrupa Pizza 26cm (742)</v>
      </c>
      <c r="I75" s="80">
        <f>IF(B75="","",VLOOKUP(AD75,Varsayımlar!B:T,19,0))</f>
        <v>0</v>
      </c>
      <c r="J75" s="80" t="str">
        <f>IF(B75="","",VLOOKUP(AD75,Varsayımlar!$B:$Q,6,0))</f>
        <v>SADE</v>
      </c>
      <c r="K75" s="80">
        <v>720</v>
      </c>
      <c r="L75" s="80"/>
      <c r="M75" s="80">
        <f>IFERROR(IF(B75="","",K75/VLOOKUP(AD75,Varsayımlar!B:R,17,0)),"")</f>
        <v>6</v>
      </c>
      <c r="N75" s="80"/>
      <c r="O75" s="80">
        <v>9</v>
      </c>
      <c r="P75" s="80">
        <f>IF(B75="","",VLOOKUP(AD75,Varsayımlar!$B:$Q,7,0)*K75)</f>
        <v>5760</v>
      </c>
      <c r="Q75" s="80">
        <f>IF(B75="","",VLOOKUP(AD75,Varsayımlar!$B:$Q,8,0))</f>
        <v>26</v>
      </c>
      <c r="R75" s="80" t="str">
        <f>IF(B75="","",VLOOKUP(AD75,Varsayımlar!$B:$Q,9,0))</f>
        <v>Irak Soft</v>
      </c>
      <c r="S75" s="80">
        <f>IF(B75="","",VLOOKUP(AD75,Varsayımlar!$B:$Q,10,0))</f>
        <v>4</v>
      </c>
      <c r="T75" s="80">
        <f>IF(B75="","",VLOOKUP(AD75,Varsayımlar!$B:$Q,11,0))</f>
        <v>8</v>
      </c>
      <c r="U75" s="80">
        <f>IF(B75="","",VLOOKUP(AD75,Varsayımlar!$B:$Q,12,0))</f>
        <v>480</v>
      </c>
      <c r="V75" s="80" t="str">
        <f>IF(B75="","",VLOOKUP(AD75,Varsayımlar!$B:$Q,13,0))</f>
        <v>Yurtdışı</v>
      </c>
      <c r="W75" s="80">
        <f>IF(B75="","",VLOOKUP(AD75,Varsayımlar!$B:$Q,14,0))</f>
        <v>9</v>
      </c>
      <c r="X75" s="81">
        <v>46203</v>
      </c>
      <c r="Y75" s="81">
        <v>46476</v>
      </c>
      <c r="Z75" s="80">
        <v>26063026</v>
      </c>
      <c r="AA75" s="80" t="str">
        <f>IF(B75="","",VLOOKUP(AD75,Varsayımlar!$B:$Q,15,0))</f>
        <v>26cm Pizza Perforeli-Bulgarca Etiket</v>
      </c>
      <c r="AB75" s="80" t="str">
        <f>IF(B75="","",VLOOKUP(AD75,Varsayımlar!$B:$Q,16,0))</f>
        <v>26 cm kesme -Beze 145-150g, Kesilmmeiş çap 27-28cm, Kesilmemiş ağı: 520-540g, Kesilmiş:475-485g</v>
      </c>
      <c r="AC75" s="80" t="str">
        <f>IF(B75="","",VLOOKUP(Sayfa1!AD80,Varsayımlar!B:S,18,0))</f>
        <v>80x120cm -Epal+Epal</v>
      </c>
      <c r="AD75" s="57" t="str">
        <f t="shared" ref="AD75:AD86" si="4">IF(B75="","",CONCATENATE(B75,E75))</f>
        <v>TASTE LAND-BULGARİSTANTortillas Pizza 26cm 4pcs 480g</v>
      </c>
    </row>
    <row r="76" spans="1:30" ht="47.25" hidden="1" x14ac:dyDescent="0.25">
      <c r="A76" s="8" t="s">
        <v>86</v>
      </c>
      <c r="B76" s="54" t="s">
        <v>268</v>
      </c>
      <c r="C76" s="39">
        <f>IF(B76="","",VLOOKUP(AD76,Varsayımlar!$B:$Q,3,0))</f>
        <v>8698829380698</v>
      </c>
      <c r="D76" s="39" t="s">
        <v>160</v>
      </c>
      <c r="E76" s="39" t="s">
        <v>244</v>
      </c>
      <c r="F76" s="54" t="s">
        <v>343</v>
      </c>
      <c r="G76" s="39" t="s">
        <v>68</v>
      </c>
      <c r="H76" s="54" t="str">
        <f>IF(B76="","",VLOOKUP(AD76,Varsayımlar!$B:$Q,5,0))</f>
        <v xml:space="preserve">Tortillas Pizza 26cm </v>
      </c>
      <c r="I76" s="54">
        <f>IF(B76="","",VLOOKUP(AD76,Varsayımlar!B:T,19,0))</f>
        <v>0</v>
      </c>
      <c r="J76" s="54" t="str">
        <f>IF(B76="","",VLOOKUP(AD76,Varsayımlar!$B:$Q,6,0))</f>
        <v>SADE</v>
      </c>
      <c r="K76" s="54">
        <v>768</v>
      </c>
      <c r="L76" s="54"/>
      <c r="M76" s="54">
        <f>IFERROR(IF(B76="","",K76/VLOOKUP(AD76,Varsayımlar!B:R,17,0)),"")</f>
        <v>4</v>
      </c>
      <c r="N76" s="54"/>
      <c r="O76" s="54">
        <v>9</v>
      </c>
      <c r="P76" s="54">
        <f>IF(B76="","",VLOOKUP(AD76,Varsayımlar!$B:$Q,7,0)*K76)</f>
        <v>9216</v>
      </c>
      <c r="Q76" s="54">
        <f>IF(B76="","",VLOOKUP(AD76,Varsayımlar!$B:$Q,8,0))</f>
        <v>26</v>
      </c>
      <c r="R76" s="54" t="str">
        <f>IF(B76="","",VLOOKUP(AD76,Varsayımlar!$B:$Q,9,0))</f>
        <v>Soft-PA3</v>
      </c>
      <c r="S76" s="54">
        <f>IF(B76="","",VLOOKUP(AD76,Varsayımlar!$B:$Q,10,0))</f>
        <v>2</v>
      </c>
      <c r="T76" s="54">
        <f>IF(B76="","",VLOOKUP(AD76,Varsayımlar!$B:$Q,11,0))</f>
        <v>12</v>
      </c>
      <c r="U76" s="54">
        <f>IF(B76="","",VLOOKUP(AD76,Varsayımlar!$B:$Q,12,0))</f>
        <v>240</v>
      </c>
      <c r="V76" s="54" t="str">
        <f>IF(B76="","",VLOOKUP(AD76,Varsayımlar!$B:$Q,13,0))</f>
        <v>Yurtdışı</v>
      </c>
      <c r="W76" s="54">
        <f>IF(B76="","",VLOOKUP(AD76,Varsayımlar!$B:$Q,14,0))</f>
        <v>9</v>
      </c>
      <c r="X76" s="56">
        <v>46205</v>
      </c>
      <c r="Y76" s="56">
        <v>46479</v>
      </c>
      <c r="Z76" s="54">
        <v>26070226</v>
      </c>
      <c r="AA76" s="54" t="str">
        <f>IF(B76="","",VLOOKUP(AD76,Varsayımlar!$B:$Q,15,0))</f>
        <v>26 cm pizza kolisi-Etiketli</v>
      </c>
      <c r="AB76" s="54" t="str">
        <f>IF(B76="","",VLOOKUP(AD76,Varsayımlar!$B:$Q,16,0))</f>
        <v>24-26 cm (Macca Hetto Inkjet Uzun Tarih)</v>
      </c>
      <c r="AC76" s="54" t="e">
        <f>IF(B76="","",VLOOKUP(Sayfa1!AD83,Varsayımlar!B:S,18,0))</f>
        <v>#N/A</v>
      </c>
      <c r="AD76" s="57" t="str">
        <f>IF(B76="","",CONCATENATE(B76,E76))</f>
        <v>LAIKYUZHN-BELARUSTortillas Pizza 26cm 4pcs 480g</v>
      </c>
    </row>
    <row r="77" spans="1:30" ht="26.25" hidden="1" customHeight="1" x14ac:dyDescent="0.25">
      <c r="A77" s="8" t="s">
        <v>87</v>
      </c>
      <c r="B77" s="67" t="s">
        <v>119</v>
      </c>
      <c r="C77" s="42">
        <v>8698829380698</v>
      </c>
      <c r="D77" s="42"/>
      <c r="E77" s="42" t="s">
        <v>120</v>
      </c>
      <c r="F77" s="67"/>
      <c r="G77" s="42"/>
      <c r="H77" s="67" t="s">
        <v>121</v>
      </c>
      <c r="I77" s="67">
        <v>0</v>
      </c>
      <c r="J77" s="67" t="s">
        <v>19</v>
      </c>
      <c r="K77" s="67">
        <v>2000</v>
      </c>
      <c r="L77" s="67"/>
      <c r="M77" s="67">
        <v>80</v>
      </c>
      <c r="N77" s="67">
        <v>50</v>
      </c>
      <c r="O77" s="67">
        <v>54</v>
      </c>
      <c r="P77" s="67">
        <v>48000</v>
      </c>
      <c r="Q77" s="67">
        <v>25</v>
      </c>
      <c r="R77" s="67" t="s">
        <v>116</v>
      </c>
      <c r="S77" s="67">
        <v>12</v>
      </c>
      <c r="T77" s="67">
        <v>12</v>
      </c>
      <c r="U77" s="67">
        <v>840</v>
      </c>
      <c r="V77" s="67" t="s">
        <v>72</v>
      </c>
      <c r="W77" s="67">
        <v>5</v>
      </c>
      <c r="X77" s="69" t="s">
        <v>113</v>
      </c>
      <c r="Y77" s="69" t="s">
        <v>113</v>
      </c>
      <c r="Z77" s="67" t="s">
        <v>113</v>
      </c>
      <c r="AA77" s="67" t="s">
        <v>122</v>
      </c>
      <c r="AB77" s="67" t="s">
        <v>25</v>
      </c>
      <c r="AC77" s="67">
        <v>0</v>
      </c>
      <c r="AD77" s="57" t="s">
        <v>387</v>
      </c>
    </row>
    <row r="78" spans="1:30" ht="94.5" hidden="1" x14ac:dyDescent="0.25">
      <c r="A78" s="8" t="s">
        <v>88</v>
      </c>
      <c r="B78" s="75" t="s">
        <v>218</v>
      </c>
      <c r="C78" s="43">
        <f>IF(B78="","",VLOOKUP(AD78,Varsayımlar!$B:$Q,3,0))</f>
        <v>8698829380698</v>
      </c>
      <c r="D78" s="43" t="s">
        <v>161</v>
      </c>
      <c r="E78" s="75" t="s">
        <v>244</v>
      </c>
      <c r="F78" s="75" t="s">
        <v>341</v>
      </c>
      <c r="G78" s="43"/>
      <c r="H78" s="75" t="str">
        <f>IF(B78="","",VLOOKUP(AD78,Varsayımlar!$B:$Q,5,0))</f>
        <v>Tortillas Avrupa Pizza 26cm (742)</v>
      </c>
      <c r="I78" s="75">
        <f>IF(B78="","",VLOOKUP(AD78,Varsayımlar!B:T,19,0))</f>
        <v>0</v>
      </c>
      <c r="J78" s="75" t="str">
        <f>IF(B78="","",VLOOKUP(AD78,Varsayımlar!$B:$Q,6,0))</f>
        <v>SADE</v>
      </c>
      <c r="K78" s="75">
        <v>840</v>
      </c>
      <c r="L78" s="75"/>
      <c r="M78" s="75">
        <f>IFERROR(IF(B78="","",K78/VLOOKUP(AD78,Varsayımlar!B:R,17,0)),"")</f>
        <v>7</v>
      </c>
      <c r="N78" s="75"/>
      <c r="O78" s="75">
        <v>11</v>
      </c>
      <c r="P78" s="75">
        <f>IF(B78="","",VLOOKUP(AD78,Varsayımlar!$B:$Q,7,0)*K78)</f>
        <v>6720</v>
      </c>
      <c r="Q78" s="75">
        <f>IF(B78="","",VLOOKUP(AD78,Varsayımlar!$B:$Q,8,0))</f>
        <v>26</v>
      </c>
      <c r="R78" s="75" t="str">
        <f>IF(B78="","",VLOOKUP(AD78,Varsayımlar!$B:$Q,9,0))</f>
        <v>Irak Soft</v>
      </c>
      <c r="S78" s="75">
        <f>IF(B78="","",VLOOKUP(AD78,Varsayımlar!$B:$Q,10,0))</f>
        <v>4</v>
      </c>
      <c r="T78" s="75">
        <f>IF(B78="","",VLOOKUP(AD78,Varsayımlar!$B:$Q,11,0))</f>
        <v>8</v>
      </c>
      <c r="U78" s="75">
        <f>IF(B78="","",VLOOKUP(AD78,Varsayımlar!$B:$Q,12,0))</f>
        <v>480</v>
      </c>
      <c r="V78" s="75" t="str">
        <f>IF(B78="","",VLOOKUP(AD78,Varsayımlar!$B:$Q,13,0))</f>
        <v>Yurtdışı</v>
      </c>
      <c r="W78" s="75">
        <f>IF(B78="","",VLOOKUP(AD78,Varsayımlar!$B:$Q,14,0))</f>
        <v>9</v>
      </c>
      <c r="X78" s="76">
        <v>46213</v>
      </c>
      <c r="Y78" s="76">
        <v>46487</v>
      </c>
      <c r="Z78" s="75">
        <v>26071026</v>
      </c>
      <c r="AA78" s="75" t="str">
        <f>IF(B78="","",VLOOKUP(AD78,Varsayımlar!$B:$Q,15,0))</f>
        <v>26cm Pizza Perforeli-Bulgarca Etiket</v>
      </c>
      <c r="AB78" s="75" t="str">
        <f>IF(B78="","",VLOOKUP(AD78,Varsayımlar!$B:$Q,16,0))</f>
        <v>26 cm kesme -Beze 145-150g, Kesilmmeiş çap 27-28cm, Kesilmemiş ağı: 520-540g, Kesilmiş:475-485g</v>
      </c>
      <c r="AC78" s="75" t="str">
        <f>IF(B78="","",VLOOKUP(Sayfa1!AD81,Varsayımlar!B:S,18,0))</f>
        <v>80x120cm -Epal+Epal</v>
      </c>
      <c r="AD78" s="57" t="str">
        <f t="shared" si="4"/>
        <v>TASTE LAND-BULGARİSTANTortillas Pizza 26cm 4pcs 480g</v>
      </c>
    </row>
    <row r="79" spans="1:30" hidden="1" x14ac:dyDescent="0.25">
      <c r="A79" s="8" t="s">
        <v>85</v>
      </c>
      <c r="B79" s="67"/>
      <c r="C79" s="42" t="str">
        <f>IF(B79="","",VLOOKUP(AD79,Varsayımlar!$B:$Q,3,0))</f>
        <v/>
      </c>
      <c r="D79" s="42"/>
      <c r="E79" s="42"/>
      <c r="F79" s="42"/>
      <c r="G79" s="42"/>
      <c r="H79" s="42" t="str">
        <f>IF(B79="","",VLOOKUP(AD79,Varsayımlar!$B:$Q,5,0))</f>
        <v/>
      </c>
      <c r="I79" s="42"/>
      <c r="J79" s="42" t="str">
        <f>IF(B79="","",VLOOKUP(AD79,Varsayımlar!$B:$Q,6,0))</f>
        <v/>
      </c>
      <c r="K79" s="42"/>
      <c r="L79" s="42"/>
      <c r="M79" s="42" t="str">
        <f>IFERROR(IF(B79="","",K79/VLOOKUP(AD79,Varsayımlar!B:R,17,0)),"")</f>
        <v/>
      </c>
      <c r="N79" s="42"/>
      <c r="O79" s="42"/>
      <c r="P79" s="42" t="str">
        <f>IF(B79="","",VLOOKUP(AD79,Varsayımlar!$B:$Q,7,0)*K79)</f>
        <v/>
      </c>
      <c r="Q79" s="42" t="str">
        <f>IF(B79="","",VLOOKUP(AD79,Varsayımlar!$B:$Q,8,0))</f>
        <v/>
      </c>
      <c r="R79" s="42" t="str">
        <f>IF(B79="","",VLOOKUP(AD79,Varsayımlar!$B:$Q,9,0))</f>
        <v/>
      </c>
      <c r="S79" s="42" t="str">
        <f>IF(B79="","",VLOOKUP(AD79,Varsayımlar!$B:$Q,10,0))</f>
        <v/>
      </c>
      <c r="T79" s="42" t="str">
        <f>IF(B79="","",VLOOKUP(AD79,Varsayımlar!$B:$Q,11,0))</f>
        <v/>
      </c>
      <c r="U79" s="42" t="str">
        <f>IF(B79="","",VLOOKUP(AD79,Varsayımlar!$B:$Q,12,0))</f>
        <v/>
      </c>
      <c r="V79" s="42" t="str">
        <f>IF(B79="","",VLOOKUP(AD79,Varsayımlar!$B:$Q,13,0))</f>
        <v/>
      </c>
      <c r="W79" s="67" t="str">
        <f>IF(B79="","",VLOOKUP(AD79,Varsayımlar!$B:$Q,14,0))</f>
        <v/>
      </c>
      <c r="X79" s="69"/>
      <c r="Y79" s="69"/>
      <c r="Z79" s="67"/>
      <c r="AA79" s="67" t="str">
        <f>IF(B79="","",VLOOKUP(AD79,Varsayımlar!$B:$Q,15,0))</f>
        <v/>
      </c>
      <c r="AB79" s="67" t="str">
        <f>IF(B79="","",VLOOKUP(AD79,Varsayımlar!$B:$Q,16,0))</f>
        <v/>
      </c>
      <c r="AC79" s="67"/>
      <c r="AD79" s="57" t="str">
        <f t="shared" si="4"/>
        <v/>
      </c>
    </row>
    <row r="80" spans="1:30" hidden="1" x14ac:dyDescent="0.25">
      <c r="A80" s="8" t="s">
        <v>86</v>
      </c>
      <c r="B80" s="67"/>
      <c r="C80" s="42" t="str">
        <f>IF(B80="","",VLOOKUP(AD80,Varsayımlar!$B:$Q,3,0))</f>
        <v/>
      </c>
      <c r="D80" s="42"/>
      <c r="E80" s="42"/>
      <c r="F80" s="42"/>
      <c r="G80" s="42"/>
      <c r="H80" s="42" t="str">
        <f>IF(B80="","",VLOOKUP(AD80,Varsayımlar!$B:$Q,5,0))</f>
        <v/>
      </c>
      <c r="I80" s="42"/>
      <c r="J80" s="42" t="str">
        <f>IF(B80="","",VLOOKUP(AD80,Varsayımlar!$B:$Q,6,0))</f>
        <v/>
      </c>
      <c r="K80" s="42"/>
      <c r="L80" s="42"/>
      <c r="M80" s="42" t="str">
        <f>IFERROR(IF(B80="","",K80/VLOOKUP(AD80,Varsayımlar!B:R,17,0)),"")</f>
        <v/>
      </c>
      <c r="N80" s="42"/>
      <c r="O80" s="42"/>
      <c r="P80" s="42" t="str">
        <f>IF(B80="","",VLOOKUP(AD80,Varsayımlar!$B:$Q,7,0)*K80)</f>
        <v/>
      </c>
      <c r="Q80" s="42" t="str">
        <f>IF(B80="","",VLOOKUP(AD80,Varsayımlar!$B:$Q,8,0))</f>
        <v/>
      </c>
      <c r="R80" s="42" t="str">
        <f>IF(B80="","",VLOOKUP(AD80,Varsayımlar!$B:$Q,9,0))</f>
        <v/>
      </c>
      <c r="S80" s="42" t="str">
        <f>IF(B80="","",VLOOKUP(AD80,Varsayımlar!$B:$Q,10,0))</f>
        <v/>
      </c>
      <c r="T80" s="42" t="str">
        <f>IF(B80="","",VLOOKUP(AD80,Varsayımlar!$B:$Q,11,0))</f>
        <v/>
      </c>
      <c r="U80" s="42" t="str">
        <f>IF(B80="","",VLOOKUP(AD80,Varsayımlar!$B:$Q,12,0))</f>
        <v/>
      </c>
      <c r="V80" s="42" t="str">
        <f>IF(B80="","",VLOOKUP(AD80,Varsayımlar!$B:$Q,13,0))</f>
        <v/>
      </c>
      <c r="W80" s="67" t="str">
        <f>IF(B80="","",VLOOKUP(AD80,Varsayımlar!$B:$Q,14,0))</f>
        <v/>
      </c>
      <c r="X80" s="69"/>
      <c r="Y80" s="69"/>
      <c r="Z80" s="67"/>
      <c r="AA80" s="67" t="str">
        <f>IF(B80="","",VLOOKUP(AD80,Varsayımlar!$B:$Q,15,0))</f>
        <v/>
      </c>
      <c r="AB80" s="67" t="str">
        <f>IF(B80="","",VLOOKUP(AD80,Varsayımlar!$B:$Q,16,0))</f>
        <v/>
      </c>
      <c r="AC80" s="67"/>
      <c r="AD80" s="57" t="str">
        <f t="shared" si="4"/>
        <v/>
      </c>
    </row>
    <row r="81" spans="1:30" hidden="1" x14ac:dyDescent="0.25">
      <c r="A81" s="8" t="s">
        <v>87</v>
      </c>
      <c r="B81" s="67"/>
      <c r="C81" s="42" t="str">
        <f>IF(B81="","",VLOOKUP(AD81,Varsayımlar!$B:$Q,3,0))</f>
        <v/>
      </c>
      <c r="D81" s="42"/>
      <c r="E81" s="42"/>
      <c r="F81" s="42"/>
      <c r="G81" s="42"/>
      <c r="H81" s="42" t="str">
        <f>IF(B81="","",VLOOKUP(AD81,Varsayımlar!$B:$Q,5,0))</f>
        <v/>
      </c>
      <c r="I81" s="42"/>
      <c r="J81" s="42" t="str">
        <f>IF(B81="","",VLOOKUP(AD81,Varsayımlar!$B:$Q,6,0))</f>
        <v/>
      </c>
      <c r="K81" s="42"/>
      <c r="L81" s="42"/>
      <c r="M81" s="42" t="str">
        <f>IFERROR(IF(B81="","",K81/VLOOKUP(AD81,Varsayımlar!B:R,17,0)),"")</f>
        <v/>
      </c>
      <c r="N81" s="42"/>
      <c r="O81" s="42"/>
      <c r="P81" s="42" t="str">
        <f>IF(B81="","",VLOOKUP(AD81,Varsayımlar!$B:$Q,7,0)*K81)</f>
        <v/>
      </c>
      <c r="Q81" s="42" t="str">
        <f>IF(B81="","",VLOOKUP(AD81,Varsayımlar!$B:$Q,8,0))</f>
        <v/>
      </c>
      <c r="R81" s="42" t="str">
        <f>IF(B81="","",VLOOKUP(AD81,Varsayımlar!$B:$Q,9,0))</f>
        <v/>
      </c>
      <c r="S81" s="42" t="str">
        <f>IF(B81="","",VLOOKUP(AD81,Varsayımlar!$B:$Q,10,0))</f>
        <v/>
      </c>
      <c r="T81" s="42" t="str">
        <f>IF(B81="","",VLOOKUP(AD81,Varsayımlar!$B:$Q,11,0))</f>
        <v/>
      </c>
      <c r="U81" s="42" t="str">
        <f>IF(B81="","",VLOOKUP(AD81,Varsayımlar!$B:$Q,12,0))</f>
        <v/>
      </c>
      <c r="V81" s="42" t="str">
        <f>IF(B81="","",VLOOKUP(AD81,Varsayımlar!$B:$Q,13,0))</f>
        <v/>
      </c>
      <c r="W81" s="67" t="str">
        <f>IF(B81="","",VLOOKUP(AD81,Varsayımlar!$B:$Q,14,0))</f>
        <v/>
      </c>
      <c r="X81" s="69"/>
      <c r="Y81" s="69"/>
      <c r="Z81" s="67"/>
      <c r="AA81" s="67" t="str">
        <f>IF(B81="","",VLOOKUP(AD81,Varsayımlar!$B:$Q,15,0))</f>
        <v/>
      </c>
      <c r="AB81" s="67" t="str">
        <f>IF(B81="","",VLOOKUP(AD81,Varsayımlar!$B:$Q,16,0))</f>
        <v/>
      </c>
      <c r="AC81" s="67"/>
      <c r="AD81" s="57" t="str">
        <f t="shared" si="4"/>
        <v/>
      </c>
    </row>
    <row r="82" spans="1:30" hidden="1" x14ac:dyDescent="0.25">
      <c r="A82" s="8" t="s">
        <v>88</v>
      </c>
      <c r="B82" s="67"/>
      <c r="C82" s="42" t="str">
        <f>IF(B82="","",VLOOKUP(AD82,Varsayımlar!$B:$Q,3,0))</f>
        <v/>
      </c>
      <c r="D82" s="42"/>
      <c r="E82" s="42"/>
      <c r="F82" s="42"/>
      <c r="G82" s="42"/>
      <c r="H82" s="42" t="str">
        <f>IF(B82="","",VLOOKUP(AD82,Varsayımlar!$B:$Q,5,0))</f>
        <v/>
      </c>
      <c r="I82" s="42"/>
      <c r="J82" s="42" t="str">
        <f>IF(B82="","",VLOOKUP(AD82,Varsayımlar!$B:$Q,6,0))</f>
        <v/>
      </c>
      <c r="K82" s="42"/>
      <c r="L82" s="42"/>
      <c r="M82" s="42" t="str">
        <f>IFERROR(IF(B82="","",K82/VLOOKUP(AD82,Varsayımlar!B:R,17,0)),"")</f>
        <v/>
      </c>
      <c r="N82" s="42"/>
      <c r="O82" s="42"/>
      <c r="P82" s="42" t="str">
        <f>IF(B82="","",VLOOKUP(AD82,Varsayımlar!$B:$Q,7,0)*K82)</f>
        <v/>
      </c>
      <c r="Q82" s="42" t="str">
        <f>IF(B82="","",VLOOKUP(AD82,Varsayımlar!$B:$Q,8,0))</f>
        <v/>
      </c>
      <c r="R82" s="42" t="str">
        <f>IF(B82="","",VLOOKUP(AD82,Varsayımlar!$B:$Q,9,0))</f>
        <v/>
      </c>
      <c r="S82" s="42" t="str">
        <f>IF(B82="","",VLOOKUP(AD82,Varsayımlar!$B:$Q,10,0))</f>
        <v/>
      </c>
      <c r="T82" s="42" t="str">
        <f>IF(B82="","",VLOOKUP(AD82,Varsayımlar!$B:$Q,11,0))</f>
        <v/>
      </c>
      <c r="U82" s="42" t="str">
        <f>IF(B82="","",VLOOKUP(AD82,Varsayımlar!$B:$Q,12,0))</f>
        <v/>
      </c>
      <c r="V82" s="42" t="str">
        <f>IF(B82="","",VLOOKUP(AD82,Varsayımlar!$B:$Q,13,0))</f>
        <v/>
      </c>
      <c r="W82" s="67" t="str">
        <f>IF(B82="","",VLOOKUP(AD82,Varsayımlar!$B:$Q,14,0))</f>
        <v/>
      </c>
      <c r="X82" s="69"/>
      <c r="Y82" s="69"/>
      <c r="Z82" s="67"/>
      <c r="AA82" s="67" t="str">
        <f>IF(B82="","",VLOOKUP(AD82,Varsayımlar!$B:$Q,15,0))</f>
        <v/>
      </c>
      <c r="AB82" s="67" t="str">
        <f>IF(B82="","",VLOOKUP(AD82,Varsayımlar!$B:$Q,16,0))</f>
        <v/>
      </c>
      <c r="AC82" s="67"/>
      <c r="AD82" s="57" t="str">
        <f t="shared" si="4"/>
        <v/>
      </c>
    </row>
    <row r="83" spans="1:30" hidden="1" x14ac:dyDescent="0.25">
      <c r="A83" s="8" t="s">
        <v>89</v>
      </c>
      <c r="B83" s="67"/>
      <c r="C83" s="42" t="str">
        <f>IF(B83="","",VLOOKUP(AD83,Varsayımlar!$B:$Q,3,0))</f>
        <v/>
      </c>
      <c r="D83" s="42"/>
      <c r="E83" s="42"/>
      <c r="F83" s="42"/>
      <c r="G83" s="42"/>
      <c r="H83" s="42" t="str">
        <f>IF(B83="","",VLOOKUP(AD83,Varsayımlar!$B:$Q,5,0))</f>
        <v/>
      </c>
      <c r="I83" s="42"/>
      <c r="J83" s="42" t="str">
        <f>IF(B83="","",VLOOKUP(AD83,Varsayımlar!$B:$Q,6,0))</f>
        <v/>
      </c>
      <c r="K83" s="42"/>
      <c r="L83" s="42"/>
      <c r="M83" s="42" t="str">
        <f>IFERROR(IF(B83="","",K83/VLOOKUP(AD83,Varsayımlar!B:R,17,0)),"")</f>
        <v/>
      </c>
      <c r="N83" s="42"/>
      <c r="O83" s="42"/>
      <c r="P83" s="42" t="str">
        <f>IF(B83="","",VLOOKUP(AD83,Varsayımlar!$B:$Q,7,0)*K83)</f>
        <v/>
      </c>
      <c r="Q83" s="42" t="str">
        <f>IF(B83="","",VLOOKUP(AD83,Varsayımlar!$B:$Q,8,0))</f>
        <v/>
      </c>
      <c r="R83" s="42" t="str">
        <f>IF(B83="","",VLOOKUP(AD83,Varsayımlar!$B:$Q,9,0))</f>
        <v/>
      </c>
      <c r="S83" s="42" t="str">
        <f>IF(B83="","",VLOOKUP(AD83,Varsayımlar!$B:$Q,10,0))</f>
        <v/>
      </c>
      <c r="T83" s="42" t="str">
        <f>IF(B83="","",VLOOKUP(AD83,Varsayımlar!$B:$Q,11,0))</f>
        <v/>
      </c>
      <c r="U83" s="42" t="str">
        <f>IF(B83="","",VLOOKUP(AD83,Varsayımlar!$B:$Q,12,0))</f>
        <v/>
      </c>
      <c r="V83" s="42" t="str">
        <f>IF(B83="","",VLOOKUP(AD83,Varsayımlar!$B:$Q,13,0))</f>
        <v/>
      </c>
      <c r="W83" s="67" t="str">
        <f>IF(B83="","",VLOOKUP(AD83,Varsayımlar!$B:$Q,14,0))</f>
        <v/>
      </c>
      <c r="X83" s="69"/>
      <c r="Y83" s="69"/>
      <c r="Z83" s="67"/>
      <c r="AA83" s="67" t="str">
        <f>IF(B83="","",VLOOKUP(AD83,Varsayımlar!$B:$Q,15,0))</f>
        <v/>
      </c>
      <c r="AB83" s="67" t="str">
        <f>IF(B83="","",VLOOKUP(AD83,Varsayımlar!$B:$Q,16,0))</f>
        <v/>
      </c>
      <c r="AC83" s="67"/>
      <c r="AD83" s="57" t="str">
        <f t="shared" si="4"/>
        <v/>
      </c>
    </row>
    <row r="84" spans="1:30" hidden="1" x14ac:dyDescent="0.25">
      <c r="A84" s="8" t="s">
        <v>90</v>
      </c>
      <c r="B84" s="67"/>
      <c r="C84" s="42" t="str">
        <f>IF(B84="","",VLOOKUP(AD84,Varsayımlar!$B:$Q,3,0))</f>
        <v/>
      </c>
      <c r="D84" s="42"/>
      <c r="E84" s="42"/>
      <c r="F84" s="42"/>
      <c r="G84" s="42"/>
      <c r="H84" s="42" t="str">
        <f>IF(B84="","",VLOOKUP(AD84,Varsayımlar!$B:$Q,5,0))</f>
        <v/>
      </c>
      <c r="I84" s="42"/>
      <c r="J84" s="42" t="str">
        <f>IF(B84="","",VLOOKUP(AD84,Varsayımlar!$B:$Q,6,0))</f>
        <v/>
      </c>
      <c r="K84" s="42"/>
      <c r="L84" s="42"/>
      <c r="M84" s="42" t="str">
        <f>IFERROR(IF(B84="","",K84/VLOOKUP(AD84,Varsayımlar!B:R,17,0)),"")</f>
        <v/>
      </c>
      <c r="N84" s="42"/>
      <c r="O84" s="42"/>
      <c r="P84" s="42" t="str">
        <f>IF(B84="","",VLOOKUP(AD84,Varsayımlar!$B:$Q,7,0)*K84)</f>
        <v/>
      </c>
      <c r="Q84" s="42" t="str">
        <f>IF(B84="","",VLOOKUP(AD84,Varsayımlar!$B:$Q,8,0))</f>
        <v/>
      </c>
      <c r="R84" s="42" t="str">
        <f>IF(B84="","",VLOOKUP(AD84,Varsayımlar!$B:$Q,9,0))</f>
        <v/>
      </c>
      <c r="S84" s="42" t="str">
        <f>IF(B84="","",VLOOKUP(AD84,Varsayımlar!$B:$Q,10,0))</f>
        <v/>
      </c>
      <c r="T84" s="42" t="str">
        <f>IF(B84="","",VLOOKUP(AD84,Varsayımlar!$B:$Q,11,0))</f>
        <v/>
      </c>
      <c r="U84" s="42" t="str">
        <f>IF(B84="","",VLOOKUP(AD84,Varsayımlar!$B:$Q,12,0))</f>
        <v/>
      </c>
      <c r="V84" s="42" t="str">
        <f>IF(B84="","",VLOOKUP(AD84,Varsayımlar!$B:$Q,13,0))</f>
        <v/>
      </c>
      <c r="W84" s="67" t="str">
        <f>IF(B84="","",VLOOKUP(AD84,Varsayımlar!$B:$Q,14,0))</f>
        <v/>
      </c>
      <c r="X84" s="69"/>
      <c r="Y84" s="69"/>
      <c r="Z84" s="67"/>
      <c r="AA84" s="67" t="str">
        <f>IF(B84="","",VLOOKUP(AD84,Varsayımlar!$B:$Q,15,0))</f>
        <v/>
      </c>
      <c r="AB84" s="67" t="str">
        <f>IF(B84="","",VLOOKUP(AD84,Varsayımlar!$B:$Q,16,0))</f>
        <v/>
      </c>
      <c r="AC84" s="67"/>
      <c r="AD84" s="57" t="str">
        <f t="shared" si="4"/>
        <v/>
      </c>
    </row>
    <row r="85" spans="1:30" hidden="1" x14ac:dyDescent="0.25">
      <c r="A85" s="8" t="s">
        <v>91</v>
      </c>
      <c r="B85" s="86"/>
      <c r="C85" s="87" t="str">
        <f>IF(B85="","",VLOOKUP(AD85,Varsayımlar!$B:$Q,3,0))</f>
        <v/>
      </c>
      <c r="D85" s="87"/>
      <c r="H85" s="57" t="str">
        <f>IF(B85="","",VLOOKUP(AD85,Varsayımlar!$B:$Q,5,0))</f>
        <v/>
      </c>
      <c r="I85" s="57"/>
      <c r="J85" s="57" t="str">
        <f>IF(B85="","",VLOOKUP(AD85,Varsayımlar!$B:$Q,6,0))</f>
        <v/>
      </c>
      <c r="P85" s="57" t="str">
        <f>IF(B85="","",VLOOKUP(AD85,Varsayımlar!$B:$Q,7,0)*K85)</f>
        <v/>
      </c>
      <c r="Q85" s="57" t="str">
        <f>IF(B85="","",VLOOKUP(AD85,Varsayımlar!$B:$Q,8,0))</f>
        <v/>
      </c>
      <c r="R85" s="57" t="str">
        <f>IF(B85="","",VLOOKUP(AD85,Varsayımlar!$B:$Q,9,0))</f>
        <v/>
      </c>
      <c r="S85" s="57" t="str">
        <f>IF(B85="","",VLOOKUP(AD85,Varsayımlar!$B:$Q,10,0))</f>
        <v/>
      </c>
      <c r="T85" s="57" t="str">
        <f>IF(B85="","",VLOOKUP(AD85,Varsayımlar!$B:$Q,11,0))</f>
        <v/>
      </c>
      <c r="U85" s="57" t="str">
        <f>IF(B85="","",VLOOKUP(AD85,Varsayımlar!$B:$Q,12,0))</f>
        <v/>
      </c>
      <c r="V85" s="57" t="str">
        <f>IF(B85="","",VLOOKUP(AD85,Varsayımlar!$B:$Q,13,0))</f>
        <v/>
      </c>
      <c r="W85" s="57" t="str">
        <f>IF(B85="","",VLOOKUP(AD85,Varsayımlar!$B:$Q,14,0))</f>
        <v/>
      </c>
      <c r="AA85" s="57" t="str">
        <f>IF(B85="","",VLOOKUP(AD85,Varsayımlar!$B:$Q,15,0))</f>
        <v/>
      </c>
      <c r="AB85" s="57" t="str">
        <f>IF(B85="","",VLOOKUP(AD85,Varsayımlar!$B:$Q,16,0))</f>
        <v/>
      </c>
      <c r="AC85" s="57" t="str">
        <f>IF(B85="","",VLOOKUP(Sayfa1!AD93,Varsayımlar!B:S,18,0))</f>
        <v/>
      </c>
      <c r="AD85" s="57" t="str">
        <f t="shared" si="4"/>
        <v/>
      </c>
    </row>
    <row r="86" spans="1:30" x14ac:dyDescent="0.25">
      <c r="C86" s="53" t="str">
        <f>IF(B86="","",VLOOKUP(AD86,Varsayımlar!$B:$Q,3,0))</f>
        <v/>
      </c>
      <c r="H86" s="7" t="str">
        <f>IF(B86="","",VLOOKUP(AD86,Varsayımlar!$B:$Q,5,0))</f>
        <v/>
      </c>
      <c r="J86" s="7" t="str">
        <f>IF(B86="","",VLOOKUP(AD86,Varsayımlar!$B:$Q,6,0))</f>
        <v/>
      </c>
      <c r="P86" s="7" t="str">
        <f>IF(B86="","",VLOOKUP(AD86,Varsayımlar!$B:$Q,7,0)*K86)</f>
        <v/>
      </c>
      <c r="Q86" s="7" t="str">
        <f>IF(B86="","",VLOOKUP(AD86,Varsayımlar!$B:$Q,8,0))</f>
        <v/>
      </c>
      <c r="R86" s="7" t="str">
        <f>IF(B86="","",VLOOKUP(AD86,Varsayımlar!$B:$Q,9,0))</f>
        <v/>
      </c>
      <c r="S86" s="7" t="str">
        <f>IF(B86="","",VLOOKUP(AD86,Varsayımlar!$B:$Q,10,0))</f>
        <v/>
      </c>
      <c r="T86" s="7" t="str">
        <f>IF(B86="","",VLOOKUP(AD86,Varsayımlar!$B:$Q,11,0))</f>
        <v/>
      </c>
      <c r="U86" s="7" t="str">
        <f>IF(B86="","",VLOOKUP(AD86,Varsayımlar!$B:$Q,12,0))</f>
        <v/>
      </c>
      <c r="V86" s="7" t="str">
        <f>IF(B86="","",VLOOKUP(AD86,Varsayımlar!$B:$Q,13,0))</f>
        <v/>
      </c>
      <c r="W86" s="7" t="str">
        <f>IF(B86="","",VLOOKUP(AD86,Varsayımlar!$B:$Q,14,0))</f>
        <v/>
      </c>
      <c r="AA86" s="7" t="str">
        <f>IF(B86="","",VLOOKUP(AD86,Varsayımlar!$B:$Q,15,0))</f>
        <v/>
      </c>
      <c r="AB86" s="7" t="str">
        <f>IF(B86="","",VLOOKUP(AD86,Varsayımlar!$B:$Q,16,0))</f>
        <v/>
      </c>
      <c r="AC86" s="7" t="str">
        <f>IF(B86="","",VLOOKUP(Sayfa1!AD94,Varsayımlar!B:S,18,0))</f>
        <v/>
      </c>
      <c r="AD86" s="7" t="str">
        <f t="shared" si="4"/>
        <v/>
      </c>
    </row>
  </sheetData>
  <mergeCells count="6">
    <mergeCell ref="A64:AB64"/>
    <mergeCell ref="A1:AC1"/>
    <mergeCell ref="A2:Z2"/>
    <mergeCell ref="AB2:AC2"/>
    <mergeCell ref="B7:AB7"/>
    <mergeCell ref="A40:AB40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5" fitToHeight="4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4"/>
  <sheetViews>
    <sheetView zoomScale="78" zoomScaleNormal="78" workbookViewId="0">
      <selection activeCell="X9" sqref="X9:X10"/>
    </sheetView>
  </sheetViews>
  <sheetFormatPr defaultRowHeight="15.75" x14ac:dyDescent="0.25"/>
  <cols>
    <col min="1" max="1" width="5.85546875" style="7" bestFit="1" customWidth="1"/>
    <col min="2" max="2" width="16.28515625" style="7" customWidth="1"/>
    <col min="3" max="3" width="26.5703125" style="53" hidden="1" customWidth="1"/>
    <col min="4" max="4" width="10.85546875" style="53" customWidth="1"/>
    <col min="5" max="5" width="42" style="53" hidden="1" customWidth="1"/>
    <col min="6" max="6" width="17.7109375" style="7" hidden="1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1.42578125" style="7" customWidth="1"/>
    <col min="23" max="23" width="8.5703125" style="7" bestFit="1" customWidth="1"/>
    <col min="24" max="24" width="13.140625" style="7" bestFit="1" customWidth="1"/>
    <col min="25" max="25" width="16" style="7" customWidth="1"/>
    <col min="26" max="26" width="14.140625" style="7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17.28515625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46190</v>
      </c>
      <c r="AB2" s="185">
        <v>0.47916666666666669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x14ac:dyDescent="0.25">
      <c r="A4" s="8" t="s">
        <v>26</v>
      </c>
      <c r="B4" s="67" t="s">
        <v>64</v>
      </c>
      <c r="C4" s="42">
        <f>IF(B4="","",VLOOKUP(AD4,Varsayımlar!$B:$Q,3,0))</f>
        <v>8698829380698</v>
      </c>
      <c r="D4" s="42"/>
      <c r="E4" s="42" t="s">
        <v>296</v>
      </c>
      <c r="F4" s="67">
        <v>28</v>
      </c>
      <c r="G4" s="42" t="s">
        <v>68</v>
      </c>
      <c r="H4" s="67" t="str">
        <f>IF(B4="","",VLOOKUP(AD4,Varsayımlar!$B:$Q,5,0))</f>
        <v>Tortillas 20cm Çok Tahıllı</v>
      </c>
      <c r="I4" s="67">
        <f>IF(B4="","",VLOOKUP(AD4,Varsayımlar!B:T,19,0))</f>
        <v>0</v>
      </c>
      <c r="J4" s="67" t="str">
        <f>IF(B4="","",VLOOKUP(AD4,Varsayımlar!$B:$Q,6,0))</f>
        <v>Çok Tahıllı</v>
      </c>
      <c r="K4" s="67">
        <v>5625</v>
      </c>
      <c r="L4" s="67"/>
      <c r="M4" s="67">
        <f>IFERROR(IF(B4="","",K4/VLOOKUP(AD4,Varsayımlar!B:R,17,0)),"")</f>
        <v>25</v>
      </c>
      <c r="N4" s="67">
        <v>225</v>
      </c>
      <c r="O4" s="67">
        <v>27</v>
      </c>
      <c r="P4" s="67">
        <f>IF(B4="","",VLOOKUP(AD4,Varsayımlar!$B:$Q,7,0)*K4)</f>
        <v>78750</v>
      </c>
      <c r="Q4" s="67">
        <f>IF(B4="","",VLOOKUP(AD4,Varsayımlar!$B:$Q,8,0))</f>
        <v>20</v>
      </c>
      <c r="R4" s="67" t="str">
        <f>IF(B4="","",VLOOKUP(AD4,Varsayımlar!$B:$Q,9,0))</f>
        <v>Irak Soft</v>
      </c>
      <c r="S4" s="67">
        <f>IF(B4="","",VLOOKUP(AD4,Varsayımlar!$B:$Q,10,0))</f>
        <v>4</v>
      </c>
      <c r="T4" s="67">
        <f>IF(B4="","",VLOOKUP(AD4,Varsayımlar!$B:$Q,11,0))</f>
        <v>14</v>
      </c>
      <c r="U4" s="67">
        <f>IF(B4="","",VLOOKUP(AD4,Varsayımlar!$B:$Q,12,0))</f>
        <v>166</v>
      </c>
      <c r="V4" s="67" t="str">
        <f>IF(B4="","",VLOOKUP(AD4,Varsayımlar!$B:$Q,13,0))</f>
        <v>Yurtdışı</v>
      </c>
      <c r="W4" s="67">
        <f>IF(B4="","",VLOOKUP(AD4,Varsayımlar!$B:$Q,14,0))</f>
        <v>9</v>
      </c>
      <c r="X4" s="69">
        <v>46188</v>
      </c>
      <c r="Y4" s="69">
        <v>46461</v>
      </c>
      <c r="Z4" s="67" t="s">
        <v>419</v>
      </c>
      <c r="AA4" s="67" t="str">
        <f>IF(B4="","",VLOOKUP(AD4,Varsayımlar!$B:$Q,15,0))</f>
        <v>SİYAH KARE KOLİ-Üretim Tarihi Etiketli</v>
      </c>
      <c r="AB4" s="67" t="str">
        <f>IF(B4="","",VLOOKUP(AD4,Varsayımlar!$B:$Q,16,0))</f>
        <v>19-21 cm</v>
      </c>
      <c r="AC4" s="58">
        <f>IF(B4="","",VLOOKUP(Sayfa1!AD8,Varsayımlar!B:S,18,0))</f>
        <v>0</v>
      </c>
      <c r="AD4" s="57" t="str">
        <f>IF(B4="","",CONCATENATE(B4,E4))</f>
        <v>SMART LLCTortillas 20cm Çok Tahıllı 4pcs 166g</v>
      </c>
    </row>
    <row r="5" spans="1:30" ht="31.5" x14ac:dyDescent="0.25">
      <c r="A5" s="8" t="s">
        <v>77</v>
      </c>
      <c r="B5" s="67" t="s">
        <v>64</v>
      </c>
      <c r="C5" s="42">
        <f>IF(B5="","",VLOOKUP(AD5,Varsayımlar!$B:$Q,3,0))</f>
        <v>8698829380698</v>
      </c>
      <c r="D5" s="42"/>
      <c r="E5" s="67" t="s">
        <v>296</v>
      </c>
      <c r="F5" s="67">
        <v>30</v>
      </c>
      <c r="G5" s="42" t="s">
        <v>68</v>
      </c>
      <c r="H5" s="67" t="str">
        <f>IF(B5="","",VLOOKUP(AD5,Varsayımlar!$B:$Q,5,0))</f>
        <v>Tortillas 20cm Çok Tahıllı</v>
      </c>
      <c r="I5" s="67">
        <f>IF(B5="","",VLOOKUP(AD5,Varsayımlar!B:T,19,0))</f>
        <v>0</v>
      </c>
      <c r="J5" s="67" t="str">
        <f>IF(B5="","",VLOOKUP(AD5,Varsayımlar!$B:$Q,6,0))</f>
        <v>Çok Tahıllı</v>
      </c>
      <c r="K5" s="67">
        <v>225</v>
      </c>
      <c r="L5" s="67"/>
      <c r="M5" s="67">
        <f>IFERROR(IF(B5="","",K5/VLOOKUP(AD5,Varsayımlar!B:R,17,0)),"")</f>
        <v>1</v>
      </c>
      <c r="N5" s="67"/>
      <c r="O5" s="67">
        <v>2</v>
      </c>
      <c r="P5" s="67">
        <f>IF(B5="","",VLOOKUP(AD5,Varsayımlar!$B:$Q,7,0)*K5)</f>
        <v>3150</v>
      </c>
      <c r="Q5" s="67">
        <f>IF(B5="","",VLOOKUP(AD5,Varsayımlar!$B:$Q,8,0))</f>
        <v>20</v>
      </c>
      <c r="R5" s="67" t="str">
        <f>IF(B5="","",VLOOKUP(AD5,Varsayımlar!$B:$Q,9,0))</f>
        <v>Irak Soft</v>
      </c>
      <c r="S5" s="67">
        <f>IF(B5="","",VLOOKUP(AD5,Varsayımlar!$B:$Q,10,0))</f>
        <v>4</v>
      </c>
      <c r="T5" s="67">
        <f>IF(B5="","",VLOOKUP(AD5,Varsayımlar!$B:$Q,11,0))</f>
        <v>14</v>
      </c>
      <c r="U5" s="67">
        <f>IF(B5="","",VLOOKUP(AD5,Varsayımlar!$B:$Q,12,0))</f>
        <v>166</v>
      </c>
      <c r="V5" s="67" t="str">
        <f>IF(B5="","",VLOOKUP(AD5,Varsayımlar!$B:$Q,13,0))</f>
        <v>Yurtdışı</v>
      </c>
      <c r="W5" s="67">
        <f>IF(B5="","",VLOOKUP(AD5,Varsayımlar!$B:$Q,14,0))</f>
        <v>9</v>
      </c>
      <c r="X5" s="69">
        <v>46195</v>
      </c>
      <c r="Y5" s="69">
        <v>46468</v>
      </c>
      <c r="Z5" s="67" t="s">
        <v>338</v>
      </c>
      <c r="AA5" s="67" t="str">
        <f>IF(B5="","",VLOOKUP(AD5,Varsayımlar!$B:$Q,15,0))</f>
        <v>SİYAH KARE KOLİ-Üretim Tarihi Etiketli</v>
      </c>
      <c r="AB5" s="67" t="str">
        <f>IF(B5="","",VLOOKUP(AD5,Varsayımlar!$B:$Q,16,0))</f>
        <v>19-21 cm</v>
      </c>
      <c r="AC5" s="67">
        <f>IF(B5="","",VLOOKUP(Sayfa1!AD14,Varsayımlar!B:S,18,0))</f>
        <v>0</v>
      </c>
      <c r="AD5" s="57" t="str">
        <f>IF(B5="","",CONCATENATE(B5,E5))</f>
        <v>SMART LLCTortillas 20cm Çok Tahıllı 4pcs 166g</v>
      </c>
    </row>
    <row r="6" spans="1:30" ht="45.75" customHeight="1" x14ac:dyDescent="0.25">
      <c r="A6" s="8" t="s">
        <v>78</v>
      </c>
      <c r="B6" s="130" t="s">
        <v>119</v>
      </c>
      <c r="C6" s="131">
        <f>IF(B6="","",VLOOKUP(AD6,Varsayımlar!$B:$Q,3,0))</f>
        <v>8698829380698</v>
      </c>
      <c r="D6" s="131"/>
      <c r="E6" s="132" t="s">
        <v>120</v>
      </c>
      <c r="F6" s="130"/>
      <c r="G6" s="130"/>
      <c r="H6" s="130" t="str">
        <f>IF(B6="","",VLOOKUP(AD6,Varsayımlar!$B:$Q,5,0))</f>
        <v>Nimet 25 cm</v>
      </c>
      <c r="I6" s="130"/>
      <c r="J6" s="130" t="str">
        <f>IF(B6="","",VLOOKUP(AD6,Varsayımlar!$B:$Q,6,0))</f>
        <v>SADE</v>
      </c>
      <c r="K6" s="130">
        <v>1500</v>
      </c>
      <c r="L6" s="130"/>
      <c r="M6" s="130">
        <f>IFERROR(IF(B6="","",K6/VLOOKUP(AD6,Varsayımlar!B:R,17,0)),"")</f>
        <v>30</v>
      </c>
      <c r="N6" s="130"/>
      <c r="O6" s="130">
        <v>30</v>
      </c>
      <c r="P6" s="130">
        <f>IF(B6="","",VLOOKUP(AD6,Varsayımlar!$B:$Q,7,0)*K6)</f>
        <v>18000</v>
      </c>
      <c r="Q6" s="130">
        <f>IF(B6="","",VLOOKUP(AD6,Varsayımlar!$B:$Q,8,0))</f>
        <v>25</v>
      </c>
      <c r="R6" s="130" t="str">
        <f>IF(B6="","",VLOOKUP(AD6,Varsayımlar!$B:$Q,9,0))</f>
        <v>Standart</v>
      </c>
      <c r="S6" s="130">
        <f>IF(B6="","",VLOOKUP(AD6,Varsayımlar!$B:$Q,10,0))</f>
        <v>12</v>
      </c>
      <c r="T6" s="130">
        <f>IF(B6="","",VLOOKUP(AD6,Varsayımlar!$B:$Q,11,0))</f>
        <v>12</v>
      </c>
      <c r="U6" s="130">
        <f>IF(B6="","",VLOOKUP(AD6,Varsayımlar!$B:$Q,12,0))</f>
        <v>840</v>
      </c>
      <c r="V6" s="130" t="str">
        <f>IF(B6="","",VLOOKUP(AD6,Varsayımlar!$B:$Q,13,0))</f>
        <v>YURTİÇİ</v>
      </c>
      <c r="W6" s="130">
        <f>IF(B6="","",VLOOKUP(AD6,Varsayımlar!$B:$Q,14,0))</f>
        <v>5</v>
      </c>
      <c r="X6" s="133" t="s">
        <v>113</v>
      </c>
      <c r="Y6" s="133" t="s">
        <v>113</v>
      </c>
      <c r="Z6" s="130" t="s">
        <v>113</v>
      </c>
      <c r="AA6" s="130" t="str">
        <f>IF(B6="","",VLOOKUP(AD6,Varsayımlar!$B:$Q,15,0))</f>
        <v>Nimet Kolisi</v>
      </c>
      <c r="AB6" s="130" t="str">
        <f>IF(B6="","",VLOOKUP(AD6,Varsayımlar!$B:$Q,16,0))</f>
        <v>24-26 CM</v>
      </c>
      <c r="AC6" s="64" t="s">
        <v>360</v>
      </c>
      <c r="AD6" s="57" t="str">
        <f>IF(B6="","",CONCATENATE(B6,E6))</f>
        <v>A101Nimet 25cm 12 pcs 840g</v>
      </c>
    </row>
    <row r="7" spans="1:30" ht="23.25" customHeight="1" x14ac:dyDescent="0.25">
      <c r="A7" s="8"/>
      <c r="B7" s="187" t="s">
        <v>447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9"/>
      <c r="AC7" s="58"/>
      <c r="AD7" s="57"/>
    </row>
    <row r="8" spans="1:30" ht="63" x14ac:dyDescent="0.25">
      <c r="A8" s="8" t="s">
        <v>79</v>
      </c>
      <c r="B8" s="117" t="s">
        <v>53</v>
      </c>
      <c r="C8" s="118">
        <f>IF(B8="","",VLOOKUP(AD8,Varsayımlar!$B:$Q,3,0))</f>
        <v>8698829380698</v>
      </c>
      <c r="D8" s="117" t="s">
        <v>403</v>
      </c>
      <c r="E8" s="117" t="s">
        <v>54</v>
      </c>
      <c r="F8" s="117"/>
      <c r="G8" s="117" t="s">
        <v>404</v>
      </c>
      <c r="H8" s="117" t="str">
        <f>IF(B8="","",VLOOKUP(AD8,Varsayımlar!$B:$Q,5,0))</f>
        <v>MAGNİT MAVİ AMBALAJ 25CM</v>
      </c>
      <c r="I8" s="117">
        <f>IF(B8="","",VLOOKUP(AD8,Varsayımlar!B:T,19,0))</f>
        <v>0</v>
      </c>
      <c r="J8" s="117" t="str">
        <f>IF(B8="","",VLOOKUP(AD8,Varsayımlar!$B:$Q,6,0))</f>
        <v>SADE</v>
      </c>
      <c r="K8" s="117">
        <v>2016</v>
      </c>
      <c r="L8" s="117"/>
      <c r="M8" s="117" t="str">
        <f>IFERROR(IF(B8="","",K8/VLOOKUP(AD8,#REF!,17,0)),"")</f>
        <v/>
      </c>
      <c r="N8" s="117"/>
      <c r="O8" s="117">
        <v>34</v>
      </c>
      <c r="P8" s="117">
        <f>IF(B8="","",VLOOKUP(AD8,Varsayımlar!$B:$Q,7,0)*K8)</f>
        <v>60480</v>
      </c>
      <c r="Q8" s="117">
        <f>IF(B8="","",VLOOKUP(AD8,Varsayımlar!$B:$Q,8,0))</f>
        <v>25</v>
      </c>
      <c r="R8" s="117" t="str">
        <f>IF(B8="","",VLOOKUP(AD8,Varsayımlar!$B:$Q,9,0))</f>
        <v>SOFT</v>
      </c>
      <c r="S8" s="117">
        <f>IF(B8="","",VLOOKUP(AD8,Varsayımlar!$B:$Q,10,0))</f>
        <v>4</v>
      </c>
      <c r="T8" s="117">
        <f>IF(B8="","",VLOOKUP(AD8,Varsayımlar!$B:$Q,11,0))</f>
        <v>30</v>
      </c>
      <c r="U8" s="117">
        <f>IF(B8="","",VLOOKUP(AD8,Varsayımlar!$B:$Q,12,0))</f>
        <v>260</v>
      </c>
      <c r="V8" s="117" t="str">
        <f>IF(B8="","",VLOOKUP(AD8,Varsayımlar!$B:$Q,13,0))</f>
        <v>YURTDIŞI</v>
      </c>
      <c r="W8" s="117">
        <f>IF(B8="","",VLOOKUP(AD8,Varsayımlar!$B:$Q,14,0))</f>
        <v>9</v>
      </c>
      <c r="X8" s="122">
        <v>46193</v>
      </c>
      <c r="Y8" s="122">
        <v>46466</v>
      </c>
      <c r="Z8" s="117" t="s">
        <v>405</v>
      </c>
      <c r="AA8" s="117" t="str">
        <f>IF(B8="","",VLOOKUP(AD8,Varsayımlar!$B:$Q,15,0))</f>
        <v>25CM TURUNCU KOLİ-SOL ÜST DİKDÖRTGENE ÜRETİM TARİHİ BASILACAK</v>
      </c>
      <c r="AB8" s="117" t="str">
        <f>IF(B8="","",VLOOKUP(AD8,Varsayımlar!$B:$Q,16,0))</f>
        <v>24-26 CM</v>
      </c>
      <c r="AC8" s="73" t="e">
        <f>IF(B8="","",VLOOKUP(#REF!,#REF!,18,0))</f>
        <v>#REF!</v>
      </c>
      <c r="AD8" s="73" t="str">
        <f>IF(B8="","",CONCATENATE(B8,E8))</f>
        <v>MAGNİTMAGNİT MAVİ AMBALAJ 25 CM 260G</v>
      </c>
    </row>
    <row r="9" spans="1:30" ht="31.5" x14ac:dyDescent="0.25">
      <c r="A9" s="8" t="s">
        <v>80</v>
      </c>
      <c r="B9" s="64" t="s">
        <v>64</v>
      </c>
      <c r="C9" s="3">
        <f>IF(B9="","",VLOOKUP(AD9,Varsayımlar!$B:$Q,3,0))</f>
        <v>8698829380698</v>
      </c>
      <c r="D9" s="3"/>
      <c r="E9" s="64" t="s">
        <v>296</v>
      </c>
      <c r="F9" s="64">
        <v>31</v>
      </c>
      <c r="G9" s="3" t="s">
        <v>68</v>
      </c>
      <c r="H9" s="64" t="str">
        <f>IF(B9="","",VLOOKUP(AD9,Varsayımlar!$B:$Q,5,0))</f>
        <v>Tortillas 20cm Çok Tahıllı</v>
      </c>
      <c r="I9" s="64">
        <f>IF(B9="","",VLOOKUP(AD9,Varsayımlar!B:T,19,0))</f>
        <v>0</v>
      </c>
      <c r="J9" s="64" t="str">
        <f>IF(B9="","",VLOOKUP(AD9,Varsayımlar!$B:$Q,6,0))</f>
        <v>Çok Tahıllı</v>
      </c>
      <c r="K9" s="64">
        <v>1800</v>
      </c>
      <c r="L9" s="64"/>
      <c r="M9" s="64">
        <f>IFERROR(IF(B9="","",K9/VLOOKUP(AD9,Varsayımlar!B:R,17,0)),"")</f>
        <v>8</v>
      </c>
      <c r="N9" s="64"/>
      <c r="O9" s="64">
        <v>15</v>
      </c>
      <c r="P9" s="64">
        <f>IF(B9="","",VLOOKUP(AD9,Varsayımlar!$B:$Q,7,0)*K9)</f>
        <v>25200</v>
      </c>
      <c r="Q9" s="64">
        <f>IF(B9="","",VLOOKUP(AD9,Varsayımlar!$B:$Q,8,0))</f>
        <v>20</v>
      </c>
      <c r="R9" s="64" t="str">
        <f>IF(B9="","",VLOOKUP(AD9,Varsayımlar!$B:$Q,9,0))</f>
        <v>Irak Soft</v>
      </c>
      <c r="S9" s="64">
        <f>IF(B9="","",VLOOKUP(AD9,Varsayımlar!$B:$Q,10,0))</f>
        <v>4</v>
      </c>
      <c r="T9" s="64">
        <f>IF(B9="","",VLOOKUP(AD9,Varsayımlar!$B:$Q,11,0))</f>
        <v>14</v>
      </c>
      <c r="U9" s="64">
        <f>IF(B9="","",VLOOKUP(AD9,Varsayımlar!$B:$Q,12,0))</f>
        <v>166</v>
      </c>
      <c r="V9" s="64" t="str">
        <f>IF(B9="","",VLOOKUP(AD9,Varsayımlar!$B:$Q,13,0))</f>
        <v>Yurtdışı</v>
      </c>
      <c r="W9" s="64">
        <f>IF(B9="","",VLOOKUP(AD9,Varsayımlar!$B:$Q,14,0))</f>
        <v>9</v>
      </c>
      <c r="X9" s="66">
        <v>46196</v>
      </c>
      <c r="Y9" s="66">
        <v>46469</v>
      </c>
      <c r="Z9" s="64" t="s">
        <v>339</v>
      </c>
      <c r="AA9" s="64" t="str">
        <f>IF(B9="","",VLOOKUP(AD9,Varsayımlar!$B:$Q,15,0))</f>
        <v>SİYAH KARE KOLİ-Üretim Tarihi Etiketli</v>
      </c>
      <c r="AB9" s="64" t="str">
        <f>IF(B9="","",VLOOKUP(AD9,Varsayımlar!$B:$Q,16,0))</f>
        <v>19-21 cm</v>
      </c>
      <c r="AC9" s="64">
        <f>IF(B9="","",VLOOKUP(Sayfa1!AD15,Varsayımlar!B:S,18,0))</f>
        <v>0</v>
      </c>
      <c r="AD9" s="57" t="str">
        <f t="shared" ref="AD9:AD39" si="0">IF(B9="","",CONCATENATE(B9,E9))</f>
        <v>SMART LLCTortillas 20cm Çok Tahıllı 4pcs 166g</v>
      </c>
    </row>
    <row r="10" spans="1:30" ht="31.5" x14ac:dyDescent="0.25">
      <c r="A10" s="8" t="s">
        <v>81</v>
      </c>
      <c r="B10" s="64" t="s">
        <v>64</v>
      </c>
      <c r="C10" s="3">
        <f>IF(B10="","",VLOOKUP(AD10,Varsayımlar!$B:$Q,3,0))</f>
        <v>8698829380698</v>
      </c>
      <c r="D10" s="3"/>
      <c r="E10" s="64" t="s">
        <v>176</v>
      </c>
      <c r="F10" s="64">
        <v>31</v>
      </c>
      <c r="G10" s="3" t="s">
        <v>68</v>
      </c>
      <c r="H10" s="64" t="str">
        <f>IF(B10="","",VLOOKUP(AD10,Varsayımlar!$B:$Q,5,0))</f>
        <v>Tortillas 20cm (Samakat Bilgileri Ekli)</v>
      </c>
      <c r="I10" s="64">
        <f>IF(B10="","",VLOOKUP(AD10,Varsayımlar!B:T,19,0))</f>
        <v>0</v>
      </c>
      <c r="J10" s="64" t="str">
        <f>IF(B10="","",VLOOKUP(AD10,Varsayımlar!$B:$Q,6,0))</f>
        <v>PEYNİRLİ</v>
      </c>
      <c r="K10" s="64">
        <v>2925</v>
      </c>
      <c r="L10" s="64"/>
      <c r="M10" s="64">
        <f>IFERROR(IF(B10="","",K10/VLOOKUP(AD10,Varsayımlar!B:R,17,0)),"")</f>
        <v>13</v>
      </c>
      <c r="N10" s="64"/>
      <c r="O10" s="64">
        <v>24</v>
      </c>
      <c r="P10" s="64">
        <f>IF(B10="","",VLOOKUP(AD10,Varsayımlar!$B:$Q,7,0)*K10)</f>
        <v>40950</v>
      </c>
      <c r="Q10" s="64">
        <f>IF(B10="","",VLOOKUP(AD10,Varsayımlar!$B:$Q,8,0))</f>
        <v>20</v>
      </c>
      <c r="R10" s="64" t="str">
        <f>IF(B10="","",VLOOKUP(AD10,Varsayımlar!$B:$Q,9,0))</f>
        <v>IRAK SOFT-AT</v>
      </c>
      <c r="S10" s="64">
        <f>IF(B10="","",VLOOKUP(AD10,Varsayımlar!$B:$Q,10,0))</f>
        <v>4</v>
      </c>
      <c r="T10" s="64">
        <f>IF(B10="","",VLOOKUP(AD10,Varsayımlar!$B:$Q,11,0))</f>
        <v>14</v>
      </c>
      <c r="U10" s="64">
        <f>IF(B10="","",VLOOKUP(AD10,Varsayımlar!$B:$Q,12,0))</f>
        <v>166</v>
      </c>
      <c r="V10" s="64" t="str">
        <f>IF(B10="","",VLOOKUP(AD10,Varsayımlar!$B:$Q,13,0))</f>
        <v>YURTDIŞI</v>
      </c>
      <c r="W10" s="64">
        <f>IF(B10="","",VLOOKUP(AD10,Varsayımlar!$B:$Q,14,0))</f>
        <v>9</v>
      </c>
      <c r="X10" s="66">
        <v>46196</v>
      </c>
      <c r="Y10" s="66">
        <v>46469</v>
      </c>
      <c r="Z10" s="64" t="s">
        <v>340</v>
      </c>
      <c r="AA10" s="64" t="str">
        <f>IF(B10="","",VLOOKUP(AD10,Varsayımlar!$B:$Q,15,0))</f>
        <v>Kare Koli-Üretim Tarihli Etiket</v>
      </c>
      <c r="AB10" s="64" t="str">
        <f>IF(B10="","",VLOOKUP(AD10,Varsayımlar!$B:$Q,16,0))</f>
        <v>19-21 cm</v>
      </c>
      <c r="AC10" s="64">
        <f>IF(B10="","",VLOOKUP(Sayfa1!AD17,Varsayımlar!B:S,18,0))</f>
        <v>0</v>
      </c>
      <c r="AD10" s="57" t="str">
        <f t="shared" si="0"/>
        <v>SMART LLCTortillas 20cm Peynirli 4pcs 166g</v>
      </c>
    </row>
    <row r="11" spans="1:30" ht="47.25" x14ac:dyDescent="0.25">
      <c r="A11" s="8" t="s">
        <v>82</v>
      </c>
      <c r="B11" s="67" t="s">
        <v>268</v>
      </c>
      <c r="C11" s="42">
        <f>IF(B11="","",VLOOKUP(AD11,Varsayımlar!$B:$Q,3,0))</f>
        <v>8698829380698</v>
      </c>
      <c r="D11" s="42" t="s">
        <v>159</v>
      </c>
      <c r="E11" s="67" t="s">
        <v>269</v>
      </c>
      <c r="F11" s="67">
        <v>20250825</v>
      </c>
      <c r="G11" s="42" t="s">
        <v>68</v>
      </c>
      <c r="H11" s="67" t="str">
        <f>IF(B11="","",VLOOKUP(AD11,Varsayımlar!$B:$Q,5,0))</f>
        <v>Tortillas 25cm Tam Buğday</v>
      </c>
      <c r="I11" s="67">
        <f>IF(B11="","",VLOOKUP(AD11,Varsayımlar!B:T,19,0))</f>
        <v>0</v>
      </c>
      <c r="J11" s="67" t="str">
        <f>IF(B11="","",VLOOKUP(AD11,Varsayımlar!$B:$Q,6,0))</f>
        <v>Tam Buğdaylı</v>
      </c>
      <c r="K11" s="67">
        <v>252</v>
      </c>
      <c r="L11" s="67"/>
      <c r="M11" s="67">
        <f>IFERROR(IF(B11="","",K11/VLOOKUP(AD11,Varsayımlar!B:R,17,0)),"")</f>
        <v>3</v>
      </c>
      <c r="N11" s="67"/>
      <c r="O11" s="67">
        <v>5</v>
      </c>
      <c r="P11" s="67">
        <f>IF(B11="","",VLOOKUP(AD11,Varsayımlar!$B:$Q,7,0)*K11)</f>
        <v>7560</v>
      </c>
      <c r="Q11" s="67">
        <f>IF(B11="","",VLOOKUP(AD11,Varsayımlar!$B:$Q,8,0))</f>
        <v>25</v>
      </c>
      <c r="R11" s="67" t="str">
        <f>IF(B11="","",VLOOKUP(AD11,Varsayımlar!$B:$Q,9,0))</f>
        <v>Soft-PA3</v>
      </c>
      <c r="S11" s="67">
        <f>IF(B11="","",VLOOKUP(AD11,Varsayımlar!$B:$Q,10,0))</f>
        <v>4</v>
      </c>
      <c r="T11" s="67">
        <f>IF(B11="","",VLOOKUP(AD11,Varsayımlar!$B:$Q,11,0))</f>
        <v>30</v>
      </c>
      <c r="U11" s="67">
        <f>IF(B11="","",VLOOKUP(AD11,Varsayımlar!$B:$Q,12,0))</f>
        <v>240</v>
      </c>
      <c r="V11" s="67" t="str">
        <f>IF(B11="","",VLOOKUP(AD11,Varsayımlar!$B:$Q,13,0))</f>
        <v>Yurtdışı</v>
      </c>
      <c r="W11" s="67">
        <f>IF(B11="","",VLOOKUP(AD11,Varsayımlar!$B:$Q,14,0))</f>
        <v>12</v>
      </c>
      <c r="X11" s="69">
        <v>46199</v>
      </c>
      <c r="Y11" s="69">
        <v>46564</v>
      </c>
      <c r="Z11" s="67" t="s">
        <v>374</v>
      </c>
      <c r="AA11" s="67" t="str">
        <f>IF(B11="","",VLOOKUP(AD11,Varsayımlar!$B:$Q,15,0))</f>
        <v>25cm Kolisi-Etiketli</v>
      </c>
      <c r="AB11" s="67" t="str">
        <f>IF(B11="","",VLOOKUP(AD11,Varsayımlar!$B:$Q,16,0))</f>
        <v>24-26 cm (Macca Hetto Inkjet Uzun Tarih)</v>
      </c>
      <c r="AC11" s="67" t="str">
        <f>IF(B11="","",VLOOKUP(Sayfa1!AD23,Varsayımlar!B:S,18,0))</f>
        <v>80x120cm</v>
      </c>
      <c r="AD11" s="57" t="str">
        <f t="shared" si="0"/>
        <v>LAIKYUZHN-BELARUSTortillas 25cm Tam buğday 4pcs 240g</v>
      </c>
    </row>
    <row r="12" spans="1:30" ht="47.25" x14ac:dyDescent="0.25">
      <c r="A12" s="8" t="s">
        <v>83</v>
      </c>
      <c r="B12" s="67" t="s">
        <v>268</v>
      </c>
      <c r="C12" s="42">
        <f>IF(B12="","",VLOOKUP(AD12,Varsayımlar!$B:$Q,3,0))</f>
        <v>8698829380698</v>
      </c>
      <c r="D12" s="42" t="s">
        <v>159</v>
      </c>
      <c r="E12" s="67" t="s">
        <v>274</v>
      </c>
      <c r="F12" s="67">
        <v>20250825</v>
      </c>
      <c r="G12" s="42" t="s">
        <v>68</v>
      </c>
      <c r="H12" s="67" t="str">
        <f>IF(B12="","",VLOOKUP(AD12,Varsayımlar!$B:$Q,5,0))</f>
        <v>Tortillas 25cm Domatesli</v>
      </c>
      <c r="I12" s="67">
        <f>IF(B12="","",VLOOKUP(AD12,Varsayımlar!B:T,19,0))</f>
        <v>0</v>
      </c>
      <c r="J12" s="67" t="str">
        <f>IF(B12="","",VLOOKUP(AD12,Varsayımlar!$B:$Q,6,0))</f>
        <v>Domatesli</v>
      </c>
      <c r="K12" s="67">
        <v>252</v>
      </c>
      <c r="L12" s="67"/>
      <c r="M12" s="67">
        <f>IFERROR(IF(B12="","",K12/VLOOKUP(AD12,Varsayımlar!B:R,17,0)),"")</f>
        <v>3</v>
      </c>
      <c r="N12" s="67"/>
      <c r="O12" s="67">
        <v>5</v>
      </c>
      <c r="P12" s="67">
        <f>IF(B12="","",VLOOKUP(AD12,Varsayımlar!$B:$Q,7,0)*K12)</f>
        <v>7560</v>
      </c>
      <c r="Q12" s="67">
        <f>IF(B12="","",VLOOKUP(AD12,Varsayımlar!$B:$Q,8,0))</f>
        <v>25</v>
      </c>
      <c r="R12" s="67" t="str">
        <f>IF(B12="","",VLOOKUP(AD12,Varsayımlar!$B:$Q,9,0))</f>
        <v>Soft-PA3</v>
      </c>
      <c r="S12" s="67">
        <f>IF(B12="","",VLOOKUP(AD12,Varsayımlar!$B:$Q,10,0))</f>
        <v>4</v>
      </c>
      <c r="T12" s="67">
        <f>IF(B12="","",VLOOKUP(AD12,Varsayımlar!$B:$Q,11,0))</f>
        <v>30</v>
      </c>
      <c r="U12" s="67">
        <f>IF(B12="","",VLOOKUP(AD12,Varsayımlar!$B:$Q,12,0))</f>
        <v>240</v>
      </c>
      <c r="V12" s="67" t="str">
        <f>IF(B12="","",VLOOKUP(AD12,Varsayımlar!$B:$Q,13,0))</f>
        <v>Yurtdışı</v>
      </c>
      <c r="W12" s="67">
        <f>IF(B12="","",VLOOKUP(AD12,Varsayımlar!$B:$Q,14,0))</f>
        <v>12</v>
      </c>
      <c r="X12" s="69">
        <v>46199</v>
      </c>
      <c r="Y12" s="69">
        <v>46564</v>
      </c>
      <c r="Z12" s="67" t="s">
        <v>375</v>
      </c>
      <c r="AA12" s="67" t="str">
        <f>IF(B12="","",VLOOKUP(AD12,Varsayımlar!$B:$Q,15,0))</f>
        <v>25cm Kolisi-Etiketli</v>
      </c>
      <c r="AB12" s="67" t="str">
        <f>IF(B12="","",VLOOKUP(AD12,Varsayımlar!$B:$Q,16,0))</f>
        <v>24-26 cm (Macca Hetto Inkjet Uzun Tarih)</v>
      </c>
      <c r="AC12" s="67" t="str">
        <f>IF(B12="","",VLOOKUP(Sayfa1!AD24,Varsayımlar!B:S,18,0))</f>
        <v>80x120cm</v>
      </c>
      <c r="AD12" s="57" t="str">
        <f t="shared" si="0"/>
        <v>LAIKYUZHN-BELARUSTortillas 25cm Domatesli 4pcs 240g</v>
      </c>
    </row>
    <row r="13" spans="1:30" ht="47.25" x14ac:dyDescent="0.25">
      <c r="A13" s="8" t="s">
        <v>84</v>
      </c>
      <c r="B13" s="67" t="s">
        <v>268</v>
      </c>
      <c r="C13" s="42">
        <f>IF(B13="","",VLOOKUP(AD13,Varsayımlar!$B:$Q,3,0))</f>
        <v>8698829380698</v>
      </c>
      <c r="D13" s="42" t="s">
        <v>159</v>
      </c>
      <c r="E13" s="67" t="s">
        <v>276</v>
      </c>
      <c r="F13" s="67">
        <v>20250825</v>
      </c>
      <c r="G13" s="42" t="s">
        <v>68</v>
      </c>
      <c r="H13" s="67" t="str">
        <f>IF(B13="","",VLOOKUP(AD13,Varsayımlar!$B:$Q,5,0))</f>
        <v>Tortillas 25cm Ispanaklı</v>
      </c>
      <c r="I13" s="67">
        <f>IF(B13="","",VLOOKUP(AD13,Varsayımlar!B:T,19,0))</f>
        <v>0</v>
      </c>
      <c r="J13" s="67" t="str">
        <f>IF(B13="","",VLOOKUP(AD13,Varsayımlar!$B:$Q,6,0))</f>
        <v>Ispanaklı</v>
      </c>
      <c r="K13" s="67">
        <v>420</v>
      </c>
      <c r="L13" s="67"/>
      <c r="M13" s="67">
        <f>IFERROR(IF(B13="","",K13/VLOOKUP(AD13,Varsayımlar!B:R,17,0)),"")</f>
        <v>5</v>
      </c>
      <c r="N13" s="67"/>
      <c r="O13" s="67">
        <v>7</v>
      </c>
      <c r="P13" s="67">
        <f>IF(B13="","",VLOOKUP(AD13,Varsayımlar!$B:$Q,7,0)*K13)</f>
        <v>12600</v>
      </c>
      <c r="Q13" s="67">
        <f>IF(B13="","",VLOOKUP(AD13,Varsayımlar!$B:$Q,8,0))</f>
        <v>25</v>
      </c>
      <c r="R13" s="67" t="str">
        <f>IF(B13="","",VLOOKUP(AD13,Varsayımlar!$B:$Q,9,0))</f>
        <v>Soft-PA3</v>
      </c>
      <c r="S13" s="67">
        <f>IF(B13="","",VLOOKUP(AD13,Varsayımlar!$B:$Q,10,0))</f>
        <v>4</v>
      </c>
      <c r="T13" s="67">
        <f>IF(B13="","",VLOOKUP(AD13,Varsayımlar!$B:$Q,11,0))</f>
        <v>30</v>
      </c>
      <c r="U13" s="67">
        <f>IF(B13="","",VLOOKUP(AD13,Varsayımlar!$B:$Q,12,0))</f>
        <v>240</v>
      </c>
      <c r="V13" s="67" t="str">
        <f>IF(B13="","",VLOOKUP(AD13,Varsayımlar!$B:$Q,13,0))</f>
        <v>Yurtdışı</v>
      </c>
      <c r="W13" s="67">
        <f>IF(B13="","",VLOOKUP(AD13,Varsayımlar!$B:$Q,14,0))</f>
        <v>12</v>
      </c>
      <c r="X13" s="69">
        <v>46199</v>
      </c>
      <c r="Y13" s="69">
        <v>46564</v>
      </c>
      <c r="Z13" s="67" t="s">
        <v>376</v>
      </c>
      <c r="AA13" s="67" t="str">
        <f>IF(B13="","",VLOOKUP(AD13,Varsayımlar!$B:$Q,15,0))</f>
        <v>25cm Kolisi-Etiketli</v>
      </c>
      <c r="AB13" s="67" t="str">
        <f>IF(B13="","",VLOOKUP(AD13,Varsayımlar!$B:$Q,16,0))</f>
        <v>24-26 cm (Macca Hetto Inkjet Uzun Tarih)</v>
      </c>
      <c r="AC13" s="67" t="str">
        <f>IF(B13="","",VLOOKUP(Sayfa1!AD25,Varsayımlar!B:S,18,0))</f>
        <v>80x120cm</v>
      </c>
      <c r="AD13" s="57" t="str">
        <f t="shared" si="0"/>
        <v>LAIKYUZHN-BELARUSTortillas 25cm Ispanaklı 4pcs 240g</v>
      </c>
    </row>
    <row r="14" spans="1:30" ht="47.25" x14ac:dyDescent="0.25">
      <c r="A14" s="8" t="s">
        <v>85</v>
      </c>
      <c r="B14" s="67" t="s">
        <v>268</v>
      </c>
      <c r="C14" s="42">
        <f>IF(B14="","",VLOOKUP(AD14,Varsayımlar!$B:$Q,3,0))</f>
        <v>8698829380698</v>
      </c>
      <c r="D14" s="42" t="s">
        <v>159</v>
      </c>
      <c r="E14" s="67" t="s">
        <v>278</v>
      </c>
      <c r="F14" s="67">
        <v>20250825</v>
      </c>
      <c r="G14" s="42" t="s">
        <v>68</v>
      </c>
      <c r="H14" s="67" t="str">
        <f>IF(B14="","",VLOOKUP(AD14,Varsayımlar!$B:$Q,5,0))</f>
        <v>Magnit Tortillas 25cm Peynirli</v>
      </c>
      <c r="I14" s="67" t="str">
        <f>IF(B14="","",VLOOKUP(AD14,Varsayımlar!B:T,19,0))</f>
        <v>Etiketli</v>
      </c>
      <c r="J14" s="67" t="str">
        <f>IF(B14="","",VLOOKUP(AD14,Varsayımlar!$B:$Q,6,0))</f>
        <v>Peynirli</v>
      </c>
      <c r="K14" s="67">
        <v>420</v>
      </c>
      <c r="L14" s="67"/>
      <c r="M14" s="67">
        <f>IFERROR(IF(B14="","",K14/VLOOKUP(AD14,Varsayımlar!B:R,17,0)),"")</f>
        <v>5</v>
      </c>
      <c r="N14" s="67"/>
      <c r="O14" s="67">
        <v>7</v>
      </c>
      <c r="P14" s="67">
        <f>IF(B14="","",VLOOKUP(AD14,Varsayımlar!$B:$Q,7,0)*K14)</f>
        <v>12600</v>
      </c>
      <c r="Q14" s="67">
        <f>IF(B14="","",VLOOKUP(AD14,Varsayımlar!$B:$Q,8,0))</f>
        <v>25</v>
      </c>
      <c r="R14" s="67" t="str">
        <f>IF(B14="","",VLOOKUP(AD14,Varsayımlar!$B:$Q,9,0))</f>
        <v>Soft-PA3-AT</v>
      </c>
      <c r="S14" s="67">
        <f>IF(B14="","",VLOOKUP(AD14,Varsayımlar!$B:$Q,10,0))</f>
        <v>4</v>
      </c>
      <c r="T14" s="67">
        <f>IF(B14="","",VLOOKUP(AD14,Varsayımlar!$B:$Q,11,0))</f>
        <v>30</v>
      </c>
      <c r="U14" s="67">
        <f>IF(B14="","",VLOOKUP(AD14,Varsayımlar!$B:$Q,12,0))</f>
        <v>250</v>
      </c>
      <c r="V14" s="67" t="str">
        <f>IF(B14="","",VLOOKUP(AD14,Varsayımlar!$B:$Q,13,0))</f>
        <v>Yurtdışı</v>
      </c>
      <c r="W14" s="67">
        <f>IF(B14="","",VLOOKUP(AD14,Varsayımlar!$B:$Q,14,0))</f>
        <v>9</v>
      </c>
      <c r="X14" s="69">
        <v>46199</v>
      </c>
      <c r="Y14" s="69">
        <v>46472</v>
      </c>
      <c r="Z14" s="67" t="s">
        <v>377</v>
      </c>
      <c r="AA14" s="67" t="str">
        <f>IF(B14="","",VLOOKUP(AD14,Varsayımlar!$B:$Q,15,0))</f>
        <v>25cm Kolisi-Etiketli</v>
      </c>
      <c r="AB14" s="67" t="str">
        <f>IF(B14="","",VLOOKUP(AD14,Varsayımlar!$B:$Q,16,0))</f>
        <v>24-26 cm (Macca Hetto Inkjet Uzun Tarih)</v>
      </c>
      <c r="AC14" s="67" t="str">
        <f>IF(B14="","",VLOOKUP(Sayfa1!AD26,Varsayımlar!B:S,18,0))</f>
        <v>80x120cm</v>
      </c>
      <c r="AD14" s="57" t="str">
        <f t="shared" si="0"/>
        <v>LAIKYUZHN-BELARUSMagnit Tortillas 25cm Peynirli 4pcs 240g</v>
      </c>
    </row>
    <row r="15" spans="1:30" ht="47.25" x14ac:dyDescent="0.25">
      <c r="A15" s="8" t="s">
        <v>86</v>
      </c>
      <c r="B15" s="62" t="s">
        <v>181</v>
      </c>
      <c r="C15" s="32">
        <f>IF(B15="","",VLOOKUP(AD15,Varsayımlar!$B:$Q,3,0))</f>
        <v>8698829380698</v>
      </c>
      <c r="D15" s="32"/>
      <c r="E15" s="62" t="s">
        <v>182</v>
      </c>
      <c r="F15" s="62">
        <v>26060101</v>
      </c>
      <c r="G15" s="32"/>
      <c r="H15" s="62" t="str">
        <f>IF(B15="","",VLOOKUP(AD15,Varsayımlar!$B:$Q,5,0))</f>
        <v>Tortillove 30cm</v>
      </c>
      <c r="I15" s="62" t="str">
        <f>IF(B15="","",VLOOKUP(AD15,Varsayımlar!B:T,19,0))</f>
        <v>Arka kısma Arnavutça içerik-Tortillove</v>
      </c>
      <c r="J15" s="62" t="str">
        <f>IF(B15="","",VLOOKUP(AD15,Varsayımlar!$B:$Q,6,0))</f>
        <v>SADE</v>
      </c>
      <c r="K15" s="62">
        <v>100</v>
      </c>
      <c r="L15" s="62"/>
      <c r="M15" s="62">
        <f>IFERROR(IF(B15="","",K15/VLOOKUP(AD15,Varsayımlar!B:R,17,0)),"")</f>
        <v>2</v>
      </c>
      <c r="N15" s="62"/>
      <c r="O15" s="62">
        <v>2</v>
      </c>
      <c r="P15" s="62">
        <f>IF(B15="","",VLOOKUP(AD15,Varsayımlar!$B:$Q,7,0)*K15)</f>
        <v>1200</v>
      </c>
      <c r="Q15" s="62">
        <f>IF(B15="","",VLOOKUP(AD15,Varsayımlar!$B:$Q,8,0))</f>
        <v>30</v>
      </c>
      <c r="R15" s="62" t="str">
        <f>IF(B15="","",VLOOKUP(AD15,Varsayımlar!$B:$Q,9,0))</f>
        <v>Irak Soft</v>
      </c>
      <c r="S15" s="62">
        <f>IF(B15="","",VLOOKUP(AD15,Varsayımlar!$B:$Q,10,0))</f>
        <v>10</v>
      </c>
      <c r="T15" s="62">
        <f>IF(B15="","",VLOOKUP(AD15,Varsayımlar!$B:$Q,11,0))</f>
        <v>12</v>
      </c>
      <c r="U15" s="62">
        <f>IF(B15="","",VLOOKUP(AD15,Varsayımlar!$B:$Q,12,0))</f>
        <v>900</v>
      </c>
      <c r="V15" s="62" t="str">
        <f>IF(B15="","",VLOOKUP(AD15,Varsayımlar!$B:$Q,13,0))</f>
        <v>Yurtdışı</v>
      </c>
      <c r="W15" s="62">
        <f>IF(B15="","",VLOOKUP(AD15,Varsayımlar!$B:$Q,14,0))</f>
        <v>12</v>
      </c>
      <c r="X15" s="63">
        <v>46200</v>
      </c>
      <c r="Y15" s="63">
        <v>46565</v>
      </c>
      <c r="Z15" s="62">
        <v>26062730</v>
      </c>
      <c r="AA15" s="62" t="str">
        <f>IF(B15="","",VLOOKUP(AD15,Varsayımlar!$B:$Q,15,0))</f>
        <v>30cm Koli - Tortillove 900g Etiketli</v>
      </c>
      <c r="AB15" s="62" t="str">
        <f>IF(B15="","",VLOOKUP(AD15,Varsayımlar!$B:$Q,16,0))</f>
        <v>29-31 cm</v>
      </c>
      <c r="AC15" s="62">
        <f>IF(B15="","",VLOOKUP(Sayfa1!AD27,Varsayımlar!B:S,18,0))</f>
        <v>0</v>
      </c>
      <c r="AD15" s="57" t="str">
        <f t="shared" si="0"/>
        <v>ALDİ - KOSOVATortillove 30cm 10pcs 900g</v>
      </c>
    </row>
    <row r="16" spans="1:30" ht="47.25" x14ac:dyDescent="0.25">
      <c r="A16" s="8" t="s">
        <v>87</v>
      </c>
      <c r="B16" s="62" t="s">
        <v>181</v>
      </c>
      <c r="C16" s="32">
        <f>IF(B16="","",VLOOKUP(AD16,Varsayımlar!$B:$Q,3,0))</f>
        <v>8698829380698</v>
      </c>
      <c r="D16" s="32"/>
      <c r="E16" s="62" t="s">
        <v>185</v>
      </c>
      <c r="F16" s="62">
        <v>26060101</v>
      </c>
      <c r="G16" s="32"/>
      <c r="H16" s="62" t="str">
        <f>IF(B16="","",VLOOKUP(AD16,Varsayımlar!$B:$Q,5,0))</f>
        <v>Tortillas 30cm</v>
      </c>
      <c r="I16" s="62" t="str">
        <f>IF(B16="","",VLOOKUP(AD16,Varsayımlar!B:T,19,0))</f>
        <v>Arka kısma Arnavutça içerik-Tortillas</v>
      </c>
      <c r="J16" s="62" t="str">
        <f>IF(B16="","",VLOOKUP(AD16,Varsayımlar!$B:$Q,6,0))</f>
        <v>SADE</v>
      </c>
      <c r="K16" s="62">
        <v>50</v>
      </c>
      <c r="L16" s="62"/>
      <c r="M16" s="62">
        <f>IFERROR(IF(B16="","",K16/VLOOKUP(AD16,Varsayımlar!B:R,17,0)),"")</f>
        <v>1</v>
      </c>
      <c r="N16" s="62"/>
      <c r="O16" s="62">
        <v>1</v>
      </c>
      <c r="P16" s="62">
        <f>IF(B16="","",VLOOKUP(AD16,Varsayımlar!$B:$Q,7,0)*K16)</f>
        <v>600</v>
      </c>
      <c r="Q16" s="62">
        <f>IF(B16="","",VLOOKUP(AD16,Varsayımlar!$B:$Q,8,0))</f>
        <v>30</v>
      </c>
      <c r="R16" s="62" t="str">
        <f>IF(B16="","",VLOOKUP(AD16,Varsayımlar!$B:$Q,9,0))</f>
        <v>Irak Soft</v>
      </c>
      <c r="S16" s="62">
        <f>IF(B16="","",VLOOKUP(AD16,Varsayımlar!$B:$Q,10,0))</f>
        <v>10</v>
      </c>
      <c r="T16" s="62">
        <f>IF(B16="","",VLOOKUP(AD16,Varsayımlar!$B:$Q,11,0))</f>
        <v>12</v>
      </c>
      <c r="U16" s="62">
        <f>IF(B16="","",VLOOKUP(AD16,Varsayımlar!$B:$Q,12,0))</f>
        <v>900</v>
      </c>
      <c r="V16" s="62" t="str">
        <f>IF(B16="","",VLOOKUP(AD16,Varsayımlar!$B:$Q,13,0))</f>
        <v>Yurtdışı</v>
      </c>
      <c r="W16" s="62">
        <f>IF(B16="","",VLOOKUP(AD16,Varsayımlar!$B:$Q,14,0))</f>
        <v>12</v>
      </c>
      <c r="X16" s="63">
        <v>46200</v>
      </c>
      <c r="Y16" s="63">
        <v>46565</v>
      </c>
      <c r="Z16" s="62">
        <v>26062730</v>
      </c>
      <c r="AA16" s="62" t="str">
        <f>IF(B16="","",VLOOKUP(AD16,Varsayımlar!$B:$Q,15,0))</f>
        <v>30cm Koli - Tortillas 900g Etiketli</v>
      </c>
      <c r="AB16" s="62" t="str">
        <f>IF(B16="","",VLOOKUP(AD16,Varsayımlar!$B:$Q,16,0))</f>
        <v>29-31 cm</v>
      </c>
      <c r="AC16" s="62">
        <f>IF(B16="","",VLOOKUP(Sayfa1!AD28,Varsayımlar!B:S,18,0))</f>
        <v>0</v>
      </c>
      <c r="AD16" s="57" t="str">
        <f t="shared" si="0"/>
        <v>ALDİ - KOSOVATortillas 30cm 10pcs 900g</v>
      </c>
    </row>
    <row r="17" spans="1:30" ht="63" x14ac:dyDescent="0.25">
      <c r="A17" s="8" t="s">
        <v>88</v>
      </c>
      <c r="B17" s="62" t="s">
        <v>181</v>
      </c>
      <c r="C17" s="32">
        <f>IF(B17="","",VLOOKUP(AD17,Varsayımlar!$B:$Q,3,0))</f>
        <v>8698829380698</v>
      </c>
      <c r="D17" s="32"/>
      <c r="E17" s="32" t="s">
        <v>372</v>
      </c>
      <c r="F17" s="62">
        <v>26060101</v>
      </c>
      <c r="G17" s="32"/>
      <c r="H17" s="62" t="str">
        <f>IF(B17="","",VLOOKUP(AD17,Varsayımlar!$B:$Q,5,0))</f>
        <v>Tortillove Tam Buğday 25cm</v>
      </c>
      <c r="I17" s="62" t="str">
        <f>IF(B17="","",VLOOKUP(AD17,Varsayımlar!B:T,19,0))</f>
        <v>Barkod üzerine Arnavutça TB içerik+Barkod-Tortillove</v>
      </c>
      <c r="J17" s="62" t="str">
        <f>IF(B17="","",VLOOKUP(AD17,Varsayımlar!$B:$Q,6,0))</f>
        <v>Tam Buğdaylı</v>
      </c>
      <c r="K17" s="62">
        <v>84</v>
      </c>
      <c r="L17" s="62"/>
      <c r="M17" s="62">
        <f>IFERROR(IF(B17="","",K17/VLOOKUP(AD17,Varsayımlar!B:R,17,0)),"")</f>
        <v>1</v>
      </c>
      <c r="N17" s="62"/>
      <c r="O17" s="62">
        <v>2</v>
      </c>
      <c r="P17" s="62">
        <f>IF(B17="","",VLOOKUP(AD17,Varsayımlar!$B:$Q,7,0)*K17)</f>
        <v>1512</v>
      </c>
      <c r="Q17" s="62">
        <f>IF(B17="","",VLOOKUP(AD17,Varsayımlar!$B:$Q,8,0))</f>
        <v>25</v>
      </c>
      <c r="R17" s="62" t="str">
        <f>IF(B17="","",VLOOKUP(AD17,Varsayımlar!$B:$Q,9,0))</f>
        <v>Irak Soft</v>
      </c>
      <c r="S17" s="62">
        <f>IF(B17="","",VLOOKUP(AD17,Varsayımlar!$B:$Q,10,0))</f>
        <v>6</v>
      </c>
      <c r="T17" s="62">
        <f>IF(B17="","",VLOOKUP(AD17,Varsayımlar!$B:$Q,11,0))</f>
        <v>18</v>
      </c>
      <c r="U17" s="62">
        <f>IF(B17="","",VLOOKUP(AD17,Varsayımlar!$B:$Q,12,0))</f>
        <v>390</v>
      </c>
      <c r="V17" s="62" t="str">
        <f>IF(B17="","",VLOOKUP(AD17,Varsayımlar!$B:$Q,13,0))</f>
        <v>Yurtdışı</v>
      </c>
      <c r="W17" s="62">
        <f>IF(B17="","",VLOOKUP(AD17,Varsayımlar!$B:$Q,14,0))</f>
        <v>12</v>
      </c>
      <c r="X17" s="63">
        <v>46200</v>
      </c>
      <c r="Y17" s="63">
        <v>46565</v>
      </c>
      <c r="Z17" s="62">
        <v>26062725</v>
      </c>
      <c r="AA17" s="62" t="str">
        <f>IF(B17="","",VLOOKUP(AD17,Varsayımlar!$B:$Q,15,0))</f>
        <v>25cm Koli - Tortillove 390g TB Etiketli</v>
      </c>
      <c r="AB17" s="62" t="str">
        <f>IF(B17="","",VLOOKUP(AD17,Varsayımlar!$B:$Q,16,0))</f>
        <v>24-26 cm</v>
      </c>
      <c r="AC17" s="62">
        <f>IF(B17="","",VLOOKUP(Sayfa1!AD29,Varsayımlar!B:S,18,0))</f>
        <v>0</v>
      </c>
      <c r="AD17" s="57" t="str">
        <f t="shared" si="0"/>
        <v>ALDİ - KOSOVATortillove 25cm TB 6pcs 390g</v>
      </c>
    </row>
    <row r="18" spans="1:30" ht="63" x14ac:dyDescent="0.25">
      <c r="A18" s="8" t="s">
        <v>89</v>
      </c>
      <c r="B18" s="62" t="s">
        <v>181</v>
      </c>
      <c r="C18" s="32">
        <f>IF(B18="","",VLOOKUP(AD18,Varsayımlar!$B:$Q,3,0))</f>
        <v>8698829380698</v>
      </c>
      <c r="D18" s="32"/>
      <c r="E18" s="32" t="s">
        <v>251</v>
      </c>
      <c r="F18" s="62">
        <v>26060101</v>
      </c>
      <c r="G18" s="32"/>
      <c r="H18" s="62" t="str">
        <f>IF(B18="","",VLOOKUP(AD18,Varsayımlar!$B:$Q,5,0))</f>
        <v>Tortillas Tam Buğday 25cm</v>
      </c>
      <c r="I18" s="62" t="str">
        <f>IF(B18="","",VLOOKUP(AD18,Varsayımlar!B:T,19,0))</f>
        <v>Barkod üzerine Arnavutça TB içerik+Barkod-Tortillas</v>
      </c>
      <c r="J18" s="62" t="str">
        <f>IF(B18="","",VLOOKUP(AD18,Varsayımlar!$B:$Q,6,0))</f>
        <v>Tam Buğdaylı</v>
      </c>
      <c r="K18" s="62">
        <v>84</v>
      </c>
      <c r="L18" s="62"/>
      <c r="M18" s="62">
        <f>IFERROR(IF(B18="","",K18/VLOOKUP(AD18,Varsayımlar!B:R,17,0)),"")</f>
        <v>1</v>
      </c>
      <c r="N18" s="62"/>
      <c r="O18" s="62">
        <v>2</v>
      </c>
      <c r="P18" s="62">
        <f>IF(B18="","",VLOOKUP(AD18,Varsayımlar!$B:$Q,7,0)*K18)</f>
        <v>1512</v>
      </c>
      <c r="Q18" s="62">
        <f>IF(B18="","",VLOOKUP(AD18,Varsayımlar!$B:$Q,8,0))</f>
        <v>25</v>
      </c>
      <c r="R18" s="62" t="str">
        <f>IF(B18="","",VLOOKUP(AD18,Varsayımlar!$B:$Q,9,0))</f>
        <v>Irak Soft</v>
      </c>
      <c r="S18" s="62">
        <f>IF(B18="","",VLOOKUP(AD18,Varsayımlar!$B:$Q,10,0))</f>
        <v>6</v>
      </c>
      <c r="T18" s="62">
        <f>IF(B18="","",VLOOKUP(AD18,Varsayımlar!$B:$Q,11,0))</f>
        <v>18</v>
      </c>
      <c r="U18" s="62">
        <f>IF(B18="","",VLOOKUP(AD18,Varsayımlar!$B:$Q,12,0))</f>
        <v>390</v>
      </c>
      <c r="V18" s="62" t="str">
        <f>IF(B18="","",VLOOKUP(AD18,Varsayımlar!$B:$Q,13,0))</f>
        <v>Yurtdışı</v>
      </c>
      <c r="W18" s="62">
        <f>IF(B18="","",VLOOKUP(AD18,Varsayımlar!$B:$Q,14,0))</f>
        <v>12</v>
      </c>
      <c r="X18" s="63">
        <v>46200</v>
      </c>
      <c r="Y18" s="63">
        <v>46565</v>
      </c>
      <c r="Z18" s="62">
        <v>26062725</v>
      </c>
      <c r="AA18" s="62" t="str">
        <f>IF(B18="","",VLOOKUP(AD18,Varsayımlar!$B:$Q,15,0))</f>
        <v>25cm Koli - Tortillas 390g TB Etiketli</v>
      </c>
      <c r="AB18" s="62" t="str">
        <f>IF(B18="","",VLOOKUP(AD18,Varsayımlar!$B:$Q,16,0))</f>
        <v>24-26 cm</v>
      </c>
      <c r="AC18" s="62">
        <f>IF(B18="","",VLOOKUP(Sayfa1!AD30,Varsayımlar!B:S,18,0))</f>
        <v>0</v>
      </c>
      <c r="AD18" s="57" t="str">
        <f t="shared" si="0"/>
        <v>ALDİ - KOSOVATortillas 25cm TB 6pcs 390g</v>
      </c>
    </row>
    <row r="19" spans="1:30" ht="45.75" customHeight="1" x14ac:dyDescent="0.25">
      <c r="A19" s="8" t="s">
        <v>90</v>
      </c>
      <c r="B19" s="130" t="s">
        <v>119</v>
      </c>
      <c r="C19" s="131">
        <f>IF(B19="","",VLOOKUP(AD19,Varsayımlar!$B:$Q,3,0))</f>
        <v>8698829380698</v>
      </c>
      <c r="D19" s="131"/>
      <c r="E19" s="132" t="s">
        <v>120</v>
      </c>
      <c r="F19" s="130"/>
      <c r="G19" s="130"/>
      <c r="H19" s="130" t="str">
        <f>IF(B19="","",VLOOKUP(AD19,Varsayımlar!$B:$Q,5,0))</f>
        <v>Nimet 25 cm</v>
      </c>
      <c r="I19" s="130"/>
      <c r="J19" s="130" t="str">
        <f>IF(B19="","",VLOOKUP(AD19,Varsayımlar!$B:$Q,6,0))</f>
        <v>SADE</v>
      </c>
      <c r="K19" s="130">
        <v>2000</v>
      </c>
      <c r="L19" s="130"/>
      <c r="M19" s="130">
        <f>IFERROR(IF(B19="","",K19/VLOOKUP(AD19,Varsayımlar!B:R,17,0)),"")</f>
        <v>40</v>
      </c>
      <c r="N19" s="130"/>
      <c r="O19" s="130">
        <v>40</v>
      </c>
      <c r="P19" s="130">
        <f>IF(B19="","",VLOOKUP(AD19,Varsayımlar!$B:$Q,7,0)*K19)</f>
        <v>24000</v>
      </c>
      <c r="Q19" s="130">
        <f>IF(B19="","",VLOOKUP(AD19,Varsayımlar!$B:$Q,8,0))</f>
        <v>25</v>
      </c>
      <c r="R19" s="130" t="str">
        <f>IF(B19="","",VLOOKUP(AD19,Varsayımlar!$B:$Q,9,0))</f>
        <v>Standart</v>
      </c>
      <c r="S19" s="130">
        <f>IF(B19="","",VLOOKUP(AD19,Varsayımlar!$B:$Q,10,0))</f>
        <v>12</v>
      </c>
      <c r="T19" s="130">
        <f>IF(B19="","",VLOOKUP(AD19,Varsayımlar!$B:$Q,11,0))</f>
        <v>12</v>
      </c>
      <c r="U19" s="130">
        <f>IF(B19="","",VLOOKUP(AD19,Varsayımlar!$B:$Q,12,0))</f>
        <v>840</v>
      </c>
      <c r="V19" s="130" t="str">
        <f>IF(B19="","",VLOOKUP(AD19,Varsayımlar!$B:$Q,13,0))</f>
        <v>YURTİÇİ</v>
      </c>
      <c r="W19" s="130">
        <f>IF(B19="","",VLOOKUP(AD19,Varsayımlar!$B:$Q,14,0))</f>
        <v>5</v>
      </c>
      <c r="X19" s="133" t="s">
        <v>113</v>
      </c>
      <c r="Y19" s="133" t="s">
        <v>113</v>
      </c>
      <c r="Z19" s="130" t="s">
        <v>113</v>
      </c>
      <c r="AA19" s="130" t="str">
        <f>IF(B19="","",VLOOKUP(AD19,Varsayımlar!$B:$Q,15,0))</f>
        <v>Nimet Kolisi</v>
      </c>
      <c r="AB19" s="130" t="str">
        <f>IF(B19="","",VLOOKUP(AD19,Varsayımlar!$B:$Q,16,0))</f>
        <v>24-26 CM</v>
      </c>
      <c r="AC19" s="64" t="s">
        <v>360</v>
      </c>
      <c r="AD19" s="57" t="str">
        <f>IF(B19="","",CONCATENATE(B19,E19))</f>
        <v>A101Nimet 25cm 12 pcs 840g</v>
      </c>
    </row>
    <row r="20" spans="1:30" ht="31.5" x14ac:dyDescent="0.25">
      <c r="A20" s="8" t="s">
        <v>89</v>
      </c>
      <c r="B20" s="64" t="s">
        <v>288</v>
      </c>
      <c r="C20" s="3">
        <f>IF(B20="","",VLOOKUP(AD20,Varsayımlar!$B:$Q,3,0))</f>
        <v>8698829380698</v>
      </c>
      <c r="D20" s="3"/>
      <c r="E20" s="64" t="s">
        <v>289</v>
      </c>
      <c r="F20" s="64">
        <v>20201016</v>
      </c>
      <c r="G20" s="3" t="s">
        <v>68</v>
      </c>
      <c r="H20" s="64" t="str">
        <f>IF(B20="","",VLOOKUP(AD20,Varsayımlar!$B:$Q,5,0))</f>
        <v>Tortillas 25cm Tam Buğday</v>
      </c>
      <c r="I20" s="64" t="str">
        <f>IF(B20="","",VLOOKUP(AD20,Varsayımlar!B:T,19,0))</f>
        <v>Arka kısma İçerik</v>
      </c>
      <c r="J20" s="64" t="str">
        <f>IF(B20="","",VLOOKUP(AD20,Varsayımlar!$B:$Q,6,0))</f>
        <v>Tam Buğdaylı</v>
      </c>
      <c r="K20" s="64">
        <v>250</v>
      </c>
      <c r="L20" s="64"/>
      <c r="M20" s="64">
        <f>IFERROR(IF(B20="","",K20/VLOOKUP(AD20,Varsayımlar!B:R,17,0)),"")</f>
        <v>5</v>
      </c>
      <c r="N20" s="64"/>
      <c r="O20" s="64">
        <v>4</v>
      </c>
      <c r="P20" s="64">
        <f>IF(B20="","",VLOOKUP(AD20,Varsayımlar!$B:$Q,7,0)*K20)</f>
        <v>4500</v>
      </c>
      <c r="Q20" s="64">
        <f>IF(B20="","",VLOOKUP(AD20,Varsayımlar!$B:$Q,8,0))</f>
        <v>25</v>
      </c>
      <c r="R20" s="64" t="str">
        <f>IF(B20="","",VLOOKUP(AD20,Varsayımlar!$B:$Q,9,0))</f>
        <v>Irak Soft</v>
      </c>
      <c r="S20" s="64">
        <f>IF(B20="","",VLOOKUP(AD20,Varsayımlar!$B:$Q,10,0))</f>
        <v>6</v>
      </c>
      <c r="T20" s="64">
        <f>IF(B20="","",VLOOKUP(AD20,Varsayımlar!$B:$Q,11,0))</f>
        <v>18</v>
      </c>
      <c r="U20" s="64">
        <f>IF(B20="","",VLOOKUP(AD20,Varsayımlar!$B:$Q,12,0))</f>
        <v>390</v>
      </c>
      <c r="V20" s="64" t="str">
        <f>IF(B20="","",VLOOKUP(AD20,Varsayımlar!$B:$Q,13,0))</f>
        <v>YURTDIŞI</v>
      </c>
      <c r="W20" s="64">
        <f>IF(B20="","",VLOOKUP(AD20,Varsayımlar!$B:$Q,14,0))</f>
        <v>9</v>
      </c>
      <c r="X20" s="66">
        <v>46202</v>
      </c>
      <c r="Y20" s="66">
        <v>46475</v>
      </c>
      <c r="Z20" s="64" t="s">
        <v>378</v>
      </c>
      <c r="AA20" s="64" t="str">
        <f>IF(B20="","",VLOOKUP(AD20,Varsayımlar!$B:$Q,15,0))</f>
        <v>25cm Koli-Kazakça Etiketli</v>
      </c>
      <c r="AB20" s="64" t="str">
        <f>IF(B20="","",VLOOKUP(AD20,Varsayımlar!$B:$Q,16,0))</f>
        <v>24-26 cm</v>
      </c>
      <c r="AC20" s="64" t="str">
        <f>IF(B20="","",VLOOKUP(Sayfa1!AD40,Varsayımlar!B:S,18,0))</f>
        <v>80x120cm</v>
      </c>
      <c r="AD20" s="57" t="str">
        <f t="shared" si="0"/>
        <v>UNITERA-KAZAKİSTANTortillas 25cm Tam Buğday 6pcs 390g</v>
      </c>
    </row>
    <row r="21" spans="1:30" ht="31.5" x14ac:dyDescent="0.25">
      <c r="A21" s="8" t="s">
        <v>90</v>
      </c>
      <c r="B21" s="64" t="s">
        <v>288</v>
      </c>
      <c r="C21" s="3">
        <f>IF(B21="","",VLOOKUP(AD21,Varsayımlar!$B:$Q,3,0))</f>
        <v>8698829380698</v>
      </c>
      <c r="D21" s="3"/>
      <c r="E21" s="64" t="s">
        <v>252</v>
      </c>
      <c r="F21" s="64">
        <v>20201016</v>
      </c>
      <c r="G21" s="3" t="s">
        <v>68</v>
      </c>
      <c r="H21" s="64" t="str">
        <f>IF(B21="","",VLOOKUP(AD21,Varsayımlar!$B:$Q,5,0))</f>
        <v>Tortillas 20cm Sade</v>
      </c>
      <c r="I21" s="64" t="str">
        <f>IF(B21="","",VLOOKUP(AD21,Varsayımlar!B:T,19,0))</f>
        <v>Arka kısma İçerik</v>
      </c>
      <c r="J21" s="64" t="str">
        <f>IF(B21="","",VLOOKUP(AD21,Varsayımlar!$B:$Q,6,0))</f>
        <v>SADE</v>
      </c>
      <c r="K21" s="64">
        <v>300</v>
      </c>
      <c r="L21" s="64"/>
      <c r="M21" s="64">
        <f>IFERROR(IF(B21="","",K21/VLOOKUP(AD21,Varsayımlar!B:R,17,0)),"")</f>
        <v>3</v>
      </c>
      <c r="N21" s="64"/>
      <c r="O21" s="64">
        <v>5</v>
      </c>
      <c r="P21" s="64">
        <f>IF(B21="","",VLOOKUP(AD21,Varsayımlar!$B:$Q,7,0)*K21)</f>
        <v>5400</v>
      </c>
      <c r="Q21" s="64">
        <f>IF(B21="","",VLOOKUP(AD21,Varsayımlar!$B:$Q,8,0))</f>
        <v>20</v>
      </c>
      <c r="R21" s="64" t="str">
        <f>IF(B21="","",VLOOKUP(AD21,Varsayımlar!$B:$Q,9,0))</f>
        <v>Irak Soft</v>
      </c>
      <c r="S21" s="64">
        <f>IF(B21="","",VLOOKUP(AD21,Varsayımlar!$B:$Q,10,0))</f>
        <v>6</v>
      </c>
      <c r="T21" s="64">
        <f>IF(B21="","",VLOOKUP(AD21,Varsayımlar!$B:$Q,11,0))</f>
        <v>18</v>
      </c>
      <c r="U21" s="64">
        <f>IF(B21="","",VLOOKUP(AD21,Varsayımlar!$B:$Q,12,0))</f>
        <v>270</v>
      </c>
      <c r="V21" s="64" t="str">
        <f>IF(B21="","",VLOOKUP(AD21,Varsayımlar!$B:$Q,13,0))</f>
        <v>YURTDIŞI</v>
      </c>
      <c r="W21" s="64">
        <f>IF(B21="","",VLOOKUP(AD21,Varsayımlar!$B:$Q,14,0))</f>
        <v>9</v>
      </c>
      <c r="X21" s="66">
        <v>46202</v>
      </c>
      <c r="Y21" s="66">
        <v>46475</v>
      </c>
      <c r="Z21" s="64">
        <v>26062920</v>
      </c>
      <c r="AA21" s="64" t="str">
        <f>IF(B21="","",VLOOKUP(AD21,Varsayımlar!$B:$Q,15,0))</f>
        <v>20cm Koli</v>
      </c>
      <c r="AB21" s="64" t="str">
        <f>IF(B21="","",VLOOKUP(AD21,Varsayımlar!$B:$Q,16,0))</f>
        <v>19-21cm</v>
      </c>
      <c r="AC21" s="64" t="str">
        <f>IF(B21="","",VLOOKUP(Sayfa1!AD41,Varsayımlar!B:S,18,0))</f>
        <v>80x120cm</v>
      </c>
      <c r="AD21" s="57" t="str">
        <f t="shared" si="0"/>
        <v>UNITERA-KAZAKİSTANTortillas 20cm Sade 6pcs 270g</v>
      </c>
    </row>
    <row r="22" spans="1:30" ht="31.5" x14ac:dyDescent="0.25">
      <c r="A22" s="8" t="s">
        <v>93</v>
      </c>
      <c r="B22" s="80" t="s">
        <v>218</v>
      </c>
      <c r="C22" s="44">
        <f>IF(B22="","",VLOOKUP(AD22,Varsayımlar!$B:$Q,3,0))</f>
        <v>8698829380698</v>
      </c>
      <c r="D22" s="44" t="s">
        <v>160</v>
      </c>
      <c r="E22" s="80" t="s">
        <v>229</v>
      </c>
      <c r="F22" s="80">
        <v>26042907</v>
      </c>
      <c r="G22" s="44"/>
      <c r="H22" s="80" t="str">
        <f>IF(B22="","",VLOOKUP(AD22,Varsayımlar!$B:$Q,5,0))</f>
        <v>Tortillas Avrupa 25cm Tam Buğday (711)</v>
      </c>
      <c r="I22" s="80">
        <f>IF(B22="","",VLOOKUP(AD22,Varsayımlar!B:T,19,0))</f>
        <v>0</v>
      </c>
      <c r="J22" s="80" t="str">
        <f>IF(B22="","",VLOOKUP(AD22,Varsayımlar!$B:$Q,6,0))</f>
        <v>Tam Buğdaylı</v>
      </c>
      <c r="K22" s="80">
        <v>840</v>
      </c>
      <c r="L22" s="80"/>
      <c r="M22" s="80">
        <f>IFERROR(IF(B22="","",K22/VLOOKUP(AD22,Varsayımlar!B:R,17,0)),"")</f>
        <v>7</v>
      </c>
      <c r="N22" s="80"/>
      <c r="O22" s="80">
        <v>9</v>
      </c>
      <c r="P22" s="80">
        <f>IF(B22="","",VLOOKUP(AD22,Varsayımlar!$B:$Q,7,0)*K22)</f>
        <v>6720</v>
      </c>
      <c r="Q22" s="80">
        <f>IF(B22="","",VLOOKUP(AD22,Varsayımlar!$B:$Q,8,0))</f>
        <v>25</v>
      </c>
      <c r="R22" s="80" t="str">
        <f>IF(B22="","",VLOOKUP(AD22,Varsayımlar!$B:$Q,9,0))</f>
        <v>Irak Soft</v>
      </c>
      <c r="S22" s="80">
        <f>IF(B22="","",VLOOKUP(AD22,Varsayımlar!$B:$Q,10,0))</f>
        <v>10</v>
      </c>
      <c r="T22" s="80">
        <f>IF(B22="","",VLOOKUP(AD22,Varsayımlar!$B:$Q,11,0))</f>
        <v>8</v>
      </c>
      <c r="U22" s="80">
        <f>IF(B22="","",VLOOKUP(AD22,Varsayımlar!$B:$Q,12,0))</f>
        <v>650</v>
      </c>
      <c r="V22" s="80" t="str">
        <f>IF(B22="","",VLOOKUP(AD22,Varsayımlar!$B:$Q,13,0))</f>
        <v>Yurtdışı</v>
      </c>
      <c r="W22" s="80">
        <f>IF(B22="","",VLOOKUP(AD22,Varsayımlar!$B:$Q,14,0))</f>
        <v>9</v>
      </c>
      <c r="X22" s="81">
        <v>46203</v>
      </c>
      <c r="Y22" s="81">
        <v>46476</v>
      </c>
      <c r="Z22" s="80" t="s">
        <v>379</v>
      </c>
      <c r="AA22" s="80" t="str">
        <f>IF(B22="","",VLOOKUP(AD22,Varsayımlar!$B:$Q,15,0))</f>
        <v>25cm Perforeli-Bulgarca TB etiket</v>
      </c>
      <c r="AB22" s="80" t="str">
        <f>IF(B22="","",VLOOKUP(AD22,Varsayımlar!$B:$Q,16,0))</f>
        <v>24-26 cm</v>
      </c>
      <c r="AC22" s="80" t="str">
        <f>IF(B22="","",VLOOKUP(Sayfa1!AD57,Varsayımlar!B:S,18,0))</f>
        <v>80x120cm -Epal+Epal</v>
      </c>
      <c r="AD22" s="57" t="str">
        <f t="shared" si="0"/>
        <v>TASTE LAND-BULGARİSTANTortillas 25cm Tam Buğday 10pcs 650g</v>
      </c>
    </row>
    <row r="23" spans="1:30" ht="47.25" x14ac:dyDescent="0.25">
      <c r="A23" s="8" t="s">
        <v>135</v>
      </c>
      <c r="B23" s="80" t="s">
        <v>218</v>
      </c>
      <c r="C23" s="44">
        <f>IF(B23="","",VLOOKUP(AD23,Varsayımlar!$B:$Q,3,0))</f>
        <v>8698829380698</v>
      </c>
      <c r="D23" s="44" t="s">
        <v>160</v>
      </c>
      <c r="E23" s="80" t="s">
        <v>232</v>
      </c>
      <c r="F23" s="80">
        <v>26042907</v>
      </c>
      <c r="G23" s="44"/>
      <c r="H23" s="80" t="str">
        <f>IF(B23="","",VLOOKUP(AD23,Varsayımlar!$B:$Q,5,0))</f>
        <v>Tortillas Avrupa 25cm Domatesli (074)</v>
      </c>
      <c r="I23" s="80">
        <f>IF(B23="","",VLOOKUP(AD23,Varsayımlar!B:T,19,0))</f>
        <v>0</v>
      </c>
      <c r="J23" s="80" t="str">
        <f>IF(B23="","",VLOOKUP(AD23,Varsayımlar!$B:$Q,6,0))</f>
        <v>Domatesli</v>
      </c>
      <c r="K23" s="80">
        <v>480</v>
      </c>
      <c r="L23" s="80"/>
      <c r="M23" s="80">
        <f>IFERROR(IF(B23="","",K23/VLOOKUP(AD23,Varsayımlar!B:R,17,0)),"")</f>
        <v>4</v>
      </c>
      <c r="N23" s="80"/>
      <c r="O23" s="80">
        <v>5</v>
      </c>
      <c r="P23" s="80">
        <f>IF(B23="","",VLOOKUP(AD23,Varsayımlar!$B:$Q,7,0)*K23)</f>
        <v>5760</v>
      </c>
      <c r="Q23" s="80">
        <f>IF(B23="","",VLOOKUP(AD23,Varsayımlar!$B:$Q,8,0))</f>
        <v>25</v>
      </c>
      <c r="R23" s="80" t="str">
        <f>IF(B23="","",VLOOKUP(AD23,Varsayımlar!$B:$Q,9,0))</f>
        <v>Irak Soft</v>
      </c>
      <c r="S23" s="80">
        <f>IF(B23="","",VLOOKUP(AD23,Varsayımlar!$B:$Q,10,0))</f>
        <v>6</v>
      </c>
      <c r="T23" s="80">
        <f>IF(B23="","",VLOOKUP(AD23,Varsayımlar!$B:$Q,11,0))</f>
        <v>12</v>
      </c>
      <c r="U23" s="80">
        <f>IF(B23="","",VLOOKUP(AD23,Varsayımlar!$B:$Q,12,0))</f>
        <v>390</v>
      </c>
      <c r="V23" s="80" t="str">
        <f>IF(B23="","",VLOOKUP(AD23,Varsayımlar!$B:$Q,13,0))</f>
        <v>Yurtdışı</v>
      </c>
      <c r="W23" s="80">
        <f>IF(B23="","",VLOOKUP(AD23,Varsayımlar!$B:$Q,14,0))</f>
        <v>9</v>
      </c>
      <c r="X23" s="81">
        <v>46203</v>
      </c>
      <c r="Y23" s="81">
        <v>46476</v>
      </c>
      <c r="Z23" s="80" t="s">
        <v>380</v>
      </c>
      <c r="AA23" s="80" t="str">
        <f>IF(B23="","",VLOOKUP(AD23,Varsayımlar!$B:$Q,15,0))</f>
        <v>25cm Perforeli-Bulgarca Domatesli etiket</v>
      </c>
      <c r="AB23" s="80" t="str">
        <f>IF(B23="","",VLOOKUP(AD23,Varsayımlar!$B:$Q,16,0))</f>
        <v>24-26 cm</v>
      </c>
      <c r="AC23" s="80" t="str">
        <f>IF(B23="","",VLOOKUP(Sayfa1!AD58,Varsayımlar!B:S,18,0))</f>
        <v>80x120cm -Epal+Epal</v>
      </c>
      <c r="AD23" s="57" t="str">
        <f t="shared" si="0"/>
        <v>TASTE LAND-BULGARİSTANTortillas 25cm Domatesli 6pcs 390g</v>
      </c>
    </row>
    <row r="24" spans="1:30" ht="47.25" x14ac:dyDescent="0.25">
      <c r="A24" s="8" t="s">
        <v>136</v>
      </c>
      <c r="B24" s="80" t="s">
        <v>218</v>
      </c>
      <c r="C24" s="44">
        <f>IF(B24="","",VLOOKUP(AD24,Varsayımlar!$B:$Q,3,0))</f>
        <v>8698829380698</v>
      </c>
      <c r="D24" s="44" t="s">
        <v>160</v>
      </c>
      <c r="E24" s="80" t="s">
        <v>235</v>
      </c>
      <c r="F24" s="80">
        <v>26042907</v>
      </c>
      <c r="G24" s="44"/>
      <c r="H24" s="80" t="str">
        <f>IF(B24="","",VLOOKUP(AD24,Varsayımlar!$B:$Q,5,0))</f>
        <v>Tortillas Avrupa 25cm Ispanaklı (081)</v>
      </c>
      <c r="I24" s="80">
        <f>IF(B24="","",VLOOKUP(AD24,Varsayımlar!B:T,19,0))</f>
        <v>0</v>
      </c>
      <c r="J24" s="80" t="str">
        <f>IF(B24="","",VLOOKUP(AD24,Varsayımlar!$B:$Q,6,0))</f>
        <v>Ispanaklı</v>
      </c>
      <c r="K24" s="80">
        <v>480</v>
      </c>
      <c r="L24" s="80"/>
      <c r="M24" s="80">
        <f>IFERROR(IF(B24="","",K24/VLOOKUP(AD24,Varsayımlar!B:R,17,0)),"")</f>
        <v>4</v>
      </c>
      <c r="N24" s="80"/>
      <c r="O24" s="80">
        <v>5</v>
      </c>
      <c r="P24" s="80">
        <f>IF(B24="","",VLOOKUP(AD24,Varsayımlar!$B:$Q,7,0)*K24)</f>
        <v>5760</v>
      </c>
      <c r="Q24" s="80">
        <f>IF(B24="","",VLOOKUP(AD24,Varsayımlar!$B:$Q,8,0))</f>
        <v>25</v>
      </c>
      <c r="R24" s="80" t="str">
        <f>IF(B24="","",VLOOKUP(AD24,Varsayımlar!$B:$Q,9,0))</f>
        <v>Irak Soft</v>
      </c>
      <c r="S24" s="80">
        <f>IF(B24="","",VLOOKUP(AD24,Varsayımlar!$B:$Q,10,0))</f>
        <v>6</v>
      </c>
      <c r="T24" s="80">
        <f>IF(B24="","",VLOOKUP(AD24,Varsayımlar!$B:$Q,11,0))</f>
        <v>12</v>
      </c>
      <c r="U24" s="80">
        <f>IF(B24="","",VLOOKUP(AD24,Varsayımlar!$B:$Q,12,0))</f>
        <v>390</v>
      </c>
      <c r="V24" s="80" t="str">
        <f>IF(B24="","",VLOOKUP(AD24,Varsayımlar!$B:$Q,13,0))</f>
        <v>Yurtdışı</v>
      </c>
      <c r="W24" s="80">
        <f>IF(B24="","",VLOOKUP(AD24,Varsayımlar!$B:$Q,14,0))</f>
        <v>9</v>
      </c>
      <c r="X24" s="81">
        <v>46203</v>
      </c>
      <c r="Y24" s="81">
        <v>46476</v>
      </c>
      <c r="Z24" s="80" t="s">
        <v>381</v>
      </c>
      <c r="AA24" s="80" t="str">
        <f>IF(B24="","",VLOOKUP(AD24,Varsayımlar!$B:$Q,15,0))</f>
        <v>25cm Perforeli-Bulgarca Ispanaklı etiket</v>
      </c>
      <c r="AB24" s="80" t="str">
        <f>IF(B24="","",VLOOKUP(AD24,Varsayımlar!$B:$Q,16,0))</f>
        <v>24-26 cm</v>
      </c>
      <c r="AC24" s="80" t="str">
        <f>IF(B24="","",VLOOKUP(Sayfa1!AD59,Varsayımlar!B:S,18,0))</f>
        <v>80x120cm -Epal+Epal</v>
      </c>
      <c r="AD24" s="57" t="str">
        <f t="shared" si="0"/>
        <v>TASTE LAND-BULGARİSTANTortillas 25cm Ispanaklı 6pcs 390g</v>
      </c>
    </row>
    <row r="25" spans="1:30" ht="47.25" x14ac:dyDescent="0.25">
      <c r="A25" s="8" t="s">
        <v>137</v>
      </c>
      <c r="B25" s="80" t="s">
        <v>218</v>
      </c>
      <c r="C25" s="44">
        <f>IF(B25="","",VLOOKUP(AD25,Varsayımlar!$B:$Q,3,0))</f>
        <v>8698829380698</v>
      </c>
      <c r="D25" s="44" t="s">
        <v>160</v>
      </c>
      <c r="E25" s="80" t="s">
        <v>240</v>
      </c>
      <c r="F25" s="80">
        <v>26042907</v>
      </c>
      <c r="G25" s="44"/>
      <c r="H25" s="80" t="str">
        <f>IF(B25="","",VLOOKUP(AD25,Varsayımlar!$B:$Q,5,0))</f>
        <v>Tortillas Avrupa 25cm Peynirli (098)</v>
      </c>
      <c r="I25" s="80">
        <f>IF(B25="","",VLOOKUP(AD25,Varsayımlar!B:T,19,0))</f>
        <v>0</v>
      </c>
      <c r="J25" s="80" t="str">
        <f>IF(B25="","",VLOOKUP(AD25,Varsayımlar!$B:$Q,6,0))</f>
        <v>Peynirli</v>
      </c>
      <c r="K25" s="80">
        <v>360</v>
      </c>
      <c r="L25" s="80"/>
      <c r="M25" s="80">
        <f>IFERROR(IF(B25="","",K25/VLOOKUP(AD25,Varsayımlar!B:R,17,0)),"")</f>
        <v>3</v>
      </c>
      <c r="N25" s="80"/>
      <c r="O25" s="80">
        <v>4</v>
      </c>
      <c r="P25" s="80">
        <f>IF(B25="","",VLOOKUP(AD25,Varsayımlar!$B:$Q,7,0)*K25)</f>
        <v>4320</v>
      </c>
      <c r="Q25" s="80">
        <f>IF(B25="","",VLOOKUP(AD25,Varsayımlar!$B:$Q,8,0))</f>
        <v>25</v>
      </c>
      <c r="R25" s="80" t="str">
        <f>IF(B25="","",VLOOKUP(AD25,Varsayımlar!$B:$Q,9,0))</f>
        <v>Irak Soft-AT</v>
      </c>
      <c r="S25" s="80">
        <f>IF(B25="","",VLOOKUP(AD25,Varsayımlar!$B:$Q,10,0))</f>
        <v>6</v>
      </c>
      <c r="T25" s="80">
        <f>IF(B25="","",VLOOKUP(AD25,Varsayımlar!$B:$Q,11,0))</f>
        <v>12</v>
      </c>
      <c r="U25" s="80">
        <f>IF(B25="","",VLOOKUP(AD25,Varsayımlar!$B:$Q,12,0))</f>
        <v>390</v>
      </c>
      <c r="V25" s="80" t="str">
        <f>IF(B25="","",VLOOKUP(AD25,Varsayımlar!$B:$Q,13,0))</f>
        <v>Yurtdışı</v>
      </c>
      <c r="W25" s="80">
        <f>IF(B25="","",VLOOKUP(AD25,Varsayımlar!$B:$Q,14,0))</f>
        <v>9</v>
      </c>
      <c r="X25" s="81">
        <v>46203</v>
      </c>
      <c r="Y25" s="81">
        <v>46476</v>
      </c>
      <c r="Z25" s="80" t="s">
        <v>382</v>
      </c>
      <c r="AA25" s="80" t="str">
        <f>IF(B25="","",VLOOKUP(AD25,Varsayımlar!$B:$Q,15,0))</f>
        <v>25cm Perforeli-Bulgarca Peynirli etiket</v>
      </c>
      <c r="AB25" s="80" t="str">
        <f>IF(B25="","",VLOOKUP(AD25,Varsayımlar!$B:$Q,16,0))</f>
        <v>24-26 cm</v>
      </c>
      <c r="AC25" s="80" t="str">
        <f>IF(B25="","",VLOOKUP(Sayfa1!AD60,Varsayımlar!B:S,18,0))</f>
        <v>80x120cm -Epal+Epal</v>
      </c>
      <c r="AD25" s="57" t="str">
        <f t="shared" si="0"/>
        <v>TASTE LAND-BULGARİSTANTortillas 25cm Peynirli 6pcs 390g</v>
      </c>
    </row>
    <row r="26" spans="1:30" ht="47.25" x14ac:dyDescent="0.25">
      <c r="A26" s="8" t="s">
        <v>138</v>
      </c>
      <c r="B26" s="54" t="s">
        <v>268</v>
      </c>
      <c r="C26" s="39">
        <f>IF(B26="","",VLOOKUP(AD26,Varsayımlar!$B:$Q,3,0))</f>
        <v>8698829380698</v>
      </c>
      <c r="D26" s="39" t="s">
        <v>160</v>
      </c>
      <c r="E26" s="54" t="s">
        <v>269</v>
      </c>
      <c r="F26" s="54" t="s">
        <v>343</v>
      </c>
      <c r="G26" s="39" t="s">
        <v>68</v>
      </c>
      <c r="H26" s="54" t="str">
        <f>IF(B26="","",VLOOKUP(AD26,Varsayımlar!$B:$Q,5,0))</f>
        <v>Tortillas 25cm Tam Buğday</v>
      </c>
      <c r="I26" s="54">
        <f>IF(B26="","",VLOOKUP(AD26,Varsayımlar!B:T,19,0))</f>
        <v>0</v>
      </c>
      <c r="J26" s="54" t="str">
        <f>IF(B26="","",VLOOKUP(AD26,Varsayımlar!$B:$Q,6,0))</f>
        <v>Tam Buğdaylı</v>
      </c>
      <c r="K26" s="54">
        <v>336</v>
      </c>
      <c r="L26" s="54"/>
      <c r="M26" s="54">
        <f>IFERROR(IF(B26="","",K26/VLOOKUP(AD26,Varsayımlar!B:R,17,0)),"")</f>
        <v>4</v>
      </c>
      <c r="N26" s="54"/>
      <c r="O26" s="54">
        <v>6</v>
      </c>
      <c r="P26" s="54">
        <f>IF(B26="","",VLOOKUP(AD26,Varsayımlar!$B:$Q,7,0)*K26)</f>
        <v>10080</v>
      </c>
      <c r="Q26" s="54">
        <f>IF(B26="","",VLOOKUP(AD26,Varsayımlar!$B:$Q,8,0))</f>
        <v>25</v>
      </c>
      <c r="R26" s="54" t="str">
        <f>IF(B26="","",VLOOKUP(AD26,Varsayımlar!$B:$Q,9,0))</f>
        <v>Soft-PA3</v>
      </c>
      <c r="S26" s="54">
        <f>IF(B26="","",VLOOKUP(AD26,Varsayımlar!$B:$Q,10,0))</f>
        <v>4</v>
      </c>
      <c r="T26" s="54">
        <f>IF(B26="","",VLOOKUP(AD26,Varsayımlar!$B:$Q,11,0))</f>
        <v>30</v>
      </c>
      <c r="U26" s="54">
        <f>IF(B26="","",VLOOKUP(AD26,Varsayımlar!$B:$Q,12,0))</f>
        <v>240</v>
      </c>
      <c r="V26" s="54" t="str">
        <f>IF(B26="","",VLOOKUP(AD26,Varsayımlar!$B:$Q,13,0))</f>
        <v>Yurtdışı</v>
      </c>
      <c r="W26" s="54">
        <f>IF(B26="","",VLOOKUP(AD26,Varsayımlar!$B:$Q,14,0))</f>
        <v>12</v>
      </c>
      <c r="X26" s="56">
        <v>46205</v>
      </c>
      <c r="Y26" s="56">
        <v>46570</v>
      </c>
      <c r="Z26" s="54" t="s">
        <v>383</v>
      </c>
      <c r="AA26" s="54" t="str">
        <f>IF(B26="","",VLOOKUP(AD26,Varsayımlar!$B:$Q,15,0))</f>
        <v>25cm Kolisi-Etiketli</v>
      </c>
      <c r="AB26" s="54" t="str">
        <f>IF(B26="","",VLOOKUP(AD26,Varsayımlar!$B:$Q,16,0))</f>
        <v>24-26 cm (Macca Hetto Inkjet Uzun Tarih)</v>
      </c>
      <c r="AC26" s="54" t="str">
        <f>IF(B26="","",VLOOKUP(Sayfa1!AD36,Varsayımlar!B:S,18,0))</f>
        <v>80x120cm</v>
      </c>
      <c r="AD26" s="57" t="str">
        <f t="shared" si="0"/>
        <v>LAIKYUZHN-BELARUSTortillas 25cm Tam buğday 4pcs 240g</v>
      </c>
    </row>
    <row r="27" spans="1:30" ht="47.25" x14ac:dyDescent="0.25">
      <c r="A27" s="8" t="s">
        <v>139</v>
      </c>
      <c r="B27" s="54" t="s">
        <v>268</v>
      </c>
      <c r="C27" s="39">
        <f>IF(B27="","",VLOOKUP(AD27,Varsayımlar!$B:$Q,3,0))</f>
        <v>8698829380698</v>
      </c>
      <c r="D27" s="39" t="s">
        <v>160</v>
      </c>
      <c r="E27" s="54" t="s">
        <v>274</v>
      </c>
      <c r="F27" s="54" t="s">
        <v>343</v>
      </c>
      <c r="G27" s="39" t="s">
        <v>68</v>
      </c>
      <c r="H27" s="54" t="str">
        <f>IF(B27="","",VLOOKUP(AD27,Varsayımlar!$B:$Q,5,0))</f>
        <v>Tortillas 25cm Domatesli</v>
      </c>
      <c r="I27" s="54">
        <f>IF(B27="","",VLOOKUP(AD27,Varsayımlar!B:T,19,0))</f>
        <v>0</v>
      </c>
      <c r="J27" s="54" t="str">
        <f>IF(B27="","",VLOOKUP(AD27,Varsayımlar!$B:$Q,6,0))</f>
        <v>Domatesli</v>
      </c>
      <c r="K27" s="54">
        <v>420</v>
      </c>
      <c r="L27" s="54"/>
      <c r="M27" s="54">
        <f>IFERROR(IF(B27="","",K27/VLOOKUP(AD27,Varsayımlar!B:R,17,0)),"")</f>
        <v>5</v>
      </c>
      <c r="N27" s="54"/>
      <c r="O27" s="54">
        <v>7</v>
      </c>
      <c r="P27" s="54">
        <f>IF(B27="","",VLOOKUP(AD27,Varsayımlar!$B:$Q,7,0)*K27)</f>
        <v>12600</v>
      </c>
      <c r="Q27" s="54">
        <f>IF(B27="","",VLOOKUP(AD27,Varsayımlar!$B:$Q,8,0))</f>
        <v>25</v>
      </c>
      <c r="R27" s="54" t="str">
        <f>IF(B27="","",VLOOKUP(AD27,Varsayımlar!$B:$Q,9,0))</f>
        <v>Soft-PA3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240</v>
      </c>
      <c r="V27" s="54" t="str">
        <f>IF(B27="","",VLOOKUP(AD27,Varsayımlar!$B:$Q,13,0))</f>
        <v>Yurtdışı</v>
      </c>
      <c r="W27" s="54">
        <f>IF(B27="","",VLOOKUP(AD27,Varsayımlar!$B:$Q,14,0))</f>
        <v>12</v>
      </c>
      <c r="X27" s="56">
        <v>46205</v>
      </c>
      <c r="Y27" s="56">
        <v>46570</v>
      </c>
      <c r="Z27" s="54" t="s">
        <v>384</v>
      </c>
      <c r="AA27" s="54" t="str">
        <f>IF(B27="","",VLOOKUP(AD27,Varsayımlar!$B:$Q,15,0))</f>
        <v>25cm Kolisi-Etiketli</v>
      </c>
      <c r="AB27" s="54" t="str">
        <f>IF(B27="","",VLOOKUP(AD27,Varsayımlar!$B:$Q,16,0))</f>
        <v>24-26 cm (Macca Hetto Inkjet Uzun Tarih)</v>
      </c>
      <c r="AC27" s="54" t="str">
        <f>IF(B27="","",VLOOKUP(Sayfa1!AD37,Varsayımlar!B:S,18,0))</f>
        <v>80x120cm</v>
      </c>
      <c r="AD27" s="57" t="str">
        <f t="shared" si="0"/>
        <v>LAIKYUZHN-BELARUSTortillas 25cm Domatesli 4pcs 240g</v>
      </c>
    </row>
    <row r="28" spans="1:30" ht="47.25" x14ac:dyDescent="0.25">
      <c r="A28" s="8" t="s">
        <v>140</v>
      </c>
      <c r="B28" s="54" t="s">
        <v>268</v>
      </c>
      <c r="C28" s="39">
        <f>IF(B28="","",VLOOKUP(AD28,Varsayımlar!$B:$Q,3,0))</f>
        <v>8698829380698</v>
      </c>
      <c r="D28" s="39" t="s">
        <v>160</v>
      </c>
      <c r="E28" s="54" t="s">
        <v>276</v>
      </c>
      <c r="F28" s="54" t="s">
        <v>343</v>
      </c>
      <c r="G28" s="39" t="s">
        <v>68</v>
      </c>
      <c r="H28" s="54" t="str">
        <f>IF(B28="","",VLOOKUP(AD28,Varsayımlar!$B:$Q,5,0))</f>
        <v>Tortillas 25cm Ispanaklı</v>
      </c>
      <c r="I28" s="54">
        <f>IF(B28="","",VLOOKUP(AD28,Varsayımlar!B:T,19,0))</f>
        <v>0</v>
      </c>
      <c r="J28" s="54" t="str">
        <f>IF(B28="","",VLOOKUP(AD28,Varsayımlar!$B:$Q,6,0))</f>
        <v>Ispanaklı</v>
      </c>
      <c r="K28" s="54">
        <v>336</v>
      </c>
      <c r="L28" s="54"/>
      <c r="M28" s="54">
        <f>IFERROR(IF(B28="","",K28/VLOOKUP(AD28,Varsayımlar!B:R,17,0)),"")</f>
        <v>4</v>
      </c>
      <c r="N28" s="54"/>
      <c r="O28" s="54">
        <v>6</v>
      </c>
      <c r="P28" s="54">
        <f>IF(B28="","",VLOOKUP(AD28,Varsayımlar!$B:$Q,7,0)*K28)</f>
        <v>10080</v>
      </c>
      <c r="Q28" s="54">
        <f>IF(B28="","",VLOOKUP(AD28,Varsayımlar!$B:$Q,8,0))</f>
        <v>25</v>
      </c>
      <c r="R28" s="54" t="str">
        <f>IF(B28="","",VLOOKUP(AD28,Varsayımlar!$B:$Q,9,0))</f>
        <v>Soft-PA3</v>
      </c>
      <c r="S28" s="54">
        <f>IF(B28="","",VLOOKUP(AD28,Varsayımlar!$B:$Q,10,0))</f>
        <v>4</v>
      </c>
      <c r="T28" s="54">
        <f>IF(B28="","",VLOOKUP(AD28,Varsayımlar!$B:$Q,11,0))</f>
        <v>30</v>
      </c>
      <c r="U28" s="54">
        <f>IF(B28="","",VLOOKUP(AD28,Varsayımlar!$B:$Q,12,0))</f>
        <v>240</v>
      </c>
      <c r="V28" s="54" t="str">
        <f>IF(B28="","",VLOOKUP(AD28,Varsayımlar!$B:$Q,13,0))</f>
        <v>Yurtdışı</v>
      </c>
      <c r="W28" s="54">
        <f>IF(B28="","",VLOOKUP(AD28,Varsayımlar!$B:$Q,14,0))</f>
        <v>12</v>
      </c>
      <c r="X28" s="56">
        <v>46205</v>
      </c>
      <c r="Y28" s="56">
        <v>46570</v>
      </c>
      <c r="Z28" s="54" t="s">
        <v>385</v>
      </c>
      <c r="AA28" s="54" t="str">
        <f>IF(B28="","",VLOOKUP(AD28,Varsayımlar!$B:$Q,15,0))</f>
        <v>25cm Kolisi-Etiketli</v>
      </c>
      <c r="AB28" s="54" t="str">
        <f>IF(B28="","",VLOOKUP(AD28,Varsayımlar!$B:$Q,16,0))</f>
        <v>24-26 cm (Macca Hetto Inkjet Uzun Tarih)</v>
      </c>
      <c r="AC28" s="54" t="str">
        <f>IF(B28="","",VLOOKUP(Sayfa1!AD38,Varsayımlar!B:S,18,0))</f>
        <v>80x120cm</v>
      </c>
      <c r="AD28" s="57" t="str">
        <f t="shared" si="0"/>
        <v>LAIKYUZHN-BELARUSTortillas 25cm Ispanaklı 4pcs 240g</v>
      </c>
    </row>
    <row r="29" spans="1:30" ht="47.25" x14ac:dyDescent="0.25">
      <c r="A29" s="8" t="s">
        <v>141</v>
      </c>
      <c r="B29" s="54" t="s">
        <v>268</v>
      </c>
      <c r="C29" s="39">
        <f>IF(B29="","",VLOOKUP(AD29,Varsayımlar!$B:$Q,3,0))</f>
        <v>8698829380698</v>
      </c>
      <c r="D29" s="39" t="s">
        <v>160</v>
      </c>
      <c r="E29" s="54" t="s">
        <v>278</v>
      </c>
      <c r="F29" s="54" t="s">
        <v>343</v>
      </c>
      <c r="G29" s="39" t="s">
        <v>68</v>
      </c>
      <c r="H29" s="54" t="str">
        <f>IF(B29="","",VLOOKUP(AD29,Varsayımlar!$B:$Q,5,0))</f>
        <v>Magnit Tortillas 25cm Peynirli</v>
      </c>
      <c r="I29" s="54" t="str">
        <f>IF(B29="","",VLOOKUP(AD29,Varsayımlar!B:T,19,0))</f>
        <v>Etiketli</v>
      </c>
      <c r="J29" s="54" t="str">
        <f>IF(B29="","",VLOOKUP(AD29,Varsayımlar!$B:$Q,6,0))</f>
        <v>Peynirli</v>
      </c>
      <c r="K29" s="54">
        <v>504</v>
      </c>
      <c r="L29" s="54"/>
      <c r="M29" s="54">
        <f>IFERROR(IF(B29="","",K29/VLOOKUP(AD29,Varsayımlar!B:R,17,0)),"")</f>
        <v>6</v>
      </c>
      <c r="N29" s="54"/>
      <c r="O29" s="54">
        <v>9</v>
      </c>
      <c r="P29" s="54">
        <f>IF(B29="","",VLOOKUP(AD29,Varsayımlar!$B:$Q,7,0)*K29)</f>
        <v>15120</v>
      </c>
      <c r="Q29" s="54">
        <f>IF(B29="","",VLOOKUP(AD29,Varsayımlar!$B:$Q,8,0))</f>
        <v>25</v>
      </c>
      <c r="R29" s="54" t="str">
        <f>IF(B29="","",VLOOKUP(AD29,Varsayımlar!$B:$Q,9,0))</f>
        <v>Soft-PA3-AT</v>
      </c>
      <c r="S29" s="54">
        <f>IF(B29="","",VLOOKUP(AD29,Varsayımlar!$B:$Q,10,0))</f>
        <v>4</v>
      </c>
      <c r="T29" s="54">
        <f>IF(B29="","",VLOOKUP(AD29,Varsayımlar!$B:$Q,11,0))</f>
        <v>30</v>
      </c>
      <c r="U29" s="54">
        <f>IF(B29="","",VLOOKUP(AD29,Varsayımlar!$B:$Q,12,0))</f>
        <v>250</v>
      </c>
      <c r="V29" s="54" t="str">
        <f>IF(B29="","",VLOOKUP(AD29,Varsayımlar!$B:$Q,13,0))</f>
        <v>Yurtdışı</v>
      </c>
      <c r="W29" s="54">
        <f>IF(B29="","",VLOOKUP(AD29,Varsayımlar!$B:$Q,14,0))</f>
        <v>9</v>
      </c>
      <c r="X29" s="56">
        <v>46205</v>
      </c>
      <c r="Y29" s="56">
        <v>46479</v>
      </c>
      <c r="Z29" s="54" t="s">
        <v>386</v>
      </c>
      <c r="AA29" s="54" t="str">
        <f>IF(B29="","",VLOOKUP(AD29,Varsayımlar!$B:$Q,15,0))</f>
        <v>25cm Kolisi-Etiketli</v>
      </c>
      <c r="AB29" s="54" t="str">
        <f>IF(B29="","",VLOOKUP(AD29,Varsayımlar!$B:$Q,16,0))</f>
        <v>24-26 cm (Macca Hetto Inkjet Uzun Tarih)</v>
      </c>
      <c r="AC29" s="54" t="str">
        <f>IF(B29="","",VLOOKUP(Sayfa1!AD39,Varsayımlar!B:S,18,0))</f>
        <v>80x120cm</v>
      </c>
      <c r="AD29" s="57" t="str">
        <f t="shared" si="0"/>
        <v>LAIKYUZHN-BELARUSMagnit Tortillas 25cm Peynirli 4pcs 240g</v>
      </c>
    </row>
    <row r="30" spans="1:30" ht="45.75" customHeight="1" x14ac:dyDescent="0.25">
      <c r="A30" s="8" t="s">
        <v>26</v>
      </c>
      <c r="B30" s="130" t="s">
        <v>119</v>
      </c>
      <c r="C30" s="131">
        <f>IF(B30="","",VLOOKUP(AD30,Varsayımlar!$B:$Q,3,0))</f>
        <v>8698829380698</v>
      </c>
      <c r="D30" s="131"/>
      <c r="E30" s="132" t="s">
        <v>120</v>
      </c>
      <c r="F30" s="130"/>
      <c r="G30" s="130"/>
      <c r="H30" s="130" t="str">
        <f>IF(B30="","",VLOOKUP(AD30,Varsayımlar!$B:$Q,5,0))</f>
        <v>Nimet 25 cm</v>
      </c>
      <c r="I30" s="130"/>
      <c r="J30" s="130" t="str">
        <f>IF(B30="","",VLOOKUP(AD30,Varsayımlar!$B:$Q,6,0))</f>
        <v>SADE</v>
      </c>
      <c r="K30" s="130">
        <v>5000</v>
      </c>
      <c r="L30" s="130"/>
      <c r="M30" s="130">
        <f>IFERROR(IF(B30="","",K30/VLOOKUP(AD30,Varsayımlar!B:R,17,0)),"")</f>
        <v>100</v>
      </c>
      <c r="N30" s="130"/>
      <c r="O30" s="130">
        <v>100</v>
      </c>
      <c r="P30" s="130">
        <f>IF(B30="","",VLOOKUP(AD30,Varsayımlar!$B:$Q,7,0)*K30)</f>
        <v>60000</v>
      </c>
      <c r="Q30" s="130">
        <f>IF(B30="","",VLOOKUP(AD30,Varsayımlar!$B:$Q,8,0))</f>
        <v>25</v>
      </c>
      <c r="R30" s="130" t="str">
        <f>IF(B30="","",VLOOKUP(AD30,Varsayımlar!$B:$Q,9,0))</f>
        <v>Standart</v>
      </c>
      <c r="S30" s="130">
        <f>IF(B30="","",VLOOKUP(AD30,Varsayımlar!$B:$Q,10,0))</f>
        <v>12</v>
      </c>
      <c r="T30" s="130">
        <f>IF(B30="","",VLOOKUP(AD30,Varsayımlar!$B:$Q,11,0))</f>
        <v>12</v>
      </c>
      <c r="U30" s="130">
        <f>IF(B30="","",VLOOKUP(AD30,Varsayımlar!$B:$Q,12,0))</f>
        <v>840</v>
      </c>
      <c r="V30" s="130" t="str">
        <f>IF(B30="","",VLOOKUP(AD30,Varsayımlar!$B:$Q,13,0))</f>
        <v>YURTİÇİ</v>
      </c>
      <c r="W30" s="130">
        <f>IF(B30="","",VLOOKUP(AD30,Varsayımlar!$B:$Q,14,0))</f>
        <v>5</v>
      </c>
      <c r="X30" s="133" t="s">
        <v>113</v>
      </c>
      <c r="Y30" s="133" t="s">
        <v>113</v>
      </c>
      <c r="Z30" s="130" t="s">
        <v>113</v>
      </c>
      <c r="AA30" s="130" t="str">
        <f>IF(B30="","",VLOOKUP(AD30,Varsayımlar!$B:$Q,15,0))</f>
        <v>Nimet Kolisi</v>
      </c>
      <c r="AB30" s="130" t="str">
        <f>IF(B30="","",VLOOKUP(AD30,Varsayımlar!$B:$Q,16,0))</f>
        <v>24-26 CM</v>
      </c>
      <c r="AC30" s="64" t="s">
        <v>360</v>
      </c>
      <c r="AD30" s="57" t="str">
        <f>IF(B30="","",CONCATENATE(B30,E30))</f>
        <v>A101Nimet 25cm 12 pcs 840g</v>
      </c>
    </row>
    <row r="31" spans="1:30" ht="47.25" x14ac:dyDescent="0.25">
      <c r="A31" s="8" t="s">
        <v>142</v>
      </c>
      <c r="B31" s="75" t="s">
        <v>218</v>
      </c>
      <c r="C31" s="43">
        <f>IF(B31="","",VLOOKUP(AD31,Varsayımlar!$B:$Q,3,0))</f>
        <v>8698829380698</v>
      </c>
      <c r="D31" s="43" t="s">
        <v>161</v>
      </c>
      <c r="E31" s="75" t="s">
        <v>252</v>
      </c>
      <c r="F31" s="75" t="s">
        <v>341</v>
      </c>
      <c r="G31" s="43"/>
      <c r="H31" s="75" t="str">
        <f>IF(B31="","",VLOOKUP(AD31,Varsayımlar!$B:$Q,5,0))</f>
        <v xml:space="preserve">Tortillas 20cm Sade </v>
      </c>
      <c r="I31" s="75" t="str">
        <f>IF(B31="","",VLOOKUP(AD31,Varsayımlar!B:T,19,0))</f>
        <v>Barkod üzerine Barkod Etiketi (104)</v>
      </c>
      <c r="J31" s="75" t="str">
        <f>IF(B31="","",VLOOKUP(AD31,Varsayımlar!$B:$Q,6,0))</f>
        <v>SADE</v>
      </c>
      <c r="K31" s="75">
        <v>120</v>
      </c>
      <c r="L31" s="75"/>
      <c r="M31" s="75">
        <f>IFERROR(IF(B31="","",K31/VLOOKUP(AD31,Varsayımlar!B:R,17,0)),"")</f>
        <v>1</v>
      </c>
      <c r="N31" s="75"/>
      <c r="O31" s="75">
        <v>2</v>
      </c>
      <c r="P31" s="75">
        <f>IF(B31="","",VLOOKUP(AD31,Varsayımlar!$B:$Q,7,0)*K31)</f>
        <v>2160</v>
      </c>
      <c r="Q31" s="75">
        <f>IF(B31="","",VLOOKUP(AD31,Varsayımlar!$B:$Q,8,0))</f>
        <v>20</v>
      </c>
      <c r="R31" s="75" t="str">
        <f>IF(B31="","",VLOOKUP(AD31,Varsayımlar!$B:$Q,9,0))</f>
        <v>Irak Soft</v>
      </c>
      <c r="S31" s="75">
        <f>IF(B31="","",VLOOKUP(AD31,Varsayımlar!$B:$Q,10,0))</f>
        <v>6</v>
      </c>
      <c r="T31" s="75">
        <f>IF(B31="","",VLOOKUP(AD31,Varsayımlar!$B:$Q,11,0))</f>
        <v>18</v>
      </c>
      <c r="U31" s="75">
        <f>IF(B31="","",VLOOKUP(AD31,Varsayımlar!$B:$Q,12,0))</f>
        <v>270</v>
      </c>
      <c r="V31" s="75" t="str">
        <f>IF(B31="","",VLOOKUP(AD31,Varsayımlar!$B:$Q,13,0))</f>
        <v>Yurtdışı</v>
      </c>
      <c r="W31" s="75">
        <f>IF(B31="","",VLOOKUP(AD31,Varsayımlar!$B:$Q,14,0))</f>
        <v>9</v>
      </c>
      <c r="X31" s="76">
        <v>46213</v>
      </c>
      <c r="Y31" s="76">
        <v>46487</v>
      </c>
      <c r="Z31" s="75">
        <v>26071020</v>
      </c>
      <c r="AA31" s="75" t="str">
        <f>IF(B31="","",VLOOKUP(AD31,Varsayımlar!$B:$Q,15,0))</f>
        <v>20cm Lacivert-Bulgarca Etiket</v>
      </c>
      <c r="AB31" s="75" t="str">
        <f>IF(B31="","",VLOOKUP(AD31,Varsayımlar!$B:$Q,16,0))</f>
        <v>19-21 cm</v>
      </c>
      <c r="AC31" s="75" t="str">
        <f>IF(B31="","",VLOOKUP(Sayfa1!AD21,Varsayımlar!B:S,18,0))</f>
        <v>100x120cm-Epal+Epal</v>
      </c>
      <c r="AD31" s="57" t="str">
        <f t="shared" si="0"/>
        <v>TASTE LAND-BULGARİSTANTortillas 20cm Sade 6pcs 270g</v>
      </c>
    </row>
    <row r="32" spans="1:30" ht="78.75" x14ac:dyDescent="0.25">
      <c r="A32" s="8" t="s">
        <v>143</v>
      </c>
      <c r="B32" s="75" t="s">
        <v>218</v>
      </c>
      <c r="C32" s="43">
        <f>IF(B32="","",VLOOKUP(AD32,Varsayımlar!$B:$Q,3,0))</f>
        <v>8698829380698</v>
      </c>
      <c r="D32" s="43" t="s">
        <v>161</v>
      </c>
      <c r="E32" s="75" t="s">
        <v>222</v>
      </c>
      <c r="F32" s="75" t="s">
        <v>341</v>
      </c>
      <c r="G32" s="43"/>
      <c r="H32" s="75" t="str">
        <f>IF(B32="","",VLOOKUP(AD32,Varsayımlar!$B:$Q,5,0))</f>
        <v xml:space="preserve">Tortillas 30cm Tam Buğday </v>
      </c>
      <c r="I32" s="75" t="str">
        <f>IF(B32="","",VLOOKUP(AD32,Varsayımlar!B:T,19,0))</f>
        <v>Barkod üzerine-Bulgarca Barkodlu TB içerik etiketi (029)</v>
      </c>
      <c r="J32" s="75" t="str">
        <f>IF(B32="","",VLOOKUP(AD32,Varsayımlar!$B:$Q,6,0))</f>
        <v>Tam Buğdaylı</v>
      </c>
      <c r="K32" s="75">
        <v>60</v>
      </c>
      <c r="L32" s="75"/>
      <c r="M32" s="75">
        <f>IFERROR(IF(B32="","",K32/VLOOKUP(AD32,Varsayımlar!B:R,17,0)),"")</f>
        <v>1</v>
      </c>
      <c r="N32" s="75"/>
      <c r="O32" s="75">
        <v>1</v>
      </c>
      <c r="P32" s="75">
        <f>IF(B32="","",VLOOKUP(AD32,Varsayımlar!$B:$Q,7,0)*K32)</f>
        <v>360</v>
      </c>
      <c r="Q32" s="75">
        <f>IF(B32="","",VLOOKUP(AD32,Varsayımlar!$B:$Q,8,0))</f>
        <v>30</v>
      </c>
      <c r="R32" s="75" t="str">
        <f>IF(B32="","",VLOOKUP(AD32,Varsayımlar!$B:$Q,9,0))</f>
        <v>Irak Soft</v>
      </c>
      <c r="S32" s="75">
        <f>IF(B32="","",VLOOKUP(AD32,Varsayımlar!$B:$Q,10,0))</f>
        <v>18</v>
      </c>
      <c r="T32" s="75">
        <f>IF(B32="","",VLOOKUP(AD32,Varsayımlar!$B:$Q,11,0))</f>
        <v>6</v>
      </c>
      <c r="U32" s="75">
        <f>IF(B32="","",VLOOKUP(AD32,Varsayımlar!$B:$Q,12,0))</f>
        <v>1620</v>
      </c>
      <c r="V32" s="75" t="str">
        <f>IF(B32="","",VLOOKUP(AD32,Varsayımlar!$B:$Q,13,0))</f>
        <v>Yurtdışı</v>
      </c>
      <c r="W32" s="75">
        <f>IF(B32="","",VLOOKUP(AD32,Varsayımlar!$B:$Q,14,0))</f>
        <v>9</v>
      </c>
      <c r="X32" s="76">
        <v>46213</v>
      </c>
      <c r="Y32" s="76">
        <v>46487</v>
      </c>
      <c r="Z32" s="75" t="s">
        <v>442</v>
      </c>
      <c r="AA32" s="75" t="str">
        <f>IF(B32="","",VLOOKUP(AD32,Varsayımlar!$B:$Q,15,0))</f>
        <v>30cm Lacivert Koli- Bulgarca TB Etiket</v>
      </c>
      <c r="AB32" s="75" t="str">
        <f>IF(B32="","",VLOOKUP(AD32,Varsayımlar!$B:$Q,16,0))</f>
        <v>29-31 cm</v>
      </c>
      <c r="AC32" s="75" t="str">
        <f>IF(B32="","",VLOOKUP(Sayfa1!AD20,Varsayımlar!B:S,18,0))</f>
        <v>95x130cm</v>
      </c>
      <c r="AD32" s="57" t="str">
        <f t="shared" si="0"/>
        <v>TASTE LAND-BULGARİSTANTortillas 30cm Tam Buğday 18pcs 1620g</v>
      </c>
    </row>
    <row r="33" spans="1:30" ht="31.5" x14ac:dyDescent="0.25">
      <c r="A33" s="8" t="s">
        <v>144</v>
      </c>
      <c r="B33" s="75" t="s">
        <v>218</v>
      </c>
      <c r="C33" s="43">
        <f>IF(B33="","",VLOOKUP(AD33,Varsayımlar!$B:$Q,3,0))</f>
        <v>8698829380698</v>
      </c>
      <c r="D33" s="43" t="s">
        <v>161</v>
      </c>
      <c r="E33" s="75" t="s">
        <v>229</v>
      </c>
      <c r="F33" s="75" t="s">
        <v>341</v>
      </c>
      <c r="G33" s="43"/>
      <c r="H33" s="75" t="str">
        <f>IF(B33="","",VLOOKUP(AD33,Varsayımlar!$B:$Q,5,0))</f>
        <v>Tortillas Avrupa 25cm Tam Buğday (711)</v>
      </c>
      <c r="I33" s="75">
        <f>IF(B33="","",VLOOKUP(AD33,Varsayımlar!B:T,19,0))</f>
        <v>0</v>
      </c>
      <c r="J33" s="75" t="str">
        <f>IF(B33="","",VLOOKUP(AD33,Varsayımlar!$B:$Q,6,0))</f>
        <v>Tam Buğdaylı</v>
      </c>
      <c r="K33" s="75">
        <v>840</v>
      </c>
      <c r="L33" s="75"/>
      <c r="M33" s="75">
        <f>IFERROR(IF(B33="","",K33/VLOOKUP(AD33,Varsayımlar!B:R,17,0)),"")</f>
        <v>7</v>
      </c>
      <c r="N33" s="75"/>
      <c r="O33" s="75">
        <v>9</v>
      </c>
      <c r="P33" s="75">
        <f>IF(B33="","",VLOOKUP(AD33,Varsayımlar!$B:$Q,7,0)*K33)</f>
        <v>6720</v>
      </c>
      <c r="Q33" s="75">
        <f>IF(B33="","",VLOOKUP(AD33,Varsayımlar!$B:$Q,8,0))</f>
        <v>25</v>
      </c>
      <c r="R33" s="75" t="str">
        <f>IF(B33="","",VLOOKUP(AD33,Varsayımlar!$B:$Q,9,0))</f>
        <v>Irak Soft</v>
      </c>
      <c r="S33" s="75">
        <f>IF(B33="","",VLOOKUP(AD33,Varsayımlar!$B:$Q,10,0))</f>
        <v>10</v>
      </c>
      <c r="T33" s="75">
        <f>IF(B33="","",VLOOKUP(AD33,Varsayımlar!$B:$Q,11,0))</f>
        <v>8</v>
      </c>
      <c r="U33" s="75">
        <f>IF(B33="","",VLOOKUP(AD33,Varsayımlar!$B:$Q,12,0))</f>
        <v>650</v>
      </c>
      <c r="V33" s="75" t="str">
        <f>IF(B33="","",VLOOKUP(AD33,Varsayımlar!$B:$Q,13,0))</f>
        <v>Yurtdışı</v>
      </c>
      <c r="W33" s="75">
        <f>IF(B33="","",VLOOKUP(AD33,Varsayımlar!$B:$Q,14,0))</f>
        <v>9</v>
      </c>
      <c r="X33" s="76">
        <v>46213</v>
      </c>
      <c r="Y33" s="76">
        <v>46487</v>
      </c>
      <c r="Z33" s="75" t="s">
        <v>442</v>
      </c>
      <c r="AA33" s="75" t="str">
        <f>IF(B33="","",VLOOKUP(AD33,Varsayımlar!$B:$Q,15,0))</f>
        <v>25cm Perforeli-Bulgarca TB etiket</v>
      </c>
      <c r="AB33" s="75" t="str">
        <f>IF(B33="","",VLOOKUP(AD33,Varsayımlar!$B:$Q,16,0))</f>
        <v>24-26 cm</v>
      </c>
      <c r="AC33" s="75" t="str">
        <f>IF(B33="","",VLOOKUP(Sayfa1!AD63,Varsayımlar!B:S,18,0))</f>
        <v>80x120cm -Epal+Epal</v>
      </c>
      <c r="AD33" s="57" t="str">
        <f t="shared" si="0"/>
        <v>TASTE LAND-BULGARİSTANTortillas 25cm Tam Buğday 10pcs 650g</v>
      </c>
    </row>
    <row r="34" spans="1:30" ht="47.25" x14ac:dyDescent="0.25">
      <c r="A34" s="8" t="s">
        <v>145</v>
      </c>
      <c r="B34" s="75" t="s">
        <v>218</v>
      </c>
      <c r="C34" s="43">
        <f>IF(B34="","",VLOOKUP(AD34,Varsayımlar!$B:$Q,3,0))</f>
        <v>8698829380698</v>
      </c>
      <c r="D34" s="43" t="s">
        <v>161</v>
      </c>
      <c r="E34" s="75" t="s">
        <v>251</v>
      </c>
      <c r="F34" s="75" t="s">
        <v>341</v>
      </c>
      <c r="G34" s="43"/>
      <c r="H34" s="75" t="str">
        <f>IF(B34="","",VLOOKUP(AD34,Varsayımlar!$B:$Q,5,0))</f>
        <v>Tortillas Avrupa 25cm TB (711)</v>
      </c>
      <c r="I34" s="75" t="str">
        <f>IF(B34="","",VLOOKUP(AD34,Varsayımlar!B:T,19,0))</f>
        <v>Barkod üzerine Barkod Etiketi (067)</v>
      </c>
      <c r="J34" s="75" t="str">
        <f>IF(B34="","",VLOOKUP(AD34,Varsayımlar!$B:$Q,6,0))</f>
        <v>Tam Buğdaylı</v>
      </c>
      <c r="K34" s="75">
        <v>84</v>
      </c>
      <c r="L34" s="75"/>
      <c r="M34" s="75">
        <f>IFERROR(IF(B34="","",K34/VLOOKUP(AD34,Varsayımlar!B:R,17,0)),"")</f>
        <v>1</v>
      </c>
      <c r="N34" s="75"/>
      <c r="O34" s="75">
        <v>2</v>
      </c>
      <c r="P34" s="75">
        <f>IF(B34="","",VLOOKUP(AD34,Varsayımlar!$B:$Q,7,0)*K34)</f>
        <v>1512</v>
      </c>
      <c r="Q34" s="75">
        <f>IF(B34="","",VLOOKUP(AD34,Varsayımlar!$B:$Q,8,0))</f>
        <v>25</v>
      </c>
      <c r="R34" s="75" t="str">
        <f>IF(B34="","",VLOOKUP(AD34,Varsayımlar!$B:$Q,9,0))</f>
        <v>Irak Soft</v>
      </c>
      <c r="S34" s="75">
        <f>IF(B34="","",VLOOKUP(AD34,Varsayımlar!$B:$Q,10,0))</f>
        <v>6</v>
      </c>
      <c r="T34" s="75">
        <f>IF(B34="","",VLOOKUP(AD34,Varsayımlar!$B:$Q,11,0))</f>
        <v>18</v>
      </c>
      <c r="U34" s="75">
        <f>IF(B34="","",VLOOKUP(AD34,Varsayımlar!$B:$Q,12,0))</f>
        <v>390</v>
      </c>
      <c r="V34" s="75" t="str">
        <f>IF(B34="","",VLOOKUP(AD34,Varsayımlar!$B:$Q,13,0))</f>
        <v>Yurtdışı</v>
      </c>
      <c r="W34" s="75">
        <f>IF(B34="","",VLOOKUP(AD34,Varsayımlar!$B:$Q,14,0))</f>
        <v>9</v>
      </c>
      <c r="X34" s="76">
        <v>46213</v>
      </c>
      <c r="Y34" s="76">
        <v>46487</v>
      </c>
      <c r="Z34" s="75" t="s">
        <v>442</v>
      </c>
      <c r="AA34" s="75" t="str">
        <f>IF(B34="","",VLOOKUP(AD34,Varsayımlar!$B:$Q,15,0))</f>
        <v>25cm Kırmızı koli-Bulgarca TB Etiket</v>
      </c>
      <c r="AB34" s="75" t="str">
        <f>IF(B34="","",VLOOKUP(AD34,Varsayımlar!$B:$Q,16,0))</f>
        <v>24-26 cm</v>
      </c>
      <c r="AC34" s="75" t="str">
        <f>IF(B34="","",VLOOKUP(Sayfa1!AD64,Varsayımlar!B:S,18,0))</f>
        <v>80x120cm -Epal+Epal</v>
      </c>
      <c r="AD34" s="57" t="str">
        <f t="shared" si="0"/>
        <v>TASTE LAND-BULGARİSTANTortillas 25cm TB 6pcs 390g</v>
      </c>
    </row>
    <row r="35" spans="1:30" ht="47.25" x14ac:dyDescent="0.25">
      <c r="A35" s="8" t="s">
        <v>146</v>
      </c>
      <c r="B35" s="75" t="s">
        <v>218</v>
      </c>
      <c r="C35" s="43">
        <f>IF(B35="","",VLOOKUP(AD35,Varsayımlar!$B:$Q,3,0))</f>
        <v>8698829380698</v>
      </c>
      <c r="D35" s="43" t="s">
        <v>161</v>
      </c>
      <c r="E35" s="75" t="s">
        <v>232</v>
      </c>
      <c r="F35" s="75" t="s">
        <v>341</v>
      </c>
      <c r="G35" s="43"/>
      <c r="H35" s="75" t="str">
        <f>IF(B35="","",VLOOKUP(AD35,Varsayımlar!$B:$Q,5,0))</f>
        <v>Tortillas Avrupa 25cm Domatesli (074)</v>
      </c>
      <c r="I35" s="75">
        <f>IF(B35="","",VLOOKUP(AD35,Varsayımlar!B:T,19,0))</f>
        <v>0</v>
      </c>
      <c r="J35" s="75" t="str">
        <f>IF(B35="","",VLOOKUP(AD35,Varsayımlar!$B:$Q,6,0))</f>
        <v>Domatesli</v>
      </c>
      <c r="K35" s="75">
        <v>240</v>
      </c>
      <c r="L35" s="75"/>
      <c r="M35" s="75">
        <f>IFERROR(IF(B35="","",K35/VLOOKUP(AD35,Varsayımlar!B:R,17,0)),"")</f>
        <v>2</v>
      </c>
      <c r="N35" s="75"/>
      <c r="O35" s="75">
        <v>3</v>
      </c>
      <c r="P35" s="75">
        <f>IF(B35="","",VLOOKUP(AD35,Varsayımlar!$B:$Q,7,0)*K35)</f>
        <v>2880</v>
      </c>
      <c r="Q35" s="75">
        <f>IF(B35="","",VLOOKUP(AD35,Varsayımlar!$B:$Q,8,0))</f>
        <v>25</v>
      </c>
      <c r="R35" s="75" t="str">
        <f>IF(B35="","",VLOOKUP(AD35,Varsayımlar!$B:$Q,9,0))</f>
        <v>Irak Soft</v>
      </c>
      <c r="S35" s="75">
        <f>IF(B35="","",VLOOKUP(AD35,Varsayımlar!$B:$Q,10,0))</f>
        <v>6</v>
      </c>
      <c r="T35" s="75">
        <f>IF(B35="","",VLOOKUP(AD35,Varsayımlar!$B:$Q,11,0))</f>
        <v>12</v>
      </c>
      <c r="U35" s="75">
        <f>IF(B35="","",VLOOKUP(AD35,Varsayımlar!$B:$Q,12,0))</f>
        <v>390</v>
      </c>
      <c r="V35" s="75" t="str">
        <f>IF(B35="","",VLOOKUP(AD35,Varsayımlar!$B:$Q,13,0))</f>
        <v>Yurtdışı</v>
      </c>
      <c r="W35" s="75">
        <f>IF(B35="","",VLOOKUP(AD35,Varsayımlar!$B:$Q,14,0))</f>
        <v>9</v>
      </c>
      <c r="X35" s="76">
        <v>46213</v>
      </c>
      <c r="Y35" s="76">
        <v>46487</v>
      </c>
      <c r="Z35" s="75" t="s">
        <v>443</v>
      </c>
      <c r="AA35" s="75" t="str">
        <f>IF(B35="","",VLOOKUP(AD35,Varsayımlar!$B:$Q,15,0))</f>
        <v>25cm Perforeli-Bulgarca Domatesli etiket</v>
      </c>
      <c r="AB35" s="75" t="str">
        <f>IF(B35="","",VLOOKUP(AD35,Varsayımlar!$B:$Q,16,0))</f>
        <v>24-26 cm</v>
      </c>
      <c r="AC35" s="75" t="str">
        <f>IF(B35="","",VLOOKUP(Sayfa1!AD65,Varsayımlar!B:S,18,0))</f>
        <v>80x120cm -Epal+Epal</v>
      </c>
      <c r="AD35" s="57" t="str">
        <f t="shared" si="0"/>
        <v>TASTE LAND-BULGARİSTANTortillas 25cm Domatesli 6pcs 390g</v>
      </c>
    </row>
    <row r="36" spans="1:30" ht="47.25" x14ac:dyDescent="0.25">
      <c r="A36" s="8" t="s">
        <v>147</v>
      </c>
      <c r="B36" s="75" t="s">
        <v>218</v>
      </c>
      <c r="C36" s="43">
        <f>IF(B36="","",VLOOKUP(AD36,Varsayımlar!$B:$Q,3,0))</f>
        <v>8698829380698</v>
      </c>
      <c r="D36" s="43" t="s">
        <v>161</v>
      </c>
      <c r="E36" s="75" t="s">
        <v>235</v>
      </c>
      <c r="F36" s="75" t="s">
        <v>341</v>
      </c>
      <c r="G36" s="43"/>
      <c r="H36" s="75" t="str">
        <f>IF(B36="","",VLOOKUP(AD36,Varsayımlar!$B:$Q,5,0))</f>
        <v>Tortillas Avrupa 25cm Ispanaklı (081)</v>
      </c>
      <c r="I36" s="75">
        <f>IF(B36="","",VLOOKUP(AD36,Varsayımlar!B:T,19,0))</f>
        <v>0</v>
      </c>
      <c r="J36" s="75" t="str">
        <f>IF(B36="","",VLOOKUP(AD36,Varsayımlar!$B:$Q,6,0))</f>
        <v>Ispanaklı</v>
      </c>
      <c r="K36" s="75">
        <v>240</v>
      </c>
      <c r="L36" s="75"/>
      <c r="M36" s="75">
        <f>IFERROR(IF(B36="","",K36/VLOOKUP(AD36,Varsayımlar!B:R,17,0)),"")</f>
        <v>2</v>
      </c>
      <c r="N36" s="75"/>
      <c r="O36" s="75">
        <v>3</v>
      </c>
      <c r="P36" s="75">
        <f>IF(B36="","",VLOOKUP(AD36,Varsayımlar!$B:$Q,7,0)*K36)</f>
        <v>2880</v>
      </c>
      <c r="Q36" s="75">
        <f>IF(B36="","",VLOOKUP(AD36,Varsayımlar!$B:$Q,8,0))</f>
        <v>25</v>
      </c>
      <c r="R36" s="75" t="str">
        <f>IF(B36="","",VLOOKUP(AD36,Varsayımlar!$B:$Q,9,0))</f>
        <v>Irak Soft</v>
      </c>
      <c r="S36" s="75">
        <f>IF(B36="","",VLOOKUP(AD36,Varsayımlar!$B:$Q,10,0))</f>
        <v>6</v>
      </c>
      <c r="T36" s="75">
        <f>IF(B36="","",VLOOKUP(AD36,Varsayımlar!$B:$Q,11,0))</f>
        <v>12</v>
      </c>
      <c r="U36" s="75">
        <f>IF(B36="","",VLOOKUP(AD36,Varsayımlar!$B:$Q,12,0))</f>
        <v>390</v>
      </c>
      <c r="V36" s="75" t="str">
        <f>IF(B36="","",VLOOKUP(AD36,Varsayımlar!$B:$Q,13,0))</f>
        <v>Yurtdışı</v>
      </c>
      <c r="W36" s="75">
        <f>IF(B36="","",VLOOKUP(AD36,Varsayımlar!$B:$Q,14,0))</f>
        <v>9</v>
      </c>
      <c r="X36" s="76">
        <v>46213</v>
      </c>
      <c r="Y36" s="76">
        <v>46487</v>
      </c>
      <c r="Z36" s="75" t="s">
        <v>444</v>
      </c>
      <c r="AA36" s="75" t="str">
        <f>IF(B36="","",VLOOKUP(AD36,Varsayımlar!$B:$Q,15,0))</f>
        <v>25cm Perforeli-Bulgarca Ispanaklı etiket</v>
      </c>
      <c r="AB36" s="75" t="str">
        <f>IF(B36="","",VLOOKUP(AD36,Varsayımlar!$B:$Q,16,0))</f>
        <v>24-26 cm</v>
      </c>
      <c r="AC36" s="75" t="str">
        <f>IF(B36="","",VLOOKUP(Sayfa1!AD66,Varsayımlar!B:S,18,0))</f>
        <v>80x120cm -Epal+Epal</v>
      </c>
      <c r="AD36" s="57" t="str">
        <f t="shared" si="0"/>
        <v>TASTE LAND-BULGARİSTANTortillas 25cm Ispanaklı 6pcs 390g</v>
      </c>
    </row>
    <row r="37" spans="1:30" ht="47.25" x14ac:dyDescent="0.25">
      <c r="A37" s="8" t="s">
        <v>148</v>
      </c>
      <c r="B37" s="75" t="s">
        <v>218</v>
      </c>
      <c r="C37" s="43">
        <f>IF(B37="","",VLOOKUP(AD37,Varsayımlar!$B:$Q,3,0))</f>
        <v>8698829380698</v>
      </c>
      <c r="D37" s="43" t="s">
        <v>161</v>
      </c>
      <c r="E37" s="75" t="s">
        <v>240</v>
      </c>
      <c r="F37" s="75" t="s">
        <v>341</v>
      </c>
      <c r="G37" s="43"/>
      <c r="H37" s="75" t="str">
        <f>IF(B37="","",VLOOKUP(AD37,Varsayımlar!$B:$Q,5,0))</f>
        <v>Tortillas Avrupa 25cm Peynirli (098)</v>
      </c>
      <c r="I37" s="75">
        <f>IF(B37="","",VLOOKUP(AD37,Varsayımlar!B:T,19,0))</f>
        <v>0</v>
      </c>
      <c r="J37" s="75" t="str">
        <f>IF(B37="","",VLOOKUP(AD37,Varsayımlar!$B:$Q,6,0))</f>
        <v>Peynirli</v>
      </c>
      <c r="K37" s="75">
        <v>120</v>
      </c>
      <c r="L37" s="75"/>
      <c r="M37" s="75">
        <f>IFERROR(IF(B37="","",K37/VLOOKUP(AD37,Varsayımlar!B:R,17,0)),"")</f>
        <v>1</v>
      </c>
      <c r="N37" s="75"/>
      <c r="O37" s="75">
        <v>2</v>
      </c>
      <c r="P37" s="75">
        <f>IF(B37="","",VLOOKUP(AD37,Varsayımlar!$B:$Q,7,0)*K37)</f>
        <v>1440</v>
      </c>
      <c r="Q37" s="75">
        <f>IF(B37="","",VLOOKUP(AD37,Varsayımlar!$B:$Q,8,0))</f>
        <v>25</v>
      </c>
      <c r="R37" s="75" t="str">
        <f>IF(B37="","",VLOOKUP(AD37,Varsayımlar!$B:$Q,9,0))</f>
        <v>Irak Soft-AT</v>
      </c>
      <c r="S37" s="75">
        <f>IF(B37="","",VLOOKUP(AD37,Varsayımlar!$B:$Q,10,0))</f>
        <v>6</v>
      </c>
      <c r="T37" s="75">
        <f>IF(B37="","",VLOOKUP(AD37,Varsayımlar!$B:$Q,11,0))</f>
        <v>12</v>
      </c>
      <c r="U37" s="75">
        <f>IF(B37="","",VLOOKUP(AD37,Varsayımlar!$B:$Q,12,0))</f>
        <v>390</v>
      </c>
      <c r="V37" s="75" t="str">
        <f>IF(B37="","",VLOOKUP(AD37,Varsayımlar!$B:$Q,13,0))</f>
        <v>Yurtdışı</v>
      </c>
      <c r="W37" s="75">
        <f>IF(B37="","",VLOOKUP(AD37,Varsayımlar!$B:$Q,14,0))</f>
        <v>9</v>
      </c>
      <c r="X37" s="76">
        <v>46213</v>
      </c>
      <c r="Y37" s="76">
        <v>46487</v>
      </c>
      <c r="Z37" s="75" t="s">
        <v>445</v>
      </c>
      <c r="AA37" s="75" t="str">
        <f>IF(B37="","",VLOOKUP(AD37,Varsayımlar!$B:$Q,15,0))</f>
        <v>25cm Perforeli-Bulgarca Peynirli etiket</v>
      </c>
      <c r="AB37" s="75" t="str">
        <f>IF(B37="","",VLOOKUP(AD37,Varsayımlar!$B:$Q,16,0))</f>
        <v>24-26 cm</v>
      </c>
      <c r="AC37" s="75" t="str">
        <f>IF(B37="","",VLOOKUP(Sayfa1!AD67,Varsayımlar!B:S,18,0))</f>
        <v>80x120cm -Epal+Epal</v>
      </c>
      <c r="AD37" s="57" t="str">
        <f t="shared" si="0"/>
        <v>TASTE LAND-BULGARİSTANTortillas 25cm Peynirli 6pcs 390g</v>
      </c>
    </row>
    <row r="38" spans="1:30" x14ac:dyDescent="0.25">
      <c r="A38" s="8" t="s">
        <v>149</v>
      </c>
      <c r="B38" s="64"/>
      <c r="C38" s="3" t="str">
        <f>IF(B38="","",VLOOKUP(AD38,Varsayımlar!$B:$Q,3,0))</f>
        <v/>
      </c>
      <c r="D38" s="3"/>
      <c r="E38" s="3"/>
      <c r="F38" s="64"/>
      <c r="G38" s="3"/>
      <c r="H38" s="64" t="str">
        <f>IF(B38="","",VLOOKUP(AD38,Varsayımlar!$B:$Q,5,0))</f>
        <v/>
      </c>
      <c r="I38" s="64" t="str">
        <f>IF(B38="","",VLOOKUP(AD38,Varsayımlar!B:T,19,0))</f>
        <v/>
      </c>
      <c r="J38" s="64" t="str">
        <f>IF(B38="","",VLOOKUP(AD38,Varsayımlar!$B:$Q,6,0))</f>
        <v/>
      </c>
      <c r="K38" s="64"/>
      <c r="L38" s="64"/>
      <c r="M38" s="64" t="str">
        <f>IFERROR(IF(B38="","",K38/VLOOKUP(AD38,Varsayımlar!B:R,17,0)),"")</f>
        <v/>
      </c>
      <c r="N38" s="64"/>
      <c r="O38" s="64"/>
      <c r="P38" s="64" t="str">
        <f>IF(B38="","",VLOOKUP(AD38,Varsayımlar!$B:$Q,7,0)*K38)</f>
        <v/>
      </c>
      <c r="Q38" s="64" t="str">
        <f>IF(B38="","",VLOOKUP(AD38,Varsayımlar!$B:$Q,8,0))</f>
        <v/>
      </c>
      <c r="R38" s="64" t="str">
        <f>IF(B38="","",VLOOKUP(AD38,Varsayımlar!$B:$Q,9,0))</f>
        <v/>
      </c>
      <c r="S38" s="64" t="str">
        <f>IF(B38="","",VLOOKUP(AD38,Varsayımlar!$B:$Q,10,0))</f>
        <v/>
      </c>
      <c r="T38" s="64" t="str">
        <f>IF(B38="","",VLOOKUP(AD38,Varsayımlar!$B:$Q,11,0))</f>
        <v/>
      </c>
      <c r="U38" s="64" t="str">
        <f>IF(B38="","",VLOOKUP(AD38,Varsayımlar!$B:$Q,12,0))</f>
        <v/>
      </c>
      <c r="V38" s="64" t="str">
        <f>IF(B38="","",VLOOKUP(AD38,Varsayımlar!$B:$Q,13,0))</f>
        <v/>
      </c>
      <c r="W38" s="64" t="str">
        <f>IF(B38="","",VLOOKUP(AD38,Varsayımlar!$B:$Q,14,0))</f>
        <v/>
      </c>
      <c r="X38" s="66"/>
      <c r="Y38" s="66"/>
      <c r="Z38" s="64"/>
      <c r="AA38" s="64" t="str">
        <f>IF(B38="","",VLOOKUP(AD38,Varsayımlar!$B:$Q,15,0))</f>
        <v/>
      </c>
      <c r="AB38" s="64" t="str">
        <f>IF(B38="","",VLOOKUP(AD38,Varsayımlar!$B:$Q,16,0))</f>
        <v/>
      </c>
      <c r="AC38" s="64" t="str">
        <f>IF(B38="","",VLOOKUP(Sayfa1!AD44,Varsayımlar!B:S,18,0))</f>
        <v/>
      </c>
      <c r="AD38" s="57" t="str">
        <f t="shared" si="0"/>
        <v/>
      </c>
    </row>
    <row r="39" spans="1:30" x14ac:dyDescent="0.25">
      <c r="A39" s="8" t="s">
        <v>150</v>
      </c>
      <c r="B39" s="64"/>
      <c r="C39" s="3" t="str">
        <f>IF(B39="","",VLOOKUP(AD39,Varsayımlar!$B:$Q,3,0))</f>
        <v/>
      </c>
      <c r="D39" s="3"/>
      <c r="E39" s="3"/>
      <c r="F39" s="64"/>
      <c r="G39" s="3"/>
      <c r="H39" s="64" t="str">
        <f>IF(B39="","",VLOOKUP(AD39,Varsayımlar!$B:$Q,5,0))</f>
        <v/>
      </c>
      <c r="I39" s="64" t="str">
        <f>IF(B39="","",VLOOKUP(AD39,Varsayımlar!B:T,19,0))</f>
        <v/>
      </c>
      <c r="J39" s="64" t="str">
        <f>IF(B39="","",VLOOKUP(AD39,Varsayımlar!$B:$Q,6,0))</f>
        <v/>
      </c>
      <c r="K39" s="64"/>
      <c r="L39" s="64"/>
      <c r="M39" s="64" t="str">
        <f>IFERROR(IF(B39="","",K39/VLOOKUP(AD39,Varsayımlar!B:R,17,0)),"")</f>
        <v/>
      </c>
      <c r="N39" s="64"/>
      <c r="O39" s="64"/>
      <c r="P39" s="64" t="str">
        <f>IF(B39="","",VLOOKUP(AD39,Varsayımlar!$B:$Q,7,0)*K39)</f>
        <v/>
      </c>
      <c r="Q39" s="64" t="str">
        <f>IF(B39="","",VLOOKUP(AD39,Varsayımlar!$B:$Q,8,0))</f>
        <v/>
      </c>
      <c r="R39" s="64" t="str">
        <f>IF(B39="","",VLOOKUP(AD39,Varsayımlar!$B:$Q,9,0))</f>
        <v/>
      </c>
      <c r="S39" s="64" t="str">
        <f>IF(B39="","",VLOOKUP(AD39,Varsayımlar!$B:$Q,10,0))</f>
        <v/>
      </c>
      <c r="T39" s="64" t="str">
        <f>IF(B39="","",VLOOKUP(AD39,Varsayımlar!$B:$Q,11,0))</f>
        <v/>
      </c>
      <c r="U39" s="64" t="str">
        <f>IF(B39="","",VLOOKUP(AD39,Varsayımlar!$B:$Q,12,0))</f>
        <v/>
      </c>
      <c r="V39" s="64" t="str">
        <f>IF(B39="","",VLOOKUP(AD39,Varsayımlar!$B:$Q,13,0))</f>
        <v/>
      </c>
      <c r="W39" s="64" t="str">
        <f>IF(B39="","",VLOOKUP(AD39,Varsayımlar!$B:$Q,14,0))</f>
        <v/>
      </c>
      <c r="X39" s="66"/>
      <c r="Y39" s="66"/>
      <c r="Z39" s="64"/>
      <c r="AA39" s="64" t="str">
        <f>IF(B39="","",VLOOKUP(AD39,Varsayımlar!$B:$Q,15,0))</f>
        <v/>
      </c>
      <c r="AB39" s="64" t="str">
        <f>IF(B39="","",VLOOKUP(AD39,Varsayımlar!$B:$Q,16,0))</f>
        <v/>
      </c>
      <c r="AC39" s="64" t="str">
        <f>IF(B39="","",VLOOKUP(Sayfa1!AD45,Varsayımlar!B:S,18,0))</f>
        <v/>
      </c>
      <c r="AD39" s="57" t="str">
        <f t="shared" si="0"/>
        <v/>
      </c>
    </row>
    <row r="40" spans="1:30" ht="31.5" customHeight="1" x14ac:dyDescent="0.25">
      <c r="A40" s="182" t="s">
        <v>344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4"/>
      <c r="AC40" s="38"/>
    </row>
    <row r="41" spans="1:30" ht="63" x14ac:dyDescent="0.25">
      <c r="A41" s="8" t="s">
        <v>0</v>
      </c>
      <c r="B41" s="8" t="s">
        <v>1</v>
      </c>
      <c r="C41" s="9" t="s">
        <v>31</v>
      </c>
      <c r="D41" s="9" t="s">
        <v>124</v>
      </c>
      <c r="E41" s="9" t="s">
        <v>36</v>
      </c>
      <c r="F41" s="8" t="s">
        <v>37</v>
      </c>
      <c r="G41" s="8" t="s">
        <v>13</v>
      </c>
      <c r="H41" s="8" t="s">
        <v>2</v>
      </c>
      <c r="I41" s="8" t="s">
        <v>49</v>
      </c>
      <c r="J41" s="8" t="s">
        <v>3</v>
      </c>
      <c r="K41" s="8" t="s">
        <v>21</v>
      </c>
      <c r="L41" s="8" t="s">
        <v>94</v>
      </c>
      <c r="M41" s="8" t="s">
        <v>20</v>
      </c>
      <c r="N41" s="8" t="s">
        <v>165</v>
      </c>
      <c r="O41" s="8" t="s">
        <v>123</v>
      </c>
      <c r="P41" s="8" t="s">
        <v>16</v>
      </c>
      <c r="Q41" s="8" t="s">
        <v>4</v>
      </c>
      <c r="R41" s="8" t="s">
        <v>5</v>
      </c>
      <c r="S41" s="8" t="s">
        <v>6</v>
      </c>
      <c r="T41" s="8" t="s">
        <v>28</v>
      </c>
      <c r="U41" s="8" t="s">
        <v>7</v>
      </c>
      <c r="V41" s="8" t="s">
        <v>8</v>
      </c>
      <c r="W41" s="8" t="s">
        <v>267</v>
      </c>
      <c r="X41" s="8" t="s">
        <v>10</v>
      </c>
      <c r="Y41" s="8" t="s">
        <v>11</v>
      </c>
      <c r="Z41" s="8" t="s">
        <v>12</v>
      </c>
      <c r="AA41" s="8" t="s">
        <v>14</v>
      </c>
      <c r="AB41" s="8" t="s">
        <v>15</v>
      </c>
      <c r="AC41" s="8" t="s">
        <v>208</v>
      </c>
      <c r="AD41" s="7" t="s">
        <v>41</v>
      </c>
    </row>
    <row r="42" spans="1:30" ht="78.75" x14ac:dyDescent="0.25">
      <c r="A42" s="8" t="s">
        <v>26</v>
      </c>
      <c r="B42" s="80" t="s">
        <v>53</v>
      </c>
      <c r="C42" s="44">
        <f>IF(B42="","",VLOOKUP(AD42,Varsayımlar!$B:$Q,3,0))</f>
        <v>8698829380698</v>
      </c>
      <c r="D42" s="80" t="s">
        <v>394</v>
      </c>
      <c r="E42" s="80" t="s">
        <v>54</v>
      </c>
      <c r="F42" s="80"/>
      <c r="G42" s="80" t="s">
        <v>395</v>
      </c>
      <c r="H42" s="80" t="str">
        <f>IF(B42="","",VLOOKUP(AD42,Varsayımlar!$B:$Q,5,0))</f>
        <v>MAGNİT MAVİ AMBALAJ 25CM</v>
      </c>
      <c r="I42" s="80">
        <f>IF(B42="","",VLOOKUP(AD42,Varsayımlar!B:T,19,0))</f>
        <v>0</v>
      </c>
      <c r="J42" s="80" t="str">
        <f>IF(B42="","",VLOOKUP(AD42,Varsayımlar!$B:$Q,6,0))</f>
        <v>SADE</v>
      </c>
      <c r="K42" s="80">
        <v>2016</v>
      </c>
      <c r="L42" s="80"/>
      <c r="M42" s="80" t="str">
        <f>IFERROR(IF(B42="","",K42/VLOOKUP(AD42,#REF!,17,0)),"")</f>
        <v/>
      </c>
      <c r="N42" s="80"/>
      <c r="O42" s="80">
        <v>24</v>
      </c>
      <c r="P42" s="80">
        <f>IF(B42="","",VLOOKUP(AD42,Varsayımlar!$B:$Q,7,0)*K42)</f>
        <v>60480</v>
      </c>
      <c r="Q42" s="80">
        <f>IF(B42="","",VLOOKUP(AD42,Varsayımlar!$B:$Q,8,0))</f>
        <v>25</v>
      </c>
      <c r="R42" s="80" t="str">
        <f>IF(B42="","",VLOOKUP(AD42,Varsayımlar!$B:$Q,9,0))</f>
        <v>SOFT</v>
      </c>
      <c r="S42" s="80">
        <f>IF(B42="","",VLOOKUP(AD42,Varsayımlar!$B:$Q,10,0))</f>
        <v>4</v>
      </c>
      <c r="T42" s="80">
        <f>IF(B42="","",VLOOKUP(AD42,Varsayımlar!$B:$Q,11,0))</f>
        <v>30</v>
      </c>
      <c r="U42" s="80">
        <f>IF(B42="","",VLOOKUP(AD42,Varsayımlar!$B:$Q,12,0))</f>
        <v>260</v>
      </c>
      <c r="V42" s="80" t="str">
        <f>IF(B42="","",VLOOKUP(AD42,Varsayımlar!$B:$Q,13,0))</f>
        <v>YURTDIŞI</v>
      </c>
      <c r="W42" s="80">
        <f>IF(B42="","",VLOOKUP(AD42,Varsayımlar!$B:$Q,14,0))</f>
        <v>9</v>
      </c>
      <c r="X42" s="81">
        <v>46190</v>
      </c>
      <c r="Y42" s="81">
        <v>46463</v>
      </c>
      <c r="Z42" s="80" t="s">
        <v>396</v>
      </c>
      <c r="AA42" s="80" t="str">
        <f>IF(B42="","",VLOOKUP(AD42,Varsayımlar!$B:$Q,15,0))</f>
        <v>25CM TURUNCU KOLİ-SOL ÜST DİKDÖRTGENE ÜRETİM TARİHİ BASILACAK</v>
      </c>
      <c r="AB42" s="80" t="str">
        <f>IF(B42="","",VLOOKUP(AD42,Varsayımlar!$B:$Q,16,0))</f>
        <v>24-26 CM</v>
      </c>
      <c r="AC42" s="73" t="e">
        <f>IF(B42="","",VLOOKUP(#REF!,#REF!,18,0))</f>
        <v>#REF!</v>
      </c>
      <c r="AD42" s="73" t="str">
        <f>IF(B42="","",CONCATENATE(B42,E42))</f>
        <v>MAGNİTMAGNİT MAVİ AMBALAJ 25 CM 260G</v>
      </c>
    </row>
    <row r="43" spans="1:30" ht="78.75" x14ac:dyDescent="0.25">
      <c r="A43" s="8" t="s">
        <v>77</v>
      </c>
      <c r="B43" s="67" t="s">
        <v>53</v>
      </c>
      <c r="C43" s="42">
        <f>IF(B43="","",VLOOKUP(AD43,Varsayımlar!$B:$Q,3,0))</f>
        <v>8698829380698</v>
      </c>
      <c r="D43" s="67" t="s">
        <v>400</v>
      </c>
      <c r="E43" s="67" t="s">
        <v>54</v>
      </c>
      <c r="F43" s="67"/>
      <c r="G43" s="67" t="s">
        <v>401</v>
      </c>
      <c r="H43" s="67" t="str">
        <f>IF(B43="","",VLOOKUP(AD43,Varsayımlar!$B:$Q,5,0))</f>
        <v>MAGNİT MAVİ AMBALAJ 25CM</v>
      </c>
      <c r="I43" s="67">
        <f>IF(B43="","",VLOOKUP(AD43,Varsayımlar!B:T,19,0))</f>
        <v>0</v>
      </c>
      <c r="J43" s="67" t="str">
        <f>IF(B43="","",VLOOKUP(AD43,Varsayımlar!$B:$Q,6,0))</f>
        <v>SADE</v>
      </c>
      <c r="K43" s="67">
        <v>2016</v>
      </c>
      <c r="L43" s="67"/>
      <c r="M43" s="67" t="str">
        <f>IFERROR(IF(B43="","",K43/VLOOKUP(AD43,#REF!,17,0)),"")</f>
        <v/>
      </c>
      <c r="N43" s="67"/>
      <c r="O43" s="67">
        <v>30</v>
      </c>
      <c r="P43" s="67">
        <f>IF(B43="","",VLOOKUP(AD43,Varsayımlar!$B:$Q,7,0)*K43)</f>
        <v>60480</v>
      </c>
      <c r="Q43" s="67">
        <f>IF(B43="","",VLOOKUP(AD43,Varsayımlar!$B:$Q,8,0))</f>
        <v>25</v>
      </c>
      <c r="R43" s="67" t="str">
        <f>IF(B43="","",VLOOKUP(AD43,Varsayımlar!$B:$Q,9,0))</f>
        <v>SOFT</v>
      </c>
      <c r="S43" s="67">
        <f>IF(B43="","",VLOOKUP(AD43,Varsayımlar!$B:$Q,10,0))</f>
        <v>4</v>
      </c>
      <c r="T43" s="67">
        <f>IF(B43="","",VLOOKUP(AD43,Varsayımlar!$B:$Q,11,0))</f>
        <v>30</v>
      </c>
      <c r="U43" s="67">
        <f>IF(B43="","",VLOOKUP(AD43,Varsayımlar!$B:$Q,12,0))</f>
        <v>260</v>
      </c>
      <c r="V43" s="67" t="str">
        <f>IF(B43="","",VLOOKUP(AD43,Varsayımlar!$B:$Q,13,0))</f>
        <v>YURTDIŞI</v>
      </c>
      <c r="W43" s="67">
        <f>IF(B43="","",VLOOKUP(AD43,Varsayımlar!$B:$Q,14,0))</f>
        <v>9</v>
      </c>
      <c r="X43" s="69">
        <v>46191</v>
      </c>
      <c r="Y43" s="69">
        <v>46464</v>
      </c>
      <c r="Z43" s="67" t="s">
        <v>402</v>
      </c>
      <c r="AA43" s="67" t="str">
        <f>IF(B43="","",VLOOKUP(AD43,Varsayımlar!$B:$Q,15,0))</f>
        <v>25CM TURUNCU KOLİ-SOL ÜST DİKDÖRTGENE ÜRETİM TARİHİ BASILACAK</v>
      </c>
      <c r="AB43" s="67" t="str">
        <f>IF(B43="","",VLOOKUP(AD43,Varsayımlar!$B:$Q,16,0))</f>
        <v>24-26 CM</v>
      </c>
      <c r="AC43" s="73" t="e">
        <f>IF(B43="","",VLOOKUP(#REF!,#REF!,18,0))</f>
        <v>#REF!</v>
      </c>
      <c r="AD43" s="73" t="str">
        <f>IF(B43="","",CONCATENATE(B43,E43))</f>
        <v>MAGNİTMAGNİT MAVİ AMBALAJ 25 CM 260G</v>
      </c>
    </row>
    <row r="44" spans="1:30" ht="31.5" x14ac:dyDescent="0.25">
      <c r="A44" s="8" t="s">
        <v>78</v>
      </c>
      <c r="B44" s="67" t="s">
        <v>431</v>
      </c>
      <c r="C44" s="42">
        <f>IF(B44="","",VLOOKUP(AD44,Varsayımlar!$B:$Q,3,0))</f>
        <v>8698829380698</v>
      </c>
      <c r="D44" s="67"/>
      <c r="E44" s="67" t="s">
        <v>102</v>
      </c>
      <c r="F44" s="67">
        <v>20260612</v>
      </c>
      <c r="G44" s="67"/>
      <c r="H44" s="67" t="str">
        <f>IF(B44="","",VLOOKUP(AD44,Varsayımlar!$B:$Q,5,0))</f>
        <v>Happylla 25cm</v>
      </c>
      <c r="I44" s="67" t="str">
        <f>IF(B44="","",VLOOKUP(AD44,Varsayımlar!B:T,19,0))</f>
        <v>Happylla 650g-Etiketli</v>
      </c>
      <c r="J44" s="67" t="str">
        <f>IF(B44="","",VLOOKUP(AD44,Varsayımlar!$B:$Q,6,0))</f>
        <v>Tam Buğdaylı</v>
      </c>
      <c r="K44" s="67">
        <v>312</v>
      </c>
      <c r="L44" s="67"/>
      <c r="M44" s="67">
        <f>IFERROR(IF(B44="","",K44/VLOOKUP(AD44,Varsayımlar!B:R,17,0)),"")</f>
        <v>3</v>
      </c>
      <c r="N44" s="67">
        <v>104</v>
      </c>
      <c r="O44" s="67">
        <v>5</v>
      </c>
      <c r="P44" s="67">
        <f>IF(B44="","",VLOOKUP(AD44,Varsayımlar!$B:$Q,7,0)*K44)</f>
        <v>3744</v>
      </c>
      <c r="Q44" s="67">
        <f>IF(B44="","",VLOOKUP(AD44,Varsayımlar!$B:$Q,8,0))</f>
        <v>25</v>
      </c>
      <c r="R44" s="67" t="str">
        <f>IF(B44="","",VLOOKUP(AD44,Varsayımlar!$B:$Q,9,0))</f>
        <v>Standart</v>
      </c>
      <c r="S44" s="67">
        <f>IF(B44="","",VLOOKUP(AD44,Varsayımlar!$B:$Q,10,0))</f>
        <v>10</v>
      </c>
      <c r="T44" s="67">
        <f>IF(B44="","",VLOOKUP(AD44,Varsayımlar!$B:$Q,11,0))</f>
        <v>12</v>
      </c>
      <c r="U44" s="67">
        <f>IF(B44="","",VLOOKUP(AD44,Varsayımlar!$B:$Q,12,0))</f>
        <v>650</v>
      </c>
      <c r="V44" s="67" t="str">
        <f>IF(B44="","",VLOOKUP(AD44,Varsayımlar!$B:$Q,13,0))</f>
        <v>Yurtdışı</v>
      </c>
      <c r="W44" s="67">
        <f>IF(B44="","",VLOOKUP(AD44,Varsayımlar!$B:$Q,14,0))</f>
        <v>6</v>
      </c>
      <c r="X44" s="69">
        <v>46196</v>
      </c>
      <c r="Y44" s="69">
        <v>46379</v>
      </c>
      <c r="Z44" s="67" t="s">
        <v>446</v>
      </c>
      <c r="AA44" s="67" t="str">
        <f>IF(B44="","",VLOOKUP(AD44,Varsayımlar!$B:$Q,15,0))</f>
        <v>Kırmızı Koli 25cm-Arapça etiketli</v>
      </c>
      <c r="AB44" s="67" t="str">
        <f>IF(B44="","",VLOOKUP(AD44,Varsayımlar!$B:$Q,16,0))</f>
        <v>24-26cm</v>
      </c>
      <c r="AC44" s="64">
        <f>IF(B44="","",VLOOKUP(Sayfa1!AD43,Varsayımlar!B:S,18,0))</f>
        <v>0</v>
      </c>
      <c r="AD44" s="57" t="str">
        <f>IF(B44="","",CONCATENATE(B44,E44))</f>
        <v>Bağ TicaretHappylla 25 cm 10 lu 650g</v>
      </c>
    </row>
    <row r="45" spans="1:30" ht="45.75" customHeight="1" x14ac:dyDescent="0.25">
      <c r="A45" s="8" t="s">
        <v>79</v>
      </c>
      <c r="B45" s="130" t="s">
        <v>119</v>
      </c>
      <c r="C45" s="131">
        <f>IF(B45="","",VLOOKUP(AD45,Varsayımlar!$B:$Q,3,0))</f>
        <v>8698829380698</v>
      </c>
      <c r="D45" s="131"/>
      <c r="E45" s="132" t="s">
        <v>120</v>
      </c>
      <c r="F45" s="130"/>
      <c r="G45" s="130"/>
      <c r="H45" s="130" t="str">
        <f>IF(B45="","",VLOOKUP(AD45,Varsayımlar!$B:$Q,5,0))</f>
        <v>Nimet 25 cm</v>
      </c>
      <c r="I45" s="130"/>
      <c r="J45" s="130" t="str">
        <f>IF(B45="","",VLOOKUP(AD45,Varsayımlar!$B:$Q,6,0))</f>
        <v>SADE</v>
      </c>
      <c r="K45" s="130">
        <v>4000</v>
      </c>
      <c r="L45" s="130"/>
      <c r="M45" s="130">
        <f>IFERROR(IF(B45="","",K45/VLOOKUP(AD45,Varsayımlar!B:R,17,0)),"")</f>
        <v>80</v>
      </c>
      <c r="N45" s="130"/>
      <c r="O45" s="130">
        <v>60</v>
      </c>
      <c r="P45" s="130">
        <f>IF(B45="","",VLOOKUP(AD45,Varsayımlar!$B:$Q,7,0)*K45)</f>
        <v>48000</v>
      </c>
      <c r="Q45" s="130">
        <f>IF(B45="","",VLOOKUP(AD45,Varsayımlar!$B:$Q,8,0))</f>
        <v>25</v>
      </c>
      <c r="R45" s="130" t="str">
        <f>IF(B45="","",VLOOKUP(AD45,Varsayımlar!$B:$Q,9,0))</f>
        <v>Standart</v>
      </c>
      <c r="S45" s="130">
        <f>IF(B45="","",VLOOKUP(AD45,Varsayımlar!$B:$Q,10,0))</f>
        <v>12</v>
      </c>
      <c r="T45" s="130">
        <f>IF(B45="","",VLOOKUP(AD45,Varsayımlar!$B:$Q,11,0))</f>
        <v>12</v>
      </c>
      <c r="U45" s="130">
        <f>IF(B45="","",VLOOKUP(AD45,Varsayımlar!$B:$Q,12,0))</f>
        <v>840</v>
      </c>
      <c r="V45" s="130" t="str">
        <f>IF(B45="","",VLOOKUP(AD45,Varsayımlar!$B:$Q,13,0))</f>
        <v>YURTİÇİ</v>
      </c>
      <c r="W45" s="130">
        <f>IF(B45="","",VLOOKUP(AD45,Varsayımlar!$B:$Q,14,0))</f>
        <v>5</v>
      </c>
      <c r="X45" s="133" t="s">
        <v>113</v>
      </c>
      <c r="Y45" s="133" t="s">
        <v>113</v>
      </c>
      <c r="Z45" s="130" t="s">
        <v>113</v>
      </c>
      <c r="AA45" s="130" t="str">
        <f>IF(B45="","",VLOOKUP(AD45,Varsayımlar!$B:$Q,15,0))</f>
        <v>Nimet Kolisi</v>
      </c>
      <c r="AB45" s="130" t="str">
        <f>IF(B45="","",VLOOKUP(AD45,Varsayımlar!$B:$Q,16,0))</f>
        <v>24-26 CM</v>
      </c>
      <c r="AC45" s="64" t="s">
        <v>360</v>
      </c>
      <c r="AD45" s="57" t="str">
        <f>IF(B45="","",CONCATENATE(B45,E45))</f>
        <v>A101Nimet 25cm 12 pcs 840g</v>
      </c>
    </row>
    <row r="46" spans="1:30" ht="39" customHeight="1" x14ac:dyDescent="0.25">
      <c r="A46" s="8" t="s">
        <v>80</v>
      </c>
      <c r="B46" s="3" t="s">
        <v>64</v>
      </c>
      <c r="C46" s="3">
        <f>IF(B46="","",VLOOKUP(AD46,Varsayımlar!$B:$Q,3,0))</f>
        <v>8698829380698</v>
      </c>
      <c r="D46" s="3"/>
      <c r="E46" s="3" t="s">
        <v>108</v>
      </c>
      <c r="F46" s="3">
        <v>31</v>
      </c>
      <c r="G46" s="3"/>
      <c r="H46" s="3" t="str">
        <f>IF(B46="","",VLOOKUP(AD46,Varsayımlar!$B:$Q,5,0))</f>
        <v>Kırmızı Tortillas 25 cm</v>
      </c>
      <c r="I46" s="3">
        <f>IF(B46="","",VLOOKUP(AD46,Varsayımlar!B:T,19,0))</f>
        <v>0</v>
      </c>
      <c r="J46" s="3" t="str">
        <f>IF(B46="","",VLOOKUP(AD46,Varsayımlar!$B:$Q,6,0))</f>
        <v>SADE</v>
      </c>
      <c r="K46" s="3">
        <v>924</v>
      </c>
      <c r="L46" s="3"/>
      <c r="M46" s="3">
        <f>IFERROR(IF(B46="","",K46/VLOOKUP(AD46,Varsayımlar!B:R,17,0)),"")</f>
        <v>11</v>
      </c>
      <c r="N46" s="3"/>
      <c r="O46" s="3">
        <v>14</v>
      </c>
      <c r="P46" s="3">
        <f>IF(B46="","",VLOOKUP(AD46,Varsayımlar!$B:$Q,7,0)*K46)</f>
        <v>27720</v>
      </c>
      <c r="Q46" s="3">
        <f>IF(B46="","",VLOOKUP(AD46,Varsayımlar!$B:$Q,8,0))</f>
        <v>25</v>
      </c>
      <c r="R46" s="3" t="str">
        <f>IF(B46="","",VLOOKUP(AD46,Varsayımlar!$B:$Q,9,0))</f>
        <v>Soft</v>
      </c>
      <c r="S46" s="3">
        <f>IF(B46="","",VLOOKUP(AD46,Varsayımlar!$B:$Q,10,0))</f>
        <v>4</v>
      </c>
      <c r="T46" s="3">
        <f>IF(B46="","",VLOOKUP(AD46,Varsayımlar!$B:$Q,11,0))</f>
        <v>30</v>
      </c>
      <c r="U46" s="3">
        <f>IF(B46="","",VLOOKUP(AD46,Varsayımlar!$B:$Q,12,0))</f>
        <v>250</v>
      </c>
      <c r="V46" s="3" t="str">
        <f>IF(B46="","",VLOOKUP(AD46,Varsayımlar!$B:$Q,13,0))</f>
        <v>Yurtdışı</v>
      </c>
      <c r="W46" s="3">
        <f>IF(B46="","",VLOOKUP(AD46,Varsayımlar!$B:$Q,14,0))</f>
        <v>9</v>
      </c>
      <c r="X46" s="66">
        <v>46196</v>
      </c>
      <c r="Y46" s="66">
        <v>46469</v>
      </c>
      <c r="Z46" s="3">
        <v>26062325</v>
      </c>
      <c r="AA46" s="3" t="str">
        <f>IF(B46="","",VLOOKUP(AD46,Varsayımlar!$B:$Q,15,0))</f>
        <v>Kırmızı Koli- Üretim Tarihi Etiketli</v>
      </c>
      <c r="AB46" s="3" t="str">
        <f>IF(B46="","",VLOOKUP(AD46,Varsayımlar!$B:$Q,16,0))</f>
        <v>24-26 CM</v>
      </c>
      <c r="AC46" s="67" t="str">
        <f>IF(B46="","",VLOOKUP(Sayfa1!AD58,Varsayımlar!B:S,18,0))</f>
        <v>80x120cm -Epal+Epal</v>
      </c>
      <c r="AD46" s="57" t="str">
        <f t="shared" ref="AD46:AD53" si="1">IF(B46="","",CONCATENATE(B46,E46))</f>
        <v>SMART LLCKırmızı tortillas 25cm 4 lü 250g</v>
      </c>
    </row>
    <row r="47" spans="1:30" ht="47.25" x14ac:dyDescent="0.25">
      <c r="A47" s="8" t="s">
        <v>81</v>
      </c>
      <c r="B47" s="67" t="s">
        <v>268</v>
      </c>
      <c r="C47" s="42">
        <f>IF(B47="","",VLOOKUP(AD47,Varsayımlar!$B:$Q,3,0))</f>
        <v>8698829380698</v>
      </c>
      <c r="D47" s="42" t="s">
        <v>159</v>
      </c>
      <c r="E47" s="67" t="s">
        <v>342</v>
      </c>
      <c r="F47" s="67">
        <v>20250825</v>
      </c>
      <c r="G47" s="42" t="s">
        <v>68</v>
      </c>
      <c r="H47" s="67" t="str">
        <f>IF(B47="","",VLOOKUP(AD47,Varsayımlar!$B:$Q,5,0))</f>
        <v>Tortillas 25cm Sade</v>
      </c>
      <c r="I47" s="67">
        <f>IF(B47="","",VLOOKUP(AD47,Varsayımlar!B:T,19,0))</f>
        <v>0</v>
      </c>
      <c r="J47" s="67" t="str">
        <f>IF(B47="","",VLOOKUP(AD47,Varsayımlar!$B:$Q,6,0))</f>
        <v>SADE</v>
      </c>
      <c r="K47" s="67">
        <v>672</v>
      </c>
      <c r="L47" s="67"/>
      <c r="M47" s="67">
        <f>IFERROR(IF(B47="","",K47/VLOOKUP(AD47,Varsayımlar!B:R,17,0)),"")</f>
        <v>8</v>
      </c>
      <c r="N47" s="67"/>
      <c r="O47" s="67">
        <v>10</v>
      </c>
      <c r="P47" s="67">
        <f>IF(B47="","",VLOOKUP(AD47,Varsayımlar!$B:$Q,7,0)*K47)</f>
        <v>20160</v>
      </c>
      <c r="Q47" s="67">
        <f>IF(B47="","",VLOOKUP(AD47,Varsayımlar!$B:$Q,8,0))</f>
        <v>25</v>
      </c>
      <c r="R47" s="67" t="str">
        <f>IF(B47="","",VLOOKUP(AD47,Varsayımlar!$B:$Q,9,0))</f>
        <v>Soft-PA3</v>
      </c>
      <c r="S47" s="67">
        <f>IF(B47="","",VLOOKUP(AD47,Varsayımlar!$B:$Q,10,0))</f>
        <v>4</v>
      </c>
      <c r="T47" s="67">
        <f>IF(B47="","",VLOOKUP(AD47,Varsayımlar!$B:$Q,11,0))</f>
        <v>30</v>
      </c>
      <c r="U47" s="67">
        <f>IF(B47="","",VLOOKUP(AD47,Varsayımlar!$B:$Q,12,0))</f>
        <v>240</v>
      </c>
      <c r="V47" s="67" t="str">
        <f>IF(B47="","",VLOOKUP(AD47,Varsayımlar!$B:$Q,13,0))</f>
        <v>Yurtdışı</v>
      </c>
      <c r="W47" s="67">
        <f>IF(B47="","",VLOOKUP(AD47,Varsayımlar!$B:$Q,14,0))</f>
        <v>12</v>
      </c>
      <c r="X47" s="69">
        <v>46199</v>
      </c>
      <c r="Y47" s="69">
        <v>46564</v>
      </c>
      <c r="Z47" s="67">
        <v>26062625</v>
      </c>
      <c r="AA47" s="67" t="str">
        <f>IF(B47="","",VLOOKUP(AD47,Varsayımlar!$B:$Q,15,0))</f>
        <v>25cm Kolisi-Etiketli</v>
      </c>
      <c r="AB47" s="67" t="str">
        <f>IF(B47="","",VLOOKUP(AD47,Varsayımlar!$B:$Q,16,0))</f>
        <v>24-26 cm (Macca Hetto Inkjet Uzun Tarih)</v>
      </c>
      <c r="AC47" s="67" t="str">
        <f>IF(B47="","",VLOOKUP(Sayfa1!AD22,Varsayımlar!B:S,18,0))</f>
        <v>80x120cm</v>
      </c>
      <c r="AD47" s="57" t="str">
        <f t="shared" si="1"/>
        <v>LAIKYUZHN-BELARUSTortillas 25cm Sade 4pcs 240g</v>
      </c>
    </row>
    <row r="48" spans="1:30" ht="63" x14ac:dyDescent="0.25">
      <c r="A48" s="8" t="s">
        <v>83</v>
      </c>
      <c r="B48" s="62" t="s">
        <v>181</v>
      </c>
      <c r="C48" s="32">
        <f>IF(B48="","",VLOOKUP(AD48,Varsayımlar!$B:$Q,3,0))</f>
        <v>8698829380698</v>
      </c>
      <c r="D48" s="32"/>
      <c r="E48" s="62" t="s">
        <v>187</v>
      </c>
      <c r="F48" s="62">
        <v>26060101</v>
      </c>
      <c r="G48" s="32"/>
      <c r="H48" s="62" t="str">
        <f>IF(B48="","",VLOOKUP(AD48,Varsayımlar!$B:$Q,5,0))</f>
        <v>Tortillove 25cm</v>
      </c>
      <c r="I48" s="62" t="str">
        <f>IF(B48="","",VLOOKUP(AD48,Varsayımlar!B:T,19,0))</f>
        <v>Barkod üzerine Arnavutça içerik+Barkod-Tortillove</v>
      </c>
      <c r="J48" s="62" t="str">
        <f>IF(B48="","",VLOOKUP(AD48,Varsayımlar!$B:$Q,6,0))</f>
        <v>SADE</v>
      </c>
      <c r="K48" s="62">
        <v>168</v>
      </c>
      <c r="L48" s="62"/>
      <c r="M48" s="62">
        <f>IFERROR(IF(B48="","",K48/VLOOKUP(AD48,Varsayımlar!B:R,17,0)),"")</f>
        <v>2</v>
      </c>
      <c r="N48" s="62"/>
      <c r="O48" s="62">
        <v>2</v>
      </c>
      <c r="P48" s="62">
        <f>IF(B48="","",VLOOKUP(AD48,Varsayımlar!$B:$Q,7,0)*K48)</f>
        <v>3024</v>
      </c>
      <c r="Q48" s="62">
        <f>IF(B48="","",VLOOKUP(AD48,Varsayımlar!$B:$Q,8,0))</f>
        <v>25</v>
      </c>
      <c r="R48" s="62" t="str">
        <f>IF(B48="","",VLOOKUP(AD48,Varsayımlar!$B:$Q,9,0))</f>
        <v>Irak Soft</v>
      </c>
      <c r="S48" s="62">
        <f>IF(B48="","",VLOOKUP(AD48,Varsayımlar!$B:$Q,10,0))</f>
        <v>6</v>
      </c>
      <c r="T48" s="62">
        <f>IF(B48="","",VLOOKUP(AD48,Varsayımlar!$B:$Q,11,0))</f>
        <v>18</v>
      </c>
      <c r="U48" s="62">
        <f>IF(B48="","",VLOOKUP(AD48,Varsayımlar!$B:$Q,12,0))</f>
        <v>390</v>
      </c>
      <c r="V48" s="62" t="str">
        <f>IF(B48="","",VLOOKUP(AD48,Varsayımlar!$B:$Q,13,0))</f>
        <v>Yurtdışı</v>
      </c>
      <c r="W48" s="62">
        <f>IF(B48="","",VLOOKUP(AD48,Varsayımlar!$B:$Q,14,0))</f>
        <v>12</v>
      </c>
      <c r="X48" s="63">
        <v>46200</v>
      </c>
      <c r="Y48" s="63">
        <v>46565</v>
      </c>
      <c r="Z48" s="62">
        <v>26062725</v>
      </c>
      <c r="AA48" s="62" t="str">
        <f>IF(B48="","",VLOOKUP(AD48,Varsayımlar!$B:$Q,15,0))</f>
        <v>25cm Koli - Tortillove 390g Etiketli</v>
      </c>
      <c r="AB48" s="62" t="str">
        <f>IF(B48="","",VLOOKUP(AD48,Varsayımlar!$B:$Q,16,0))</f>
        <v>24-26 cm</v>
      </c>
      <c r="AC48" s="62">
        <f>IF(B48="","",VLOOKUP(Sayfa1!AD31,Varsayımlar!B:S,18,0))</f>
        <v>0</v>
      </c>
      <c r="AD48" s="57" t="str">
        <f t="shared" si="1"/>
        <v>ALDİ - KOSOVATortillove 25cm 6pcs 390g</v>
      </c>
    </row>
    <row r="49" spans="1:30" ht="63" x14ac:dyDescent="0.25">
      <c r="A49" s="8" t="s">
        <v>84</v>
      </c>
      <c r="B49" s="62" t="s">
        <v>181</v>
      </c>
      <c r="C49" s="32">
        <f>IF(B49="","",VLOOKUP(AD49,Varsayımlar!$B:$Q,3,0))</f>
        <v>8698829380698</v>
      </c>
      <c r="D49" s="32"/>
      <c r="E49" s="62" t="s">
        <v>189</v>
      </c>
      <c r="F49" s="62">
        <v>26060101</v>
      </c>
      <c r="G49" s="32"/>
      <c r="H49" s="62" t="str">
        <f>IF(B49="","",VLOOKUP(AD49,Varsayımlar!$B:$Q,5,0))</f>
        <v>Tortillas 25cm</v>
      </c>
      <c r="I49" s="62" t="str">
        <f>IF(B49="","",VLOOKUP(AD49,Varsayımlar!B:T,19,0))</f>
        <v>Barkod üzerine Arnavutça içerik+Barkod-Tortillas</v>
      </c>
      <c r="J49" s="62" t="str">
        <f>IF(B49="","",VLOOKUP(AD49,Varsayımlar!$B:$Q,6,0))</f>
        <v>SADE</v>
      </c>
      <c r="K49" s="62">
        <v>84</v>
      </c>
      <c r="L49" s="62"/>
      <c r="M49" s="62">
        <f>IFERROR(IF(B49="","",K49/VLOOKUP(AD49,Varsayımlar!B:R,17,0)),"")</f>
        <v>1</v>
      </c>
      <c r="N49" s="62"/>
      <c r="O49" s="62">
        <v>1</v>
      </c>
      <c r="P49" s="62">
        <f>IF(B49="","",VLOOKUP(AD49,Varsayımlar!$B:$Q,7,0)*K49)</f>
        <v>1512</v>
      </c>
      <c r="Q49" s="62">
        <f>IF(B49="","",VLOOKUP(AD49,Varsayımlar!$B:$Q,8,0))</f>
        <v>25</v>
      </c>
      <c r="R49" s="62" t="str">
        <f>IF(B49="","",VLOOKUP(AD49,Varsayımlar!$B:$Q,9,0))</f>
        <v>Irak Soft</v>
      </c>
      <c r="S49" s="62">
        <f>IF(B49="","",VLOOKUP(AD49,Varsayımlar!$B:$Q,10,0))</f>
        <v>6</v>
      </c>
      <c r="T49" s="62">
        <f>IF(B49="","",VLOOKUP(AD49,Varsayımlar!$B:$Q,11,0))</f>
        <v>18</v>
      </c>
      <c r="U49" s="62">
        <f>IF(B49="","",VLOOKUP(AD49,Varsayımlar!$B:$Q,12,0))</f>
        <v>390</v>
      </c>
      <c r="V49" s="62" t="str">
        <f>IF(B49="","",VLOOKUP(AD49,Varsayımlar!$B:$Q,13,0))</f>
        <v>Yurtdışı</v>
      </c>
      <c r="W49" s="62">
        <f>IF(B49="","",VLOOKUP(AD49,Varsayımlar!$B:$Q,14,0))</f>
        <v>12</v>
      </c>
      <c r="X49" s="63">
        <v>46200</v>
      </c>
      <c r="Y49" s="63">
        <v>46565</v>
      </c>
      <c r="Z49" s="62">
        <v>26062725</v>
      </c>
      <c r="AA49" s="62" t="str">
        <f>IF(B49="","",VLOOKUP(AD49,Varsayımlar!$B:$Q,15,0))</f>
        <v>25cm Koli - Tortillas 390g Etiketli</v>
      </c>
      <c r="AB49" s="62" t="str">
        <f>IF(B49="","",VLOOKUP(AD49,Varsayımlar!$B:$Q,16,0))</f>
        <v>24-26 cm</v>
      </c>
      <c r="AC49" s="62">
        <f>IF(B49="","",VLOOKUP(Sayfa1!AD32,Varsayımlar!B:S,18,0))</f>
        <v>0</v>
      </c>
      <c r="AD49" s="57" t="str">
        <f t="shared" si="1"/>
        <v>ALDİ - KOSOVATortillas 25cm 6pcs 390g</v>
      </c>
    </row>
    <row r="50" spans="1:30" ht="47.25" x14ac:dyDescent="0.25">
      <c r="A50" s="8" t="s">
        <v>85</v>
      </c>
      <c r="B50" s="62" t="s">
        <v>181</v>
      </c>
      <c r="C50" s="32">
        <f>IF(B50="","",VLOOKUP(AD50,Varsayımlar!$B:$Q,3,0))</f>
        <v>8698829380698</v>
      </c>
      <c r="D50" s="32"/>
      <c r="E50" s="62" t="s">
        <v>192</v>
      </c>
      <c r="F50" s="62">
        <v>26060101</v>
      </c>
      <c r="G50" s="32"/>
      <c r="H50" s="62" t="str">
        <f>IF(B50="","",VLOOKUP(AD50,Varsayımlar!$B:$Q,5,0))</f>
        <v>Tortillove 25cm</v>
      </c>
      <c r="I50" s="62" t="str">
        <f>IF(B50="","",VLOOKUP(AD50,Varsayımlar!B:T,19,0))</f>
        <v>Arka kısma Arnavutça içerik-Tortillove</v>
      </c>
      <c r="J50" s="62" t="str">
        <f>IF(B50="","",VLOOKUP(AD50,Varsayımlar!$B:$Q,6,0))</f>
        <v>SADE</v>
      </c>
      <c r="K50" s="62">
        <v>168</v>
      </c>
      <c r="L50" s="62"/>
      <c r="M50" s="62">
        <f>IFERROR(IF(B50="","",K50/VLOOKUP(AD50,Varsayımlar!B:R,17,0)),"")</f>
        <v>2</v>
      </c>
      <c r="N50" s="62"/>
      <c r="O50" s="62">
        <v>2</v>
      </c>
      <c r="P50" s="62">
        <f>IF(B50="","",VLOOKUP(AD50,Varsayımlar!$B:$Q,7,0)*K50)</f>
        <v>2016</v>
      </c>
      <c r="Q50" s="62">
        <f>IF(B50="","",VLOOKUP(AD50,Varsayımlar!$B:$Q,8,0))</f>
        <v>25</v>
      </c>
      <c r="R50" s="62" t="str">
        <f>IF(B50="","",VLOOKUP(AD50,Varsayımlar!$B:$Q,9,0))</f>
        <v>Irak Soft</v>
      </c>
      <c r="S50" s="62">
        <f>IF(B50="","",VLOOKUP(AD50,Varsayımlar!$B:$Q,10,0))</f>
        <v>10</v>
      </c>
      <c r="T50" s="62">
        <f>IF(B50="","",VLOOKUP(AD50,Varsayımlar!$B:$Q,11,0))</f>
        <v>12</v>
      </c>
      <c r="U50" s="62">
        <f>IF(B50="","",VLOOKUP(AD50,Varsayımlar!$B:$Q,12,0))</f>
        <v>650</v>
      </c>
      <c r="V50" s="62" t="str">
        <f>IF(B50="","",VLOOKUP(AD50,Varsayımlar!$B:$Q,13,0))</f>
        <v>Yurtdışı</v>
      </c>
      <c r="W50" s="62">
        <f>IF(B50="","",VLOOKUP(AD50,Varsayımlar!$B:$Q,14,0))</f>
        <v>12</v>
      </c>
      <c r="X50" s="63">
        <v>46200</v>
      </c>
      <c r="Y50" s="63">
        <v>46565</v>
      </c>
      <c r="Z50" s="62">
        <v>26062725</v>
      </c>
      <c r="AA50" s="62" t="str">
        <f>IF(B50="","",VLOOKUP(AD50,Varsayımlar!$B:$Q,15,0))</f>
        <v>25cm Koli - Tortillove 650g Etiketli</v>
      </c>
      <c r="AB50" s="62" t="str">
        <f>IF(B50="","",VLOOKUP(AD50,Varsayımlar!$B:$Q,16,0))</f>
        <v>24-26 cm</v>
      </c>
      <c r="AC50" s="62">
        <f>IF(B50="","",VLOOKUP(Sayfa1!AD33,Varsayımlar!B:S,18,0))</f>
        <v>0</v>
      </c>
      <c r="AD50" s="57" t="str">
        <f t="shared" si="1"/>
        <v>ALDİ - KOSOVATortillove 25cm 10pcs 650g</v>
      </c>
    </row>
    <row r="51" spans="1:30" ht="47.25" x14ac:dyDescent="0.25">
      <c r="A51" s="8" t="s">
        <v>86</v>
      </c>
      <c r="B51" s="62" t="s">
        <v>181</v>
      </c>
      <c r="C51" s="32">
        <f>IF(B51="","",VLOOKUP(AD51,Varsayımlar!$B:$Q,3,0))</f>
        <v>8698829380698</v>
      </c>
      <c r="D51" s="32"/>
      <c r="E51" s="62" t="s">
        <v>193</v>
      </c>
      <c r="F51" s="62">
        <v>26060101</v>
      </c>
      <c r="G51" s="32"/>
      <c r="H51" s="62" t="str">
        <f>IF(B51="","",VLOOKUP(AD51,Varsayımlar!$B:$Q,5,0))</f>
        <v>Tortillas 25cm</v>
      </c>
      <c r="I51" s="62" t="str">
        <f>IF(B51="","",VLOOKUP(AD51,Varsayımlar!B:T,19,0))</f>
        <v>Arka kısma Arnavutça içerik-Tortillas</v>
      </c>
      <c r="J51" s="62" t="str">
        <f>IF(B51="","",VLOOKUP(AD51,Varsayımlar!$B:$Q,6,0))</f>
        <v>SADE</v>
      </c>
      <c r="K51" s="62">
        <v>84</v>
      </c>
      <c r="L51" s="62"/>
      <c r="M51" s="62">
        <f>IFERROR(IF(B51="","",K51/VLOOKUP(AD51,Varsayımlar!B:R,17,0)),"")</f>
        <v>1</v>
      </c>
      <c r="N51" s="62"/>
      <c r="O51" s="62">
        <v>2</v>
      </c>
      <c r="P51" s="62">
        <f>IF(B51="","",VLOOKUP(AD51,Varsayımlar!$B:$Q,7,0)*K51)</f>
        <v>1008</v>
      </c>
      <c r="Q51" s="62">
        <f>IF(B51="","",VLOOKUP(AD51,Varsayımlar!$B:$Q,8,0))</f>
        <v>25</v>
      </c>
      <c r="R51" s="62" t="str">
        <f>IF(B51="","",VLOOKUP(AD51,Varsayımlar!$B:$Q,9,0))</f>
        <v>Irak Soft</v>
      </c>
      <c r="S51" s="62">
        <f>IF(B51="","",VLOOKUP(AD51,Varsayımlar!$B:$Q,10,0))</f>
        <v>10</v>
      </c>
      <c r="T51" s="62">
        <f>IF(B51="","",VLOOKUP(AD51,Varsayımlar!$B:$Q,11,0))</f>
        <v>12</v>
      </c>
      <c r="U51" s="62">
        <f>IF(B51="","",VLOOKUP(AD51,Varsayımlar!$B:$Q,12,0))</f>
        <v>650</v>
      </c>
      <c r="V51" s="62" t="str">
        <f>IF(B51="","",VLOOKUP(AD51,Varsayımlar!$B:$Q,13,0))</f>
        <v>Yurtdışı</v>
      </c>
      <c r="W51" s="62">
        <f>IF(B51="","",VLOOKUP(AD51,Varsayımlar!$B:$Q,14,0))</f>
        <v>12</v>
      </c>
      <c r="X51" s="63">
        <v>46200</v>
      </c>
      <c r="Y51" s="63">
        <v>46565</v>
      </c>
      <c r="Z51" s="62">
        <v>26062725</v>
      </c>
      <c r="AA51" s="62" t="str">
        <f>IF(B51="","",VLOOKUP(AD51,Varsayımlar!$B:$Q,15,0))</f>
        <v>25cm Koli - Tortillas 650g Etiketli</v>
      </c>
      <c r="AB51" s="62" t="str">
        <f>IF(B51="","",VLOOKUP(AD51,Varsayımlar!$B:$Q,16,0))</f>
        <v>24-26 cm</v>
      </c>
      <c r="AC51" s="62">
        <f>IF(B51="","",VLOOKUP(Sayfa1!AD34,Varsayımlar!B:S,18,0))</f>
        <v>0</v>
      </c>
      <c r="AD51" s="57" t="str">
        <f t="shared" si="1"/>
        <v>ALDİ - KOSOVATortillas 25cm 10pcs 650g</v>
      </c>
    </row>
    <row r="52" spans="1:30" ht="31.5" x14ac:dyDescent="0.25">
      <c r="A52" s="8" t="s">
        <v>87</v>
      </c>
      <c r="B52" s="64" t="s">
        <v>288</v>
      </c>
      <c r="C52" s="3">
        <f>IF(B52="","",VLOOKUP(AD52,Varsayımlar!$B:$Q,3,0))</f>
        <v>8698829380698</v>
      </c>
      <c r="D52" s="3"/>
      <c r="E52" s="64" t="s">
        <v>292</v>
      </c>
      <c r="F52" s="64">
        <v>20201016</v>
      </c>
      <c r="G52" s="3" t="s">
        <v>68</v>
      </c>
      <c r="H52" s="64" t="str">
        <f>IF(B52="","",VLOOKUP(AD52,Varsayımlar!$B:$Q,5,0))</f>
        <v>Kırmızı Tortillas 25cm Sade</v>
      </c>
      <c r="I52" s="64" t="str">
        <f>IF(B52="","",VLOOKUP(AD52,Varsayımlar!B:T,19,0))</f>
        <v>Arka kısma İçerik</v>
      </c>
      <c r="J52" s="64" t="str">
        <f>IF(B52="","",VLOOKUP(AD52,Varsayımlar!$B:$Q,6,0))</f>
        <v>SADE</v>
      </c>
      <c r="K52" s="64">
        <v>250</v>
      </c>
      <c r="L52" s="64"/>
      <c r="M52" s="64">
        <f>IFERROR(IF(B52="","",K52/VLOOKUP(AD52,Varsayımlar!B:R,17,0)),"")</f>
        <v>5</v>
      </c>
      <c r="N52" s="64"/>
      <c r="O52" s="64">
        <v>4</v>
      </c>
      <c r="P52" s="64">
        <f>IF(B52="","",VLOOKUP(AD52,Varsayımlar!$B:$Q,7,0)*K52)</f>
        <v>4500</v>
      </c>
      <c r="Q52" s="64">
        <f>IF(B52="","",VLOOKUP(AD52,Varsayımlar!$B:$Q,8,0))</f>
        <v>25</v>
      </c>
      <c r="R52" s="64" t="str">
        <f>IF(B52="","",VLOOKUP(AD52,Varsayımlar!$B:$Q,9,0))</f>
        <v>Irak Soft</v>
      </c>
      <c r="S52" s="64">
        <f>IF(B52="","",VLOOKUP(AD52,Varsayımlar!$B:$Q,10,0))</f>
        <v>6</v>
      </c>
      <c r="T52" s="64">
        <f>IF(B52="","",VLOOKUP(AD52,Varsayımlar!$B:$Q,11,0))</f>
        <v>18</v>
      </c>
      <c r="U52" s="64">
        <f>IF(B52="","",VLOOKUP(AD52,Varsayımlar!$B:$Q,12,0))</f>
        <v>390</v>
      </c>
      <c r="V52" s="64" t="str">
        <f>IF(B52="","",VLOOKUP(AD52,Varsayımlar!$B:$Q,13,0))</f>
        <v>YURTDIŞI</v>
      </c>
      <c r="W52" s="64">
        <f>IF(B52="","",VLOOKUP(AD52,Varsayımlar!$B:$Q,14,0))</f>
        <v>9</v>
      </c>
      <c r="X52" s="66">
        <v>46202</v>
      </c>
      <c r="Y52" s="66">
        <v>46475</v>
      </c>
      <c r="Z52" s="64">
        <v>26062925</v>
      </c>
      <c r="AA52" s="64" t="str">
        <f>IF(B52="","",VLOOKUP(AD52,Varsayımlar!$B:$Q,15,0))</f>
        <v>25cm Koli</v>
      </c>
      <c r="AB52" s="64" t="str">
        <f>IF(B52="","",VLOOKUP(AD52,Varsayımlar!$B:$Q,16,0))</f>
        <v>24-26 cm</v>
      </c>
      <c r="AC52" s="64" t="str">
        <f>IF(B52="","",VLOOKUP(Sayfa1!AD42,Varsayımlar!B:S,18,0))</f>
        <v>80x120cm</v>
      </c>
      <c r="AD52" s="57" t="str">
        <f t="shared" si="1"/>
        <v>UNITERA-KAZAKİSTANKırmızı Tortillas 25cm Sade 6pcs 390g</v>
      </c>
    </row>
    <row r="53" spans="1:30" ht="31.5" x14ac:dyDescent="0.25">
      <c r="A53" s="8" t="s">
        <v>88</v>
      </c>
      <c r="B53" s="80" t="s">
        <v>218</v>
      </c>
      <c r="C53" s="44">
        <f>IF(B53="","",VLOOKUP(AD53,Varsayımlar!$B:$Q,3,0))</f>
        <v>8698829380698</v>
      </c>
      <c r="D53" s="44" t="s">
        <v>160</v>
      </c>
      <c r="E53" s="80" t="s">
        <v>228</v>
      </c>
      <c r="F53" s="80">
        <v>26042907</v>
      </c>
      <c r="G53" s="44"/>
      <c r="H53" s="80" t="str">
        <f>IF(B53="","",VLOOKUP(AD53,Varsayımlar!$B:$Q,5,0))</f>
        <v>Tortillas Avrupa 25cm (698)</v>
      </c>
      <c r="I53" s="80">
        <f>IF(B53="","",VLOOKUP(AD53,Varsayımlar!B:T,19,0))</f>
        <v>0</v>
      </c>
      <c r="J53" s="80" t="str">
        <f>IF(B53="","",VLOOKUP(AD53,Varsayımlar!$B:$Q,6,0))</f>
        <v>SADE</v>
      </c>
      <c r="K53" s="80">
        <v>720</v>
      </c>
      <c r="L53" s="80"/>
      <c r="M53" s="80">
        <f>IFERROR(IF(B53="","",K53/VLOOKUP(AD53,Varsayımlar!B:R,17,0)),"")</f>
        <v>6</v>
      </c>
      <c r="N53" s="80"/>
      <c r="O53" s="80">
        <v>7</v>
      </c>
      <c r="P53" s="80">
        <f>IF(B53="","",VLOOKUP(AD53,Varsayımlar!$B:$Q,7,0)*K53)</f>
        <v>5760</v>
      </c>
      <c r="Q53" s="80">
        <f>IF(B53="","",VLOOKUP(AD53,Varsayımlar!$B:$Q,8,0))</f>
        <v>25</v>
      </c>
      <c r="R53" s="80" t="str">
        <f>IF(B53="","",VLOOKUP(AD53,Varsayımlar!$B:$Q,9,0))</f>
        <v>Irak Soft</v>
      </c>
      <c r="S53" s="80">
        <f>IF(B53="","",VLOOKUP(AD53,Varsayımlar!$B:$Q,10,0))</f>
        <v>10</v>
      </c>
      <c r="T53" s="80">
        <f>IF(B53="","",VLOOKUP(AD53,Varsayımlar!$B:$Q,11,0))</f>
        <v>8</v>
      </c>
      <c r="U53" s="80">
        <f>IF(B53="","",VLOOKUP(AD53,Varsayımlar!$B:$Q,12,0))</f>
        <v>650</v>
      </c>
      <c r="V53" s="80" t="str">
        <f>IF(B53="","",VLOOKUP(AD53,Varsayımlar!$B:$Q,13,0))</f>
        <v>Yurtdışı</v>
      </c>
      <c r="W53" s="80">
        <f>IF(B53="","",VLOOKUP(AD53,Varsayımlar!$B:$Q,14,0))</f>
        <v>9</v>
      </c>
      <c r="X53" s="81">
        <v>46203</v>
      </c>
      <c r="Y53" s="81">
        <v>46476</v>
      </c>
      <c r="Z53" s="80">
        <v>26063025</v>
      </c>
      <c r="AA53" s="80" t="str">
        <f>IF(B53="","",VLOOKUP(AD53,Varsayımlar!$B:$Q,15,0))</f>
        <v>25cm Perforeli-Bulgarca etiket</v>
      </c>
      <c r="AB53" s="80" t="str">
        <f>IF(B53="","",VLOOKUP(AD53,Varsayımlar!$B:$Q,16,0))</f>
        <v>24-26 cm</v>
      </c>
      <c r="AC53" s="80" t="str">
        <f>IF(B53="","",VLOOKUP(Sayfa1!AD56,Varsayımlar!B:S,18,0))</f>
        <v>80x120cm -Epal+Epal</v>
      </c>
      <c r="AD53" s="57" t="str">
        <f t="shared" si="1"/>
        <v>TASTE LAND-BULGARİSTANTortillas 25cm Sade 10pcs 650g</v>
      </c>
    </row>
    <row r="54" spans="1:30" ht="47.25" x14ac:dyDescent="0.25">
      <c r="A54" s="8" t="s">
        <v>89</v>
      </c>
      <c r="B54" s="54" t="s">
        <v>268</v>
      </c>
      <c r="C54" s="39">
        <f>IF(B54="","",VLOOKUP(AD54,Varsayımlar!$B:$Q,3,0))</f>
        <v>8698829380698</v>
      </c>
      <c r="D54" s="39" t="s">
        <v>160</v>
      </c>
      <c r="E54" s="54" t="s">
        <v>342</v>
      </c>
      <c r="F54" s="54" t="s">
        <v>343</v>
      </c>
      <c r="G54" s="39" t="s">
        <v>68</v>
      </c>
      <c r="H54" s="54" t="str">
        <f>IF(B54="","",VLOOKUP(AD54,Varsayımlar!$B:$Q,5,0))</f>
        <v>Tortillas 25cm Sade</v>
      </c>
      <c r="I54" s="54">
        <f>IF(B54="","",VLOOKUP(AD54,Varsayımlar!B:T,19,0))</f>
        <v>0</v>
      </c>
      <c r="J54" s="54" t="str">
        <f>IF(B54="","",VLOOKUP(AD54,Varsayımlar!$B:$Q,6,0))</f>
        <v>SADE</v>
      </c>
      <c r="K54" s="54">
        <v>420</v>
      </c>
      <c r="L54" s="54"/>
      <c r="M54" s="54">
        <f>IFERROR(IF(B54="","",K54/VLOOKUP(AD54,Varsayımlar!B:R,17,0)),"")</f>
        <v>5</v>
      </c>
      <c r="N54" s="54"/>
      <c r="O54" s="54">
        <v>7</v>
      </c>
      <c r="P54" s="54">
        <f>IF(B54="","",VLOOKUP(AD54,Varsayımlar!$B:$Q,7,0)*K54)</f>
        <v>12600</v>
      </c>
      <c r="Q54" s="54">
        <f>IF(B54="","",VLOOKUP(AD54,Varsayımlar!$B:$Q,8,0))</f>
        <v>25</v>
      </c>
      <c r="R54" s="54" t="str">
        <f>IF(B54="","",VLOOKUP(AD54,Varsayımlar!$B:$Q,9,0))</f>
        <v>Soft-PA3</v>
      </c>
      <c r="S54" s="54">
        <f>IF(B54="","",VLOOKUP(AD54,Varsayımlar!$B:$Q,10,0))</f>
        <v>4</v>
      </c>
      <c r="T54" s="54">
        <f>IF(B54="","",VLOOKUP(AD54,Varsayımlar!$B:$Q,11,0))</f>
        <v>30</v>
      </c>
      <c r="U54" s="54">
        <f>IF(B54="","",VLOOKUP(AD54,Varsayımlar!$B:$Q,12,0))</f>
        <v>240</v>
      </c>
      <c r="V54" s="54" t="str">
        <f>IF(B54="","",VLOOKUP(AD54,Varsayımlar!$B:$Q,13,0))</f>
        <v>Yurtdışı</v>
      </c>
      <c r="W54" s="54">
        <f>IF(B54="","",VLOOKUP(AD54,Varsayımlar!$B:$Q,14,0))</f>
        <v>12</v>
      </c>
      <c r="X54" s="56">
        <v>46205</v>
      </c>
      <c r="Y54" s="56">
        <v>46570</v>
      </c>
      <c r="Z54" s="54">
        <v>26070225</v>
      </c>
      <c r="AA54" s="54" t="str">
        <f>IF(B54="","",VLOOKUP(AD54,Varsayımlar!$B:$Q,15,0))</f>
        <v>25cm Kolisi-Etiketli</v>
      </c>
      <c r="AB54" s="54" t="str">
        <f>IF(B54="","",VLOOKUP(AD54,Varsayımlar!$B:$Q,16,0))</f>
        <v>24-26 cm (Macca Hetto Inkjet Uzun Tarih)</v>
      </c>
      <c r="AC54" s="54" t="str">
        <f>IF(B54="","",VLOOKUP(Sayfa1!AD35,Varsayımlar!B:S,18,0))</f>
        <v>80x120cm</v>
      </c>
      <c r="AD54" s="57" t="str">
        <f>IF(B54="","",CONCATENATE(B54,E54))</f>
        <v>LAIKYUZHN-BELARUSTortillas 25cm Sade 4pcs 240g</v>
      </c>
    </row>
    <row r="55" spans="1:30" ht="47.25" x14ac:dyDescent="0.25">
      <c r="A55" s="8" t="s">
        <v>90</v>
      </c>
      <c r="B55" s="64" t="s">
        <v>119</v>
      </c>
      <c r="C55" s="3">
        <f>IF(B55="","",VLOOKUP(AD55,Varsayımlar!$B:$Q,3,0))</f>
        <v>8698829380698</v>
      </c>
      <c r="D55" s="3"/>
      <c r="E55" s="65" t="s">
        <v>120</v>
      </c>
      <c r="F55" s="64"/>
      <c r="G55" s="64"/>
      <c r="H55" s="64" t="str">
        <f>IF(B55="","",VLOOKUP(AD55,Varsayımlar!$B:$Q,5,0))</f>
        <v>Nimet 25 cm</v>
      </c>
      <c r="I55" s="64"/>
      <c r="J55" s="64" t="str">
        <f>IF(B55="","",VLOOKUP(AD55,Varsayımlar!$B:$Q,6,0))</f>
        <v>SADE</v>
      </c>
      <c r="K55" s="64">
        <v>4000</v>
      </c>
      <c r="L55" s="64"/>
      <c r="M55" s="64">
        <f>IFERROR(IF(B55="","",K55/VLOOKUP(AD55,Varsayımlar!B:R,17,0)),"")</f>
        <v>80</v>
      </c>
      <c r="N55" s="64"/>
      <c r="O55" s="64">
        <v>60</v>
      </c>
      <c r="P55" s="64">
        <f>IF(B55="","",VLOOKUP(AD55,Varsayımlar!$B:$Q,7,0)*K55)</f>
        <v>48000</v>
      </c>
      <c r="Q55" s="64">
        <f>IF(B55="","",VLOOKUP(AD55,Varsayımlar!$B:$Q,8,0))</f>
        <v>25</v>
      </c>
      <c r="R55" s="64" t="str">
        <f>IF(B55="","",VLOOKUP(AD55,Varsayımlar!$B:$Q,9,0))</f>
        <v>Standart</v>
      </c>
      <c r="S55" s="64">
        <f>IF(B55="","",VLOOKUP(AD55,Varsayımlar!$B:$Q,10,0))</f>
        <v>12</v>
      </c>
      <c r="T55" s="64">
        <f>IF(B55="","",VLOOKUP(AD55,Varsayımlar!$B:$Q,11,0))</f>
        <v>12</v>
      </c>
      <c r="U55" s="64">
        <f>IF(B55="","",VLOOKUP(AD55,Varsayımlar!$B:$Q,12,0))</f>
        <v>840</v>
      </c>
      <c r="V55" s="64" t="str">
        <f>IF(B55="","",VLOOKUP(AD55,Varsayımlar!$B:$Q,13,0))</f>
        <v>YURTİÇİ</v>
      </c>
      <c r="W55" s="64">
        <f>IF(B55="","",VLOOKUP(AD55,Varsayımlar!$B:$Q,14,0))</f>
        <v>5</v>
      </c>
      <c r="X55" s="66" t="s">
        <v>113</v>
      </c>
      <c r="Y55" s="66" t="s">
        <v>113</v>
      </c>
      <c r="Z55" s="64" t="s">
        <v>113</v>
      </c>
      <c r="AA55" s="64" t="str">
        <f>IF(B55="","",VLOOKUP(AD55,Varsayımlar!$B:$Q,15,0))</f>
        <v>Nimet Kolisi</v>
      </c>
      <c r="AB55" s="64" t="str">
        <f>IF(B55="","",VLOOKUP(AD55,Varsayımlar!$B:$Q,16,0))</f>
        <v>24-26 CM</v>
      </c>
      <c r="AC55" s="64" t="s">
        <v>360</v>
      </c>
      <c r="AD55" s="57" t="str">
        <f t="shared" ref="AD55:AD62" si="2">IF(B55="","",CONCATENATE(B55,E55))</f>
        <v>A101Nimet 25cm 12 pcs 840g</v>
      </c>
    </row>
    <row r="56" spans="1:30" ht="31.5" x14ac:dyDescent="0.25">
      <c r="A56" s="8" t="s">
        <v>91</v>
      </c>
      <c r="B56" s="75" t="s">
        <v>218</v>
      </c>
      <c r="C56" s="43">
        <f>IF(B56="","",VLOOKUP(AD56,Varsayımlar!$B:$Q,3,0))</f>
        <v>8698829380698</v>
      </c>
      <c r="D56" s="43" t="s">
        <v>161</v>
      </c>
      <c r="E56" s="75" t="s">
        <v>228</v>
      </c>
      <c r="F56" s="75" t="s">
        <v>341</v>
      </c>
      <c r="G56" s="43"/>
      <c r="H56" s="75" t="str">
        <f>IF(B56="","",VLOOKUP(AD56,Varsayımlar!$B:$Q,5,0))</f>
        <v>Tortillas Avrupa 25cm (698)</v>
      </c>
      <c r="I56" s="75">
        <f>IF(B56="","",VLOOKUP(AD56,Varsayımlar!B:T,19,0))</f>
        <v>0</v>
      </c>
      <c r="J56" s="75" t="str">
        <f>IF(B56="","",VLOOKUP(AD56,Varsayımlar!$B:$Q,6,0))</f>
        <v>SADE</v>
      </c>
      <c r="K56" s="75">
        <v>720</v>
      </c>
      <c r="L56" s="75"/>
      <c r="M56" s="75">
        <f>IFERROR(IF(B56="","",K56/VLOOKUP(AD56,Varsayımlar!B:R,17,0)),"")</f>
        <v>6</v>
      </c>
      <c r="N56" s="75"/>
      <c r="O56" s="75">
        <v>7</v>
      </c>
      <c r="P56" s="75">
        <f>IF(B56="","",VLOOKUP(AD56,Varsayımlar!$B:$Q,7,0)*K56)</f>
        <v>5760</v>
      </c>
      <c r="Q56" s="75">
        <f>IF(B56="","",VLOOKUP(AD56,Varsayımlar!$B:$Q,8,0))</f>
        <v>25</v>
      </c>
      <c r="R56" s="75" t="str">
        <f>IF(B56="","",VLOOKUP(AD56,Varsayımlar!$B:$Q,9,0))</f>
        <v>Irak Soft</v>
      </c>
      <c r="S56" s="75">
        <f>IF(B56="","",VLOOKUP(AD56,Varsayımlar!$B:$Q,10,0))</f>
        <v>10</v>
      </c>
      <c r="T56" s="75">
        <f>IF(B56="","",VLOOKUP(AD56,Varsayımlar!$B:$Q,11,0))</f>
        <v>8</v>
      </c>
      <c r="U56" s="75">
        <f>IF(B56="","",VLOOKUP(AD56,Varsayımlar!$B:$Q,12,0))</f>
        <v>650</v>
      </c>
      <c r="V56" s="75" t="str">
        <f>IF(B56="","",VLOOKUP(AD56,Varsayımlar!$B:$Q,13,0))</f>
        <v>Yurtdışı</v>
      </c>
      <c r="W56" s="75">
        <f>IF(B56="","",VLOOKUP(AD56,Varsayımlar!$B:$Q,14,0))</f>
        <v>9</v>
      </c>
      <c r="X56" s="76">
        <v>46213</v>
      </c>
      <c r="Y56" s="76">
        <v>46487</v>
      </c>
      <c r="Z56" s="75">
        <v>26071025</v>
      </c>
      <c r="AA56" s="75" t="str">
        <f>IF(B56="","",VLOOKUP(AD56,Varsayımlar!$B:$Q,15,0))</f>
        <v>25cm Perforeli-Bulgarca etiket</v>
      </c>
      <c r="AB56" s="75" t="str">
        <f>IF(B56="","",VLOOKUP(AD56,Varsayımlar!$B:$Q,16,0))</f>
        <v>24-26 cm</v>
      </c>
      <c r="AC56" s="75" t="str">
        <f>IF(B56="","",VLOOKUP(Sayfa1!AD61,Varsayımlar!B:S,18,0))</f>
        <v>80x120cm -Epal+Epal</v>
      </c>
      <c r="AD56" s="57" t="str">
        <f t="shared" si="2"/>
        <v>TASTE LAND-BULGARİSTANTortillas 25cm Sade 10pcs 650g</v>
      </c>
    </row>
    <row r="57" spans="1:30" ht="47.25" x14ac:dyDescent="0.25">
      <c r="A57" s="8" t="s">
        <v>92</v>
      </c>
      <c r="B57" s="75" t="s">
        <v>218</v>
      </c>
      <c r="C57" s="43">
        <f>IF(B57="","",VLOOKUP(AD57,Varsayımlar!$B:$Q,3,0))</f>
        <v>8698829380698</v>
      </c>
      <c r="D57" s="43" t="s">
        <v>161</v>
      </c>
      <c r="E57" s="75" t="s">
        <v>250</v>
      </c>
      <c r="F57" s="75" t="s">
        <v>341</v>
      </c>
      <c r="G57" s="43"/>
      <c r="H57" s="75" t="str">
        <f>IF(B57="","",VLOOKUP(AD57,Varsayımlar!$B:$Q,5,0))</f>
        <v>Tortillas Avrupa 25cm (698)</v>
      </c>
      <c r="I57" s="75" t="str">
        <f>IF(B57="","",VLOOKUP(AD57,Varsayımlar!B:T,19,0))</f>
        <v>Barkod üzerine Barkod Etiketi (050)</v>
      </c>
      <c r="J57" s="75" t="str">
        <f>IF(B57="","",VLOOKUP(AD57,Varsayımlar!$B:$Q,6,0))</f>
        <v>SADE</v>
      </c>
      <c r="K57" s="75">
        <v>168</v>
      </c>
      <c r="L57" s="75"/>
      <c r="M57" s="75">
        <f>IFERROR(IF(B57="","",K57/VLOOKUP(AD57,Varsayımlar!B:R,17,0)),"")</f>
        <v>2</v>
      </c>
      <c r="N57" s="75"/>
      <c r="O57" s="75">
        <v>3</v>
      </c>
      <c r="P57" s="75">
        <f>IF(B57="","",VLOOKUP(AD57,Varsayımlar!$B:$Q,7,0)*K57)</f>
        <v>3024</v>
      </c>
      <c r="Q57" s="75">
        <f>IF(B57="","",VLOOKUP(AD57,Varsayımlar!$B:$Q,8,0))</f>
        <v>25</v>
      </c>
      <c r="R57" s="75" t="str">
        <f>IF(B57="","",VLOOKUP(AD57,Varsayımlar!$B:$Q,9,0))</f>
        <v>Irak Soft</v>
      </c>
      <c r="S57" s="75">
        <f>IF(B57="","",VLOOKUP(AD57,Varsayımlar!$B:$Q,10,0))</f>
        <v>6</v>
      </c>
      <c r="T57" s="75">
        <f>IF(B57="","",VLOOKUP(AD57,Varsayımlar!$B:$Q,11,0))</f>
        <v>18</v>
      </c>
      <c r="U57" s="75">
        <f>IF(B57="","",VLOOKUP(AD57,Varsayımlar!$B:$Q,12,0))</f>
        <v>390</v>
      </c>
      <c r="V57" s="75" t="str">
        <f>IF(B57="","",VLOOKUP(AD57,Varsayımlar!$B:$Q,13,0))</f>
        <v>Yurtdışı</v>
      </c>
      <c r="W57" s="75">
        <f>IF(B57="","",VLOOKUP(AD57,Varsayımlar!$B:$Q,14,0))</f>
        <v>9</v>
      </c>
      <c r="X57" s="76">
        <v>46213</v>
      </c>
      <c r="Y57" s="76">
        <v>46487</v>
      </c>
      <c r="Z57" s="75">
        <v>26071025</v>
      </c>
      <c r="AA57" s="75" t="str">
        <f>IF(B57="","",VLOOKUP(AD57,Varsayımlar!$B:$Q,15,0))</f>
        <v>25cm Kırmızı koli-Bulgarca Etiket</v>
      </c>
      <c r="AB57" s="75" t="str">
        <f>IF(B57="","",VLOOKUP(AD57,Varsayımlar!$B:$Q,16,0))</f>
        <v>24-26 cm</v>
      </c>
      <c r="AC57" s="75" t="str">
        <f>IF(B57="","",VLOOKUP(Sayfa1!AD62,Varsayımlar!B:S,18,0))</f>
        <v>80x120cm -Epal+Epal</v>
      </c>
      <c r="AD57" s="57" t="str">
        <f t="shared" si="2"/>
        <v>TASTE LAND-BULGARİSTANTortillas 25cm Sade 6pcs 390g</v>
      </c>
    </row>
    <row r="58" spans="1:30" x14ac:dyDescent="0.25">
      <c r="A58" s="8" t="s">
        <v>93</v>
      </c>
      <c r="B58" s="67"/>
      <c r="C58" s="42" t="str">
        <f>IF(B58="","",VLOOKUP(AD58,Varsayımlar!$B:$Q,3,0))</f>
        <v/>
      </c>
      <c r="D58" s="42"/>
      <c r="E58" s="42"/>
      <c r="F58" s="67"/>
      <c r="G58" s="67"/>
      <c r="H58" s="67" t="str">
        <f>IF(B58="","",VLOOKUP(AD58,Varsayımlar!$B:$Q,5,0))</f>
        <v/>
      </c>
      <c r="I58" s="67"/>
      <c r="J58" s="67" t="str">
        <f>IF(B58="","",VLOOKUP(AD58,Varsayımlar!$B:$Q,6,0))</f>
        <v/>
      </c>
      <c r="K58" s="67"/>
      <c r="L58" s="67"/>
      <c r="M58" s="67" t="str">
        <f>IFERROR(IF(B58="","",K58/VLOOKUP(AD58,Varsayımlar!B:R,17,0)),"")</f>
        <v/>
      </c>
      <c r="N58" s="67"/>
      <c r="O58" s="67"/>
      <c r="P58" s="67" t="str">
        <f>IF(B58="","",VLOOKUP(AD58,Varsayımlar!$B:$Q,7,0)*K58)</f>
        <v/>
      </c>
      <c r="Q58" s="67" t="str">
        <f>IF(B58="","",VLOOKUP(AD58,Varsayımlar!$B:$Q,8,0))</f>
        <v/>
      </c>
      <c r="R58" s="67" t="str">
        <f>IF(B58="","",VLOOKUP(AD58,Varsayımlar!$B:$Q,9,0))</f>
        <v/>
      </c>
      <c r="S58" s="67" t="str">
        <f>IF(B58="","",VLOOKUP(AD58,Varsayımlar!$B:$Q,10,0))</f>
        <v/>
      </c>
      <c r="T58" s="67" t="str">
        <f>IF(B58="","",VLOOKUP(AD58,Varsayımlar!$B:$Q,11,0))</f>
        <v/>
      </c>
      <c r="U58" s="67" t="str">
        <f>IF(B58="","",VLOOKUP(AD58,Varsayımlar!$B:$Q,12,0))</f>
        <v/>
      </c>
      <c r="V58" s="67" t="str">
        <f>IF(B58="","",VLOOKUP(AD58,Varsayımlar!$B:$Q,13,0))</f>
        <v/>
      </c>
      <c r="W58" s="67" t="str">
        <f>IF(B58="","",VLOOKUP(AD58,Varsayımlar!$B:$Q,14,0))</f>
        <v/>
      </c>
      <c r="X58" s="69"/>
      <c r="Y58" s="69"/>
      <c r="Z58" s="67"/>
      <c r="AA58" s="67" t="str">
        <f>IF(B58="","",VLOOKUP(AD58,Varsayımlar!$B:$Q,15,0))</f>
        <v/>
      </c>
      <c r="AB58" s="67" t="str">
        <f>IF(B58="","",VLOOKUP(AD58,Varsayımlar!$B:$Q,16,0))</f>
        <v/>
      </c>
      <c r="AC58" s="67"/>
      <c r="AD58" s="57" t="str">
        <f t="shared" si="2"/>
        <v/>
      </c>
    </row>
    <row r="59" spans="1:30" x14ac:dyDescent="0.25">
      <c r="A59" s="8" t="s">
        <v>135</v>
      </c>
      <c r="B59" s="67"/>
      <c r="C59" s="42" t="str">
        <f>IF(B59="","",VLOOKUP(AD59,Varsayımlar!$B:$Q,3,0))</f>
        <v/>
      </c>
      <c r="D59" s="42"/>
      <c r="E59" s="42"/>
      <c r="F59" s="67"/>
      <c r="G59" s="67"/>
      <c r="H59" s="67" t="str">
        <f>IF(B59="","",VLOOKUP(AD59,Varsayımlar!$B:$Q,5,0))</f>
        <v/>
      </c>
      <c r="I59" s="67"/>
      <c r="J59" s="67" t="str">
        <f>IF(B59="","",VLOOKUP(AD59,Varsayımlar!$B:$Q,6,0))</f>
        <v/>
      </c>
      <c r="K59" s="67"/>
      <c r="L59" s="67"/>
      <c r="M59" s="67" t="str">
        <f>IFERROR(IF(B59="","",K59/VLOOKUP(AD59,Varsayımlar!B:R,17,0)),"")</f>
        <v/>
      </c>
      <c r="N59" s="67"/>
      <c r="O59" s="67"/>
      <c r="P59" s="67" t="str">
        <f>IF(B59="","",VLOOKUP(AD59,Varsayımlar!$B:$Q,7,0)*K59)</f>
        <v/>
      </c>
      <c r="Q59" s="67" t="str">
        <f>IF(B59="","",VLOOKUP(AD59,Varsayımlar!$B:$Q,8,0))</f>
        <v/>
      </c>
      <c r="R59" s="67" t="str">
        <f>IF(B59="","",VLOOKUP(AD59,Varsayımlar!$B:$Q,9,0))</f>
        <v/>
      </c>
      <c r="S59" s="67" t="str">
        <f>IF(B59="","",VLOOKUP(AD59,Varsayımlar!$B:$Q,10,0))</f>
        <v/>
      </c>
      <c r="T59" s="67" t="str">
        <f>IF(B59="","",VLOOKUP(AD59,Varsayımlar!$B:$Q,11,0))</f>
        <v/>
      </c>
      <c r="U59" s="67" t="str">
        <f>IF(B59="","",VLOOKUP(AD59,Varsayımlar!$B:$Q,12,0))</f>
        <v/>
      </c>
      <c r="V59" s="67" t="str">
        <f>IF(B59="","",VLOOKUP(AD59,Varsayımlar!$B:$Q,13,0))</f>
        <v/>
      </c>
      <c r="W59" s="67" t="str">
        <f>IF(B59="","",VLOOKUP(AD59,Varsayımlar!$B:$Q,14,0))</f>
        <v/>
      </c>
      <c r="X59" s="69"/>
      <c r="Y59" s="69"/>
      <c r="Z59" s="67"/>
      <c r="AA59" s="67" t="str">
        <f>IF(B59="","",VLOOKUP(AD59,Varsayımlar!$B:$Q,15,0))</f>
        <v/>
      </c>
      <c r="AB59" s="67" t="str">
        <f>IF(B59="","",VLOOKUP(AD59,Varsayımlar!$B:$Q,16,0))</f>
        <v/>
      </c>
      <c r="AC59" s="67"/>
      <c r="AD59" s="57" t="str">
        <f t="shared" si="2"/>
        <v/>
      </c>
    </row>
    <row r="60" spans="1:30" x14ac:dyDescent="0.25">
      <c r="A60" s="8" t="s">
        <v>136</v>
      </c>
      <c r="B60" s="67"/>
      <c r="C60" s="42" t="str">
        <f>IF(B60="","",VLOOKUP(AD60,Varsayımlar!$B:$Q,3,0))</f>
        <v/>
      </c>
      <c r="D60" s="42"/>
      <c r="E60" s="42"/>
      <c r="F60" s="67"/>
      <c r="G60" s="67"/>
      <c r="H60" s="67" t="str">
        <f>IF(B60="","",VLOOKUP(AD60,Varsayımlar!$B:$Q,5,0))</f>
        <v/>
      </c>
      <c r="I60" s="67"/>
      <c r="J60" s="67" t="str">
        <f>IF(B60="","",VLOOKUP(AD60,Varsayımlar!$B:$Q,6,0))</f>
        <v/>
      </c>
      <c r="K60" s="67"/>
      <c r="L60" s="67"/>
      <c r="M60" s="67" t="str">
        <f>IFERROR(IF(B60="","",K60/VLOOKUP(AD60,Varsayımlar!B:R,17,0)),"")</f>
        <v/>
      </c>
      <c r="N60" s="67"/>
      <c r="O60" s="67"/>
      <c r="P60" s="67" t="str">
        <f>IF(B60="","",VLOOKUP(AD60,Varsayımlar!$B:$Q,7,0)*K60)</f>
        <v/>
      </c>
      <c r="Q60" s="67" t="str">
        <f>IF(B60="","",VLOOKUP(AD60,Varsayımlar!$B:$Q,8,0))</f>
        <v/>
      </c>
      <c r="R60" s="67" t="str">
        <f>IF(B60="","",VLOOKUP(AD60,Varsayımlar!$B:$Q,9,0))</f>
        <v/>
      </c>
      <c r="S60" s="67" t="str">
        <f>IF(B60="","",VLOOKUP(AD60,Varsayımlar!$B:$Q,10,0))</f>
        <v/>
      </c>
      <c r="T60" s="67" t="str">
        <f>IF(B60="","",VLOOKUP(AD60,Varsayımlar!$B:$Q,11,0))</f>
        <v/>
      </c>
      <c r="U60" s="67" t="str">
        <f>IF(B60="","",VLOOKUP(AD60,Varsayımlar!$B:$Q,12,0))</f>
        <v/>
      </c>
      <c r="V60" s="67" t="str">
        <f>IF(B60="","",VLOOKUP(AD60,Varsayımlar!$B:$Q,13,0))</f>
        <v/>
      </c>
      <c r="W60" s="67" t="str">
        <f>IF(B60="","",VLOOKUP(AD60,Varsayımlar!$B:$Q,14,0))</f>
        <v/>
      </c>
      <c r="X60" s="69"/>
      <c r="Y60" s="69"/>
      <c r="Z60" s="67"/>
      <c r="AA60" s="67" t="str">
        <f>IF(B60="","",VLOOKUP(AD60,Varsayımlar!$B:$Q,15,0))</f>
        <v/>
      </c>
      <c r="AB60" s="67" t="str">
        <f>IF(B60="","",VLOOKUP(AD60,Varsayımlar!$B:$Q,16,0))</f>
        <v/>
      </c>
      <c r="AC60" s="67"/>
      <c r="AD60" s="57" t="str">
        <f t="shared" si="2"/>
        <v/>
      </c>
    </row>
    <row r="61" spans="1:30" x14ac:dyDescent="0.25">
      <c r="A61" s="8" t="s">
        <v>137</v>
      </c>
      <c r="B61" s="67"/>
      <c r="C61" s="42" t="str">
        <f>IF(B61="","",VLOOKUP(AD61,Varsayımlar!$B:$Q,3,0))</f>
        <v/>
      </c>
      <c r="D61" s="42"/>
      <c r="E61" s="42"/>
      <c r="F61" s="67"/>
      <c r="G61" s="67"/>
      <c r="H61" s="67" t="str">
        <f>IF(B61="","",VLOOKUP(AD61,Varsayımlar!$B:$Q,5,0))</f>
        <v/>
      </c>
      <c r="I61" s="67"/>
      <c r="J61" s="67" t="str">
        <f>IF(B61="","",VLOOKUP(AD61,Varsayımlar!$B:$Q,6,0))</f>
        <v/>
      </c>
      <c r="K61" s="67"/>
      <c r="L61" s="67"/>
      <c r="M61" s="67" t="str">
        <f>IFERROR(IF(B61="","",K61/VLOOKUP(AD61,Varsayımlar!B:R,17,0)),"")</f>
        <v/>
      </c>
      <c r="N61" s="67"/>
      <c r="O61" s="67"/>
      <c r="P61" s="67" t="str">
        <f>IF(B61="","",VLOOKUP(AD61,Varsayımlar!$B:$Q,7,0)*K61)</f>
        <v/>
      </c>
      <c r="Q61" s="67" t="str">
        <f>IF(B61="","",VLOOKUP(AD61,Varsayımlar!$B:$Q,8,0))</f>
        <v/>
      </c>
      <c r="R61" s="67" t="str">
        <f>IF(B61="","",VLOOKUP(AD61,Varsayımlar!$B:$Q,9,0))</f>
        <v/>
      </c>
      <c r="S61" s="67" t="str">
        <f>IF(B61="","",VLOOKUP(AD61,Varsayımlar!$B:$Q,10,0))</f>
        <v/>
      </c>
      <c r="T61" s="67" t="str">
        <f>IF(B61="","",VLOOKUP(AD61,Varsayımlar!$B:$Q,11,0))</f>
        <v/>
      </c>
      <c r="U61" s="67" t="str">
        <f>IF(B61="","",VLOOKUP(AD61,Varsayımlar!$B:$Q,12,0))</f>
        <v/>
      </c>
      <c r="V61" s="67" t="str">
        <f>IF(B61="","",VLOOKUP(AD61,Varsayımlar!$B:$Q,13,0))</f>
        <v/>
      </c>
      <c r="W61" s="67" t="str">
        <f>IF(B61="","",VLOOKUP(AD61,Varsayımlar!$B:$Q,14,0))</f>
        <v/>
      </c>
      <c r="X61" s="69"/>
      <c r="Y61" s="69"/>
      <c r="Z61" s="67"/>
      <c r="AA61" s="67" t="str">
        <f>IF(B61="","",VLOOKUP(AD61,Varsayımlar!$B:$Q,15,0))</f>
        <v/>
      </c>
      <c r="AB61" s="67" t="str">
        <f>IF(B61="","",VLOOKUP(AD61,Varsayımlar!$B:$Q,16,0))</f>
        <v/>
      </c>
      <c r="AC61" s="67"/>
      <c r="AD61" s="57" t="str">
        <f t="shared" si="2"/>
        <v/>
      </c>
    </row>
    <row r="62" spans="1:30" x14ac:dyDescent="0.25">
      <c r="C62" s="53" t="str">
        <f>IF(B62="","",VLOOKUP(AD62,Varsayımlar!$B:$Q,3,0))</f>
        <v/>
      </c>
      <c r="H62" s="7" t="str">
        <f>IF(B62="","",VLOOKUP(AD62,Varsayımlar!$B:$Q,5,0))</f>
        <v/>
      </c>
      <c r="J62" s="7" t="str">
        <f>IF(B62="","",VLOOKUP(AD62,Varsayımlar!$B:$Q,6,0))</f>
        <v/>
      </c>
      <c r="P62" s="7" t="str">
        <f>IF(B62="","",VLOOKUP(AD62,Varsayımlar!$B:$Q,7,0)*K62)</f>
        <v/>
      </c>
      <c r="Q62" s="7" t="str">
        <f>IF(B62="","",VLOOKUP(AD62,Varsayımlar!$B:$Q,8,0))</f>
        <v/>
      </c>
      <c r="R62" s="7" t="str">
        <f>IF(B62="","",VLOOKUP(AD62,Varsayımlar!$B:$Q,9,0))</f>
        <v/>
      </c>
      <c r="S62" s="7" t="str">
        <f>IF(B62="","",VLOOKUP(AD62,Varsayımlar!$B:$Q,10,0))</f>
        <v/>
      </c>
      <c r="T62" s="7" t="str">
        <f>IF(B62="","",VLOOKUP(AD62,Varsayımlar!$B:$Q,11,0))</f>
        <v/>
      </c>
      <c r="U62" s="7" t="str">
        <f>IF(B62="","",VLOOKUP(AD62,Varsayımlar!$B:$Q,12,0))</f>
        <v/>
      </c>
      <c r="V62" s="7" t="str">
        <f>IF(B62="","",VLOOKUP(AD62,Varsayımlar!$B:$Q,13,0))</f>
        <v/>
      </c>
      <c r="W62" s="7" t="str">
        <f>IF(B62="","",VLOOKUP(AD62,Varsayımlar!$B:$Q,14,0))</f>
        <v/>
      </c>
      <c r="AA62" s="7" t="str">
        <f>IF(B62="","",VLOOKUP(AD62,Varsayımlar!$B:$Q,15,0))</f>
        <v/>
      </c>
      <c r="AB62" s="7" t="str">
        <f>IF(B62="","",VLOOKUP(AD62,Varsayımlar!$B:$Q,16,0))</f>
        <v/>
      </c>
      <c r="AD62" s="7" t="str">
        <f t="shared" si="2"/>
        <v/>
      </c>
    </row>
    <row r="63" spans="1:30" ht="31.5" customHeight="1" x14ac:dyDescent="0.25">
      <c r="A63" s="182" t="s">
        <v>345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4"/>
      <c r="AC63" s="38"/>
    </row>
    <row r="64" spans="1:30" ht="63" x14ac:dyDescent="0.25">
      <c r="A64" s="8" t="s">
        <v>0</v>
      </c>
      <c r="B64" s="8" t="s">
        <v>1</v>
      </c>
      <c r="C64" s="9" t="s">
        <v>31</v>
      </c>
      <c r="D64" s="9" t="s">
        <v>124</v>
      </c>
      <c r="E64" s="9" t="s">
        <v>36</v>
      </c>
      <c r="F64" s="8" t="s">
        <v>37</v>
      </c>
      <c r="G64" s="8" t="s">
        <v>13</v>
      </c>
      <c r="H64" s="8" t="s">
        <v>2</v>
      </c>
      <c r="I64" s="8" t="s">
        <v>49</v>
      </c>
      <c r="J64" s="8" t="s">
        <v>3</v>
      </c>
      <c r="K64" s="8" t="s">
        <v>21</v>
      </c>
      <c r="L64" s="8" t="s">
        <v>94</v>
      </c>
      <c r="M64" s="8" t="s">
        <v>20</v>
      </c>
      <c r="N64" s="8" t="s">
        <v>165</v>
      </c>
      <c r="O64" s="8" t="s">
        <v>123</v>
      </c>
      <c r="P64" s="8" t="s">
        <v>16</v>
      </c>
      <c r="Q64" s="8" t="s">
        <v>4</v>
      </c>
      <c r="R64" s="8" t="s">
        <v>5</v>
      </c>
      <c r="S64" s="8" t="s">
        <v>6</v>
      </c>
      <c r="T64" s="8" t="s">
        <v>28</v>
      </c>
      <c r="U64" s="8" t="s">
        <v>7</v>
      </c>
      <c r="V64" s="8" t="s">
        <v>8</v>
      </c>
      <c r="W64" s="8" t="s">
        <v>9</v>
      </c>
      <c r="X64" s="8" t="s">
        <v>10</v>
      </c>
      <c r="Y64" s="8" t="s">
        <v>11</v>
      </c>
      <c r="Z64" s="8" t="s">
        <v>12</v>
      </c>
      <c r="AA64" s="8" t="s">
        <v>14</v>
      </c>
      <c r="AB64" s="8" t="s">
        <v>15</v>
      </c>
      <c r="AC64" s="8" t="s">
        <v>208</v>
      </c>
      <c r="AD64" s="7" t="s">
        <v>41</v>
      </c>
    </row>
    <row r="65" spans="1:30" ht="31.5" customHeight="1" x14ac:dyDescent="0.25">
      <c r="A65" s="8" t="s">
        <v>26</v>
      </c>
      <c r="B65" s="119" t="s">
        <v>363</v>
      </c>
      <c r="C65" s="120">
        <f>IF(B65="","",VLOOKUP(AD65,Varsayımlar!$B:$Q,3,0))</f>
        <v>8698829380698</v>
      </c>
      <c r="D65" s="120"/>
      <c r="E65" s="120" t="s">
        <v>364</v>
      </c>
      <c r="F65" s="119"/>
      <c r="G65" s="120"/>
      <c r="H65" s="119" t="str">
        <f>IF(B65="","",VLOOKUP(AD65,Varsayımlar!$B:$Q,5,0))</f>
        <v>Durum 30cm Sade 18pcs 1620g</v>
      </c>
      <c r="I65" s="119">
        <f>IF(B65="","",VLOOKUP(AD65,Varsayımlar!B:T,19,0))</f>
        <v>0</v>
      </c>
      <c r="J65" s="119" t="str">
        <f>IF(B65="","",VLOOKUP(AD65,Varsayımlar!$B:$Q,6,0))</f>
        <v>SADE</v>
      </c>
      <c r="K65" s="119">
        <v>360</v>
      </c>
      <c r="L65" s="119" t="s">
        <v>424</v>
      </c>
      <c r="M65" s="119" t="str">
        <f>IFERROR(IF(B65="","",K65/VLOOKUP(AD65,Varsayımlar!B:R,17,0)),"")</f>
        <v/>
      </c>
      <c r="N65" s="119"/>
      <c r="O65" s="119">
        <v>9</v>
      </c>
      <c r="P65" s="119">
        <f>IF(B65="","",VLOOKUP(AD65,Varsayımlar!$B:$Q,7,0)*K65)</f>
        <v>6480</v>
      </c>
      <c r="Q65" s="119">
        <f>IF(B65="","",VLOOKUP(AD65,Varsayımlar!$B:$Q,8,0))</f>
        <v>30</v>
      </c>
      <c r="R65" s="119" t="str">
        <f>IF(B65="","",VLOOKUP(AD65,Varsayımlar!$B:$Q,9,0))</f>
        <v>Irak Soft</v>
      </c>
      <c r="S65" s="119">
        <f>IF(B65="","",VLOOKUP(AD65,Varsayımlar!$B:$Q,10,0))</f>
        <v>18</v>
      </c>
      <c r="T65" s="119">
        <f>IF(B65="","",VLOOKUP(AD65,Varsayımlar!$B:$Q,11,0))</f>
        <v>6</v>
      </c>
      <c r="U65" s="119">
        <f>IF(B65="","",VLOOKUP(AD65,Varsayımlar!$B:$Q,12,0))</f>
        <v>1620</v>
      </c>
      <c r="V65" s="119" t="str">
        <f>IF(B65="","",VLOOKUP(AD65,Varsayımlar!$B:$Q,13,0))</f>
        <v>Yurtdışı</v>
      </c>
      <c r="W65" s="119">
        <v>9</v>
      </c>
      <c r="X65" s="121"/>
      <c r="Y65" s="121" t="s">
        <v>448</v>
      </c>
      <c r="Z65" s="119" t="s">
        <v>449</v>
      </c>
      <c r="AA65" s="119" t="str">
        <f>IF(B65="","",VLOOKUP(AD65,Varsayımlar!$B:$Q,15,0))</f>
        <v>30cm kolisi-Etiketli</v>
      </c>
      <c r="AB65" s="119" t="str">
        <f>IF(B65="","",VLOOKUP(AD65,Varsayımlar!$B:$Q,16,0))</f>
        <v>29-31 cm</v>
      </c>
      <c r="AC65" s="64">
        <f>IF(B65="","",VLOOKUP(Sayfa1!AD11,Varsayımlar!B:S,18,0))</f>
        <v>0</v>
      </c>
      <c r="AD65" s="57" t="str">
        <f>IF(B65="","",CONCATENATE(B65,E65))</f>
        <v>EyalDurum 30cm sade 18 li 1620g</v>
      </c>
    </row>
    <row r="66" spans="1:30" ht="31.5" customHeight="1" x14ac:dyDescent="0.25">
      <c r="A66" s="8" t="s">
        <v>77</v>
      </c>
      <c r="B66" s="64" t="s">
        <v>335</v>
      </c>
      <c r="C66" s="3">
        <f>IF(B66="","",VLOOKUP(AD66,Varsayımlar!$B:$Q,3,0))</f>
        <v>8698829380698</v>
      </c>
      <c r="D66" s="3"/>
      <c r="E66" s="64" t="s">
        <v>299</v>
      </c>
      <c r="F66" s="64"/>
      <c r="G66" s="3"/>
      <c r="H66" s="64" t="str">
        <f>IF(B66="","",VLOOKUP(AD66,Varsayımlar!$B:$Q,5,0))</f>
        <v>Lazeza 30cm</v>
      </c>
      <c r="I66" s="64">
        <f>IF(B66="","",VLOOKUP(AD66,Varsayımlar!B:T,19,0))</f>
        <v>0</v>
      </c>
      <c r="J66" s="64" t="str">
        <f>IF(B66="","",VLOOKUP(AD66,Varsayımlar!$B:$Q,6,0))</f>
        <v>SADE</v>
      </c>
      <c r="K66" s="64">
        <v>1700</v>
      </c>
      <c r="L66" s="64"/>
      <c r="M66" s="64" t="str">
        <f>IFERROR(IF(B66="","",K66/VLOOKUP(AD66,Varsayımlar!B:R,17,0)),"")</f>
        <v/>
      </c>
      <c r="N66" s="64"/>
      <c r="O66" s="64">
        <v>47</v>
      </c>
      <c r="P66" s="64">
        <f>IF(B66="","",VLOOKUP(AD66,Varsayımlar!$B:$Q,7,0)*K66)</f>
        <v>30600</v>
      </c>
      <c r="Q66" s="64">
        <f>IF(B66="","",VLOOKUP(AD66,Varsayımlar!$B:$Q,8,0))</f>
        <v>30</v>
      </c>
      <c r="R66" s="64" t="str">
        <f>IF(B66="","",VLOOKUP(AD66,Varsayımlar!$B:$Q,9,0))</f>
        <v>Irak Soft</v>
      </c>
      <c r="S66" s="64">
        <f>IF(B66="","",VLOOKUP(AD66,Varsayımlar!$B:$Q,10,0))</f>
        <v>6</v>
      </c>
      <c r="T66" s="64">
        <f>IF(B66="","",VLOOKUP(AD66,Varsayımlar!$B:$Q,11,0))</f>
        <v>18</v>
      </c>
      <c r="U66" s="64">
        <f>IF(B66="","",VLOOKUP(AD66,Varsayımlar!$B:$Q,12,0))</f>
        <v>510</v>
      </c>
      <c r="V66" s="64" t="str">
        <f>IF(B66="","",VLOOKUP(AD66,Varsayımlar!$B:$Q,13,0))</f>
        <v>Yurtdışı</v>
      </c>
      <c r="W66" s="64">
        <f>IF(B66="","",VLOOKUP(AD66,Varsayımlar!$B:$Q,14,0))</f>
        <v>6</v>
      </c>
      <c r="X66" s="66">
        <v>46188</v>
      </c>
      <c r="Y66" s="66">
        <v>46736</v>
      </c>
      <c r="Z66" s="64">
        <v>26061530</v>
      </c>
      <c r="AA66" s="64" t="str">
        <f>IF(B66="","",VLOOKUP(AD66,Varsayımlar!$B:$Q,15,0))</f>
        <v>Lazeza Kolisi</v>
      </c>
      <c r="AB66" s="64" t="str">
        <f>IF(B66="","",VLOOKUP(AD66,Varsayımlar!$B:$Q,16,0))</f>
        <v>29-31 cm</v>
      </c>
      <c r="AC66" s="64" t="str">
        <f>IF(B66="","",VLOOKUP(Sayfa1!AD79,Varsayımlar!B:S,18,0))</f>
        <v>80x120cm -Epal+Epal</v>
      </c>
      <c r="AD66" s="57" t="str">
        <f>IF(B66="","",CONCATENATE(B66,E66))</f>
        <v>AjjawiLazeza 30 cm 6pcs 510g</v>
      </c>
    </row>
    <row r="67" spans="1:30" ht="27.75" customHeight="1" x14ac:dyDescent="0.25">
      <c r="A67" s="8" t="s">
        <v>78</v>
      </c>
      <c r="B67" s="67" t="s">
        <v>431</v>
      </c>
      <c r="C67" s="42">
        <f>IF(B67="","",VLOOKUP(AD67,Varsayımlar!$B:$Q,3,0))</f>
        <v>8698829380698</v>
      </c>
      <c r="D67" s="42"/>
      <c r="E67" s="42" t="s">
        <v>432</v>
      </c>
      <c r="F67" s="42">
        <v>20260612</v>
      </c>
      <c r="G67" s="42"/>
      <c r="H67" s="42" t="str">
        <f>IF(B67="","",VLOOKUP(AD67,Varsayımlar!$B:$Q,5,0))</f>
        <v xml:space="preserve">Happylla 30cm </v>
      </c>
      <c r="I67" s="42"/>
      <c r="J67" s="42" t="str">
        <f>IF(B67="","",VLOOKUP(AD67,Varsayımlar!$B:$Q,6,0))</f>
        <v>SADE</v>
      </c>
      <c r="K67" s="42">
        <v>120</v>
      </c>
      <c r="L67" s="42"/>
      <c r="M67" s="42">
        <f>IFERROR(IF(B67="","",K67/VLOOKUP(AD67,Varsayımlar!B:R,17,0)),"")</f>
        <v>2</v>
      </c>
      <c r="N67" s="42">
        <v>60</v>
      </c>
      <c r="O67" s="42">
        <v>4</v>
      </c>
      <c r="P67" s="42">
        <f>IF(B67="","",VLOOKUP(AD67,Varsayımlar!$B:$Q,7,0)*K67)</f>
        <v>1440</v>
      </c>
      <c r="Q67" s="42">
        <f>IF(B67="","",VLOOKUP(AD67,Varsayımlar!$B:$Q,8,0))</f>
        <v>30</v>
      </c>
      <c r="R67" s="42" t="str">
        <f>IF(B67="","",VLOOKUP(AD67,Varsayımlar!$B:$Q,9,0))</f>
        <v>Standart</v>
      </c>
      <c r="S67" s="42">
        <f>IF(B67="","",VLOOKUP(AD67,Varsayımlar!$B:$Q,10,0))</f>
        <v>10</v>
      </c>
      <c r="T67" s="42">
        <f>IF(B67="","",VLOOKUP(AD67,Varsayımlar!$B:$Q,11,0))</f>
        <v>12</v>
      </c>
      <c r="U67" s="42">
        <f>IF(B67="","",VLOOKUP(AD67,Varsayımlar!$B:$Q,12,0))</f>
        <v>900</v>
      </c>
      <c r="V67" s="42" t="str">
        <f>IF(B67="","",VLOOKUP(AD67,Varsayımlar!$B:$Q,13,0))</f>
        <v>Yurtdışı</v>
      </c>
      <c r="W67" s="67">
        <f>IF(B67="","",VLOOKUP(AD67,Varsayımlar!$B:$Q,14,0))</f>
        <v>6</v>
      </c>
      <c r="X67" s="69">
        <v>46196</v>
      </c>
      <c r="Y67" s="69">
        <v>46379</v>
      </c>
      <c r="Z67" s="67">
        <v>26062330</v>
      </c>
      <c r="AA67" s="67" t="str">
        <f>IF(B67="","",VLOOKUP(AD67,Varsayımlar!$B:$Q,15,0))</f>
        <v>30cm kolisi</v>
      </c>
      <c r="AB67" s="67" t="str">
        <f>IF(B67="","",VLOOKUP(AD67,Varsayımlar!$B:$Q,16,0))</f>
        <v>29-31 cm</v>
      </c>
      <c r="AC67" s="67"/>
      <c r="AD67" s="57" t="str">
        <f>IF(B67="","",CONCATENATE(B67,E67))</f>
        <v>Bağ TicaretHappylla 30cm Sade 10pcs 900g</v>
      </c>
    </row>
    <row r="68" spans="1:30" x14ac:dyDescent="0.25">
      <c r="A68" s="8" t="s">
        <v>79</v>
      </c>
      <c r="B68" s="67" t="s">
        <v>431</v>
      </c>
      <c r="C68" s="42">
        <f>IF(B68="","",VLOOKUP(AD68,Varsayımlar!$B:$Q,3,0))</f>
        <v>8698829380698</v>
      </c>
      <c r="D68" s="42"/>
      <c r="E68" s="42" t="s">
        <v>435</v>
      </c>
      <c r="F68" s="42">
        <v>20260612</v>
      </c>
      <c r="G68" s="42"/>
      <c r="H68" s="42" t="str">
        <f>IF(B68="","",VLOOKUP(AD68,Varsayımlar!$B:$Q,5,0))</f>
        <v xml:space="preserve">Happylla 500g </v>
      </c>
      <c r="I68" s="42"/>
      <c r="J68" s="42" t="str">
        <f>IF(B68="","",VLOOKUP(AD68,Varsayımlar!$B:$Q,6,0))</f>
        <v>SADE</v>
      </c>
      <c r="K68" s="42">
        <v>1768</v>
      </c>
      <c r="L68" s="42"/>
      <c r="M68" s="42">
        <f>IFERROR(IF(B68="","",K68/VLOOKUP(AD68,Varsayımlar!B:R,17,0)),"")</f>
        <v>17</v>
      </c>
      <c r="N68" s="42">
        <v>104</v>
      </c>
      <c r="O68" s="42">
        <v>50</v>
      </c>
      <c r="P68" s="42">
        <f>IF(B68="","",VLOOKUP(AD68,Varsayımlar!$B:$Q,7,0)*K68)</f>
        <v>21216</v>
      </c>
      <c r="Q68" s="42">
        <f>IF(B68="","",VLOOKUP(AD68,Varsayımlar!$B:$Q,8,0))</f>
        <v>25</v>
      </c>
      <c r="R68" s="42" t="str">
        <f>IF(B68="","",VLOOKUP(AD68,Varsayımlar!$B:$Q,9,0))</f>
        <v>Irak Soft</v>
      </c>
      <c r="S68" s="42">
        <f>IF(B68="","",VLOOKUP(AD68,Varsayımlar!$B:$Q,10,0))</f>
        <v>10</v>
      </c>
      <c r="T68" s="42">
        <f>IF(B68="","",VLOOKUP(AD68,Varsayımlar!$B:$Q,11,0))</f>
        <v>12</v>
      </c>
      <c r="U68" s="42">
        <f>IF(B68="","",VLOOKUP(AD68,Varsayımlar!$B:$Q,12,0))</f>
        <v>500</v>
      </c>
      <c r="V68" s="42" t="str">
        <f>IF(B68="","",VLOOKUP(AD68,Varsayımlar!$B:$Q,13,0))</f>
        <v>Yurtdışı</v>
      </c>
      <c r="W68" s="67">
        <f>IF(B68="","",VLOOKUP(AD68,Varsayımlar!$B:$Q,14,0))</f>
        <v>6</v>
      </c>
      <c r="X68" s="69">
        <v>46196</v>
      </c>
      <c r="Y68" s="69">
        <v>46379</v>
      </c>
      <c r="Z68" s="67">
        <v>26062325</v>
      </c>
      <c r="AA68" s="67" t="str">
        <f>IF(B68="","",VLOOKUP(AD68,Varsayımlar!$B:$Q,15,0))</f>
        <v>Kırmızı Koli 25cm</v>
      </c>
      <c r="AB68" s="67" t="str">
        <f>IF(B68="","",VLOOKUP(AD68,Varsayımlar!$B:$Q,16,0))</f>
        <v>23-26cm</v>
      </c>
      <c r="AC68" s="67"/>
      <c r="AD68" s="57" t="str">
        <f>IF(B68="","",CONCATENATE(B68,E68))</f>
        <v>Bağ TicaretHappylla 25cm Sade 10pcs 500g</v>
      </c>
    </row>
    <row r="69" spans="1:30" ht="26.25" customHeight="1" x14ac:dyDescent="0.25">
      <c r="A69" s="8" t="s">
        <v>80</v>
      </c>
      <c r="B69" s="67" t="s">
        <v>119</v>
      </c>
      <c r="C69" s="42">
        <v>8698829380698</v>
      </c>
      <c r="D69" s="42"/>
      <c r="E69" s="42" t="s">
        <v>120</v>
      </c>
      <c r="F69" s="67"/>
      <c r="G69" s="42"/>
      <c r="H69" s="67" t="s">
        <v>121</v>
      </c>
      <c r="I69" s="67">
        <v>0</v>
      </c>
      <c r="J69" s="67" t="s">
        <v>19</v>
      </c>
      <c r="K69" s="67">
        <v>2000</v>
      </c>
      <c r="L69" s="67"/>
      <c r="M69" s="67">
        <v>80</v>
      </c>
      <c r="N69" s="67">
        <v>50</v>
      </c>
      <c r="O69" s="67">
        <v>72</v>
      </c>
      <c r="P69" s="67">
        <v>48000</v>
      </c>
      <c r="Q69" s="67">
        <v>25</v>
      </c>
      <c r="R69" s="67" t="s">
        <v>116</v>
      </c>
      <c r="S69" s="67">
        <v>12</v>
      </c>
      <c r="T69" s="67">
        <v>12</v>
      </c>
      <c r="U69" s="67">
        <v>840</v>
      </c>
      <c r="V69" s="67" t="s">
        <v>72</v>
      </c>
      <c r="W69" s="67">
        <v>5</v>
      </c>
      <c r="X69" s="69" t="s">
        <v>113</v>
      </c>
      <c r="Y69" s="69" t="s">
        <v>113</v>
      </c>
      <c r="Z69" s="67" t="s">
        <v>113</v>
      </c>
      <c r="AA69" s="67" t="s">
        <v>122</v>
      </c>
      <c r="AB69" s="67" t="s">
        <v>25</v>
      </c>
      <c r="AC69" s="67">
        <v>0</v>
      </c>
      <c r="AD69" s="57" t="s">
        <v>387</v>
      </c>
    </row>
    <row r="70" spans="1:30" ht="47.25" x14ac:dyDescent="0.25">
      <c r="A70" s="8" t="s">
        <v>81</v>
      </c>
      <c r="B70" s="67" t="s">
        <v>268</v>
      </c>
      <c r="C70" s="42">
        <f>IF(B70="","",VLOOKUP(AD70,Varsayımlar!$B:$Q,3,0))</f>
        <v>8698829380698</v>
      </c>
      <c r="D70" s="42" t="s">
        <v>159</v>
      </c>
      <c r="E70" s="42" t="s">
        <v>244</v>
      </c>
      <c r="F70" s="67">
        <v>20250825</v>
      </c>
      <c r="G70" s="42" t="s">
        <v>68</v>
      </c>
      <c r="H70" s="67" t="str">
        <f>IF(B70="","",VLOOKUP(AD70,Varsayımlar!$B:$Q,5,0))</f>
        <v xml:space="preserve">Tortillas Pizza 26cm </v>
      </c>
      <c r="I70" s="67">
        <f>IF(B70="","",VLOOKUP(AD70,Varsayımlar!B:T,19,0))</f>
        <v>0</v>
      </c>
      <c r="J70" s="67" t="str">
        <f>IF(B70="","",VLOOKUP(AD70,Varsayımlar!$B:$Q,6,0))</f>
        <v>SADE</v>
      </c>
      <c r="K70" s="67">
        <v>960</v>
      </c>
      <c r="L70" s="67"/>
      <c r="M70" s="67">
        <f>IFERROR(IF(B70="","",K70/VLOOKUP(AD70,Varsayımlar!B:R,17,0)),"")</f>
        <v>5</v>
      </c>
      <c r="N70" s="67"/>
      <c r="O70" s="67">
        <v>11</v>
      </c>
      <c r="P70" s="67">
        <f>IF(B70="","",VLOOKUP(AD70,Varsayımlar!$B:$Q,7,0)*K70)</f>
        <v>11520</v>
      </c>
      <c r="Q70" s="67">
        <f>IF(B70="","",VLOOKUP(AD70,Varsayımlar!$B:$Q,8,0))</f>
        <v>26</v>
      </c>
      <c r="R70" s="67" t="str">
        <f>IF(B70="","",VLOOKUP(AD70,Varsayımlar!$B:$Q,9,0))</f>
        <v>Soft-PA3</v>
      </c>
      <c r="S70" s="67">
        <f>IF(B70="","",VLOOKUP(AD70,Varsayımlar!$B:$Q,10,0))</f>
        <v>2</v>
      </c>
      <c r="T70" s="67">
        <f>IF(B70="","",VLOOKUP(AD70,Varsayımlar!$B:$Q,11,0))</f>
        <v>12</v>
      </c>
      <c r="U70" s="67">
        <f>IF(B70="","",VLOOKUP(AD70,Varsayımlar!$B:$Q,12,0))</f>
        <v>240</v>
      </c>
      <c r="V70" s="67" t="str">
        <f>IF(B70="","",VLOOKUP(AD70,Varsayımlar!$B:$Q,13,0))</f>
        <v>Yurtdışı</v>
      </c>
      <c r="W70" s="67">
        <f>IF(B70="","",VLOOKUP(AD70,Varsayımlar!$B:$Q,14,0))</f>
        <v>9</v>
      </c>
      <c r="X70" s="69">
        <v>46199</v>
      </c>
      <c r="Y70" s="69">
        <v>46472</v>
      </c>
      <c r="Z70" s="67">
        <v>26062626</v>
      </c>
      <c r="AA70" s="67" t="str">
        <f>IF(B70="","",VLOOKUP(AD70,Varsayımlar!$B:$Q,15,0))</f>
        <v>26 cm pizza kolisi-Etiketli</v>
      </c>
      <c r="AB70" s="67" t="str">
        <f>IF(B70="","",VLOOKUP(AD70,Varsayımlar!$B:$Q,16,0))</f>
        <v>24-26 cm (Macca Hetto Inkjet Uzun Tarih)</v>
      </c>
      <c r="AC70" s="67" t="e">
        <f>IF(B70="","",VLOOKUP(Sayfa1!AD83,Varsayımlar!B:S,18,0))</f>
        <v>#N/A</v>
      </c>
      <c r="AD70" s="57" t="str">
        <f>IF(B70="","",CONCATENATE(B70,E70))</f>
        <v>LAIKYUZHN-BELARUSTortillas Pizza 26cm 4pcs 480g</v>
      </c>
    </row>
    <row r="71" spans="1:30" ht="94.5" x14ac:dyDescent="0.25">
      <c r="A71" s="8" t="s">
        <v>82</v>
      </c>
      <c r="B71" s="62" t="s">
        <v>181</v>
      </c>
      <c r="C71" s="32">
        <f>IF(B71="","",VLOOKUP(AD71,Varsayımlar!$B:$Q,3,0))</f>
        <v>8698829380698</v>
      </c>
      <c r="D71" s="32"/>
      <c r="E71" s="62" t="s">
        <v>206</v>
      </c>
      <c r="F71" s="62">
        <v>26060101</v>
      </c>
      <c r="G71" s="32"/>
      <c r="H71" s="62" t="str">
        <f>IF(B71="","",VLOOKUP(AD71,Varsayımlar!$B:$Q,5,0))</f>
        <v>Pizza-6 26 cm</v>
      </c>
      <c r="I71" s="62" t="str">
        <f>IF(B71="","",VLOOKUP(AD71,Varsayımlar!B:T,19,0))</f>
        <v>Arka kısma Arnavutça içerik-Pizza 6</v>
      </c>
      <c r="J71" s="62" t="str">
        <f>IF(B71="","",VLOOKUP(AD71,Varsayımlar!$B:$Q,6,0))</f>
        <v>SADE</v>
      </c>
      <c r="K71" s="62">
        <v>120</v>
      </c>
      <c r="L71" s="62"/>
      <c r="M71" s="62">
        <f>IFERROR(IF(B71="","",K71/VLOOKUP(AD71,Varsayımlar!B:R,17,0)),"")</f>
        <v>1</v>
      </c>
      <c r="N71" s="62"/>
      <c r="O71" s="62">
        <v>2</v>
      </c>
      <c r="P71" s="62">
        <f>IF(B71="","",VLOOKUP(AD71,Varsayımlar!$B:$Q,7,0)*K71)</f>
        <v>720</v>
      </c>
      <c r="Q71" s="62">
        <f>IF(B71="","",VLOOKUP(AD71,Varsayımlar!$B:$Q,8,0))</f>
        <v>26</v>
      </c>
      <c r="R71" s="62" t="str">
        <f>IF(B71="","",VLOOKUP(AD71,Varsayımlar!$B:$Q,9,0))</f>
        <v>Irak Soft</v>
      </c>
      <c r="S71" s="62">
        <f>IF(B71="","",VLOOKUP(AD71,Varsayımlar!$B:$Q,10,0))</f>
        <v>4</v>
      </c>
      <c r="T71" s="62">
        <f>IF(B71="","",VLOOKUP(AD71,Varsayımlar!$B:$Q,11,0))</f>
        <v>6</v>
      </c>
      <c r="U71" s="62">
        <f>IF(B71="","",VLOOKUP(AD71,Varsayımlar!$B:$Q,12,0))</f>
        <v>480</v>
      </c>
      <c r="V71" s="62" t="str">
        <f>IF(B71="","",VLOOKUP(AD71,Varsayımlar!$B:$Q,13,0))</f>
        <v>YURTDIŞI</v>
      </c>
      <c r="W71" s="62">
        <f>IF(B71="","",VLOOKUP(AD71,Varsayımlar!$B:$Q,14,0))</f>
        <v>12</v>
      </c>
      <c r="X71" s="63">
        <v>46200</v>
      </c>
      <c r="Y71" s="63">
        <v>46565</v>
      </c>
      <c r="Z71" s="62">
        <v>26062726</v>
      </c>
      <c r="AA71" s="62" t="str">
        <f>IF(B71="","",VLOOKUP(AD71,Varsayımlar!$B:$Q,15,0))</f>
        <v>Pizza kolisi</v>
      </c>
      <c r="AB71" s="62" t="str">
        <f>IF(B71="","",VLOOKUP(AD71,Varsayımlar!$B:$Q,16,0))</f>
        <v>26 cm kesme -Beze 145-150g, Kesilmmeiş çap 27-28cm, Kesilmemiş ağı: 520-540g, Kesilmiş:475-485g</v>
      </c>
      <c r="AC71" s="62">
        <f>IF(B71="","",VLOOKUP(Sayfa1!AD84,Varsayımlar!B:S,18,0))</f>
        <v>0</v>
      </c>
      <c r="AD71" s="57" t="str">
        <f>IF(B71="","",CONCATENATE(B71,E71))</f>
        <v>ALDİ - KOSOVAPizza-6 26cm 4pcs 480g</v>
      </c>
    </row>
    <row r="72" spans="1:30" ht="26.25" hidden="1" customHeight="1" x14ac:dyDescent="0.25">
      <c r="A72" s="8" t="s">
        <v>83</v>
      </c>
      <c r="B72" s="67" t="s">
        <v>119</v>
      </c>
      <c r="C72" s="42">
        <v>8698829380698</v>
      </c>
      <c r="D72" s="42"/>
      <c r="E72" s="42" t="s">
        <v>120</v>
      </c>
      <c r="F72" s="67"/>
      <c r="G72" s="42"/>
      <c r="H72" s="67" t="s">
        <v>121</v>
      </c>
      <c r="I72" s="67">
        <v>0</v>
      </c>
      <c r="J72" s="67" t="s">
        <v>19</v>
      </c>
      <c r="K72" s="67">
        <v>1500</v>
      </c>
      <c r="L72" s="67"/>
      <c r="M72" s="67">
        <v>80</v>
      </c>
      <c r="N72" s="67">
        <v>50</v>
      </c>
      <c r="O72" s="67">
        <v>54</v>
      </c>
      <c r="P72" s="67">
        <v>48000</v>
      </c>
      <c r="Q72" s="67">
        <v>25</v>
      </c>
      <c r="R72" s="67" t="s">
        <v>116</v>
      </c>
      <c r="S72" s="67">
        <v>12</v>
      </c>
      <c r="T72" s="67">
        <v>12</v>
      </c>
      <c r="U72" s="67">
        <v>840</v>
      </c>
      <c r="V72" s="67" t="s">
        <v>72</v>
      </c>
      <c r="W72" s="67">
        <v>5</v>
      </c>
      <c r="X72" s="69" t="s">
        <v>113</v>
      </c>
      <c r="Y72" s="69" t="s">
        <v>113</v>
      </c>
      <c r="Z72" s="67" t="s">
        <v>113</v>
      </c>
      <c r="AA72" s="67" t="s">
        <v>122</v>
      </c>
      <c r="AB72" s="67" t="s">
        <v>25</v>
      </c>
      <c r="AC72" s="67">
        <v>0</v>
      </c>
      <c r="AD72" s="57" t="s">
        <v>387</v>
      </c>
    </row>
    <row r="73" spans="1:30" ht="94.5" hidden="1" x14ac:dyDescent="0.25">
      <c r="A73" s="8" t="s">
        <v>84</v>
      </c>
      <c r="B73" s="80" t="s">
        <v>218</v>
      </c>
      <c r="C73" s="44">
        <f>IF(B73="","",VLOOKUP(AD73,Varsayımlar!$B:$Q,3,0))</f>
        <v>8698829380698</v>
      </c>
      <c r="D73" s="44" t="s">
        <v>160</v>
      </c>
      <c r="E73" s="80" t="s">
        <v>244</v>
      </c>
      <c r="F73" s="80">
        <v>26042907</v>
      </c>
      <c r="G73" s="44"/>
      <c r="H73" s="80" t="str">
        <f>IF(B73="","",VLOOKUP(AD73,Varsayımlar!$B:$Q,5,0))</f>
        <v>Tortillas Avrupa Pizza 26cm (742)</v>
      </c>
      <c r="I73" s="80">
        <f>IF(B73="","",VLOOKUP(AD73,Varsayımlar!B:T,19,0))</f>
        <v>0</v>
      </c>
      <c r="J73" s="80" t="str">
        <f>IF(B73="","",VLOOKUP(AD73,Varsayımlar!$B:$Q,6,0))</f>
        <v>SADE</v>
      </c>
      <c r="K73" s="80">
        <v>720</v>
      </c>
      <c r="L73" s="80"/>
      <c r="M73" s="80">
        <f>IFERROR(IF(B73="","",K73/VLOOKUP(AD73,Varsayımlar!B:R,17,0)),"")</f>
        <v>6</v>
      </c>
      <c r="N73" s="80"/>
      <c r="O73" s="80">
        <v>9</v>
      </c>
      <c r="P73" s="80">
        <f>IF(B73="","",VLOOKUP(AD73,Varsayımlar!$B:$Q,7,0)*K73)</f>
        <v>5760</v>
      </c>
      <c r="Q73" s="80">
        <f>IF(B73="","",VLOOKUP(AD73,Varsayımlar!$B:$Q,8,0))</f>
        <v>26</v>
      </c>
      <c r="R73" s="80" t="str">
        <f>IF(B73="","",VLOOKUP(AD73,Varsayımlar!$B:$Q,9,0))</f>
        <v>Irak Soft</v>
      </c>
      <c r="S73" s="80">
        <f>IF(B73="","",VLOOKUP(AD73,Varsayımlar!$B:$Q,10,0))</f>
        <v>4</v>
      </c>
      <c r="T73" s="80">
        <f>IF(B73="","",VLOOKUP(AD73,Varsayımlar!$B:$Q,11,0))</f>
        <v>8</v>
      </c>
      <c r="U73" s="80">
        <f>IF(B73="","",VLOOKUP(AD73,Varsayımlar!$B:$Q,12,0))</f>
        <v>480</v>
      </c>
      <c r="V73" s="80" t="str">
        <f>IF(B73="","",VLOOKUP(AD73,Varsayımlar!$B:$Q,13,0))</f>
        <v>Yurtdışı</v>
      </c>
      <c r="W73" s="80">
        <f>IF(B73="","",VLOOKUP(AD73,Varsayımlar!$B:$Q,14,0))</f>
        <v>9</v>
      </c>
      <c r="X73" s="81">
        <v>46203</v>
      </c>
      <c r="Y73" s="81">
        <v>46476</v>
      </c>
      <c r="Z73" s="80">
        <v>26063026</v>
      </c>
      <c r="AA73" s="80" t="str">
        <f>IF(B73="","",VLOOKUP(AD73,Varsayımlar!$B:$Q,15,0))</f>
        <v>26cm Pizza Perforeli-Bulgarca Etiket</v>
      </c>
      <c r="AB73" s="80" t="str">
        <f>IF(B73="","",VLOOKUP(AD73,Varsayımlar!$B:$Q,16,0))</f>
        <v>26 cm kesme -Beze 145-150g, Kesilmmeiş çap 27-28cm, Kesilmemiş ağı: 520-540g, Kesilmiş:475-485g</v>
      </c>
      <c r="AC73" s="80" t="str">
        <f>IF(B73="","",VLOOKUP(Sayfa1!AD80,Varsayımlar!B:S,18,0))</f>
        <v>80x120cm -Epal+Epal</v>
      </c>
      <c r="AD73" s="57" t="str">
        <f t="shared" ref="AD73:AD84" si="3">IF(B73="","",CONCATENATE(B73,E73))</f>
        <v>TASTE LAND-BULGARİSTANTortillas Pizza 26cm 4pcs 480g</v>
      </c>
    </row>
    <row r="74" spans="1:30" ht="47.25" hidden="1" x14ac:dyDescent="0.25">
      <c r="A74" s="8" t="s">
        <v>85</v>
      </c>
      <c r="B74" s="54" t="s">
        <v>268</v>
      </c>
      <c r="C74" s="39">
        <f>IF(B74="","",VLOOKUP(AD74,Varsayımlar!$B:$Q,3,0))</f>
        <v>8698829380698</v>
      </c>
      <c r="D74" s="39" t="s">
        <v>160</v>
      </c>
      <c r="E74" s="39" t="s">
        <v>244</v>
      </c>
      <c r="F74" s="54" t="s">
        <v>343</v>
      </c>
      <c r="G74" s="39" t="s">
        <v>68</v>
      </c>
      <c r="H74" s="54" t="str">
        <f>IF(B74="","",VLOOKUP(AD74,Varsayımlar!$B:$Q,5,0))</f>
        <v xml:space="preserve">Tortillas Pizza 26cm </v>
      </c>
      <c r="I74" s="54">
        <f>IF(B74="","",VLOOKUP(AD74,Varsayımlar!B:T,19,0))</f>
        <v>0</v>
      </c>
      <c r="J74" s="54" t="str">
        <f>IF(B74="","",VLOOKUP(AD74,Varsayımlar!$B:$Q,6,0))</f>
        <v>SADE</v>
      </c>
      <c r="K74" s="54">
        <v>768</v>
      </c>
      <c r="L74" s="54"/>
      <c r="M74" s="54">
        <f>IFERROR(IF(B74="","",K74/VLOOKUP(AD74,Varsayımlar!B:R,17,0)),"")</f>
        <v>4</v>
      </c>
      <c r="N74" s="54"/>
      <c r="O74" s="54">
        <v>9</v>
      </c>
      <c r="P74" s="54">
        <f>IF(B74="","",VLOOKUP(AD74,Varsayımlar!$B:$Q,7,0)*K74)</f>
        <v>9216</v>
      </c>
      <c r="Q74" s="54">
        <f>IF(B74="","",VLOOKUP(AD74,Varsayımlar!$B:$Q,8,0))</f>
        <v>26</v>
      </c>
      <c r="R74" s="54" t="str">
        <f>IF(B74="","",VLOOKUP(AD74,Varsayımlar!$B:$Q,9,0))</f>
        <v>Soft-PA3</v>
      </c>
      <c r="S74" s="54">
        <f>IF(B74="","",VLOOKUP(AD74,Varsayımlar!$B:$Q,10,0))</f>
        <v>2</v>
      </c>
      <c r="T74" s="54">
        <f>IF(B74="","",VLOOKUP(AD74,Varsayımlar!$B:$Q,11,0))</f>
        <v>12</v>
      </c>
      <c r="U74" s="54">
        <f>IF(B74="","",VLOOKUP(AD74,Varsayımlar!$B:$Q,12,0))</f>
        <v>240</v>
      </c>
      <c r="V74" s="54" t="str">
        <f>IF(B74="","",VLOOKUP(AD74,Varsayımlar!$B:$Q,13,0))</f>
        <v>Yurtdışı</v>
      </c>
      <c r="W74" s="54">
        <f>IF(B74="","",VLOOKUP(AD74,Varsayımlar!$B:$Q,14,0))</f>
        <v>9</v>
      </c>
      <c r="X74" s="56">
        <v>46205</v>
      </c>
      <c r="Y74" s="56">
        <v>46479</v>
      </c>
      <c r="Z74" s="54">
        <v>26070226</v>
      </c>
      <c r="AA74" s="54" t="str">
        <f>IF(B74="","",VLOOKUP(AD74,Varsayımlar!$B:$Q,15,0))</f>
        <v>26 cm pizza kolisi-Etiketli</v>
      </c>
      <c r="AB74" s="54" t="str">
        <f>IF(B74="","",VLOOKUP(AD74,Varsayımlar!$B:$Q,16,0))</f>
        <v>24-26 cm (Macca Hetto Inkjet Uzun Tarih)</v>
      </c>
      <c r="AC74" s="54" t="e">
        <f>IF(B74="","",VLOOKUP(Sayfa1!AD83,Varsayımlar!B:S,18,0))</f>
        <v>#N/A</v>
      </c>
      <c r="AD74" s="57" t="str">
        <f>IF(B74="","",CONCATENATE(B74,E74))</f>
        <v>LAIKYUZHN-BELARUSTortillas Pizza 26cm 4pcs 480g</v>
      </c>
    </row>
    <row r="75" spans="1:30" ht="26.25" hidden="1" customHeight="1" x14ac:dyDescent="0.25">
      <c r="A75" s="8" t="s">
        <v>86</v>
      </c>
      <c r="B75" s="67" t="s">
        <v>119</v>
      </c>
      <c r="C75" s="42">
        <v>8698829380698</v>
      </c>
      <c r="D75" s="42"/>
      <c r="E75" s="42" t="s">
        <v>120</v>
      </c>
      <c r="F75" s="67"/>
      <c r="G75" s="42"/>
      <c r="H75" s="67" t="s">
        <v>121</v>
      </c>
      <c r="I75" s="67">
        <v>0</v>
      </c>
      <c r="J75" s="67" t="s">
        <v>19</v>
      </c>
      <c r="K75" s="67">
        <v>2000</v>
      </c>
      <c r="L75" s="67"/>
      <c r="M75" s="67">
        <v>80</v>
      </c>
      <c r="N75" s="67">
        <v>50</v>
      </c>
      <c r="O75" s="67">
        <v>54</v>
      </c>
      <c r="P75" s="67">
        <v>48000</v>
      </c>
      <c r="Q75" s="67">
        <v>25</v>
      </c>
      <c r="R75" s="67" t="s">
        <v>116</v>
      </c>
      <c r="S75" s="67">
        <v>12</v>
      </c>
      <c r="T75" s="67">
        <v>12</v>
      </c>
      <c r="U75" s="67">
        <v>840</v>
      </c>
      <c r="V75" s="67" t="s">
        <v>72</v>
      </c>
      <c r="W75" s="67">
        <v>5</v>
      </c>
      <c r="X75" s="69" t="s">
        <v>113</v>
      </c>
      <c r="Y75" s="69" t="s">
        <v>113</v>
      </c>
      <c r="Z75" s="67" t="s">
        <v>113</v>
      </c>
      <c r="AA75" s="67" t="s">
        <v>122</v>
      </c>
      <c r="AB75" s="67" t="s">
        <v>25</v>
      </c>
      <c r="AC75" s="67">
        <v>0</v>
      </c>
      <c r="AD75" s="57" t="s">
        <v>387</v>
      </c>
    </row>
    <row r="76" spans="1:30" ht="94.5" hidden="1" x14ac:dyDescent="0.25">
      <c r="A76" s="8" t="s">
        <v>87</v>
      </c>
      <c r="B76" s="75" t="s">
        <v>218</v>
      </c>
      <c r="C76" s="43">
        <f>IF(B76="","",VLOOKUP(AD76,Varsayımlar!$B:$Q,3,0))</f>
        <v>8698829380698</v>
      </c>
      <c r="D76" s="43" t="s">
        <v>161</v>
      </c>
      <c r="E76" s="75" t="s">
        <v>244</v>
      </c>
      <c r="F76" s="75" t="s">
        <v>341</v>
      </c>
      <c r="G76" s="43"/>
      <c r="H76" s="75" t="str">
        <f>IF(B76="","",VLOOKUP(AD76,Varsayımlar!$B:$Q,5,0))</f>
        <v>Tortillas Avrupa Pizza 26cm (742)</v>
      </c>
      <c r="I76" s="75">
        <f>IF(B76="","",VLOOKUP(AD76,Varsayımlar!B:T,19,0))</f>
        <v>0</v>
      </c>
      <c r="J76" s="75" t="str">
        <f>IF(B76="","",VLOOKUP(AD76,Varsayımlar!$B:$Q,6,0))</f>
        <v>SADE</v>
      </c>
      <c r="K76" s="75">
        <v>840</v>
      </c>
      <c r="L76" s="75"/>
      <c r="M76" s="75">
        <f>IFERROR(IF(B76="","",K76/VLOOKUP(AD76,Varsayımlar!B:R,17,0)),"")</f>
        <v>7</v>
      </c>
      <c r="N76" s="75"/>
      <c r="O76" s="75">
        <v>11</v>
      </c>
      <c r="P76" s="75">
        <f>IF(B76="","",VLOOKUP(AD76,Varsayımlar!$B:$Q,7,0)*K76)</f>
        <v>6720</v>
      </c>
      <c r="Q76" s="75">
        <f>IF(B76="","",VLOOKUP(AD76,Varsayımlar!$B:$Q,8,0))</f>
        <v>26</v>
      </c>
      <c r="R76" s="75" t="str">
        <f>IF(B76="","",VLOOKUP(AD76,Varsayımlar!$B:$Q,9,0))</f>
        <v>Irak Soft</v>
      </c>
      <c r="S76" s="75">
        <f>IF(B76="","",VLOOKUP(AD76,Varsayımlar!$B:$Q,10,0))</f>
        <v>4</v>
      </c>
      <c r="T76" s="75">
        <f>IF(B76="","",VLOOKUP(AD76,Varsayımlar!$B:$Q,11,0))</f>
        <v>8</v>
      </c>
      <c r="U76" s="75">
        <f>IF(B76="","",VLOOKUP(AD76,Varsayımlar!$B:$Q,12,0))</f>
        <v>480</v>
      </c>
      <c r="V76" s="75" t="str">
        <f>IF(B76="","",VLOOKUP(AD76,Varsayımlar!$B:$Q,13,0))</f>
        <v>Yurtdışı</v>
      </c>
      <c r="W76" s="75">
        <f>IF(B76="","",VLOOKUP(AD76,Varsayımlar!$B:$Q,14,0))</f>
        <v>9</v>
      </c>
      <c r="X76" s="76">
        <v>46213</v>
      </c>
      <c r="Y76" s="76">
        <v>46487</v>
      </c>
      <c r="Z76" s="75">
        <v>26071026</v>
      </c>
      <c r="AA76" s="75" t="str">
        <f>IF(B76="","",VLOOKUP(AD76,Varsayımlar!$B:$Q,15,0))</f>
        <v>26cm Pizza Perforeli-Bulgarca Etiket</v>
      </c>
      <c r="AB76" s="75" t="str">
        <f>IF(B76="","",VLOOKUP(AD76,Varsayımlar!$B:$Q,16,0))</f>
        <v>26 cm kesme -Beze 145-150g, Kesilmmeiş çap 27-28cm, Kesilmemiş ağı: 520-540g, Kesilmiş:475-485g</v>
      </c>
      <c r="AC76" s="75" t="str">
        <f>IF(B76="","",VLOOKUP(Sayfa1!AD81,Varsayımlar!B:S,18,0))</f>
        <v>80x120cm -Epal+Epal</v>
      </c>
      <c r="AD76" s="57" t="str">
        <f t="shared" si="3"/>
        <v>TASTE LAND-BULGARİSTANTortillas Pizza 26cm 4pcs 480g</v>
      </c>
    </row>
    <row r="77" spans="1:30" hidden="1" x14ac:dyDescent="0.25">
      <c r="A77" s="8" t="s">
        <v>88</v>
      </c>
      <c r="B77" s="67"/>
      <c r="C77" s="42" t="str">
        <f>IF(B77="","",VLOOKUP(AD77,Varsayımlar!$B:$Q,3,0))</f>
        <v/>
      </c>
      <c r="D77" s="42"/>
      <c r="E77" s="42"/>
      <c r="F77" s="42"/>
      <c r="G77" s="42"/>
      <c r="H77" s="42" t="str">
        <f>IF(B77="","",VLOOKUP(AD77,Varsayımlar!$B:$Q,5,0))</f>
        <v/>
      </c>
      <c r="I77" s="42"/>
      <c r="J77" s="42" t="str">
        <f>IF(B77="","",VLOOKUP(AD77,Varsayımlar!$B:$Q,6,0))</f>
        <v/>
      </c>
      <c r="K77" s="42"/>
      <c r="L77" s="42"/>
      <c r="M77" s="42" t="str">
        <f>IFERROR(IF(B77="","",K77/VLOOKUP(AD77,Varsayımlar!B:R,17,0)),"")</f>
        <v/>
      </c>
      <c r="N77" s="42"/>
      <c r="O77" s="42"/>
      <c r="P77" s="42" t="str">
        <f>IF(B77="","",VLOOKUP(AD77,Varsayımlar!$B:$Q,7,0)*K77)</f>
        <v/>
      </c>
      <c r="Q77" s="42" t="str">
        <f>IF(B77="","",VLOOKUP(AD77,Varsayımlar!$B:$Q,8,0))</f>
        <v/>
      </c>
      <c r="R77" s="42" t="str">
        <f>IF(B77="","",VLOOKUP(AD77,Varsayımlar!$B:$Q,9,0))</f>
        <v/>
      </c>
      <c r="S77" s="42" t="str">
        <f>IF(B77="","",VLOOKUP(AD77,Varsayımlar!$B:$Q,10,0))</f>
        <v/>
      </c>
      <c r="T77" s="42" t="str">
        <f>IF(B77="","",VLOOKUP(AD77,Varsayımlar!$B:$Q,11,0))</f>
        <v/>
      </c>
      <c r="U77" s="42" t="str">
        <f>IF(B77="","",VLOOKUP(AD77,Varsayımlar!$B:$Q,12,0))</f>
        <v/>
      </c>
      <c r="V77" s="42" t="str">
        <f>IF(B77="","",VLOOKUP(AD77,Varsayımlar!$B:$Q,13,0))</f>
        <v/>
      </c>
      <c r="W77" s="67" t="str">
        <f>IF(B77="","",VLOOKUP(AD77,Varsayımlar!$B:$Q,14,0))</f>
        <v/>
      </c>
      <c r="X77" s="69"/>
      <c r="Y77" s="69"/>
      <c r="Z77" s="67"/>
      <c r="AA77" s="67" t="str">
        <f>IF(B77="","",VLOOKUP(AD77,Varsayımlar!$B:$Q,15,0))</f>
        <v/>
      </c>
      <c r="AB77" s="67" t="str">
        <f>IF(B77="","",VLOOKUP(AD77,Varsayımlar!$B:$Q,16,0))</f>
        <v/>
      </c>
      <c r="AC77" s="67"/>
      <c r="AD77" s="57" t="str">
        <f t="shared" si="3"/>
        <v/>
      </c>
    </row>
    <row r="78" spans="1:30" hidden="1" x14ac:dyDescent="0.25">
      <c r="A78" s="8" t="s">
        <v>89</v>
      </c>
      <c r="B78" s="67"/>
      <c r="C78" s="42" t="str">
        <f>IF(B78="","",VLOOKUP(AD78,Varsayımlar!$B:$Q,3,0))</f>
        <v/>
      </c>
      <c r="D78" s="42"/>
      <c r="E78" s="42"/>
      <c r="F78" s="42"/>
      <c r="G78" s="42"/>
      <c r="H78" s="42" t="str">
        <f>IF(B78="","",VLOOKUP(AD78,Varsayımlar!$B:$Q,5,0))</f>
        <v/>
      </c>
      <c r="I78" s="42"/>
      <c r="J78" s="42" t="str">
        <f>IF(B78="","",VLOOKUP(AD78,Varsayımlar!$B:$Q,6,0))</f>
        <v/>
      </c>
      <c r="K78" s="42"/>
      <c r="L78" s="42"/>
      <c r="M78" s="42" t="str">
        <f>IFERROR(IF(B78="","",K78/VLOOKUP(AD78,Varsayımlar!B:R,17,0)),"")</f>
        <v/>
      </c>
      <c r="N78" s="42"/>
      <c r="O78" s="42"/>
      <c r="P78" s="42" t="str">
        <f>IF(B78="","",VLOOKUP(AD78,Varsayımlar!$B:$Q,7,0)*K78)</f>
        <v/>
      </c>
      <c r="Q78" s="42" t="str">
        <f>IF(B78="","",VLOOKUP(AD78,Varsayımlar!$B:$Q,8,0))</f>
        <v/>
      </c>
      <c r="R78" s="42" t="str">
        <f>IF(B78="","",VLOOKUP(AD78,Varsayımlar!$B:$Q,9,0))</f>
        <v/>
      </c>
      <c r="S78" s="42" t="str">
        <f>IF(B78="","",VLOOKUP(AD78,Varsayımlar!$B:$Q,10,0))</f>
        <v/>
      </c>
      <c r="T78" s="42" t="str">
        <f>IF(B78="","",VLOOKUP(AD78,Varsayımlar!$B:$Q,11,0))</f>
        <v/>
      </c>
      <c r="U78" s="42" t="str">
        <f>IF(B78="","",VLOOKUP(AD78,Varsayımlar!$B:$Q,12,0))</f>
        <v/>
      </c>
      <c r="V78" s="42" t="str">
        <f>IF(B78="","",VLOOKUP(AD78,Varsayımlar!$B:$Q,13,0))</f>
        <v/>
      </c>
      <c r="W78" s="67" t="str">
        <f>IF(B78="","",VLOOKUP(AD78,Varsayımlar!$B:$Q,14,0))</f>
        <v/>
      </c>
      <c r="X78" s="69"/>
      <c r="Y78" s="69"/>
      <c r="Z78" s="67"/>
      <c r="AA78" s="67" t="str">
        <f>IF(B78="","",VLOOKUP(AD78,Varsayımlar!$B:$Q,15,0))</f>
        <v/>
      </c>
      <c r="AB78" s="67" t="str">
        <f>IF(B78="","",VLOOKUP(AD78,Varsayımlar!$B:$Q,16,0))</f>
        <v/>
      </c>
      <c r="AC78" s="67"/>
      <c r="AD78" s="57" t="str">
        <f t="shared" si="3"/>
        <v/>
      </c>
    </row>
    <row r="79" spans="1:30" hidden="1" x14ac:dyDescent="0.25">
      <c r="A79" s="8" t="s">
        <v>90</v>
      </c>
      <c r="B79" s="67"/>
      <c r="C79" s="42" t="str">
        <f>IF(B79="","",VLOOKUP(AD79,Varsayımlar!$B:$Q,3,0))</f>
        <v/>
      </c>
      <c r="D79" s="42"/>
      <c r="E79" s="42"/>
      <c r="F79" s="42"/>
      <c r="G79" s="42"/>
      <c r="H79" s="42" t="str">
        <f>IF(B79="","",VLOOKUP(AD79,Varsayımlar!$B:$Q,5,0))</f>
        <v/>
      </c>
      <c r="I79" s="42"/>
      <c r="J79" s="42" t="str">
        <f>IF(B79="","",VLOOKUP(AD79,Varsayımlar!$B:$Q,6,0))</f>
        <v/>
      </c>
      <c r="K79" s="42"/>
      <c r="L79" s="42"/>
      <c r="M79" s="42" t="str">
        <f>IFERROR(IF(B79="","",K79/VLOOKUP(AD79,Varsayımlar!B:R,17,0)),"")</f>
        <v/>
      </c>
      <c r="N79" s="42"/>
      <c r="O79" s="42"/>
      <c r="P79" s="42" t="str">
        <f>IF(B79="","",VLOOKUP(AD79,Varsayımlar!$B:$Q,7,0)*K79)</f>
        <v/>
      </c>
      <c r="Q79" s="42" t="str">
        <f>IF(B79="","",VLOOKUP(AD79,Varsayımlar!$B:$Q,8,0))</f>
        <v/>
      </c>
      <c r="R79" s="42" t="str">
        <f>IF(B79="","",VLOOKUP(AD79,Varsayımlar!$B:$Q,9,0))</f>
        <v/>
      </c>
      <c r="S79" s="42" t="str">
        <f>IF(B79="","",VLOOKUP(AD79,Varsayımlar!$B:$Q,10,0))</f>
        <v/>
      </c>
      <c r="T79" s="42" t="str">
        <f>IF(B79="","",VLOOKUP(AD79,Varsayımlar!$B:$Q,11,0))</f>
        <v/>
      </c>
      <c r="U79" s="42" t="str">
        <f>IF(B79="","",VLOOKUP(AD79,Varsayımlar!$B:$Q,12,0))</f>
        <v/>
      </c>
      <c r="V79" s="42" t="str">
        <f>IF(B79="","",VLOOKUP(AD79,Varsayımlar!$B:$Q,13,0))</f>
        <v/>
      </c>
      <c r="W79" s="67" t="str">
        <f>IF(B79="","",VLOOKUP(AD79,Varsayımlar!$B:$Q,14,0))</f>
        <v/>
      </c>
      <c r="X79" s="69"/>
      <c r="Y79" s="69"/>
      <c r="Z79" s="67"/>
      <c r="AA79" s="67" t="str">
        <f>IF(B79="","",VLOOKUP(AD79,Varsayımlar!$B:$Q,15,0))</f>
        <v/>
      </c>
      <c r="AB79" s="67" t="str">
        <f>IF(B79="","",VLOOKUP(AD79,Varsayımlar!$B:$Q,16,0))</f>
        <v/>
      </c>
      <c r="AC79" s="67"/>
      <c r="AD79" s="57" t="str">
        <f t="shared" si="3"/>
        <v/>
      </c>
    </row>
    <row r="80" spans="1:30" hidden="1" x14ac:dyDescent="0.25">
      <c r="A80" s="8" t="s">
        <v>91</v>
      </c>
      <c r="B80" s="67"/>
      <c r="C80" s="42" t="str">
        <f>IF(B80="","",VLOOKUP(AD80,Varsayımlar!$B:$Q,3,0))</f>
        <v/>
      </c>
      <c r="D80" s="42"/>
      <c r="E80" s="42"/>
      <c r="F80" s="42"/>
      <c r="G80" s="42"/>
      <c r="H80" s="42" t="str">
        <f>IF(B80="","",VLOOKUP(AD80,Varsayımlar!$B:$Q,5,0))</f>
        <v/>
      </c>
      <c r="I80" s="42"/>
      <c r="J80" s="42" t="str">
        <f>IF(B80="","",VLOOKUP(AD80,Varsayımlar!$B:$Q,6,0))</f>
        <v/>
      </c>
      <c r="K80" s="42"/>
      <c r="L80" s="42"/>
      <c r="M80" s="42" t="str">
        <f>IFERROR(IF(B80="","",K80/VLOOKUP(AD80,Varsayımlar!B:R,17,0)),"")</f>
        <v/>
      </c>
      <c r="N80" s="42"/>
      <c r="O80" s="42"/>
      <c r="P80" s="42" t="str">
        <f>IF(B80="","",VLOOKUP(AD80,Varsayımlar!$B:$Q,7,0)*K80)</f>
        <v/>
      </c>
      <c r="Q80" s="42" t="str">
        <f>IF(B80="","",VLOOKUP(AD80,Varsayımlar!$B:$Q,8,0))</f>
        <v/>
      </c>
      <c r="R80" s="42" t="str">
        <f>IF(B80="","",VLOOKUP(AD80,Varsayımlar!$B:$Q,9,0))</f>
        <v/>
      </c>
      <c r="S80" s="42" t="str">
        <f>IF(B80="","",VLOOKUP(AD80,Varsayımlar!$B:$Q,10,0))</f>
        <v/>
      </c>
      <c r="T80" s="42" t="str">
        <f>IF(B80="","",VLOOKUP(AD80,Varsayımlar!$B:$Q,11,0))</f>
        <v/>
      </c>
      <c r="U80" s="42" t="str">
        <f>IF(B80="","",VLOOKUP(AD80,Varsayımlar!$B:$Q,12,0))</f>
        <v/>
      </c>
      <c r="V80" s="42" t="str">
        <f>IF(B80="","",VLOOKUP(AD80,Varsayımlar!$B:$Q,13,0))</f>
        <v/>
      </c>
      <c r="W80" s="67" t="str">
        <f>IF(B80="","",VLOOKUP(AD80,Varsayımlar!$B:$Q,14,0))</f>
        <v/>
      </c>
      <c r="X80" s="69"/>
      <c r="Y80" s="69"/>
      <c r="Z80" s="67"/>
      <c r="AA80" s="67" t="str">
        <f>IF(B80="","",VLOOKUP(AD80,Varsayımlar!$B:$Q,15,0))</f>
        <v/>
      </c>
      <c r="AB80" s="67" t="str">
        <f>IF(B80="","",VLOOKUP(AD80,Varsayımlar!$B:$Q,16,0))</f>
        <v/>
      </c>
      <c r="AC80" s="67"/>
      <c r="AD80" s="57" t="str">
        <f t="shared" si="3"/>
        <v/>
      </c>
    </row>
    <row r="81" spans="1:30" hidden="1" x14ac:dyDescent="0.25">
      <c r="A81" s="8" t="s">
        <v>92</v>
      </c>
      <c r="B81" s="67"/>
      <c r="C81" s="42" t="str">
        <f>IF(B81="","",VLOOKUP(AD81,Varsayımlar!$B:$Q,3,0))</f>
        <v/>
      </c>
      <c r="D81" s="42"/>
      <c r="E81" s="42"/>
      <c r="F81" s="42"/>
      <c r="G81" s="42"/>
      <c r="H81" s="42" t="str">
        <f>IF(B81="","",VLOOKUP(AD81,Varsayımlar!$B:$Q,5,0))</f>
        <v/>
      </c>
      <c r="I81" s="42"/>
      <c r="J81" s="42" t="str">
        <f>IF(B81="","",VLOOKUP(AD81,Varsayımlar!$B:$Q,6,0))</f>
        <v/>
      </c>
      <c r="K81" s="42"/>
      <c r="L81" s="42"/>
      <c r="M81" s="42" t="str">
        <f>IFERROR(IF(B81="","",K81/VLOOKUP(AD81,Varsayımlar!B:R,17,0)),"")</f>
        <v/>
      </c>
      <c r="N81" s="42"/>
      <c r="O81" s="42"/>
      <c r="P81" s="42" t="str">
        <f>IF(B81="","",VLOOKUP(AD81,Varsayımlar!$B:$Q,7,0)*K81)</f>
        <v/>
      </c>
      <c r="Q81" s="42" t="str">
        <f>IF(B81="","",VLOOKUP(AD81,Varsayımlar!$B:$Q,8,0))</f>
        <v/>
      </c>
      <c r="R81" s="42" t="str">
        <f>IF(B81="","",VLOOKUP(AD81,Varsayımlar!$B:$Q,9,0))</f>
        <v/>
      </c>
      <c r="S81" s="42" t="str">
        <f>IF(B81="","",VLOOKUP(AD81,Varsayımlar!$B:$Q,10,0))</f>
        <v/>
      </c>
      <c r="T81" s="42" t="str">
        <f>IF(B81="","",VLOOKUP(AD81,Varsayımlar!$B:$Q,11,0))</f>
        <v/>
      </c>
      <c r="U81" s="42" t="str">
        <f>IF(B81="","",VLOOKUP(AD81,Varsayımlar!$B:$Q,12,0))</f>
        <v/>
      </c>
      <c r="V81" s="42" t="str">
        <f>IF(B81="","",VLOOKUP(AD81,Varsayımlar!$B:$Q,13,0))</f>
        <v/>
      </c>
      <c r="W81" s="67" t="str">
        <f>IF(B81="","",VLOOKUP(AD81,Varsayımlar!$B:$Q,14,0))</f>
        <v/>
      </c>
      <c r="X81" s="69"/>
      <c r="Y81" s="69"/>
      <c r="Z81" s="67"/>
      <c r="AA81" s="67" t="str">
        <f>IF(B81="","",VLOOKUP(AD81,Varsayımlar!$B:$Q,15,0))</f>
        <v/>
      </c>
      <c r="AB81" s="67" t="str">
        <f>IF(B81="","",VLOOKUP(AD81,Varsayımlar!$B:$Q,16,0))</f>
        <v/>
      </c>
      <c r="AC81" s="67"/>
      <c r="AD81" s="57" t="str">
        <f t="shared" si="3"/>
        <v/>
      </c>
    </row>
    <row r="82" spans="1:30" hidden="1" x14ac:dyDescent="0.25">
      <c r="A82" s="8" t="s">
        <v>93</v>
      </c>
      <c r="B82" s="67"/>
      <c r="C82" s="42" t="str">
        <f>IF(B82="","",VLOOKUP(AD82,Varsayımlar!$B:$Q,3,0))</f>
        <v/>
      </c>
      <c r="D82" s="42"/>
      <c r="E82" s="42"/>
      <c r="F82" s="42"/>
      <c r="G82" s="42"/>
      <c r="H82" s="42" t="str">
        <f>IF(B82="","",VLOOKUP(AD82,Varsayımlar!$B:$Q,5,0))</f>
        <v/>
      </c>
      <c r="I82" s="42"/>
      <c r="J82" s="42" t="str">
        <f>IF(B82="","",VLOOKUP(AD82,Varsayımlar!$B:$Q,6,0))</f>
        <v/>
      </c>
      <c r="K82" s="42"/>
      <c r="L82" s="42"/>
      <c r="M82" s="42" t="str">
        <f>IFERROR(IF(B82="","",K82/VLOOKUP(AD82,Varsayımlar!B:R,17,0)),"")</f>
        <v/>
      </c>
      <c r="N82" s="42"/>
      <c r="O82" s="42"/>
      <c r="P82" s="42" t="str">
        <f>IF(B82="","",VLOOKUP(AD82,Varsayımlar!$B:$Q,7,0)*K82)</f>
        <v/>
      </c>
      <c r="Q82" s="42" t="str">
        <f>IF(B82="","",VLOOKUP(AD82,Varsayımlar!$B:$Q,8,0))</f>
        <v/>
      </c>
      <c r="R82" s="42" t="str">
        <f>IF(B82="","",VLOOKUP(AD82,Varsayımlar!$B:$Q,9,0))</f>
        <v/>
      </c>
      <c r="S82" s="42" t="str">
        <f>IF(B82="","",VLOOKUP(AD82,Varsayımlar!$B:$Q,10,0))</f>
        <v/>
      </c>
      <c r="T82" s="42" t="str">
        <f>IF(B82="","",VLOOKUP(AD82,Varsayımlar!$B:$Q,11,0))</f>
        <v/>
      </c>
      <c r="U82" s="42" t="str">
        <f>IF(B82="","",VLOOKUP(AD82,Varsayımlar!$B:$Q,12,0))</f>
        <v/>
      </c>
      <c r="V82" s="42" t="str">
        <f>IF(B82="","",VLOOKUP(AD82,Varsayımlar!$B:$Q,13,0))</f>
        <v/>
      </c>
      <c r="W82" s="67" t="str">
        <f>IF(B82="","",VLOOKUP(AD82,Varsayımlar!$B:$Q,14,0))</f>
        <v/>
      </c>
      <c r="X82" s="69"/>
      <c r="Y82" s="69"/>
      <c r="Z82" s="67"/>
      <c r="AA82" s="67" t="str">
        <f>IF(B82="","",VLOOKUP(AD82,Varsayımlar!$B:$Q,15,0))</f>
        <v/>
      </c>
      <c r="AB82" s="67" t="str">
        <f>IF(B82="","",VLOOKUP(AD82,Varsayımlar!$B:$Q,16,0))</f>
        <v/>
      </c>
      <c r="AC82" s="67"/>
      <c r="AD82" s="57" t="str">
        <f t="shared" si="3"/>
        <v/>
      </c>
    </row>
    <row r="83" spans="1:30" hidden="1" x14ac:dyDescent="0.25">
      <c r="A83" s="8" t="s">
        <v>135</v>
      </c>
      <c r="B83" s="86"/>
      <c r="C83" s="87" t="str">
        <f>IF(B83="","",VLOOKUP(AD83,Varsayımlar!$B:$Q,3,0))</f>
        <v/>
      </c>
      <c r="D83" s="87"/>
      <c r="H83" s="57" t="str">
        <f>IF(B83="","",VLOOKUP(AD83,Varsayımlar!$B:$Q,5,0))</f>
        <v/>
      </c>
      <c r="I83" s="57"/>
      <c r="J83" s="57" t="str">
        <f>IF(B83="","",VLOOKUP(AD83,Varsayımlar!$B:$Q,6,0))</f>
        <v/>
      </c>
      <c r="P83" s="57" t="str">
        <f>IF(B83="","",VLOOKUP(AD83,Varsayımlar!$B:$Q,7,0)*K83)</f>
        <v/>
      </c>
      <c r="Q83" s="57" t="str">
        <f>IF(B83="","",VLOOKUP(AD83,Varsayımlar!$B:$Q,8,0))</f>
        <v/>
      </c>
      <c r="R83" s="57" t="str">
        <f>IF(B83="","",VLOOKUP(AD83,Varsayımlar!$B:$Q,9,0))</f>
        <v/>
      </c>
      <c r="S83" s="57" t="str">
        <f>IF(B83="","",VLOOKUP(AD83,Varsayımlar!$B:$Q,10,0))</f>
        <v/>
      </c>
      <c r="T83" s="57" t="str">
        <f>IF(B83="","",VLOOKUP(AD83,Varsayımlar!$B:$Q,11,0))</f>
        <v/>
      </c>
      <c r="U83" s="57" t="str">
        <f>IF(B83="","",VLOOKUP(AD83,Varsayımlar!$B:$Q,12,0))</f>
        <v/>
      </c>
      <c r="V83" s="57" t="str">
        <f>IF(B83="","",VLOOKUP(AD83,Varsayımlar!$B:$Q,13,0))</f>
        <v/>
      </c>
      <c r="W83" s="57" t="str">
        <f>IF(B83="","",VLOOKUP(AD83,Varsayımlar!$B:$Q,14,0))</f>
        <v/>
      </c>
      <c r="AA83" s="57" t="str">
        <f>IF(B83="","",VLOOKUP(AD83,Varsayımlar!$B:$Q,15,0))</f>
        <v/>
      </c>
      <c r="AB83" s="57" t="str">
        <f>IF(B83="","",VLOOKUP(AD83,Varsayımlar!$B:$Q,16,0))</f>
        <v/>
      </c>
      <c r="AC83" s="57" t="str">
        <f>IF(B83="","",VLOOKUP(Sayfa1!AD93,Varsayımlar!B:S,18,0))</f>
        <v/>
      </c>
      <c r="AD83" s="57" t="str">
        <f t="shared" si="3"/>
        <v/>
      </c>
    </row>
    <row r="84" spans="1:30" x14ac:dyDescent="0.25">
      <c r="C84" s="53" t="str">
        <f>IF(B84="","",VLOOKUP(AD84,Varsayımlar!$B:$Q,3,0))</f>
        <v/>
      </c>
      <c r="H84" s="7" t="str">
        <f>IF(B84="","",VLOOKUP(AD84,Varsayımlar!$B:$Q,5,0))</f>
        <v/>
      </c>
      <c r="J84" s="7" t="str">
        <f>IF(B84="","",VLOOKUP(AD84,Varsayımlar!$B:$Q,6,0))</f>
        <v/>
      </c>
      <c r="P84" s="7" t="str">
        <f>IF(B84="","",VLOOKUP(AD84,Varsayımlar!$B:$Q,7,0)*K84)</f>
        <v/>
      </c>
      <c r="Q84" s="7" t="str">
        <f>IF(B84="","",VLOOKUP(AD84,Varsayımlar!$B:$Q,8,0))</f>
        <v/>
      </c>
      <c r="R84" s="7" t="str">
        <f>IF(B84="","",VLOOKUP(AD84,Varsayımlar!$B:$Q,9,0))</f>
        <v/>
      </c>
      <c r="S84" s="7" t="str">
        <f>IF(B84="","",VLOOKUP(AD84,Varsayımlar!$B:$Q,10,0))</f>
        <v/>
      </c>
      <c r="T84" s="7" t="str">
        <f>IF(B84="","",VLOOKUP(AD84,Varsayımlar!$B:$Q,11,0))</f>
        <v/>
      </c>
      <c r="U84" s="7" t="str">
        <f>IF(B84="","",VLOOKUP(AD84,Varsayımlar!$B:$Q,12,0))</f>
        <v/>
      </c>
      <c r="V84" s="7" t="str">
        <f>IF(B84="","",VLOOKUP(AD84,Varsayımlar!$B:$Q,13,0))</f>
        <v/>
      </c>
      <c r="W84" s="7" t="str">
        <f>IF(B84="","",VLOOKUP(AD84,Varsayımlar!$B:$Q,14,0))</f>
        <v/>
      </c>
      <c r="AA84" s="7" t="str">
        <f>IF(B84="","",VLOOKUP(AD84,Varsayımlar!$B:$Q,15,0))</f>
        <v/>
      </c>
      <c r="AB84" s="7" t="str">
        <f>IF(B84="","",VLOOKUP(AD84,Varsayımlar!$B:$Q,16,0))</f>
        <v/>
      </c>
      <c r="AC84" s="7" t="str">
        <f>IF(B84="","",VLOOKUP(Sayfa1!AD94,Varsayımlar!B:S,18,0))</f>
        <v/>
      </c>
      <c r="AD84" s="7" t="str">
        <f t="shared" si="3"/>
        <v/>
      </c>
    </row>
  </sheetData>
  <mergeCells count="6">
    <mergeCell ref="A63:AB63"/>
    <mergeCell ref="A1:AC1"/>
    <mergeCell ref="A2:Z2"/>
    <mergeCell ref="AB2:AC2"/>
    <mergeCell ref="B7:AB7"/>
    <mergeCell ref="A40:AB40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topLeftCell="A16" zoomScale="85" zoomScaleNormal="85" workbookViewId="0">
      <selection activeCell="J23" sqref="J23"/>
    </sheetView>
  </sheetViews>
  <sheetFormatPr defaultRowHeight="15.75" x14ac:dyDescent="0.25"/>
  <cols>
    <col min="1" max="1" width="5.85546875" style="7" bestFit="1" customWidth="1"/>
    <col min="2" max="2" width="17" style="7" bestFit="1" customWidth="1"/>
    <col min="3" max="3" width="26.5703125" style="53" hidden="1" customWidth="1"/>
    <col min="4" max="4" width="10.85546875" style="53" customWidth="1"/>
    <col min="5" max="5" width="42" style="53" customWidth="1"/>
    <col min="6" max="6" width="17.7109375" style="7" hidden="1" customWidth="1"/>
    <col min="7" max="7" width="20.28515625" style="7" hidden="1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hidden="1" customWidth="1"/>
    <col min="13" max="13" width="10.42578125" style="7" hidden="1" customWidth="1"/>
    <col min="14" max="14" width="13.28515625" style="7" hidden="1" customWidth="1"/>
    <col min="15" max="15" width="6.28515625" style="7" hidden="1" customWidth="1"/>
    <col min="16" max="16" width="11.5703125" style="7" hidden="1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1.42578125" style="7" customWidth="1"/>
    <col min="23" max="23" width="8.5703125" style="7" bestFit="1" customWidth="1"/>
    <col min="24" max="24" width="13.140625" style="7" bestFit="1" customWidth="1"/>
    <col min="25" max="25" width="16" style="7" customWidth="1"/>
    <col min="26" max="26" width="14.140625" style="7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38.85546875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46192</v>
      </c>
      <c r="AB2" s="185">
        <v>0.71527777777777779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customHeight="1" x14ac:dyDescent="0.25">
      <c r="A4" s="8" t="s">
        <v>26</v>
      </c>
      <c r="B4" s="64" t="s">
        <v>335</v>
      </c>
      <c r="C4" s="3">
        <f>IF(B4="","",VLOOKUP(AD4,Varsayımlar!$B:$Q,3,0))</f>
        <v>8698829380698</v>
      </c>
      <c r="D4" s="3"/>
      <c r="E4" s="64" t="s">
        <v>299</v>
      </c>
      <c r="F4" s="64"/>
      <c r="G4" s="3"/>
      <c r="H4" s="64" t="str">
        <f>IF(B4="","",VLOOKUP(AD4,Varsayımlar!$B:$Q,5,0))</f>
        <v>Lazeza 30cm</v>
      </c>
      <c r="I4" s="64">
        <f>IF(B4="","",VLOOKUP(AD4,Varsayımlar!B:T,19,0))</f>
        <v>0</v>
      </c>
      <c r="J4" s="64" t="str">
        <f>IF(B4="","",VLOOKUP(AD4,Varsayımlar!$B:$Q,6,0))</f>
        <v>SADE</v>
      </c>
      <c r="K4" s="64">
        <v>1700</v>
      </c>
      <c r="L4" s="64"/>
      <c r="M4" s="64" t="str">
        <f>IFERROR(IF(B4="","",K4/VLOOKUP(AD4,Varsayımlar!B:R,17,0)),"")</f>
        <v/>
      </c>
      <c r="N4" s="64"/>
      <c r="O4" s="64">
        <v>10</v>
      </c>
      <c r="P4" s="64">
        <f>IF(B4="","",VLOOKUP(AD4,Varsayımlar!$B:$Q,7,0)*K4)</f>
        <v>30600</v>
      </c>
      <c r="Q4" s="64">
        <f>IF(B4="","",VLOOKUP(AD4,Varsayımlar!$B:$Q,8,0))</f>
        <v>30</v>
      </c>
      <c r="R4" s="64" t="str">
        <f>IF(B4="","",VLOOKUP(AD4,Varsayımlar!$B:$Q,9,0))</f>
        <v>Irak Soft</v>
      </c>
      <c r="S4" s="64">
        <f>IF(B4="","",VLOOKUP(AD4,Varsayımlar!$B:$Q,10,0))</f>
        <v>6</v>
      </c>
      <c r="T4" s="64">
        <f>IF(B4="","",VLOOKUP(AD4,Varsayımlar!$B:$Q,11,0))</f>
        <v>18</v>
      </c>
      <c r="U4" s="64">
        <f>IF(B4="","",VLOOKUP(AD4,Varsayımlar!$B:$Q,12,0))</f>
        <v>510</v>
      </c>
      <c r="V4" s="64" t="str">
        <f>IF(B4="","",VLOOKUP(AD4,Varsayımlar!$B:$Q,13,0))</f>
        <v>Yurtdışı</v>
      </c>
      <c r="W4" s="64">
        <f>IF(B4="","",VLOOKUP(AD4,Varsayımlar!$B:$Q,14,0))</f>
        <v>6</v>
      </c>
      <c r="X4" s="66">
        <v>46188</v>
      </c>
      <c r="Y4" s="66">
        <v>46736</v>
      </c>
      <c r="Z4" s="64">
        <v>26061530</v>
      </c>
      <c r="AA4" s="64" t="str">
        <f>IF(B4="","",VLOOKUP(AD4,Varsayımlar!$B:$Q,15,0))</f>
        <v>Lazeza Kolisi</v>
      </c>
      <c r="AB4" s="64" t="str">
        <f>IF(B4="","",VLOOKUP(AD4,Varsayımlar!$B:$Q,16,0))</f>
        <v>29-31 cm</v>
      </c>
      <c r="AC4" s="64" t="str">
        <f>IF(B4="","",VLOOKUP(Sayfa1!AD79,Varsayımlar!B:S,18,0))</f>
        <v>80x120cm -Epal+Epal</v>
      </c>
      <c r="AD4" s="57" t="str">
        <f>IF(B4="","",CONCATENATE(B4,E4))</f>
        <v>AjjawiLazeza 30 cm 6pcs 510g</v>
      </c>
    </row>
    <row r="5" spans="1:30" ht="23.25" customHeight="1" x14ac:dyDescent="0.25">
      <c r="A5" s="8"/>
      <c r="B5" s="187" t="s">
        <v>473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9"/>
      <c r="AC5" s="58"/>
      <c r="AD5" s="57"/>
    </row>
    <row r="6" spans="1:30" ht="63" x14ac:dyDescent="0.25">
      <c r="A6" s="8" t="s">
        <v>77</v>
      </c>
      <c r="B6" s="117" t="s">
        <v>53</v>
      </c>
      <c r="C6" s="118">
        <f>IF(B6="","",VLOOKUP(AD6,Varsayımlar!$B:$Q,3,0))</f>
        <v>8698829380698</v>
      </c>
      <c r="D6" s="117" t="s">
        <v>403</v>
      </c>
      <c r="E6" s="117" t="s">
        <v>54</v>
      </c>
      <c r="F6" s="117"/>
      <c r="G6" s="117" t="s">
        <v>404</v>
      </c>
      <c r="H6" s="117" t="str">
        <f>IF(B6="","",VLOOKUP(AD6,Varsayımlar!$B:$Q,5,0))</f>
        <v>MAGNİT MAVİ AMBALAJ 25CM</v>
      </c>
      <c r="I6" s="117">
        <f>IF(B6="","",VLOOKUP(AD6,Varsayımlar!B:T,19,0))</f>
        <v>0</v>
      </c>
      <c r="J6" s="117" t="str">
        <f>IF(B6="","",VLOOKUP(AD6,Varsayımlar!$B:$Q,6,0))</f>
        <v>SADE</v>
      </c>
      <c r="K6" s="117">
        <v>2016</v>
      </c>
      <c r="L6" s="117"/>
      <c r="M6" s="117" t="str">
        <f>IFERROR(IF(B6="","",K6/VLOOKUP(AD6,#REF!,17,0)),"")</f>
        <v/>
      </c>
      <c r="N6" s="117"/>
      <c r="O6" s="117">
        <v>34</v>
      </c>
      <c r="P6" s="117">
        <f>IF(B6="","",VLOOKUP(AD6,Varsayımlar!$B:$Q,7,0)*K6)</f>
        <v>60480</v>
      </c>
      <c r="Q6" s="117">
        <f>IF(B6="","",VLOOKUP(AD6,Varsayımlar!$B:$Q,8,0))</f>
        <v>25</v>
      </c>
      <c r="R6" s="117" t="str">
        <f>IF(B6="","",VLOOKUP(AD6,Varsayımlar!$B:$Q,9,0))</f>
        <v>SOFT</v>
      </c>
      <c r="S6" s="117">
        <f>IF(B6="","",VLOOKUP(AD6,Varsayımlar!$B:$Q,10,0))</f>
        <v>4</v>
      </c>
      <c r="T6" s="117">
        <f>IF(B6="","",VLOOKUP(AD6,Varsayımlar!$B:$Q,11,0))</f>
        <v>30</v>
      </c>
      <c r="U6" s="117">
        <f>IF(B6="","",VLOOKUP(AD6,Varsayımlar!$B:$Q,12,0))</f>
        <v>260</v>
      </c>
      <c r="V6" s="117" t="str">
        <f>IF(B6="","",VLOOKUP(AD6,Varsayımlar!$B:$Q,13,0))</f>
        <v>YURTDIŞI</v>
      </c>
      <c r="W6" s="117">
        <f>IF(B6="","",VLOOKUP(AD6,Varsayımlar!$B:$Q,14,0))</f>
        <v>9</v>
      </c>
      <c r="X6" s="122">
        <v>46193</v>
      </c>
      <c r="Y6" s="122">
        <v>46466</v>
      </c>
      <c r="Z6" s="117" t="s">
        <v>405</v>
      </c>
      <c r="AA6" s="117" t="str">
        <f>IF(B6="","",VLOOKUP(AD6,Varsayımlar!$B:$Q,15,0))</f>
        <v>25CM TURUNCU KOLİ-SOL ÜST DİKDÖRTGENE ÜRETİM TARİHİ BASILACAK</v>
      </c>
      <c r="AB6" s="117" t="str">
        <f>IF(B6="","",VLOOKUP(AD6,Varsayımlar!$B:$Q,16,0))</f>
        <v>24-26 CM</v>
      </c>
      <c r="AC6" s="73" t="e">
        <f>IF(B6="","",VLOOKUP(#REF!,#REF!,18,0))</f>
        <v>#REF!</v>
      </c>
      <c r="AD6" s="73" t="str">
        <f>IF(B6="","",CONCATENATE(B6,E6))</f>
        <v>MAGNİTMAGNİT MAVİ AMBALAJ 25 CM 260G</v>
      </c>
    </row>
    <row r="7" spans="1:30" ht="31.5" x14ac:dyDescent="0.25">
      <c r="A7" s="8" t="s">
        <v>78</v>
      </c>
      <c r="B7" s="64" t="s">
        <v>64</v>
      </c>
      <c r="C7" s="3">
        <f>IF(B7="","",VLOOKUP(AD7,Varsayımlar!$B:$Q,3,0))</f>
        <v>8698829380698</v>
      </c>
      <c r="D7" s="3"/>
      <c r="E7" s="64" t="s">
        <v>296</v>
      </c>
      <c r="F7" s="64">
        <v>31</v>
      </c>
      <c r="G7" s="3" t="s">
        <v>68</v>
      </c>
      <c r="H7" s="64" t="str">
        <f>IF(B7="","",VLOOKUP(AD7,Varsayımlar!$B:$Q,5,0))</f>
        <v>Tortillas 20cm Çok Tahıllı</v>
      </c>
      <c r="I7" s="64">
        <f>IF(B7="","",VLOOKUP(AD7,Varsayımlar!B:T,19,0))</f>
        <v>0</v>
      </c>
      <c r="J7" s="64" t="str">
        <f>IF(B7="","",VLOOKUP(AD7,Varsayımlar!$B:$Q,6,0))</f>
        <v>Çok Tahıllı</v>
      </c>
      <c r="K7" s="64">
        <v>1800</v>
      </c>
      <c r="L7" s="64"/>
      <c r="M7" s="64">
        <f>IFERROR(IF(B7="","",K7/VLOOKUP(AD7,Varsayımlar!B:R,17,0)),"")</f>
        <v>8</v>
      </c>
      <c r="N7" s="64"/>
      <c r="O7" s="64">
        <v>15</v>
      </c>
      <c r="P7" s="64">
        <f>IF(B7="","",VLOOKUP(AD7,Varsayımlar!$B:$Q,7,0)*K7)</f>
        <v>25200</v>
      </c>
      <c r="Q7" s="64">
        <f>IF(B7="","",VLOOKUP(AD7,Varsayımlar!$B:$Q,8,0))</f>
        <v>20</v>
      </c>
      <c r="R7" s="64" t="str">
        <f>IF(B7="","",VLOOKUP(AD7,Varsayımlar!$B:$Q,9,0))</f>
        <v>Irak Soft</v>
      </c>
      <c r="S7" s="64">
        <f>IF(B7="","",VLOOKUP(AD7,Varsayımlar!$B:$Q,10,0))</f>
        <v>4</v>
      </c>
      <c r="T7" s="64">
        <f>IF(B7="","",VLOOKUP(AD7,Varsayımlar!$B:$Q,11,0))</f>
        <v>14</v>
      </c>
      <c r="U7" s="64">
        <f>IF(B7="","",VLOOKUP(AD7,Varsayımlar!$B:$Q,12,0))</f>
        <v>166</v>
      </c>
      <c r="V7" s="64" t="str">
        <f>IF(B7="","",VLOOKUP(AD7,Varsayımlar!$B:$Q,13,0))</f>
        <v>Yurtdışı</v>
      </c>
      <c r="W7" s="64">
        <f>IF(B7="","",VLOOKUP(AD7,Varsayımlar!$B:$Q,14,0))</f>
        <v>9</v>
      </c>
      <c r="X7" s="66">
        <v>46196</v>
      </c>
      <c r="Y7" s="66">
        <v>46469</v>
      </c>
      <c r="Z7" s="64" t="s">
        <v>339</v>
      </c>
      <c r="AA7" s="64" t="str">
        <f>IF(B7="","",VLOOKUP(AD7,Varsayımlar!$B:$Q,15,0))</f>
        <v>SİYAH KARE KOLİ-Üretim Tarihi Etiketli</v>
      </c>
      <c r="AB7" s="64" t="str">
        <f>IF(B7="","",VLOOKUP(AD7,Varsayımlar!$B:$Q,16,0))</f>
        <v>19-21 cm</v>
      </c>
      <c r="AC7" s="64">
        <f>IF(B7="","",VLOOKUP(Sayfa1!AD15,Varsayımlar!B:S,18,0))</f>
        <v>0</v>
      </c>
      <c r="AD7" s="57" t="str">
        <f t="shared" ref="AD7:AD35" si="0">IF(B7="","",CONCATENATE(B7,E7))</f>
        <v>SMART LLCTortillas 20cm Çok Tahıllı 4pcs 166g</v>
      </c>
    </row>
    <row r="8" spans="1:30" ht="31.5" x14ac:dyDescent="0.25">
      <c r="A8" s="8" t="s">
        <v>79</v>
      </c>
      <c r="B8" s="64" t="s">
        <v>64</v>
      </c>
      <c r="C8" s="3">
        <f>IF(B8="","",VLOOKUP(AD8,Varsayımlar!$B:$Q,3,0))</f>
        <v>8698829380698</v>
      </c>
      <c r="D8" s="3"/>
      <c r="E8" s="64" t="s">
        <v>176</v>
      </c>
      <c r="F8" s="64">
        <v>31</v>
      </c>
      <c r="G8" s="3" t="s">
        <v>68</v>
      </c>
      <c r="H8" s="64" t="str">
        <f>IF(B8="","",VLOOKUP(AD8,Varsayımlar!$B:$Q,5,0))</f>
        <v>Tortillas 20cm (Samakat Bilgileri Ekli)</v>
      </c>
      <c r="I8" s="64">
        <f>IF(B8="","",VLOOKUP(AD8,Varsayımlar!B:T,19,0))</f>
        <v>0</v>
      </c>
      <c r="J8" s="64" t="str">
        <f>IF(B8="","",VLOOKUP(AD8,Varsayımlar!$B:$Q,6,0))</f>
        <v>PEYNİRLİ</v>
      </c>
      <c r="K8" s="64">
        <v>2925</v>
      </c>
      <c r="L8" s="64"/>
      <c r="M8" s="64">
        <f>IFERROR(IF(B8="","",K8/VLOOKUP(AD8,Varsayımlar!B:R,17,0)),"")</f>
        <v>13</v>
      </c>
      <c r="N8" s="64"/>
      <c r="O8" s="64">
        <v>24</v>
      </c>
      <c r="P8" s="64">
        <f>IF(B8="","",VLOOKUP(AD8,Varsayımlar!$B:$Q,7,0)*K8)</f>
        <v>40950</v>
      </c>
      <c r="Q8" s="64">
        <f>IF(B8="","",VLOOKUP(AD8,Varsayımlar!$B:$Q,8,0))</f>
        <v>20</v>
      </c>
      <c r="R8" s="64" t="str">
        <f>IF(B8="","",VLOOKUP(AD8,Varsayımlar!$B:$Q,9,0))</f>
        <v>IRAK SOFT-AT</v>
      </c>
      <c r="S8" s="64">
        <f>IF(B8="","",VLOOKUP(AD8,Varsayımlar!$B:$Q,10,0))</f>
        <v>4</v>
      </c>
      <c r="T8" s="64">
        <f>IF(B8="","",VLOOKUP(AD8,Varsayımlar!$B:$Q,11,0))</f>
        <v>14</v>
      </c>
      <c r="U8" s="64">
        <f>IF(B8="","",VLOOKUP(AD8,Varsayımlar!$B:$Q,12,0))</f>
        <v>166</v>
      </c>
      <c r="V8" s="64" t="str">
        <f>IF(B8="","",VLOOKUP(AD8,Varsayımlar!$B:$Q,13,0))</f>
        <v>YURTDIŞI</v>
      </c>
      <c r="W8" s="64">
        <f>IF(B8="","",VLOOKUP(AD8,Varsayımlar!$B:$Q,14,0))</f>
        <v>9</v>
      </c>
      <c r="X8" s="66">
        <v>46196</v>
      </c>
      <c r="Y8" s="66">
        <v>46469</v>
      </c>
      <c r="Z8" s="64" t="s">
        <v>340</v>
      </c>
      <c r="AA8" s="64" t="str">
        <f>IF(B8="","",VLOOKUP(AD8,Varsayımlar!$B:$Q,15,0))</f>
        <v>Kare Koli-Üretim Tarihli Etiket</v>
      </c>
      <c r="AB8" s="64" t="str">
        <f>IF(B8="","",VLOOKUP(AD8,Varsayımlar!$B:$Q,16,0))</f>
        <v>19-21 cm</v>
      </c>
      <c r="AC8" s="64">
        <f>IF(B8="","",VLOOKUP(Sayfa1!AD17,Varsayımlar!B:S,18,0))</f>
        <v>0</v>
      </c>
      <c r="AD8" s="57" t="str">
        <f t="shared" si="0"/>
        <v>SMART LLCTortillas 20cm Peynirli 4pcs 166g</v>
      </c>
    </row>
    <row r="9" spans="1:30" ht="47.25" x14ac:dyDescent="0.25">
      <c r="A9" s="8" t="s">
        <v>80</v>
      </c>
      <c r="B9" s="67" t="s">
        <v>268</v>
      </c>
      <c r="C9" s="42">
        <f>IF(B9="","",VLOOKUP(AD9,Varsayımlar!$B:$Q,3,0))</f>
        <v>8698829380698</v>
      </c>
      <c r="D9" s="42" t="s">
        <v>159</v>
      </c>
      <c r="E9" s="67" t="s">
        <v>269</v>
      </c>
      <c r="F9" s="67">
        <v>20250825</v>
      </c>
      <c r="G9" s="42" t="s">
        <v>68</v>
      </c>
      <c r="H9" s="67" t="str">
        <f>IF(B9="","",VLOOKUP(AD9,Varsayımlar!$B:$Q,5,0))</f>
        <v>Tortillas 25cm Tam Buğday</v>
      </c>
      <c r="I9" s="67">
        <f>IF(B9="","",VLOOKUP(AD9,Varsayımlar!B:T,19,0))</f>
        <v>0</v>
      </c>
      <c r="J9" s="67" t="str">
        <f>IF(B9="","",VLOOKUP(AD9,Varsayımlar!$B:$Q,6,0))</f>
        <v>Tam Buğdaylı</v>
      </c>
      <c r="K9" s="67">
        <v>252</v>
      </c>
      <c r="L9" s="67"/>
      <c r="M9" s="67">
        <f>IFERROR(IF(B9="","",K9/VLOOKUP(AD9,Varsayımlar!B:R,17,0)),"")</f>
        <v>3</v>
      </c>
      <c r="N9" s="67"/>
      <c r="O9" s="67">
        <v>5</v>
      </c>
      <c r="P9" s="67">
        <f>IF(B9="","",VLOOKUP(AD9,Varsayımlar!$B:$Q,7,0)*K9)</f>
        <v>7560</v>
      </c>
      <c r="Q9" s="67">
        <f>IF(B9="","",VLOOKUP(AD9,Varsayımlar!$B:$Q,8,0))</f>
        <v>25</v>
      </c>
      <c r="R9" s="67" t="str">
        <f>IF(B9="","",VLOOKUP(AD9,Varsayımlar!$B:$Q,9,0))</f>
        <v>Soft-PA3</v>
      </c>
      <c r="S9" s="67">
        <f>IF(B9="","",VLOOKUP(AD9,Varsayımlar!$B:$Q,10,0))</f>
        <v>4</v>
      </c>
      <c r="T9" s="67">
        <f>IF(B9="","",VLOOKUP(AD9,Varsayımlar!$B:$Q,11,0))</f>
        <v>30</v>
      </c>
      <c r="U9" s="67">
        <f>IF(B9="","",VLOOKUP(AD9,Varsayımlar!$B:$Q,12,0))</f>
        <v>240</v>
      </c>
      <c r="V9" s="67" t="str">
        <f>IF(B9="","",VLOOKUP(AD9,Varsayımlar!$B:$Q,13,0))</f>
        <v>Yurtdışı</v>
      </c>
      <c r="W9" s="67">
        <f>IF(B9="","",VLOOKUP(AD9,Varsayımlar!$B:$Q,14,0))</f>
        <v>12</v>
      </c>
      <c r="X9" s="69">
        <v>46199</v>
      </c>
      <c r="Y9" s="69">
        <v>46564</v>
      </c>
      <c r="Z9" s="67" t="s">
        <v>374</v>
      </c>
      <c r="AA9" s="67" t="str">
        <f>IF(B9="","",VLOOKUP(AD9,Varsayımlar!$B:$Q,15,0))</f>
        <v>25cm Kolisi-Etiketli</v>
      </c>
      <c r="AB9" s="67" t="str">
        <f>IF(B9="","",VLOOKUP(AD9,Varsayımlar!$B:$Q,16,0))</f>
        <v>24-26 cm (Macca Hetto Inkjet Uzun Tarih)</v>
      </c>
      <c r="AC9" s="67" t="str">
        <f>IF(B9="","",VLOOKUP(Sayfa1!AD23,Varsayımlar!B:S,18,0))</f>
        <v>80x120cm</v>
      </c>
      <c r="AD9" s="57" t="str">
        <f t="shared" si="0"/>
        <v>LAIKYUZHN-BELARUSTortillas 25cm Tam buğday 4pcs 240g</v>
      </c>
    </row>
    <row r="10" spans="1:30" ht="47.25" x14ac:dyDescent="0.25">
      <c r="A10" s="8" t="s">
        <v>81</v>
      </c>
      <c r="B10" s="67" t="s">
        <v>268</v>
      </c>
      <c r="C10" s="42">
        <f>IF(B10="","",VLOOKUP(AD10,Varsayımlar!$B:$Q,3,0))</f>
        <v>8698829380698</v>
      </c>
      <c r="D10" s="42" t="s">
        <v>159</v>
      </c>
      <c r="E10" s="67" t="s">
        <v>274</v>
      </c>
      <c r="F10" s="67">
        <v>20250825</v>
      </c>
      <c r="G10" s="42" t="s">
        <v>68</v>
      </c>
      <c r="H10" s="67" t="str">
        <f>IF(B10="","",VLOOKUP(AD10,Varsayımlar!$B:$Q,5,0))</f>
        <v>Tortillas 25cm Domatesli</v>
      </c>
      <c r="I10" s="67">
        <f>IF(B10="","",VLOOKUP(AD10,Varsayımlar!B:T,19,0))</f>
        <v>0</v>
      </c>
      <c r="J10" s="67" t="str">
        <f>IF(B10="","",VLOOKUP(AD10,Varsayımlar!$B:$Q,6,0))</f>
        <v>Domatesli</v>
      </c>
      <c r="K10" s="67">
        <v>252</v>
      </c>
      <c r="L10" s="67"/>
      <c r="M10" s="67">
        <f>IFERROR(IF(B10="","",K10/VLOOKUP(AD10,Varsayımlar!B:R,17,0)),"")</f>
        <v>3</v>
      </c>
      <c r="N10" s="67"/>
      <c r="O10" s="67">
        <v>5</v>
      </c>
      <c r="P10" s="67">
        <f>IF(B10="","",VLOOKUP(AD10,Varsayımlar!$B:$Q,7,0)*K10)</f>
        <v>7560</v>
      </c>
      <c r="Q10" s="67">
        <f>IF(B10="","",VLOOKUP(AD10,Varsayımlar!$B:$Q,8,0))</f>
        <v>25</v>
      </c>
      <c r="R10" s="67" t="str">
        <f>IF(B10="","",VLOOKUP(AD10,Varsayımlar!$B:$Q,9,0))</f>
        <v>Soft-PA3</v>
      </c>
      <c r="S10" s="67">
        <f>IF(B10="","",VLOOKUP(AD10,Varsayımlar!$B:$Q,10,0))</f>
        <v>4</v>
      </c>
      <c r="T10" s="67">
        <f>IF(B10="","",VLOOKUP(AD10,Varsayımlar!$B:$Q,11,0))</f>
        <v>30</v>
      </c>
      <c r="U10" s="67">
        <f>IF(B10="","",VLOOKUP(AD10,Varsayımlar!$B:$Q,12,0))</f>
        <v>240</v>
      </c>
      <c r="V10" s="67" t="str">
        <f>IF(B10="","",VLOOKUP(AD10,Varsayımlar!$B:$Q,13,0))</f>
        <v>Yurtdışı</v>
      </c>
      <c r="W10" s="67">
        <f>IF(B10="","",VLOOKUP(AD10,Varsayımlar!$B:$Q,14,0))</f>
        <v>12</v>
      </c>
      <c r="X10" s="69">
        <v>46199</v>
      </c>
      <c r="Y10" s="69">
        <v>46564</v>
      </c>
      <c r="Z10" s="67" t="s">
        <v>375</v>
      </c>
      <c r="AA10" s="67" t="str">
        <f>IF(B10="","",VLOOKUP(AD10,Varsayımlar!$B:$Q,15,0))</f>
        <v>25cm Kolisi-Etiketli</v>
      </c>
      <c r="AB10" s="67" t="str">
        <f>IF(B10="","",VLOOKUP(AD10,Varsayımlar!$B:$Q,16,0))</f>
        <v>24-26 cm (Macca Hetto Inkjet Uzun Tarih)</v>
      </c>
      <c r="AC10" s="67" t="str">
        <f>IF(B10="","",VLOOKUP(Sayfa1!AD24,Varsayımlar!B:S,18,0))</f>
        <v>80x120cm</v>
      </c>
      <c r="AD10" s="57" t="str">
        <f t="shared" si="0"/>
        <v>LAIKYUZHN-BELARUSTortillas 25cm Domatesli 4pcs 240g</v>
      </c>
    </row>
    <row r="11" spans="1:30" ht="47.25" x14ac:dyDescent="0.25">
      <c r="A11" s="8" t="s">
        <v>82</v>
      </c>
      <c r="B11" s="67" t="s">
        <v>268</v>
      </c>
      <c r="C11" s="42">
        <f>IF(B11="","",VLOOKUP(AD11,Varsayımlar!$B:$Q,3,0))</f>
        <v>8698829380698</v>
      </c>
      <c r="D11" s="42" t="s">
        <v>159</v>
      </c>
      <c r="E11" s="67" t="s">
        <v>276</v>
      </c>
      <c r="F11" s="67">
        <v>20250825</v>
      </c>
      <c r="G11" s="42" t="s">
        <v>68</v>
      </c>
      <c r="H11" s="67" t="str">
        <f>IF(B11="","",VLOOKUP(AD11,Varsayımlar!$B:$Q,5,0))</f>
        <v>Tortillas 25cm Ispanaklı</v>
      </c>
      <c r="I11" s="67">
        <f>IF(B11="","",VLOOKUP(AD11,Varsayımlar!B:T,19,0))</f>
        <v>0</v>
      </c>
      <c r="J11" s="67" t="str">
        <f>IF(B11="","",VLOOKUP(AD11,Varsayımlar!$B:$Q,6,0))</f>
        <v>Ispanaklı</v>
      </c>
      <c r="K11" s="67">
        <v>420</v>
      </c>
      <c r="L11" s="67"/>
      <c r="M11" s="67">
        <f>IFERROR(IF(B11="","",K11/VLOOKUP(AD11,Varsayımlar!B:R,17,0)),"")</f>
        <v>5</v>
      </c>
      <c r="N11" s="67"/>
      <c r="O11" s="67">
        <v>7</v>
      </c>
      <c r="P11" s="67">
        <f>IF(B11="","",VLOOKUP(AD11,Varsayımlar!$B:$Q,7,0)*K11)</f>
        <v>12600</v>
      </c>
      <c r="Q11" s="67">
        <f>IF(B11="","",VLOOKUP(AD11,Varsayımlar!$B:$Q,8,0))</f>
        <v>25</v>
      </c>
      <c r="R11" s="67" t="str">
        <f>IF(B11="","",VLOOKUP(AD11,Varsayımlar!$B:$Q,9,0))</f>
        <v>Soft-PA3</v>
      </c>
      <c r="S11" s="67">
        <f>IF(B11="","",VLOOKUP(AD11,Varsayımlar!$B:$Q,10,0))</f>
        <v>4</v>
      </c>
      <c r="T11" s="67">
        <f>IF(B11="","",VLOOKUP(AD11,Varsayımlar!$B:$Q,11,0))</f>
        <v>30</v>
      </c>
      <c r="U11" s="67">
        <f>IF(B11="","",VLOOKUP(AD11,Varsayımlar!$B:$Q,12,0))</f>
        <v>240</v>
      </c>
      <c r="V11" s="67" t="str">
        <f>IF(B11="","",VLOOKUP(AD11,Varsayımlar!$B:$Q,13,0))</f>
        <v>Yurtdışı</v>
      </c>
      <c r="W11" s="67">
        <f>IF(B11="","",VLOOKUP(AD11,Varsayımlar!$B:$Q,14,0))</f>
        <v>12</v>
      </c>
      <c r="X11" s="69">
        <v>46199</v>
      </c>
      <c r="Y11" s="69">
        <v>46564</v>
      </c>
      <c r="Z11" s="67" t="s">
        <v>376</v>
      </c>
      <c r="AA11" s="67" t="str">
        <f>IF(B11="","",VLOOKUP(AD11,Varsayımlar!$B:$Q,15,0))</f>
        <v>25cm Kolisi-Etiketli</v>
      </c>
      <c r="AB11" s="67" t="str">
        <f>IF(B11="","",VLOOKUP(AD11,Varsayımlar!$B:$Q,16,0))</f>
        <v>24-26 cm (Macca Hetto Inkjet Uzun Tarih)</v>
      </c>
      <c r="AC11" s="67" t="str">
        <f>IF(B11="","",VLOOKUP(Sayfa1!AD25,Varsayımlar!B:S,18,0))</f>
        <v>80x120cm</v>
      </c>
      <c r="AD11" s="57" t="str">
        <f t="shared" si="0"/>
        <v>LAIKYUZHN-BELARUSTortillas 25cm Ispanaklı 4pcs 240g</v>
      </c>
    </row>
    <row r="12" spans="1:30" ht="47.25" x14ac:dyDescent="0.25">
      <c r="A12" s="8" t="s">
        <v>83</v>
      </c>
      <c r="B12" s="67" t="s">
        <v>268</v>
      </c>
      <c r="C12" s="42">
        <f>IF(B12="","",VLOOKUP(AD12,Varsayımlar!$B:$Q,3,0))</f>
        <v>8698829380698</v>
      </c>
      <c r="D12" s="42" t="s">
        <v>159</v>
      </c>
      <c r="E12" s="67" t="s">
        <v>278</v>
      </c>
      <c r="F12" s="67">
        <v>20250825</v>
      </c>
      <c r="G12" s="42" t="s">
        <v>68</v>
      </c>
      <c r="H12" s="67" t="str">
        <f>IF(B12="","",VLOOKUP(AD12,Varsayımlar!$B:$Q,5,0))</f>
        <v>Magnit Tortillas 25cm Peynirli</v>
      </c>
      <c r="I12" s="67" t="str">
        <f>IF(B12="","",VLOOKUP(AD12,Varsayımlar!B:T,19,0))</f>
        <v>Etiketli</v>
      </c>
      <c r="J12" s="67" t="str">
        <f>IF(B12="","",VLOOKUP(AD12,Varsayımlar!$B:$Q,6,0))</f>
        <v>Peynirli</v>
      </c>
      <c r="K12" s="67">
        <v>420</v>
      </c>
      <c r="L12" s="67"/>
      <c r="M12" s="67">
        <f>IFERROR(IF(B12="","",K12/VLOOKUP(AD12,Varsayımlar!B:R,17,0)),"")</f>
        <v>5</v>
      </c>
      <c r="N12" s="67"/>
      <c r="O12" s="67">
        <v>7</v>
      </c>
      <c r="P12" s="67">
        <f>IF(B12="","",VLOOKUP(AD12,Varsayımlar!$B:$Q,7,0)*K12)</f>
        <v>12600</v>
      </c>
      <c r="Q12" s="67">
        <f>IF(B12="","",VLOOKUP(AD12,Varsayımlar!$B:$Q,8,0))</f>
        <v>25</v>
      </c>
      <c r="R12" s="67" t="str">
        <f>IF(B12="","",VLOOKUP(AD12,Varsayımlar!$B:$Q,9,0))</f>
        <v>Soft-PA3-AT</v>
      </c>
      <c r="S12" s="67">
        <f>IF(B12="","",VLOOKUP(AD12,Varsayımlar!$B:$Q,10,0))</f>
        <v>4</v>
      </c>
      <c r="T12" s="67">
        <f>IF(B12="","",VLOOKUP(AD12,Varsayımlar!$B:$Q,11,0))</f>
        <v>30</v>
      </c>
      <c r="U12" s="67">
        <f>IF(B12="","",VLOOKUP(AD12,Varsayımlar!$B:$Q,12,0))</f>
        <v>250</v>
      </c>
      <c r="V12" s="67" t="str">
        <f>IF(B12="","",VLOOKUP(AD12,Varsayımlar!$B:$Q,13,0))</f>
        <v>Yurtdışı</v>
      </c>
      <c r="W12" s="67">
        <f>IF(B12="","",VLOOKUP(AD12,Varsayımlar!$B:$Q,14,0))</f>
        <v>9</v>
      </c>
      <c r="X12" s="69">
        <v>46199</v>
      </c>
      <c r="Y12" s="69">
        <v>46472</v>
      </c>
      <c r="Z12" s="67" t="s">
        <v>377</v>
      </c>
      <c r="AA12" s="67" t="str">
        <f>IF(B12="","",VLOOKUP(AD12,Varsayımlar!$B:$Q,15,0))</f>
        <v>25cm Kolisi-Etiketli</v>
      </c>
      <c r="AB12" s="67" t="str">
        <f>IF(B12="","",VLOOKUP(AD12,Varsayımlar!$B:$Q,16,0))</f>
        <v>24-26 cm (Macca Hetto Inkjet Uzun Tarih)</v>
      </c>
      <c r="AC12" s="67" t="str">
        <f>IF(B12="","",VLOOKUP(Sayfa1!AD26,Varsayımlar!B:S,18,0))</f>
        <v>80x120cm</v>
      </c>
      <c r="AD12" s="57" t="str">
        <f t="shared" si="0"/>
        <v>LAIKYUZHN-BELARUSMagnit Tortillas 25cm Peynirli 4pcs 240g</v>
      </c>
    </row>
    <row r="13" spans="1:30" ht="47.25" x14ac:dyDescent="0.25">
      <c r="A13" s="8" t="s">
        <v>84</v>
      </c>
      <c r="B13" s="62" t="s">
        <v>181</v>
      </c>
      <c r="C13" s="32">
        <f>IF(B13="","",VLOOKUP(AD13,Varsayımlar!$B:$Q,3,0))</f>
        <v>8698829380698</v>
      </c>
      <c r="D13" s="32"/>
      <c r="E13" s="62" t="s">
        <v>182</v>
      </c>
      <c r="F13" s="62">
        <v>26060101</v>
      </c>
      <c r="G13" s="32"/>
      <c r="H13" s="62" t="str">
        <f>IF(B13="","",VLOOKUP(AD13,Varsayımlar!$B:$Q,5,0))</f>
        <v>Tortillove 30cm</v>
      </c>
      <c r="I13" s="62" t="str">
        <f>IF(B13="","",VLOOKUP(AD13,Varsayımlar!B:T,19,0))</f>
        <v>Arka kısma Arnavutça içerik-Tortillove</v>
      </c>
      <c r="J13" s="62" t="str">
        <f>IF(B13="","",VLOOKUP(AD13,Varsayımlar!$B:$Q,6,0))</f>
        <v>SADE</v>
      </c>
      <c r="K13" s="62">
        <v>100</v>
      </c>
      <c r="L13" s="62"/>
      <c r="M13" s="62">
        <f>IFERROR(IF(B13="","",K13/VLOOKUP(AD13,Varsayımlar!B:R,17,0)),"")</f>
        <v>2</v>
      </c>
      <c r="N13" s="62"/>
      <c r="O13" s="62">
        <v>2</v>
      </c>
      <c r="P13" s="62">
        <f>IF(B13="","",VLOOKUP(AD13,Varsayımlar!$B:$Q,7,0)*K13)</f>
        <v>1200</v>
      </c>
      <c r="Q13" s="62">
        <f>IF(B13="","",VLOOKUP(AD13,Varsayımlar!$B:$Q,8,0))</f>
        <v>30</v>
      </c>
      <c r="R13" s="62" t="str">
        <f>IF(B13="","",VLOOKUP(AD13,Varsayımlar!$B:$Q,9,0))</f>
        <v>Irak Soft</v>
      </c>
      <c r="S13" s="62">
        <f>IF(B13="","",VLOOKUP(AD13,Varsayımlar!$B:$Q,10,0))</f>
        <v>10</v>
      </c>
      <c r="T13" s="62">
        <f>IF(B13="","",VLOOKUP(AD13,Varsayımlar!$B:$Q,11,0))</f>
        <v>12</v>
      </c>
      <c r="U13" s="62">
        <f>IF(B13="","",VLOOKUP(AD13,Varsayımlar!$B:$Q,12,0))</f>
        <v>900</v>
      </c>
      <c r="V13" s="62" t="str">
        <f>IF(B13="","",VLOOKUP(AD13,Varsayımlar!$B:$Q,13,0))</f>
        <v>Yurtdışı</v>
      </c>
      <c r="W13" s="62">
        <f>IF(B13="","",VLOOKUP(AD13,Varsayımlar!$B:$Q,14,0))</f>
        <v>12</v>
      </c>
      <c r="X13" s="63">
        <v>46200</v>
      </c>
      <c r="Y13" s="63">
        <v>46565</v>
      </c>
      <c r="Z13" s="62">
        <v>26062730</v>
      </c>
      <c r="AA13" s="62" t="str">
        <f>IF(B13="","",VLOOKUP(AD13,Varsayımlar!$B:$Q,15,0))</f>
        <v>30cm Koli - Tortillove 900g Etiketli</v>
      </c>
      <c r="AB13" s="62" t="str">
        <f>IF(B13="","",VLOOKUP(AD13,Varsayımlar!$B:$Q,16,0))</f>
        <v>29-31 cm</v>
      </c>
      <c r="AC13" s="62">
        <f>IF(B13="","",VLOOKUP(Sayfa1!AD27,Varsayımlar!B:S,18,0))</f>
        <v>0</v>
      </c>
      <c r="AD13" s="57" t="str">
        <f t="shared" si="0"/>
        <v>ALDİ - KOSOVATortillove 30cm 10pcs 900g</v>
      </c>
    </row>
    <row r="14" spans="1:30" ht="47.25" x14ac:dyDescent="0.25">
      <c r="A14" s="8" t="s">
        <v>85</v>
      </c>
      <c r="B14" s="62" t="s">
        <v>181</v>
      </c>
      <c r="C14" s="32">
        <f>IF(B14="","",VLOOKUP(AD14,Varsayımlar!$B:$Q,3,0))</f>
        <v>8698829380698</v>
      </c>
      <c r="D14" s="32"/>
      <c r="E14" s="62" t="s">
        <v>185</v>
      </c>
      <c r="F14" s="62">
        <v>26060101</v>
      </c>
      <c r="G14" s="32"/>
      <c r="H14" s="62" t="str">
        <f>IF(B14="","",VLOOKUP(AD14,Varsayımlar!$B:$Q,5,0))</f>
        <v>Tortillas 30cm</v>
      </c>
      <c r="I14" s="62" t="str">
        <f>IF(B14="","",VLOOKUP(AD14,Varsayımlar!B:T,19,0))</f>
        <v>Arka kısma Arnavutça içerik-Tortillas</v>
      </c>
      <c r="J14" s="62" t="str">
        <f>IF(B14="","",VLOOKUP(AD14,Varsayımlar!$B:$Q,6,0))</f>
        <v>SADE</v>
      </c>
      <c r="K14" s="62">
        <v>50</v>
      </c>
      <c r="L14" s="62"/>
      <c r="M14" s="62">
        <f>IFERROR(IF(B14="","",K14/VLOOKUP(AD14,Varsayımlar!B:R,17,0)),"")</f>
        <v>1</v>
      </c>
      <c r="N14" s="62"/>
      <c r="O14" s="62">
        <v>1</v>
      </c>
      <c r="P14" s="62">
        <f>IF(B14="","",VLOOKUP(AD14,Varsayımlar!$B:$Q,7,0)*K14)</f>
        <v>600</v>
      </c>
      <c r="Q14" s="62">
        <f>IF(B14="","",VLOOKUP(AD14,Varsayımlar!$B:$Q,8,0))</f>
        <v>30</v>
      </c>
      <c r="R14" s="62" t="str">
        <f>IF(B14="","",VLOOKUP(AD14,Varsayımlar!$B:$Q,9,0))</f>
        <v>Irak Soft</v>
      </c>
      <c r="S14" s="62">
        <f>IF(B14="","",VLOOKUP(AD14,Varsayımlar!$B:$Q,10,0))</f>
        <v>10</v>
      </c>
      <c r="T14" s="62">
        <f>IF(B14="","",VLOOKUP(AD14,Varsayımlar!$B:$Q,11,0))</f>
        <v>12</v>
      </c>
      <c r="U14" s="62">
        <f>IF(B14="","",VLOOKUP(AD14,Varsayımlar!$B:$Q,12,0))</f>
        <v>900</v>
      </c>
      <c r="V14" s="62" t="str">
        <f>IF(B14="","",VLOOKUP(AD14,Varsayımlar!$B:$Q,13,0))</f>
        <v>Yurtdışı</v>
      </c>
      <c r="W14" s="62">
        <f>IF(B14="","",VLOOKUP(AD14,Varsayımlar!$B:$Q,14,0))</f>
        <v>12</v>
      </c>
      <c r="X14" s="63">
        <v>46200</v>
      </c>
      <c r="Y14" s="63">
        <v>46565</v>
      </c>
      <c r="Z14" s="62">
        <v>26062730</v>
      </c>
      <c r="AA14" s="62" t="str">
        <f>IF(B14="","",VLOOKUP(AD14,Varsayımlar!$B:$Q,15,0))</f>
        <v>30cm Koli - Tortillas 900g Etiketli</v>
      </c>
      <c r="AB14" s="62" t="str">
        <f>IF(B14="","",VLOOKUP(AD14,Varsayımlar!$B:$Q,16,0))</f>
        <v>29-31 cm</v>
      </c>
      <c r="AC14" s="62">
        <f>IF(B14="","",VLOOKUP(Sayfa1!AD28,Varsayımlar!B:S,18,0))</f>
        <v>0</v>
      </c>
      <c r="AD14" s="57" t="str">
        <f t="shared" si="0"/>
        <v>ALDİ - KOSOVATortillas 30cm 10pcs 900g</v>
      </c>
    </row>
    <row r="15" spans="1:30" ht="63" x14ac:dyDescent="0.25">
      <c r="A15" s="8" t="s">
        <v>86</v>
      </c>
      <c r="B15" s="62" t="s">
        <v>181</v>
      </c>
      <c r="C15" s="32">
        <f>IF(B15="","",VLOOKUP(AD15,Varsayımlar!$B:$Q,3,0))</f>
        <v>8698829380698</v>
      </c>
      <c r="D15" s="32"/>
      <c r="E15" s="32" t="s">
        <v>372</v>
      </c>
      <c r="F15" s="62">
        <v>26060101</v>
      </c>
      <c r="G15" s="32"/>
      <c r="H15" s="62" t="str">
        <f>IF(B15="","",VLOOKUP(AD15,Varsayımlar!$B:$Q,5,0))</f>
        <v>Tortillove Tam Buğday 25cm</v>
      </c>
      <c r="I15" s="62" t="str">
        <f>IF(B15="","",VLOOKUP(AD15,Varsayımlar!B:T,19,0))</f>
        <v>Barkod üzerine Arnavutça TB içerik+Barkod-Tortillove</v>
      </c>
      <c r="J15" s="62" t="str">
        <f>IF(B15="","",VLOOKUP(AD15,Varsayımlar!$B:$Q,6,0))</f>
        <v>Tam Buğdaylı</v>
      </c>
      <c r="K15" s="62">
        <v>84</v>
      </c>
      <c r="L15" s="62"/>
      <c r="M15" s="62">
        <f>IFERROR(IF(B15="","",K15/VLOOKUP(AD15,Varsayımlar!B:R,17,0)),"")</f>
        <v>1</v>
      </c>
      <c r="N15" s="62"/>
      <c r="O15" s="62">
        <v>2</v>
      </c>
      <c r="P15" s="62">
        <f>IF(B15="","",VLOOKUP(AD15,Varsayımlar!$B:$Q,7,0)*K15)</f>
        <v>1512</v>
      </c>
      <c r="Q15" s="62">
        <f>IF(B15="","",VLOOKUP(AD15,Varsayımlar!$B:$Q,8,0))</f>
        <v>25</v>
      </c>
      <c r="R15" s="62" t="str">
        <f>IF(B15="","",VLOOKUP(AD15,Varsayımlar!$B:$Q,9,0))</f>
        <v>Irak Soft</v>
      </c>
      <c r="S15" s="62">
        <f>IF(B15="","",VLOOKUP(AD15,Varsayımlar!$B:$Q,10,0))</f>
        <v>6</v>
      </c>
      <c r="T15" s="62">
        <f>IF(B15="","",VLOOKUP(AD15,Varsayımlar!$B:$Q,11,0))</f>
        <v>18</v>
      </c>
      <c r="U15" s="62">
        <f>IF(B15="","",VLOOKUP(AD15,Varsayımlar!$B:$Q,12,0))</f>
        <v>390</v>
      </c>
      <c r="V15" s="62" t="str">
        <f>IF(B15="","",VLOOKUP(AD15,Varsayımlar!$B:$Q,13,0))</f>
        <v>Yurtdışı</v>
      </c>
      <c r="W15" s="62">
        <f>IF(B15="","",VLOOKUP(AD15,Varsayımlar!$B:$Q,14,0))</f>
        <v>12</v>
      </c>
      <c r="X15" s="63">
        <v>46200</v>
      </c>
      <c r="Y15" s="63">
        <v>46565</v>
      </c>
      <c r="Z15" s="62">
        <v>26062725</v>
      </c>
      <c r="AA15" s="62" t="str">
        <f>IF(B15="","",VLOOKUP(AD15,Varsayımlar!$B:$Q,15,0))</f>
        <v>25cm Koli - Tortillove 390g TB Etiketli</v>
      </c>
      <c r="AB15" s="62" t="str">
        <f>IF(B15="","",VLOOKUP(AD15,Varsayımlar!$B:$Q,16,0))</f>
        <v>24-26 cm</v>
      </c>
      <c r="AC15" s="62">
        <f>IF(B15="","",VLOOKUP(Sayfa1!AD29,Varsayımlar!B:S,18,0))</f>
        <v>0</v>
      </c>
      <c r="AD15" s="57" t="str">
        <f t="shared" si="0"/>
        <v>ALDİ - KOSOVATortillove 25cm TB 6pcs 390g</v>
      </c>
    </row>
    <row r="16" spans="1:30" ht="63" x14ac:dyDescent="0.25">
      <c r="A16" s="8" t="s">
        <v>87</v>
      </c>
      <c r="B16" s="62" t="s">
        <v>181</v>
      </c>
      <c r="C16" s="32">
        <f>IF(B16="","",VLOOKUP(AD16,Varsayımlar!$B:$Q,3,0))</f>
        <v>8698829380698</v>
      </c>
      <c r="D16" s="32"/>
      <c r="E16" s="32" t="s">
        <v>251</v>
      </c>
      <c r="F16" s="62">
        <v>26060101</v>
      </c>
      <c r="G16" s="32"/>
      <c r="H16" s="62" t="str">
        <f>IF(B16="","",VLOOKUP(AD16,Varsayımlar!$B:$Q,5,0))</f>
        <v>Tortillas Tam Buğday 25cm</v>
      </c>
      <c r="I16" s="62" t="str">
        <f>IF(B16="","",VLOOKUP(AD16,Varsayımlar!B:T,19,0))</f>
        <v>Barkod üzerine Arnavutça TB içerik+Barkod-Tortillas</v>
      </c>
      <c r="J16" s="62" t="str">
        <f>IF(B16="","",VLOOKUP(AD16,Varsayımlar!$B:$Q,6,0))</f>
        <v>Tam Buğdaylı</v>
      </c>
      <c r="K16" s="62">
        <v>84</v>
      </c>
      <c r="L16" s="62"/>
      <c r="M16" s="62">
        <f>IFERROR(IF(B16="","",K16/VLOOKUP(AD16,Varsayımlar!B:R,17,0)),"")</f>
        <v>1</v>
      </c>
      <c r="N16" s="62"/>
      <c r="O16" s="62">
        <v>2</v>
      </c>
      <c r="P16" s="62">
        <f>IF(B16="","",VLOOKUP(AD16,Varsayımlar!$B:$Q,7,0)*K16)</f>
        <v>1512</v>
      </c>
      <c r="Q16" s="62">
        <f>IF(B16="","",VLOOKUP(AD16,Varsayımlar!$B:$Q,8,0))</f>
        <v>25</v>
      </c>
      <c r="R16" s="62" t="str">
        <f>IF(B16="","",VLOOKUP(AD16,Varsayımlar!$B:$Q,9,0))</f>
        <v>Irak Soft</v>
      </c>
      <c r="S16" s="62">
        <f>IF(B16="","",VLOOKUP(AD16,Varsayımlar!$B:$Q,10,0))</f>
        <v>6</v>
      </c>
      <c r="T16" s="62">
        <f>IF(B16="","",VLOOKUP(AD16,Varsayımlar!$B:$Q,11,0))</f>
        <v>18</v>
      </c>
      <c r="U16" s="62">
        <f>IF(B16="","",VLOOKUP(AD16,Varsayımlar!$B:$Q,12,0))</f>
        <v>390</v>
      </c>
      <c r="V16" s="62" t="str">
        <f>IF(B16="","",VLOOKUP(AD16,Varsayımlar!$B:$Q,13,0))</f>
        <v>Yurtdışı</v>
      </c>
      <c r="W16" s="62">
        <f>IF(B16="","",VLOOKUP(AD16,Varsayımlar!$B:$Q,14,0))</f>
        <v>12</v>
      </c>
      <c r="X16" s="63">
        <v>46200</v>
      </c>
      <c r="Y16" s="63">
        <v>46565</v>
      </c>
      <c r="Z16" s="62">
        <v>26062725</v>
      </c>
      <c r="AA16" s="62" t="str">
        <f>IF(B16="","",VLOOKUP(AD16,Varsayımlar!$B:$Q,15,0))</f>
        <v>25cm Koli - Tortillas 390g TB Etiketli</v>
      </c>
      <c r="AB16" s="62" t="str">
        <f>IF(B16="","",VLOOKUP(AD16,Varsayımlar!$B:$Q,16,0))</f>
        <v>24-26 cm</v>
      </c>
      <c r="AC16" s="62">
        <f>IF(B16="","",VLOOKUP(Sayfa1!AD30,Varsayımlar!B:S,18,0))</f>
        <v>0</v>
      </c>
      <c r="AD16" s="57" t="str">
        <f t="shared" si="0"/>
        <v>ALDİ - KOSOVATortillas 25cm TB 6pcs 390g</v>
      </c>
    </row>
    <row r="17" spans="1:30" ht="45.75" customHeight="1" x14ac:dyDescent="0.25">
      <c r="A17" s="8" t="s">
        <v>88</v>
      </c>
      <c r="B17" s="130" t="s">
        <v>119</v>
      </c>
      <c r="C17" s="131">
        <f>IF(B17="","",VLOOKUP(AD17,Varsayımlar!$B:$Q,3,0))</f>
        <v>8698829380698</v>
      </c>
      <c r="D17" s="131"/>
      <c r="E17" s="132" t="s">
        <v>120</v>
      </c>
      <c r="F17" s="130"/>
      <c r="G17" s="130"/>
      <c r="H17" s="130" t="str">
        <f>IF(B17="","",VLOOKUP(AD17,Varsayımlar!$B:$Q,5,0))</f>
        <v>Nimet 25 cm</v>
      </c>
      <c r="I17" s="130"/>
      <c r="J17" s="130" t="str">
        <f>IF(B17="","",VLOOKUP(AD17,Varsayımlar!$B:$Q,6,0))</f>
        <v>SADE</v>
      </c>
      <c r="K17" s="130">
        <v>2000</v>
      </c>
      <c r="L17" s="130"/>
      <c r="M17" s="130">
        <f>IFERROR(IF(B17="","",K17/VLOOKUP(AD17,Varsayımlar!B:R,17,0)),"")</f>
        <v>40</v>
      </c>
      <c r="N17" s="130"/>
      <c r="O17" s="130">
        <v>40</v>
      </c>
      <c r="P17" s="130">
        <f>IF(B17="","",VLOOKUP(AD17,Varsayımlar!$B:$Q,7,0)*K17)</f>
        <v>24000</v>
      </c>
      <c r="Q17" s="130">
        <f>IF(B17="","",VLOOKUP(AD17,Varsayımlar!$B:$Q,8,0))</f>
        <v>25</v>
      </c>
      <c r="R17" s="130" t="str">
        <f>IF(B17="","",VLOOKUP(AD17,Varsayımlar!$B:$Q,9,0))</f>
        <v>Standart</v>
      </c>
      <c r="S17" s="130">
        <f>IF(B17="","",VLOOKUP(AD17,Varsayımlar!$B:$Q,10,0))</f>
        <v>12</v>
      </c>
      <c r="T17" s="130">
        <f>IF(B17="","",VLOOKUP(AD17,Varsayımlar!$B:$Q,11,0))</f>
        <v>12</v>
      </c>
      <c r="U17" s="130">
        <f>IF(B17="","",VLOOKUP(AD17,Varsayımlar!$B:$Q,12,0))</f>
        <v>840</v>
      </c>
      <c r="V17" s="130" t="str">
        <f>IF(B17="","",VLOOKUP(AD17,Varsayımlar!$B:$Q,13,0))</f>
        <v>YURTİÇİ</v>
      </c>
      <c r="W17" s="130">
        <f>IF(B17="","",VLOOKUP(AD17,Varsayımlar!$B:$Q,14,0))</f>
        <v>5</v>
      </c>
      <c r="X17" s="133" t="s">
        <v>113</v>
      </c>
      <c r="Y17" s="133" t="s">
        <v>113</v>
      </c>
      <c r="Z17" s="130" t="s">
        <v>113</v>
      </c>
      <c r="AA17" s="130" t="str">
        <f>IF(B17="","",VLOOKUP(AD17,Varsayımlar!$B:$Q,15,0))</f>
        <v>Nimet Kolisi</v>
      </c>
      <c r="AB17" s="130" t="str">
        <f>IF(B17="","",VLOOKUP(AD17,Varsayımlar!$B:$Q,16,0))</f>
        <v>24-26 CM</v>
      </c>
      <c r="AC17" s="64" t="s">
        <v>360</v>
      </c>
      <c r="AD17" s="57" t="str">
        <f>IF(B17="","",CONCATENATE(B17,E17))</f>
        <v>A101Nimet 25cm 12 pcs 840g</v>
      </c>
    </row>
    <row r="18" spans="1:30" ht="31.5" x14ac:dyDescent="0.25">
      <c r="A18" s="8" t="s">
        <v>89</v>
      </c>
      <c r="B18" s="64" t="s">
        <v>288</v>
      </c>
      <c r="C18" s="3">
        <f>IF(B18="","",VLOOKUP(AD18,Varsayımlar!$B:$Q,3,0))</f>
        <v>8698829380698</v>
      </c>
      <c r="D18" s="3"/>
      <c r="E18" s="64" t="s">
        <v>289</v>
      </c>
      <c r="F18" s="64">
        <v>20201016</v>
      </c>
      <c r="G18" s="3" t="s">
        <v>68</v>
      </c>
      <c r="H18" s="64" t="str">
        <f>IF(B18="","",VLOOKUP(AD18,Varsayımlar!$B:$Q,5,0))</f>
        <v>Tortillas 25cm Tam Buğday</v>
      </c>
      <c r="I18" s="64" t="str">
        <f>IF(B18="","",VLOOKUP(AD18,Varsayımlar!B:T,19,0))</f>
        <v>Arka kısma İçerik</v>
      </c>
      <c r="J18" s="64" t="str">
        <f>IF(B18="","",VLOOKUP(AD18,Varsayımlar!$B:$Q,6,0))</f>
        <v>Tam Buğdaylı</v>
      </c>
      <c r="K18" s="64">
        <v>250</v>
      </c>
      <c r="L18" s="64"/>
      <c r="M18" s="64">
        <f>IFERROR(IF(B18="","",K18/VLOOKUP(AD18,Varsayımlar!B:R,17,0)),"")</f>
        <v>5</v>
      </c>
      <c r="N18" s="64"/>
      <c r="O18" s="64">
        <v>4</v>
      </c>
      <c r="P18" s="64">
        <f>IF(B18="","",VLOOKUP(AD18,Varsayımlar!$B:$Q,7,0)*K18)</f>
        <v>4500</v>
      </c>
      <c r="Q18" s="64">
        <f>IF(B18="","",VLOOKUP(AD18,Varsayımlar!$B:$Q,8,0))</f>
        <v>25</v>
      </c>
      <c r="R18" s="64" t="str">
        <f>IF(B18="","",VLOOKUP(AD18,Varsayımlar!$B:$Q,9,0))</f>
        <v>Irak Soft</v>
      </c>
      <c r="S18" s="64">
        <f>IF(B18="","",VLOOKUP(AD18,Varsayımlar!$B:$Q,10,0))</f>
        <v>6</v>
      </c>
      <c r="T18" s="64">
        <f>IF(B18="","",VLOOKUP(AD18,Varsayımlar!$B:$Q,11,0))</f>
        <v>18</v>
      </c>
      <c r="U18" s="64">
        <f>IF(B18="","",VLOOKUP(AD18,Varsayımlar!$B:$Q,12,0))</f>
        <v>390</v>
      </c>
      <c r="V18" s="64" t="str">
        <f>IF(B18="","",VLOOKUP(AD18,Varsayımlar!$B:$Q,13,0))</f>
        <v>YURTDIŞI</v>
      </c>
      <c r="W18" s="64">
        <f>IF(B18="","",VLOOKUP(AD18,Varsayımlar!$B:$Q,14,0))</f>
        <v>9</v>
      </c>
      <c r="X18" s="66">
        <v>46202</v>
      </c>
      <c r="Y18" s="66">
        <v>46475</v>
      </c>
      <c r="Z18" s="64" t="s">
        <v>378</v>
      </c>
      <c r="AA18" s="64" t="str">
        <f>IF(B18="","",VLOOKUP(AD18,Varsayımlar!$B:$Q,15,0))</f>
        <v>25cm Koli-Kazakça Etiketli</v>
      </c>
      <c r="AB18" s="64" t="str">
        <f>IF(B18="","",VLOOKUP(AD18,Varsayımlar!$B:$Q,16,0))</f>
        <v>24-26 cm</v>
      </c>
      <c r="AC18" s="64" t="str">
        <f>IF(B18="","",VLOOKUP(Sayfa1!AD40,Varsayımlar!B:S,18,0))</f>
        <v>80x120cm</v>
      </c>
      <c r="AD18" s="57" t="str">
        <f t="shared" si="0"/>
        <v>UNITERA-KAZAKİSTANTortillas 25cm Tam Buğday 6pcs 390g</v>
      </c>
    </row>
    <row r="19" spans="1:30" ht="31.5" x14ac:dyDescent="0.25">
      <c r="A19" s="8" t="s">
        <v>90</v>
      </c>
      <c r="B19" s="64" t="s">
        <v>288</v>
      </c>
      <c r="C19" s="3">
        <f>IF(B19="","",VLOOKUP(AD19,Varsayımlar!$B:$Q,3,0))</f>
        <v>8698829380698</v>
      </c>
      <c r="D19" s="3"/>
      <c r="E19" s="64" t="s">
        <v>252</v>
      </c>
      <c r="F19" s="64">
        <v>20201016</v>
      </c>
      <c r="G19" s="3" t="s">
        <v>68</v>
      </c>
      <c r="H19" s="64" t="str">
        <f>IF(B19="","",VLOOKUP(AD19,Varsayımlar!$B:$Q,5,0))</f>
        <v>Tortillas 20cm Sade</v>
      </c>
      <c r="I19" s="64" t="str">
        <f>IF(B19="","",VLOOKUP(AD19,Varsayımlar!B:T,19,0))</f>
        <v>Arka kısma İçerik</v>
      </c>
      <c r="J19" s="64" t="str">
        <f>IF(B19="","",VLOOKUP(AD19,Varsayımlar!$B:$Q,6,0))</f>
        <v>SADE</v>
      </c>
      <c r="K19" s="64">
        <v>300</v>
      </c>
      <c r="L19" s="64"/>
      <c r="M19" s="64">
        <f>IFERROR(IF(B19="","",K19/VLOOKUP(AD19,Varsayımlar!B:R,17,0)),"")</f>
        <v>3</v>
      </c>
      <c r="N19" s="64"/>
      <c r="O19" s="64">
        <v>5</v>
      </c>
      <c r="P19" s="64">
        <f>IF(B19="","",VLOOKUP(AD19,Varsayımlar!$B:$Q,7,0)*K19)</f>
        <v>5400</v>
      </c>
      <c r="Q19" s="64">
        <f>IF(B19="","",VLOOKUP(AD19,Varsayımlar!$B:$Q,8,0))</f>
        <v>20</v>
      </c>
      <c r="R19" s="64" t="str">
        <f>IF(B19="","",VLOOKUP(AD19,Varsayımlar!$B:$Q,9,0))</f>
        <v>Irak Soft</v>
      </c>
      <c r="S19" s="64">
        <f>IF(B19="","",VLOOKUP(AD19,Varsayımlar!$B:$Q,10,0))</f>
        <v>6</v>
      </c>
      <c r="T19" s="64">
        <f>IF(B19="","",VLOOKUP(AD19,Varsayımlar!$B:$Q,11,0))</f>
        <v>18</v>
      </c>
      <c r="U19" s="64">
        <f>IF(B19="","",VLOOKUP(AD19,Varsayımlar!$B:$Q,12,0))</f>
        <v>270</v>
      </c>
      <c r="V19" s="64" t="str">
        <f>IF(B19="","",VLOOKUP(AD19,Varsayımlar!$B:$Q,13,0))</f>
        <v>YURTDIŞI</v>
      </c>
      <c r="W19" s="64">
        <f>IF(B19="","",VLOOKUP(AD19,Varsayımlar!$B:$Q,14,0))</f>
        <v>9</v>
      </c>
      <c r="X19" s="66">
        <v>46202</v>
      </c>
      <c r="Y19" s="66">
        <v>46475</v>
      </c>
      <c r="Z19" s="64">
        <v>26062920</v>
      </c>
      <c r="AA19" s="64" t="str">
        <f>IF(B19="","",VLOOKUP(AD19,Varsayımlar!$B:$Q,15,0))</f>
        <v>20cm Koli</v>
      </c>
      <c r="AB19" s="64" t="str">
        <f>IF(B19="","",VLOOKUP(AD19,Varsayımlar!$B:$Q,16,0))</f>
        <v>19-21cm</v>
      </c>
      <c r="AC19" s="64" t="str">
        <f>IF(B19="","",VLOOKUP(Sayfa1!AD41,Varsayımlar!B:S,18,0))</f>
        <v>80x120cm</v>
      </c>
      <c r="AD19" s="57" t="str">
        <f t="shared" si="0"/>
        <v>UNITERA-KAZAKİSTANTortillas 20cm Sade 6pcs 270g</v>
      </c>
    </row>
    <row r="20" spans="1:30" ht="31.5" x14ac:dyDescent="0.25">
      <c r="A20" s="8" t="s">
        <v>91</v>
      </c>
      <c r="B20" s="80" t="s">
        <v>218</v>
      </c>
      <c r="C20" s="44">
        <f>IF(B20="","",VLOOKUP(AD20,Varsayımlar!$B:$Q,3,0))</f>
        <v>8698829380698</v>
      </c>
      <c r="D20" s="44" t="s">
        <v>160</v>
      </c>
      <c r="E20" s="80" t="s">
        <v>229</v>
      </c>
      <c r="F20" s="80">
        <v>26042907</v>
      </c>
      <c r="G20" s="44"/>
      <c r="H20" s="80" t="str">
        <f>IF(B20="","",VLOOKUP(AD20,Varsayımlar!$B:$Q,5,0))</f>
        <v>Tortillas Avrupa 25cm Tam Buğday (711)</v>
      </c>
      <c r="I20" s="80">
        <f>IF(B20="","",VLOOKUP(AD20,Varsayımlar!B:T,19,0))</f>
        <v>0</v>
      </c>
      <c r="J20" s="80" t="str">
        <f>IF(B20="","",VLOOKUP(AD20,Varsayımlar!$B:$Q,6,0))</f>
        <v>Tam Buğdaylı</v>
      </c>
      <c r="K20" s="80">
        <v>840</v>
      </c>
      <c r="L20" s="80"/>
      <c r="M20" s="80">
        <f>IFERROR(IF(B20="","",K20/VLOOKUP(AD20,Varsayımlar!B:R,17,0)),"")</f>
        <v>7</v>
      </c>
      <c r="N20" s="80"/>
      <c r="O20" s="80">
        <v>9</v>
      </c>
      <c r="P20" s="80">
        <f>IF(B20="","",VLOOKUP(AD20,Varsayımlar!$B:$Q,7,0)*K20)</f>
        <v>6720</v>
      </c>
      <c r="Q20" s="80">
        <f>IF(B20="","",VLOOKUP(AD20,Varsayımlar!$B:$Q,8,0))</f>
        <v>25</v>
      </c>
      <c r="R20" s="80" t="str">
        <f>IF(B20="","",VLOOKUP(AD20,Varsayımlar!$B:$Q,9,0))</f>
        <v>Irak Soft</v>
      </c>
      <c r="S20" s="80">
        <f>IF(B20="","",VLOOKUP(AD20,Varsayımlar!$B:$Q,10,0))</f>
        <v>10</v>
      </c>
      <c r="T20" s="80">
        <f>IF(B20="","",VLOOKUP(AD20,Varsayımlar!$B:$Q,11,0))</f>
        <v>8</v>
      </c>
      <c r="U20" s="80">
        <f>IF(B20="","",VLOOKUP(AD20,Varsayımlar!$B:$Q,12,0))</f>
        <v>650</v>
      </c>
      <c r="V20" s="80" t="str">
        <f>IF(B20="","",VLOOKUP(AD20,Varsayımlar!$B:$Q,13,0))</f>
        <v>Yurtdışı</v>
      </c>
      <c r="W20" s="80">
        <f>IF(B20="","",VLOOKUP(AD20,Varsayımlar!$B:$Q,14,0))</f>
        <v>9</v>
      </c>
      <c r="X20" s="81">
        <v>46203</v>
      </c>
      <c r="Y20" s="81">
        <v>46476</v>
      </c>
      <c r="Z20" s="80" t="s">
        <v>379</v>
      </c>
      <c r="AA20" s="80" t="str">
        <f>IF(B20="","",VLOOKUP(AD20,Varsayımlar!$B:$Q,15,0))</f>
        <v>25cm Perforeli-Bulgarca TB etiket</v>
      </c>
      <c r="AB20" s="80" t="str">
        <f>IF(B20="","",VLOOKUP(AD20,Varsayımlar!$B:$Q,16,0))</f>
        <v>24-26 cm</v>
      </c>
      <c r="AC20" s="80" t="str">
        <f>IF(B20="","",VLOOKUP(Sayfa1!AD57,Varsayımlar!B:S,18,0))</f>
        <v>80x120cm -Epal+Epal</v>
      </c>
      <c r="AD20" s="57" t="str">
        <f t="shared" si="0"/>
        <v>TASTE LAND-BULGARİSTANTortillas 25cm Tam Buğday 10pcs 650g</v>
      </c>
    </row>
    <row r="21" spans="1:30" ht="47.25" x14ac:dyDescent="0.25">
      <c r="A21" s="8" t="s">
        <v>92</v>
      </c>
      <c r="B21" s="80" t="s">
        <v>218</v>
      </c>
      <c r="C21" s="44">
        <f>IF(B21="","",VLOOKUP(AD21,Varsayımlar!$B:$Q,3,0))</f>
        <v>8698829380698</v>
      </c>
      <c r="D21" s="44" t="s">
        <v>160</v>
      </c>
      <c r="E21" s="80" t="s">
        <v>232</v>
      </c>
      <c r="F21" s="80">
        <v>26042907</v>
      </c>
      <c r="G21" s="44"/>
      <c r="H21" s="80" t="str">
        <f>IF(B21="","",VLOOKUP(AD21,Varsayımlar!$B:$Q,5,0))</f>
        <v>Tortillas Avrupa 25cm Domatesli (074)</v>
      </c>
      <c r="I21" s="80">
        <f>IF(B21="","",VLOOKUP(AD21,Varsayımlar!B:T,19,0))</f>
        <v>0</v>
      </c>
      <c r="J21" s="80" t="str">
        <f>IF(B21="","",VLOOKUP(AD21,Varsayımlar!$B:$Q,6,0))</f>
        <v>Domatesli</v>
      </c>
      <c r="K21" s="80">
        <v>480</v>
      </c>
      <c r="L21" s="80"/>
      <c r="M21" s="80">
        <f>IFERROR(IF(B21="","",K21/VLOOKUP(AD21,Varsayımlar!B:R,17,0)),"")</f>
        <v>4</v>
      </c>
      <c r="N21" s="80"/>
      <c r="O21" s="80">
        <v>5</v>
      </c>
      <c r="P21" s="80">
        <f>IF(B21="","",VLOOKUP(AD21,Varsayımlar!$B:$Q,7,0)*K21)</f>
        <v>5760</v>
      </c>
      <c r="Q21" s="80">
        <f>IF(B21="","",VLOOKUP(AD21,Varsayımlar!$B:$Q,8,0))</f>
        <v>25</v>
      </c>
      <c r="R21" s="80" t="str">
        <f>IF(B21="","",VLOOKUP(AD21,Varsayımlar!$B:$Q,9,0))</f>
        <v>Irak Soft</v>
      </c>
      <c r="S21" s="80">
        <f>IF(B21="","",VLOOKUP(AD21,Varsayımlar!$B:$Q,10,0))</f>
        <v>6</v>
      </c>
      <c r="T21" s="80">
        <f>IF(B21="","",VLOOKUP(AD21,Varsayımlar!$B:$Q,11,0))</f>
        <v>12</v>
      </c>
      <c r="U21" s="80">
        <f>IF(B21="","",VLOOKUP(AD21,Varsayımlar!$B:$Q,12,0))</f>
        <v>390</v>
      </c>
      <c r="V21" s="80" t="str">
        <f>IF(B21="","",VLOOKUP(AD21,Varsayımlar!$B:$Q,13,0))</f>
        <v>Yurtdışı</v>
      </c>
      <c r="W21" s="80">
        <f>IF(B21="","",VLOOKUP(AD21,Varsayımlar!$B:$Q,14,0))</f>
        <v>9</v>
      </c>
      <c r="X21" s="81">
        <v>46203</v>
      </c>
      <c r="Y21" s="81">
        <v>46476</v>
      </c>
      <c r="Z21" s="80" t="s">
        <v>380</v>
      </c>
      <c r="AA21" s="80" t="str">
        <f>IF(B21="","",VLOOKUP(AD21,Varsayımlar!$B:$Q,15,0))</f>
        <v>25cm Perforeli-Bulgarca Domatesli etiket</v>
      </c>
      <c r="AB21" s="80" t="str">
        <f>IF(B21="","",VLOOKUP(AD21,Varsayımlar!$B:$Q,16,0))</f>
        <v>24-26 cm</v>
      </c>
      <c r="AC21" s="80" t="str">
        <f>IF(B21="","",VLOOKUP(Sayfa1!AD58,Varsayımlar!B:S,18,0))</f>
        <v>80x120cm -Epal+Epal</v>
      </c>
      <c r="AD21" s="57" t="str">
        <f t="shared" si="0"/>
        <v>TASTE LAND-BULGARİSTANTortillas 25cm Domatesli 6pcs 390g</v>
      </c>
    </row>
    <row r="22" spans="1:30" ht="47.25" x14ac:dyDescent="0.25">
      <c r="A22" s="8" t="s">
        <v>93</v>
      </c>
      <c r="B22" s="80" t="s">
        <v>218</v>
      </c>
      <c r="C22" s="44">
        <f>IF(B22="","",VLOOKUP(AD22,Varsayımlar!$B:$Q,3,0))</f>
        <v>8698829380698</v>
      </c>
      <c r="D22" s="44" t="s">
        <v>160</v>
      </c>
      <c r="E22" s="80" t="s">
        <v>235</v>
      </c>
      <c r="F22" s="80">
        <v>26042907</v>
      </c>
      <c r="G22" s="44"/>
      <c r="H22" s="80" t="str">
        <f>IF(B22="","",VLOOKUP(AD22,Varsayımlar!$B:$Q,5,0))</f>
        <v>Tortillas Avrupa 25cm Ispanaklı (081)</v>
      </c>
      <c r="I22" s="80">
        <f>IF(B22="","",VLOOKUP(AD22,Varsayımlar!B:T,19,0))</f>
        <v>0</v>
      </c>
      <c r="J22" s="80" t="str">
        <f>IF(B22="","",VLOOKUP(AD22,Varsayımlar!$B:$Q,6,0))</f>
        <v>Ispanaklı</v>
      </c>
      <c r="K22" s="80">
        <v>480</v>
      </c>
      <c r="L22" s="80"/>
      <c r="M22" s="80">
        <f>IFERROR(IF(B22="","",K22/VLOOKUP(AD22,Varsayımlar!B:R,17,0)),"")</f>
        <v>4</v>
      </c>
      <c r="N22" s="80"/>
      <c r="O22" s="80">
        <v>5</v>
      </c>
      <c r="P22" s="80">
        <f>IF(B22="","",VLOOKUP(AD22,Varsayımlar!$B:$Q,7,0)*K22)</f>
        <v>5760</v>
      </c>
      <c r="Q22" s="80">
        <f>IF(B22="","",VLOOKUP(AD22,Varsayımlar!$B:$Q,8,0))</f>
        <v>25</v>
      </c>
      <c r="R22" s="80" t="str">
        <f>IF(B22="","",VLOOKUP(AD22,Varsayımlar!$B:$Q,9,0))</f>
        <v>Irak Soft</v>
      </c>
      <c r="S22" s="80">
        <f>IF(B22="","",VLOOKUP(AD22,Varsayımlar!$B:$Q,10,0))</f>
        <v>6</v>
      </c>
      <c r="T22" s="80">
        <f>IF(B22="","",VLOOKUP(AD22,Varsayımlar!$B:$Q,11,0))</f>
        <v>12</v>
      </c>
      <c r="U22" s="80">
        <f>IF(B22="","",VLOOKUP(AD22,Varsayımlar!$B:$Q,12,0))</f>
        <v>390</v>
      </c>
      <c r="V22" s="80" t="str">
        <f>IF(B22="","",VLOOKUP(AD22,Varsayımlar!$B:$Q,13,0))</f>
        <v>Yurtdışı</v>
      </c>
      <c r="W22" s="80">
        <f>IF(B22="","",VLOOKUP(AD22,Varsayımlar!$B:$Q,14,0))</f>
        <v>9</v>
      </c>
      <c r="X22" s="81">
        <v>46203</v>
      </c>
      <c r="Y22" s="81">
        <v>46476</v>
      </c>
      <c r="Z22" s="80" t="s">
        <v>381</v>
      </c>
      <c r="AA22" s="80" t="str">
        <f>IF(B22="","",VLOOKUP(AD22,Varsayımlar!$B:$Q,15,0))</f>
        <v>25cm Perforeli-Bulgarca Ispanaklı etiket</v>
      </c>
      <c r="AB22" s="80" t="str">
        <f>IF(B22="","",VLOOKUP(AD22,Varsayımlar!$B:$Q,16,0))</f>
        <v>24-26 cm</v>
      </c>
      <c r="AC22" s="80" t="str">
        <f>IF(B22="","",VLOOKUP(Sayfa1!AD59,Varsayımlar!B:S,18,0))</f>
        <v>80x120cm -Epal+Epal</v>
      </c>
      <c r="AD22" s="57" t="str">
        <f t="shared" si="0"/>
        <v>TASTE LAND-BULGARİSTANTortillas 25cm Ispanaklı 6pcs 390g</v>
      </c>
    </row>
    <row r="23" spans="1:30" ht="47.25" x14ac:dyDescent="0.25">
      <c r="A23" s="8" t="s">
        <v>135</v>
      </c>
      <c r="B23" s="80" t="s">
        <v>218</v>
      </c>
      <c r="C23" s="44">
        <f>IF(B23="","",VLOOKUP(AD23,Varsayımlar!$B:$Q,3,0))</f>
        <v>8698829380698</v>
      </c>
      <c r="D23" s="44" t="s">
        <v>160</v>
      </c>
      <c r="E23" s="80" t="s">
        <v>240</v>
      </c>
      <c r="F23" s="80">
        <v>26042907</v>
      </c>
      <c r="G23" s="44"/>
      <c r="H23" s="80" t="str">
        <f>IF(B23="","",VLOOKUP(AD23,Varsayımlar!$B:$Q,5,0))</f>
        <v>Tortillas Avrupa 25cm Peynirli (098)</v>
      </c>
      <c r="I23" s="80">
        <f>IF(B23="","",VLOOKUP(AD23,Varsayımlar!B:T,19,0))</f>
        <v>0</v>
      </c>
      <c r="J23" s="80" t="str">
        <f>IF(B23="","",VLOOKUP(AD23,Varsayımlar!$B:$Q,6,0))</f>
        <v>Peynirli</v>
      </c>
      <c r="K23" s="80">
        <v>360</v>
      </c>
      <c r="L23" s="80"/>
      <c r="M23" s="80">
        <f>IFERROR(IF(B23="","",K23/VLOOKUP(AD23,Varsayımlar!B:R,17,0)),"")</f>
        <v>3</v>
      </c>
      <c r="N23" s="80"/>
      <c r="O23" s="80">
        <v>4</v>
      </c>
      <c r="P23" s="80">
        <f>IF(B23="","",VLOOKUP(AD23,Varsayımlar!$B:$Q,7,0)*K23)</f>
        <v>4320</v>
      </c>
      <c r="Q23" s="80">
        <f>IF(B23="","",VLOOKUP(AD23,Varsayımlar!$B:$Q,8,0))</f>
        <v>25</v>
      </c>
      <c r="R23" s="80" t="str">
        <f>IF(B23="","",VLOOKUP(AD23,Varsayımlar!$B:$Q,9,0))</f>
        <v>Irak Soft-AT</v>
      </c>
      <c r="S23" s="80">
        <f>IF(B23="","",VLOOKUP(AD23,Varsayımlar!$B:$Q,10,0))</f>
        <v>6</v>
      </c>
      <c r="T23" s="80">
        <f>IF(B23="","",VLOOKUP(AD23,Varsayımlar!$B:$Q,11,0))</f>
        <v>12</v>
      </c>
      <c r="U23" s="80">
        <f>IF(B23="","",VLOOKUP(AD23,Varsayımlar!$B:$Q,12,0))</f>
        <v>390</v>
      </c>
      <c r="V23" s="80" t="str">
        <f>IF(B23="","",VLOOKUP(AD23,Varsayımlar!$B:$Q,13,0))</f>
        <v>Yurtdışı</v>
      </c>
      <c r="W23" s="80">
        <f>IF(B23="","",VLOOKUP(AD23,Varsayımlar!$B:$Q,14,0))</f>
        <v>9</v>
      </c>
      <c r="X23" s="81">
        <v>46203</v>
      </c>
      <c r="Y23" s="81">
        <v>46476</v>
      </c>
      <c r="Z23" s="80" t="s">
        <v>382</v>
      </c>
      <c r="AA23" s="80" t="str">
        <f>IF(B23="","",VLOOKUP(AD23,Varsayımlar!$B:$Q,15,0))</f>
        <v>25cm Perforeli-Bulgarca Peynirli etiket</v>
      </c>
      <c r="AB23" s="80" t="str">
        <f>IF(B23="","",VLOOKUP(AD23,Varsayımlar!$B:$Q,16,0))</f>
        <v>24-26 cm</v>
      </c>
      <c r="AC23" s="80" t="str">
        <f>IF(B23="","",VLOOKUP(Sayfa1!AD60,Varsayımlar!B:S,18,0))</f>
        <v>80x120cm -Epal+Epal</v>
      </c>
      <c r="AD23" s="57" t="str">
        <f t="shared" si="0"/>
        <v>TASTE LAND-BULGARİSTANTortillas 25cm Peynirli 6pcs 390g</v>
      </c>
    </row>
    <row r="24" spans="1:30" ht="47.25" x14ac:dyDescent="0.25">
      <c r="A24" s="8" t="s">
        <v>136</v>
      </c>
      <c r="B24" s="54" t="s">
        <v>268</v>
      </c>
      <c r="C24" s="39">
        <f>IF(B24="","",VLOOKUP(AD24,Varsayımlar!$B:$Q,3,0))</f>
        <v>8698829380698</v>
      </c>
      <c r="D24" s="39" t="s">
        <v>160</v>
      </c>
      <c r="E24" s="54" t="s">
        <v>269</v>
      </c>
      <c r="F24" s="54" t="s">
        <v>343</v>
      </c>
      <c r="G24" s="39" t="s">
        <v>68</v>
      </c>
      <c r="H24" s="54" t="str">
        <f>IF(B24="","",VLOOKUP(AD24,Varsayımlar!$B:$Q,5,0))</f>
        <v>Tortillas 25cm Tam Buğday</v>
      </c>
      <c r="I24" s="54">
        <f>IF(B24="","",VLOOKUP(AD24,Varsayımlar!B:T,19,0))</f>
        <v>0</v>
      </c>
      <c r="J24" s="54" t="str">
        <f>IF(B24="","",VLOOKUP(AD24,Varsayımlar!$B:$Q,6,0))</f>
        <v>Tam Buğdaylı</v>
      </c>
      <c r="K24" s="54">
        <v>336</v>
      </c>
      <c r="L24" s="54"/>
      <c r="M24" s="54">
        <f>IFERROR(IF(B24="","",K24/VLOOKUP(AD24,Varsayımlar!B:R,17,0)),"")</f>
        <v>4</v>
      </c>
      <c r="N24" s="54"/>
      <c r="O24" s="54">
        <v>6</v>
      </c>
      <c r="P24" s="54">
        <f>IF(B24="","",VLOOKUP(AD24,Varsayımlar!$B:$Q,7,0)*K24)</f>
        <v>10080</v>
      </c>
      <c r="Q24" s="54">
        <f>IF(B24="","",VLOOKUP(AD24,Varsayımlar!$B:$Q,8,0))</f>
        <v>25</v>
      </c>
      <c r="R24" s="54" t="str">
        <f>IF(B24="","",VLOOKUP(AD24,Varsayımlar!$B:$Q,9,0))</f>
        <v>Soft-PA3</v>
      </c>
      <c r="S24" s="54">
        <f>IF(B24="","",VLOOKUP(AD24,Varsayımlar!$B:$Q,10,0))</f>
        <v>4</v>
      </c>
      <c r="T24" s="54">
        <f>IF(B24="","",VLOOKUP(AD24,Varsayımlar!$B:$Q,11,0))</f>
        <v>30</v>
      </c>
      <c r="U24" s="54">
        <f>IF(B24="","",VLOOKUP(AD24,Varsayımlar!$B:$Q,12,0))</f>
        <v>240</v>
      </c>
      <c r="V24" s="54" t="str">
        <f>IF(B24="","",VLOOKUP(AD24,Varsayımlar!$B:$Q,13,0))</f>
        <v>Yurtdışı</v>
      </c>
      <c r="W24" s="54">
        <f>IF(B24="","",VLOOKUP(AD24,Varsayımlar!$B:$Q,14,0))</f>
        <v>12</v>
      </c>
      <c r="X24" s="56">
        <v>46205</v>
      </c>
      <c r="Y24" s="56">
        <v>46570</v>
      </c>
      <c r="Z24" s="54" t="s">
        <v>383</v>
      </c>
      <c r="AA24" s="54" t="str">
        <f>IF(B24="","",VLOOKUP(AD24,Varsayımlar!$B:$Q,15,0))</f>
        <v>25cm Kolisi-Etiketli</v>
      </c>
      <c r="AB24" s="54" t="str">
        <f>IF(B24="","",VLOOKUP(AD24,Varsayımlar!$B:$Q,16,0))</f>
        <v>24-26 cm (Macca Hetto Inkjet Uzun Tarih)</v>
      </c>
      <c r="AC24" s="54" t="str">
        <f>IF(B24="","",VLOOKUP(Sayfa1!AD36,Varsayımlar!B:S,18,0))</f>
        <v>80x120cm</v>
      </c>
      <c r="AD24" s="57" t="str">
        <f t="shared" si="0"/>
        <v>LAIKYUZHN-BELARUSTortillas 25cm Tam buğday 4pcs 240g</v>
      </c>
    </row>
    <row r="25" spans="1:30" ht="47.25" x14ac:dyDescent="0.25">
      <c r="A25" s="8" t="s">
        <v>137</v>
      </c>
      <c r="B25" s="54" t="s">
        <v>268</v>
      </c>
      <c r="C25" s="39">
        <f>IF(B25="","",VLOOKUP(AD25,Varsayımlar!$B:$Q,3,0))</f>
        <v>8698829380698</v>
      </c>
      <c r="D25" s="39" t="s">
        <v>160</v>
      </c>
      <c r="E25" s="54" t="s">
        <v>274</v>
      </c>
      <c r="F25" s="54" t="s">
        <v>343</v>
      </c>
      <c r="G25" s="39" t="s">
        <v>68</v>
      </c>
      <c r="H25" s="54" t="str">
        <f>IF(B25="","",VLOOKUP(AD25,Varsayımlar!$B:$Q,5,0))</f>
        <v>Tortillas 25cm Domatesli</v>
      </c>
      <c r="I25" s="54">
        <f>IF(B25="","",VLOOKUP(AD25,Varsayımlar!B:T,19,0))</f>
        <v>0</v>
      </c>
      <c r="J25" s="54" t="str">
        <f>IF(B25="","",VLOOKUP(AD25,Varsayımlar!$B:$Q,6,0))</f>
        <v>Domatesli</v>
      </c>
      <c r="K25" s="54">
        <v>420</v>
      </c>
      <c r="L25" s="54"/>
      <c r="M25" s="54">
        <f>IFERROR(IF(B25="","",K25/VLOOKUP(AD25,Varsayımlar!B:R,17,0)),"")</f>
        <v>5</v>
      </c>
      <c r="N25" s="54"/>
      <c r="O25" s="54">
        <v>7</v>
      </c>
      <c r="P25" s="54">
        <f>IF(B25="","",VLOOKUP(AD25,Varsayımlar!$B:$Q,7,0)*K25)</f>
        <v>12600</v>
      </c>
      <c r="Q25" s="54">
        <f>IF(B25="","",VLOOKUP(AD25,Varsayımlar!$B:$Q,8,0))</f>
        <v>25</v>
      </c>
      <c r="R25" s="54" t="str">
        <f>IF(B25="","",VLOOKUP(AD25,Varsayımlar!$B:$Q,9,0))</f>
        <v>Soft-PA3</v>
      </c>
      <c r="S25" s="54">
        <f>IF(B25="","",VLOOKUP(AD25,Varsayımlar!$B:$Q,10,0))</f>
        <v>4</v>
      </c>
      <c r="T25" s="54">
        <f>IF(B25="","",VLOOKUP(AD25,Varsayımlar!$B:$Q,11,0))</f>
        <v>30</v>
      </c>
      <c r="U25" s="54">
        <f>IF(B25="","",VLOOKUP(AD25,Varsayımlar!$B:$Q,12,0))</f>
        <v>240</v>
      </c>
      <c r="V25" s="54" t="str">
        <f>IF(B25="","",VLOOKUP(AD25,Varsayımlar!$B:$Q,13,0))</f>
        <v>Yurtdışı</v>
      </c>
      <c r="W25" s="54">
        <f>IF(B25="","",VLOOKUP(AD25,Varsayımlar!$B:$Q,14,0))</f>
        <v>12</v>
      </c>
      <c r="X25" s="56">
        <v>46205</v>
      </c>
      <c r="Y25" s="56">
        <v>46570</v>
      </c>
      <c r="Z25" s="54" t="s">
        <v>384</v>
      </c>
      <c r="AA25" s="54" t="str">
        <f>IF(B25="","",VLOOKUP(AD25,Varsayımlar!$B:$Q,15,0))</f>
        <v>25cm Kolisi-Etiketli</v>
      </c>
      <c r="AB25" s="54" t="str">
        <f>IF(B25="","",VLOOKUP(AD25,Varsayımlar!$B:$Q,16,0))</f>
        <v>24-26 cm (Macca Hetto Inkjet Uzun Tarih)</v>
      </c>
      <c r="AC25" s="54" t="str">
        <f>IF(B25="","",VLOOKUP(Sayfa1!AD37,Varsayımlar!B:S,18,0))</f>
        <v>80x120cm</v>
      </c>
      <c r="AD25" s="57" t="str">
        <f t="shared" si="0"/>
        <v>LAIKYUZHN-BELARUSTortillas 25cm Domatesli 4pcs 240g</v>
      </c>
    </row>
    <row r="26" spans="1:30" ht="47.25" x14ac:dyDescent="0.25">
      <c r="A26" s="8" t="s">
        <v>138</v>
      </c>
      <c r="B26" s="54" t="s">
        <v>268</v>
      </c>
      <c r="C26" s="39">
        <f>IF(B26="","",VLOOKUP(AD26,Varsayımlar!$B:$Q,3,0))</f>
        <v>8698829380698</v>
      </c>
      <c r="D26" s="39" t="s">
        <v>160</v>
      </c>
      <c r="E26" s="54" t="s">
        <v>276</v>
      </c>
      <c r="F26" s="54" t="s">
        <v>343</v>
      </c>
      <c r="G26" s="39" t="s">
        <v>68</v>
      </c>
      <c r="H26" s="54" t="str">
        <f>IF(B26="","",VLOOKUP(AD26,Varsayımlar!$B:$Q,5,0))</f>
        <v>Tortillas 25cm Ispanaklı</v>
      </c>
      <c r="I26" s="54">
        <f>IF(B26="","",VLOOKUP(AD26,Varsayımlar!B:T,19,0))</f>
        <v>0</v>
      </c>
      <c r="J26" s="54" t="str">
        <f>IF(B26="","",VLOOKUP(AD26,Varsayımlar!$B:$Q,6,0))</f>
        <v>Ispanaklı</v>
      </c>
      <c r="K26" s="54">
        <v>336</v>
      </c>
      <c r="L26" s="54"/>
      <c r="M26" s="54">
        <f>IFERROR(IF(B26="","",K26/VLOOKUP(AD26,Varsayımlar!B:R,17,0)),"")</f>
        <v>4</v>
      </c>
      <c r="N26" s="54"/>
      <c r="O26" s="54">
        <v>6</v>
      </c>
      <c r="P26" s="54">
        <f>IF(B26="","",VLOOKUP(AD26,Varsayımlar!$B:$Q,7,0)*K26)</f>
        <v>10080</v>
      </c>
      <c r="Q26" s="54">
        <f>IF(B26="","",VLOOKUP(AD26,Varsayımlar!$B:$Q,8,0))</f>
        <v>25</v>
      </c>
      <c r="R26" s="54" t="str">
        <f>IF(B26="","",VLOOKUP(AD26,Varsayımlar!$B:$Q,9,0))</f>
        <v>Soft-PA3</v>
      </c>
      <c r="S26" s="54">
        <f>IF(B26="","",VLOOKUP(AD26,Varsayımlar!$B:$Q,10,0))</f>
        <v>4</v>
      </c>
      <c r="T26" s="54">
        <f>IF(B26="","",VLOOKUP(AD26,Varsayımlar!$B:$Q,11,0))</f>
        <v>30</v>
      </c>
      <c r="U26" s="54">
        <f>IF(B26="","",VLOOKUP(AD26,Varsayımlar!$B:$Q,12,0))</f>
        <v>240</v>
      </c>
      <c r="V26" s="54" t="str">
        <f>IF(B26="","",VLOOKUP(AD26,Varsayımlar!$B:$Q,13,0))</f>
        <v>Yurtdışı</v>
      </c>
      <c r="W26" s="54">
        <f>IF(B26="","",VLOOKUP(AD26,Varsayımlar!$B:$Q,14,0))</f>
        <v>12</v>
      </c>
      <c r="X26" s="56">
        <v>46205</v>
      </c>
      <c r="Y26" s="56">
        <v>46570</v>
      </c>
      <c r="Z26" s="54" t="s">
        <v>385</v>
      </c>
      <c r="AA26" s="54" t="str">
        <f>IF(B26="","",VLOOKUP(AD26,Varsayımlar!$B:$Q,15,0))</f>
        <v>25cm Kolisi-Etiketli</v>
      </c>
      <c r="AB26" s="54" t="str">
        <f>IF(B26="","",VLOOKUP(AD26,Varsayımlar!$B:$Q,16,0))</f>
        <v>24-26 cm (Macca Hetto Inkjet Uzun Tarih)</v>
      </c>
      <c r="AC26" s="54" t="str">
        <f>IF(B26="","",VLOOKUP(Sayfa1!AD38,Varsayımlar!B:S,18,0))</f>
        <v>80x120cm</v>
      </c>
      <c r="AD26" s="57" t="str">
        <f t="shared" si="0"/>
        <v>LAIKYUZHN-BELARUSTortillas 25cm Ispanaklı 4pcs 240g</v>
      </c>
    </row>
    <row r="27" spans="1:30" ht="47.25" x14ac:dyDescent="0.25">
      <c r="A27" s="8" t="s">
        <v>139</v>
      </c>
      <c r="B27" s="54" t="s">
        <v>268</v>
      </c>
      <c r="C27" s="39">
        <f>IF(B27="","",VLOOKUP(AD27,Varsayımlar!$B:$Q,3,0))</f>
        <v>8698829380698</v>
      </c>
      <c r="D27" s="39" t="s">
        <v>160</v>
      </c>
      <c r="E27" s="54" t="s">
        <v>278</v>
      </c>
      <c r="F27" s="54" t="s">
        <v>343</v>
      </c>
      <c r="G27" s="39" t="s">
        <v>68</v>
      </c>
      <c r="H27" s="54" t="str">
        <f>IF(B27="","",VLOOKUP(AD27,Varsayımlar!$B:$Q,5,0))</f>
        <v>Magnit Tortillas 25cm Peynirli</v>
      </c>
      <c r="I27" s="54" t="str">
        <f>IF(B27="","",VLOOKUP(AD27,Varsayımlar!B:T,19,0))</f>
        <v>Etiketli</v>
      </c>
      <c r="J27" s="54" t="str">
        <f>IF(B27="","",VLOOKUP(AD27,Varsayımlar!$B:$Q,6,0))</f>
        <v>Peynirli</v>
      </c>
      <c r="K27" s="54">
        <v>504</v>
      </c>
      <c r="L27" s="54"/>
      <c r="M27" s="54">
        <f>IFERROR(IF(B27="","",K27/VLOOKUP(AD27,Varsayımlar!B:R,17,0)),"")</f>
        <v>6</v>
      </c>
      <c r="N27" s="54"/>
      <c r="O27" s="54">
        <v>9</v>
      </c>
      <c r="P27" s="54">
        <f>IF(B27="","",VLOOKUP(AD27,Varsayımlar!$B:$Q,7,0)*K27)</f>
        <v>15120</v>
      </c>
      <c r="Q27" s="54">
        <f>IF(B27="","",VLOOKUP(AD27,Varsayımlar!$B:$Q,8,0))</f>
        <v>25</v>
      </c>
      <c r="R27" s="54" t="str">
        <f>IF(B27="","",VLOOKUP(AD27,Varsayımlar!$B:$Q,9,0))</f>
        <v>Soft-PA3-AT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250</v>
      </c>
      <c r="V27" s="54" t="str">
        <f>IF(B27="","",VLOOKUP(AD27,Varsayımlar!$B:$Q,13,0))</f>
        <v>Yurtdışı</v>
      </c>
      <c r="W27" s="54">
        <f>IF(B27="","",VLOOKUP(AD27,Varsayımlar!$B:$Q,14,0))</f>
        <v>9</v>
      </c>
      <c r="X27" s="56">
        <v>46205</v>
      </c>
      <c r="Y27" s="56">
        <v>46479</v>
      </c>
      <c r="Z27" s="54" t="s">
        <v>386</v>
      </c>
      <c r="AA27" s="54" t="str">
        <f>IF(B27="","",VLOOKUP(AD27,Varsayımlar!$B:$Q,15,0))</f>
        <v>25cm Kolisi-Etiketli</v>
      </c>
      <c r="AB27" s="54" t="str">
        <f>IF(B27="","",VLOOKUP(AD27,Varsayımlar!$B:$Q,16,0))</f>
        <v>24-26 cm (Macca Hetto Inkjet Uzun Tarih)</v>
      </c>
      <c r="AC27" s="54" t="str">
        <f>IF(B27="","",VLOOKUP(Sayfa1!AD39,Varsayımlar!B:S,18,0))</f>
        <v>80x120cm</v>
      </c>
      <c r="AD27" s="57" t="str">
        <f t="shared" si="0"/>
        <v>LAIKYUZHN-BELARUSMagnit Tortillas 25cm Peynirli 4pcs 240g</v>
      </c>
    </row>
    <row r="28" spans="1:30" ht="45.75" customHeight="1" x14ac:dyDescent="0.25">
      <c r="A28" s="8" t="s">
        <v>140</v>
      </c>
      <c r="B28" s="130" t="s">
        <v>119</v>
      </c>
      <c r="C28" s="131">
        <f>IF(B28="","",VLOOKUP(AD28,Varsayımlar!$B:$Q,3,0))</f>
        <v>8698829380698</v>
      </c>
      <c r="D28" s="131"/>
      <c r="E28" s="132" t="s">
        <v>120</v>
      </c>
      <c r="F28" s="130"/>
      <c r="G28" s="130"/>
      <c r="H28" s="130" t="str">
        <f>IF(B28="","",VLOOKUP(AD28,Varsayımlar!$B:$Q,5,0))</f>
        <v>Nimet 25 cm</v>
      </c>
      <c r="I28" s="130"/>
      <c r="J28" s="130" t="str">
        <f>IF(B28="","",VLOOKUP(AD28,Varsayımlar!$B:$Q,6,0))</f>
        <v>SADE</v>
      </c>
      <c r="K28" s="130">
        <v>5000</v>
      </c>
      <c r="L28" s="130"/>
      <c r="M28" s="130">
        <f>IFERROR(IF(B28="","",K28/VLOOKUP(AD28,Varsayımlar!B:R,17,0)),"")</f>
        <v>100</v>
      </c>
      <c r="N28" s="130"/>
      <c r="O28" s="130">
        <v>100</v>
      </c>
      <c r="P28" s="130">
        <f>IF(B28="","",VLOOKUP(AD28,Varsayımlar!$B:$Q,7,0)*K28)</f>
        <v>60000</v>
      </c>
      <c r="Q28" s="130">
        <f>IF(B28="","",VLOOKUP(AD28,Varsayımlar!$B:$Q,8,0))</f>
        <v>25</v>
      </c>
      <c r="R28" s="130" t="str">
        <f>IF(B28="","",VLOOKUP(AD28,Varsayımlar!$B:$Q,9,0))</f>
        <v>Standart</v>
      </c>
      <c r="S28" s="130">
        <f>IF(B28="","",VLOOKUP(AD28,Varsayımlar!$B:$Q,10,0))</f>
        <v>12</v>
      </c>
      <c r="T28" s="130">
        <f>IF(B28="","",VLOOKUP(AD28,Varsayımlar!$B:$Q,11,0))</f>
        <v>12</v>
      </c>
      <c r="U28" s="130">
        <f>IF(B28="","",VLOOKUP(AD28,Varsayımlar!$B:$Q,12,0))</f>
        <v>840</v>
      </c>
      <c r="V28" s="130" t="str">
        <f>IF(B28="","",VLOOKUP(AD28,Varsayımlar!$B:$Q,13,0))</f>
        <v>YURTİÇİ</v>
      </c>
      <c r="W28" s="130">
        <f>IF(B28="","",VLOOKUP(AD28,Varsayımlar!$B:$Q,14,0))</f>
        <v>5</v>
      </c>
      <c r="X28" s="133" t="s">
        <v>113</v>
      </c>
      <c r="Y28" s="133" t="s">
        <v>113</v>
      </c>
      <c r="Z28" s="130" t="s">
        <v>113</v>
      </c>
      <c r="AA28" s="130" t="str">
        <f>IF(B28="","",VLOOKUP(AD28,Varsayımlar!$B:$Q,15,0))</f>
        <v>Nimet Kolisi</v>
      </c>
      <c r="AB28" s="130" t="str">
        <f>IF(B28="","",VLOOKUP(AD28,Varsayımlar!$B:$Q,16,0))</f>
        <v>24-26 CM</v>
      </c>
      <c r="AC28" s="64" t="s">
        <v>360</v>
      </c>
      <c r="AD28" s="57" t="str">
        <f>IF(B28="","",CONCATENATE(B28,E28))</f>
        <v>A101Nimet 25cm 12 pcs 840g</v>
      </c>
    </row>
    <row r="29" spans="1:30" ht="47.25" x14ac:dyDescent="0.25">
      <c r="A29" s="8" t="s">
        <v>141</v>
      </c>
      <c r="B29" s="75" t="s">
        <v>218</v>
      </c>
      <c r="C29" s="43">
        <f>IF(B29="","",VLOOKUP(AD29,Varsayımlar!$B:$Q,3,0))</f>
        <v>8698829380698</v>
      </c>
      <c r="D29" s="43" t="s">
        <v>161</v>
      </c>
      <c r="E29" s="75" t="s">
        <v>252</v>
      </c>
      <c r="F29" s="75" t="s">
        <v>341</v>
      </c>
      <c r="G29" s="43"/>
      <c r="H29" s="75" t="str">
        <f>IF(B29="","",VLOOKUP(AD29,Varsayımlar!$B:$Q,5,0))</f>
        <v xml:space="preserve">Tortillas 20cm Sade </v>
      </c>
      <c r="I29" s="75" t="str">
        <f>IF(B29="","",VLOOKUP(AD29,Varsayımlar!B:T,19,0))</f>
        <v>Barkod üzerine Barkod Etiketi (104)</v>
      </c>
      <c r="J29" s="75" t="str">
        <f>IF(B29="","",VLOOKUP(AD29,Varsayımlar!$B:$Q,6,0))</f>
        <v>SADE</v>
      </c>
      <c r="K29" s="75">
        <v>120</v>
      </c>
      <c r="L29" s="75"/>
      <c r="M29" s="75">
        <f>IFERROR(IF(B29="","",K29/VLOOKUP(AD29,Varsayımlar!B:R,17,0)),"")</f>
        <v>1</v>
      </c>
      <c r="N29" s="75"/>
      <c r="O29" s="75">
        <v>2</v>
      </c>
      <c r="P29" s="75">
        <f>IF(B29="","",VLOOKUP(AD29,Varsayımlar!$B:$Q,7,0)*K29)</f>
        <v>2160</v>
      </c>
      <c r="Q29" s="75">
        <f>IF(B29="","",VLOOKUP(AD29,Varsayımlar!$B:$Q,8,0))</f>
        <v>20</v>
      </c>
      <c r="R29" s="75" t="str">
        <f>IF(B29="","",VLOOKUP(AD29,Varsayımlar!$B:$Q,9,0))</f>
        <v>Irak Soft</v>
      </c>
      <c r="S29" s="75">
        <f>IF(B29="","",VLOOKUP(AD29,Varsayımlar!$B:$Q,10,0))</f>
        <v>6</v>
      </c>
      <c r="T29" s="75">
        <f>IF(B29="","",VLOOKUP(AD29,Varsayımlar!$B:$Q,11,0))</f>
        <v>18</v>
      </c>
      <c r="U29" s="75">
        <f>IF(B29="","",VLOOKUP(AD29,Varsayımlar!$B:$Q,12,0))</f>
        <v>270</v>
      </c>
      <c r="V29" s="75" t="str">
        <f>IF(B29="","",VLOOKUP(AD29,Varsayımlar!$B:$Q,13,0))</f>
        <v>Yurtdışı</v>
      </c>
      <c r="W29" s="75">
        <f>IF(B29="","",VLOOKUP(AD29,Varsayımlar!$B:$Q,14,0))</f>
        <v>9</v>
      </c>
      <c r="X29" s="76">
        <v>46213</v>
      </c>
      <c r="Y29" s="76">
        <v>46487</v>
      </c>
      <c r="Z29" s="75">
        <v>26071020</v>
      </c>
      <c r="AA29" s="75" t="str">
        <f>IF(B29="","",VLOOKUP(AD29,Varsayımlar!$B:$Q,15,0))</f>
        <v>20cm Lacivert-Bulgarca Etiket</v>
      </c>
      <c r="AB29" s="75" t="str">
        <f>IF(B29="","",VLOOKUP(AD29,Varsayımlar!$B:$Q,16,0))</f>
        <v>19-21 cm</v>
      </c>
      <c r="AC29" s="75" t="str">
        <f>IF(B29="","",VLOOKUP(Sayfa1!AD21,Varsayımlar!B:S,18,0))</f>
        <v>100x120cm-Epal+Epal</v>
      </c>
      <c r="AD29" s="57" t="str">
        <f t="shared" si="0"/>
        <v>TASTE LAND-BULGARİSTANTortillas 20cm Sade 6pcs 270g</v>
      </c>
    </row>
    <row r="30" spans="1:30" ht="78.75" x14ac:dyDescent="0.25">
      <c r="A30" s="8" t="s">
        <v>142</v>
      </c>
      <c r="B30" s="75" t="s">
        <v>218</v>
      </c>
      <c r="C30" s="43">
        <f>IF(B30="","",VLOOKUP(AD30,Varsayımlar!$B:$Q,3,0))</f>
        <v>8698829380698</v>
      </c>
      <c r="D30" s="43" t="s">
        <v>161</v>
      </c>
      <c r="E30" s="75" t="s">
        <v>222</v>
      </c>
      <c r="F30" s="75" t="s">
        <v>341</v>
      </c>
      <c r="G30" s="43"/>
      <c r="H30" s="75" t="str">
        <f>IF(B30="","",VLOOKUP(AD30,Varsayımlar!$B:$Q,5,0))</f>
        <v xml:space="preserve">Tortillas 30cm Tam Buğday </v>
      </c>
      <c r="I30" s="75" t="str">
        <f>IF(B30="","",VLOOKUP(AD30,Varsayımlar!B:T,19,0))</f>
        <v>Barkod üzerine-Bulgarca Barkodlu TB içerik etiketi (029)</v>
      </c>
      <c r="J30" s="75" t="str">
        <f>IF(B30="","",VLOOKUP(AD30,Varsayımlar!$B:$Q,6,0))</f>
        <v>Tam Buğdaylı</v>
      </c>
      <c r="K30" s="75">
        <v>60</v>
      </c>
      <c r="L30" s="75"/>
      <c r="M30" s="75">
        <f>IFERROR(IF(B30="","",K30/VLOOKUP(AD30,Varsayımlar!B:R,17,0)),"")</f>
        <v>1</v>
      </c>
      <c r="N30" s="75"/>
      <c r="O30" s="75">
        <v>1</v>
      </c>
      <c r="P30" s="75">
        <f>IF(B30="","",VLOOKUP(AD30,Varsayımlar!$B:$Q,7,0)*K30)</f>
        <v>360</v>
      </c>
      <c r="Q30" s="75">
        <f>IF(B30="","",VLOOKUP(AD30,Varsayımlar!$B:$Q,8,0))</f>
        <v>30</v>
      </c>
      <c r="R30" s="75" t="str">
        <f>IF(B30="","",VLOOKUP(AD30,Varsayımlar!$B:$Q,9,0))</f>
        <v>Irak Soft</v>
      </c>
      <c r="S30" s="75">
        <f>IF(B30="","",VLOOKUP(AD30,Varsayımlar!$B:$Q,10,0))</f>
        <v>18</v>
      </c>
      <c r="T30" s="75">
        <f>IF(B30="","",VLOOKUP(AD30,Varsayımlar!$B:$Q,11,0))</f>
        <v>6</v>
      </c>
      <c r="U30" s="75">
        <f>IF(B30="","",VLOOKUP(AD30,Varsayımlar!$B:$Q,12,0))</f>
        <v>1620</v>
      </c>
      <c r="V30" s="75" t="str">
        <f>IF(B30="","",VLOOKUP(AD30,Varsayımlar!$B:$Q,13,0))</f>
        <v>Yurtdışı</v>
      </c>
      <c r="W30" s="75">
        <f>IF(B30="","",VLOOKUP(AD30,Varsayımlar!$B:$Q,14,0))</f>
        <v>9</v>
      </c>
      <c r="X30" s="76">
        <v>46213</v>
      </c>
      <c r="Y30" s="76">
        <v>46487</v>
      </c>
      <c r="Z30" s="75" t="s">
        <v>442</v>
      </c>
      <c r="AA30" s="75" t="str">
        <f>IF(B30="","",VLOOKUP(AD30,Varsayımlar!$B:$Q,15,0))</f>
        <v>30cm Lacivert Koli- Bulgarca TB Etiket</v>
      </c>
      <c r="AB30" s="75" t="str">
        <f>IF(B30="","",VLOOKUP(AD30,Varsayımlar!$B:$Q,16,0))</f>
        <v>29-31 cm</v>
      </c>
      <c r="AC30" s="75" t="str">
        <f>IF(B30="","",VLOOKUP(Sayfa1!AD20,Varsayımlar!B:S,18,0))</f>
        <v>95x130cm</v>
      </c>
      <c r="AD30" s="57" t="str">
        <f t="shared" si="0"/>
        <v>TASTE LAND-BULGARİSTANTortillas 30cm Tam Buğday 18pcs 1620g</v>
      </c>
    </row>
    <row r="31" spans="1:30" ht="31.5" x14ac:dyDescent="0.25">
      <c r="A31" s="8" t="s">
        <v>143</v>
      </c>
      <c r="B31" s="75" t="s">
        <v>218</v>
      </c>
      <c r="C31" s="43">
        <f>IF(B31="","",VLOOKUP(AD31,Varsayımlar!$B:$Q,3,0))</f>
        <v>8698829380698</v>
      </c>
      <c r="D31" s="43" t="s">
        <v>161</v>
      </c>
      <c r="E31" s="75" t="s">
        <v>229</v>
      </c>
      <c r="F31" s="75" t="s">
        <v>341</v>
      </c>
      <c r="G31" s="43"/>
      <c r="H31" s="75" t="str">
        <f>IF(B31="","",VLOOKUP(AD31,Varsayımlar!$B:$Q,5,0))</f>
        <v>Tortillas Avrupa 25cm Tam Buğday (711)</v>
      </c>
      <c r="I31" s="75">
        <f>IF(B31="","",VLOOKUP(AD31,Varsayımlar!B:T,19,0))</f>
        <v>0</v>
      </c>
      <c r="J31" s="75" t="str">
        <f>IF(B31="","",VLOOKUP(AD31,Varsayımlar!$B:$Q,6,0))</f>
        <v>Tam Buğdaylı</v>
      </c>
      <c r="K31" s="75">
        <v>840</v>
      </c>
      <c r="L31" s="75"/>
      <c r="M31" s="75">
        <f>IFERROR(IF(B31="","",K31/VLOOKUP(AD31,Varsayımlar!B:R,17,0)),"")</f>
        <v>7</v>
      </c>
      <c r="N31" s="75"/>
      <c r="O31" s="75">
        <v>9</v>
      </c>
      <c r="P31" s="75">
        <f>IF(B31="","",VLOOKUP(AD31,Varsayımlar!$B:$Q,7,0)*K31)</f>
        <v>6720</v>
      </c>
      <c r="Q31" s="75">
        <f>IF(B31="","",VLOOKUP(AD31,Varsayımlar!$B:$Q,8,0))</f>
        <v>25</v>
      </c>
      <c r="R31" s="75" t="str">
        <f>IF(B31="","",VLOOKUP(AD31,Varsayımlar!$B:$Q,9,0))</f>
        <v>Irak Soft</v>
      </c>
      <c r="S31" s="75">
        <f>IF(B31="","",VLOOKUP(AD31,Varsayımlar!$B:$Q,10,0))</f>
        <v>10</v>
      </c>
      <c r="T31" s="75">
        <f>IF(B31="","",VLOOKUP(AD31,Varsayımlar!$B:$Q,11,0))</f>
        <v>8</v>
      </c>
      <c r="U31" s="75">
        <f>IF(B31="","",VLOOKUP(AD31,Varsayımlar!$B:$Q,12,0))</f>
        <v>650</v>
      </c>
      <c r="V31" s="75" t="str">
        <f>IF(B31="","",VLOOKUP(AD31,Varsayımlar!$B:$Q,13,0))</f>
        <v>Yurtdışı</v>
      </c>
      <c r="W31" s="75">
        <f>IF(B31="","",VLOOKUP(AD31,Varsayımlar!$B:$Q,14,0))</f>
        <v>9</v>
      </c>
      <c r="X31" s="76">
        <v>46213</v>
      </c>
      <c r="Y31" s="76">
        <v>46487</v>
      </c>
      <c r="Z31" s="75" t="s">
        <v>442</v>
      </c>
      <c r="AA31" s="75" t="str">
        <f>IF(B31="","",VLOOKUP(AD31,Varsayımlar!$B:$Q,15,0))</f>
        <v>25cm Perforeli-Bulgarca TB etiket</v>
      </c>
      <c r="AB31" s="75" t="str">
        <f>IF(B31="","",VLOOKUP(AD31,Varsayımlar!$B:$Q,16,0))</f>
        <v>24-26 cm</v>
      </c>
      <c r="AC31" s="75" t="str">
        <f>IF(B31="","",VLOOKUP(Sayfa1!AD63,Varsayımlar!B:S,18,0))</f>
        <v>80x120cm -Epal+Epal</v>
      </c>
      <c r="AD31" s="57" t="str">
        <f t="shared" si="0"/>
        <v>TASTE LAND-BULGARİSTANTortillas 25cm Tam Buğday 10pcs 650g</v>
      </c>
    </row>
    <row r="32" spans="1:30" ht="47.25" x14ac:dyDescent="0.25">
      <c r="A32" s="8" t="s">
        <v>144</v>
      </c>
      <c r="B32" s="75" t="s">
        <v>218</v>
      </c>
      <c r="C32" s="43">
        <f>IF(B32="","",VLOOKUP(AD32,Varsayımlar!$B:$Q,3,0))</f>
        <v>8698829380698</v>
      </c>
      <c r="D32" s="43" t="s">
        <v>161</v>
      </c>
      <c r="E32" s="75" t="s">
        <v>251</v>
      </c>
      <c r="F32" s="75" t="s">
        <v>341</v>
      </c>
      <c r="G32" s="43"/>
      <c r="H32" s="75" t="str">
        <f>IF(B32="","",VLOOKUP(AD32,Varsayımlar!$B:$Q,5,0))</f>
        <v>Tortillas Avrupa 25cm TB (711)</v>
      </c>
      <c r="I32" s="75" t="str">
        <f>IF(B32="","",VLOOKUP(AD32,Varsayımlar!B:T,19,0))</f>
        <v>Barkod üzerine Barkod Etiketi (067)</v>
      </c>
      <c r="J32" s="75" t="str">
        <f>IF(B32="","",VLOOKUP(AD32,Varsayımlar!$B:$Q,6,0))</f>
        <v>Tam Buğdaylı</v>
      </c>
      <c r="K32" s="75">
        <v>84</v>
      </c>
      <c r="L32" s="75"/>
      <c r="M32" s="75">
        <f>IFERROR(IF(B32="","",K32/VLOOKUP(AD32,Varsayımlar!B:R,17,0)),"")</f>
        <v>1</v>
      </c>
      <c r="N32" s="75"/>
      <c r="O32" s="75">
        <v>2</v>
      </c>
      <c r="P32" s="75">
        <f>IF(B32="","",VLOOKUP(AD32,Varsayımlar!$B:$Q,7,0)*K32)</f>
        <v>1512</v>
      </c>
      <c r="Q32" s="75">
        <f>IF(B32="","",VLOOKUP(AD32,Varsayımlar!$B:$Q,8,0))</f>
        <v>25</v>
      </c>
      <c r="R32" s="75" t="str">
        <f>IF(B32="","",VLOOKUP(AD32,Varsayımlar!$B:$Q,9,0))</f>
        <v>Irak Soft</v>
      </c>
      <c r="S32" s="75">
        <f>IF(B32="","",VLOOKUP(AD32,Varsayımlar!$B:$Q,10,0))</f>
        <v>6</v>
      </c>
      <c r="T32" s="75">
        <f>IF(B32="","",VLOOKUP(AD32,Varsayımlar!$B:$Q,11,0))</f>
        <v>18</v>
      </c>
      <c r="U32" s="75">
        <f>IF(B32="","",VLOOKUP(AD32,Varsayımlar!$B:$Q,12,0))</f>
        <v>390</v>
      </c>
      <c r="V32" s="75" t="str">
        <f>IF(B32="","",VLOOKUP(AD32,Varsayımlar!$B:$Q,13,0))</f>
        <v>Yurtdışı</v>
      </c>
      <c r="W32" s="75">
        <f>IF(B32="","",VLOOKUP(AD32,Varsayımlar!$B:$Q,14,0))</f>
        <v>9</v>
      </c>
      <c r="X32" s="76">
        <v>46213</v>
      </c>
      <c r="Y32" s="76">
        <v>46487</v>
      </c>
      <c r="Z32" s="75" t="s">
        <v>442</v>
      </c>
      <c r="AA32" s="75" t="str">
        <f>IF(B32="","",VLOOKUP(AD32,Varsayımlar!$B:$Q,15,0))</f>
        <v>25cm Kırmızı koli-Bulgarca TB Etiket</v>
      </c>
      <c r="AB32" s="75" t="str">
        <f>IF(B32="","",VLOOKUP(AD32,Varsayımlar!$B:$Q,16,0))</f>
        <v>24-26 cm</v>
      </c>
      <c r="AC32" s="75" t="str">
        <f>IF(B32="","",VLOOKUP(Sayfa1!AD64,Varsayımlar!B:S,18,0))</f>
        <v>80x120cm -Epal+Epal</v>
      </c>
      <c r="AD32" s="57" t="str">
        <f t="shared" si="0"/>
        <v>TASTE LAND-BULGARİSTANTortillas 25cm TB 6pcs 390g</v>
      </c>
    </row>
    <row r="33" spans="1:31" ht="47.25" x14ac:dyDescent="0.25">
      <c r="A33" s="8" t="s">
        <v>145</v>
      </c>
      <c r="B33" s="75" t="s">
        <v>218</v>
      </c>
      <c r="C33" s="43">
        <f>IF(B33="","",VLOOKUP(AD33,Varsayımlar!$B:$Q,3,0))</f>
        <v>8698829380698</v>
      </c>
      <c r="D33" s="43" t="s">
        <v>161</v>
      </c>
      <c r="E33" s="75" t="s">
        <v>232</v>
      </c>
      <c r="F33" s="75" t="s">
        <v>341</v>
      </c>
      <c r="G33" s="43"/>
      <c r="H33" s="75" t="str">
        <f>IF(B33="","",VLOOKUP(AD33,Varsayımlar!$B:$Q,5,0))</f>
        <v>Tortillas Avrupa 25cm Domatesli (074)</v>
      </c>
      <c r="I33" s="75">
        <f>IF(B33="","",VLOOKUP(AD33,Varsayımlar!B:T,19,0))</f>
        <v>0</v>
      </c>
      <c r="J33" s="75" t="str">
        <f>IF(B33="","",VLOOKUP(AD33,Varsayımlar!$B:$Q,6,0))</f>
        <v>Domatesli</v>
      </c>
      <c r="K33" s="75">
        <v>240</v>
      </c>
      <c r="L33" s="75"/>
      <c r="M33" s="75">
        <f>IFERROR(IF(B33="","",K33/VLOOKUP(AD33,Varsayımlar!B:R,17,0)),"")</f>
        <v>2</v>
      </c>
      <c r="N33" s="75"/>
      <c r="O33" s="75">
        <v>3</v>
      </c>
      <c r="P33" s="75">
        <f>IF(B33="","",VLOOKUP(AD33,Varsayımlar!$B:$Q,7,0)*K33)</f>
        <v>2880</v>
      </c>
      <c r="Q33" s="75">
        <f>IF(B33="","",VLOOKUP(AD33,Varsayımlar!$B:$Q,8,0))</f>
        <v>25</v>
      </c>
      <c r="R33" s="75" t="str">
        <f>IF(B33="","",VLOOKUP(AD33,Varsayımlar!$B:$Q,9,0))</f>
        <v>Irak Soft</v>
      </c>
      <c r="S33" s="75">
        <f>IF(B33="","",VLOOKUP(AD33,Varsayımlar!$B:$Q,10,0))</f>
        <v>6</v>
      </c>
      <c r="T33" s="75">
        <f>IF(B33="","",VLOOKUP(AD33,Varsayımlar!$B:$Q,11,0))</f>
        <v>12</v>
      </c>
      <c r="U33" s="75">
        <f>IF(B33="","",VLOOKUP(AD33,Varsayımlar!$B:$Q,12,0))</f>
        <v>390</v>
      </c>
      <c r="V33" s="75" t="str">
        <f>IF(B33="","",VLOOKUP(AD33,Varsayımlar!$B:$Q,13,0))</f>
        <v>Yurtdışı</v>
      </c>
      <c r="W33" s="75">
        <f>IF(B33="","",VLOOKUP(AD33,Varsayımlar!$B:$Q,14,0))</f>
        <v>9</v>
      </c>
      <c r="X33" s="76">
        <v>46213</v>
      </c>
      <c r="Y33" s="76">
        <v>46487</v>
      </c>
      <c r="Z33" s="75" t="s">
        <v>443</v>
      </c>
      <c r="AA33" s="75" t="str">
        <f>IF(B33="","",VLOOKUP(AD33,Varsayımlar!$B:$Q,15,0))</f>
        <v>25cm Perforeli-Bulgarca Domatesli etiket</v>
      </c>
      <c r="AB33" s="75" t="str">
        <f>IF(B33="","",VLOOKUP(AD33,Varsayımlar!$B:$Q,16,0))</f>
        <v>24-26 cm</v>
      </c>
      <c r="AC33" s="75" t="str">
        <f>IF(B33="","",VLOOKUP(Sayfa1!AD65,Varsayımlar!B:S,18,0))</f>
        <v>80x120cm -Epal+Epal</v>
      </c>
      <c r="AD33" s="57" t="str">
        <f t="shared" si="0"/>
        <v>TASTE LAND-BULGARİSTANTortillas 25cm Domatesli 6pcs 390g</v>
      </c>
    </row>
    <row r="34" spans="1:31" ht="47.25" x14ac:dyDescent="0.25">
      <c r="A34" s="8" t="s">
        <v>146</v>
      </c>
      <c r="B34" s="75" t="s">
        <v>218</v>
      </c>
      <c r="C34" s="43">
        <f>IF(B34="","",VLOOKUP(AD34,Varsayımlar!$B:$Q,3,0))</f>
        <v>8698829380698</v>
      </c>
      <c r="D34" s="43" t="s">
        <v>161</v>
      </c>
      <c r="E34" s="75" t="s">
        <v>235</v>
      </c>
      <c r="F34" s="75" t="s">
        <v>341</v>
      </c>
      <c r="G34" s="43"/>
      <c r="H34" s="75" t="str">
        <f>IF(B34="","",VLOOKUP(AD34,Varsayımlar!$B:$Q,5,0))</f>
        <v>Tortillas Avrupa 25cm Ispanaklı (081)</v>
      </c>
      <c r="I34" s="75">
        <f>IF(B34="","",VLOOKUP(AD34,Varsayımlar!B:T,19,0))</f>
        <v>0</v>
      </c>
      <c r="J34" s="75" t="str">
        <f>IF(B34="","",VLOOKUP(AD34,Varsayımlar!$B:$Q,6,0))</f>
        <v>Ispanaklı</v>
      </c>
      <c r="K34" s="75">
        <v>240</v>
      </c>
      <c r="L34" s="75"/>
      <c r="M34" s="75">
        <f>IFERROR(IF(B34="","",K34/VLOOKUP(AD34,Varsayımlar!B:R,17,0)),"")</f>
        <v>2</v>
      </c>
      <c r="N34" s="75"/>
      <c r="O34" s="75">
        <v>3</v>
      </c>
      <c r="P34" s="75">
        <f>IF(B34="","",VLOOKUP(AD34,Varsayımlar!$B:$Q,7,0)*K34)</f>
        <v>2880</v>
      </c>
      <c r="Q34" s="75">
        <f>IF(B34="","",VLOOKUP(AD34,Varsayımlar!$B:$Q,8,0))</f>
        <v>25</v>
      </c>
      <c r="R34" s="75" t="str">
        <f>IF(B34="","",VLOOKUP(AD34,Varsayımlar!$B:$Q,9,0))</f>
        <v>Irak Soft</v>
      </c>
      <c r="S34" s="75">
        <f>IF(B34="","",VLOOKUP(AD34,Varsayımlar!$B:$Q,10,0))</f>
        <v>6</v>
      </c>
      <c r="T34" s="75">
        <f>IF(B34="","",VLOOKUP(AD34,Varsayımlar!$B:$Q,11,0))</f>
        <v>12</v>
      </c>
      <c r="U34" s="75">
        <f>IF(B34="","",VLOOKUP(AD34,Varsayımlar!$B:$Q,12,0))</f>
        <v>390</v>
      </c>
      <c r="V34" s="75" t="str">
        <f>IF(B34="","",VLOOKUP(AD34,Varsayımlar!$B:$Q,13,0))</f>
        <v>Yurtdışı</v>
      </c>
      <c r="W34" s="75">
        <f>IF(B34="","",VLOOKUP(AD34,Varsayımlar!$B:$Q,14,0))</f>
        <v>9</v>
      </c>
      <c r="X34" s="76">
        <v>46213</v>
      </c>
      <c r="Y34" s="76">
        <v>46487</v>
      </c>
      <c r="Z34" s="75" t="s">
        <v>444</v>
      </c>
      <c r="AA34" s="75" t="str">
        <f>IF(B34="","",VLOOKUP(AD34,Varsayımlar!$B:$Q,15,0))</f>
        <v>25cm Perforeli-Bulgarca Ispanaklı etiket</v>
      </c>
      <c r="AB34" s="75" t="str">
        <f>IF(B34="","",VLOOKUP(AD34,Varsayımlar!$B:$Q,16,0))</f>
        <v>24-26 cm</v>
      </c>
      <c r="AC34" s="75" t="str">
        <f>IF(B34="","",VLOOKUP(Sayfa1!AD66,Varsayımlar!B:S,18,0))</f>
        <v>80x120cm -Epal+Epal</v>
      </c>
      <c r="AD34" s="57" t="str">
        <f t="shared" si="0"/>
        <v>TASTE LAND-BULGARİSTANTortillas 25cm Ispanaklı 6pcs 390g</v>
      </c>
    </row>
    <row r="35" spans="1:31" ht="47.25" x14ac:dyDescent="0.25">
      <c r="A35" s="8" t="s">
        <v>147</v>
      </c>
      <c r="B35" s="75" t="s">
        <v>218</v>
      </c>
      <c r="C35" s="43">
        <f>IF(B35="","",VLOOKUP(AD35,Varsayımlar!$B:$Q,3,0))</f>
        <v>8698829380698</v>
      </c>
      <c r="D35" s="43" t="s">
        <v>161</v>
      </c>
      <c r="E35" s="75" t="s">
        <v>240</v>
      </c>
      <c r="F35" s="75" t="s">
        <v>341</v>
      </c>
      <c r="G35" s="43"/>
      <c r="H35" s="75" t="str">
        <f>IF(B35="","",VLOOKUP(AD35,Varsayımlar!$B:$Q,5,0))</f>
        <v>Tortillas Avrupa 25cm Peynirli (098)</v>
      </c>
      <c r="I35" s="75">
        <f>IF(B35="","",VLOOKUP(AD35,Varsayımlar!B:T,19,0))</f>
        <v>0</v>
      </c>
      <c r="J35" s="75" t="str">
        <f>IF(B35="","",VLOOKUP(AD35,Varsayımlar!$B:$Q,6,0))</f>
        <v>Peynirli</v>
      </c>
      <c r="K35" s="75">
        <v>120</v>
      </c>
      <c r="L35" s="75"/>
      <c r="M35" s="75">
        <f>IFERROR(IF(B35="","",K35/VLOOKUP(AD35,Varsayımlar!B:R,17,0)),"")</f>
        <v>1</v>
      </c>
      <c r="N35" s="75"/>
      <c r="O35" s="75">
        <v>2</v>
      </c>
      <c r="P35" s="75">
        <f>IF(B35="","",VLOOKUP(AD35,Varsayımlar!$B:$Q,7,0)*K35)</f>
        <v>1440</v>
      </c>
      <c r="Q35" s="75">
        <f>IF(B35="","",VLOOKUP(AD35,Varsayımlar!$B:$Q,8,0))</f>
        <v>25</v>
      </c>
      <c r="R35" s="75" t="str">
        <f>IF(B35="","",VLOOKUP(AD35,Varsayımlar!$B:$Q,9,0))</f>
        <v>Irak Soft-AT</v>
      </c>
      <c r="S35" s="75">
        <f>IF(B35="","",VLOOKUP(AD35,Varsayımlar!$B:$Q,10,0))</f>
        <v>6</v>
      </c>
      <c r="T35" s="75">
        <f>IF(B35="","",VLOOKUP(AD35,Varsayımlar!$B:$Q,11,0))</f>
        <v>12</v>
      </c>
      <c r="U35" s="75">
        <f>IF(B35="","",VLOOKUP(AD35,Varsayımlar!$B:$Q,12,0))</f>
        <v>390</v>
      </c>
      <c r="V35" s="75" t="str">
        <f>IF(B35="","",VLOOKUP(AD35,Varsayımlar!$B:$Q,13,0))</f>
        <v>Yurtdışı</v>
      </c>
      <c r="W35" s="75">
        <f>IF(B35="","",VLOOKUP(AD35,Varsayımlar!$B:$Q,14,0))</f>
        <v>9</v>
      </c>
      <c r="X35" s="76">
        <v>46213</v>
      </c>
      <c r="Y35" s="76">
        <v>46487</v>
      </c>
      <c r="Z35" s="75" t="s">
        <v>445</v>
      </c>
      <c r="AA35" s="75" t="str">
        <f>IF(B35="","",VLOOKUP(AD35,Varsayımlar!$B:$Q,15,0))</f>
        <v>25cm Perforeli-Bulgarca Peynirli etiket</v>
      </c>
      <c r="AB35" s="75" t="str">
        <f>IF(B35="","",VLOOKUP(AD35,Varsayımlar!$B:$Q,16,0))</f>
        <v>24-26 cm</v>
      </c>
      <c r="AC35" s="75" t="str">
        <f>IF(B35="","",VLOOKUP(Sayfa1!AD67,Varsayımlar!B:S,18,0))</f>
        <v>80x120cm -Epal+Epal</v>
      </c>
      <c r="AD35" s="57" t="str">
        <f t="shared" si="0"/>
        <v>TASTE LAND-BULGARİSTANTortillas 25cm Peynirli 6pcs 390g</v>
      </c>
    </row>
    <row r="36" spans="1:31" x14ac:dyDescent="0.25">
      <c r="A36" s="8" t="s">
        <v>147</v>
      </c>
      <c r="B36" s="67" t="s">
        <v>460</v>
      </c>
      <c r="C36" s="67">
        <f>IF(B36="","",VLOOKUP(AD36,Varsayımlar!$B:$Q,3,0))</f>
        <v>8698829380698</v>
      </c>
      <c r="D36" s="67"/>
      <c r="E36" s="67" t="s">
        <v>464</v>
      </c>
      <c r="F36" s="67">
        <v>20260414</v>
      </c>
      <c r="G36" s="67"/>
      <c r="H36" s="67" t="str">
        <f>IF(B36="","",VLOOKUP(AD36,Varsayımlar!$B:$Q,5,0))</f>
        <v>Tortillove 20cm</v>
      </c>
      <c r="I36" s="67">
        <f>IF(B36="","",VLOOKUP(AD36,Varsayımlar!B:T,19,0))</f>
        <v>0</v>
      </c>
      <c r="J36" s="67" t="str">
        <f>IF(B36="","",VLOOKUP(AD36,Varsayımlar!$B:$Q,6,0))</f>
        <v>SADE</v>
      </c>
      <c r="K36" s="67">
        <v>300</v>
      </c>
      <c r="L36" s="67"/>
      <c r="M36" s="67">
        <f>IFERROR(IF(B36="","",K36/VLOOKUP(AD36,Varsayımlar!B:R,17,0)),"")</f>
        <v>3</v>
      </c>
      <c r="N36" s="67"/>
      <c r="O36" s="67">
        <v>5</v>
      </c>
      <c r="P36" s="67">
        <f>IF(B36="","",VLOOKUP(AD36,Varsayımlar!$B:$Q,7,0)*K36)</f>
        <v>3600</v>
      </c>
      <c r="Q36" s="67">
        <f>IF(B36="","",VLOOKUP(AD36,Varsayımlar!$B:$Q,8,0))</f>
        <v>20</v>
      </c>
      <c r="R36" s="67" t="str">
        <f>IF(B36="","",VLOOKUP(AD36,Varsayımlar!$B:$Q,9,0))</f>
        <v>Irak Soft</v>
      </c>
      <c r="S36" s="67">
        <f>IF(B36="","",VLOOKUP(AD36,Varsayımlar!$B:$Q,10,0))</f>
        <v>10</v>
      </c>
      <c r="T36" s="67">
        <f>IF(B36="","",VLOOKUP(AD36,Varsayımlar!$B:$Q,11,0))</f>
        <v>12</v>
      </c>
      <c r="U36" s="67">
        <f>IF(B36="","",VLOOKUP(AD36,Varsayımlar!$B:$Q,12,0))</f>
        <v>450</v>
      </c>
      <c r="V36" s="67" t="str">
        <f>IF(B36="","",VLOOKUP(AD36,Varsayımlar!$B:$Q,13,0))</f>
        <v>Yurtdışı</v>
      </c>
      <c r="W36" s="67">
        <f>IF(B36="","",VLOOKUP(AD36,Varsayımlar!$B:$Q,14,0))</f>
        <v>6</v>
      </c>
      <c r="X36" s="69">
        <v>46216</v>
      </c>
      <c r="Y36" s="69">
        <v>46400</v>
      </c>
      <c r="Z36" s="67">
        <v>26071320</v>
      </c>
      <c r="AA36" s="67" t="str">
        <f>IF(B36="","",VLOOKUP(AD36,Varsayımlar!$B:$Q,15,0))</f>
        <v>20cm kolisi</v>
      </c>
      <c r="AB36" s="67" t="str">
        <f>IF(B36="","",VLOOKUP(AD36,Varsayımlar!$B:$Q,16,0))</f>
        <v>19-21 cm</v>
      </c>
      <c r="AC36" s="75">
        <f>IF(B36="","",VLOOKUP(Sayfa1!AD69,Varsayımlar!B:S,18,0))</f>
        <v>0</v>
      </c>
      <c r="AD36" s="57" t="str">
        <f t="shared" ref="AD36:AD37" si="1">IF(B36="","",CONCATENATE(B36,E36))</f>
        <v>Yüksekbaş GıdaYüksekbaş 20cm 10pcs 450g</v>
      </c>
    </row>
    <row r="37" spans="1:31" x14ac:dyDescent="0.25">
      <c r="A37" s="8" t="s">
        <v>147</v>
      </c>
      <c r="B37" s="67" t="s">
        <v>460</v>
      </c>
      <c r="C37" s="67">
        <f>IF(B37="","",VLOOKUP(AD37,Varsayımlar!$B:$Q,3,0))</f>
        <v>8698829380698</v>
      </c>
      <c r="D37" s="67"/>
      <c r="E37" s="67" t="s">
        <v>470</v>
      </c>
      <c r="F37" s="67">
        <v>20260414</v>
      </c>
      <c r="G37" s="67"/>
      <c r="H37" s="67" t="str">
        <f>IF(B37="","",VLOOKUP(AD37,Varsayımlar!$B:$Q,5,0))</f>
        <v>Tortillove 30cm</v>
      </c>
      <c r="I37" s="67">
        <f>IF(B37="","",VLOOKUP(AD37,Varsayımlar!B:T,19,0))</f>
        <v>0</v>
      </c>
      <c r="J37" s="67" t="str">
        <f>IF(B37="","",VLOOKUP(AD37,Varsayımlar!$B:$Q,6,0))</f>
        <v>SADE</v>
      </c>
      <c r="K37" s="67">
        <v>792</v>
      </c>
      <c r="L37" s="67"/>
      <c r="M37" s="67">
        <f>IFERROR(IF(B37="","",K37/VLOOKUP(AD37,Varsayımlar!B:R,17,0)),"")</f>
        <v>12</v>
      </c>
      <c r="N37" s="67"/>
      <c r="O37" s="67">
        <v>14</v>
      </c>
      <c r="P37" s="67">
        <f>IF(B37="","",VLOOKUP(AD37,Varsayımlar!$B:$Q,7,0)*K37)</f>
        <v>9504</v>
      </c>
      <c r="Q37" s="67">
        <f>IF(B37="","",VLOOKUP(AD37,Varsayımlar!$B:$Q,8,0))</f>
        <v>30</v>
      </c>
      <c r="R37" s="67" t="str">
        <f>IF(B37="","",VLOOKUP(AD37,Varsayımlar!$B:$Q,9,0))</f>
        <v>Irak Soft</v>
      </c>
      <c r="S37" s="67">
        <f>IF(B37="","",VLOOKUP(AD37,Varsayımlar!$B:$Q,10,0))</f>
        <v>10</v>
      </c>
      <c r="T37" s="67">
        <f>IF(B37="","",VLOOKUP(AD37,Varsayımlar!$B:$Q,11,0))</f>
        <v>12</v>
      </c>
      <c r="U37" s="67">
        <f>IF(B37="","",VLOOKUP(AD37,Varsayımlar!$B:$Q,12,0))</f>
        <v>950</v>
      </c>
      <c r="V37" s="67" t="str">
        <f>IF(B37="","",VLOOKUP(AD37,Varsayımlar!$B:$Q,13,0))</f>
        <v>Yurtdışı</v>
      </c>
      <c r="W37" s="67">
        <f>IF(B37="","",VLOOKUP(AD37,Varsayımlar!$B:$Q,14,0))</f>
        <v>6</v>
      </c>
      <c r="X37" s="69">
        <v>46216</v>
      </c>
      <c r="Y37" s="69">
        <v>46400</v>
      </c>
      <c r="Z37" s="67">
        <v>26071330</v>
      </c>
      <c r="AA37" s="67" t="str">
        <f>IF(B37="","",VLOOKUP(AD37,Varsayımlar!$B:$Q,15,0))</f>
        <v>30cm Kolisi</v>
      </c>
      <c r="AB37" s="67" t="str">
        <f>IF(B37="","",VLOOKUP(AD37,Varsayımlar!$B:$Q,16,0))</f>
        <v>29-31 cm</v>
      </c>
      <c r="AC37" s="75">
        <f>IF(B37="","",VLOOKUP(Sayfa1!AD69,Varsayımlar!B:S,18,0))</f>
        <v>0</v>
      </c>
      <c r="AD37" s="57" t="str">
        <f t="shared" si="1"/>
        <v>Yüksekbaş GıdaYüksekbaş 30cm 10pcs 950g</v>
      </c>
    </row>
    <row r="38" spans="1:31" ht="31.5" customHeight="1" x14ac:dyDescent="0.25">
      <c r="A38" s="182" t="s">
        <v>344</v>
      </c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4"/>
      <c r="AC38" s="38"/>
    </row>
    <row r="39" spans="1:31" ht="63" x14ac:dyDescent="0.25">
      <c r="A39" s="8" t="s">
        <v>0</v>
      </c>
      <c r="B39" s="8" t="s">
        <v>1</v>
      </c>
      <c r="C39" s="9" t="s">
        <v>31</v>
      </c>
      <c r="D39" s="9" t="s">
        <v>124</v>
      </c>
      <c r="E39" s="9" t="s">
        <v>36</v>
      </c>
      <c r="F39" s="8" t="s">
        <v>37</v>
      </c>
      <c r="G39" s="8" t="s">
        <v>13</v>
      </c>
      <c r="H39" s="8" t="s">
        <v>2</v>
      </c>
      <c r="I39" s="8" t="s">
        <v>49</v>
      </c>
      <c r="J39" s="8" t="s">
        <v>3</v>
      </c>
      <c r="K39" s="8" t="s">
        <v>21</v>
      </c>
      <c r="L39" s="8" t="s">
        <v>94</v>
      </c>
      <c r="M39" s="8" t="s">
        <v>20</v>
      </c>
      <c r="N39" s="8" t="s">
        <v>165</v>
      </c>
      <c r="O39" s="8" t="s">
        <v>123</v>
      </c>
      <c r="P39" s="8" t="s">
        <v>16</v>
      </c>
      <c r="Q39" s="8" t="s">
        <v>4</v>
      </c>
      <c r="R39" s="8" t="s">
        <v>5</v>
      </c>
      <c r="S39" s="8" t="s">
        <v>6</v>
      </c>
      <c r="T39" s="8" t="s">
        <v>28</v>
      </c>
      <c r="U39" s="8" t="s">
        <v>7</v>
      </c>
      <c r="V39" s="8" t="s">
        <v>8</v>
      </c>
      <c r="W39" s="8" t="s">
        <v>267</v>
      </c>
      <c r="X39" s="8" t="s">
        <v>10</v>
      </c>
      <c r="Y39" s="8" t="s">
        <v>11</v>
      </c>
      <c r="Z39" s="8" t="s">
        <v>12</v>
      </c>
      <c r="AA39" s="8" t="s">
        <v>14</v>
      </c>
      <c r="AB39" s="8" t="s">
        <v>15</v>
      </c>
      <c r="AC39" s="8" t="s">
        <v>208</v>
      </c>
      <c r="AD39" s="7" t="s">
        <v>41</v>
      </c>
    </row>
    <row r="40" spans="1:31" ht="78.75" x14ac:dyDescent="0.25">
      <c r="A40" s="8" t="s">
        <v>26</v>
      </c>
      <c r="B40" s="67" t="s">
        <v>53</v>
      </c>
      <c r="C40" s="42">
        <f>IF(B40="","",VLOOKUP(AD40,Varsayımlar!$B:$Q,3,0))</f>
        <v>8698829380698</v>
      </c>
      <c r="D40" s="67" t="s">
        <v>400</v>
      </c>
      <c r="E40" s="67" t="s">
        <v>54</v>
      </c>
      <c r="F40" s="67"/>
      <c r="G40" s="67" t="s">
        <v>401</v>
      </c>
      <c r="H40" s="67" t="str">
        <f>IF(B40="","",VLOOKUP(AD40,Varsayımlar!$B:$Q,5,0))</f>
        <v>MAGNİT MAVİ AMBALAJ 25CM</v>
      </c>
      <c r="I40" s="67">
        <f>IF(B40="","",VLOOKUP(AD40,Varsayımlar!B:T,19,0))</f>
        <v>0</v>
      </c>
      <c r="J40" s="67" t="str">
        <f>IF(B40="","",VLOOKUP(AD40,Varsayımlar!$B:$Q,6,0))</f>
        <v>SADE</v>
      </c>
      <c r="K40" s="67">
        <v>2016</v>
      </c>
      <c r="L40" s="67"/>
      <c r="M40" s="67" t="str">
        <f>IFERROR(IF(B40="","",K40/VLOOKUP(AD40,#REF!,17,0)),"")</f>
        <v/>
      </c>
      <c r="N40" s="67"/>
      <c r="O40" s="67">
        <v>20</v>
      </c>
      <c r="P40" s="67">
        <f>IF(B40="","",VLOOKUP(AD40,Varsayımlar!$B:$Q,7,0)*K40)</f>
        <v>60480</v>
      </c>
      <c r="Q40" s="67">
        <f>IF(B40="","",VLOOKUP(AD40,Varsayımlar!$B:$Q,8,0))</f>
        <v>25</v>
      </c>
      <c r="R40" s="67" t="str">
        <f>IF(B40="","",VLOOKUP(AD40,Varsayımlar!$B:$Q,9,0))</f>
        <v>SOFT</v>
      </c>
      <c r="S40" s="67">
        <f>IF(B40="","",VLOOKUP(AD40,Varsayımlar!$B:$Q,10,0))</f>
        <v>4</v>
      </c>
      <c r="T40" s="67">
        <f>IF(B40="","",VLOOKUP(AD40,Varsayımlar!$B:$Q,11,0))</f>
        <v>30</v>
      </c>
      <c r="U40" s="67">
        <f>IF(B40="","",VLOOKUP(AD40,Varsayımlar!$B:$Q,12,0))</f>
        <v>260</v>
      </c>
      <c r="V40" s="67" t="str">
        <f>IF(B40="","",VLOOKUP(AD40,Varsayımlar!$B:$Q,13,0))</f>
        <v>YURTDIŞI</v>
      </c>
      <c r="W40" s="67">
        <f>IF(B40="","",VLOOKUP(AD40,Varsayımlar!$B:$Q,14,0))</f>
        <v>9</v>
      </c>
      <c r="X40" s="69">
        <v>46191</v>
      </c>
      <c r="Y40" s="69">
        <v>46464</v>
      </c>
      <c r="Z40" s="67" t="s">
        <v>402</v>
      </c>
      <c r="AA40" s="67" t="str">
        <f>IF(B40="","",VLOOKUP(AD40,Varsayımlar!$B:$Q,15,0))</f>
        <v>25CM TURUNCU KOLİ-SOL ÜST DİKDÖRTGENE ÜRETİM TARİHİ BASILACAK</v>
      </c>
      <c r="AB40" s="67" t="str">
        <f>IF(B40="","",VLOOKUP(AD40,Varsayımlar!$B:$Q,16,0))</f>
        <v>24-26 CM</v>
      </c>
      <c r="AC40" s="73" t="e">
        <f>IF(B40="","",VLOOKUP(#REF!,#REF!,18,0))</f>
        <v>#REF!</v>
      </c>
      <c r="AD40" s="73" t="str">
        <f>IF(B40="","",CONCATENATE(B40,E40))</f>
        <v>MAGNİTMAGNİT MAVİ AMBALAJ 25 CM 260G</v>
      </c>
    </row>
    <row r="41" spans="1:31" ht="31.5" x14ac:dyDescent="0.25">
      <c r="A41" s="8" t="s">
        <v>77</v>
      </c>
      <c r="B41" s="67" t="s">
        <v>431</v>
      </c>
      <c r="C41" s="42">
        <f>IF(B41="","",VLOOKUP(AD41,Varsayımlar!$B:$Q,3,0))</f>
        <v>8698829380698</v>
      </c>
      <c r="D41" s="67"/>
      <c r="E41" s="67" t="s">
        <v>102</v>
      </c>
      <c r="F41" s="67">
        <v>20260612</v>
      </c>
      <c r="G41" s="67"/>
      <c r="H41" s="67" t="str">
        <f>IF(B41="","",VLOOKUP(AD41,Varsayımlar!$B:$Q,5,0))</f>
        <v>Happylla 25cm</v>
      </c>
      <c r="I41" s="67" t="str">
        <f>IF(B41="","",VLOOKUP(AD41,Varsayımlar!B:T,19,0))</f>
        <v>Happylla 650g-Etiketli</v>
      </c>
      <c r="J41" s="67" t="str">
        <f>IF(B41="","",VLOOKUP(AD41,Varsayımlar!$B:$Q,6,0))</f>
        <v>Tam Buğdaylı</v>
      </c>
      <c r="K41" s="67">
        <v>312</v>
      </c>
      <c r="L41" s="67"/>
      <c r="M41" s="67">
        <f>IFERROR(IF(B41="","",K41/VLOOKUP(AD41,Varsayımlar!B:R,17,0)),"")</f>
        <v>3</v>
      </c>
      <c r="N41" s="67">
        <v>104</v>
      </c>
      <c r="O41" s="67">
        <v>5</v>
      </c>
      <c r="P41" s="67">
        <f>IF(B41="","",VLOOKUP(AD41,Varsayımlar!$B:$Q,7,0)*K41)</f>
        <v>3744</v>
      </c>
      <c r="Q41" s="67">
        <f>IF(B41="","",VLOOKUP(AD41,Varsayımlar!$B:$Q,8,0))</f>
        <v>25</v>
      </c>
      <c r="R41" s="67" t="str">
        <f>IF(B41="","",VLOOKUP(AD41,Varsayımlar!$B:$Q,9,0))</f>
        <v>Standart</v>
      </c>
      <c r="S41" s="67">
        <f>IF(B41="","",VLOOKUP(AD41,Varsayımlar!$B:$Q,10,0))</f>
        <v>10</v>
      </c>
      <c r="T41" s="67">
        <f>IF(B41="","",VLOOKUP(AD41,Varsayımlar!$B:$Q,11,0))</f>
        <v>12</v>
      </c>
      <c r="U41" s="67">
        <f>IF(B41="","",VLOOKUP(AD41,Varsayımlar!$B:$Q,12,0))</f>
        <v>650</v>
      </c>
      <c r="V41" s="67" t="str">
        <f>IF(B41="","",VLOOKUP(AD41,Varsayımlar!$B:$Q,13,0))</f>
        <v>Yurtdışı</v>
      </c>
      <c r="W41" s="67">
        <f>IF(B41="","",VLOOKUP(AD41,Varsayımlar!$B:$Q,14,0))</f>
        <v>6</v>
      </c>
      <c r="X41" s="69">
        <v>46196</v>
      </c>
      <c r="Y41" s="69">
        <v>46379</v>
      </c>
      <c r="Z41" s="67" t="s">
        <v>446</v>
      </c>
      <c r="AA41" s="67" t="str">
        <f>IF(B41="","",VLOOKUP(AD41,Varsayımlar!$B:$Q,15,0))</f>
        <v>Kırmızı Koli 25cm-Arapça etiketli</v>
      </c>
      <c r="AB41" s="67" t="str">
        <f>IF(B41="","",VLOOKUP(AD41,Varsayımlar!$B:$Q,16,0))</f>
        <v>24-26cm</v>
      </c>
      <c r="AC41" s="64">
        <f>IF(B41="","",VLOOKUP(Sayfa1!AD43,Varsayımlar!B:S,18,0))</f>
        <v>0</v>
      </c>
      <c r="AD41" s="57" t="str">
        <f>IF(B41="","",CONCATENATE(B41,E41))</f>
        <v>Bağ TicaretHappylla 25 cm 10 lu 650g</v>
      </c>
    </row>
    <row r="42" spans="1:31" ht="45.75" customHeight="1" x14ac:dyDescent="0.25">
      <c r="A42" s="8" t="s">
        <v>78</v>
      </c>
      <c r="B42" s="130" t="s">
        <v>119</v>
      </c>
      <c r="C42" s="131">
        <f>IF(B42="","",VLOOKUP(AD42,Varsayımlar!$B:$Q,3,0))</f>
        <v>8698829380698</v>
      </c>
      <c r="D42" s="131"/>
      <c r="E42" s="132" t="s">
        <v>120</v>
      </c>
      <c r="F42" s="130"/>
      <c r="G42" s="130"/>
      <c r="H42" s="130" t="str">
        <f>IF(B42="","",VLOOKUP(AD42,Varsayımlar!$B:$Q,5,0))</f>
        <v>Nimet 25 cm</v>
      </c>
      <c r="I42" s="130"/>
      <c r="J42" s="130" t="str">
        <f>IF(B42="","",VLOOKUP(AD42,Varsayımlar!$B:$Q,6,0))</f>
        <v>SADE</v>
      </c>
      <c r="K42" s="130">
        <v>4000</v>
      </c>
      <c r="L42" s="130"/>
      <c r="M42" s="130">
        <f>IFERROR(IF(B42="","",K42/VLOOKUP(AD42,Varsayımlar!B:R,17,0)),"")</f>
        <v>80</v>
      </c>
      <c r="N42" s="130"/>
      <c r="O42" s="130">
        <v>60</v>
      </c>
      <c r="P42" s="130">
        <f>IF(B42="","",VLOOKUP(AD42,Varsayımlar!$B:$Q,7,0)*K42)</f>
        <v>48000</v>
      </c>
      <c r="Q42" s="130">
        <f>IF(B42="","",VLOOKUP(AD42,Varsayımlar!$B:$Q,8,0))</f>
        <v>25</v>
      </c>
      <c r="R42" s="130" t="str">
        <f>IF(B42="","",VLOOKUP(AD42,Varsayımlar!$B:$Q,9,0))</f>
        <v>Standart</v>
      </c>
      <c r="S42" s="130">
        <f>IF(B42="","",VLOOKUP(AD42,Varsayımlar!$B:$Q,10,0))</f>
        <v>12</v>
      </c>
      <c r="T42" s="130">
        <f>IF(B42="","",VLOOKUP(AD42,Varsayımlar!$B:$Q,11,0))</f>
        <v>12</v>
      </c>
      <c r="U42" s="130">
        <f>IF(B42="","",VLOOKUP(AD42,Varsayımlar!$B:$Q,12,0))</f>
        <v>840</v>
      </c>
      <c r="V42" s="130" t="str">
        <f>IF(B42="","",VLOOKUP(AD42,Varsayımlar!$B:$Q,13,0))</f>
        <v>YURTİÇİ</v>
      </c>
      <c r="W42" s="130">
        <f>IF(B42="","",VLOOKUP(AD42,Varsayımlar!$B:$Q,14,0))</f>
        <v>5</v>
      </c>
      <c r="X42" s="133" t="s">
        <v>113</v>
      </c>
      <c r="Y42" s="133" t="s">
        <v>113</v>
      </c>
      <c r="Z42" s="130" t="s">
        <v>113</v>
      </c>
      <c r="AA42" s="130" t="str">
        <f>IF(B42="","",VLOOKUP(AD42,Varsayımlar!$B:$Q,15,0))</f>
        <v>Nimet Kolisi</v>
      </c>
      <c r="AB42" s="130" t="str">
        <f>IF(B42="","",VLOOKUP(AD42,Varsayımlar!$B:$Q,16,0))</f>
        <v>24-26 CM</v>
      </c>
      <c r="AC42" s="64" t="s">
        <v>360</v>
      </c>
      <c r="AD42" s="57" t="str">
        <f>IF(B42="","",CONCATENATE(B42,E42))</f>
        <v>A101Nimet 25cm 12 pcs 840g</v>
      </c>
      <c r="AE42" s="7" t="s">
        <v>474</v>
      </c>
    </row>
    <row r="43" spans="1:31" ht="39" customHeight="1" x14ac:dyDescent="0.25">
      <c r="A43" s="8" t="s">
        <v>79</v>
      </c>
      <c r="B43" s="3" t="s">
        <v>64</v>
      </c>
      <c r="C43" s="3">
        <f>IF(B43="","",VLOOKUP(AD43,Varsayımlar!$B:$Q,3,0))</f>
        <v>8698829380698</v>
      </c>
      <c r="D43" s="3"/>
      <c r="E43" s="3" t="s">
        <v>108</v>
      </c>
      <c r="F43" s="3">
        <v>31</v>
      </c>
      <c r="G43" s="3"/>
      <c r="H43" s="3" t="str">
        <f>IF(B43="","",VLOOKUP(AD43,Varsayımlar!$B:$Q,5,0))</f>
        <v>Kırmızı Tortillas 25 cm</v>
      </c>
      <c r="I43" s="3">
        <f>IF(B43="","",VLOOKUP(AD43,Varsayımlar!B:T,19,0))</f>
        <v>0</v>
      </c>
      <c r="J43" s="3" t="str">
        <f>IF(B43="","",VLOOKUP(AD43,Varsayımlar!$B:$Q,6,0))</f>
        <v>SADE</v>
      </c>
      <c r="K43" s="3">
        <v>924</v>
      </c>
      <c r="L43" s="3"/>
      <c r="M43" s="3">
        <f>IFERROR(IF(B43="","",K43/VLOOKUP(AD43,Varsayımlar!B:R,17,0)),"")</f>
        <v>11</v>
      </c>
      <c r="N43" s="3"/>
      <c r="O43" s="3">
        <v>14</v>
      </c>
      <c r="P43" s="3">
        <f>IF(B43="","",VLOOKUP(AD43,Varsayımlar!$B:$Q,7,0)*K43)</f>
        <v>27720</v>
      </c>
      <c r="Q43" s="3">
        <f>IF(B43="","",VLOOKUP(AD43,Varsayımlar!$B:$Q,8,0))</f>
        <v>25</v>
      </c>
      <c r="R43" s="3" t="str">
        <f>IF(B43="","",VLOOKUP(AD43,Varsayımlar!$B:$Q,9,0))</f>
        <v>Soft</v>
      </c>
      <c r="S43" s="3">
        <f>IF(B43="","",VLOOKUP(AD43,Varsayımlar!$B:$Q,10,0))</f>
        <v>4</v>
      </c>
      <c r="T43" s="3">
        <f>IF(B43="","",VLOOKUP(AD43,Varsayımlar!$B:$Q,11,0))</f>
        <v>30</v>
      </c>
      <c r="U43" s="3">
        <f>IF(B43="","",VLOOKUP(AD43,Varsayımlar!$B:$Q,12,0))</f>
        <v>250</v>
      </c>
      <c r="V43" s="3" t="str">
        <f>IF(B43="","",VLOOKUP(AD43,Varsayımlar!$B:$Q,13,0))</f>
        <v>Yurtdışı</v>
      </c>
      <c r="W43" s="3">
        <f>IF(B43="","",VLOOKUP(AD43,Varsayımlar!$B:$Q,14,0))</f>
        <v>9</v>
      </c>
      <c r="X43" s="66">
        <v>46196</v>
      </c>
      <c r="Y43" s="66">
        <v>46469</v>
      </c>
      <c r="Z43" s="3">
        <v>26062325</v>
      </c>
      <c r="AA43" s="3" t="str">
        <f>IF(B43="","",VLOOKUP(AD43,Varsayımlar!$B:$Q,15,0))</f>
        <v>Kırmızı Koli- Üretim Tarihi Etiketli</v>
      </c>
      <c r="AB43" s="3" t="str">
        <f>IF(B43="","",VLOOKUP(AD43,Varsayımlar!$B:$Q,16,0))</f>
        <v>24-26 CM</v>
      </c>
      <c r="AC43" s="67" t="str">
        <f>IF(B43="","",VLOOKUP(Sayfa1!AD58,Varsayımlar!B:S,18,0))</f>
        <v>80x120cm -Epal+Epal</v>
      </c>
      <c r="AD43" s="57" t="str">
        <f t="shared" ref="AD43:AD50" si="2">IF(B43="","",CONCATENATE(B43,E43))</f>
        <v>SMART LLCKırmızı tortillas 25cm 4 lü 250g</v>
      </c>
    </row>
    <row r="44" spans="1:31" ht="47.25" x14ac:dyDescent="0.25">
      <c r="A44" s="8" t="s">
        <v>80</v>
      </c>
      <c r="B44" s="67" t="s">
        <v>268</v>
      </c>
      <c r="C44" s="42">
        <f>IF(B44="","",VLOOKUP(AD44,Varsayımlar!$B:$Q,3,0))</f>
        <v>8698829380698</v>
      </c>
      <c r="D44" s="42" t="s">
        <v>159</v>
      </c>
      <c r="E44" s="67" t="s">
        <v>342</v>
      </c>
      <c r="F44" s="67">
        <v>20250825</v>
      </c>
      <c r="G44" s="42" t="s">
        <v>68</v>
      </c>
      <c r="H44" s="67" t="str">
        <f>IF(B44="","",VLOOKUP(AD44,Varsayımlar!$B:$Q,5,0))</f>
        <v>Tortillas 25cm Sade</v>
      </c>
      <c r="I44" s="67">
        <f>IF(B44="","",VLOOKUP(AD44,Varsayımlar!B:T,19,0))</f>
        <v>0</v>
      </c>
      <c r="J44" s="67" t="str">
        <f>IF(B44="","",VLOOKUP(AD44,Varsayımlar!$B:$Q,6,0))</f>
        <v>SADE</v>
      </c>
      <c r="K44" s="67">
        <v>672</v>
      </c>
      <c r="L44" s="67"/>
      <c r="M44" s="67">
        <f>IFERROR(IF(B44="","",K44/VLOOKUP(AD44,Varsayımlar!B:R,17,0)),"")</f>
        <v>8</v>
      </c>
      <c r="N44" s="67"/>
      <c r="O44" s="67">
        <v>10</v>
      </c>
      <c r="P44" s="67">
        <f>IF(B44="","",VLOOKUP(AD44,Varsayımlar!$B:$Q,7,0)*K44)</f>
        <v>20160</v>
      </c>
      <c r="Q44" s="67">
        <f>IF(B44="","",VLOOKUP(AD44,Varsayımlar!$B:$Q,8,0))</f>
        <v>25</v>
      </c>
      <c r="R44" s="67" t="str">
        <f>IF(B44="","",VLOOKUP(AD44,Varsayımlar!$B:$Q,9,0))</f>
        <v>Soft-PA3</v>
      </c>
      <c r="S44" s="67">
        <f>IF(B44="","",VLOOKUP(AD44,Varsayımlar!$B:$Q,10,0))</f>
        <v>4</v>
      </c>
      <c r="T44" s="67">
        <f>IF(B44="","",VLOOKUP(AD44,Varsayımlar!$B:$Q,11,0))</f>
        <v>30</v>
      </c>
      <c r="U44" s="67">
        <f>IF(B44="","",VLOOKUP(AD44,Varsayımlar!$B:$Q,12,0))</f>
        <v>240</v>
      </c>
      <c r="V44" s="67" t="str">
        <f>IF(B44="","",VLOOKUP(AD44,Varsayımlar!$B:$Q,13,0))</f>
        <v>Yurtdışı</v>
      </c>
      <c r="W44" s="67">
        <f>IF(B44="","",VLOOKUP(AD44,Varsayımlar!$B:$Q,14,0))</f>
        <v>12</v>
      </c>
      <c r="X44" s="69">
        <v>46199</v>
      </c>
      <c r="Y44" s="69">
        <v>46564</v>
      </c>
      <c r="Z44" s="67">
        <v>26062625</v>
      </c>
      <c r="AA44" s="67" t="str">
        <f>IF(B44="","",VLOOKUP(AD44,Varsayımlar!$B:$Q,15,0))</f>
        <v>25cm Kolisi-Etiketli</v>
      </c>
      <c r="AB44" s="67" t="str">
        <f>IF(B44="","",VLOOKUP(AD44,Varsayımlar!$B:$Q,16,0))</f>
        <v>24-26 cm (Macca Hetto Inkjet Uzun Tarih)</v>
      </c>
      <c r="AC44" s="67" t="str">
        <f>IF(B44="","",VLOOKUP(Sayfa1!AD22,Varsayımlar!B:S,18,0))</f>
        <v>80x120cm</v>
      </c>
      <c r="AD44" s="57" t="str">
        <f t="shared" si="2"/>
        <v>LAIKYUZHN-BELARUSTortillas 25cm Sade 4pcs 240g</v>
      </c>
    </row>
    <row r="45" spans="1:31" ht="63" hidden="1" x14ac:dyDescent="0.25">
      <c r="A45" s="8" t="s">
        <v>81</v>
      </c>
      <c r="B45" s="62" t="s">
        <v>181</v>
      </c>
      <c r="C45" s="32">
        <f>IF(B45="","",VLOOKUP(AD45,Varsayımlar!$B:$Q,3,0))</f>
        <v>8698829380698</v>
      </c>
      <c r="D45" s="32"/>
      <c r="E45" s="62" t="s">
        <v>187</v>
      </c>
      <c r="F45" s="62">
        <v>26060101</v>
      </c>
      <c r="G45" s="32"/>
      <c r="H45" s="62" t="str">
        <f>IF(B45="","",VLOOKUP(AD45,Varsayımlar!$B:$Q,5,0))</f>
        <v>Tortillove 25cm</v>
      </c>
      <c r="I45" s="62" t="str">
        <f>IF(B45="","",VLOOKUP(AD45,Varsayımlar!B:T,19,0))</f>
        <v>Barkod üzerine Arnavutça içerik+Barkod-Tortillove</v>
      </c>
      <c r="J45" s="62" t="str">
        <f>IF(B45="","",VLOOKUP(AD45,Varsayımlar!$B:$Q,6,0))</f>
        <v>SADE</v>
      </c>
      <c r="K45" s="62">
        <v>168</v>
      </c>
      <c r="L45" s="62"/>
      <c r="M45" s="62">
        <f>IFERROR(IF(B45="","",K45/VLOOKUP(AD45,Varsayımlar!B:R,17,0)),"")</f>
        <v>2</v>
      </c>
      <c r="N45" s="62"/>
      <c r="O45" s="62">
        <v>2</v>
      </c>
      <c r="P45" s="62">
        <f>IF(B45="","",VLOOKUP(AD45,Varsayımlar!$B:$Q,7,0)*K45)</f>
        <v>3024</v>
      </c>
      <c r="Q45" s="62">
        <f>IF(B45="","",VLOOKUP(AD45,Varsayımlar!$B:$Q,8,0))</f>
        <v>25</v>
      </c>
      <c r="R45" s="62" t="str">
        <f>IF(B45="","",VLOOKUP(AD45,Varsayımlar!$B:$Q,9,0))</f>
        <v>Irak Soft</v>
      </c>
      <c r="S45" s="62">
        <f>IF(B45="","",VLOOKUP(AD45,Varsayımlar!$B:$Q,10,0))</f>
        <v>6</v>
      </c>
      <c r="T45" s="62">
        <f>IF(B45="","",VLOOKUP(AD45,Varsayımlar!$B:$Q,11,0))</f>
        <v>18</v>
      </c>
      <c r="U45" s="62">
        <f>IF(B45="","",VLOOKUP(AD45,Varsayımlar!$B:$Q,12,0))</f>
        <v>390</v>
      </c>
      <c r="V45" s="62" t="str">
        <f>IF(B45="","",VLOOKUP(AD45,Varsayımlar!$B:$Q,13,0))</f>
        <v>Yurtdışı</v>
      </c>
      <c r="W45" s="62">
        <f>IF(B45="","",VLOOKUP(AD45,Varsayımlar!$B:$Q,14,0))</f>
        <v>12</v>
      </c>
      <c r="X45" s="63">
        <v>46200</v>
      </c>
      <c r="Y45" s="63">
        <v>46565</v>
      </c>
      <c r="Z45" s="62">
        <v>26062725</v>
      </c>
      <c r="AA45" s="62" t="str">
        <f>IF(B45="","",VLOOKUP(AD45,Varsayımlar!$B:$Q,15,0))</f>
        <v>25cm Koli - Tortillove 390g Etiketli</v>
      </c>
      <c r="AB45" s="62" t="str">
        <f>IF(B45="","",VLOOKUP(AD45,Varsayımlar!$B:$Q,16,0))</f>
        <v>24-26 cm</v>
      </c>
      <c r="AC45" s="62">
        <f>IF(B45="","",VLOOKUP(Sayfa1!AD31,Varsayımlar!B:S,18,0))</f>
        <v>0</v>
      </c>
      <c r="AD45" s="57" t="str">
        <f t="shared" si="2"/>
        <v>ALDİ - KOSOVATortillove 25cm 6pcs 390g</v>
      </c>
    </row>
    <row r="46" spans="1:31" ht="63" hidden="1" x14ac:dyDescent="0.25">
      <c r="A46" s="8" t="s">
        <v>82</v>
      </c>
      <c r="B46" s="62" t="s">
        <v>181</v>
      </c>
      <c r="C46" s="32">
        <f>IF(B46="","",VLOOKUP(AD46,Varsayımlar!$B:$Q,3,0))</f>
        <v>8698829380698</v>
      </c>
      <c r="D46" s="32"/>
      <c r="E46" s="62" t="s">
        <v>189</v>
      </c>
      <c r="F46" s="62">
        <v>26060101</v>
      </c>
      <c r="G46" s="32"/>
      <c r="H46" s="62" t="str">
        <f>IF(B46="","",VLOOKUP(AD46,Varsayımlar!$B:$Q,5,0))</f>
        <v>Tortillas 25cm</v>
      </c>
      <c r="I46" s="62" t="str">
        <f>IF(B46="","",VLOOKUP(AD46,Varsayımlar!B:T,19,0))</f>
        <v>Barkod üzerine Arnavutça içerik+Barkod-Tortillas</v>
      </c>
      <c r="J46" s="62" t="str">
        <f>IF(B46="","",VLOOKUP(AD46,Varsayımlar!$B:$Q,6,0))</f>
        <v>SADE</v>
      </c>
      <c r="K46" s="62">
        <v>84</v>
      </c>
      <c r="L46" s="62"/>
      <c r="M46" s="62">
        <f>IFERROR(IF(B46="","",K46/VLOOKUP(AD46,Varsayımlar!B:R,17,0)),"")</f>
        <v>1</v>
      </c>
      <c r="N46" s="62"/>
      <c r="O46" s="62">
        <v>1</v>
      </c>
      <c r="P46" s="62">
        <f>IF(B46="","",VLOOKUP(AD46,Varsayımlar!$B:$Q,7,0)*K46)</f>
        <v>1512</v>
      </c>
      <c r="Q46" s="62">
        <f>IF(B46="","",VLOOKUP(AD46,Varsayımlar!$B:$Q,8,0))</f>
        <v>25</v>
      </c>
      <c r="R46" s="62" t="str">
        <f>IF(B46="","",VLOOKUP(AD46,Varsayımlar!$B:$Q,9,0))</f>
        <v>Irak Soft</v>
      </c>
      <c r="S46" s="62">
        <f>IF(B46="","",VLOOKUP(AD46,Varsayımlar!$B:$Q,10,0))</f>
        <v>6</v>
      </c>
      <c r="T46" s="62">
        <f>IF(B46="","",VLOOKUP(AD46,Varsayımlar!$B:$Q,11,0))</f>
        <v>18</v>
      </c>
      <c r="U46" s="62">
        <f>IF(B46="","",VLOOKUP(AD46,Varsayımlar!$B:$Q,12,0))</f>
        <v>390</v>
      </c>
      <c r="V46" s="62" t="str">
        <f>IF(B46="","",VLOOKUP(AD46,Varsayımlar!$B:$Q,13,0))</f>
        <v>Yurtdışı</v>
      </c>
      <c r="W46" s="62">
        <f>IF(B46="","",VLOOKUP(AD46,Varsayımlar!$B:$Q,14,0))</f>
        <v>12</v>
      </c>
      <c r="X46" s="63">
        <v>46200</v>
      </c>
      <c r="Y46" s="63">
        <v>46565</v>
      </c>
      <c r="Z46" s="62">
        <v>26062725</v>
      </c>
      <c r="AA46" s="62" t="str">
        <f>IF(B46="","",VLOOKUP(AD46,Varsayımlar!$B:$Q,15,0))</f>
        <v>25cm Koli - Tortillas 390g Etiketli</v>
      </c>
      <c r="AB46" s="62" t="str">
        <f>IF(B46="","",VLOOKUP(AD46,Varsayımlar!$B:$Q,16,0))</f>
        <v>24-26 cm</v>
      </c>
      <c r="AC46" s="62">
        <f>IF(B46="","",VLOOKUP(Sayfa1!AD32,Varsayımlar!B:S,18,0))</f>
        <v>0</v>
      </c>
      <c r="AD46" s="57" t="str">
        <f t="shared" si="2"/>
        <v>ALDİ - KOSOVATortillas 25cm 6pcs 390g</v>
      </c>
    </row>
    <row r="47" spans="1:31" ht="47.25" hidden="1" x14ac:dyDescent="0.25">
      <c r="A47" s="8" t="s">
        <v>83</v>
      </c>
      <c r="B47" s="62" t="s">
        <v>181</v>
      </c>
      <c r="C47" s="32">
        <f>IF(B47="","",VLOOKUP(AD47,Varsayımlar!$B:$Q,3,0))</f>
        <v>8698829380698</v>
      </c>
      <c r="D47" s="32"/>
      <c r="E47" s="62" t="s">
        <v>192</v>
      </c>
      <c r="F47" s="62">
        <v>26060101</v>
      </c>
      <c r="G47" s="32"/>
      <c r="H47" s="62" t="str">
        <f>IF(B47="","",VLOOKUP(AD47,Varsayımlar!$B:$Q,5,0))</f>
        <v>Tortillove 25cm</v>
      </c>
      <c r="I47" s="62" t="str">
        <f>IF(B47="","",VLOOKUP(AD47,Varsayımlar!B:T,19,0))</f>
        <v>Arka kısma Arnavutça içerik-Tortillove</v>
      </c>
      <c r="J47" s="62" t="str">
        <f>IF(B47="","",VLOOKUP(AD47,Varsayımlar!$B:$Q,6,0))</f>
        <v>SADE</v>
      </c>
      <c r="K47" s="62">
        <v>168</v>
      </c>
      <c r="L47" s="62"/>
      <c r="M47" s="62">
        <f>IFERROR(IF(B47="","",K47/VLOOKUP(AD47,Varsayımlar!B:R,17,0)),"")</f>
        <v>2</v>
      </c>
      <c r="N47" s="62"/>
      <c r="O47" s="62">
        <v>2</v>
      </c>
      <c r="P47" s="62">
        <f>IF(B47="","",VLOOKUP(AD47,Varsayımlar!$B:$Q,7,0)*K47)</f>
        <v>2016</v>
      </c>
      <c r="Q47" s="62">
        <f>IF(B47="","",VLOOKUP(AD47,Varsayımlar!$B:$Q,8,0))</f>
        <v>25</v>
      </c>
      <c r="R47" s="62" t="str">
        <f>IF(B47="","",VLOOKUP(AD47,Varsayımlar!$B:$Q,9,0))</f>
        <v>Irak Soft</v>
      </c>
      <c r="S47" s="62">
        <f>IF(B47="","",VLOOKUP(AD47,Varsayımlar!$B:$Q,10,0))</f>
        <v>10</v>
      </c>
      <c r="T47" s="62">
        <f>IF(B47="","",VLOOKUP(AD47,Varsayımlar!$B:$Q,11,0))</f>
        <v>12</v>
      </c>
      <c r="U47" s="62">
        <f>IF(B47="","",VLOOKUP(AD47,Varsayımlar!$B:$Q,12,0))</f>
        <v>650</v>
      </c>
      <c r="V47" s="62" t="str">
        <f>IF(B47="","",VLOOKUP(AD47,Varsayımlar!$B:$Q,13,0))</f>
        <v>Yurtdışı</v>
      </c>
      <c r="W47" s="62">
        <f>IF(B47="","",VLOOKUP(AD47,Varsayımlar!$B:$Q,14,0))</f>
        <v>12</v>
      </c>
      <c r="X47" s="63">
        <v>46200</v>
      </c>
      <c r="Y47" s="63">
        <v>46565</v>
      </c>
      <c r="Z47" s="62">
        <v>26062725</v>
      </c>
      <c r="AA47" s="62" t="str">
        <f>IF(B47="","",VLOOKUP(AD47,Varsayımlar!$B:$Q,15,0))</f>
        <v>25cm Koli - Tortillove 650g Etiketli</v>
      </c>
      <c r="AB47" s="62" t="str">
        <f>IF(B47="","",VLOOKUP(AD47,Varsayımlar!$B:$Q,16,0))</f>
        <v>24-26 cm</v>
      </c>
      <c r="AC47" s="62">
        <f>IF(B47="","",VLOOKUP(Sayfa1!AD33,Varsayımlar!B:S,18,0))</f>
        <v>0</v>
      </c>
      <c r="AD47" s="57" t="str">
        <f t="shared" si="2"/>
        <v>ALDİ - KOSOVATortillove 25cm 10pcs 650g</v>
      </c>
    </row>
    <row r="48" spans="1:31" ht="47.25" hidden="1" x14ac:dyDescent="0.25">
      <c r="A48" s="8" t="s">
        <v>84</v>
      </c>
      <c r="B48" s="62" t="s">
        <v>181</v>
      </c>
      <c r="C48" s="32">
        <f>IF(B48="","",VLOOKUP(AD48,Varsayımlar!$B:$Q,3,0))</f>
        <v>8698829380698</v>
      </c>
      <c r="D48" s="32"/>
      <c r="E48" s="62" t="s">
        <v>193</v>
      </c>
      <c r="F48" s="62">
        <v>26060101</v>
      </c>
      <c r="G48" s="32"/>
      <c r="H48" s="62" t="str">
        <f>IF(B48="","",VLOOKUP(AD48,Varsayımlar!$B:$Q,5,0))</f>
        <v>Tortillas 25cm</v>
      </c>
      <c r="I48" s="62" t="str">
        <f>IF(B48="","",VLOOKUP(AD48,Varsayımlar!B:T,19,0))</f>
        <v>Arka kısma Arnavutça içerik-Tortillas</v>
      </c>
      <c r="J48" s="62" t="str">
        <f>IF(B48="","",VLOOKUP(AD48,Varsayımlar!$B:$Q,6,0))</f>
        <v>SADE</v>
      </c>
      <c r="K48" s="62">
        <v>84</v>
      </c>
      <c r="L48" s="62"/>
      <c r="M48" s="62">
        <f>IFERROR(IF(B48="","",K48/VLOOKUP(AD48,Varsayımlar!B:R,17,0)),"")</f>
        <v>1</v>
      </c>
      <c r="N48" s="62"/>
      <c r="O48" s="62">
        <v>2</v>
      </c>
      <c r="P48" s="62">
        <f>IF(B48="","",VLOOKUP(AD48,Varsayımlar!$B:$Q,7,0)*K48)</f>
        <v>1008</v>
      </c>
      <c r="Q48" s="62">
        <f>IF(B48="","",VLOOKUP(AD48,Varsayımlar!$B:$Q,8,0))</f>
        <v>25</v>
      </c>
      <c r="R48" s="62" t="str">
        <f>IF(B48="","",VLOOKUP(AD48,Varsayımlar!$B:$Q,9,0))</f>
        <v>Irak Soft</v>
      </c>
      <c r="S48" s="62">
        <f>IF(B48="","",VLOOKUP(AD48,Varsayımlar!$B:$Q,10,0))</f>
        <v>10</v>
      </c>
      <c r="T48" s="62">
        <f>IF(B48="","",VLOOKUP(AD48,Varsayımlar!$B:$Q,11,0))</f>
        <v>12</v>
      </c>
      <c r="U48" s="62">
        <f>IF(B48="","",VLOOKUP(AD48,Varsayımlar!$B:$Q,12,0))</f>
        <v>650</v>
      </c>
      <c r="V48" s="62" t="str">
        <f>IF(B48="","",VLOOKUP(AD48,Varsayımlar!$B:$Q,13,0))</f>
        <v>Yurtdışı</v>
      </c>
      <c r="W48" s="62">
        <f>IF(B48="","",VLOOKUP(AD48,Varsayımlar!$B:$Q,14,0))</f>
        <v>12</v>
      </c>
      <c r="X48" s="63">
        <v>46200</v>
      </c>
      <c r="Y48" s="63">
        <v>46565</v>
      </c>
      <c r="Z48" s="62">
        <v>26062725</v>
      </c>
      <c r="AA48" s="62" t="str">
        <f>IF(B48="","",VLOOKUP(AD48,Varsayımlar!$B:$Q,15,0))</f>
        <v>25cm Koli - Tortillas 650g Etiketli</v>
      </c>
      <c r="AB48" s="62" t="str">
        <f>IF(B48="","",VLOOKUP(AD48,Varsayımlar!$B:$Q,16,0))</f>
        <v>24-26 cm</v>
      </c>
      <c r="AC48" s="62">
        <f>IF(B48="","",VLOOKUP(Sayfa1!AD34,Varsayımlar!B:S,18,0))</f>
        <v>0</v>
      </c>
      <c r="AD48" s="57" t="str">
        <f t="shared" si="2"/>
        <v>ALDİ - KOSOVATortillas 25cm 10pcs 650g</v>
      </c>
    </row>
    <row r="49" spans="1:30" ht="31.5" hidden="1" x14ac:dyDescent="0.25">
      <c r="A49" s="8" t="s">
        <v>85</v>
      </c>
      <c r="B49" s="64" t="s">
        <v>288</v>
      </c>
      <c r="C49" s="3">
        <f>IF(B49="","",VLOOKUP(AD49,Varsayımlar!$B:$Q,3,0))</f>
        <v>8698829380698</v>
      </c>
      <c r="D49" s="3"/>
      <c r="E49" s="64" t="s">
        <v>292</v>
      </c>
      <c r="F49" s="64">
        <v>20201016</v>
      </c>
      <c r="G49" s="3" t="s">
        <v>68</v>
      </c>
      <c r="H49" s="64" t="str">
        <f>IF(B49="","",VLOOKUP(AD49,Varsayımlar!$B:$Q,5,0))</f>
        <v>Kırmızı Tortillas 25cm Sade</v>
      </c>
      <c r="I49" s="64" t="str">
        <f>IF(B49="","",VLOOKUP(AD49,Varsayımlar!B:T,19,0))</f>
        <v>Arka kısma İçerik</v>
      </c>
      <c r="J49" s="64" t="str">
        <f>IF(B49="","",VLOOKUP(AD49,Varsayımlar!$B:$Q,6,0))</f>
        <v>SADE</v>
      </c>
      <c r="K49" s="64">
        <v>250</v>
      </c>
      <c r="L49" s="64"/>
      <c r="M49" s="64">
        <f>IFERROR(IF(B49="","",K49/VLOOKUP(AD49,Varsayımlar!B:R,17,0)),"")</f>
        <v>5</v>
      </c>
      <c r="N49" s="64"/>
      <c r="O49" s="64">
        <v>4</v>
      </c>
      <c r="P49" s="64">
        <f>IF(B49="","",VLOOKUP(AD49,Varsayımlar!$B:$Q,7,0)*K49)</f>
        <v>4500</v>
      </c>
      <c r="Q49" s="64">
        <f>IF(B49="","",VLOOKUP(AD49,Varsayımlar!$B:$Q,8,0))</f>
        <v>25</v>
      </c>
      <c r="R49" s="64" t="str">
        <f>IF(B49="","",VLOOKUP(AD49,Varsayımlar!$B:$Q,9,0))</f>
        <v>Irak Soft</v>
      </c>
      <c r="S49" s="64">
        <f>IF(B49="","",VLOOKUP(AD49,Varsayımlar!$B:$Q,10,0))</f>
        <v>6</v>
      </c>
      <c r="T49" s="64">
        <f>IF(B49="","",VLOOKUP(AD49,Varsayımlar!$B:$Q,11,0))</f>
        <v>18</v>
      </c>
      <c r="U49" s="64">
        <f>IF(B49="","",VLOOKUP(AD49,Varsayımlar!$B:$Q,12,0))</f>
        <v>390</v>
      </c>
      <c r="V49" s="64" t="str">
        <f>IF(B49="","",VLOOKUP(AD49,Varsayımlar!$B:$Q,13,0))</f>
        <v>YURTDIŞI</v>
      </c>
      <c r="W49" s="64">
        <f>IF(B49="","",VLOOKUP(AD49,Varsayımlar!$B:$Q,14,0))</f>
        <v>9</v>
      </c>
      <c r="X49" s="66">
        <v>46202</v>
      </c>
      <c r="Y49" s="66">
        <v>46475</v>
      </c>
      <c r="Z49" s="64">
        <v>26062925</v>
      </c>
      <c r="AA49" s="64" t="str">
        <f>IF(B49="","",VLOOKUP(AD49,Varsayımlar!$B:$Q,15,0))</f>
        <v>25cm Koli</v>
      </c>
      <c r="AB49" s="64" t="str">
        <f>IF(B49="","",VLOOKUP(AD49,Varsayımlar!$B:$Q,16,0))</f>
        <v>24-26 cm</v>
      </c>
      <c r="AC49" s="64" t="str">
        <f>IF(B49="","",VLOOKUP(Sayfa1!AD42,Varsayımlar!B:S,18,0))</f>
        <v>80x120cm</v>
      </c>
      <c r="AD49" s="57" t="str">
        <f t="shared" si="2"/>
        <v>UNITERA-KAZAKİSTANKırmızı Tortillas 25cm Sade 6pcs 390g</v>
      </c>
    </row>
    <row r="50" spans="1:30" ht="31.5" hidden="1" x14ac:dyDescent="0.25">
      <c r="A50" s="8" t="s">
        <v>86</v>
      </c>
      <c r="B50" s="80" t="s">
        <v>218</v>
      </c>
      <c r="C50" s="44">
        <f>IF(B50="","",VLOOKUP(AD50,Varsayımlar!$B:$Q,3,0))</f>
        <v>8698829380698</v>
      </c>
      <c r="D50" s="44" t="s">
        <v>160</v>
      </c>
      <c r="E50" s="80" t="s">
        <v>228</v>
      </c>
      <c r="F50" s="80">
        <v>26042907</v>
      </c>
      <c r="G50" s="44"/>
      <c r="H50" s="80" t="str">
        <f>IF(B50="","",VLOOKUP(AD50,Varsayımlar!$B:$Q,5,0))</f>
        <v>Tortillas Avrupa 25cm (698)</v>
      </c>
      <c r="I50" s="80">
        <f>IF(B50="","",VLOOKUP(AD50,Varsayımlar!B:T,19,0))</f>
        <v>0</v>
      </c>
      <c r="J50" s="80" t="str">
        <f>IF(B50="","",VLOOKUP(AD50,Varsayımlar!$B:$Q,6,0))</f>
        <v>SADE</v>
      </c>
      <c r="K50" s="80">
        <v>720</v>
      </c>
      <c r="L50" s="80"/>
      <c r="M50" s="80">
        <f>IFERROR(IF(B50="","",K50/VLOOKUP(AD50,Varsayımlar!B:R,17,0)),"")</f>
        <v>6</v>
      </c>
      <c r="N50" s="80"/>
      <c r="O50" s="80">
        <v>7</v>
      </c>
      <c r="P50" s="80">
        <f>IF(B50="","",VLOOKUP(AD50,Varsayımlar!$B:$Q,7,0)*K50)</f>
        <v>5760</v>
      </c>
      <c r="Q50" s="80">
        <f>IF(B50="","",VLOOKUP(AD50,Varsayımlar!$B:$Q,8,0))</f>
        <v>25</v>
      </c>
      <c r="R50" s="80" t="str">
        <f>IF(B50="","",VLOOKUP(AD50,Varsayımlar!$B:$Q,9,0))</f>
        <v>Irak Soft</v>
      </c>
      <c r="S50" s="80">
        <f>IF(B50="","",VLOOKUP(AD50,Varsayımlar!$B:$Q,10,0))</f>
        <v>10</v>
      </c>
      <c r="T50" s="80">
        <f>IF(B50="","",VLOOKUP(AD50,Varsayımlar!$B:$Q,11,0))</f>
        <v>8</v>
      </c>
      <c r="U50" s="80">
        <f>IF(B50="","",VLOOKUP(AD50,Varsayımlar!$B:$Q,12,0))</f>
        <v>650</v>
      </c>
      <c r="V50" s="80" t="str">
        <f>IF(B50="","",VLOOKUP(AD50,Varsayımlar!$B:$Q,13,0))</f>
        <v>Yurtdışı</v>
      </c>
      <c r="W50" s="80">
        <f>IF(B50="","",VLOOKUP(AD50,Varsayımlar!$B:$Q,14,0))</f>
        <v>9</v>
      </c>
      <c r="X50" s="81">
        <v>46203</v>
      </c>
      <c r="Y50" s="81">
        <v>46476</v>
      </c>
      <c r="Z50" s="80">
        <v>26063025</v>
      </c>
      <c r="AA50" s="80" t="str">
        <f>IF(B50="","",VLOOKUP(AD50,Varsayımlar!$B:$Q,15,0))</f>
        <v>25cm Perforeli-Bulgarca etiket</v>
      </c>
      <c r="AB50" s="80" t="str">
        <f>IF(B50="","",VLOOKUP(AD50,Varsayımlar!$B:$Q,16,0))</f>
        <v>24-26 cm</v>
      </c>
      <c r="AC50" s="80" t="str">
        <f>IF(B50="","",VLOOKUP(Sayfa1!AD56,Varsayımlar!B:S,18,0))</f>
        <v>80x120cm -Epal+Epal</v>
      </c>
      <c r="AD50" s="57" t="str">
        <f t="shared" si="2"/>
        <v>TASTE LAND-BULGARİSTANTortillas 25cm Sade 10pcs 650g</v>
      </c>
    </row>
    <row r="51" spans="1:30" ht="47.25" hidden="1" x14ac:dyDescent="0.25">
      <c r="A51" s="8" t="s">
        <v>87</v>
      </c>
      <c r="B51" s="54" t="s">
        <v>268</v>
      </c>
      <c r="C51" s="39">
        <f>IF(B51="","",VLOOKUP(AD51,Varsayımlar!$B:$Q,3,0))</f>
        <v>8698829380698</v>
      </c>
      <c r="D51" s="39" t="s">
        <v>160</v>
      </c>
      <c r="E51" s="54" t="s">
        <v>342</v>
      </c>
      <c r="F51" s="54" t="s">
        <v>343</v>
      </c>
      <c r="G51" s="39" t="s">
        <v>68</v>
      </c>
      <c r="H51" s="54" t="str">
        <f>IF(B51="","",VLOOKUP(AD51,Varsayımlar!$B:$Q,5,0))</f>
        <v>Tortillas 25cm Sade</v>
      </c>
      <c r="I51" s="54">
        <f>IF(B51="","",VLOOKUP(AD51,Varsayımlar!B:T,19,0))</f>
        <v>0</v>
      </c>
      <c r="J51" s="54" t="str">
        <f>IF(B51="","",VLOOKUP(AD51,Varsayımlar!$B:$Q,6,0))</f>
        <v>SADE</v>
      </c>
      <c r="K51" s="54">
        <v>420</v>
      </c>
      <c r="L51" s="54"/>
      <c r="M51" s="54">
        <f>IFERROR(IF(B51="","",K51/VLOOKUP(AD51,Varsayımlar!B:R,17,0)),"")</f>
        <v>5</v>
      </c>
      <c r="N51" s="54"/>
      <c r="O51" s="54">
        <v>7</v>
      </c>
      <c r="P51" s="54">
        <f>IF(B51="","",VLOOKUP(AD51,Varsayımlar!$B:$Q,7,0)*K51)</f>
        <v>12600</v>
      </c>
      <c r="Q51" s="54">
        <f>IF(B51="","",VLOOKUP(AD51,Varsayımlar!$B:$Q,8,0))</f>
        <v>25</v>
      </c>
      <c r="R51" s="54" t="str">
        <f>IF(B51="","",VLOOKUP(AD51,Varsayımlar!$B:$Q,9,0))</f>
        <v>Soft-PA3</v>
      </c>
      <c r="S51" s="54">
        <f>IF(B51="","",VLOOKUP(AD51,Varsayımlar!$B:$Q,10,0))</f>
        <v>4</v>
      </c>
      <c r="T51" s="54">
        <f>IF(B51="","",VLOOKUP(AD51,Varsayımlar!$B:$Q,11,0))</f>
        <v>30</v>
      </c>
      <c r="U51" s="54">
        <f>IF(B51="","",VLOOKUP(AD51,Varsayımlar!$B:$Q,12,0))</f>
        <v>240</v>
      </c>
      <c r="V51" s="54" t="str">
        <f>IF(B51="","",VLOOKUP(AD51,Varsayımlar!$B:$Q,13,0))</f>
        <v>Yurtdışı</v>
      </c>
      <c r="W51" s="54">
        <f>IF(B51="","",VLOOKUP(AD51,Varsayımlar!$B:$Q,14,0))</f>
        <v>12</v>
      </c>
      <c r="X51" s="56">
        <v>46205</v>
      </c>
      <c r="Y51" s="56">
        <v>46570</v>
      </c>
      <c r="Z51" s="54">
        <v>26070225</v>
      </c>
      <c r="AA51" s="54" t="str">
        <f>IF(B51="","",VLOOKUP(AD51,Varsayımlar!$B:$Q,15,0))</f>
        <v>25cm Kolisi-Etiketli</v>
      </c>
      <c r="AB51" s="54" t="str">
        <f>IF(B51="","",VLOOKUP(AD51,Varsayımlar!$B:$Q,16,0))</f>
        <v>24-26 cm (Macca Hetto Inkjet Uzun Tarih)</v>
      </c>
      <c r="AC51" s="54" t="str">
        <f>IF(B51="","",VLOOKUP(Sayfa1!AD35,Varsayımlar!B:S,18,0))</f>
        <v>80x120cm</v>
      </c>
      <c r="AD51" s="57" t="str">
        <f>IF(B51="","",CONCATENATE(B51,E51))</f>
        <v>LAIKYUZHN-BELARUSTortillas 25cm Sade 4pcs 240g</v>
      </c>
    </row>
    <row r="52" spans="1:30" ht="47.25" hidden="1" x14ac:dyDescent="0.25">
      <c r="A52" s="8" t="s">
        <v>88</v>
      </c>
      <c r="B52" s="64" t="s">
        <v>119</v>
      </c>
      <c r="C52" s="3">
        <f>IF(B52="","",VLOOKUP(AD52,Varsayımlar!$B:$Q,3,0))</f>
        <v>8698829380698</v>
      </c>
      <c r="D52" s="3"/>
      <c r="E52" s="65" t="s">
        <v>120</v>
      </c>
      <c r="F52" s="64"/>
      <c r="G52" s="64"/>
      <c r="H52" s="64" t="str">
        <f>IF(B52="","",VLOOKUP(AD52,Varsayımlar!$B:$Q,5,0))</f>
        <v>Nimet 25 cm</v>
      </c>
      <c r="I52" s="64"/>
      <c r="J52" s="64" t="str">
        <f>IF(B52="","",VLOOKUP(AD52,Varsayımlar!$B:$Q,6,0))</f>
        <v>SADE</v>
      </c>
      <c r="K52" s="64">
        <v>4000</v>
      </c>
      <c r="L52" s="64"/>
      <c r="M52" s="64">
        <f>IFERROR(IF(B52="","",K52/VLOOKUP(AD52,Varsayımlar!B:R,17,0)),"")</f>
        <v>80</v>
      </c>
      <c r="N52" s="64"/>
      <c r="O52" s="64">
        <v>60</v>
      </c>
      <c r="P52" s="64">
        <f>IF(B52="","",VLOOKUP(AD52,Varsayımlar!$B:$Q,7,0)*K52)</f>
        <v>48000</v>
      </c>
      <c r="Q52" s="64">
        <f>IF(B52="","",VLOOKUP(AD52,Varsayımlar!$B:$Q,8,0))</f>
        <v>25</v>
      </c>
      <c r="R52" s="64" t="str">
        <f>IF(B52="","",VLOOKUP(AD52,Varsayımlar!$B:$Q,9,0))</f>
        <v>Standart</v>
      </c>
      <c r="S52" s="64">
        <f>IF(B52="","",VLOOKUP(AD52,Varsayımlar!$B:$Q,10,0))</f>
        <v>12</v>
      </c>
      <c r="T52" s="64">
        <f>IF(B52="","",VLOOKUP(AD52,Varsayımlar!$B:$Q,11,0))</f>
        <v>12</v>
      </c>
      <c r="U52" s="64">
        <f>IF(B52="","",VLOOKUP(AD52,Varsayımlar!$B:$Q,12,0))</f>
        <v>840</v>
      </c>
      <c r="V52" s="64" t="str">
        <f>IF(B52="","",VLOOKUP(AD52,Varsayımlar!$B:$Q,13,0))</f>
        <v>YURTİÇİ</v>
      </c>
      <c r="W52" s="64">
        <f>IF(B52="","",VLOOKUP(AD52,Varsayımlar!$B:$Q,14,0))</f>
        <v>5</v>
      </c>
      <c r="X52" s="66" t="s">
        <v>113</v>
      </c>
      <c r="Y52" s="66" t="s">
        <v>113</v>
      </c>
      <c r="Z52" s="64" t="s">
        <v>113</v>
      </c>
      <c r="AA52" s="64" t="str">
        <f>IF(B52="","",VLOOKUP(AD52,Varsayımlar!$B:$Q,15,0))</f>
        <v>Nimet Kolisi</v>
      </c>
      <c r="AB52" s="64" t="str">
        <f>IF(B52="","",VLOOKUP(AD52,Varsayımlar!$B:$Q,16,0))</f>
        <v>24-26 CM</v>
      </c>
      <c r="AC52" s="64" t="s">
        <v>360</v>
      </c>
      <c r="AD52" s="57" t="str">
        <f t="shared" ref="AD52:AD57" si="3">IF(B52="","",CONCATENATE(B52,E52))</f>
        <v>A101Nimet 25cm 12 pcs 840g</v>
      </c>
    </row>
    <row r="53" spans="1:30" ht="31.5" hidden="1" x14ac:dyDescent="0.25">
      <c r="A53" s="8" t="s">
        <v>89</v>
      </c>
      <c r="B53" s="75" t="s">
        <v>218</v>
      </c>
      <c r="C53" s="43">
        <f>IF(B53="","",VLOOKUP(AD53,Varsayımlar!$B:$Q,3,0))</f>
        <v>8698829380698</v>
      </c>
      <c r="D53" s="43" t="s">
        <v>161</v>
      </c>
      <c r="E53" s="75" t="s">
        <v>228</v>
      </c>
      <c r="F53" s="75" t="s">
        <v>341</v>
      </c>
      <c r="G53" s="43"/>
      <c r="H53" s="75" t="str">
        <f>IF(B53="","",VLOOKUP(AD53,Varsayımlar!$B:$Q,5,0))</f>
        <v>Tortillas Avrupa 25cm (698)</v>
      </c>
      <c r="I53" s="75">
        <f>IF(B53="","",VLOOKUP(AD53,Varsayımlar!B:T,19,0))</f>
        <v>0</v>
      </c>
      <c r="J53" s="75" t="str">
        <f>IF(B53="","",VLOOKUP(AD53,Varsayımlar!$B:$Q,6,0))</f>
        <v>SADE</v>
      </c>
      <c r="K53" s="75">
        <v>720</v>
      </c>
      <c r="L53" s="75"/>
      <c r="M53" s="75">
        <f>IFERROR(IF(B53="","",K53/VLOOKUP(AD53,Varsayımlar!B:R,17,0)),"")</f>
        <v>6</v>
      </c>
      <c r="N53" s="75"/>
      <c r="O53" s="75">
        <v>7</v>
      </c>
      <c r="P53" s="75">
        <f>IF(B53="","",VLOOKUP(AD53,Varsayımlar!$B:$Q,7,0)*K53)</f>
        <v>5760</v>
      </c>
      <c r="Q53" s="75">
        <f>IF(B53="","",VLOOKUP(AD53,Varsayımlar!$B:$Q,8,0))</f>
        <v>25</v>
      </c>
      <c r="R53" s="75" t="str">
        <f>IF(B53="","",VLOOKUP(AD53,Varsayımlar!$B:$Q,9,0))</f>
        <v>Irak Soft</v>
      </c>
      <c r="S53" s="75">
        <f>IF(B53="","",VLOOKUP(AD53,Varsayımlar!$B:$Q,10,0))</f>
        <v>10</v>
      </c>
      <c r="T53" s="75">
        <f>IF(B53="","",VLOOKUP(AD53,Varsayımlar!$B:$Q,11,0))</f>
        <v>8</v>
      </c>
      <c r="U53" s="75">
        <f>IF(B53="","",VLOOKUP(AD53,Varsayımlar!$B:$Q,12,0))</f>
        <v>650</v>
      </c>
      <c r="V53" s="75" t="str">
        <f>IF(B53="","",VLOOKUP(AD53,Varsayımlar!$B:$Q,13,0))</f>
        <v>Yurtdışı</v>
      </c>
      <c r="W53" s="75">
        <f>IF(B53="","",VLOOKUP(AD53,Varsayımlar!$B:$Q,14,0))</f>
        <v>9</v>
      </c>
      <c r="X53" s="76">
        <v>46213</v>
      </c>
      <c r="Y53" s="76">
        <v>46487</v>
      </c>
      <c r="Z53" s="75">
        <v>26071025</v>
      </c>
      <c r="AA53" s="75" t="str">
        <f>IF(B53="","",VLOOKUP(AD53,Varsayımlar!$B:$Q,15,0))</f>
        <v>25cm Perforeli-Bulgarca etiket</v>
      </c>
      <c r="AB53" s="75" t="str">
        <f>IF(B53="","",VLOOKUP(AD53,Varsayımlar!$B:$Q,16,0))</f>
        <v>24-26 cm</v>
      </c>
      <c r="AC53" s="75" t="str">
        <f>IF(B53="","",VLOOKUP(Sayfa1!AD61,Varsayımlar!B:S,18,0))</f>
        <v>80x120cm -Epal+Epal</v>
      </c>
      <c r="AD53" s="57" t="str">
        <f t="shared" si="3"/>
        <v>TASTE LAND-BULGARİSTANTortillas 25cm Sade 10pcs 650g</v>
      </c>
    </row>
    <row r="54" spans="1:30" ht="47.25" hidden="1" x14ac:dyDescent="0.25">
      <c r="A54" s="8" t="s">
        <v>90</v>
      </c>
      <c r="B54" s="75" t="s">
        <v>218</v>
      </c>
      <c r="C54" s="43">
        <f>IF(B54="","",VLOOKUP(AD54,Varsayımlar!$B:$Q,3,0))</f>
        <v>8698829380698</v>
      </c>
      <c r="D54" s="43" t="s">
        <v>161</v>
      </c>
      <c r="E54" s="75" t="s">
        <v>250</v>
      </c>
      <c r="F54" s="75" t="s">
        <v>341</v>
      </c>
      <c r="G54" s="43"/>
      <c r="H54" s="75" t="str">
        <f>IF(B54="","",VLOOKUP(AD54,Varsayımlar!$B:$Q,5,0))</f>
        <v>Tortillas Avrupa 25cm (698)</v>
      </c>
      <c r="I54" s="75" t="str">
        <f>IF(B54="","",VLOOKUP(AD54,Varsayımlar!B:T,19,0))</f>
        <v>Barkod üzerine Barkod Etiketi (050)</v>
      </c>
      <c r="J54" s="75" t="str">
        <f>IF(B54="","",VLOOKUP(AD54,Varsayımlar!$B:$Q,6,0))</f>
        <v>SADE</v>
      </c>
      <c r="K54" s="75">
        <v>168</v>
      </c>
      <c r="L54" s="75"/>
      <c r="M54" s="75">
        <f>IFERROR(IF(B54="","",K54/VLOOKUP(AD54,Varsayımlar!B:R,17,0)),"")</f>
        <v>2</v>
      </c>
      <c r="N54" s="75"/>
      <c r="O54" s="75">
        <v>3</v>
      </c>
      <c r="P54" s="75">
        <f>IF(B54="","",VLOOKUP(AD54,Varsayımlar!$B:$Q,7,0)*K54)</f>
        <v>3024</v>
      </c>
      <c r="Q54" s="75">
        <f>IF(B54="","",VLOOKUP(AD54,Varsayımlar!$B:$Q,8,0))</f>
        <v>25</v>
      </c>
      <c r="R54" s="75" t="str">
        <f>IF(B54="","",VLOOKUP(AD54,Varsayımlar!$B:$Q,9,0))</f>
        <v>Irak Soft</v>
      </c>
      <c r="S54" s="75">
        <f>IF(B54="","",VLOOKUP(AD54,Varsayımlar!$B:$Q,10,0))</f>
        <v>6</v>
      </c>
      <c r="T54" s="75">
        <f>IF(B54="","",VLOOKUP(AD54,Varsayımlar!$B:$Q,11,0))</f>
        <v>18</v>
      </c>
      <c r="U54" s="75">
        <f>IF(B54="","",VLOOKUP(AD54,Varsayımlar!$B:$Q,12,0))</f>
        <v>390</v>
      </c>
      <c r="V54" s="75" t="str">
        <f>IF(B54="","",VLOOKUP(AD54,Varsayımlar!$B:$Q,13,0))</f>
        <v>Yurtdışı</v>
      </c>
      <c r="W54" s="75">
        <f>IF(B54="","",VLOOKUP(AD54,Varsayımlar!$B:$Q,14,0))</f>
        <v>9</v>
      </c>
      <c r="X54" s="76">
        <v>46213</v>
      </c>
      <c r="Y54" s="76">
        <v>46487</v>
      </c>
      <c r="Z54" s="75">
        <v>26071025</v>
      </c>
      <c r="AA54" s="75" t="str">
        <f>IF(B54="","",VLOOKUP(AD54,Varsayımlar!$B:$Q,15,0))</f>
        <v>25cm Kırmızı koli-Bulgarca Etiket</v>
      </c>
      <c r="AB54" s="75" t="str">
        <f>IF(B54="","",VLOOKUP(AD54,Varsayımlar!$B:$Q,16,0))</f>
        <v>24-26 cm</v>
      </c>
      <c r="AC54" s="75" t="str">
        <f>IF(B54="","",VLOOKUP(Sayfa1!AD62,Varsayımlar!B:S,18,0))</f>
        <v>80x120cm -Epal+Epal</v>
      </c>
      <c r="AD54" s="57" t="str">
        <f t="shared" si="3"/>
        <v>TASTE LAND-BULGARİSTANTortillas 25cm Sade 6pcs 390g</v>
      </c>
    </row>
    <row r="55" spans="1:30" hidden="1" x14ac:dyDescent="0.25">
      <c r="A55" s="8" t="s">
        <v>90</v>
      </c>
      <c r="B55" s="67" t="s">
        <v>460</v>
      </c>
      <c r="C55" s="42">
        <f>IF(B55="","",VLOOKUP(AD55,Varsayımlar!$B:$Q,3,0))</f>
        <v>8698829380698</v>
      </c>
      <c r="D55" s="67" t="s">
        <v>161</v>
      </c>
      <c r="E55" s="67" t="s">
        <v>468</v>
      </c>
      <c r="F55" s="67">
        <v>20260414</v>
      </c>
      <c r="G55" s="67"/>
      <c r="H55" s="67" t="str">
        <f>IF(B55="","",VLOOKUP(AD55,Varsayımlar!$B:$Q,5,0))</f>
        <v>Tortillove 25cm</v>
      </c>
      <c r="I55" s="67">
        <f>IF(B55="","",VLOOKUP(AD55,Varsayımlar!B:T,19,0))</f>
        <v>0</v>
      </c>
      <c r="J55" s="67" t="str">
        <f>IF(B55="","",VLOOKUP(AD55,Varsayımlar!$B:$Q,6,0))</f>
        <v>SADE</v>
      </c>
      <c r="K55" s="67">
        <v>100</v>
      </c>
      <c r="L55" s="67"/>
      <c r="M55" s="67">
        <f>IFERROR(IF(B55="","",K55/VLOOKUP(AD55,Varsayımlar!B:R,17,0)),"")</f>
        <v>1</v>
      </c>
      <c r="N55" s="67"/>
      <c r="O55" s="67">
        <v>2</v>
      </c>
      <c r="P55" s="67">
        <f>IF(B55="","",VLOOKUP(AD55,Varsayımlar!$B:$Q,7,0)*K55)</f>
        <v>1200</v>
      </c>
      <c r="Q55" s="67">
        <f>IF(B55="","",VLOOKUP(AD55,Varsayımlar!$B:$Q,8,0))</f>
        <v>25</v>
      </c>
      <c r="R55" s="67" t="str">
        <f>IF(B55="","",VLOOKUP(AD55,Varsayımlar!$B:$Q,9,0))</f>
        <v>Irak Soft</v>
      </c>
      <c r="S55" s="67">
        <f>IF(B55="","",VLOOKUP(AD55,Varsayımlar!$B:$Q,10,0))</f>
        <v>10</v>
      </c>
      <c r="T55" s="67">
        <f>IF(B55="","",VLOOKUP(AD55,Varsayımlar!$B:$Q,11,0))</f>
        <v>12</v>
      </c>
      <c r="U55" s="67">
        <f>IF(B55="","",VLOOKUP(AD55,Varsayımlar!$B:$Q,12,0))</f>
        <v>650</v>
      </c>
      <c r="V55" s="67" t="str">
        <f>IF(B55="","",VLOOKUP(AD55,Varsayımlar!$B:$Q,13,0))</f>
        <v>Yurtdışı</v>
      </c>
      <c r="W55" s="67">
        <f>IF(B55="","",VLOOKUP(AD55,Varsayımlar!$B:$Q,14,0))</f>
        <v>6</v>
      </c>
      <c r="X55" s="69">
        <v>46216</v>
      </c>
      <c r="Y55" s="69">
        <v>46400</v>
      </c>
      <c r="Z55" s="67">
        <v>26071325</v>
      </c>
      <c r="AA55" s="67" t="str">
        <f>IF(B55="","",VLOOKUP(AD55,Varsayımlar!$B:$Q,15,0))</f>
        <v>25cm Kırmızı Koli</v>
      </c>
      <c r="AB55" s="67" t="str">
        <f>IF(B55="","",VLOOKUP(AD55,Varsayımlar!$B:$Q,16,0))</f>
        <v>24-26 cm</v>
      </c>
      <c r="AC55" s="75" t="str">
        <f>IF(B55="","",VLOOKUP(Sayfa1!AD64,Varsayımlar!B:S,18,0))</f>
        <v>80x120cm -Epal+Epal</v>
      </c>
      <c r="AD55" s="57" t="str">
        <f t="shared" ref="AD55:AD56" si="4">IF(B55="","",CONCATENATE(B55,E55))</f>
        <v>Yüksekbaş GıdaYüksekbaş 25cm 10pcs 650g</v>
      </c>
    </row>
    <row r="56" spans="1:30" ht="31.5" hidden="1" x14ac:dyDescent="0.25">
      <c r="A56" s="8" t="s">
        <v>89</v>
      </c>
      <c r="B56" s="42" t="s">
        <v>460</v>
      </c>
      <c r="C56" s="42">
        <f>IF(B56="","",VLOOKUP(AD56,Varsayımlar!$B:$Q,3,0))</f>
        <v>8698829380698</v>
      </c>
      <c r="D56" s="42" t="s">
        <v>161</v>
      </c>
      <c r="E56" s="42" t="s">
        <v>471</v>
      </c>
      <c r="F56" s="42">
        <v>20260414</v>
      </c>
      <c r="G56" s="42"/>
      <c r="H56" s="42" t="str">
        <f>IF(B56="","",VLOOKUP(AD56,Varsayımlar!$B:$Q,5,0))</f>
        <v>Tortillove Tam Buğday 25cm</v>
      </c>
      <c r="I56" s="42">
        <f>IF(B56="","",VLOOKUP(AD56,Varsayımlar!B:T,19,0))</f>
        <v>0</v>
      </c>
      <c r="J56" s="42" t="str">
        <f>IF(B56="","",VLOOKUP(AD56,Varsayımlar!$B:$Q,6,0))</f>
        <v>Tam Buğdaylı</v>
      </c>
      <c r="K56" s="42">
        <v>500</v>
      </c>
      <c r="L56" s="42"/>
      <c r="M56" s="42">
        <f>IFERROR(IF(B56="","",K56/VLOOKUP(AD56,Varsayımlar!B:R,17,0)),"")</f>
        <v>5</v>
      </c>
      <c r="N56" s="42"/>
      <c r="O56" s="42">
        <v>7</v>
      </c>
      <c r="P56" s="42">
        <f>IF(B56="","",VLOOKUP(AD56,Varsayımlar!$B:$Q,7,0)*K56)</f>
        <v>6000</v>
      </c>
      <c r="Q56" s="42">
        <f>IF(B56="","",VLOOKUP(AD56,Varsayımlar!$B:$Q,8,0))</f>
        <v>25</v>
      </c>
      <c r="R56" s="42" t="str">
        <f>IF(B56="","",VLOOKUP(AD56,Varsayımlar!$B:$Q,9,0))</f>
        <v>Irak Soft</v>
      </c>
      <c r="S56" s="42">
        <f>IF(B56="","",VLOOKUP(AD56,Varsayımlar!$B:$Q,10,0))</f>
        <v>10</v>
      </c>
      <c r="T56" s="42">
        <f>IF(B56="","",VLOOKUP(AD56,Varsayımlar!$B:$Q,11,0))</f>
        <v>12</v>
      </c>
      <c r="U56" s="42">
        <f>IF(B56="","",VLOOKUP(AD56,Varsayımlar!$B:$Q,12,0))</f>
        <v>650</v>
      </c>
      <c r="V56" s="42" t="str">
        <f>IF(B56="","",VLOOKUP(AD56,Varsayımlar!$B:$Q,13,0))</f>
        <v>Yurtdışı</v>
      </c>
      <c r="W56" s="42">
        <f>IF(B56="","",VLOOKUP(AD56,Varsayımlar!$B:$Q,14,0))</f>
        <v>6</v>
      </c>
      <c r="X56" s="69">
        <v>46216</v>
      </c>
      <c r="Y56" s="69">
        <v>46400</v>
      </c>
      <c r="Z56" s="42" t="s">
        <v>475</v>
      </c>
      <c r="AA56" s="42" t="str">
        <f>IF(B56="","",VLOOKUP(AD56,Varsayımlar!$B:$Q,15,0))</f>
        <v>25cm Kırmızı Koli-Etiketli</v>
      </c>
      <c r="AB56" s="42" t="str">
        <f>IF(B56="","",VLOOKUP(AD56,Varsayımlar!$B:$Q,16,0))</f>
        <v>24-26 cm</v>
      </c>
      <c r="AC56" s="75" t="str">
        <f>IF(B56="","",VLOOKUP(Sayfa1!AD64,Varsayımlar!B:S,18,0))</f>
        <v>80x120cm -Epal+Epal</v>
      </c>
      <c r="AD56" s="57" t="str">
        <f t="shared" si="4"/>
        <v>Yüksekbaş GıdaYüksekbaş TB 25cm 10pcs 650g</v>
      </c>
    </row>
    <row r="57" spans="1:30" x14ac:dyDescent="0.25">
      <c r="C57" s="53" t="str">
        <f>IF(B57="","",VLOOKUP(AD57,Varsayımlar!$B:$Q,3,0))</f>
        <v/>
      </c>
      <c r="H57" s="7" t="str">
        <f>IF(B57="","",VLOOKUP(AD57,Varsayımlar!$B:$Q,5,0))</f>
        <v/>
      </c>
      <c r="J57" s="7" t="str">
        <f>IF(B57="","",VLOOKUP(AD57,Varsayımlar!$B:$Q,6,0))</f>
        <v/>
      </c>
      <c r="P57" s="7" t="str">
        <f>IF(B57="","",VLOOKUP(AD57,Varsayımlar!$B:$Q,7,0)*K57)</f>
        <v/>
      </c>
      <c r="Q57" s="7" t="str">
        <f>IF(B57="","",VLOOKUP(AD57,Varsayımlar!$B:$Q,8,0))</f>
        <v/>
      </c>
      <c r="R57" s="7" t="str">
        <f>IF(B57="","",VLOOKUP(AD57,Varsayımlar!$B:$Q,9,0))</f>
        <v/>
      </c>
      <c r="S57" s="7" t="str">
        <f>IF(B57="","",VLOOKUP(AD57,Varsayımlar!$B:$Q,10,0))</f>
        <v/>
      </c>
      <c r="T57" s="7" t="str">
        <f>IF(B57="","",VLOOKUP(AD57,Varsayımlar!$B:$Q,11,0))</f>
        <v/>
      </c>
      <c r="U57" s="7" t="str">
        <f>IF(B57="","",VLOOKUP(AD57,Varsayımlar!$B:$Q,12,0))</f>
        <v/>
      </c>
      <c r="V57" s="7" t="str">
        <f>IF(B57="","",VLOOKUP(AD57,Varsayımlar!$B:$Q,13,0))</f>
        <v/>
      </c>
      <c r="W57" s="7" t="str">
        <f>IF(B57="","",VLOOKUP(AD57,Varsayımlar!$B:$Q,14,0))</f>
        <v/>
      </c>
      <c r="AA57" s="7" t="str">
        <f>IF(B57="","",VLOOKUP(AD57,Varsayımlar!$B:$Q,15,0))</f>
        <v/>
      </c>
      <c r="AB57" s="7" t="str">
        <f>IF(B57="","",VLOOKUP(AD57,Varsayımlar!$B:$Q,16,0))</f>
        <v/>
      </c>
      <c r="AD57" s="7" t="str">
        <f t="shared" si="3"/>
        <v/>
      </c>
    </row>
    <row r="58" spans="1:30" ht="31.5" customHeight="1" x14ac:dyDescent="0.25">
      <c r="A58" s="182" t="s">
        <v>345</v>
      </c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4"/>
      <c r="AC58" s="38"/>
    </row>
    <row r="59" spans="1:30" ht="63" x14ac:dyDescent="0.25">
      <c r="A59" s="8" t="s">
        <v>0</v>
      </c>
      <c r="B59" s="8" t="s">
        <v>1</v>
      </c>
      <c r="C59" s="9" t="s">
        <v>31</v>
      </c>
      <c r="D59" s="9" t="s">
        <v>124</v>
      </c>
      <c r="E59" s="9" t="s">
        <v>36</v>
      </c>
      <c r="F59" s="8" t="s">
        <v>37</v>
      </c>
      <c r="G59" s="8" t="s">
        <v>13</v>
      </c>
      <c r="H59" s="8" t="s">
        <v>2</v>
      </c>
      <c r="I59" s="8" t="s">
        <v>49</v>
      </c>
      <c r="J59" s="8" t="s">
        <v>3</v>
      </c>
      <c r="K59" s="8" t="s">
        <v>21</v>
      </c>
      <c r="L59" s="8" t="s">
        <v>94</v>
      </c>
      <c r="M59" s="8" t="s">
        <v>20</v>
      </c>
      <c r="N59" s="8" t="s">
        <v>165</v>
      </c>
      <c r="O59" s="8" t="s">
        <v>123</v>
      </c>
      <c r="P59" s="8" t="s">
        <v>16</v>
      </c>
      <c r="Q59" s="8" t="s">
        <v>4</v>
      </c>
      <c r="R59" s="8" t="s">
        <v>5</v>
      </c>
      <c r="S59" s="8" t="s">
        <v>6</v>
      </c>
      <c r="T59" s="8" t="s">
        <v>28</v>
      </c>
      <c r="U59" s="8" t="s">
        <v>7</v>
      </c>
      <c r="V59" s="8" t="s">
        <v>8</v>
      </c>
      <c r="W59" s="8" t="s">
        <v>9</v>
      </c>
      <c r="X59" s="8" t="s">
        <v>10</v>
      </c>
      <c r="Y59" s="8" t="s">
        <v>11</v>
      </c>
      <c r="Z59" s="8" t="s">
        <v>12</v>
      </c>
      <c r="AA59" s="8" t="s">
        <v>14</v>
      </c>
      <c r="AB59" s="8" t="s">
        <v>15</v>
      </c>
      <c r="AC59" s="8" t="s">
        <v>208</v>
      </c>
      <c r="AD59" s="7" t="s">
        <v>41</v>
      </c>
    </row>
    <row r="60" spans="1:30" ht="31.5" x14ac:dyDescent="0.25">
      <c r="A60" s="8" t="s">
        <v>26</v>
      </c>
      <c r="B60" s="123" t="s">
        <v>95</v>
      </c>
      <c r="C60" s="124">
        <f>IF(B60="","",VLOOKUP(AD60,Varsayımlar!$B:$Q,3,0))</f>
        <v>8698829380698</v>
      </c>
      <c r="D60" s="124"/>
      <c r="E60" s="126" t="s">
        <v>114</v>
      </c>
      <c r="F60" s="123"/>
      <c r="G60" s="123"/>
      <c r="H60" s="123" t="str">
        <f>IF(B60="","",VLOOKUP(AD60,Varsayımlar!$B:$Q,5,0))</f>
        <v>Bisto 25 cm</v>
      </c>
      <c r="I60" s="123"/>
      <c r="J60" s="123" t="str">
        <f>IF(B60="","",VLOOKUP(AD60,Varsayımlar!$B:$Q,6,0))</f>
        <v>SADE</v>
      </c>
      <c r="K60" s="123">
        <v>720</v>
      </c>
      <c r="L60" s="123"/>
      <c r="M60" s="123">
        <f>IFERROR(IF(B60="","",K60/VLOOKUP(AD60,Varsayımlar!B:R,17,0)),"")</f>
        <v>15</v>
      </c>
      <c r="N60" s="123"/>
      <c r="O60" s="123">
        <v>15</v>
      </c>
      <c r="P60" s="123">
        <f>IF(B60="","",VLOOKUP(AD60,Varsayımlar!$B:$Q,7,0)*K60)</f>
        <v>8640</v>
      </c>
      <c r="Q60" s="123">
        <f>IF(B60="","",VLOOKUP(AD60,Varsayımlar!$B:$Q,8,0))</f>
        <v>25</v>
      </c>
      <c r="R60" s="123" t="str">
        <f>IF(B60="","",VLOOKUP(AD60,Varsayımlar!$B:$Q,9,0))</f>
        <v>Standart</v>
      </c>
      <c r="S60" s="123">
        <f>IF(B60="","",VLOOKUP(AD60,Varsayımlar!$B:$Q,10,0))</f>
        <v>12</v>
      </c>
      <c r="T60" s="123">
        <f>IF(B60="","",VLOOKUP(AD60,Varsayımlar!$B:$Q,11,0))</f>
        <v>12</v>
      </c>
      <c r="U60" s="123">
        <f>IF(B60="","",VLOOKUP(AD60,Varsayımlar!$B:$Q,12,0))</f>
        <v>840</v>
      </c>
      <c r="V60" s="123" t="str">
        <f>IF(B60="","",VLOOKUP(AD60,Varsayımlar!$B:$Q,13,0))</f>
        <v>Yurtiçi</v>
      </c>
      <c r="W60" s="123">
        <f>IF(B60="","",VLOOKUP(AD60,Varsayımlar!$B:$Q,14,0))</f>
        <v>6</v>
      </c>
      <c r="X60" s="125" t="s">
        <v>113</v>
      </c>
      <c r="Y60" s="125" t="s">
        <v>113</v>
      </c>
      <c r="Z60" s="123" t="s">
        <v>113</v>
      </c>
      <c r="AA60" s="123" t="str">
        <f>IF(B60="","",VLOOKUP(AD60,Varsayımlar!$B:$Q,15,0))</f>
        <v>Bisto Kolisi</v>
      </c>
      <c r="AB60" s="123" t="str">
        <f>IF(B60="","",VLOOKUP(AD60,Varsayımlar!$B:$Q,16,0))</f>
        <v>24-26 Cm</v>
      </c>
      <c r="AC60" s="64" t="s">
        <v>362</v>
      </c>
      <c r="AD60" s="57" t="str">
        <f t="shared" ref="AD60" si="5">IF(B60="","",CONCATENATE(B60,E60))</f>
        <v>Şok MarketBisto 25 cm 12 pcs 840g</v>
      </c>
    </row>
    <row r="61" spans="1:30" ht="45.75" customHeight="1" x14ac:dyDescent="0.25">
      <c r="A61" s="8" t="s">
        <v>77</v>
      </c>
      <c r="B61" s="130" t="s">
        <v>119</v>
      </c>
      <c r="C61" s="131">
        <f>IF(B61="","",VLOOKUP(AD61,Varsayımlar!$B:$Q,3,0))</f>
        <v>8698829380698</v>
      </c>
      <c r="D61" s="131"/>
      <c r="E61" s="132" t="s">
        <v>120</v>
      </c>
      <c r="F61" s="130"/>
      <c r="G61" s="130"/>
      <c r="H61" s="130" t="str">
        <f>IF(B61="","",VLOOKUP(AD61,Varsayımlar!$B:$Q,5,0))</f>
        <v>Nimet 25 cm</v>
      </c>
      <c r="I61" s="130"/>
      <c r="J61" s="130" t="str">
        <f>IF(B61="","",VLOOKUP(AD61,Varsayımlar!$B:$Q,6,0))</f>
        <v>SADE</v>
      </c>
      <c r="K61" s="130">
        <v>1500</v>
      </c>
      <c r="L61" s="130"/>
      <c r="M61" s="130">
        <f>IFERROR(IF(B61="","",K61/VLOOKUP(AD61,Varsayımlar!B:R,17,0)),"")</f>
        <v>30</v>
      </c>
      <c r="N61" s="130"/>
      <c r="O61" s="130">
        <v>30</v>
      </c>
      <c r="P61" s="130">
        <f>IF(B61="","",VLOOKUP(AD61,Varsayımlar!$B:$Q,7,0)*K61)</f>
        <v>18000</v>
      </c>
      <c r="Q61" s="130">
        <f>IF(B61="","",VLOOKUP(AD61,Varsayımlar!$B:$Q,8,0))</f>
        <v>25</v>
      </c>
      <c r="R61" s="130" t="str">
        <f>IF(B61="","",VLOOKUP(AD61,Varsayımlar!$B:$Q,9,0))</f>
        <v>Standart</v>
      </c>
      <c r="S61" s="130">
        <f>IF(B61="","",VLOOKUP(AD61,Varsayımlar!$B:$Q,10,0))</f>
        <v>12</v>
      </c>
      <c r="T61" s="130">
        <f>IF(B61="","",VLOOKUP(AD61,Varsayımlar!$B:$Q,11,0))</f>
        <v>12</v>
      </c>
      <c r="U61" s="130">
        <f>IF(B61="","",VLOOKUP(AD61,Varsayımlar!$B:$Q,12,0))</f>
        <v>840</v>
      </c>
      <c r="V61" s="130" t="str">
        <f>IF(B61="","",VLOOKUP(AD61,Varsayımlar!$B:$Q,13,0))</f>
        <v>YURTİÇİ</v>
      </c>
      <c r="W61" s="130">
        <f>IF(B61="","",VLOOKUP(AD61,Varsayımlar!$B:$Q,14,0))</f>
        <v>5</v>
      </c>
      <c r="X61" s="133" t="s">
        <v>113</v>
      </c>
      <c r="Y61" s="133" t="s">
        <v>113</v>
      </c>
      <c r="Z61" s="130" t="s">
        <v>113</v>
      </c>
      <c r="AA61" s="130" t="str">
        <f>IF(B61="","",VLOOKUP(AD61,Varsayımlar!$B:$Q,15,0))</f>
        <v>Nimet Kolisi</v>
      </c>
      <c r="AB61" s="130" t="str">
        <f>IF(B61="","",VLOOKUP(AD61,Varsayımlar!$B:$Q,16,0))</f>
        <v>24-26 CM</v>
      </c>
      <c r="AC61" s="64" t="s">
        <v>360</v>
      </c>
      <c r="AD61" s="57" t="str">
        <f>IF(B61="","",CONCATENATE(B61,E61))</f>
        <v>A101Nimet 25cm 12 pcs 840g</v>
      </c>
    </row>
    <row r="62" spans="1:30" ht="27.75" customHeight="1" x14ac:dyDescent="0.25">
      <c r="A62" s="8" t="s">
        <v>78</v>
      </c>
      <c r="B62" s="67" t="s">
        <v>431</v>
      </c>
      <c r="C62" s="42">
        <f>IF(B62="","",VLOOKUP(AD62,Varsayımlar!$B:$Q,3,0))</f>
        <v>8698829380698</v>
      </c>
      <c r="D62" s="42"/>
      <c r="E62" s="42" t="s">
        <v>432</v>
      </c>
      <c r="F62" s="42">
        <v>20260612</v>
      </c>
      <c r="G62" s="42"/>
      <c r="H62" s="42" t="str">
        <f>IF(B62="","",VLOOKUP(AD62,Varsayımlar!$B:$Q,5,0))</f>
        <v xml:space="preserve">Happylla 30cm </v>
      </c>
      <c r="I62" s="42"/>
      <c r="J62" s="42" t="str">
        <f>IF(B62="","",VLOOKUP(AD62,Varsayımlar!$B:$Q,6,0))</f>
        <v>SADE</v>
      </c>
      <c r="K62" s="42">
        <v>120</v>
      </c>
      <c r="L62" s="42"/>
      <c r="M62" s="42">
        <f>IFERROR(IF(B62="","",K62/VLOOKUP(AD62,Varsayımlar!B:R,17,0)),"")</f>
        <v>2</v>
      </c>
      <c r="N62" s="42">
        <v>60</v>
      </c>
      <c r="O62" s="42">
        <v>4</v>
      </c>
      <c r="P62" s="42">
        <f>IF(B62="","",VLOOKUP(AD62,Varsayımlar!$B:$Q,7,0)*K62)</f>
        <v>1440</v>
      </c>
      <c r="Q62" s="42">
        <f>IF(B62="","",VLOOKUP(AD62,Varsayımlar!$B:$Q,8,0))</f>
        <v>30</v>
      </c>
      <c r="R62" s="42" t="str">
        <f>IF(B62="","",VLOOKUP(AD62,Varsayımlar!$B:$Q,9,0))</f>
        <v>Standart</v>
      </c>
      <c r="S62" s="42">
        <f>IF(B62="","",VLOOKUP(AD62,Varsayımlar!$B:$Q,10,0))</f>
        <v>10</v>
      </c>
      <c r="T62" s="42">
        <f>IF(B62="","",VLOOKUP(AD62,Varsayımlar!$B:$Q,11,0))</f>
        <v>12</v>
      </c>
      <c r="U62" s="42">
        <f>IF(B62="","",VLOOKUP(AD62,Varsayımlar!$B:$Q,12,0))</f>
        <v>900</v>
      </c>
      <c r="V62" s="42" t="str">
        <f>IF(B62="","",VLOOKUP(AD62,Varsayımlar!$B:$Q,13,0))</f>
        <v>Yurtdışı</v>
      </c>
      <c r="W62" s="67">
        <f>IF(B62="","",VLOOKUP(AD62,Varsayımlar!$B:$Q,14,0))</f>
        <v>6</v>
      </c>
      <c r="X62" s="69">
        <v>46196</v>
      </c>
      <c r="Y62" s="69">
        <v>46379</v>
      </c>
      <c r="Z62" s="67">
        <v>26062330</v>
      </c>
      <c r="AA62" s="67" t="str">
        <f>IF(B62="","",VLOOKUP(AD62,Varsayımlar!$B:$Q,15,0))</f>
        <v>30cm kolisi</v>
      </c>
      <c r="AB62" s="67" t="str">
        <f>IF(B62="","",VLOOKUP(AD62,Varsayımlar!$B:$Q,16,0))</f>
        <v>29-31 cm</v>
      </c>
      <c r="AC62" s="67"/>
      <c r="AD62" s="57" t="str">
        <f>IF(B62="","",CONCATENATE(B62,E62))</f>
        <v>Bağ TicaretHappylla 30cm Sade 10pcs 900g</v>
      </c>
    </row>
    <row r="63" spans="1:30" x14ac:dyDescent="0.25">
      <c r="A63" s="8" t="s">
        <v>79</v>
      </c>
      <c r="B63" s="67" t="s">
        <v>431</v>
      </c>
      <c r="C63" s="42">
        <f>IF(B63="","",VLOOKUP(AD63,Varsayımlar!$B:$Q,3,0))</f>
        <v>8698829380698</v>
      </c>
      <c r="D63" s="42"/>
      <c r="E63" s="42" t="s">
        <v>435</v>
      </c>
      <c r="F63" s="42">
        <v>20260612</v>
      </c>
      <c r="G63" s="42"/>
      <c r="H63" s="42" t="str">
        <f>IF(B63="","",VLOOKUP(AD63,Varsayımlar!$B:$Q,5,0))</f>
        <v xml:space="preserve">Happylla 500g </v>
      </c>
      <c r="I63" s="42"/>
      <c r="J63" s="42" t="str">
        <f>IF(B63="","",VLOOKUP(AD63,Varsayımlar!$B:$Q,6,0))</f>
        <v>SADE</v>
      </c>
      <c r="K63" s="42">
        <v>1768</v>
      </c>
      <c r="L63" s="42"/>
      <c r="M63" s="42">
        <f>IFERROR(IF(B63="","",K63/VLOOKUP(AD63,Varsayımlar!B:R,17,0)),"")</f>
        <v>17</v>
      </c>
      <c r="N63" s="42">
        <v>104</v>
      </c>
      <c r="O63" s="42">
        <v>50</v>
      </c>
      <c r="P63" s="42">
        <f>IF(B63="","",VLOOKUP(AD63,Varsayımlar!$B:$Q,7,0)*K63)</f>
        <v>21216</v>
      </c>
      <c r="Q63" s="42">
        <f>IF(B63="","",VLOOKUP(AD63,Varsayımlar!$B:$Q,8,0))</f>
        <v>25</v>
      </c>
      <c r="R63" s="42" t="str">
        <f>IF(B63="","",VLOOKUP(AD63,Varsayımlar!$B:$Q,9,0))</f>
        <v>Irak Soft</v>
      </c>
      <c r="S63" s="42">
        <f>IF(B63="","",VLOOKUP(AD63,Varsayımlar!$B:$Q,10,0))</f>
        <v>10</v>
      </c>
      <c r="T63" s="42">
        <f>IF(B63="","",VLOOKUP(AD63,Varsayımlar!$B:$Q,11,0))</f>
        <v>12</v>
      </c>
      <c r="U63" s="42">
        <f>IF(B63="","",VLOOKUP(AD63,Varsayımlar!$B:$Q,12,0))</f>
        <v>500</v>
      </c>
      <c r="V63" s="42" t="str">
        <f>IF(B63="","",VLOOKUP(AD63,Varsayımlar!$B:$Q,13,0))</f>
        <v>Yurtdışı</v>
      </c>
      <c r="W63" s="67">
        <f>IF(B63="","",VLOOKUP(AD63,Varsayımlar!$B:$Q,14,0))</f>
        <v>6</v>
      </c>
      <c r="X63" s="69">
        <v>46196</v>
      </c>
      <c r="Y63" s="69">
        <v>46379</v>
      </c>
      <c r="Z63" s="67">
        <v>26062325</v>
      </c>
      <c r="AA63" s="67" t="str">
        <f>IF(B63="","",VLOOKUP(AD63,Varsayımlar!$B:$Q,15,0))</f>
        <v>Kırmızı Koli 25cm</v>
      </c>
      <c r="AB63" s="67" t="str">
        <f>IF(B63="","",VLOOKUP(AD63,Varsayımlar!$B:$Q,16,0))</f>
        <v>23-26cm</v>
      </c>
      <c r="AC63" s="67"/>
      <c r="AD63" s="57" t="str">
        <f>IF(B63="","",CONCATENATE(B63,E63))</f>
        <v>Bağ TicaretHappylla 25cm Sade 10pcs 500g</v>
      </c>
    </row>
    <row r="64" spans="1:30" ht="26.25" customHeight="1" x14ac:dyDescent="0.25">
      <c r="A64" s="8" t="s">
        <v>80</v>
      </c>
      <c r="B64" s="67" t="s">
        <v>119</v>
      </c>
      <c r="C64" s="42">
        <v>8698829380698</v>
      </c>
      <c r="D64" s="42"/>
      <c r="E64" s="42" t="s">
        <v>120</v>
      </c>
      <c r="F64" s="67"/>
      <c r="G64" s="42"/>
      <c r="H64" s="67" t="s">
        <v>121</v>
      </c>
      <c r="I64" s="67">
        <v>0</v>
      </c>
      <c r="J64" s="67" t="s">
        <v>19</v>
      </c>
      <c r="K64" s="67">
        <v>2000</v>
      </c>
      <c r="L64" s="67"/>
      <c r="M64" s="67">
        <v>80</v>
      </c>
      <c r="N64" s="67">
        <v>50</v>
      </c>
      <c r="O64" s="67">
        <v>72</v>
      </c>
      <c r="P64" s="67">
        <v>48000</v>
      </c>
      <c r="Q64" s="67">
        <v>25</v>
      </c>
      <c r="R64" s="67" t="s">
        <v>116</v>
      </c>
      <c r="S64" s="67">
        <v>12</v>
      </c>
      <c r="T64" s="67">
        <v>12</v>
      </c>
      <c r="U64" s="67">
        <v>840</v>
      </c>
      <c r="V64" s="67" t="s">
        <v>72</v>
      </c>
      <c r="W64" s="67">
        <v>5</v>
      </c>
      <c r="X64" s="69" t="s">
        <v>113</v>
      </c>
      <c r="Y64" s="69" t="s">
        <v>113</v>
      </c>
      <c r="Z64" s="67" t="s">
        <v>113</v>
      </c>
      <c r="AA64" s="67" t="s">
        <v>122</v>
      </c>
      <c r="AB64" s="67" t="s">
        <v>25</v>
      </c>
      <c r="AC64" s="67">
        <v>0</v>
      </c>
      <c r="AD64" s="57" t="s">
        <v>387</v>
      </c>
    </row>
    <row r="65" spans="1:30" ht="47.25" x14ac:dyDescent="0.25">
      <c r="A65" s="8" t="s">
        <v>81</v>
      </c>
      <c r="B65" s="67" t="s">
        <v>268</v>
      </c>
      <c r="C65" s="42">
        <f>IF(B65="","",VLOOKUP(AD65,Varsayımlar!$B:$Q,3,0))</f>
        <v>8698829380698</v>
      </c>
      <c r="D65" s="42" t="s">
        <v>159</v>
      </c>
      <c r="E65" s="42" t="s">
        <v>244</v>
      </c>
      <c r="F65" s="67">
        <v>20250825</v>
      </c>
      <c r="G65" s="42" t="s">
        <v>68</v>
      </c>
      <c r="H65" s="67" t="str">
        <f>IF(B65="","",VLOOKUP(AD65,Varsayımlar!$B:$Q,5,0))</f>
        <v xml:space="preserve">Tortillas Pizza 26cm </v>
      </c>
      <c r="I65" s="67">
        <f>IF(B65="","",VLOOKUP(AD65,Varsayımlar!B:T,19,0))</f>
        <v>0</v>
      </c>
      <c r="J65" s="67" t="str">
        <f>IF(B65="","",VLOOKUP(AD65,Varsayımlar!$B:$Q,6,0))</f>
        <v>SADE</v>
      </c>
      <c r="K65" s="67">
        <v>960</v>
      </c>
      <c r="L65" s="67"/>
      <c r="M65" s="67">
        <f>IFERROR(IF(B65="","",K65/VLOOKUP(AD65,Varsayımlar!B:R,17,0)),"")</f>
        <v>5</v>
      </c>
      <c r="N65" s="67"/>
      <c r="O65" s="67">
        <v>11</v>
      </c>
      <c r="P65" s="67">
        <f>IF(B65="","",VLOOKUP(AD65,Varsayımlar!$B:$Q,7,0)*K65)</f>
        <v>11520</v>
      </c>
      <c r="Q65" s="67">
        <f>IF(B65="","",VLOOKUP(AD65,Varsayımlar!$B:$Q,8,0))</f>
        <v>26</v>
      </c>
      <c r="R65" s="67" t="str">
        <f>IF(B65="","",VLOOKUP(AD65,Varsayımlar!$B:$Q,9,0))</f>
        <v>Soft-PA3</v>
      </c>
      <c r="S65" s="67">
        <f>IF(B65="","",VLOOKUP(AD65,Varsayımlar!$B:$Q,10,0))</f>
        <v>2</v>
      </c>
      <c r="T65" s="67">
        <f>IF(B65="","",VLOOKUP(AD65,Varsayımlar!$B:$Q,11,0))</f>
        <v>12</v>
      </c>
      <c r="U65" s="67">
        <f>IF(B65="","",VLOOKUP(AD65,Varsayımlar!$B:$Q,12,0))</f>
        <v>240</v>
      </c>
      <c r="V65" s="67" t="str">
        <f>IF(B65="","",VLOOKUP(AD65,Varsayımlar!$B:$Q,13,0))</f>
        <v>Yurtdışı</v>
      </c>
      <c r="W65" s="67">
        <f>IF(B65="","",VLOOKUP(AD65,Varsayımlar!$B:$Q,14,0))</f>
        <v>9</v>
      </c>
      <c r="X65" s="69">
        <v>46199</v>
      </c>
      <c r="Y65" s="69">
        <v>46472</v>
      </c>
      <c r="Z65" s="67">
        <v>26062626</v>
      </c>
      <c r="AA65" s="67" t="str">
        <f>IF(B65="","",VLOOKUP(AD65,Varsayımlar!$B:$Q,15,0))</f>
        <v>26 cm pizza kolisi-Etiketli</v>
      </c>
      <c r="AB65" s="67" t="str">
        <f>IF(B65="","",VLOOKUP(AD65,Varsayımlar!$B:$Q,16,0))</f>
        <v>24-26 cm (Macca Hetto Inkjet Uzun Tarih)</v>
      </c>
      <c r="AC65" s="67" t="e">
        <f>IF(B65="","",VLOOKUP(Sayfa1!AD83,Varsayımlar!B:S,18,0))</f>
        <v>#N/A</v>
      </c>
      <c r="AD65" s="57" t="str">
        <f>IF(B65="","",CONCATENATE(B65,E65))</f>
        <v>LAIKYUZHN-BELARUSTortillas Pizza 26cm 4pcs 480g</v>
      </c>
    </row>
    <row r="66" spans="1:30" ht="94.5" hidden="1" x14ac:dyDescent="0.25">
      <c r="A66" s="8" t="s">
        <v>82</v>
      </c>
      <c r="B66" s="62" t="s">
        <v>181</v>
      </c>
      <c r="C66" s="32">
        <f>IF(B66="","",VLOOKUP(AD66,Varsayımlar!$B:$Q,3,0))</f>
        <v>8698829380698</v>
      </c>
      <c r="D66" s="32"/>
      <c r="E66" s="62" t="s">
        <v>206</v>
      </c>
      <c r="F66" s="62">
        <v>26060101</v>
      </c>
      <c r="G66" s="32"/>
      <c r="H66" s="62" t="str">
        <f>IF(B66="","",VLOOKUP(AD66,Varsayımlar!$B:$Q,5,0))</f>
        <v>Pizza-6 26 cm</v>
      </c>
      <c r="I66" s="62" t="str">
        <f>IF(B66="","",VLOOKUP(AD66,Varsayımlar!B:T,19,0))</f>
        <v>Arka kısma Arnavutça içerik-Pizza 6</v>
      </c>
      <c r="J66" s="62" t="str">
        <f>IF(B66="","",VLOOKUP(AD66,Varsayımlar!$B:$Q,6,0))</f>
        <v>SADE</v>
      </c>
      <c r="K66" s="62">
        <v>120</v>
      </c>
      <c r="L66" s="62"/>
      <c r="M66" s="62">
        <f>IFERROR(IF(B66="","",K66/VLOOKUP(AD66,Varsayımlar!B:R,17,0)),"")</f>
        <v>1</v>
      </c>
      <c r="N66" s="62"/>
      <c r="O66" s="62">
        <v>2</v>
      </c>
      <c r="P66" s="62">
        <f>IF(B66="","",VLOOKUP(AD66,Varsayımlar!$B:$Q,7,0)*K66)</f>
        <v>720</v>
      </c>
      <c r="Q66" s="62">
        <f>IF(B66="","",VLOOKUP(AD66,Varsayımlar!$B:$Q,8,0))</f>
        <v>26</v>
      </c>
      <c r="R66" s="62" t="str">
        <f>IF(B66="","",VLOOKUP(AD66,Varsayımlar!$B:$Q,9,0))</f>
        <v>Irak Soft</v>
      </c>
      <c r="S66" s="62">
        <f>IF(B66="","",VLOOKUP(AD66,Varsayımlar!$B:$Q,10,0))</f>
        <v>4</v>
      </c>
      <c r="T66" s="62">
        <f>IF(B66="","",VLOOKUP(AD66,Varsayımlar!$B:$Q,11,0))</f>
        <v>6</v>
      </c>
      <c r="U66" s="62">
        <f>IF(B66="","",VLOOKUP(AD66,Varsayımlar!$B:$Q,12,0))</f>
        <v>480</v>
      </c>
      <c r="V66" s="62" t="str">
        <f>IF(B66="","",VLOOKUP(AD66,Varsayımlar!$B:$Q,13,0))</f>
        <v>YURTDIŞI</v>
      </c>
      <c r="W66" s="62">
        <f>IF(B66="","",VLOOKUP(AD66,Varsayımlar!$B:$Q,14,0))</f>
        <v>12</v>
      </c>
      <c r="X66" s="63">
        <v>46200</v>
      </c>
      <c r="Y66" s="63">
        <v>46565</v>
      </c>
      <c r="Z66" s="62">
        <v>26062726</v>
      </c>
      <c r="AA66" s="62" t="str">
        <f>IF(B66="","",VLOOKUP(AD66,Varsayımlar!$B:$Q,15,0))</f>
        <v>Pizza kolisi</v>
      </c>
      <c r="AB66" s="62" t="str">
        <f>IF(B66="","",VLOOKUP(AD66,Varsayımlar!$B:$Q,16,0))</f>
        <v>26 cm kesme -Beze 145-150g, Kesilmmeiş çap 27-28cm, Kesilmemiş ağı: 520-540g, Kesilmiş:475-485g</v>
      </c>
      <c r="AC66" s="62">
        <f>IF(B66="","",VLOOKUP(Sayfa1!AD84,Varsayımlar!B:S,18,0))</f>
        <v>0</v>
      </c>
      <c r="AD66" s="57" t="str">
        <f>IF(B66="","",CONCATENATE(B66,E66))</f>
        <v>ALDİ - KOSOVAPizza-6 26cm 4pcs 480g</v>
      </c>
    </row>
    <row r="67" spans="1:30" ht="45.75" hidden="1" customHeight="1" x14ac:dyDescent="0.25">
      <c r="A67" s="8" t="s">
        <v>83</v>
      </c>
      <c r="B67" s="130" t="s">
        <v>119</v>
      </c>
      <c r="C67" s="131">
        <f>IF(B67="","",VLOOKUP(AD67,Varsayımlar!$B:$Q,3,0))</f>
        <v>8698829380698</v>
      </c>
      <c r="D67" s="131"/>
      <c r="E67" s="132" t="s">
        <v>120</v>
      </c>
      <c r="F67" s="130"/>
      <c r="G67" s="130"/>
      <c r="H67" s="130" t="str">
        <f>IF(B67="","",VLOOKUP(AD67,Varsayımlar!$B:$Q,5,0))</f>
        <v>Nimet 25 cm</v>
      </c>
      <c r="I67" s="130"/>
      <c r="J67" s="130" t="str">
        <f>IF(B67="","",VLOOKUP(AD67,Varsayımlar!$B:$Q,6,0))</f>
        <v>SADE</v>
      </c>
      <c r="K67" s="130">
        <v>1500</v>
      </c>
      <c r="L67" s="130"/>
      <c r="M67" s="130">
        <f>IFERROR(IF(B67="","",K67/VLOOKUP(AD67,Varsayımlar!B:R,17,0)),"")</f>
        <v>30</v>
      </c>
      <c r="N67" s="130"/>
      <c r="O67" s="130">
        <v>30</v>
      </c>
      <c r="P67" s="130">
        <f>IF(B67="","",VLOOKUP(AD67,Varsayımlar!$B:$Q,7,0)*K67)</f>
        <v>18000</v>
      </c>
      <c r="Q67" s="130">
        <f>IF(B67="","",VLOOKUP(AD67,Varsayımlar!$B:$Q,8,0))</f>
        <v>25</v>
      </c>
      <c r="R67" s="130" t="str">
        <f>IF(B67="","",VLOOKUP(AD67,Varsayımlar!$B:$Q,9,0))</f>
        <v>Standart</v>
      </c>
      <c r="S67" s="130">
        <f>IF(B67="","",VLOOKUP(AD67,Varsayımlar!$B:$Q,10,0))</f>
        <v>12</v>
      </c>
      <c r="T67" s="130">
        <f>IF(B67="","",VLOOKUP(AD67,Varsayımlar!$B:$Q,11,0))</f>
        <v>12</v>
      </c>
      <c r="U67" s="130">
        <f>IF(B67="","",VLOOKUP(AD67,Varsayımlar!$B:$Q,12,0))</f>
        <v>840</v>
      </c>
      <c r="V67" s="130" t="str">
        <f>IF(B67="","",VLOOKUP(AD67,Varsayımlar!$B:$Q,13,0))</f>
        <v>YURTİÇİ</v>
      </c>
      <c r="W67" s="130">
        <f>IF(B67="","",VLOOKUP(AD67,Varsayımlar!$B:$Q,14,0))</f>
        <v>5</v>
      </c>
      <c r="X67" s="133" t="s">
        <v>113</v>
      </c>
      <c r="Y67" s="133" t="s">
        <v>113</v>
      </c>
      <c r="Z67" s="130" t="s">
        <v>113</v>
      </c>
      <c r="AA67" s="130" t="str">
        <f>IF(B67="","",VLOOKUP(AD67,Varsayımlar!$B:$Q,15,0))</f>
        <v>Nimet Kolisi</v>
      </c>
      <c r="AB67" s="130" t="str">
        <f>IF(B67="","",VLOOKUP(AD67,Varsayımlar!$B:$Q,16,0))</f>
        <v>24-26 CM</v>
      </c>
      <c r="AC67" s="64" t="s">
        <v>360</v>
      </c>
      <c r="AD67" s="57" t="str">
        <f>IF(B67="","",CONCATENATE(B67,E67))</f>
        <v>A101Nimet 25cm 12 pcs 840g</v>
      </c>
    </row>
    <row r="68" spans="1:30" ht="94.5" hidden="1" x14ac:dyDescent="0.25">
      <c r="A68" s="8" t="s">
        <v>84</v>
      </c>
      <c r="B68" s="80" t="s">
        <v>218</v>
      </c>
      <c r="C68" s="44">
        <f>IF(B68="","",VLOOKUP(AD68,Varsayımlar!$B:$Q,3,0))</f>
        <v>8698829380698</v>
      </c>
      <c r="D68" s="44" t="s">
        <v>160</v>
      </c>
      <c r="E68" s="80" t="s">
        <v>244</v>
      </c>
      <c r="F68" s="80">
        <v>26042907</v>
      </c>
      <c r="G68" s="44"/>
      <c r="H68" s="80" t="str">
        <f>IF(B68="","",VLOOKUP(AD68,Varsayımlar!$B:$Q,5,0))</f>
        <v>Tortillas Avrupa Pizza 26cm (742)</v>
      </c>
      <c r="I68" s="80">
        <f>IF(B68="","",VLOOKUP(AD68,Varsayımlar!B:T,19,0))</f>
        <v>0</v>
      </c>
      <c r="J68" s="80" t="str">
        <f>IF(B68="","",VLOOKUP(AD68,Varsayımlar!$B:$Q,6,0))</f>
        <v>SADE</v>
      </c>
      <c r="K68" s="80">
        <v>720</v>
      </c>
      <c r="L68" s="80"/>
      <c r="M68" s="80">
        <f>IFERROR(IF(B68="","",K68/VLOOKUP(AD68,Varsayımlar!B:R,17,0)),"")</f>
        <v>6</v>
      </c>
      <c r="N68" s="80"/>
      <c r="O68" s="80">
        <v>9</v>
      </c>
      <c r="P68" s="80">
        <f>IF(B68="","",VLOOKUP(AD68,Varsayımlar!$B:$Q,7,0)*K68)</f>
        <v>5760</v>
      </c>
      <c r="Q68" s="80">
        <f>IF(B68="","",VLOOKUP(AD68,Varsayımlar!$B:$Q,8,0))</f>
        <v>26</v>
      </c>
      <c r="R68" s="80" t="str">
        <f>IF(B68="","",VLOOKUP(AD68,Varsayımlar!$B:$Q,9,0))</f>
        <v>Irak Soft</v>
      </c>
      <c r="S68" s="80">
        <f>IF(B68="","",VLOOKUP(AD68,Varsayımlar!$B:$Q,10,0))</f>
        <v>4</v>
      </c>
      <c r="T68" s="80">
        <f>IF(B68="","",VLOOKUP(AD68,Varsayımlar!$B:$Q,11,0))</f>
        <v>8</v>
      </c>
      <c r="U68" s="80">
        <f>IF(B68="","",VLOOKUP(AD68,Varsayımlar!$B:$Q,12,0))</f>
        <v>480</v>
      </c>
      <c r="V68" s="80" t="str">
        <f>IF(B68="","",VLOOKUP(AD68,Varsayımlar!$B:$Q,13,0))</f>
        <v>Yurtdışı</v>
      </c>
      <c r="W68" s="80">
        <f>IF(B68="","",VLOOKUP(AD68,Varsayımlar!$B:$Q,14,0))</f>
        <v>9</v>
      </c>
      <c r="X68" s="81">
        <v>46203</v>
      </c>
      <c r="Y68" s="81">
        <v>46476</v>
      </c>
      <c r="Z68" s="80">
        <v>26063026</v>
      </c>
      <c r="AA68" s="80" t="str">
        <f>IF(B68="","",VLOOKUP(AD68,Varsayımlar!$B:$Q,15,0))</f>
        <v>26cm Pizza Perforeli-Bulgarca Etiket</v>
      </c>
      <c r="AB68" s="80" t="str">
        <f>IF(B68="","",VLOOKUP(AD68,Varsayımlar!$B:$Q,16,0))</f>
        <v>26 cm kesme -Beze 145-150g, Kesilmmeiş çap 27-28cm, Kesilmemiş ağı: 520-540g, Kesilmiş:475-485g</v>
      </c>
      <c r="AC68" s="80" t="str">
        <f>IF(B68="","",VLOOKUP(Sayfa1!AD80,Varsayımlar!B:S,18,0))</f>
        <v>80x120cm -Epal+Epal</v>
      </c>
      <c r="AD68" s="57" t="str">
        <f t="shared" ref="AD68:AD74" si="6">IF(B68="","",CONCATENATE(B68,E68))</f>
        <v>TASTE LAND-BULGARİSTANTortillas Pizza 26cm 4pcs 480g</v>
      </c>
    </row>
    <row r="69" spans="1:30" ht="47.25" hidden="1" x14ac:dyDescent="0.25">
      <c r="A69" s="8" t="s">
        <v>85</v>
      </c>
      <c r="B69" s="54" t="s">
        <v>268</v>
      </c>
      <c r="C69" s="39">
        <f>IF(B69="","",VLOOKUP(AD69,Varsayımlar!$B:$Q,3,0))</f>
        <v>8698829380698</v>
      </c>
      <c r="D69" s="39" t="s">
        <v>160</v>
      </c>
      <c r="E69" s="39" t="s">
        <v>244</v>
      </c>
      <c r="F69" s="54" t="s">
        <v>343</v>
      </c>
      <c r="G69" s="39" t="s">
        <v>68</v>
      </c>
      <c r="H69" s="54" t="str">
        <f>IF(B69="","",VLOOKUP(AD69,Varsayımlar!$B:$Q,5,0))</f>
        <v xml:space="preserve">Tortillas Pizza 26cm </v>
      </c>
      <c r="I69" s="54">
        <f>IF(B69="","",VLOOKUP(AD69,Varsayımlar!B:T,19,0))</f>
        <v>0</v>
      </c>
      <c r="J69" s="54" t="str">
        <f>IF(B69="","",VLOOKUP(AD69,Varsayımlar!$B:$Q,6,0))</f>
        <v>SADE</v>
      </c>
      <c r="K69" s="54">
        <v>768</v>
      </c>
      <c r="L69" s="54"/>
      <c r="M69" s="54">
        <f>IFERROR(IF(B69="","",K69/VLOOKUP(AD69,Varsayımlar!B:R,17,0)),"")</f>
        <v>4</v>
      </c>
      <c r="N69" s="54"/>
      <c r="O69" s="54">
        <v>9</v>
      </c>
      <c r="P69" s="54">
        <f>IF(B69="","",VLOOKUP(AD69,Varsayımlar!$B:$Q,7,0)*K69)</f>
        <v>9216</v>
      </c>
      <c r="Q69" s="54">
        <f>IF(B69="","",VLOOKUP(AD69,Varsayımlar!$B:$Q,8,0))</f>
        <v>26</v>
      </c>
      <c r="R69" s="54" t="str">
        <f>IF(B69="","",VLOOKUP(AD69,Varsayımlar!$B:$Q,9,0))</f>
        <v>Soft-PA3</v>
      </c>
      <c r="S69" s="54">
        <f>IF(B69="","",VLOOKUP(AD69,Varsayımlar!$B:$Q,10,0))</f>
        <v>2</v>
      </c>
      <c r="T69" s="54">
        <f>IF(B69="","",VLOOKUP(AD69,Varsayımlar!$B:$Q,11,0))</f>
        <v>12</v>
      </c>
      <c r="U69" s="54">
        <f>IF(B69="","",VLOOKUP(AD69,Varsayımlar!$B:$Q,12,0))</f>
        <v>240</v>
      </c>
      <c r="V69" s="54" t="str">
        <f>IF(B69="","",VLOOKUP(AD69,Varsayımlar!$B:$Q,13,0))</f>
        <v>Yurtdışı</v>
      </c>
      <c r="W69" s="54">
        <f>IF(B69="","",VLOOKUP(AD69,Varsayımlar!$B:$Q,14,0))</f>
        <v>9</v>
      </c>
      <c r="X69" s="56">
        <v>46205</v>
      </c>
      <c r="Y69" s="56">
        <v>46479</v>
      </c>
      <c r="Z69" s="54">
        <v>26070226</v>
      </c>
      <c r="AA69" s="54" t="str">
        <f>IF(B69="","",VLOOKUP(AD69,Varsayımlar!$B:$Q,15,0))</f>
        <v>26 cm pizza kolisi-Etiketli</v>
      </c>
      <c r="AB69" s="54" t="str">
        <f>IF(B69="","",VLOOKUP(AD69,Varsayımlar!$B:$Q,16,0))</f>
        <v>24-26 cm (Macca Hetto Inkjet Uzun Tarih)</v>
      </c>
      <c r="AC69" s="54" t="e">
        <f>IF(B69="","",VLOOKUP(Sayfa1!AD83,Varsayımlar!B:S,18,0))</f>
        <v>#N/A</v>
      </c>
      <c r="AD69" s="57" t="str">
        <f>IF(B69="","",CONCATENATE(B69,E69))</f>
        <v>LAIKYUZHN-BELARUSTortillas Pizza 26cm 4pcs 480g</v>
      </c>
    </row>
    <row r="70" spans="1:30" ht="26.25" hidden="1" customHeight="1" x14ac:dyDescent="0.25">
      <c r="A70" s="8" t="s">
        <v>86</v>
      </c>
      <c r="B70" s="67" t="s">
        <v>119</v>
      </c>
      <c r="C70" s="42">
        <v>8698829380698</v>
      </c>
      <c r="D70" s="42"/>
      <c r="E70" s="42" t="s">
        <v>120</v>
      </c>
      <c r="F70" s="67"/>
      <c r="G70" s="42"/>
      <c r="H70" s="67" t="s">
        <v>121</v>
      </c>
      <c r="I70" s="67">
        <v>0</v>
      </c>
      <c r="J70" s="67" t="s">
        <v>19</v>
      </c>
      <c r="K70" s="67">
        <v>2000</v>
      </c>
      <c r="L70" s="67"/>
      <c r="M70" s="67">
        <v>80</v>
      </c>
      <c r="N70" s="67">
        <v>50</v>
      </c>
      <c r="O70" s="67">
        <v>54</v>
      </c>
      <c r="P70" s="67">
        <v>48000</v>
      </c>
      <c r="Q70" s="67">
        <v>25</v>
      </c>
      <c r="R70" s="67" t="s">
        <v>116</v>
      </c>
      <c r="S70" s="67">
        <v>12</v>
      </c>
      <c r="T70" s="67">
        <v>12</v>
      </c>
      <c r="U70" s="67">
        <v>840</v>
      </c>
      <c r="V70" s="67" t="s">
        <v>72</v>
      </c>
      <c r="W70" s="67">
        <v>5</v>
      </c>
      <c r="X70" s="69" t="s">
        <v>113</v>
      </c>
      <c r="Y70" s="69" t="s">
        <v>113</v>
      </c>
      <c r="Z70" s="67" t="s">
        <v>113</v>
      </c>
      <c r="AA70" s="67" t="s">
        <v>122</v>
      </c>
      <c r="AB70" s="67" t="s">
        <v>25</v>
      </c>
      <c r="AC70" s="67">
        <v>0</v>
      </c>
      <c r="AD70" s="57" t="s">
        <v>387</v>
      </c>
    </row>
    <row r="71" spans="1:30" ht="94.5" hidden="1" x14ac:dyDescent="0.25">
      <c r="A71" s="8" t="s">
        <v>87</v>
      </c>
      <c r="B71" s="75" t="s">
        <v>218</v>
      </c>
      <c r="C71" s="43">
        <f>IF(B71="","",VLOOKUP(AD71,Varsayımlar!$B:$Q,3,0))</f>
        <v>8698829380698</v>
      </c>
      <c r="D71" s="43" t="s">
        <v>161</v>
      </c>
      <c r="E71" s="75" t="s">
        <v>244</v>
      </c>
      <c r="F71" s="75" t="s">
        <v>341</v>
      </c>
      <c r="G71" s="43"/>
      <c r="H71" s="75" t="str">
        <f>IF(B71="","",VLOOKUP(AD71,Varsayımlar!$B:$Q,5,0))</f>
        <v>Tortillas Avrupa Pizza 26cm (742)</v>
      </c>
      <c r="I71" s="75">
        <f>IF(B71="","",VLOOKUP(AD71,Varsayımlar!B:T,19,0))</f>
        <v>0</v>
      </c>
      <c r="J71" s="75" t="str">
        <f>IF(B71="","",VLOOKUP(AD71,Varsayımlar!$B:$Q,6,0))</f>
        <v>SADE</v>
      </c>
      <c r="K71" s="75">
        <v>840</v>
      </c>
      <c r="L71" s="75"/>
      <c r="M71" s="75">
        <f>IFERROR(IF(B71="","",K71/VLOOKUP(AD71,Varsayımlar!B:R,17,0)),"")</f>
        <v>7</v>
      </c>
      <c r="N71" s="75"/>
      <c r="O71" s="75">
        <v>11</v>
      </c>
      <c r="P71" s="75">
        <f>IF(B71="","",VLOOKUP(AD71,Varsayımlar!$B:$Q,7,0)*K71)</f>
        <v>6720</v>
      </c>
      <c r="Q71" s="75">
        <f>IF(B71="","",VLOOKUP(AD71,Varsayımlar!$B:$Q,8,0))</f>
        <v>26</v>
      </c>
      <c r="R71" s="75" t="str">
        <f>IF(B71="","",VLOOKUP(AD71,Varsayımlar!$B:$Q,9,0))</f>
        <v>Irak Soft</v>
      </c>
      <c r="S71" s="75">
        <f>IF(B71="","",VLOOKUP(AD71,Varsayımlar!$B:$Q,10,0))</f>
        <v>4</v>
      </c>
      <c r="T71" s="75">
        <f>IF(B71="","",VLOOKUP(AD71,Varsayımlar!$B:$Q,11,0))</f>
        <v>8</v>
      </c>
      <c r="U71" s="75">
        <f>IF(B71="","",VLOOKUP(AD71,Varsayımlar!$B:$Q,12,0))</f>
        <v>480</v>
      </c>
      <c r="V71" s="75" t="str">
        <f>IF(B71="","",VLOOKUP(AD71,Varsayımlar!$B:$Q,13,0))</f>
        <v>Yurtdışı</v>
      </c>
      <c r="W71" s="75">
        <f>IF(B71="","",VLOOKUP(AD71,Varsayımlar!$B:$Q,14,0))</f>
        <v>9</v>
      </c>
      <c r="X71" s="76">
        <v>46213</v>
      </c>
      <c r="Y71" s="76">
        <v>46487</v>
      </c>
      <c r="Z71" s="75">
        <v>26071026</v>
      </c>
      <c r="AA71" s="75" t="str">
        <f>IF(B71="","",VLOOKUP(AD71,Varsayımlar!$B:$Q,15,0))</f>
        <v>26cm Pizza Perforeli-Bulgarca Etiket</v>
      </c>
      <c r="AB71" s="75" t="str">
        <f>IF(B71="","",VLOOKUP(AD71,Varsayımlar!$B:$Q,16,0))</f>
        <v>26 cm kesme -Beze 145-150g, Kesilmmeiş çap 27-28cm, Kesilmemiş ağı: 520-540g, Kesilmiş:475-485g</v>
      </c>
      <c r="AC71" s="75" t="str">
        <f>IF(B71="","",VLOOKUP(Sayfa1!AD81,Varsayımlar!B:S,18,0))</f>
        <v>80x120cm -Epal+Epal</v>
      </c>
      <c r="AD71" s="57" t="str">
        <f t="shared" si="6"/>
        <v>TASTE LAND-BULGARİSTANTortillas Pizza 26cm 4pcs 480g</v>
      </c>
    </row>
    <row r="72" spans="1:30" hidden="1" x14ac:dyDescent="0.25">
      <c r="A72" s="8" t="s">
        <v>88</v>
      </c>
      <c r="B72" s="67" t="s">
        <v>460</v>
      </c>
      <c r="C72" s="42">
        <f>IF(B72="","",VLOOKUP(AD72,Varsayımlar!$B:$Q,3,0))</f>
        <v>8698829380698</v>
      </c>
      <c r="D72" s="67" t="s">
        <v>160</v>
      </c>
      <c r="E72" s="67" t="s">
        <v>461</v>
      </c>
      <c r="F72" s="67">
        <v>20260414</v>
      </c>
      <c r="G72" s="67"/>
      <c r="H72" s="67" t="str">
        <f>IF(B72="","",VLOOKUP(AD72,Varsayımlar!$B:$Q,5,0))</f>
        <v xml:space="preserve">Tortillove 15cm </v>
      </c>
      <c r="I72" s="67">
        <f>IF(B72="","",VLOOKUP(AD72,Varsayımlar!B:T,19,0))</f>
        <v>0</v>
      </c>
      <c r="J72" s="67" t="str">
        <f>IF(B72="","",VLOOKUP(AD72,Varsayımlar!$B:$Q,6,0))</f>
        <v>SADE</v>
      </c>
      <c r="K72" s="67">
        <v>300</v>
      </c>
      <c r="L72" s="67"/>
      <c r="M72" s="67">
        <f>IFERROR(IF(B72="","",K72/VLOOKUP(AD72,Varsayımlar!B:R,17,0)),"")</f>
        <v>3</v>
      </c>
      <c r="N72" s="67"/>
      <c r="O72" s="67">
        <v>9</v>
      </c>
      <c r="P72" s="67">
        <f>IF(B72="","",VLOOKUP(AD72,Varsayımlar!$B:$Q,7,0)*K72)</f>
        <v>3600</v>
      </c>
      <c r="Q72" s="67">
        <f>IF(B72="","",VLOOKUP(AD72,Varsayımlar!$B:$Q,8,0))</f>
        <v>15</v>
      </c>
      <c r="R72" s="67" t="str">
        <f>IF(B72="","",VLOOKUP(AD72,Varsayımlar!$B:$Q,9,0))</f>
        <v>Irak Soft</v>
      </c>
      <c r="S72" s="67">
        <f>IF(B72="","",VLOOKUP(AD72,Varsayımlar!$B:$Q,10,0))</f>
        <v>10</v>
      </c>
      <c r="T72" s="67">
        <f>IF(B72="","",VLOOKUP(AD72,Varsayımlar!$B:$Q,11,0))</f>
        <v>12</v>
      </c>
      <c r="U72" s="67">
        <f>IF(B72="","",VLOOKUP(AD72,Varsayımlar!$B:$Q,12,0))</f>
        <v>250</v>
      </c>
      <c r="V72" s="67" t="str">
        <f>IF(B72="","",VLOOKUP(AD72,Varsayımlar!$B:$Q,13,0))</f>
        <v>Yurtdışı</v>
      </c>
      <c r="W72" s="67">
        <f>IF(B72="","",VLOOKUP(AD72,Varsayımlar!$B:$Q,14,0))</f>
        <v>6</v>
      </c>
      <c r="X72" s="69">
        <v>46216</v>
      </c>
      <c r="Y72" s="69">
        <v>46400</v>
      </c>
      <c r="Z72" s="67">
        <v>26071315</v>
      </c>
      <c r="AA72" s="67" t="str">
        <f>IF(B72="","",VLOOKUP(AD72,Varsayımlar!$B:$Q,15,0))</f>
        <v>15cm koli</v>
      </c>
      <c r="AB72" s="67" t="str">
        <f>IF(B72="","",VLOOKUP(AD72,Varsayımlar!$B:$Q,16,0))</f>
        <v>14-16 cm</v>
      </c>
      <c r="AC72" s="80">
        <f>IF(B72="","",VLOOKUP(Sayfa1!AD85,Varsayımlar!B:S,18,0))</f>
        <v>0</v>
      </c>
      <c r="AD72" s="57" t="str">
        <f t="shared" ref="AD72" si="7">IF(B72="","",CONCATENATE(B72,E72))</f>
        <v>Yüksekbaş GıdaYüksekbaş 15cm 10 pcs 250g</v>
      </c>
    </row>
    <row r="73" spans="1:30" hidden="1" x14ac:dyDescent="0.25">
      <c r="A73" s="8" t="s">
        <v>89</v>
      </c>
      <c r="B73" s="86"/>
      <c r="C73" s="87" t="str">
        <f>IF(B73="","",VLOOKUP(AD73,Varsayımlar!$B:$Q,3,0))</f>
        <v/>
      </c>
      <c r="D73" s="87"/>
      <c r="H73" s="57" t="str">
        <f>IF(B73="","",VLOOKUP(AD73,Varsayımlar!$B:$Q,5,0))</f>
        <v/>
      </c>
      <c r="I73" s="57"/>
      <c r="J73" s="57" t="str">
        <f>IF(B73="","",VLOOKUP(AD73,Varsayımlar!$B:$Q,6,0))</f>
        <v/>
      </c>
      <c r="P73" s="57" t="str">
        <f>IF(B73="","",VLOOKUP(AD73,Varsayımlar!$B:$Q,7,0)*K73)</f>
        <v/>
      </c>
      <c r="Q73" s="57" t="str">
        <f>IF(B73="","",VLOOKUP(AD73,Varsayımlar!$B:$Q,8,0))</f>
        <v/>
      </c>
      <c r="R73" s="57" t="str">
        <f>IF(B73="","",VLOOKUP(AD73,Varsayımlar!$B:$Q,9,0))</f>
        <v/>
      </c>
      <c r="S73" s="57" t="str">
        <f>IF(B73="","",VLOOKUP(AD73,Varsayımlar!$B:$Q,10,0))</f>
        <v/>
      </c>
      <c r="T73" s="57" t="str">
        <f>IF(B73="","",VLOOKUP(AD73,Varsayımlar!$B:$Q,11,0))</f>
        <v/>
      </c>
      <c r="U73" s="57" t="str">
        <f>IF(B73="","",VLOOKUP(AD73,Varsayımlar!$B:$Q,12,0))</f>
        <v/>
      </c>
      <c r="V73" s="57" t="str">
        <f>IF(B73="","",VLOOKUP(AD73,Varsayımlar!$B:$Q,13,0))</f>
        <v/>
      </c>
      <c r="W73" s="57" t="str">
        <f>IF(B73="","",VLOOKUP(AD73,Varsayımlar!$B:$Q,14,0))</f>
        <v/>
      </c>
      <c r="AA73" s="57" t="str">
        <f>IF(B73="","",VLOOKUP(AD73,Varsayımlar!$B:$Q,15,0))</f>
        <v/>
      </c>
      <c r="AB73" s="57" t="str">
        <f>IF(B73="","",VLOOKUP(AD73,Varsayımlar!$B:$Q,16,0))</f>
        <v/>
      </c>
      <c r="AC73" s="57" t="str">
        <f>IF(B73="","",VLOOKUP(Sayfa1!AD93,Varsayımlar!B:S,18,0))</f>
        <v/>
      </c>
      <c r="AD73" s="57" t="str">
        <f t="shared" si="6"/>
        <v/>
      </c>
    </row>
    <row r="74" spans="1:30" x14ac:dyDescent="0.25">
      <c r="C74" s="53" t="str">
        <f>IF(B74="","",VLOOKUP(AD74,Varsayımlar!$B:$Q,3,0))</f>
        <v/>
      </c>
      <c r="H74" s="7" t="str">
        <f>IF(B74="","",VLOOKUP(AD74,Varsayımlar!$B:$Q,5,0))</f>
        <v/>
      </c>
      <c r="J74" s="7" t="str">
        <f>IF(B74="","",VLOOKUP(AD74,Varsayımlar!$B:$Q,6,0))</f>
        <v/>
      </c>
      <c r="P74" s="7" t="str">
        <f>IF(B74="","",VLOOKUP(AD74,Varsayımlar!$B:$Q,7,0)*K74)</f>
        <v/>
      </c>
      <c r="Q74" s="7" t="str">
        <f>IF(B74="","",VLOOKUP(AD74,Varsayımlar!$B:$Q,8,0))</f>
        <v/>
      </c>
      <c r="R74" s="7" t="str">
        <f>IF(B74="","",VLOOKUP(AD74,Varsayımlar!$B:$Q,9,0))</f>
        <v/>
      </c>
      <c r="S74" s="7" t="str">
        <f>IF(B74="","",VLOOKUP(AD74,Varsayımlar!$B:$Q,10,0))</f>
        <v/>
      </c>
      <c r="T74" s="7" t="str">
        <f>IF(B74="","",VLOOKUP(AD74,Varsayımlar!$B:$Q,11,0))</f>
        <v/>
      </c>
      <c r="U74" s="7" t="str">
        <f>IF(B74="","",VLOOKUP(AD74,Varsayımlar!$B:$Q,12,0))</f>
        <v/>
      </c>
      <c r="V74" s="7" t="str">
        <f>IF(B74="","",VLOOKUP(AD74,Varsayımlar!$B:$Q,13,0))</f>
        <v/>
      </c>
      <c r="W74" s="7" t="str">
        <f>IF(B74="","",VLOOKUP(AD74,Varsayımlar!$B:$Q,14,0))</f>
        <v/>
      </c>
      <c r="AA74" s="7" t="str">
        <f>IF(B74="","",VLOOKUP(AD74,Varsayımlar!$B:$Q,15,0))</f>
        <v/>
      </c>
      <c r="AB74" s="7" t="str">
        <f>IF(B74="","",VLOOKUP(AD74,Varsayımlar!$B:$Q,16,0))</f>
        <v/>
      </c>
      <c r="AC74" s="7" t="str">
        <f>IF(B74="","",VLOOKUP(Sayfa1!AD94,Varsayımlar!B:S,18,0))</f>
        <v/>
      </c>
      <c r="AD74" s="7" t="str">
        <f t="shared" si="6"/>
        <v/>
      </c>
    </row>
  </sheetData>
  <mergeCells count="6">
    <mergeCell ref="A58:AB58"/>
    <mergeCell ref="A1:AC1"/>
    <mergeCell ref="A2:Z2"/>
    <mergeCell ref="AB2:AC2"/>
    <mergeCell ref="B5:AB5"/>
    <mergeCell ref="A38:AB38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37" fitToHeight="2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"/>
  <sheetViews>
    <sheetView zoomScale="70" zoomScaleNormal="70" workbookViewId="0">
      <selection activeCell="F1" sqref="A1:XFD1048576"/>
    </sheetView>
  </sheetViews>
  <sheetFormatPr defaultRowHeight="15.75" x14ac:dyDescent="0.25"/>
  <cols>
    <col min="1" max="1" width="5.85546875" style="7" bestFit="1" customWidth="1"/>
    <col min="2" max="2" width="17" style="7" bestFit="1" customWidth="1"/>
    <col min="3" max="3" width="26.5703125" style="53" customWidth="1"/>
    <col min="4" max="4" width="10.85546875" style="53" customWidth="1"/>
    <col min="5" max="5" width="42" style="53" customWidth="1"/>
    <col min="6" max="6" width="17.7109375" style="7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1.42578125" style="7" customWidth="1"/>
    <col min="23" max="23" width="8.5703125" style="7" bestFit="1" customWidth="1"/>
    <col min="24" max="24" width="13.140625" style="7" bestFit="1" customWidth="1"/>
    <col min="25" max="25" width="16" style="7" customWidth="1"/>
    <col min="26" max="26" width="14.140625" style="7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38.85546875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46195</v>
      </c>
      <c r="AB2" s="185">
        <v>0.5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63" x14ac:dyDescent="0.25">
      <c r="A4" s="8" t="s">
        <v>26</v>
      </c>
      <c r="B4" s="117" t="s">
        <v>53</v>
      </c>
      <c r="C4" s="118">
        <f>IF(B4="","",VLOOKUP(AD4,Varsayımlar!$B:$Q,3,0))</f>
        <v>8698829380698</v>
      </c>
      <c r="D4" s="117" t="s">
        <v>403</v>
      </c>
      <c r="E4" s="117" t="s">
        <v>54</v>
      </c>
      <c r="F4" s="117"/>
      <c r="G4" s="117" t="s">
        <v>404</v>
      </c>
      <c r="H4" s="117" t="str">
        <f>IF(B4="","",VLOOKUP(AD4,Varsayımlar!$B:$Q,5,0))</f>
        <v>MAGNİT MAVİ AMBALAJ 25CM</v>
      </c>
      <c r="I4" s="117">
        <f>IF(B4="","",VLOOKUP(AD4,Varsayımlar!B:T,19,0))</f>
        <v>0</v>
      </c>
      <c r="J4" s="117" t="str">
        <f>IF(B4="","",VLOOKUP(AD4,Varsayımlar!$B:$Q,6,0))</f>
        <v>SADE</v>
      </c>
      <c r="K4" s="117">
        <v>2016</v>
      </c>
      <c r="L4" s="117"/>
      <c r="M4" s="117" t="str">
        <f>IFERROR(IF(B4="","",K4/VLOOKUP(AD4,#REF!,17,0)),"")</f>
        <v/>
      </c>
      <c r="N4" s="117"/>
      <c r="O4" s="117">
        <v>7</v>
      </c>
      <c r="P4" s="117">
        <f>IF(B4="","",VLOOKUP(AD4,Varsayımlar!$B:$Q,7,0)*K4)</f>
        <v>60480</v>
      </c>
      <c r="Q4" s="117">
        <f>IF(B4="","",VLOOKUP(AD4,Varsayımlar!$B:$Q,8,0))</f>
        <v>25</v>
      </c>
      <c r="R4" s="117" t="str">
        <f>IF(B4="","",VLOOKUP(AD4,Varsayımlar!$B:$Q,9,0))</f>
        <v>SOFT</v>
      </c>
      <c r="S4" s="117">
        <f>IF(B4="","",VLOOKUP(AD4,Varsayımlar!$B:$Q,10,0))</f>
        <v>4</v>
      </c>
      <c r="T4" s="117">
        <f>IF(B4="","",VLOOKUP(AD4,Varsayımlar!$B:$Q,11,0))</f>
        <v>30</v>
      </c>
      <c r="U4" s="117">
        <f>IF(B4="","",VLOOKUP(AD4,Varsayımlar!$B:$Q,12,0))</f>
        <v>260</v>
      </c>
      <c r="V4" s="117" t="str">
        <f>IF(B4="","",VLOOKUP(AD4,Varsayımlar!$B:$Q,13,0))</f>
        <v>YURTDIŞI</v>
      </c>
      <c r="W4" s="117">
        <f>IF(B4="","",VLOOKUP(AD4,Varsayımlar!$B:$Q,14,0))</f>
        <v>9</v>
      </c>
      <c r="X4" s="122">
        <v>46193</v>
      </c>
      <c r="Y4" s="122">
        <v>46466</v>
      </c>
      <c r="Z4" s="117" t="s">
        <v>405</v>
      </c>
      <c r="AA4" s="117" t="str">
        <f>IF(B4="","",VLOOKUP(AD4,Varsayımlar!$B:$Q,15,0))</f>
        <v>25CM TURUNCU KOLİ-SOL ÜST DİKDÖRTGENE ÜRETİM TARİHİ BASILACAK</v>
      </c>
      <c r="AB4" s="117" t="str">
        <f>IF(B4="","",VLOOKUP(AD4,Varsayımlar!$B:$Q,16,0))</f>
        <v>24-26 CM</v>
      </c>
      <c r="AC4" s="73" t="e">
        <f>IF(B4="","",VLOOKUP(#REF!,#REF!,18,0))</f>
        <v>#REF!</v>
      </c>
      <c r="AD4" s="73" t="str">
        <f>IF(B4="","",CONCATENATE(B4,E4))</f>
        <v>MAGNİTMAGNİT MAVİ AMBALAJ 25 CM 260G</v>
      </c>
    </row>
    <row r="5" spans="1:30" ht="31.5" x14ac:dyDescent="0.25">
      <c r="A5" s="8" t="s">
        <v>77</v>
      </c>
      <c r="B5" s="64" t="s">
        <v>64</v>
      </c>
      <c r="C5" s="3">
        <f>IF(B5="","",VLOOKUP(AD5,Varsayımlar!$B:$Q,3,0))</f>
        <v>8698829380698</v>
      </c>
      <c r="D5" s="3"/>
      <c r="E5" s="64" t="s">
        <v>296</v>
      </c>
      <c r="F5" s="64">
        <v>31</v>
      </c>
      <c r="G5" s="3" t="s">
        <v>68</v>
      </c>
      <c r="H5" s="64" t="str">
        <f>IF(B5="","",VLOOKUP(AD5,Varsayımlar!$B:$Q,5,0))</f>
        <v>Tortillas 20cm Çok Tahıllı</v>
      </c>
      <c r="I5" s="64">
        <f>IF(B5="","",VLOOKUP(AD5,Varsayımlar!B:T,19,0))</f>
        <v>0</v>
      </c>
      <c r="J5" s="64" t="str">
        <f>IF(B5="","",VLOOKUP(AD5,Varsayımlar!$B:$Q,6,0))</f>
        <v>Çok Tahıllı</v>
      </c>
      <c r="K5" s="64">
        <v>1800</v>
      </c>
      <c r="L5" s="64"/>
      <c r="M5" s="64">
        <f>IFERROR(IF(B5="","",K5/VLOOKUP(AD5,Varsayımlar!B:R,17,0)),"")</f>
        <v>8</v>
      </c>
      <c r="N5" s="64"/>
      <c r="O5" s="64">
        <v>15</v>
      </c>
      <c r="P5" s="64">
        <f>IF(B5="","",VLOOKUP(AD5,Varsayımlar!$B:$Q,7,0)*K5)</f>
        <v>25200</v>
      </c>
      <c r="Q5" s="64">
        <f>IF(B5="","",VLOOKUP(AD5,Varsayımlar!$B:$Q,8,0))</f>
        <v>20</v>
      </c>
      <c r="R5" s="64" t="str">
        <f>IF(B5="","",VLOOKUP(AD5,Varsayımlar!$B:$Q,9,0))</f>
        <v>Irak Soft</v>
      </c>
      <c r="S5" s="64">
        <f>IF(B5="","",VLOOKUP(AD5,Varsayımlar!$B:$Q,10,0))</f>
        <v>4</v>
      </c>
      <c r="T5" s="64">
        <f>IF(B5="","",VLOOKUP(AD5,Varsayımlar!$B:$Q,11,0))</f>
        <v>14</v>
      </c>
      <c r="U5" s="64">
        <f>IF(B5="","",VLOOKUP(AD5,Varsayımlar!$B:$Q,12,0))</f>
        <v>166</v>
      </c>
      <c r="V5" s="64" t="str">
        <f>IF(B5="","",VLOOKUP(AD5,Varsayımlar!$B:$Q,13,0))</f>
        <v>Yurtdışı</v>
      </c>
      <c r="W5" s="64">
        <f>IF(B5="","",VLOOKUP(AD5,Varsayımlar!$B:$Q,14,0))</f>
        <v>9</v>
      </c>
      <c r="X5" s="66">
        <v>46196</v>
      </c>
      <c r="Y5" s="66">
        <v>46469</v>
      </c>
      <c r="Z5" s="64" t="s">
        <v>339</v>
      </c>
      <c r="AA5" s="64" t="str">
        <f>IF(B5="","",VLOOKUP(AD5,Varsayımlar!$B:$Q,15,0))</f>
        <v>SİYAH KARE KOLİ-Üretim Tarihi Etiketli</v>
      </c>
      <c r="AB5" s="64" t="str">
        <f>IF(B5="","",VLOOKUP(AD5,Varsayımlar!$B:$Q,16,0))</f>
        <v>19-21 cm</v>
      </c>
      <c r="AC5" s="64">
        <f>IF(B5="","",VLOOKUP(Sayfa1!AD15,Varsayımlar!B:S,18,0))</f>
        <v>0</v>
      </c>
      <c r="AD5" s="57" t="str">
        <f t="shared" ref="AD5:AD36" si="0">IF(B5="","",CONCATENATE(B5,E5))</f>
        <v>SMART LLCTortillas 20cm Çok Tahıllı 4pcs 166g</v>
      </c>
    </row>
    <row r="6" spans="1:30" ht="31.5" x14ac:dyDescent="0.25">
      <c r="A6" s="8" t="s">
        <v>78</v>
      </c>
      <c r="B6" s="64" t="s">
        <v>64</v>
      </c>
      <c r="C6" s="3">
        <f>IF(B6="","",VLOOKUP(AD6,Varsayımlar!$B:$Q,3,0))</f>
        <v>8698829380698</v>
      </c>
      <c r="D6" s="3"/>
      <c r="E6" s="64" t="s">
        <v>176</v>
      </c>
      <c r="F6" s="64">
        <v>31</v>
      </c>
      <c r="G6" s="3" t="s">
        <v>68</v>
      </c>
      <c r="H6" s="64" t="str">
        <f>IF(B6="","",VLOOKUP(AD6,Varsayımlar!$B:$Q,5,0))</f>
        <v>Tortillas 20cm (Samakat Bilgileri Ekli)</v>
      </c>
      <c r="I6" s="64">
        <f>IF(B6="","",VLOOKUP(AD6,Varsayımlar!B:T,19,0))</f>
        <v>0</v>
      </c>
      <c r="J6" s="64" t="str">
        <f>IF(B6="","",VLOOKUP(AD6,Varsayımlar!$B:$Q,6,0))</f>
        <v>PEYNİRLİ</v>
      </c>
      <c r="K6" s="64">
        <v>2925</v>
      </c>
      <c r="L6" s="64"/>
      <c r="M6" s="64">
        <f>IFERROR(IF(B6="","",K6/VLOOKUP(AD6,Varsayımlar!B:R,17,0)),"")</f>
        <v>13</v>
      </c>
      <c r="N6" s="64"/>
      <c r="O6" s="64">
        <v>24</v>
      </c>
      <c r="P6" s="64">
        <f>IF(B6="","",VLOOKUP(AD6,Varsayımlar!$B:$Q,7,0)*K6)</f>
        <v>40950</v>
      </c>
      <c r="Q6" s="64">
        <f>IF(B6="","",VLOOKUP(AD6,Varsayımlar!$B:$Q,8,0))</f>
        <v>20</v>
      </c>
      <c r="R6" s="64" t="str">
        <f>IF(B6="","",VLOOKUP(AD6,Varsayımlar!$B:$Q,9,0))</f>
        <v>IRAK SOFT-AT</v>
      </c>
      <c r="S6" s="64">
        <f>IF(B6="","",VLOOKUP(AD6,Varsayımlar!$B:$Q,10,0))</f>
        <v>4</v>
      </c>
      <c r="T6" s="64">
        <f>IF(B6="","",VLOOKUP(AD6,Varsayımlar!$B:$Q,11,0))</f>
        <v>14</v>
      </c>
      <c r="U6" s="64">
        <f>IF(B6="","",VLOOKUP(AD6,Varsayımlar!$B:$Q,12,0))</f>
        <v>166</v>
      </c>
      <c r="V6" s="64" t="str">
        <f>IF(B6="","",VLOOKUP(AD6,Varsayımlar!$B:$Q,13,0))</f>
        <v>YURTDIŞI</v>
      </c>
      <c r="W6" s="64">
        <f>IF(B6="","",VLOOKUP(AD6,Varsayımlar!$B:$Q,14,0))</f>
        <v>9</v>
      </c>
      <c r="X6" s="66">
        <v>46196</v>
      </c>
      <c r="Y6" s="66">
        <v>46469</v>
      </c>
      <c r="Z6" s="64" t="s">
        <v>340</v>
      </c>
      <c r="AA6" s="64" t="str">
        <f>IF(B6="","",VLOOKUP(AD6,Varsayımlar!$B:$Q,15,0))</f>
        <v>Kare Koli-Üretim Tarihli Etiket</v>
      </c>
      <c r="AB6" s="64" t="str">
        <f>IF(B6="","",VLOOKUP(AD6,Varsayımlar!$B:$Q,16,0))</f>
        <v>19-21 cm</v>
      </c>
      <c r="AC6" s="64">
        <f>IF(B6="","",VLOOKUP(Sayfa1!AD17,Varsayımlar!B:S,18,0))</f>
        <v>0</v>
      </c>
      <c r="AD6" s="57" t="str">
        <f t="shared" si="0"/>
        <v>SMART LLCTortillas 20cm Peynirli 4pcs 166g</v>
      </c>
    </row>
    <row r="7" spans="1:30" ht="47.25" x14ac:dyDescent="0.25">
      <c r="A7" s="8" t="s">
        <v>79</v>
      </c>
      <c r="B7" s="67" t="s">
        <v>268</v>
      </c>
      <c r="C7" s="42">
        <f>IF(B7="","",VLOOKUP(AD7,Varsayımlar!$B:$Q,3,0))</f>
        <v>8698829380698</v>
      </c>
      <c r="D7" s="42" t="s">
        <v>159</v>
      </c>
      <c r="E7" s="67" t="s">
        <v>269</v>
      </c>
      <c r="F7" s="67">
        <v>20250825</v>
      </c>
      <c r="G7" s="42" t="s">
        <v>68</v>
      </c>
      <c r="H7" s="67" t="str">
        <f>IF(B7="","",VLOOKUP(AD7,Varsayımlar!$B:$Q,5,0))</f>
        <v>Tortillas 25cm Tam Buğday</v>
      </c>
      <c r="I7" s="67">
        <f>IF(B7="","",VLOOKUP(AD7,Varsayımlar!B:T,19,0))</f>
        <v>0</v>
      </c>
      <c r="J7" s="67" t="str">
        <f>IF(B7="","",VLOOKUP(AD7,Varsayımlar!$B:$Q,6,0))</f>
        <v>Tam Buğdaylı</v>
      </c>
      <c r="K7" s="67">
        <v>252</v>
      </c>
      <c r="L7" s="67"/>
      <c r="M7" s="67">
        <f>IFERROR(IF(B7="","",K7/VLOOKUP(AD7,Varsayımlar!B:R,17,0)),"")</f>
        <v>3</v>
      </c>
      <c r="N7" s="67"/>
      <c r="O7" s="67">
        <v>5</v>
      </c>
      <c r="P7" s="67">
        <f>IF(B7="","",VLOOKUP(AD7,Varsayımlar!$B:$Q,7,0)*K7)</f>
        <v>7560</v>
      </c>
      <c r="Q7" s="67">
        <f>IF(B7="","",VLOOKUP(AD7,Varsayımlar!$B:$Q,8,0))</f>
        <v>25</v>
      </c>
      <c r="R7" s="67" t="str">
        <f>IF(B7="","",VLOOKUP(AD7,Varsayımlar!$B:$Q,9,0))</f>
        <v>Soft-PA3</v>
      </c>
      <c r="S7" s="67">
        <f>IF(B7="","",VLOOKUP(AD7,Varsayımlar!$B:$Q,10,0))</f>
        <v>4</v>
      </c>
      <c r="T7" s="67">
        <f>IF(B7="","",VLOOKUP(AD7,Varsayımlar!$B:$Q,11,0))</f>
        <v>30</v>
      </c>
      <c r="U7" s="67">
        <f>IF(B7="","",VLOOKUP(AD7,Varsayımlar!$B:$Q,12,0))</f>
        <v>240</v>
      </c>
      <c r="V7" s="67" t="str">
        <f>IF(B7="","",VLOOKUP(AD7,Varsayımlar!$B:$Q,13,0))</f>
        <v>Yurtdışı</v>
      </c>
      <c r="W7" s="67">
        <f>IF(B7="","",VLOOKUP(AD7,Varsayımlar!$B:$Q,14,0))</f>
        <v>12</v>
      </c>
      <c r="X7" s="69">
        <v>46199</v>
      </c>
      <c r="Y7" s="69">
        <v>46564</v>
      </c>
      <c r="Z7" s="67" t="s">
        <v>374</v>
      </c>
      <c r="AA7" s="67" t="str">
        <f>IF(B7="","",VLOOKUP(AD7,Varsayımlar!$B:$Q,15,0))</f>
        <v>25cm Kolisi-Etiketli</v>
      </c>
      <c r="AB7" s="67" t="str">
        <f>IF(B7="","",VLOOKUP(AD7,Varsayımlar!$B:$Q,16,0))</f>
        <v>24-26 cm (Macca Hetto Inkjet Uzun Tarih)</v>
      </c>
      <c r="AC7" s="67" t="str">
        <f>IF(B7="","",VLOOKUP(Sayfa1!AD23,Varsayımlar!B:S,18,0))</f>
        <v>80x120cm</v>
      </c>
      <c r="AD7" s="57" t="str">
        <f t="shared" si="0"/>
        <v>LAIKYUZHN-BELARUSTortillas 25cm Tam buğday 4pcs 240g</v>
      </c>
    </row>
    <row r="8" spans="1:30" ht="47.25" x14ac:dyDescent="0.25">
      <c r="A8" s="8" t="s">
        <v>80</v>
      </c>
      <c r="B8" s="67" t="s">
        <v>268</v>
      </c>
      <c r="C8" s="42">
        <f>IF(B8="","",VLOOKUP(AD8,Varsayımlar!$B:$Q,3,0))</f>
        <v>8698829380698</v>
      </c>
      <c r="D8" s="42" t="s">
        <v>159</v>
      </c>
      <c r="E8" s="67" t="s">
        <v>274</v>
      </c>
      <c r="F8" s="67">
        <v>20250825</v>
      </c>
      <c r="G8" s="42" t="s">
        <v>68</v>
      </c>
      <c r="H8" s="67" t="str">
        <f>IF(B8="","",VLOOKUP(AD8,Varsayımlar!$B:$Q,5,0))</f>
        <v>Tortillas 25cm Domatesli</v>
      </c>
      <c r="I8" s="67">
        <f>IF(B8="","",VLOOKUP(AD8,Varsayımlar!B:T,19,0))</f>
        <v>0</v>
      </c>
      <c r="J8" s="67" t="str">
        <f>IF(B8="","",VLOOKUP(AD8,Varsayımlar!$B:$Q,6,0))</f>
        <v>Domatesli</v>
      </c>
      <c r="K8" s="67">
        <v>252</v>
      </c>
      <c r="L8" s="67"/>
      <c r="M8" s="67">
        <f>IFERROR(IF(B8="","",K8/VLOOKUP(AD8,Varsayımlar!B:R,17,0)),"")</f>
        <v>3</v>
      </c>
      <c r="N8" s="67"/>
      <c r="O8" s="67">
        <v>5</v>
      </c>
      <c r="P8" s="67">
        <f>IF(B8="","",VLOOKUP(AD8,Varsayımlar!$B:$Q,7,0)*K8)</f>
        <v>7560</v>
      </c>
      <c r="Q8" s="67">
        <f>IF(B8="","",VLOOKUP(AD8,Varsayımlar!$B:$Q,8,0))</f>
        <v>25</v>
      </c>
      <c r="R8" s="67" t="str">
        <f>IF(B8="","",VLOOKUP(AD8,Varsayımlar!$B:$Q,9,0))</f>
        <v>Soft-PA3</v>
      </c>
      <c r="S8" s="67">
        <f>IF(B8="","",VLOOKUP(AD8,Varsayımlar!$B:$Q,10,0))</f>
        <v>4</v>
      </c>
      <c r="T8" s="67">
        <f>IF(B8="","",VLOOKUP(AD8,Varsayımlar!$B:$Q,11,0))</f>
        <v>30</v>
      </c>
      <c r="U8" s="67">
        <f>IF(B8="","",VLOOKUP(AD8,Varsayımlar!$B:$Q,12,0))</f>
        <v>240</v>
      </c>
      <c r="V8" s="67" t="str">
        <f>IF(B8="","",VLOOKUP(AD8,Varsayımlar!$B:$Q,13,0))</f>
        <v>Yurtdışı</v>
      </c>
      <c r="W8" s="67">
        <f>IF(B8="","",VLOOKUP(AD8,Varsayımlar!$B:$Q,14,0))</f>
        <v>12</v>
      </c>
      <c r="X8" s="69">
        <v>46199</v>
      </c>
      <c r="Y8" s="69">
        <v>46564</v>
      </c>
      <c r="Z8" s="67" t="s">
        <v>375</v>
      </c>
      <c r="AA8" s="67" t="str">
        <f>IF(B8="","",VLOOKUP(AD8,Varsayımlar!$B:$Q,15,0))</f>
        <v>25cm Kolisi-Etiketli</v>
      </c>
      <c r="AB8" s="67" t="str">
        <f>IF(B8="","",VLOOKUP(AD8,Varsayımlar!$B:$Q,16,0))</f>
        <v>24-26 cm (Macca Hetto Inkjet Uzun Tarih)</v>
      </c>
      <c r="AC8" s="67" t="str">
        <f>IF(B8="","",VLOOKUP(Sayfa1!AD24,Varsayımlar!B:S,18,0))</f>
        <v>80x120cm</v>
      </c>
      <c r="AD8" s="57" t="str">
        <f t="shared" si="0"/>
        <v>LAIKYUZHN-BELARUSTortillas 25cm Domatesli 4pcs 240g</v>
      </c>
    </row>
    <row r="9" spans="1:30" ht="47.25" x14ac:dyDescent="0.25">
      <c r="A9" s="8" t="s">
        <v>81</v>
      </c>
      <c r="B9" s="67" t="s">
        <v>268</v>
      </c>
      <c r="C9" s="42">
        <f>IF(B9="","",VLOOKUP(AD9,Varsayımlar!$B:$Q,3,0))</f>
        <v>8698829380698</v>
      </c>
      <c r="D9" s="42" t="s">
        <v>159</v>
      </c>
      <c r="E9" s="67" t="s">
        <v>276</v>
      </c>
      <c r="F9" s="67">
        <v>20250825</v>
      </c>
      <c r="G9" s="42" t="s">
        <v>68</v>
      </c>
      <c r="H9" s="67" t="str">
        <f>IF(B9="","",VLOOKUP(AD9,Varsayımlar!$B:$Q,5,0))</f>
        <v>Tortillas 25cm Ispanaklı</v>
      </c>
      <c r="I9" s="67">
        <f>IF(B9="","",VLOOKUP(AD9,Varsayımlar!B:T,19,0))</f>
        <v>0</v>
      </c>
      <c r="J9" s="67" t="str">
        <f>IF(B9="","",VLOOKUP(AD9,Varsayımlar!$B:$Q,6,0))</f>
        <v>Ispanaklı</v>
      </c>
      <c r="K9" s="67">
        <v>420</v>
      </c>
      <c r="L9" s="67"/>
      <c r="M9" s="67">
        <f>IFERROR(IF(B9="","",K9/VLOOKUP(AD9,Varsayımlar!B:R,17,0)),"")</f>
        <v>5</v>
      </c>
      <c r="N9" s="67"/>
      <c r="O9" s="67">
        <v>7</v>
      </c>
      <c r="P9" s="67">
        <f>IF(B9="","",VLOOKUP(AD9,Varsayımlar!$B:$Q,7,0)*K9)</f>
        <v>12600</v>
      </c>
      <c r="Q9" s="67">
        <f>IF(B9="","",VLOOKUP(AD9,Varsayımlar!$B:$Q,8,0))</f>
        <v>25</v>
      </c>
      <c r="R9" s="67" t="str">
        <f>IF(B9="","",VLOOKUP(AD9,Varsayımlar!$B:$Q,9,0))</f>
        <v>Soft-PA3</v>
      </c>
      <c r="S9" s="67">
        <f>IF(B9="","",VLOOKUP(AD9,Varsayımlar!$B:$Q,10,0))</f>
        <v>4</v>
      </c>
      <c r="T9" s="67">
        <f>IF(B9="","",VLOOKUP(AD9,Varsayımlar!$B:$Q,11,0))</f>
        <v>30</v>
      </c>
      <c r="U9" s="67">
        <f>IF(B9="","",VLOOKUP(AD9,Varsayımlar!$B:$Q,12,0))</f>
        <v>240</v>
      </c>
      <c r="V9" s="67" t="str">
        <f>IF(B9="","",VLOOKUP(AD9,Varsayımlar!$B:$Q,13,0))</f>
        <v>Yurtdışı</v>
      </c>
      <c r="W9" s="67">
        <f>IF(B9="","",VLOOKUP(AD9,Varsayımlar!$B:$Q,14,0))</f>
        <v>12</v>
      </c>
      <c r="X9" s="69">
        <v>46199</v>
      </c>
      <c r="Y9" s="69">
        <v>46564</v>
      </c>
      <c r="Z9" s="67" t="s">
        <v>376</v>
      </c>
      <c r="AA9" s="67" t="str">
        <f>IF(B9="","",VLOOKUP(AD9,Varsayımlar!$B:$Q,15,0))</f>
        <v>25cm Kolisi-Etiketli</v>
      </c>
      <c r="AB9" s="67" t="str">
        <f>IF(B9="","",VLOOKUP(AD9,Varsayımlar!$B:$Q,16,0))</f>
        <v>24-26 cm (Macca Hetto Inkjet Uzun Tarih)</v>
      </c>
      <c r="AC9" s="67" t="str">
        <f>IF(B9="","",VLOOKUP(Sayfa1!AD25,Varsayımlar!B:S,18,0))</f>
        <v>80x120cm</v>
      </c>
      <c r="AD9" s="57" t="str">
        <f t="shared" si="0"/>
        <v>LAIKYUZHN-BELARUSTortillas 25cm Ispanaklı 4pcs 240g</v>
      </c>
    </row>
    <row r="10" spans="1:30" ht="47.25" x14ac:dyDescent="0.25">
      <c r="A10" s="8" t="s">
        <v>82</v>
      </c>
      <c r="B10" s="67" t="s">
        <v>268</v>
      </c>
      <c r="C10" s="42">
        <f>IF(B10="","",VLOOKUP(AD10,Varsayımlar!$B:$Q,3,0))</f>
        <v>8698829380698</v>
      </c>
      <c r="D10" s="42" t="s">
        <v>159</v>
      </c>
      <c r="E10" s="67" t="s">
        <v>278</v>
      </c>
      <c r="F10" s="67">
        <v>20250825</v>
      </c>
      <c r="G10" s="42" t="s">
        <v>68</v>
      </c>
      <c r="H10" s="67" t="str">
        <f>IF(B10="","",VLOOKUP(AD10,Varsayımlar!$B:$Q,5,0))</f>
        <v>Magnit Tortillas 25cm Peynirli</v>
      </c>
      <c r="I10" s="67" t="str">
        <f>IF(B10="","",VLOOKUP(AD10,Varsayımlar!B:T,19,0))</f>
        <v>Etiketli</v>
      </c>
      <c r="J10" s="67" t="str">
        <f>IF(B10="","",VLOOKUP(AD10,Varsayımlar!$B:$Q,6,0))</f>
        <v>Peynirli</v>
      </c>
      <c r="K10" s="67">
        <v>420</v>
      </c>
      <c r="L10" s="67"/>
      <c r="M10" s="67">
        <f>IFERROR(IF(B10="","",K10/VLOOKUP(AD10,Varsayımlar!B:R,17,0)),"")</f>
        <v>5</v>
      </c>
      <c r="N10" s="67"/>
      <c r="O10" s="67">
        <v>7</v>
      </c>
      <c r="P10" s="67">
        <f>IF(B10="","",VLOOKUP(AD10,Varsayımlar!$B:$Q,7,0)*K10)</f>
        <v>12600</v>
      </c>
      <c r="Q10" s="67">
        <f>IF(B10="","",VLOOKUP(AD10,Varsayımlar!$B:$Q,8,0))</f>
        <v>25</v>
      </c>
      <c r="R10" s="67" t="str">
        <f>IF(B10="","",VLOOKUP(AD10,Varsayımlar!$B:$Q,9,0))</f>
        <v>Soft-PA3-AT</v>
      </c>
      <c r="S10" s="67">
        <f>IF(B10="","",VLOOKUP(AD10,Varsayımlar!$B:$Q,10,0))</f>
        <v>4</v>
      </c>
      <c r="T10" s="67">
        <f>IF(B10="","",VLOOKUP(AD10,Varsayımlar!$B:$Q,11,0))</f>
        <v>30</v>
      </c>
      <c r="U10" s="67">
        <f>IF(B10="","",VLOOKUP(AD10,Varsayımlar!$B:$Q,12,0))</f>
        <v>250</v>
      </c>
      <c r="V10" s="67" t="str">
        <f>IF(B10="","",VLOOKUP(AD10,Varsayımlar!$B:$Q,13,0))</f>
        <v>Yurtdışı</v>
      </c>
      <c r="W10" s="67">
        <f>IF(B10="","",VLOOKUP(AD10,Varsayımlar!$B:$Q,14,0))</f>
        <v>9</v>
      </c>
      <c r="X10" s="69">
        <v>46199</v>
      </c>
      <c r="Y10" s="69">
        <v>46472</v>
      </c>
      <c r="Z10" s="67" t="s">
        <v>377</v>
      </c>
      <c r="AA10" s="67" t="str">
        <f>IF(B10="","",VLOOKUP(AD10,Varsayımlar!$B:$Q,15,0))</f>
        <v>25cm Kolisi-Etiketli</v>
      </c>
      <c r="AB10" s="67" t="str">
        <f>IF(B10="","",VLOOKUP(AD10,Varsayımlar!$B:$Q,16,0))</f>
        <v>24-26 cm (Macca Hetto Inkjet Uzun Tarih)</v>
      </c>
      <c r="AC10" s="67" t="str">
        <f>IF(B10="","",VLOOKUP(Sayfa1!AD26,Varsayımlar!B:S,18,0))</f>
        <v>80x120cm</v>
      </c>
      <c r="AD10" s="57" t="str">
        <f t="shared" si="0"/>
        <v>LAIKYUZHN-BELARUSMagnit Tortillas 25cm Peynirli 4pcs 240g</v>
      </c>
    </row>
    <row r="11" spans="1:30" ht="47.25" x14ac:dyDescent="0.25">
      <c r="A11" s="8" t="s">
        <v>83</v>
      </c>
      <c r="B11" s="62" t="s">
        <v>181</v>
      </c>
      <c r="C11" s="32">
        <f>IF(B11="","",VLOOKUP(AD11,Varsayımlar!$B:$Q,3,0))</f>
        <v>8698829380698</v>
      </c>
      <c r="D11" s="32"/>
      <c r="E11" s="62" t="s">
        <v>182</v>
      </c>
      <c r="F11" s="62">
        <v>26060101</v>
      </c>
      <c r="G11" s="32"/>
      <c r="H11" s="62" t="str">
        <f>IF(B11="","",VLOOKUP(AD11,Varsayımlar!$B:$Q,5,0))</f>
        <v>Tortillove 30cm</v>
      </c>
      <c r="I11" s="62" t="str">
        <f>IF(B11="","",VLOOKUP(AD11,Varsayımlar!B:T,19,0))</f>
        <v>Arka kısma Arnavutça içerik-Tortillove</v>
      </c>
      <c r="J11" s="62" t="str">
        <f>IF(B11="","",VLOOKUP(AD11,Varsayımlar!$B:$Q,6,0))</f>
        <v>SADE</v>
      </c>
      <c r="K11" s="62">
        <v>100</v>
      </c>
      <c r="L11" s="62"/>
      <c r="M11" s="62">
        <f>IFERROR(IF(B11="","",K11/VLOOKUP(AD11,Varsayımlar!B:R,17,0)),"")</f>
        <v>2</v>
      </c>
      <c r="N11" s="62"/>
      <c r="O11" s="62">
        <v>2</v>
      </c>
      <c r="P11" s="62">
        <f>IF(B11="","",VLOOKUP(AD11,Varsayımlar!$B:$Q,7,0)*K11)</f>
        <v>1200</v>
      </c>
      <c r="Q11" s="62">
        <f>IF(B11="","",VLOOKUP(AD11,Varsayımlar!$B:$Q,8,0))</f>
        <v>30</v>
      </c>
      <c r="R11" s="62" t="str">
        <f>IF(B11="","",VLOOKUP(AD11,Varsayımlar!$B:$Q,9,0))</f>
        <v>Irak Soft</v>
      </c>
      <c r="S11" s="62">
        <f>IF(B11="","",VLOOKUP(AD11,Varsayımlar!$B:$Q,10,0))</f>
        <v>10</v>
      </c>
      <c r="T11" s="62">
        <f>IF(B11="","",VLOOKUP(AD11,Varsayımlar!$B:$Q,11,0))</f>
        <v>12</v>
      </c>
      <c r="U11" s="62">
        <f>IF(B11="","",VLOOKUP(AD11,Varsayımlar!$B:$Q,12,0))</f>
        <v>900</v>
      </c>
      <c r="V11" s="62" t="str">
        <f>IF(B11="","",VLOOKUP(AD11,Varsayımlar!$B:$Q,13,0))</f>
        <v>Yurtdışı</v>
      </c>
      <c r="W11" s="62">
        <f>IF(B11="","",VLOOKUP(AD11,Varsayımlar!$B:$Q,14,0))</f>
        <v>12</v>
      </c>
      <c r="X11" s="63">
        <v>46200</v>
      </c>
      <c r="Y11" s="63">
        <v>46565</v>
      </c>
      <c r="Z11" s="62">
        <v>26062730</v>
      </c>
      <c r="AA11" s="62" t="str">
        <f>IF(B11="","",VLOOKUP(AD11,Varsayımlar!$B:$Q,15,0))</f>
        <v>30cm Koli - Tortillove 900g Etiketli</v>
      </c>
      <c r="AB11" s="62" t="str">
        <f>IF(B11="","",VLOOKUP(AD11,Varsayımlar!$B:$Q,16,0))</f>
        <v>29-31 cm</v>
      </c>
      <c r="AC11" s="62">
        <f>IF(B11="","",VLOOKUP(Sayfa1!AD27,Varsayımlar!B:S,18,0))</f>
        <v>0</v>
      </c>
      <c r="AD11" s="57" t="str">
        <f t="shared" si="0"/>
        <v>ALDİ - KOSOVATortillove 30cm 10pcs 900g</v>
      </c>
    </row>
    <row r="12" spans="1:30" ht="47.25" x14ac:dyDescent="0.25">
      <c r="A12" s="8" t="s">
        <v>84</v>
      </c>
      <c r="B12" s="62" t="s">
        <v>181</v>
      </c>
      <c r="C12" s="32">
        <f>IF(B12="","",VLOOKUP(AD12,Varsayımlar!$B:$Q,3,0))</f>
        <v>8698829380698</v>
      </c>
      <c r="D12" s="32"/>
      <c r="E12" s="62" t="s">
        <v>185</v>
      </c>
      <c r="F12" s="62">
        <v>26060101</v>
      </c>
      <c r="G12" s="32"/>
      <c r="H12" s="62" t="str">
        <f>IF(B12="","",VLOOKUP(AD12,Varsayımlar!$B:$Q,5,0))</f>
        <v>Tortillas 30cm</v>
      </c>
      <c r="I12" s="62" t="str">
        <f>IF(B12="","",VLOOKUP(AD12,Varsayımlar!B:T,19,0))</f>
        <v>Arka kısma Arnavutça içerik-Tortillas</v>
      </c>
      <c r="J12" s="62" t="str">
        <f>IF(B12="","",VLOOKUP(AD12,Varsayımlar!$B:$Q,6,0))</f>
        <v>SADE</v>
      </c>
      <c r="K12" s="62">
        <v>50</v>
      </c>
      <c r="L12" s="62"/>
      <c r="M12" s="62">
        <f>IFERROR(IF(B12="","",K12/VLOOKUP(AD12,Varsayımlar!B:R,17,0)),"")</f>
        <v>1</v>
      </c>
      <c r="N12" s="62"/>
      <c r="O12" s="62">
        <v>1</v>
      </c>
      <c r="P12" s="62">
        <f>IF(B12="","",VLOOKUP(AD12,Varsayımlar!$B:$Q,7,0)*K12)</f>
        <v>600</v>
      </c>
      <c r="Q12" s="62">
        <f>IF(B12="","",VLOOKUP(AD12,Varsayımlar!$B:$Q,8,0))</f>
        <v>30</v>
      </c>
      <c r="R12" s="62" t="str">
        <f>IF(B12="","",VLOOKUP(AD12,Varsayımlar!$B:$Q,9,0))</f>
        <v>Irak Soft</v>
      </c>
      <c r="S12" s="62">
        <f>IF(B12="","",VLOOKUP(AD12,Varsayımlar!$B:$Q,10,0))</f>
        <v>10</v>
      </c>
      <c r="T12" s="62">
        <f>IF(B12="","",VLOOKUP(AD12,Varsayımlar!$B:$Q,11,0))</f>
        <v>12</v>
      </c>
      <c r="U12" s="62">
        <f>IF(B12="","",VLOOKUP(AD12,Varsayımlar!$B:$Q,12,0))</f>
        <v>900</v>
      </c>
      <c r="V12" s="62" t="str">
        <f>IF(B12="","",VLOOKUP(AD12,Varsayımlar!$B:$Q,13,0))</f>
        <v>Yurtdışı</v>
      </c>
      <c r="W12" s="62">
        <f>IF(B12="","",VLOOKUP(AD12,Varsayımlar!$B:$Q,14,0))</f>
        <v>12</v>
      </c>
      <c r="X12" s="63">
        <v>46200</v>
      </c>
      <c r="Y12" s="63">
        <v>46565</v>
      </c>
      <c r="Z12" s="62">
        <v>26062730</v>
      </c>
      <c r="AA12" s="62" t="str">
        <f>IF(B12="","",VLOOKUP(AD12,Varsayımlar!$B:$Q,15,0))</f>
        <v>30cm Koli - Tortillas 900g Etiketli</v>
      </c>
      <c r="AB12" s="62" t="str">
        <f>IF(B12="","",VLOOKUP(AD12,Varsayımlar!$B:$Q,16,0))</f>
        <v>29-31 cm</v>
      </c>
      <c r="AC12" s="62">
        <f>IF(B12="","",VLOOKUP(Sayfa1!AD28,Varsayımlar!B:S,18,0))</f>
        <v>0</v>
      </c>
      <c r="AD12" s="57" t="str">
        <f t="shared" si="0"/>
        <v>ALDİ - KOSOVATortillas 30cm 10pcs 900g</v>
      </c>
    </row>
    <row r="13" spans="1:30" ht="63" x14ac:dyDescent="0.25">
      <c r="A13" s="8" t="s">
        <v>85</v>
      </c>
      <c r="B13" s="62" t="s">
        <v>181</v>
      </c>
      <c r="C13" s="32">
        <f>IF(B13="","",VLOOKUP(AD13,Varsayımlar!$B:$Q,3,0))</f>
        <v>8698829380698</v>
      </c>
      <c r="D13" s="32"/>
      <c r="E13" s="32" t="s">
        <v>372</v>
      </c>
      <c r="F13" s="62">
        <v>26060101</v>
      </c>
      <c r="G13" s="32"/>
      <c r="H13" s="62" t="str">
        <f>IF(B13="","",VLOOKUP(AD13,Varsayımlar!$B:$Q,5,0))</f>
        <v>Tortillove Tam Buğday 25cm</v>
      </c>
      <c r="I13" s="62" t="str">
        <f>IF(B13="","",VLOOKUP(AD13,Varsayımlar!B:T,19,0))</f>
        <v>Barkod üzerine Arnavutça TB içerik+Barkod-Tortillove</v>
      </c>
      <c r="J13" s="62" t="str">
        <f>IF(B13="","",VLOOKUP(AD13,Varsayımlar!$B:$Q,6,0))</f>
        <v>Tam Buğdaylı</v>
      </c>
      <c r="K13" s="62">
        <v>84</v>
      </c>
      <c r="L13" s="62"/>
      <c r="M13" s="62">
        <f>IFERROR(IF(B13="","",K13/VLOOKUP(AD13,Varsayımlar!B:R,17,0)),"")</f>
        <v>1</v>
      </c>
      <c r="N13" s="62"/>
      <c r="O13" s="62">
        <v>2</v>
      </c>
      <c r="P13" s="62">
        <f>IF(B13="","",VLOOKUP(AD13,Varsayımlar!$B:$Q,7,0)*K13)</f>
        <v>1512</v>
      </c>
      <c r="Q13" s="62">
        <f>IF(B13="","",VLOOKUP(AD13,Varsayımlar!$B:$Q,8,0))</f>
        <v>25</v>
      </c>
      <c r="R13" s="62" t="str">
        <f>IF(B13="","",VLOOKUP(AD13,Varsayımlar!$B:$Q,9,0))</f>
        <v>Irak Soft</v>
      </c>
      <c r="S13" s="62">
        <f>IF(B13="","",VLOOKUP(AD13,Varsayımlar!$B:$Q,10,0))</f>
        <v>6</v>
      </c>
      <c r="T13" s="62">
        <f>IF(B13="","",VLOOKUP(AD13,Varsayımlar!$B:$Q,11,0))</f>
        <v>18</v>
      </c>
      <c r="U13" s="62">
        <f>IF(B13="","",VLOOKUP(AD13,Varsayımlar!$B:$Q,12,0))</f>
        <v>390</v>
      </c>
      <c r="V13" s="62" t="str">
        <f>IF(B13="","",VLOOKUP(AD13,Varsayımlar!$B:$Q,13,0))</f>
        <v>Yurtdışı</v>
      </c>
      <c r="W13" s="62">
        <f>IF(B13="","",VLOOKUP(AD13,Varsayımlar!$B:$Q,14,0))</f>
        <v>12</v>
      </c>
      <c r="X13" s="63">
        <v>46200</v>
      </c>
      <c r="Y13" s="63">
        <v>46565</v>
      </c>
      <c r="Z13" s="62">
        <v>26062725</v>
      </c>
      <c r="AA13" s="62" t="str">
        <f>IF(B13="","",VLOOKUP(AD13,Varsayımlar!$B:$Q,15,0))</f>
        <v>25cm Koli - Tortillove 390g TB Etiketli</v>
      </c>
      <c r="AB13" s="62" t="str">
        <f>IF(B13="","",VLOOKUP(AD13,Varsayımlar!$B:$Q,16,0))</f>
        <v>24-26 cm</v>
      </c>
      <c r="AC13" s="62">
        <f>IF(B13="","",VLOOKUP(Sayfa1!AD29,Varsayımlar!B:S,18,0))</f>
        <v>0</v>
      </c>
      <c r="AD13" s="57" t="str">
        <f t="shared" si="0"/>
        <v>ALDİ - KOSOVATortillove 25cm TB 6pcs 390g</v>
      </c>
    </row>
    <row r="14" spans="1:30" ht="63" x14ac:dyDescent="0.25">
      <c r="A14" s="8" t="s">
        <v>86</v>
      </c>
      <c r="B14" s="62" t="s">
        <v>181</v>
      </c>
      <c r="C14" s="32">
        <f>IF(B14="","",VLOOKUP(AD14,Varsayımlar!$B:$Q,3,0))</f>
        <v>8698829380698</v>
      </c>
      <c r="D14" s="32"/>
      <c r="E14" s="32" t="s">
        <v>251</v>
      </c>
      <c r="F14" s="62">
        <v>26060101</v>
      </c>
      <c r="G14" s="32"/>
      <c r="H14" s="62" t="str">
        <f>IF(B14="","",VLOOKUP(AD14,Varsayımlar!$B:$Q,5,0))</f>
        <v>Tortillas Tam Buğday 25cm</v>
      </c>
      <c r="I14" s="62" t="str">
        <f>IF(B14="","",VLOOKUP(AD14,Varsayımlar!B:T,19,0))</f>
        <v>Barkod üzerine Arnavutça TB içerik+Barkod-Tortillas</v>
      </c>
      <c r="J14" s="62" t="str">
        <f>IF(B14="","",VLOOKUP(AD14,Varsayımlar!$B:$Q,6,0))</f>
        <v>Tam Buğdaylı</v>
      </c>
      <c r="K14" s="62">
        <v>84</v>
      </c>
      <c r="L14" s="62"/>
      <c r="M14" s="62">
        <f>IFERROR(IF(B14="","",K14/VLOOKUP(AD14,Varsayımlar!B:R,17,0)),"")</f>
        <v>1</v>
      </c>
      <c r="N14" s="62"/>
      <c r="O14" s="62">
        <v>2</v>
      </c>
      <c r="P14" s="62">
        <f>IF(B14="","",VLOOKUP(AD14,Varsayımlar!$B:$Q,7,0)*K14)</f>
        <v>1512</v>
      </c>
      <c r="Q14" s="62">
        <f>IF(B14="","",VLOOKUP(AD14,Varsayımlar!$B:$Q,8,0))</f>
        <v>25</v>
      </c>
      <c r="R14" s="62" t="str">
        <f>IF(B14="","",VLOOKUP(AD14,Varsayımlar!$B:$Q,9,0))</f>
        <v>Irak Soft</v>
      </c>
      <c r="S14" s="62">
        <f>IF(B14="","",VLOOKUP(AD14,Varsayımlar!$B:$Q,10,0))</f>
        <v>6</v>
      </c>
      <c r="T14" s="62">
        <f>IF(B14="","",VLOOKUP(AD14,Varsayımlar!$B:$Q,11,0))</f>
        <v>18</v>
      </c>
      <c r="U14" s="62">
        <f>IF(B14="","",VLOOKUP(AD14,Varsayımlar!$B:$Q,12,0))</f>
        <v>390</v>
      </c>
      <c r="V14" s="62" t="str">
        <f>IF(B14="","",VLOOKUP(AD14,Varsayımlar!$B:$Q,13,0))</f>
        <v>Yurtdışı</v>
      </c>
      <c r="W14" s="62">
        <f>IF(B14="","",VLOOKUP(AD14,Varsayımlar!$B:$Q,14,0))</f>
        <v>12</v>
      </c>
      <c r="X14" s="63">
        <v>46200</v>
      </c>
      <c r="Y14" s="63">
        <v>46565</v>
      </c>
      <c r="Z14" s="62">
        <v>26062725</v>
      </c>
      <c r="AA14" s="62" t="str">
        <f>IF(B14="","",VLOOKUP(AD14,Varsayımlar!$B:$Q,15,0))</f>
        <v>25cm Koli - Tortillas 390g TB Etiketli</v>
      </c>
      <c r="AB14" s="62" t="str">
        <f>IF(B14="","",VLOOKUP(AD14,Varsayımlar!$B:$Q,16,0))</f>
        <v>24-26 cm</v>
      </c>
      <c r="AC14" s="62">
        <f>IF(B14="","",VLOOKUP(Sayfa1!AD30,Varsayımlar!B:S,18,0))</f>
        <v>0</v>
      </c>
      <c r="AD14" s="57" t="str">
        <f t="shared" si="0"/>
        <v>ALDİ - KOSOVATortillas 25cm TB 6pcs 390g</v>
      </c>
    </row>
    <row r="15" spans="1:30" ht="45.75" customHeight="1" x14ac:dyDescent="0.25">
      <c r="A15" s="8" t="s">
        <v>87</v>
      </c>
      <c r="B15" s="130" t="s">
        <v>119</v>
      </c>
      <c r="C15" s="131">
        <f>IF(B15="","",VLOOKUP(AD15,Varsayımlar!$B:$Q,3,0))</f>
        <v>8698829380698</v>
      </c>
      <c r="D15" s="131"/>
      <c r="E15" s="132" t="s">
        <v>120</v>
      </c>
      <c r="F15" s="130"/>
      <c r="G15" s="130"/>
      <c r="H15" s="130" t="str">
        <f>IF(B15="","",VLOOKUP(AD15,Varsayımlar!$B:$Q,5,0))</f>
        <v>Nimet 25 cm</v>
      </c>
      <c r="I15" s="130"/>
      <c r="J15" s="130" t="str">
        <f>IF(B15="","",VLOOKUP(AD15,Varsayımlar!$B:$Q,6,0))</f>
        <v>SADE</v>
      </c>
      <c r="K15" s="130">
        <v>2000</v>
      </c>
      <c r="L15" s="130"/>
      <c r="M15" s="130">
        <f>IFERROR(IF(B15="","",K15/VLOOKUP(AD15,Varsayımlar!B:R,17,0)),"")</f>
        <v>40</v>
      </c>
      <c r="N15" s="130"/>
      <c r="O15" s="130">
        <v>40</v>
      </c>
      <c r="P15" s="130">
        <f>IF(B15="","",VLOOKUP(AD15,Varsayımlar!$B:$Q,7,0)*K15)</f>
        <v>24000</v>
      </c>
      <c r="Q15" s="130">
        <f>IF(B15="","",VLOOKUP(AD15,Varsayımlar!$B:$Q,8,0))</f>
        <v>25</v>
      </c>
      <c r="R15" s="130" t="str">
        <f>IF(B15="","",VLOOKUP(AD15,Varsayımlar!$B:$Q,9,0))</f>
        <v>Standart</v>
      </c>
      <c r="S15" s="130">
        <f>IF(B15="","",VLOOKUP(AD15,Varsayımlar!$B:$Q,10,0))</f>
        <v>12</v>
      </c>
      <c r="T15" s="130">
        <f>IF(B15="","",VLOOKUP(AD15,Varsayımlar!$B:$Q,11,0))</f>
        <v>12</v>
      </c>
      <c r="U15" s="130">
        <f>IF(B15="","",VLOOKUP(AD15,Varsayımlar!$B:$Q,12,0))</f>
        <v>840</v>
      </c>
      <c r="V15" s="130" t="str">
        <f>IF(B15="","",VLOOKUP(AD15,Varsayımlar!$B:$Q,13,0))</f>
        <v>YURTİÇİ</v>
      </c>
      <c r="W15" s="130">
        <f>IF(B15="","",VLOOKUP(AD15,Varsayımlar!$B:$Q,14,0))</f>
        <v>5</v>
      </c>
      <c r="X15" s="133" t="s">
        <v>113</v>
      </c>
      <c r="Y15" s="133" t="s">
        <v>113</v>
      </c>
      <c r="Z15" s="130" t="s">
        <v>113</v>
      </c>
      <c r="AA15" s="130" t="str">
        <f>IF(B15="","",VLOOKUP(AD15,Varsayımlar!$B:$Q,15,0))</f>
        <v>Nimet Kolisi</v>
      </c>
      <c r="AB15" s="130" t="str">
        <f>IF(B15="","",VLOOKUP(AD15,Varsayımlar!$B:$Q,16,0))</f>
        <v>24-26 CM</v>
      </c>
      <c r="AC15" s="64" t="s">
        <v>360</v>
      </c>
      <c r="AD15" s="57" t="str">
        <f>IF(B15="","",CONCATENATE(B15,E15))</f>
        <v>A101Nimet 25cm 12 pcs 840g</v>
      </c>
    </row>
    <row r="16" spans="1:30" ht="31.5" x14ac:dyDescent="0.25">
      <c r="A16" s="8" t="s">
        <v>88</v>
      </c>
      <c r="B16" s="64" t="s">
        <v>288</v>
      </c>
      <c r="C16" s="3">
        <f>IF(B16="","",VLOOKUP(AD16,Varsayımlar!$B:$Q,3,0))</f>
        <v>8698829380698</v>
      </c>
      <c r="D16" s="3"/>
      <c r="E16" s="64" t="s">
        <v>289</v>
      </c>
      <c r="F16" s="64">
        <v>20201016</v>
      </c>
      <c r="G16" s="3" t="s">
        <v>68</v>
      </c>
      <c r="H16" s="64" t="str">
        <f>IF(B16="","",VLOOKUP(AD16,Varsayımlar!$B:$Q,5,0))</f>
        <v>Tortillas 25cm Tam Buğday</v>
      </c>
      <c r="I16" s="64" t="str">
        <f>IF(B16="","",VLOOKUP(AD16,Varsayımlar!B:T,19,0))</f>
        <v>Arka kısma İçerik</v>
      </c>
      <c r="J16" s="64" t="str">
        <f>IF(B16="","",VLOOKUP(AD16,Varsayımlar!$B:$Q,6,0))</f>
        <v>Tam Buğdaylı</v>
      </c>
      <c r="K16" s="64">
        <v>250</v>
      </c>
      <c r="L16" s="64"/>
      <c r="M16" s="64">
        <f>IFERROR(IF(B16="","",K16/VLOOKUP(AD16,Varsayımlar!B:R,17,0)),"")</f>
        <v>5</v>
      </c>
      <c r="N16" s="64"/>
      <c r="O16" s="64">
        <v>4</v>
      </c>
      <c r="P16" s="64">
        <f>IF(B16="","",VLOOKUP(AD16,Varsayımlar!$B:$Q,7,0)*K16)</f>
        <v>4500</v>
      </c>
      <c r="Q16" s="64">
        <f>IF(B16="","",VLOOKUP(AD16,Varsayımlar!$B:$Q,8,0))</f>
        <v>25</v>
      </c>
      <c r="R16" s="64" t="str">
        <f>IF(B16="","",VLOOKUP(AD16,Varsayımlar!$B:$Q,9,0))</f>
        <v>Irak Soft</v>
      </c>
      <c r="S16" s="64">
        <f>IF(B16="","",VLOOKUP(AD16,Varsayımlar!$B:$Q,10,0))</f>
        <v>6</v>
      </c>
      <c r="T16" s="64">
        <f>IF(B16="","",VLOOKUP(AD16,Varsayımlar!$B:$Q,11,0))</f>
        <v>18</v>
      </c>
      <c r="U16" s="64">
        <f>IF(B16="","",VLOOKUP(AD16,Varsayımlar!$B:$Q,12,0))</f>
        <v>390</v>
      </c>
      <c r="V16" s="64" t="str">
        <f>IF(B16="","",VLOOKUP(AD16,Varsayımlar!$B:$Q,13,0))</f>
        <v>YURTDIŞI</v>
      </c>
      <c r="W16" s="64">
        <f>IF(B16="","",VLOOKUP(AD16,Varsayımlar!$B:$Q,14,0))</f>
        <v>9</v>
      </c>
      <c r="X16" s="66">
        <v>46202</v>
      </c>
      <c r="Y16" s="66">
        <v>46475</v>
      </c>
      <c r="Z16" s="64" t="s">
        <v>378</v>
      </c>
      <c r="AA16" s="64" t="str">
        <f>IF(B16="","",VLOOKUP(AD16,Varsayımlar!$B:$Q,15,0))</f>
        <v>25cm Koli-Kazakça Etiketli</v>
      </c>
      <c r="AB16" s="64" t="str">
        <f>IF(B16="","",VLOOKUP(AD16,Varsayımlar!$B:$Q,16,0))</f>
        <v>24-26 cm</v>
      </c>
      <c r="AC16" s="64" t="str">
        <f>IF(B16="","",VLOOKUP(Sayfa1!AD40,Varsayımlar!B:S,18,0))</f>
        <v>80x120cm</v>
      </c>
      <c r="AD16" s="57" t="str">
        <f t="shared" si="0"/>
        <v>UNITERA-KAZAKİSTANTortillas 25cm Tam Buğday 6pcs 390g</v>
      </c>
    </row>
    <row r="17" spans="1:30" ht="31.5" x14ac:dyDescent="0.25">
      <c r="A17" s="8" t="s">
        <v>89</v>
      </c>
      <c r="B17" s="64" t="s">
        <v>288</v>
      </c>
      <c r="C17" s="3">
        <f>IF(B17="","",VLOOKUP(AD17,Varsayımlar!$B:$Q,3,0))</f>
        <v>8698829380698</v>
      </c>
      <c r="D17" s="3"/>
      <c r="E17" s="64" t="s">
        <v>252</v>
      </c>
      <c r="F17" s="64">
        <v>20201016</v>
      </c>
      <c r="G17" s="3" t="s">
        <v>68</v>
      </c>
      <c r="H17" s="64" t="str">
        <f>IF(B17="","",VLOOKUP(AD17,Varsayımlar!$B:$Q,5,0))</f>
        <v>Tortillas 20cm Sade</v>
      </c>
      <c r="I17" s="64" t="str">
        <f>IF(B17="","",VLOOKUP(AD17,Varsayımlar!B:T,19,0))</f>
        <v>Arka kısma İçerik</v>
      </c>
      <c r="J17" s="64" t="str">
        <f>IF(B17="","",VLOOKUP(AD17,Varsayımlar!$B:$Q,6,0))</f>
        <v>SADE</v>
      </c>
      <c r="K17" s="64">
        <v>300</v>
      </c>
      <c r="L17" s="64"/>
      <c r="M17" s="64">
        <f>IFERROR(IF(B17="","",K17/VLOOKUP(AD17,Varsayımlar!B:R,17,0)),"")</f>
        <v>3</v>
      </c>
      <c r="N17" s="64"/>
      <c r="O17" s="64">
        <v>5</v>
      </c>
      <c r="P17" s="64">
        <f>IF(B17="","",VLOOKUP(AD17,Varsayımlar!$B:$Q,7,0)*K17)</f>
        <v>5400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6</v>
      </c>
      <c r="T17" s="64">
        <f>IF(B17="","",VLOOKUP(AD17,Varsayımlar!$B:$Q,11,0))</f>
        <v>18</v>
      </c>
      <c r="U17" s="64">
        <f>IF(B17="","",VLOOKUP(AD17,Varsayımlar!$B:$Q,12,0))</f>
        <v>270</v>
      </c>
      <c r="V17" s="64" t="str">
        <f>IF(B17="","",VLOOKUP(AD17,Varsayımlar!$B:$Q,13,0))</f>
        <v>YURTDIŞI</v>
      </c>
      <c r="W17" s="64">
        <f>IF(B17="","",VLOOKUP(AD17,Varsayımlar!$B:$Q,14,0))</f>
        <v>9</v>
      </c>
      <c r="X17" s="66">
        <v>46202</v>
      </c>
      <c r="Y17" s="66">
        <v>46475</v>
      </c>
      <c r="Z17" s="64">
        <v>26062920</v>
      </c>
      <c r="AA17" s="64" t="str">
        <f>IF(B17="","",VLOOKUP(AD17,Varsayımlar!$B:$Q,15,0))</f>
        <v>20cm Koli</v>
      </c>
      <c r="AB17" s="64" t="str">
        <f>IF(B17="","",VLOOKUP(AD17,Varsayımlar!$B:$Q,16,0))</f>
        <v>19-21cm</v>
      </c>
      <c r="AC17" s="64" t="str">
        <f>IF(B17="","",VLOOKUP(Sayfa1!AD41,Varsayımlar!B:S,18,0))</f>
        <v>80x120cm</v>
      </c>
      <c r="AD17" s="57" t="str">
        <f t="shared" si="0"/>
        <v>UNITERA-KAZAKİSTANTortillas 20cm Sade 6pcs 270g</v>
      </c>
    </row>
    <row r="18" spans="1:30" ht="31.5" x14ac:dyDescent="0.25">
      <c r="A18" s="8" t="s">
        <v>90</v>
      </c>
      <c r="B18" s="80" t="s">
        <v>218</v>
      </c>
      <c r="C18" s="44">
        <f>IF(B18="","",VLOOKUP(AD18,Varsayımlar!$B:$Q,3,0))</f>
        <v>8698829380698</v>
      </c>
      <c r="D18" s="44" t="s">
        <v>160</v>
      </c>
      <c r="E18" s="80" t="s">
        <v>229</v>
      </c>
      <c r="F18" s="80">
        <v>26042907</v>
      </c>
      <c r="G18" s="44"/>
      <c r="H18" s="80" t="str">
        <f>IF(B18="","",VLOOKUP(AD18,Varsayımlar!$B:$Q,5,0))</f>
        <v>Tortillas Avrupa 25cm Tam Buğday (711)</v>
      </c>
      <c r="I18" s="80">
        <f>IF(B18="","",VLOOKUP(AD18,Varsayımlar!B:T,19,0))</f>
        <v>0</v>
      </c>
      <c r="J18" s="80" t="str">
        <f>IF(B18="","",VLOOKUP(AD18,Varsayımlar!$B:$Q,6,0))</f>
        <v>Tam Buğdaylı</v>
      </c>
      <c r="K18" s="80">
        <v>840</v>
      </c>
      <c r="L18" s="80"/>
      <c r="M18" s="80">
        <f>IFERROR(IF(B18="","",K18/VLOOKUP(AD18,Varsayımlar!B:R,17,0)),"")</f>
        <v>7</v>
      </c>
      <c r="N18" s="80"/>
      <c r="O18" s="80">
        <v>9</v>
      </c>
      <c r="P18" s="80">
        <f>IF(B18="","",VLOOKUP(AD18,Varsayımlar!$B:$Q,7,0)*K18)</f>
        <v>6720</v>
      </c>
      <c r="Q18" s="80">
        <f>IF(B18="","",VLOOKUP(AD18,Varsayımlar!$B:$Q,8,0))</f>
        <v>25</v>
      </c>
      <c r="R18" s="80" t="str">
        <f>IF(B18="","",VLOOKUP(AD18,Varsayımlar!$B:$Q,9,0))</f>
        <v>Irak Soft</v>
      </c>
      <c r="S18" s="80">
        <f>IF(B18="","",VLOOKUP(AD18,Varsayımlar!$B:$Q,10,0))</f>
        <v>10</v>
      </c>
      <c r="T18" s="80">
        <f>IF(B18="","",VLOOKUP(AD18,Varsayımlar!$B:$Q,11,0))</f>
        <v>8</v>
      </c>
      <c r="U18" s="80">
        <f>IF(B18="","",VLOOKUP(AD18,Varsayımlar!$B:$Q,12,0))</f>
        <v>650</v>
      </c>
      <c r="V18" s="80" t="str">
        <f>IF(B18="","",VLOOKUP(AD18,Varsayımlar!$B:$Q,13,0))</f>
        <v>Yurtdışı</v>
      </c>
      <c r="W18" s="80">
        <f>IF(B18="","",VLOOKUP(AD18,Varsayımlar!$B:$Q,14,0))</f>
        <v>9</v>
      </c>
      <c r="X18" s="81">
        <v>46203</v>
      </c>
      <c r="Y18" s="81">
        <v>46476</v>
      </c>
      <c r="Z18" s="80" t="s">
        <v>379</v>
      </c>
      <c r="AA18" s="80" t="str">
        <f>IF(B18="","",VLOOKUP(AD18,Varsayımlar!$B:$Q,15,0))</f>
        <v>25cm Perforeli-Bulgarca TB etiket</v>
      </c>
      <c r="AB18" s="80" t="str">
        <f>IF(B18="","",VLOOKUP(AD18,Varsayımlar!$B:$Q,16,0))</f>
        <v>24-26 cm</v>
      </c>
      <c r="AC18" s="80" t="str">
        <f>IF(B18="","",VLOOKUP(Sayfa1!AD57,Varsayımlar!B:S,18,0))</f>
        <v>80x120cm -Epal+Epal</v>
      </c>
      <c r="AD18" s="57" t="str">
        <f t="shared" si="0"/>
        <v>TASTE LAND-BULGARİSTANTortillas 25cm Tam Buğday 10pcs 650g</v>
      </c>
    </row>
    <row r="19" spans="1:30" ht="47.25" x14ac:dyDescent="0.25">
      <c r="A19" s="8" t="s">
        <v>91</v>
      </c>
      <c r="B19" s="80" t="s">
        <v>218</v>
      </c>
      <c r="C19" s="44">
        <f>IF(B19="","",VLOOKUP(AD19,Varsayımlar!$B:$Q,3,0))</f>
        <v>8698829380698</v>
      </c>
      <c r="D19" s="44" t="s">
        <v>160</v>
      </c>
      <c r="E19" s="80" t="s">
        <v>232</v>
      </c>
      <c r="F19" s="80">
        <v>26042907</v>
      </c>
      <c r="G19" s="44"/>
      <c r="H19" s="80" t="str">
        <f>IF(B19="","",VLOOKUP(AD19,Varsayımlar!$B:$Q,5,0))</f>
        <v>Tortillas Avrupa 25cm Domatesli (074)</v>
      </c>
      <c r="I19" s="80">
        <f>IF(B19="","",VLOOKUP(AD19,Varsayımlar!B:T,19,0))</f>
        <v>0</v>
      </c>
      <c r="J19" s="80" t="str">
        <f>IF(B19="","",VLOOKUP(AD19,Varsayımlar!$B:$Q,6,0))</f>
        <v>Domatesli</v>
      </c>
      <c r="K19" s="80">
        <v>480</v>
      </c>
      <c r="L19" s="80"/>
      <c r="M19" s="80">
        <f>IFERROR(IF(B19="","",K19/VLOOKUP(AD19,Varsayımlar!B:R,17,0)),"")</f>
        <v>4</v>
      </c>
      <c r="N19" s="80"/>
      <c r="O19" s="80">
        <v>5</v>
      </c>
      <c r="P19" s="80">
        <f>IF(B19="","",VLOOKUP(AD19,Varsayımlar!$B:$Q,7,0)*K19)</f>
        <v>5760</v>
      </c>
      <c r="Q19" s="80">
        <f>IF(B19="","",VLOOKUP(AD19,Varsayımlar!$B:$Q,8,0))</f>
        <v>25</v>
      </c>
      <c r="R19" s="80" t="str">
        <f>IF(B19="","",VLOOKUP(AD19,Varsayımlar!$B:$Q,9,0))</f>
        <v>Irak Soft</v>
      </c>
      <c r="S19" s="80">
        <f>IF(B19="","",VLOOKUP(AD19,Varsayımlar!$B:$Q,10,0))</f>
        <v>6</v>
      </c>
      <c r="T19" s="80">
        <f>IF(B19="","",VLOOKUP(AD19,Varsayımlar!$B:$Q,11,0))</f>
        <v>12</v>
      </c>
      <c r="U19" s="80">
        <f>IF(B19="","",VLOOKUP(AD19,Varsayımlar!$B:$Q,12,0))</f>
        <v>390</v>
      </c>
      <c r="V19" s="80" t="str">
        <f>IF(B19="","",VLOOKUP(AD19,Varsayımlar!$B:$Q,13,0))</f>
        <v>Yurtdışı</v>
      </c>
      <c r="W19" s="80">
        <f>IF(B19="","",VLOOKUP(AD19,Varsayımlar!$B:$Q,14,0))</f>
        <v>9</v>
      </c>
      <c r="X19" s="81">
        <v>46203</v>
      </c>
      <c r="Y19" s="81">
        <v>46476</v>
      </c>
      <c r="Z19" s="80" t="s">
        <v>380</v>
      </c>
      <c r="AA19" s="80" t="str">
        <f>IF(B19="","",VLOOKUP(AD19,Varsayımlar!$B:$Q,15,0))</f>
        <v>25cm Perforeli-Bulgarca Domatesli etiket</v>
      </c>
      <c r="AB19" s="80" t="str">
        <f>IF(B19="","",VLOOKUP(AD19,Varsayımlar!$B:$Q,16,0))</f>
        <v>24-26 cm</v>
      </c>
      <c r="AC19" s="80" t="str">
        <f>IF(B19="","",VLOOKUP(Sayfa1!AD58,Varsayımlar!B:S,18,0))</f>
        <v>80x120cm -Epal+Epal</v>
      </c>
      <c r="AD19" s="57" t="str">
        <f t="shared" si="0"/>
        <v>TASTE LAND-BULGARİSTANTortillas 25cm Domatesli 6pcs 390g</v>
      </c>
    </row>
    <row r="20" spans="1:30" ht="47.25" x14ac:dyDescent="0.25">
      <c r="A20" s="8" t="s">
        <v>92</v>
      </c>
      <c r="B20" s="80" t="s">
        <v>218</v>
      </c>
      <c r="C20" s="44">
        <f>IF(B20="","",VLOOKUP(AD20,Varsayımlar!$B:$Q,3,0))</f>
        <v>8698829380698</v>
      </c>
      <c r="D20" s="44" t="s">
        <v>160</v>
      </c>
      <c r="E20" s="80" t="s">
        <v>235</v>
      </c>
      <c r="F20" s="80">
        <v>26042907</v>
      </c>
      <c r="G20" s="44"/>
      <c r="H20" s="80" t="str">
        <f>IF(B20="","",VLOOKUP(AD20,Varsayımlar!$B:$Q,5,0))</f>
        <v>Tortillas Avrupa 25cm Ispanaklı (081)</v>
      </c>
      <c r="I20" s="80">
        <f>IF(B20="","",VLOOKUP(AD20,Varsayımlar!B:T,19,0))</f>
        <v>0</v>
      </c>
      <c r="J20" s="80" t="str">
        <f>IF(B20="","",VLOOKUP(AD20,Varsayımlar!$B:$Q,6,0))</f>
        <v>Ispanaklı</v>
      </c>
      <c r="K20" s="80">
        <v>480</v>
      </c>
      <c r="L20" s="80"/>
      <c r="M20" s="80">
        <f>IFERROR(IF(B20="","",K20/VLOOKUP(AD20,Varsayımlar!B:R,17,0)),"")</f>
        <v>4</v>
      </c>
      <c r="N20" s="80"/>
      <c r="O20" s="80">
        <v>5</v>
      </c>
      <c r="P20" s="80">
        <f>IF(B20="","",VLOOKUP(AD20,Varsayımlar!$B:$Q,7,0)*K20)</f>
        <v>5760</v>
      </c>
      <c r="Q20" s="80">
        <f>IF(B20="","",VLOOKUP(AD20,Varsayımlar!$B:$Q,8,0))</f>
        <v>25</v>
      </c>
      <c r="R20" s="80" t="str">
        <f>IF(B20="","",VLOOKUP(AD20,Varsayımlar!$B:$Q,9,0))</f>
        <v>Irak Soft</v>
      </c>
      <c r="S20" s="80">
        <f>IF(B20="","",VLOOKUP(AD20,Varsayımlar!$B:$Q,10,0))</f>
        <v>6</v>
      </c>
      <c r="T20" s="80">
        <f>IF(B20="","",VLOOKUP(AD20,Varsayımlar!$B:$Q,11,0))</f>
        <v>12</v>
      </c>
      <c r="U20" s="80">
        <f>IF(B20="","",VLOOKUP(AD20,Varsayımlar!$B:$Q,12,0))</f>
        <v>390</v>
      </c>
      <c r="V20" s="80" t="str">
        <f>IF(B20="","",VLOOKUP(AD20,Varsayımlar!$B:$Q,13,0))</f>
        <v>Yurtdışı</v>
      </c>
      <c r="W20" s="80">
        <f>IF(B20="","",VLOOKUP(AD20,Varsayımlar!$B:$Q,14,0))</f>
        <v>9</v>
      </c>
      <c r="X20" s="81">
        <v>46203</v>
      </c>
      <c r="Y20" s="81">
        <v>46476</v>
      </c>
      <c r="Z20" s="80" t="s">
        <v>381</v>
      </c>
      <c r="AA20" s="80" t="str">
        <f>IF(B20="","",VLOOKUP(AD20,Varsayımlar!$B:$Q,15,0))</f>
        <v>25cm Perforeli-Bulgarca Ispanaklı etiket</v>
      </c>
      <c r="AB20" s="80" t="str">
        <f>IF(B20="","",VLOOKUP(AD20,Varsayımlar!$B:$Q,16,0))</f>
        <v>24-26 cm</v>
      </c>
      <c r="AC20" s="80" t="str">
        <f>IF(B20="","",VLOOKUP(Sayfa1!AD59,Varsayımlar!B:S,18,0))</f>
        <v>80x120cm -Epal+Epal</v>
      </c>
      <c r="AD20" s="57" t="str">
        <f t="shared" si="0"/>
        <v>TASTE LAND-BULGARİSTANTortillas 25cm Ispanaklı 6pcs 390g</v>
      </c>
    </row>
    <row r="21" spans="1:30" ht="47.25" x14ac:dyDescent="0.25">
      <c r="A21" s="8" t="s">
        <v>93</v>
      </c>
      <c r="B21" s="80" t="s">
        <v>218</v>
      </c>
      <c r="C21" s="44">
        <f>IF(B21="","",VLOOKUP(AD21,Varsayımlar!$B:$Q,3,0))</f>
        <v>8698829380698</v>
      </c>
      <c r="D21" s="44" t="s">
        <v>160</v>
      </c>
      <c r="E21" s="80" t="s">
        <v>240</v>
      </c>
      <c r="F21" s="80">
        <v>26042907</v>
      </c>
      <c r="G21" s="44"/>
      <c r="H21" s="80" t="str">
        <f>IF(B21="","",VLOOKUP(AD21,Varsayımlar!$B:$Q,5,0))</f>
        <v>Tortillas Avrupa 25cm Peynirli (098)</v>
      </c>
      <c r="I21" s="80">
        <f>IF(B21="","",VLOOKUP(AD21,Varsayımlar!B:T,19,0))</f>
        <v>0</v>
      </c>
      <c r="J21" s="80" t="str">
        <f>IF(B21="","",VLOOKUP(AD21,Varsayımlar!$B:$Q,6,0))</f>
        <v>Peynirli</v>
      </c>
      <c r="K21" s="80">
        <v>360</v>
      </c>
      <c r="L21" s="80"/>
      <c r="M21" s="80">
        <f>IFERROR(IF(B21="","",K21/VLOOKUP(AD21,Varsayımlar!B:R,17,0)),"")</f>
        <v>3</v>
      </c>
      <c r="N21" s="80"/>
      <c r="O21" s="80">
        <v>4</v>
      </c>
      <c r="P21" s="80">
        <f>IF(B21="","",VLOOKUP(AD21,Varsayımlar!$B:$Q,7,0)*K21)</f>
        <v>4320</v>
      </c>
      <c r="Q21" s="80">
        <f>IF(B21="","",VLOOKUP(AD21,Varsayımlar!$B:$Q,8,0))</f>
        <v>25</v>
      </c>
      <c r="R21" s="80" t="str">
        <f>IF(B21="","",VLOOKUP(AD21,Varsayımlar!$B:$Q,9,0))</f>
        <v>Irak Soft-AT</v>
      </c>
      <c r="S21" s="80">
        <f>IF(B21="","",VLOOKUP(AD21,Varsayımlar!$B:$Q,10,0))</f>
        <v>6</v>
      </c>
      <c r="T21" s="80">
        <f>IF(B21="","",VLOOKUP(AD21,Varsayımlar!$B:$Q,11,0))</f>
        <v>12</v>
      </c>
      <c r="U21" s="80">
        <f>IF(B21="","",VLOOKUP(AD21,Varsayımlar!$B:$Q,12,0))</f>
        <v>390</v>
      </c>
      <c r="V21" s="80" t="str">
        <f>IF(B21="","",VLOOKUP(AD21,Varsayımlar!$B:$Q,13,0))</f>
        <v>Yurtdışı</v>
      </c>
      <c r="W21" s="80">
        <f>IF(B21="","",VLOOKUP(AD21,Varsayımlar!$B:$Q,14,0))</f>
        <v>9</v>
      </c>
      <c r="X21" s="81">
        <v>46203</v>
      </c>
      <c r="Y21" s="81">
        <v>46476</v>
      </c>
      <c r="Z21" s="80" t="s">
        <v>382</v>
      </c>
      <c r="AA21" s="80" t="str">
        <f>IF(B21="","",VLOOKUP(AD21,Varsayımlar!$B:$Q,15,0))</f>
        <v>25cm Perforeli-Bulgarca Peynirli etiket</v>
      </c>
      <c r="AB21" s="80" t="str">
        <f>IF(B21="","",VLOOKUP(AD21,Varsayımlar!$B:$Q,16,0))</f>
        <v>24-26 cm</v>
      </c>
      <c r="AC21" s="80" t="str">
        <f>IF(B21="","",VLOOKUP(Sayfa1!AD60,Varsayımlar!B:S,18,0))</f>
        <v>80x120cm -Epal+Epal</v>
      </c>
      <c r="AD21" s="57" t="str">
        <f t="shared" si="0"/>
        <v>TASTE LAND-BULGARİSTANTortillas 25cm Peynirli 6pcs 390g</v>
      </c>
    </row>
    <row r="22" spans="1:30" ht="47.25" x14ac:dyDescent="0.25">
      <c r="A22" s="8" t="s">
        <v>135</v>
      </c>
      <c r="B22" s="54" t="s">
        <v>268</v>
      </c>
      <c r="C22" s="39">
        <f>IF(B22="","",VLOOKUP(AD22,Varsayımlar!$B:$Q,3,0))</f>
        <v>8698829380698</v>
      </c>
      <c r="D22" s="39" t="s">
        <v>160</v>
      </c>
      <c r="E22" s="54" t="s">
        <v>269</v>
      </c>
      <c r="F22" s="54" t="s">
        <v>343</v>
      </c>
      <c r="G22" s="39" t="s">
        <v>68</v>
      </c>
      <c r="H22" s="54" t="str">
        <f>IF(B22="","",VLOOKUP(AD22,Varsayımlar!$B:$Q,5,0))</f>
        <v>Tortillas 25cm Tam Buğday</v>
      </c>
      <c r="I22" s="54">
        <f>IF(B22="","",VLOOKUP(AD22,Varsayımlar!B:T,19,0))</f>
        <v>0</v>
      </c>
      <c r="J22" s="54" t="str">
        <f>IF(B22="","",VLOOKUP(AD22,Varsayımlar!$B:$Q,6,0))</f>
        <v>Tam Buğdaylı</v>
      </c>
      <c r="K22" s="54">
        <v>336</v>
      </c>
      <c r="L22" s="54"/>
      <c r="M22" s="54">
        <f>IFERROR(IF(B22="","",K22/VLOOKUP(AD22,Varsayımlar!B:R,17,0)),"")</f>
        <v>4</v>
      </c>
      <c r="N22" s="54"/>
      <c r="O22" s="54">
        <v>6</v>
      </c>
      <c r="P22" s="54">
        <f>IF(B22="","",VLOOKUP(AD22,Varsayımlar!$B:$Q,7,0)*K22)</f>
        <v>10080</v>
      </c>
      <c r="Q22" s="54">
        <f>IF(B22="","",VLOOKUP(AD22,Varsayımlar!$B:$Q,8,0))</f>
        <v>25</v>
      </c>
      <c r="R22" s="54" t="str">
        <f>IF(B22="","",VLOOKUP(AD22,Varsayımlar!$B:$Q,9,0))</f>
        <v>Soft-PA3</v>
      </c>
      <c r="S22" s="54">
        <f>IF(B22="","",VLOOKUP(AD22,Varsayımlar!$B:$Q,10,0))</f>
        <v>4</v>
      </c>
      <c r="T22" s="54">
        <f>IF(B22="","",VLOOKUP(AD22,Varsayımlar!$B:$Q,11,0))</f>
        <v>30</v>
      </c>
      <c r="U22" s="54">
        <f>IF(B22="","",VLOOKUP(AD22,Varsayımlar!$B:$Q,12,0))</f>
        <v>240</v>
      </c>
      <c r="V22" s="54" t="str">
        <f>IF(B22="","",VLOOKUP(AD22,Varsayımlar!$B:$Q,13,0))</f>
        <v>Yurtdışı</v>
      </c>
      <c r="W22" s="54">
        <f>IF(B22="","",VLOOKUP(AD22,Varsayımlar!$B:$Q,14,0))</f>
        <v>12</v>
      </c>
      <c r="X22" s="56">
        <v>46205</v>
      </c>
      <c r="Y22" s="56">
        <v>46570</v>
      </c>
      <c r="Z22" s="54" t="s">
        <v>383</v>
      </c>
      <c r="AA22" s="54" t="str">
        <f>IF(B22="","",VLOOKUP(AD22,Varsayımlar!$B:$Q,15,0))</f>
        <v>25cm Kolisi-Etiketli</v>
      </c>
      <c r="AB22" s="54" t="str">
        <f>IF(B22="","",VLOOKUP(AD22,Varsayımlar!$B:$Q,16,0))</f>
        <v>24-26 cm (Macca Hetto Inkjet Uzun Tarih)</v>
      </c>
      <c r="AC22" s="54" t="str">
        <f>IF(B22="","",VLOOKUP(Sayfa1!AD36,Varsayımlar!B:S,18,0))</f>
        <v>80x120cm</v>
      </c>
      <c r="AD22" s="57" t="str">
        <f t="shared" si="0"/>
        <v>LAIKYUZHN-BELARUSTortillas 25cm Tam buğday 4pcs 240g</v>
      </c>
    </row>
    <row r="23" spans="1:30" ht="47.25" x14ac:dyDescent="0.25">
      <c r="A23" s="8" t="s">
        <v>136</v>
      </c>
      <c r="B23" s="54" t="s">
        <v>268</v>
      </c>
      <c r="C23" s="39">
        <f>IF(B23="","",VLOOKUP(AD23,Varsayımlar!$B:$Q,3,0))</f>
        <v>8698829380698</v>
      </c>
      <c r="D23" s="39" t="s">
        <v>160</v>
      </c>
      <c r="E23" s="54" t="s">
        <v>274</v>
      </c>
      <c r="F23" s="54" t="s">
        <v>343</v>
      </c>
      <c r="G23" s="39" t="s">
        <v>68</v>
      </c>
      <c r="H23" s="54" t="str">
        <f>IF(B23="","",VLOOKUP(AD23,Varsayımlar!$B:$Q,5,0))</f>
        <v>Tortillas 25cm Domatesli</v>
      </c>
      <c r="I23" s="54">
        <f>IF(B23="","",VLOOKUP(AD23,Varsayımlar!B:T,19,0))</f>
        <v>0</v>
      </c>
      <c r="J23" s="54" t="str">
        <f>IF(B23="","",VLOOKUP(AD23,Varsayımlar!$B:$Q,6,0))</f>
        <v>Domatesli</v>
      </c>
      <c r="K23" s="54">
        <v>420</v>
      </c>
      <c r="L23" s="54"/>
      <c r="M23" s="54">
        <f>IFERROR(IF(B23="","",K23/VLOOKUP(AD23,Varsayımlar!B:R,17,0)),"")</f>
        <v>5</v>
      </c>
      <c r="N23" s="54"/>
      <c r="O23" s="54">
        <v>7</v>
      </c>
      <c r="P23" s="54">
        <f>IF(B23="","",VLOOKUP(AD23,Varsayımlar!$B:$Q,7,0)*K23)</f>
        <v>12600</v>
      </c>
      <c r="Q23" s="54">
        <f>IF(B23="","",VLOOKUP(AD23,Varsayımlar!$B:$Q,8,0))</f>
        <v>25</v>
      </c>
      <c r="R23" s="54" t="str">
        <f>IF(B23="","",VLOOKUP(AD23,Varsayımlar!$B:$Q,9,0))</f>
        <v>Soft-PA3</v>
      </c>
      <c r="S23" s="54">
        <f>IF(B23="","",VLOOKUP(AD23,Varsayımlar!$B:$Q,10,0))</f>
        <v>4</v>
      </c>
      <c r="T23" s="54">
        <f>IF(B23="","",VLOOKUP(AD23,Varsayımlar!$B:$Q,11,0))</f>
        <v>30</v>
      </c>
      <c r="U23" s="54">
        <f>IF(B23="","",VLOOKUP(AD23,Varsayımlar!$B:$Q,12,0))</f>
        <v>240</v>
      </c>
      <c r="V23" s="54" t="str">
        <f>IF(B23="","",VLOOKUP(AD23,Varsayımlar!$B:$Q,13,0))</f>
        <v>Yurtdışı</v>
      </c>
      <c r="W23" s="54">
        <f>IF(B23="","",VLOOKUP(AD23,Varsayımlar!$B:$Q,14,0))</f>
        <v>12</v>
      </c>
      <c r="X23" s="56">
        <v>46205</v>
      </c>
      <c r="Y23" s="56">
        <v>46570</v>
      </c>
      <c r="Z23" s="54" t="s">
        <v>384</v>
      </c>
      <c r="AA23" s="54" t="str">
        <f>IF(B23="","",VLOOKUP(AD23,Varsayımlar!$B:$Q,15,0))</f>
        <v>25cm Kolisi-Etiketli</v>
      </c>
      <c r="AB23" s="54" t="str">
        <f>IF(B23="","",VLOOKUP(AD23,Varsayımlar!$B:$Q,16,0))</f>
        <v>24-26 cm (Macca Hetto Inkjet Uzun Tarih)</v>
      </c>
      <c r="AC23" s="54" t="str">
        <f>IF(B23="","",VLOOKUP(Sayfa1!AD37,Varsayımlar!B:S,18,0))</f>
        <v>80x120cm</v>
      </c>
      <c r="AD23" s="57" t="str">
        <f t="shared" si="0"/>
        <v>LAIKYUZHN-BELARUSTortillas 25cm Domatesli 4pcs 240g</v>
      </c>
    </row>
    <row r="24" spans="1:30" ht="47.25" x14ac:dyDescent="0.25">
      <c r="A24" s="8" t="s">
        <v>137</v>
      </c>
      <c r="B24" s="54" t="s">
        <v>268</v>
      </c>
      <c r="C24" s="39">
        <f>IF(B24="","",VLOOKUP(AD24,Varsayımlar!$B:$Q,3,0))</f>
        <v>8698829380698</v>
      </c>
      <c r="D24" s="39" t="s">
        <v>160</v>
      </c>
      <c r="E24" s="54" t="s">
        <v>276</v>
      </c>
      <c r="F24" s="54" t="s">
        <v>343</v>
      </c>
      <c r="G24" s="39" t="s">
        <v>68</v>
      </c>
      <c r="H24" s="54" t="str">
        <f>IF(B24="","",VLOOKUP(AD24,Varsayımlar!$B:$Q,5,0))</f>
        <v>Tortillas 25cm Ispanaklı</v>
      </c>
      <c r="I24" s="54">
        <f>IF(B24="","",VLOOKUP(AD24,Varsayımlar!B:T,19,0))</f>
        <v>0</v>
      </c>
      <c r="J24" s="54" t="str">
        <f>IF(B24="","",VLOOKUP(AD24,Varsayımlar!$B:$Q,6,0))</f>
        <v>Ispanaklı</v>
      </c>
      <c r="K24" s="54">
        <v>336</v>
      </c>
      <c r="L24" s="54"/>
      <c r="M24" s="54">
        <f>IFERROR(IF(B24="","",K24/VLOOKUP(AD24,Varsayımlar!B:R,17,0)),"")</f>
        <v>4</v>
      </c>
      <c r="N24" s="54"/>
      <c r="O24" s="54">
        <v>6</v>
      </c>
      <c r="P24" s="54">
        <f>IF(B24="","",VLOOKUP(AD24,Varsayımlar!$B:$Q,7,0)*K24)</f>
        <v>10080</v>
      </c>
      <c r="Q24" s="54">
        <f>IF(B24="","",VLOOKUP(AD24,Varsayımlar!$B:$Q,8,0))</f>
        <v>25</v>
      </c>
      <c r="R24" s="54" t="str">
        <f>IF(B24="","",VLOOKUP(AD24,Varsayımlar!$B:$Q,9,0))</f>
        <v>Soft-PA3</v>
      </c>
      <c r="S24" s="54">
        <f>IF(B24="","",VLOOKUP(AD24,Varsayımlar!$B:$Q,10,0))</f>
        <v>4</v>
      </c>
      <c r="T24" s="54">
        <f>IF(B24="","",VLOOKUP(AD24,Varsayımlar!$B:$Q,11,0))</f>
        <v>30</v>
      </c>
      <c r="U24" s="54">
        <f>IF(B24="","",VLOOKUP(AD24,Varsayımlar!$B:$Q,12,0))</f>
        <v>240</v>
      </c>
      <c r="V24" s="54" t="str">
        <f>IF(B24="","",VLOOKUP(AD24,Varsayımlar!$B:$Q,13,0))</f>
        <v>Yurtdışı</v>
      </c>
      <c r="W24" s="54">
        <f>IF(B24="","",VLOOKUP(AD24,Varsayımlar!$B:$Q,14,0))</f>
        <v>12</v>
      </c>
      <c r="X24" s="56">
        <v>46205</v>
      </c>
      <c r="Y24" s="56">
        <v>46570</v>
      </c>
      <c r="Z24" s="54" t="s">
        <v>385</v>
      </c>
      <c r="AA24" s="54" t="str">
        <f>IF(B24="","",VLOOKUP(AD24,Varsayımlar!$B:$Q,15,0))</f>
        <v>25cm Kolisi-Etiketli</v>
      </c>
      <c r="AB24" s="54" t="str">
        <f>IF(B24="","",VLOOKUP(AD24,Varsayımlar!$B:$Q,16,0))</f>
        <v>24-26 cm (Macca Hetto Inkjet Uzun Tarih)</v>
      </c>
      <c r="AC24" s="54" t="str">
        <f>IF(B24="","",VLOOKUP(Sayfa1!AD38,Varsayımlar!B:S,18,0))</f>
        <v>80x120cm</v>
      </c>
      <c r="AD24" s="57" t="str">
        <f t="shared" si="0"/>
        <v>LAIKYUZHN-BELARUSTortillas 25cm Ispanaklı 4pcs 240g</v>
      </c>
    </row>
    <row r="25" spans="1:30" ht="47.25" x14ac:dyDescent="0.25">
      <c r="A25" s="8" t="s">
        <v>138</v>
      </c>
      <c r="B25" s="54" t="s">
        <v>268</v>
      </c>
      <c r="C25" s="39">
        <f>IF(B25="","",VLOOKUP(AD25,Varsayımlar!$B:$Q,3,0))</f>
        <v>8698829380698</v>
      </c>
      <c r="D25" s="39" t="s">
        <v>160</v>
      </c>
      <c r="E25" s="54" t="s">
        <v>278</v>
      </c>
      <c r="F25" s="54" t="s">
        <v>343</v>
      </c>
      <c r="G25" s="39" t="s">
        <v>68</v>
      </c>
      <c r="H25" s="54" t="str">
        <f>IF(B25="","",VLOOKUP(AD25,Varsayımlar!$B:$Q,5,0))</f>
        <v>Magnit Tortillas 25cm Peynirli</v>
      </c>
      <c r="I25" s="54" t="str">
        <f>IF(B25="","",VLOOKUP(AD25,Varsayımlar!B:T,19,0))</f>
        <v>Etiketli</v>
      </c>
      <c r="J25" s="54" t="str">
        <f>IF(B25="","",VLOOKUP(AD25,Varsayımlar!$B:$Q,6,0))</f>
        <v>Peynirli</v>
      </c>
      <c r="K25" s="54">
        <v>504</v>
      </c>
      <c r="L25" s="54"/>
      <c r="M25" s="54">
        <f>IFERROR(IF(B25="","",K25/VLOOKUP(AD25,Varsayımlar!B:R,17,0)),"")</f>
        <v>6</v>
      </c>
      <c r="N25" s="54"/>
      <c r="O25" s="54">
        <v>9</v>
      </c>
      <c r="P25" s="54">
        <f>IF(B25="","",VLOOKUP(AD25,Varsayımlar!$B:$Q,7,0)*K25)</f>
        <v>15120</v>
      </c>
      <c r="Q25" s="54">
        <f>IF(B25="","",VLOOKUP(AD25,Varsayımlar!$B:$Q,8,0))</f>
        <v>25</v>
      </c>
      <c r="R25" s="54" t="str">
        <f>IF(B25="","",VLOOKUP(AD25,Varsayımlar!$B:$Q,9,0))</f>
        <v>Soft-PA3-AT</v>
      </c>
      <c r="S25" s="54">
        <f>IF(B25="","",VLOOKUP(AD25,Varsayımlar!$B:$Q,10,0))</f>
        <v>4</v>
      </c>
      <c r="T25" s="54">
        <f>IF(B25="","",VLOOKUP(AD25,Varsayımlar!$B:$Q,11,0))</f>
        <v>30</v>
      </c>
      <c r="U25" s="54">
        <f>IF(B25="","",VLOOKUP(AD25,Varsayımlar!$B:$Q,12,0))</f>
        <v>250</v>
      </c>
      <c r="V25" s="54" t="str">
        <f>IF(B25="","",VLOOKUP(AD25,Varsayımlar!$B:$Q,13,0))</f>
        <v>Yurtdışı</v>
      </c>
      <c r="W25" s="54">
        <f>IF(B25="","",VLOOKUP(AD25,Varsayımlar!$B:$Q,14,0))</f>
        <v>9</v>
      </c>
      <c r="X25" s="56">
        <v>46205</v>
      </c>
      <c r="Y25" s="56">
        <v>46479</v>
      </c>
      <c r="Z25" s="54" t="s">
        <v>386</v>
      </c>
      <c r="AA25" s="54" t="str">
        <f>IF(B25="","",VLOOKUP(AD25,Varsayımlar!$B:$Q,15,0))</f>
        <v>25cm Kolisi-Etiketli</v>
      </c>
      <c r="AB25" s="54" t="str">
        <f>IF(B25="","",VLOOKUP(AD25,Varsayımlar!$B:$Q,16,0))</f>
        <v>24-26 cm (Macca Hetto Inkjet Uzun Tarih)</v>
      </c>
      <c r="AC25" s="54" t="str">
        <f>IF(B25="","",VLOOKUP(Sayfa1!AD39,Varsayımlar!B:S,18,0))</f>
        <v>80x120cm</v>
      </c>
      <c r="AD25" s="57" t="str">
        <f t="shared" si="0"/>
        <v>LAIKYUZHN-BELARUSMagnit Tortillas 25cm Peynirli 4pcs 240g</v>
      </c>
    </row>
    <row r="26" spans="1:30" ht="45.75" customHeight="1" x14ac:dyDescent="0.25">
      <c r="A26" s="8" t="s">
        <v>139</v>
      </c>
      <c r="B26" s="130" t="s">
        <v>119</v>
      </c>
      <c r="C26" s="131">
        <f>IF(B26="","",VLOOKUP(AD26,Varsayımlar!$B:$Q,3,0))</f>
        <v>8698829380698</v>
      </c>
      <c r="D26" s="131"/>
      <c r="E26" s="132" t="s">
        <v>120</v>
      </c>
      <c r="F26" s="130"/>
      <c r="G26" s="130"/>
      <c r="H26" s="130" t="str">
        <f>IF(B26="","",VLOOKUP(AD26,Varsayımlar!$B:$Q,5,0))</f>
        <v>Nimet 25 cm</v>
      </c>
      <c r="I26" s="130"/>
      <c r="J26" s="130" t="str">
        <f>IF(B26="","",VLOOKUP(AD26,Varsayımlar!$B:$Q,6,0))</f>
        <v>SADE</v>
      </c>
      <c r="K26" s="130">
        <v>5000</v>
      </c>
      <c r="L26" s="130"/>
      <c r="M26" s="130">
        <f>IFERROR(IF(B26="","",K26/VLOOKUP(AD26,Varsayımlar!B:R,17,0)),"")</f>
        <v>100</v>
      </c>
      <c r="N26" s="130"/>
      <c r="O26" s="130">
        <v>100</v>
      </c>
      <c r="P26" s="130">
        <f>IF(B26="","",VLOOKUP(AD26,Varsayımlar!$B:$Q,7,0)*K26)</f>
        <v>60000</v>
      </c>
      <c r="Q26" s="130">
        <f>IF(B26="","",VLOOKUP(AD26,Varsayımlar!$B:$Q,8,0))</f>
        <v>25</v>
      </c>
      <c r="R26" s="130" t="str">
        <f>IF(B26="","",VLOOKUP(AD26,Varsayımlar!$B:$Q,9,0))</f>
        <v>Standart</v>
      </c>
      <c r="S26" s="130">
        <f>IF(B26="","",VLOOKUP(AD26,Varsayımlar!$B:$Q,10,0))</f>
        <v>12</v>
      </c>
      <c r="T26" s="130">
        <f>IF(B26="","",VLOOKUP(AD26,Varsayımlar!$B:$Q,11,0))</f>
        <v>12</v>
      </c>
      <c r="U26" s="130">
        <f>IF(B26="","",VLOOKUP(AD26,Varsayımlar!$B:$Q,12,0))</f>
        <v>840</v>
      </c>
      <c r="V26" s="130" t="str">
        <f>IF(B26="","",VLOOKUP(AD26,Varsayımlar!$B:$Q,13,0))</f>
        <v>YURTİÇİ</v>
      </c>
      <c r="W26" s="130">
        <f>IF(B26="","",VLOOKUP(AD26,Varsayımlar!$B:$Q,14,0))</f>
        <v>5</v>
      </c>
      <c r="X26" s="133" t="s">
        <v>113</v>
      </c>
      <c r="Y26" s="133" t="s">
        <v>113</v>
      </c>
      <c r="Z26" s="130" t="s">
        <v>113</v>
      </c>
      <c r="AA26" s="130" t="str">
        <f>IF(B26="","",VLOOKUP(AD26,Varsayımlar!$B:$Q,15,0))</f>
        <v>Nimet Kolisi</v>
      </c>
      <c r="AB26" s="130" t="str">
        <f>IF(B26="","",VLOOKUP(AD26,Varsayımlar!$B:$Q,16,0))</f>
        <v>24-26 CM</v>
      </c>
      <c r="AC26" s="64" t="s">
        <v>360</v>
      </c>
      <c r="AD26" s="57" t="str">
        <f>IF(B26="","",CONCATENATE(B26,E26))</f>
        <v>A101Nimet 25cm 12 pcs 840g</v>
      </c>
    </row>
    <row r="27" spans="1:30" ht="47.25" x14ac:dyDescent="0.25">
      <c r="A27" s="8" t="s">
        <v>140</v>
      </c>
      <c r="B27" s="75" t="s">
        <v>218</v>
      </c>
      <c r="C27" s="43">
        <f>IF(B27="","",VLOOKUP(AD27,Varsayımlar!$B:$Q,3,0))</f>
        <v>8698829380698</v>
      </c>
      <c r="D27" s="43" t="s">
        <v>161</v>
      </c>
      <c r="E27" s="75" t="s">
        <v>252</v>
      </c>
      <c r="F27" s="75" t="s">
        <v>341</v>
      </c>
      <c r="G27" s="43"/>
      <c r="H27" s="75" t="str">
        <f>IF(B27="","",VLOOKUP(AD27,Varsayımlar!$B:$Q,5,0))</f>
        <v xml:space="preserve">Tortillas 20cm Sade </v>
      </c>
      <c r="I27" s="75" t="str">
        <f>IF(B27="","",VLOOKUP(AD27,Varsayımlar!B:T,19,0))</f>
        <v>Barkod üzerine Barkod Etiketi (104)</v>
      </c>
      <c r="J27" s="75" t="str">
        <f>IF(B27="","",VLOOKUP(AD27,Varsayımlar!$B:$Q,6,0))</f>
        <v>SADE</v>
      </c>
      <c r="K27" s="75">
        <v>120</v>
      </c>
      <c r="L27" s="75"/>
      <c r="M27" s="75">
        <f>IFERROR(IF(B27="","",K27/VLOOKUP(AD27,Varsayımlar!B:R,17,0)),"")</f>
        <v>1</v>
      </c>
      <c r="N27" s="75"/>
      <c r="O27" s="75">
        <v>2</v>
      </c>
      <c r="P27" s="75">
        <f>IF(B27="","",VLOOKUP(AD27,Varsayımlar!$B:$Q,7,0)*K27)</f>
        <v>2160</v>
      </c>
      <c r="Q27" s="75">
        <f>IF(B27="","",VLOOKUP(AD27,Varsayımlar!$B:$Q,8,0))</f>
        <v>20</v>
      </c>
      <c r="R27" s="75" t="str">
        <f>IF(B27="","",VLOOKUP(AD27,Varsayımlar!$B:$Q,9,0))</f>
        <v>Irak Soft</v>
      </c>
      <c r="S27" s="75">
        <f>IF(B27="","",VLOOKUP(AD27,Varsayımlar!$B:$Q,10,0))</f>
        <v>6</v>
      </c>
      <c r="T27" s="75">
        <f>IF(B27="","",VLOOKUP(AD27,Varsayımlar!$B:$Q,11,0))</f>
        <v>18</v>
      </c>
      <c r="U27" s="75">
        <f>IF(B27="","",VLOOKUP(AD27,Varsayımlar!$B:$Q,12,0))</f>
        <v>270</v>
      </c>
      <c r="V27" s="75" t="str">
        <f>IF(B27="","",VLOOKUP(AD27,Varsayımlar!$B:$Q,13,0))</f>
        <v>Yurtdışı</v>
      </c>
      <c r="W27" s="75">
        <f>IF(B27="","",VLOOKUP(AD27,Varsayımlar!$B:$Q,14,0))</f>
        <v>9</v>
      </c>
      <c r="X27" s="76">
        <v>46213</v>
      </c>
      <c r="Y27" s="76">
        <v>46487</v>
      </c>
      <c r="Z27" s="75">
        <v>26071020</v>
      </c>
      <c r="AA27" s="75" t="str">
        <f>IF(B27="","",VLOOKUP(AD27,Varsayımlar!$B:$Q,15,0))</f>
        <v>20cm Lacivert-Bulgarca Etiket</v>
      </c>
      <c r="AB27" s="75" t="str">
        <f>IF(B27="","",VLOOKUP(AD27,Varsayımlar!$B:$Q,16,0))</f>
        <v>19-21 cm</v>
      </c>
      <c r="AC27" s="75" t="str">
        <f>IF(B27="","",VLOOKUP(Sayfa1!AD21,Varsayımlar!B:S,18,0))</f>
        <v>100x120cm-Epal+Epal</v>
      </c>
      <c r="AD27" s="57" t="str">
        <f t="shared" si="0"/>
        <v>TASTE LAND-BULGARİSTANTortillas 20cm Sade 6pcs 270g</v>
      </c>
    </row>
    <row r="28" spans="1:30" ht="78.75" x14ac:dyDescent="0.25">
      <c r="A28" s="8" t="s">
        <v>141</v>
      </c>
      <c r="B28" s="75" t="s">
        <v>218</v>
      </c>
      <c r="C28" s="43">
        <f>IF(B28="","",VLOOKUP(AD28,Varsayımlar!$B:$Q,3,0))</f>
        <v>8698829380698</v>
      </c>
      <c r="D28" s="43" t="s">
        <v>161</v>
      </c>
      <c r="E28" s="75" t="s">
        <v>222</v>
      </c>
      <c r="F28" s="75" t="s">
        <v>341</v>
      </c>
      <c r="G28" s="43"/>
      <c r="H28" s="75" t="str">
        <f>IF(B28="","",VLOOKUP(AD28,Varsayımlar!$B:$Q,5,0))</f>
        <v xml:space="preserve">Tortillas 30cm Tam Buğday </v>
      </c>
      <c r="I28" s="75" t="str">
        <f>IF(B28="","",VLOOKUP(AD28,Varsayımlar!B:T,19,0))</f>
        <v>Barkod üzerine-Bulgarca Barkodlu TB içerik etiketi (029)</v>
      </c>
      <c r="J28" s="75" t="str">
        <f>IF(B28="","",VLOOKUP(AD28,Varsayımlar!$B:$Q,6,0))</f>
        <v>Tam Buğdaylı</v>
      </c>
      <c r="K28" s="75">
        <v>60</v>
      </c>
      <c r="L28" s="75"/>
      <c r="M28" s="75">
        <f>IFERROR(IF(B28="","",K28/VLOOKUP(AD28,Varsayımlar!B:R,17,0)),"")</f>
        <v>1</v>
      </c>
      <c r="N28" s="75"/>
      <c r="O28" s="75">
        <v>1</v>
      </c>
      <c r="P28" s="75">
        <f>IF(B28="","",VLOOKUP(AD28,Varsayımlar!$B:$Q,7,0)*K28)</f>
        <v>360</v>
      </c>
      <c r="Q28" s="75">
        <f>IF(B28="","",VLOOKUP(AD28,Varsayımlar!$B:$Q,8,0))</f>
        <v>30</v>
      </c>
      <c r="R28" s="75" t="str">
        <f>IF(B28="","",VLOOKUP(AD28,Varsayımlar!$B:$Q,9,0))</f>
        <v>Irak Soft</v>
      </c>
      <c r="S28" s="75">
        <f>IF(B28="","",VLOOKUP(AD28,Varsayımlar!$B:$Q,10,0))</f>
        <v>18</v>
      </c>
      <c r="T28" s="75">
        <f>IF(B28="","",VLOOKUP(AD28,Varsayımlar!$B:$Q,11,0))</f>
        <v>6</v>
      </c>
      <c r="U28" s="75">
        <f>IF(B28="","",VLOOKUP(AD28,Varsayımlar!$B:$Q,12,0))</f>
        <v>1620</v>
      </c>
      <c r="V28" s="75" t="str">
        <f>IF(B28="","",VLOOKUP(AD28,Varsayımlar!$B:$Q,13,0))</f>
        <v>Yurtdışı</v>
      </c>
      <c r="W28" s="75">
        <f>IF(B28="","",VLOOKUP(AD28,Varsayımlar!$B:$Q,14,0))</f>
        <v>9</v>
      </c>
      <c r="X28" s="76">
        <v>46213</v>
      </c>
      <c r="Y28" s="76">
        <v>46487</v>
      </c>
      <c r="Z28" s="75" t="s">
        <v>442</v>
      </c>
      <c r="AA28" s="75" t="str">
        <f>IF(B28="","",VLOOKUP(AD28,Varsayımlar!$B:$Q,15,0))</f>
        <v>30cm Lacivert Koli- Bulgarca TB Etiket</v>
      </c>
      <c r="AB28" s="75" t="str">
        <f>IF(B28="","",VLOOKUP(AD28,Varsayımlar!$B:$Q,16,0))</f>
        <v>29-31 cm</v>
      </c>
      <c r="AC28" s="75" t="str">
        <f>IF(B28="","",VLOOKUP(Sayfa1!AD20,Varsayımlar!B:S,18,0))</f>
        <v>95x130cm</v>
      </c>
      <c r="AD28" s="57" t="str">
        <f t="shared" si="0"/>
        <v>TASTE LAND-BULGARİSTANTortillas 30cm Tam Buğday 18pcs 1620g</v>
      </c>
    </row>
    <row r="29" spans="1:30" ht="31.5" x14ac:dyDescent="0.25">
      <c r="A29" s="8" t="s">
        <v>142</v>
      </c>
      <c r="B29" s="75" t="s">
        <v>218</v>
      </c>
      <c r="C29" s="43">
        <f>IF(B29="","",VLOOKUP(AD29,Varsayımlar!$B:$Q,3,0))</f>
        <v>8698829380698</v>
      </c>
      <c r="D29" s="43" t="s">
        <v>161</v>
      </c>
      <c r="E29" s="75" t="s">
        <v>229</v>
      </c>
      <c r="F29" s="75" t="s">
        <v>341</v>
      </c>
      <c r="G29" s="43"/>
      <c r="H29" s="75" t="str">
        <f>IF(B29="","",VLOOKUP(AD29,Varsayımlar!$B:$Q,5,0))</f>
        <v>Tortillas Avrupa 25cm Tam Buğday (711)</v>
      </c>
      <c r="I29" s="75">
        <f>IF(B29="","",VLOOKUP(AD29,Varsayımlar!B:T,19,0))</f>
        <v>0</v>
      </c>
      <c r="J29" s="75" t="str">
        <f>IF(B29="","",VLOOKUP(AD29,Varsayımlar!$B:$Q,6,0))</f>
        <v>Tam Buğdaylı</v>
      </c>
      <c r="K29" s="75">
        <v>840</v>
      </c>
      <c r="L29" s="75"/>
      <c r="M29" s="75">
        <f>IFERROR(IF(B29="","",K29/VLOOKUP(AD29,Varsayımlar!B:R,17,0)),"")</f>
        <v>7</v>
      </c>
      <c r="N29" s="75"/>
      <c r="O29" s="75">
        <v>9</v>
      </c>
      <c r="P29" s="75">
        <f>IF(B29="","",VLOOKUP(AD29,Varsayımlar!$B:$Q,7,0)*K29)</f>
        <v>6720</v>
      </c>
      <c r="Q29" s="75">
        <f>IF(B29="","",VLOOKUP(AD29,Varsayımlar!$B:$Q,8,0))</f>
        <v>25</v>
      </c>
      <c r="R29" s="75" t="str">
        <f>IF(B29="","",VLOOKUP(AD29,Varsayımlar!$B:$Q,9,0))</f>
        <v>Irak Soft</v>
      </c>
      <c r="S29" s="75">
        <f>IF(B29="","",VLOOKUP(AD29,Varsayımlar!$B:$Q,10,0))</f>
        <v>10</v>
      </c>
      <c r="T29" s="75">
        <f>IF(B29="","",VLOOKUP(AD29,Varsayımlar!$B:$Q,11,0))</f>
        <v>8</v>
      </c>
      <c r="U29" s="75">
        <f>IF(B29="","",VLOOKUP(AD29,Varsayımlar!$B:$Q,12,0))</f>
        <v>650</v>
      </c>
      <c r="V29" s="75" t="str">
        <f>IF(B29="","",VLOOKUP(AD29,Varsayımlar!$B:$Q,13,0))</f>
        <v>Yurtdışı</v>
      </c>
      <c r="W29" s="75">
        <f>IF(B29="","",VLOOKUP(AD29,Varsayımlar!$B:$Q,14,0))</f>
        <v>9</v>
      </c>
      <c r="X29" s="76">
        <v>46213</v>
      </c>
      <c r="Y29" s="76">
        <v>46487</v>
      </c>
      <c r="Z29" s="75" t="s">
        <v>442</v>
      </c>
      <c r="AA29" s="75" t="str">
        <f>IF(B29="","",VLOOKUP(AD29,Varsayımlar!$B:$Q,15,0))</f>
        <v>25cm Perforeli-Bulgarca TB etiket</v>
      </c>
      <c r="AB29" s="75" t="str">
        <f>IF(B29="","",VLOOKUP(AD29,Varsayımlar!$B:$Q,16,0))</f>
        <v>24-26 cm</v>
      </c>
      <c r="AC29" s="75" t="str">
        <f>IF(B29="","",VLOOKUP(Sayfa1!AD63,Varsayımlar!B:S,18,0))</f>
        <v>80x120cm -Epal+Epal</v>
      </c>
      <c r="AD29" s="57" t="str">
        <f t="shared" si="0"/>
        <v>TASTE LAND-BULGARİSTANTortillas 25cm Tam Buğday 10pcs 650g</v>
      </c>
    </row>
    <row r="30" spans="1:30" ht="47.25" x14ac:dyDescent="0.25">
      <c r="A30" s="8" t="s">
        <v>143</v>
      </c>
      <c r="B30" s="75" t="s">
        <v>218</v>
      </c>
      <c r="C30" s="43">
        <f>IF(B30="","",VLOOKUP(AD30,Varsayımlar!$B:$Q,3,0))</f>
        <v>8698829380698</v>
      </c>
      <c r="D30" s="43" t="s">
        <v>161</v>
      </c>
      <c r="E30" s="75" t="s">
        <v>251</v>
      </c>
      <c r="F30" s="75" t="s">
        <v>341</v>
      </c>
      <c r="G30" s="43"/>
      <c r="H30" s="75" t="str">
        <f>IF(B30="","",VLOOKUP(AD30,Varsayımlar!$B:$Q,5,0))</f>
        <v>Tortillas Avrupa 25cm TB (711)</v>
      </c>
      <c r="I30" s="75" t="str">
        <f>IF(B30="","",VLOOKUP(AD30,Varsayımlar!B:T,19,0))</f>
        <v>Barkod üzerine Barkod Etiketi (067)</v>
      </c>
      <c r="J30" s="75" t="str">
        <f>IF(B30="","",VLOOKUP(AD30,Varsayımlar!$B:$Q,6,0))</f>
        <v>Tam Buğdaylı</v>
      </c>
      <c r="K30" s="75">
        <v>84</v>
      </c>
      <c r="L30" s="75"/>
      <c r="M30" s="75">
        <f>IFERROR(IF(B30="","",K30/VLOOKUP(AD30,Varsayımlar!B:R,17,0)),"")</f>
        <v>1</v>
      </c>
      <c r="N30" s="75"/>
      <c r="O30" s="75">
        <v>2</v>
      </c>
      <c r="P30" s="75">
        <f>IF(B30="","",VLOOKUP(AD30,Varsayımlar!$B:$Q,7,0)*K30)</f>
        <v>1512</v>
      </c>
      <c r="Q30" s="75">
        <f>IF(B30="","",VLOOKUP(AD30,Varsayımlar!$B:$Q,8,0))</f>
        <v>25</v>
      </c>
      <c r="R30" s="75" t="str">
        <f>IF(B30="","",VLOOKUP(AD30,Varsayımlar!$B:$Q,9,0))</f>
        <v>Irak Soft</v>
      </c>
      <c r="S30" s="75">
        <f>IF(B30="","",VLOOKUP(AD30,Varsayımlar!$B:$Q,10,0))</f>
        <v>6</v>
      </c>
      <c r="T30" s="75">
        <f>IF(B30="","",VLOOKUP(AD30,Varsayımlar!$B:$Q,11,0))</f>
        <v>18</v>
      </c>
      <c r="U30" s="75">
        <f>IF(B30="","",VLOOKUP(AD30,Varsayımlar!$B:$Q,12,0))</f>
        <v>390</v>
      </c>
      <c r="V30" s="75" t="str">
        <f>IF(B30="","",VLOOKUP(AD30,Varsayımlar!$B:$Q,13,0))</f>
        <v>Yurtdışı</v>
      </c>
      <c r="W30" s="75">
        <f>IF(B30="","",VLOOKUP(AD30,Varsayımlar!$B:$Q,14,0))</f>
        <v>9</v>
      </c>
      <c r="X30" s="76">
        <v>46213</v>
      </c>
      <c r="Y30" s="76">
        <v>46487</v>
      </c>
      <c r="Z30" s="75" t="s">
        <v>442</v>
      </c>
      <c r="AA30" s="75" t="str">
        <f>IF(B30="","",VLOOKUP(AD30,Varsayımlar!$B:$Q,15,0))</f>
        <v>25cm Kırmızı koli-Bulgarca TB Etiket</v>
      </c>
      <c r="AB30" s="75" t="str">
        <f>IF(B30="","",VLOOKUP(AD30,Varsayımlar!$B:$Q,16,0))</f>
        <v>24-26 cm</v>
      </c>
      <c r="AC30" s="75" t="str">
        <f>IF(B30="","",VLOOKUP(Sayfa1!AD64,Varsayımlar!B:S,18,0))</f>
        <v>80x120cm -Epal+Epal</v>
      </c>
      <c r="AD30" s="57" t="str">
        <f t="shared" si="0"/>
        <v>TASTE LAND-BULGARİSTANTortillas 25cm TB 6pcs 390g</v>
      </c>
    </row>
    <row r="31" spans="1:30" ht="47.25" x14ac:dyDescent="0.25">
      <c r="A31" s="8" t="s">
        <v>144</v>
      </c>
      <c r="B31" s="75" t="s">
        <v>218</v>
      </c>
      <c r="C31" s="43">
        <f>IF(B31="","",VLOOKUP(AD31,Varsayımlar!$B:$Q,3,0))</f>
        <v>8698829380698</v>
      </c>
      <c r="D31" s="43" t="s">
        <v>161</v>
      </c>
      <c r="E31" s="75" t="s">
        <v>232</v>
      </c>
      <c r="F31" s="75" t="s">
        <v>341</v>
      </c>
      <c r="G31" s="43"/>
      <c r="H31" s="75" t="str">
        <f>IF(B31="","",VLOOKUP(AD31,Varsayımlar!$B:$Q,5,0))</f>
        <v>Tortillas Avrupa 25cm Domatesli (074)</v>
      </c>
      <c r="I31" s="75">
        <f>IF(B31="","",VLOOKUP(AD31,Varsayımlar!B:T,19,0))</f>
        <v>0</v>
      </c>
      <c r="J31" s="75" t="str">
        <f>IF(B31="","",VLOOKUP(AD31,Varsayımlar!$B:$Q,6,0))</f>
        <v>Domatesli</v>
      </c>
      <c r="K31" s="75">
        <v>240</v>
      </c>
      <c r="L31" s="75"/>
      <c r="M31" s="75">
        <f>IFERROR(IF(B31="","",K31/VLOOKUP(AD31,Varsayımlar!B:R,17,0)),"")</f>
        <v>2</v>
      </c>
      <c r="N31" s="75"/>
      <c r="O31" s="75">
        <v>3</v>
      </c>
      <c r="P31" s="75">
        <f>IF(B31="","",VLOOKUP(AD31,Varsayımlar!$B:$Q,7,0)*K31)</f>
        <v>2880</v>
      </c>
      <c r="Q31" s="75">
        <f>IF(B31="","",VLOOKUP(AD31,Varsayımlar!$B:$Q,8,0))</f>
        <v>25</v>
      </c>
      <c r="R31" s="75" t="str">
        <f>IF(B31="","",VLOOKUP(AD31,Varsayımlar!$B:$Q,9,0))</f>
        <v>Irak Soft</v>
      </c>
      <c r="S31" s="75">
        <f>IF(B31="","",VLOOKUP(AD31,Varsayımlar!$B:$Q,10,0))</f>
        <v>6</v>
      </c>
      <c r="T31" s="75">
        <f>IF(B31="","",VLOOKUP(AD31,Varsayımlar!$B:$Q,11,0))</f>
        <v>12</v>
      </c>
      <c r="U31" s="75">
        <f>IF(B31="","",VLOOKUP(AD31,Varsayımlar!$B:$Q,12,0))</f>
        <v>390</v>
      </c>
      <c r="V31" s="75" t="str">
        <f>IF(B31="","",VLOOKUP(AD31,Varsayımlar!$B:$Q,13,0))</f>
        <v>Yurtdışı</v>
      </c>
      <c r="W31" s="75">
        <f>IF(B31="","",VLOOKUP(AD31,Varsayımlar!$B:$Q,14,0))</f>
        <v>9</v>
      </c>
      <c r="X31" s="76">
        <v>46213</v>
      </c>
      <c r="Y31" s="76">
        <v>46487</v>
      </c>
      <c r="Z31" s="75" t="s">
        <v>443</v>
      </c>
      <c r="AA31" s="75" t="str">
        <f>IF(B31="","",VLOOKUP(AD31,Varsayımlar!$B:$Q,15,0))</f>
        <v>25cm Perforeli-Bulgarca Domatesli etiket</v>
      </c>
      <c r="AB31" s="75" t="str">
        <f>IF(B31="","",VLOOKUP(AD31,Varsayımlar!$B:$Q,16,0))</f>
        <v>24-26 cm</v>
      </c>
      <c r="AC31" s="75" t="str">
        <f>IF(B31="","",VLOOKUP(Sayfa1!AD65,Varsayımlar!B:S,18,0))</f>
        <v>80x120cm -Epal+Epal</v>
      </c>
      <c r="AD31" s="57" t="str">
        <f t="shared" si="0"/>
        <v>TASTE LAND-BULGARİSTANTortillas 25cm Domatesli 6pcs 390g</v>
      </c>
    </row>
    <row r="32" spans="1:30" ht="47.25" x14ac:dyDescent="0.25">
      <c r="A32" s="8" t="s">
        <v>145</v>
      </c>
      <c r="B32" s="75" t="s">
        <v>218</v>
      </c>
      <c r="C32" s="43">
        <f>IF(B32="","",VLOOKUP(AD32,Varsayımlar!$B:$Q,3,0))</f>
        <v>8698829380698</v>
      </c>
      <c r="D32" s="43" t="s">
        <v>161</v>
      </c>
      <c r="E32" s="75" t="s">
        <v>235</v>
      </c>
      <c r="F32" s="75" t="s">
        <v>341</v>
      </c>
      <c r="G32" s="43"/>
      <c r="H32" s="75" t="str">
        <f>IF(B32="","",VLOOKUP(AD32,Varsayımlar!$B:$Q,5,0))</f>
        <v>Tortillas Avrupa 25cm Ispanaklı (081)</v>
      </c>
      <c r="I32" s="75">
        <f>IF(B32="","",VLOOKUP(AD32,Varsayımlar!B:T,19,0))</f>
        <v>0</v>
      </c>
      <c r="J32" s="75" t="str">
        <f>IF(B32="","",VLOOKUP(AD32,Varsayımlar!$B:$Q,6,0))</f>
        <v>Ispanaklı</v>
      </c>
      <c r="K32" s="75">
        <v>240</v>
      </c>
      <c r="L32" s="75"/>
      <c r="M32" s="75">
        <f>IFERROR(IF(B32="","",K32/VLOOKUP(AD32,Varsayımlar!B:R,17,0)),"")</f>
        <v>2</v>
      </c>
      <c r="N32" s="75"/>
      <c r="O32" s="75">
        <v>3</v>
      </c>
      <c r="P32" s="75">
        <f>IF(B32="","",VLOOKUP(AD32,Varsayımlar!$B:$Q,7,0)*K32)</f>
        <v>2880</v>
      </c>
      <c r="Q32" s="75">
        <f>IF(B32="","",VLOOKUP(AD32,Varsayımlar!$B:$Q,8,0))</f>
        <v>25</v>
      </c>
      <c r="R32" s="75" t="str">
        <f>IF(B32="","",VLOOKUP(AD32,Varsayımlar!$B:$Q,9,0))</f>
        <v>Irak Soft</v>
      </c>
      <c r="S32" s="75">
        <f>IF(B32="","",VLOOKUP(AD32,Varsayımlar!$B:$Q,10,0))</f>
        <v>6</v>
      </c>
      <c r="T32" s="75">
        <f>IF(B32="","",VLOOKUP(AD32,Varsayımlar!$B:$Q,11,0))</f>
        <v>12</v>
      </c>
      <c r="U32" s="75">
        <f>IF(B32="","",VLOOKUP(AD32,Varsayımlar!$B:$Q,12,0))</f>
        <v>390</v>
      </c>
      <c r="V32" s="75" t="str">
        <f>IF(B32="","",VLOOKUP(AD32,Varsayımlar!$B:$Q,13,0))</f>
        <v>Yurtdışı</v>
      </c>
      <c r="W32" s="75">
        <f>IF(B32="","",VLOOKUP(AD32,Varsayımlar!$B:$Q,14,0))</f>
        <v>9</v>
      </c>
      <c r="X32" s="76">
        <v>46213</v>
      </c>
      <c r="Y32" s="76">
        <v>46487</v>
      </c>
      <c r="Z32" s="75" t="s">
        <v>444</v>
      </c>
      <c r="AA32" s="75" t="str">
        <f>IF(B32="","",VLOOKUP(AD32,Varsayımlar!$B:$Q,15,0))</f>
        <v>25cm Perforeli-Bulgarca Ispanaklı etiket</v>
      </c>
      <c r="AB32" s="75" t="str">
        <f>IF(B32="","",VLOOKUP(AD32,Varsayımlar!$B:$Q,16,0))</f>
        <v>24-26 cm</v>
      </c>
      <c r="AC32" s="75" t="str">
        <f>IF(B32="","",VLOOKUP(Sayfa1!AD66,Varsayımlar!B:S,18,0))</f>
        <v>80x120cm -Epal+Epal</v>
      </c>
      <c r="AD32" s="57" t="str">
        <f t="shared" si="0"/>
        <v>TASTE LAND-BULGARİSTANTortillas 25cm Ispanaklı 6pcs 390g</v>
      </c>
    </row>
    <row r="33" spans="1:30" ht="47.25" x14ac:dyDescent="0.25">
      <c r="A33" s="8" t="s">
        <v>146</v>
      </c>
      <c r="B33" s="75" t="s">
        <v>218</v>
      </c>
      <c r="C33" s="43">
        <f>IF(B33="","",VLOOKUP(AD33,Varsayımlar!$B:$Q,3,0))</f>
        <v>8698829380698</v>
      </c>
      <c r="D33" s="43" t="s">
        <v>161</v>
      </c>
      <c r="E33" s="75" t="s">
        <v>240</v>
      </c>
      <c r="F33" s="75" t="s">
        <v>341</v>
      </c>
      <c r="G33" s="43"/>
      <c r="H33" s="75" t="str">
        <f>IF(B33="","",VLOOKUP(AD33,Varsayımlar!$B:$Q,5,0))</f>
        <v>Tortillas Avrupa 25cm Peynirli (098)</v>
      </c>
      <c r="I33" s="75">
        <f>IF(B33="","",VLOOKUP(AD33,Varsayımlar!B:T,19,0))</f>
        <v>0</v>
      </c>
      <c r="J33" s="75" t="str">
        <f>IF(B33="","",VLOOKUP(AD33,Varsayımlar!$B:$Q,6,0))</f>
        <v>Peynirli</v>
      </c>
      <c r="K33" s="75">
        <v>120</v>
      </c>
      <c r="L33" s="75"/>
      <c r="M33" s="75">
        <f>IFERROR(IF(B33="","",K33/VLOOKUP(AD33,Varsayımlar!B:R,17,0)),"")</f>
        <v>1</v>
      </c>
      <c r="N33" s="75"/>
      <c r="O33" s="75">
        <v>2</v>
      </c>
      <c r="P33" s="75">
        <f>IF(B33="","",VLOOKUP(AD33,Varsayımlar!$B:$Q,7,0)*K33)</f>
        <v>1440</v>
      </c>
      <c r="Q33" s="75">
        <f>IF(B33="","",VLOOKUP(AD33,Varsayımlar!$B:$Q,8,0))</f>
        <v>25</v>
      </c>
      <c r="R33" s="75" t="str">
        <f>IF(B33="","",VLOOKUP(AD33,Varsayımlar!$B:$Q,9,0))</f>
        <v>Irak Soft-AT</v>
      </c>
      <c r="S33" s="75">
        <f>IF(B33="","",VLOOKUP(AD33,Varsayımlar!$B:$Q,10,0))</f>
        <v>6</v>
      </c>
      <c r="T33" s="75">
        <f>IF(B33="","",VLOOKUP(AD33,Varsayımlar!$B:$Q,11,0))</f>
        <v>12</v>
      </c>
      <c r="U33" s="75">
        <f>IF(B33="","",VLOOKUP(AD33,Varsayımlar!$B:$Q,12,0))</f>
        <v>390</v>
      </c>
      <c r="V33" s="75" t="str">
        <f>IF(B33="","",VLOOKUP(AD33,Varsayımlar!$B:$Q,13,0))</f>
        <v>Yurtdışı</v>
      </c>
      <c r="W33" s="75">
        <f>IF(B33="","",VLOOKUP(AD33,Varsayımlar!$B:$Q,14,0))</f>
        <v>9</v>
      </c>
      <c r="X33" s="76">
        <v>46213</v>
      </c>
      <c r="Y33" s="76">
        <v>46487</v>
      </c>
      <c r="Z33" s="75" t="s">
        <v>445</v>
      </c>
      <c r="AA33" s="75" t="str">
        <f>IF(B33="","",VLOOKUP(AD33,Varsayımlar!$B:$Q,15,0))</f>
        <v>25cm Perforeli-Bulgarca Peynirli etiket</v>
      </c>
      <c r="AB33" s="75" t="str">
        <f>IF(B33="","",VLOOKUP(AD33,Varsayımlar!$B:$Q,16,0))</f>
        <v>24-26 cm</v>
      </c>
      <c r="AC33" s="75" t="str">
        <f>IF(B33="","",VLOOKUP(Sayfa1!AD67,Varsayımlar!B:S,18,0))</f>
        <v>80x120cm -Epal+Epal</v>
      </c>
      <c r="AD33" s="57" t="str">
        <f t="shared" si="0"/>
        <v>TASTE LAND-BULGARİSTANTortillas 25cm Peynirli 6pcs 390g</v>
      </c>
    </row>
    <row r="34" spans="1:30" x14ac:dyDescent="0.25">
      <c r="A34" s="8" t="s">
        <v>147</v>
      </c>
      <c r="B34" s="67" t="s">
        <v>460</v>
      </c>
      <c r="C34" s="42">
        <f>IF(B34="","",VLOOKUP(AD34,Varsayımlar!$B:$Q,3,0))</f>
        <v>8698829380698</v>
      </c>
      <c r="D34" s="67"/>
      <c r="E34" s="67" t="s">
        <v>464</v>
      </c>
      <c r="F34" s="67">
        <v>20260414</v>
      </c>
      <c r="G34" s="67"/>
      <c r="H34" s="67" t="str">
        <f>IF(B34="","",VLOOKUP(AD34,Varsayımlar!$B:$Q,5,0))</f>
        <v>Tortillove 20cm</v>
      </c>
      <c r="I34" s="67">
        <f>IF(B34="","",VLOOKUP(AD34,Varsayımlar!B:T,19,0))</f>
        <v>0</v>
      </c>
      <c r="J34" s="67" t="str">
        <f>IF(B34="","",VLOOKUP(AD34,Varsayımlar!$B:$Q,6,0))</f>
        <v>SADE</v>
      </c>
      <c r="K34" s="67">
        <v>300</v>
      </c>
      <c r="L34" s="67"/>
      <c r="M34" s="67">
        <f>IFERROR(IF(B34="","",K34/VLOOKUP(AD34,Varsayımlar!B:R,17,0)),"")</f>
        <v>3</v>
      </c>
      <c r="N34" s="67"/>
      <c r="O34" s="67">
        <v>5</v>
      </c>
      <c r="P34" s="67">
        <f>IF(B34="","",VLOOKUP(AD34,Varsayımlar!$B:$Q,7,0)*K34)</f>
        <v>3600</v>
      </c>
      <c r="Q34" s="67">
        <f>IF(B34="","",VLOOKUP(AD34,Varsayımlar!$B:$Q,8,0))</f>
        <v>20</v>
      </c>
      <c r="R34" s="67" t="str">
        <f>IF(B34="","",VLOOKUP(AD34,Varsayımlar!$B:$Q,9,0))</f>
        <v>Irak Soft</v>
      </c>
      <c r="S34" s="67">
        <f>IF(B34="","",VLOOKUP(AD34,Varsayımlar!$B:$Q,10,0))</f>
        <v>10</v>
      </c>
      <c r="T34" s="67">
        <f>IF(B34="","",VLOOKUP(AD34,Varsayımlar!$B:$Q,11,0))</f>
        <v>12</v>
      </c>
      <c r="U34" s="67">
        <f>IF(B34="","",VLOOKUP(AD34,Varsayımlar!$B:$Q,12,0))</f>
        <v>450</v>
      </c>
      <c r="V34" s="67" t="str">
        <f>IF(B34="","",VLOOKUP(AD34,Varsayımlar!$B:$Q,13,0))</f>
        <v>Yurtdışı</v>
      </c>
      <c r="W34" s="67">
        <f>IF(B34="","",VLOOKUP(AD34,Varsayımlar!$B:$Q,14,0))</f>
        <v>6</v>
      </c>
      <c r="X34" s="69">
        <v>46216</v>
      </c>
      <c r="Y34" s="69">
        <v>46400</v>
      </c>
      <c r="Z34" s="67">
        <v>26071320</v>
      </c>
      <c r="AA34" s="67" t="str">
        <f>IF(B34="","",VLOOKUP(AD34,Varsayımlar!$B:$Q,15,0))</f>
        <v>20cm kolisi</v>
      </c>
      <c r="AB34" s="67" t="str">
        <f>IF(B34="","",VLOOKUP(AD34,Varsayımlar!$B:$Q,16,0))</f>
        <v>19-21 cm</v>
      </c>
      <c r="AC34" s="75">
        <f>IF(B34="","",VLOOKUP(Sayfa1!AD69,Varsayımlar!B:S,18,0))</f>
        <v>0</v>
      </c>
      <c r="AD34" s="57" t="str">
        <f t="shared" si="0"/>
        <v>Yüksekbaş GıdaYüksekbaş 20cm 10pcs 450g</v>
      </c>
    </row>
    <row r="35" spans="1:30" x14ac:dyDescent="0.25">
      <c r="A35" s="8" t="s">
        <v>148</v>
      </c>
      <c r="B35" s="67" t="s">
        <v>460</v>
      </c>
      <c r="C35" s="42">
        <f>IF(B35="","",VLOOKUP(AD35,Varsayımlar!$B:$Q,3,0))</f>
        <v>8698829380698</v>
      </c>
      <c r="D35" s="67"/>
      <c r="E35" s="67" t="s">
        <v>470</v>
      </c>
      <c r="F35" s="67">
        <v>20260414</v>
      </c>
      <c r="G35" s="67"/>
      <c r="H35" s="67" t="str">
        <f>IF(B35="","",VLOOKUP(AD35,Varsayımlar!$B:$Q,5,0))</f>
        <v>Tortillove 30cm</v>
      </c>
      <c r="I35" s="67">
        <f>IF(B35="","",VLOOKUP(AD35,Varsayımlar!B:T,19,0))</f>
        <v>0</v>
      </c>
      <c r="J35" s="67" t="str">
        <f>IF(B35="","",VLOOKUP(AD35,Varsayımlar!$B:$Q,6,0))</f>
        <v>SADE</v>
      </c>
      <c r="K35" s="67">
        <v>792</v>
      </c>
      <c r="L35" s="67"/>
      <c r="M35" s="67">
        <f>IFERROR(IF(B35="","",K35/VLOOKUP(AD35,Varsayımlar!B:R,17,0)),"")</f>
        <v>12</v>
      </c>
      <c r="N35" s="67"/>
      <c r="O35" s="67">
        <v>14</v>
      </c>
      <c r="P35" s="67">
        <f>IF(B35="","",VLOOKUP(AD35,Varsayımlar!$B:$Q,7,0)*K35)</f>
        <v>9504</v>
      </c>
      <c r="Q35" s="67">
        <f>IF(B35="","",VLOOKUP(AD35,Varsayımlar!$B:$Q,8,0))</f>
        <v>30</v>
      </c>
      <c r="R35" s="67" t="str">
        <f>IF(B35="","",VLOOKUP(AD35,Varsayımlar!$B:$Q,9,0))</f>
        <v>Irak Soft</v>
      </c>
      <c r="S35" s="67">
        <f>IF(B35="","",VLOOKUP(AD35,Varsayımlar!$B:$Q,10,0))</f>
        <v>10</v>
      </c>
      <c r="T35" s="67">
        <f>IF(B35="","",VLOOKUP(AD35,Varsayımlar!$B:$Q,11,0))</f>
        <v>12</v>
      </c>
      <c r="U35" s="67">
        <f>IF(B35="","",VLOOKUP(AD35,Varsayımlar!$B:$Q,12,0))</f>
        <v>950</v>
      </c>
      <c r="V35" s="67" t="str">
        <f>IF(B35="","",VLOOKUP(AD35,Varsayımlar!$B:$Q,13,0))</f>
        <v>Yurtdışı</v>
      </c>
      <c r="W35" s="67">
        <f>IF(B35="","",VLOOKUP(AD35,Varsayımlar!$B:$Q,14,0))</f>
        <v>6</v>
      </c>
      <c r="X35" s="69">
        <v>46216</v>
      </c>
      <c r="Y35" s="69">
        <v>46400</v>
      </c>
      <c r="Z35" s="67">
        <v>26071330</v>
      </c>
      <c r="AA35" s="67" t="str">
        <f>IF(B35="","",VLOOKUP(AD35,Varsayımlar!$B:$Q,15,0))</f>
        <v>30cm Kolisi</v>
      </c>
      <c r="AB35" s="67" t="str">
        <f>IF(B35="","",VLOOKUP(AD35,Varsayımlar!$B:$Q,16,0))</f>
        <v>29-31 cm</v>
      </c>
      <c r="AC35" s="75">
        <f>IF(B35="","",VLOOKUP(Sayfa1!AD69,Varsayımlar!B:S,18,0))</f>
        <v>0</v>
      </c>
      <c r="AD35" s="57" t="str">
        <f t="shared" si="0"/>
        <v>Yüksekbaş GıdaYüksekbaş 30cm 10pcs 950g</v>
      </c>
    </row>
    <row r="36" spans="1:30" x14ac:dyDescent="0.25">
      <c r="A36" s="8" t="s">
        <v>149</v>
      </c>
      <c r="B36" s="58" t="s">
        <v>346</v>
      </c>
      <c r="C36" s="40" t="e">
        <f>IF(B36="","",VLOOKUP(AD36,#REF!,3,0))</f>
        <v>#REF!</v>
      </c>
      <c r="D36" s="40">
        <v>48</v>
      </c>
      <c r="E36" s="59" t="s">
        <v>162</v>
      </c>
      <c r="F36" s="58"/>
      <c r="G36" s="58"/>
      <c r="H36" s="58" t="e">
        <f>IF(B36="","",VLOOKUP(AD36,#REF!,5,0))</f>
        <v>#REF!</v>
      </c>
      <c r="I36" s="58" t="e">
        <f>IF(B36="","",VLOOKUP(AD36,#REF!,19,0))</f>
        <v>#REF!</v>
      </c>
      <c r="J36" s="58" t="e">
        <f>IF(B36="","",VLOOKUP(AD36,#REF!,6,0))</f>
        <v>#REF!</v>
      </c>
      <c r="K36" s="58">
        <v>3080</v>
      </c>
      <c r="L36" s="58"/>
      <c r="M36" s="58"/>
      <c r="N36" s="58"/>
      <c r="O36" s="58">
        <v>52</v>
      </c>
      <c r="P36" s="58" t="e">
        <f>IF(B36="","",VLOOKUP(AD36,#REF!,7,0)*K36)</f>
        <v>#REF!</v>
      </c>
      <c r="Q36" s="58" t="e">
        <f>IF(B36="","",VLOOKUP(AD36,#REF!,8,0))</f>
        <v>#REF!</v>
      </c>
      <c r="R36" s="58" t="e">
        <f>IF(B36="","",VLOOKUP(AD36,#REF!,9,0))</f>
        <v>#REF!</v>
      </c>
      <c r="S36" s="58" t="e">
        <f>IF(B36="","",VLOOKUP(AD36,#REF!,10,0))</f>
        <v>#REF!</v>
      </c>
      <c r="T36" s="58" t="e">
        <f>IF(B36="","",VLOOKUP(AD36,#REF!,11,0))</f>
        <v>#REF!</v>
      </c>
      <c r="U36" s="58" t="e">
        <f>IF(B36="","",VLOOKUP(AD36,#REF!,12,0))</f>
        <v>#REF!</v>
      </c>
      <c r="V36" s="58" t="e">
        <f>IF(B36="","",VLOOKUP(AD36,#REF!,13,0))</f>
        <v>#REF!</v>
      </c>
      <c r="W36" s="58" t="e">
        <f>IF(B36="","",VLOOKUP(AD36,#REF!,14,0))</f>
        <v>#REF!</v>
      </c>
      <c r="X36" s="58"/>
      <c r="Y36" s="58"/>
      <c r="Z36" s="58"/>
      <c r="AA36" s="58" t="e">
        <f>IF(B36="","",VLOOKUP(AD36,#REF!,15,0))</f>
        <v>#REF!</v>
      </c>
      <c r="AB36" s="58" t="e">
        <f>IF(B36="","",VLOOKUP(AD36,#REF!,16,0))</f>
        <v>#REF!</v>
      </c>
      <c r="AC36" s="8" t="e">
        <f>IF(B36="","",VLOOKUP(#REF!,#REF!,18,0))</f>
        <v>#REF!</v>
      </c>
      <c r="AD36" s="8" t="str">
        <f t="shared" si="0"/>
        <v xml:space="preserve">GermesHanami 20cm sade 4pcs 166g </v>
      </c>
    </row>
    <row r="37" spans="1:30" x14ac:dyDescent="0.25">
      <c r="A37" s="8" t="s">
        <v>151</v>
      </c>
      <c r="B37" s="58" t="s">
        <v>346</v>
      </c>
      <c r="C37" s="40" t="e">
        <f>IF(B37="","",VLOOKUP(AD37,#REF!,3,0))</f>
        <v>#REF!</v>
      </c>
      <c r="D37" s="40">
        <v>48</v>
      </c>
      <c r="E37" s="59" t="s">
        <v>166</v>
      </c>
      <c r="F37" s="58"/>
      <c r="G37" s="58"/>
      <c r="H37" s="58" t="e">
        <f>IF(B37="","",VLOOKUP(AD37,#REF!,5,0))</f>
        <v>#REF!</v>
      </c>
      <c r="I37" s="58" t="e">
        <f>IF(B37="","",VLOOKUP(AD37,#REF!,19,0))</f>
        <v>#REF!</v>
      </c>
      <c r="J37" s="58" t="e">
        <f>IF(B37="","",VLOOKUP(AD37,#REF!,6,0))</f>
        <v>#REF!</v>
      </c>
      <c r="K37" s="58">
        <v>280</v>
      </c>
      <c r="L37" s="58"/>
      <c r="M37" s="58"/>
      <c r="N37" s="58"/>
      <c r="O37" s="58">
        <v>5</v>
      </c>
      <c r="P37" s="58" t="e">
        <f>IF(B37="","",VLOOKUP(AD37,#REF!,7,0)*K37)</f>
        <v>#REF!</v>
      </c>
      <c r="Q37" s="58" t="e">
        <f>IF(B37="","",VLOOKUP(AD37,#REF!,8,0))</f>
        <v>#REF!</v>
      </c>
      <c r="R37" s="58" t="e">
        <f>IF(B37="","",VLOOKUP(AD37,#REF!,9,0))</f>
        <v>#REF!</v>
      </c>
      <c r="S37" s="58" t="e">
        <f>IF(B37="","",VLOOKUP(AD37,#REF!,10,0))</f>
        <v>#REF!</v>
      </c>
      <c r="T37" s="58" t="e">
        <f>IF(B37="","",VLOOKUP(AD37,#REF!,11,0))</f>
        <v>#REF!</v>
      </c>
      <c r="U37" s="58" t="e">
        <f>IF(B37="","",VLOOKUP(AD37,#REF!,12,0))</f>
        <v>#REF!</v>
      </c>
      <c r="V37" s="58" t="e">
        <f>IF(B37="","",VLOOKUP(AD37,#REF!,13,0))</f>
        <v>#REF!</v>
      </c>
      <c r="W37" s="58" t="e">
        <f>IF(B37="","",VLOOKUP(AD37,#REF!,14,0))</f>
        <v>#REF!</v>
      </c>
      <c r="X37" s="58"/>
      <c r="Y37" s="58"/>
      <c r="Z37" s="58"/>
      <c r="AA37" s="58" t="e">
        <f>IF(B37="","",VLOOKUP(AD37,#REF!,15,0))</f>
        <v>#REF!</v>
      </c>
      <c r="AB37" s="58" t="e">
        <f>IF(B37="","",VLOOKUP(AD37,#REF!,16,0))</f>
        <v>#REF!</v>
      </c>
      <c r="AC37" s="8" t="e">
        <f>IF(B37="","",VLOOKUP(#REF!,#REF!,18,0))</f>
        <v>#REF!</v>
      </c>
      <c r="AD37" s="8" t="str">
        <f>IF(B37="","",CONCATENATE(B37,E37))</f>
        <v>GermesTortillas 20cm 4 lü 166g</v>
      </c>
    </row>
    <row r="38" spans="1:30" ht="31.5" customHeight="1" x14ac:dyDescent="0.25">
      <c r="A38" s="8" t="s">
        <v>150</v>
      </c>
      <c r="B38" s="58" t="s">
        <v>346</v>
      </c>
      <c r="C38" s="40" t="e">
        <f>IF(B38="","",VLOOKUP(AD38,#REF!,3,0))</f>
        <v>#REF!</v>
      </c>
      <c r="D38" s="40">
        <v>48</v>
      </c>
      <c r="E38" s="59" t="s">
        <v>168</v>
      </c>
      <c r="F38" s="58"/>
      <c r="G38" s="58"/>
      <c r="H38" s="58" t="e">
        <f>IF(B38="","",VLOOKUP(AD38,#REF!,5,0))</f>
        <v>#REF!</v>
      </c>
      <c r="I38" s="58" t="e">
        <f>IF(B38="","",VLOOKUP(AD38,#REF!,19,0))</f>
        <v>#REF!</v>
      </c>
      <c r="J38" s="58" t="e">
        <f>IF(B38="","",VLOOKUP(AD38,#REF!,6,0))</f>
        <v>#REF!</v>
      </c>
      <c r="K38" s="58">
        <v>280</v>
      </c>
      <c r="L38" s="58"/>
      <c r="M38" s="58"/>
      <c r="N38" s="58"/>
      <c r="O38" s="58">
        <v>6</v>
      </c>
      <c r="P38" s="58" t="e">
        <f>IF(B38="","",VLOOKUP(AD38,#REF!,7,0)*K38)</f>
        <v>#REF!</v>
      </c>
      <c r="Q38" s="58" t="e">
        <f>IF(B38="","",VLOOKUP(AD38,#REF!,8,0))</f>
        <v>#REF!</v>
      </c>
      <c r="R38" s="58" t="e">
        <f>IF(B38="","",VLOOKUP(AD38,#REF!,9,0))</f>
        <v>#REF!</v>
      </c>
      <c r="S38" s="58" t="e">
        <f>IF(B38="","",VLOOKUP(AD38,#REF!,10,0))</f>
        <v>#REF!</v>
      </c>
      <c r="T38" s="58" t="e">
        <f>IF(B38="","",VLOOKUP(AD38,#REF!,11,0))</f>
        <v>#REF!</v>
      </c>
      <c r="U38" s="58" t="e">
        <f>IF(B38="","",VLOOKUP(AD38,#REF!,12,0))</f>
        <v>#REF!</v>
      </c>
      <c r="V38" s="58" t="e">
        <f>IF(B38="","",VLOOKUP(AD38,#REF!,13,0))</f>
        <v>#REF!</v>
      </c>
      <c r="W38" s="58" t="e">
        <f>IF(B38="","",VLOOKUP(AD38,#REF!,14,0))</f>
        <v>#REF!</v>
      </c>
      <c r="X38" s="58"/>
      <c r="Y38" s="58"/>
      <c r="Z38" s="58"/>
      <c r="AA38" s="58" t="e">
        <f>IF(B38="","",VLOOKUP(AD38,#REF!,15,0))</f>
        <v>#REF!</v>
      </c>
      <c r="AB38" s="58" t="e">
        <f>IF(B38="","",VLOOKUP(AD38,#REF!,16,0))</f>
        <v>#REF!</v>
      </c>
      <c r="AC38" s="8" t="e">
        <f>IF(B38="","",VLOOKUP(#REF!,#REF!,18,0))</f>
        <v>#REF!</v>
      </c>
      <c r="AD38" s="8" t="str">
        <f t="shared" ref="AD38:AD43" si="1">IF(B38="","",CONCATENATE(B38,E38))</f>
        <v>GermesHanami Peynirli 20cm 4 lü 166g</v>
      </c>
    </row>
    <row r="39" spans="1:30" x14ac:dyDescent="0.25">
      <c r="A39" s="8" t="s">
        <v>152</v>
      </c>
      <c r="B39" s="54" t="s">
        <v>346</v>
      </c>
      <c r="C39" s="39" t="e">
        <f>IF(B39="","",VLOOKUP(AD39,#REF!,3,0))</f>
        <v>#REF!</v>
      </c>
      <c r="D39" s="39">
        <v>49</v>
      </c>
      <c r="E39" s="55" t="s">
        <v>162</v>
      </c>
      <c r="F39" s="54"/>
      <c r="G39" s="54"/>
      <c r="H39" s="54" t="e">
        <f>IF(B39="","",VLOOKUP(AD39,#REF!,5,0))</f>
        <v>#REF!</v>
      </c>
      <c r="I39" s="54" t="e">
        <f>IF(B39="","",VLOOKUP(AD39,#REF!,19,0))</f>
        <v>#REF!</v>
      </c>
      <c r="J39" s="54" t="e">
        <f>IF(B39="","",VLOOKUP(AD39,#REF!,6,0))</f>
        <v>#REF!</v>
      </c>
      <c r="K39" s="54">
        <v>700</v>
      </c>
      <c r="L39" s="54"/>
      <c r="M39" s="54"/>
      <c r="N39" s="54"/>
      <c r="O39" s="54">
        <v>12</v>
      </c>
      <c r="P39" s="54" t="e">
        <f>IF(B39="","",VLOOKUP(AD39,#REF!,7,0)*K39)</f>
        <v>#REF!</v>
      </c>
      <c r="Q39" s="54" t="e">
        <f>IF(B39="","",VLOOKUP(AD39,#REF!,8,0))</f>
        <v>#REF!</v>
      </c>
      <c r="R39" s="54" t="e">
        <f>IF(B39="","",VLOOKUP(AD39,#REF!,9,0))</f>
        <v>#REF!</v>
      </c>
      <c r="S39" s="54" t="e">
        <f>IF(B39="","",VLOOKUP(AD39,#REF!,10,0))</f>
        <v>#REF!</v>
      </c>
      <c r="T39" s="54" t="e">
        <f>IF(B39="","",VLOOKUP(AD39,#REF!,11,0))</f>
        <v>#REF!</v>
      </c>
      <c r="U39" s="54" t="e">
        <f>IF(B39="","",VLOOKUP(AD39,#REF!,12,0))</f>
        <v>#REF!</v>
      </c>
      <c r="V39" s="54" t="e">
        <f>IF(B39="","",VLOOKUP(AD39,#REF!,13,0))</f>
        <v>#REF!</v>
      </c>
      <c r="W39" s="54" t="e">
        <f>IF(B39="","",VLOOKUP(AD39,#REF!,14,0))</f>
        <v>#REF!</v>
      </c>
      <c r="X39" s="54"/>
      <c r="Y39" s="54"/>
      <c r="Z39" s="54"/>
      <c r="AA39" s="54" t="e">
        <f>IF(B39="","",VLOOKUP(AD39,#REF!,15,0))</f>
        <v>#REF!</v>
      </c>
      <c r="AB39" s="54" t="e">
        <f>IF(B39="","",VLOOKUP(AD39,#REF!,16,0))</f>
        <v>#REF!</v>
      </c>
      <c r="AC39" s="8" t="e">
        <f>IF(B39="","",VLOOKUP(#REF!,#REF!,18,0))</f>
        <v>#REF!</v>
      </c>
      <c r="AD39" s="8" t="str">
        <f t="shared" ref="AD39:AD41" si="2">IF(B39="","",CONCATENATE(B39,E39))</f>
        <v xml:space="preserve">GermesHanami 20cm sade 4pcs 166g </v>
      </c>
    </row>
    <row r="40" spans="1:30" x14ac:dyDescent="0.25">
      <c r="A40" s="8" t="s">
        <v>153</v>
      </c>
      <c r="B40" s="54" t="s">
        <v>346</v>
      </c>
      <c r="C40" s="39" t="e">
        <f>IF(B40="","",VLOOKUP(AD40,#REF!,3,0))</f>
        <v>#REF!</v>
      </c>
      <c r="D40" s="39">
        <v>49</v>
      </c>
      <c r="E40" s="55" t="s">
        <v>490</v>
      </c>
      <c r="F40" s="54"/>
      <c r="G40" s="54"/>
      <c r="H40" s="54" t="e">
        <f>IF(B40="","",VLOOKUP(AD40,#REF!,5,0))</f>
        <v>#REF!</v>
      </c>
      <c r="I40" s="54" t="e">
        <f>IF(B40="","",VLOOKUP(AD40,#REF!,19,0))</f>
        <v>#REF!</v>
      </c>
      <c r="J40" s="54" t="e">
        <f>IF(B40="","",VLOOKUP(AD40,#REF!,6,0))</f>
        <v>#REF!</v>
      </c>
      <c r="K40" s="54">
        <v>420</v>
      </c>
      <c r="L40" s="54"/>
      <c r="M40" s="54"/>
      <c r="N40" s="54"/>
      <c r="O40" s="54">
        <v>8</v>
      </c>
      <c r="P40" s="54" t="e">
        <f>IF(B40="","",VLOOKUP(AD40,#REF!,7,0)*K40)</f>
        <v>#REF!</v>
      </c>
      <c r="Q40" s="54" t="e">
        <f>IF(B40="","",VLOOKUP(AD40,#REF!,8,0))</f>
        <v>#REF!</v>
      </c>
      <c r="R40" s="54" t="e">
        <f>IF(B40="","",VLOOKUP(AD40,#REF!,9,0))</f>
        <v>#REF!</v>
      </c>
      <c r="S40" s="54" t="e">
        <f>IF(B40="","",VLOOKUP(AD40,#REF!,10,0))</f>
        <v>#REF!</v>
      </c>
      <c r="T40" s="54" t="e">
        <f>IF(B40="","",VLOOKUP(AD40,#REF!,11,0))</f>
        <v>#REF!</v>
      </c>
      <c r="U40" s="54" t="e">
        <f>IF(B40="","",VLOOKUP(AD40,#REF!,12,0))</f>
        <v>#REF!</v>
      </c>
      <c r="V40" s="54" t="e">
        <f>IF(B40="","",VLOOKUP(AD40,#REF!,13,0))</f>
        <v>#REF!</v>
      </c>
      <c r="W40" s="54" t="e">
        <f>IF(B40="","",VLOOKUP(AD40,#REF!,14,0))</f>
        <v>#REF!</v>
      </c>
      <c r="X40" s="54"/>
      <c r="Y40" s="54"/>
      <c r="Z40" s="54"/>
      <c r="AA40" s="54" t="e">
        <f>IF(B40="","",VLOOKUP(AD40,#REF!,15,0))</f>
        <v>#REF!</v>
      </c>
      <c r="AB40" s="54" t="e">
        <f>IF(B40="","",VLOOKUP(AD40,#REF!,16,0))</f>
        <v>#REF!</v>
      </c>
      <c r="AC40" s="8" t="e">
        <f>IF(B40="","",VLOOKUP(#REF!,#REF!,18,0))</f>
        <v>#REF!</v>
      </c>
      <c r="AD40" s="8" t="str">
        <f t="shared" si="2"/>
        <v xml:space="preserve">GermesTortillas Domatesli 25cm 4pcs 250g </v>
      </c>
    </row>
    <row r="41" spans="1:30" x14ac:dyDescent="0.25">
      <c r="A41" s="8" t="s">
        <v>154</v>
      </c>
      <c r="B41" s="54" t="s">
        <v>346</v>
      </c>
      <c r="C41" s="39" t="e">
        <f>IF(B41="","",VLOOKUP(AD41,#REF!,3,0))</f>
        <v>#REF!</v>
      </c>
      <c r="D41" s="39">
        <v>49</v>
      </c>
      <c r="E41" s="55" t="s">
        <v>492</v>
      </c>
      <c r="F41" s="54"/>
      <c r="G41" s="54"/>
      <c r="H41" s="54" t="e">
        <f>IF(B41="","",VLOOKUP(AD41,#REF!,5,0))</f>
        <v>#REF!</v>
      </c>
      <c r="I41" s="54" t="e">
        <f>IF(B41="","",VLOOKUP(AD41,#REF!,19,0))</f>
        <v>#REF!</v>
      </c>
      <c r="J41" s="54" t="e">
        <f>IF(B41="","",VLOOKUP(AD41,#REF!,6,0))</f>
        <v>#REF!</v>
      </c>
      <c r="K41" s="54">
        <v>420</v>
      </c>
      <c r="L41" s="54"/>
      <c r="M41" s="54"/>
      <c r="N41" s="54"/>
      <c r="O41" s="54">
        <v>8</v>
      </c>
      <c r="P41" s="54" t="e">
        <f>IF(B41="","",VLOOKUP(AD41,#REF!,7,0)*K41)</f>
        <v>#REF!</v>
      </c>
      <c r="Q41" s="54" t="e">
        <f>IF(B41="","",VLOOKUP(AD41,#REF!,8,0))</f>
        <v>#REF!</v>
      </c>
      <c r="R41" s="54" t="e">
        <f>IF(B41="","",VLOOKUP(AD41,#REF!,9,0))</f>
        <v>#REF!</v>
      </c>
      <c r="S41" s="54" t="e">
        <f>IF(B41="","",VLOOKUP(AD41,#REF!,10,0))</f>
        <v>#REF!</v>
      </c>
      <c r="T41" s="54" t="e">
        <f>IF(B41="","",VLOOKUP(AD41,#REF!,11,0))</f>
        <v>#REF!</v>
      </c>
      <c r="U41" s="54" t="e">
        <f>IF(B41="","",VLOOKUP(AD41,#REF!,12,0))</f>
        <v>#REF!</v>
      </c>
      <c r="V41" s="54" t="e">
        <f>IF(B41="","",VLOOKUP(AD41,#REF!,13,0))</f>
        <v>#REF!</v>
      </c>
      <c r="W41" s="54" t="e">
        <f>IF(B41="","",VLOOKUP(AD41,#REF!,14,0))</f>
        <v>#REF!</v>
      </c>
      <c r="X41" s="54"/>
      <c r="Y41" s="54"/>
      <c r="Z41" s="54"/>
      <c r="AA41" s="54" t="e">
        <f>IF(B41="","",VLOOKUP(AD41,#REF!,15,0))</f>
        <v>#REF!</v>
      </c>
      <c r="AB41" s="54" t="e">
        <f>IF(B41="","",VLOOKUP(AD41,#REF!,16,0))</f>
        <v>#REF!</v>
      </c>
      <c r="AC41" s="8" t="e">
        <f>IF(B41="","",VLOOKUP(#REF!,#REF!,18,0))</f>
        <v>#REF!</v>
      </c>
      <c r="AD41" s="8" t="str">
        <f t="shared" si="2"/>
        <v xml:space="preserve">GermesTortillas Ispanaklı 25cm 4pcs 250g </v>
      </c>
    </row>
    <row r="42" spans="1:30" x14ac:dyDescent="0.25">
      <c r="A42" s="8" t="s">
        <v>154</v>
      </c>
      <c r="B42" s="8"/>
      <c r="C42" s="9" t="str">
        <f>IF(B42="","",VLOOKUP(AD42,#REF!,3,0))</f>
        <v/>
      </c>
      <c r="D42" s="9"/>
      <c r="E42" s="9"/>
      <c r="F42" s="8"/>
      <c r="G42" s="8"/>
      <c r="H42" s="8" t="str">
        <f>IF(B42="","",VLOOKUP(AD42,#REF!,5,0))</f>
        <v/>
      </c>
      <c r="I42" s="8" t="str">
        <f>IF(B42="","",VLOOKUP(AD42,#REF!,19,0))</f>
        <v/>
      </c>
      <c r="J42" s="8" t="str">
        <f>IF(B42="","",VLOOKUP(AD42,#REF!,6,0))</f>
        <v/>
      </c>
      <c r="K42" s="8"/>
      <c r="L42" s="8"/>
      <c r="M42" s="8"/>
      <c r="N42" s="8"/>
      <c r="O42" s="8"/>
      <c r="P42" s="8" t="str">
        <f>IF(B42="","",VLOOKUP(AD42,#REF!,7,0)*K42)</f>
        <v/>
      </c>
      <c r="Q42" s="8" t="str">
        <f>IF(B42="","",VLOOKUP(AD42,#REF!,8,0))</f>
        <v/>
      </c>
      <c r="R42" s="8" t="str">
        <f>IF(B42="","",VLOOKUP(AD42,#REF!,9,0))</f>
        <v/>
      </c>
      <c r="S42" s="8" t="str">
        <f>IF(B42="","",VLOOKUP(AD42,#REF!,10,0))</f>
        <v/>
      </c>
      <c r="T42" s="8" t="str">
        <f>IF(B42="","",VLOOKUP(AD42,#REF!,11,0))</f>
        <v/>
      </c>
      <c r="U42" s="8" t="str">
        <f>IF(B42="","",VLOOKUP(AD42,#REF!,12,0))</f>
        <v/>
      </c>
      <c r="V42" s="8" t="str">
        <f>IF(B42="","",VLOOKUP(AD42,#REF!,13,0))</f>
        <v/>
      </c>
      <c r="W42" s="8" t="str">
        <f>IF(B42="","",VLOOKUP(AD42,#REF!,14,0))</f>
        <v/>
      </c>
      <c r="X42" s="8"/>
      <c r="Y42" s="8"/>
      <c r="Z42" s="8"/>
      <c r="AA42" s="8" t="str">
        <f>IF(B42="","",VLOOKUP(AD42,#REF!,15,0))</f>
        <v/>
      </c>
      <c r="AB42" s="8" t="str">
        <f>IF(B42="","",VLOOKUP(AD42,#REF!,16,0))</f>
        <v/>
      </c>
      <c r="AC42" s="8" t="str">
        <f>IF(B42="","",VLOOKUP(#REF!,#REF!,18,0))</f>
        <v/>
      </c>
      <c r="AD42" s="8" t="str">
        <f t="shared" si="1"/>
        <v/>
      </c>
    </row>
    <row r="43" spans="1:30" x14ac:dyDescent="0.25">
      <c r="A43" s="8" t="s">
        <v>155</v>
      </c>
      <c r="B43" s="8"/>
      <c r="C43" s="9" t="str">
        <f>IF(B43="","",VLOOKUP(AD43,#REF!,3,0))</f>
        <v/>
      </c>
      <c r="D43" s="9"/>
      <c r="E43" s="9"/>
      <c r="F43" s="8"/>
      <c r="G43" s="8"/>
      <c r="H43" s="8" t="str">
        <f>IF(B43="","",VLOOKUP(AD43,#REF!,5,0))</f>
        <v/>
      </c>
      <c r="I43" s="8" t="str">
        <f>IF(B43="","",VLOOKUP(AD43,#REF!,19,0))</f>
        <v/>
      </c>
      <c r="J43" s="8" t="str">
        <f>IF(B43="","",VLOOKUP(AD43,#REF!,6,0))</f>
        <v/>
      </c>
      <c r="K43" s="8"/>
      <c r="L43" s="8"/>
      <c r="M43" s="8"/>
      <c r="N43" s="8"/>
      <c r="O43" s="8"/>
      <c r="P43" s="8" t="str">
        <f>IF(B43="","",VLOOKUP(AD43,#REF!,7,0)*K43)</f>
        <v/>
      </c>
      <c r="Q43" s="8" t="str">
        <f>IF(B43="","",VLOOKUP(AD43,#REF!,8,0))</f>
        <v/>
      </c>
      <c r="R43" s="8" t="str">
        <f>IF(B43="","",VLOOKUP(AD43,#REF!,9,0))</f>
        <v/>
      </c>
      <c r="S43" s="8" t="str">
        <f>IF(B43="","",VLOOKUP(AD43,#REF!,10,0))</f>
        <v/>
      </c>
      <c r="T43" s="8" t="str">
        <f>IF(B43="","",VLOOKUP(AD43,#REF!,11,0))</f>
        <v/>
      </c>
      <c r="U43" s="8" t="str">
        <f>IF(B43="","",VLOOKUP(AD43,#REF!,12,0))</f>
        <v/>
      </c>
      <c r="V43" s="8" t="str">
        <f>IF(B43="","",VLOOKUP(AD43,#REF!,13,0))</f>
        <v/>
      </c>
      <c r="W43" s="8" t="str">
        <f>IF(B43="","",VLOOKUP(AD43,#REF!,14,0))</f>
        <v/>
      </c>
      <c r="X43" s="8"/>
      <c r="Y43" s="8"/>
      <c r="Z43" s="8"/>
      <c r="AA43" s="8" t="str">
        <f>IF(B43="","",VLOOKUP(AD43,#REF!,15,0))</f>
        <v/>
      </c>
      <c r="AB43" s="8" t="str">
        <f>IF(B43="","",VLOOKUP(AD43,#REF!,16,0))</f>
        <v/>
      </c>
      <c r="AC43" s="8" t="str">
        <f>IF(B43="","",VLOOKUP(#REF!,#REF!,18,0))</f>
        <v/>
      </c>
      <c r="AD43" s="8" t="str">
        <f t="shared" si="1"/>
        <v/>
      </c>
    </row>
    <row r="44" spans="1:30" x14ac:dyDescent="0.25">
      <c r="A44" s="134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6"/>
      <c r="Y44" s="136"/>
      <c r="Z44" s="135"/>
      <c r="AA44" s="135"/>
      <c r="AB44" s="137"/>
      <c r="AC44" s="138"/>
      <c r="AD44" s="57"/>
    </row>
    <row r="45" spans="1:30" ht="31.5" customHeight="1" x14ac:dyDescent="0.25">
      <c r="A45" s="182" t="s">
        <v>344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4"/>
      <c r="AC45" s="38"/>
    </row>
    <row r="46" spans="1:30" ht="63" x14ac:dyDescent="0.25">
      <c r="A46" s="8" t="s">
        <v>0</v>
      </c>
      <c r="B46" s="8" t="s">
        <v>1</v>
      </c>
      <c r="C46" s="9" t="s">
        <v>31</v>
      </c>
      <c r="D46" s="9" t="s">
        <v>124</v>
      </c>
      <c r="E46" s="9" t="s">
        <v>36</v>
      </c>
      <c r="F46" s="8" t="s">
        <v>37</v>
      </c>
      <c r="G46" s="8" t="s">
        <v>13</v>
      </c>
      <c r="H46" s="8" t="s">
        <v>2</v>
      </c>
      <c r="I46" s="8" t="s">
        <v>49</v>
      </c>
      <c r="J46" s="8" t="s">
        <v>3</v>
      </c>
      <c r="K46" s="8" t="s">
        <v>21</v>
      </c>
      <c r="L46" s="8" t="s">
        <v>94</v>
      </c>
      <c r="M46" s="8" t="s">
        <v>20</v>
      </c>
      <c r="N46" s="8" t="s">
        <v>165</v>
      </c>
      <c r="O46" s="8" t="s">
        <v>123</v>
      </c>
      <c r="P46" s="8" t="s">
        <v>16</v>
      </c>
      <c r="Q46" s="8" t="s">
        <v>4</v>
      </c>
      <c r="R46" s="8" t="s">
        <v>5</v>
      </c>
      <c r="S46" s="8" t="s">
        <v>6</v>
      </c>
      <c r="T46" s="8" t="s">
        <v>28</v>
      </c>
      <c r="U46" s="8" t="s">
        <v>7</v>
      </c>
      <c r="V46" s="8" t="s">
        <v>8</v>
      </c>
      <c r="W46" s="8" t="s">
        <v>267</v>
      </c>
      <c r="X46" s="8" t="s">
        <v>10</v>
      </c>
      <c r="Y46" s="8" t="s">
        <v>11</v>
      </c>
      <c r="Z46" s="8" t="s">
        <v>12</v>
      </c>
      <c r="AA46" s="8" t="s">
        <v>14</v>
      </c>
      <c r="AB46" s="8" t="s">
        <v>15</v>
      </c>
      <c r="AC46" s="8" t="s">
        <v>208</v>
      </c>
      <c r="AD46" s="7" t="s">
        <v>41</v>
      </c>
    </row>
    <row r="47" spans="1:30" ht="39" customHeight="1" x14ac:dyDescent="0.25">
      <c r="A47" s="8" t="s">
        <v>79</v>
      </c>
      <c r="B47" s="3" t="s">
        <v>64</v>
      </c>
      <c r="C47" s="3">
        <f>IF(B47="","",VLOOKUP(AD47,Varsayımlar!$B:$Q,3,0))</f>
        <v>8698829380698</v>
      </c>
      <c r="D47" s="3"/>
      <c r="E47" s="3" t="s">
        <v>108</v>
      </c>
      <c r="F47" s="3">
        <v>31</v>
      </c>
      <c r="G47" s="3"/>
      <c r="H47" s="3" t="str">
        <f>IF(B47="","",VLOOKUP(AD47,Varsayımlar!$B:$Q,5,0))</f>
        <v>Kırmızı Tortillas 25 cm</v>
      </c>
      <c r="I47" s="3">
        <f>IF(B47="","",VLOOKUP(AD47,Varsayımlar!B:T,19,0))</f>
        <v>0</v>
      </c>
      <c r="J47" s="3" t="str">
        <f>IF(B47="","",VLOOKUP(AD47,Varsayımlar!$B:$Q,6,0))</f>
        <v>SADE</v>
      </c>
      <c r="K47" s="3">
        <v>924</v>
      </c>
      <c r="L47" s="3"/>
      <c r="M47" s="3">
        <f>IFERROR(IF(B47="","",K47/VLOOKUP(AD47,Varsayımlar!B:R,17,0)),"")</f>
        <v>11</v>
      </c>
      <c r="N47" s="3"/>
      <c r="O47" s="3">
        <v>14</v>
      </c>
      <c r="P47" s="3">
        <f>IF(B47="","",VLOOKUP(AD47,Varsayımlar!$B:$Q,7,0)*K47)</f>
        <v>27720</v>
      </c>
      <c r="Q47" s="3">
        <f>IF(B47="","",VLOOKUP(AD47,Varsayımlar!$B:$Q,8,0))</f>
        <v>25</v>
      </c>
      <c r="R47" s="3" t="str">
        <f>IF(B47="","",VLOOKUP(AD47,Varsayımlar!$B:$Q,9,0))</f>
        <v>Soft</v>
      </c>
      <c r="S47" s="3">
        <f>IF(B47="","",VLOOKUP(AD47,Varsayımlar!$B:$Q,10,0))</f>
        <v>4</v>
      </c>
      <c r="T47" s="3">
        <f>IF(B47="","",VLOOKUP(AD47,Varsayımlar!$B:$Q,11,0))</f>
        <v>30</v>
      </c>
      <c r="U47" s="3">
        <f>IF(B47="","",VLOOKUP(AD47,Varsayımlar!$B:$Q,12,0))</f>
        <v>250</v>
      </c>
      <c r="V47" s="3" t="str">
        <f>IF(B47="","",VLOOKUP(AD47,Varsayımlar!$B:$Q,13,0))</f>
        <v>Yurtdışı</v>
      </c>
      <c r="W47" s="3">
        <f>IF(B47="","",VLOOKUP(AD47,Varsayımlar!$B:$Q,14,0))</f>
        <v>9</v>
      </c>
      <c r="X47" s="66">
        <v>46196</v>
      </c>
      <c r="Y47" s="66">
        <v>46469</v>
      </c>
      <c r="Z47" s="3">
        <v>26062325</v>
      </c>
      <c r="AA47" s="3" t="str">
        <f>IF(B47="","",VLOOKUP(AD47,Varsayımlar!$B:$Q,15,0))</f>
        <v>Kırmızı Koli- Üretim Tarihi Etiketli</v>
      </c>
      <c r="AB47" s="3" t="str">
        <f>IF(B47="","",VLOOKUP(AD47,Varsayımlar!$B:$Q,16,0))</f>
        <v>24-26 CM</v>
      </c>
      <c r="AC47" s="67" t="str">
        <f>IF(B47="","",VLOOKUP(Sayfa1!AD58,Varsayımlar!B:S,18,0))</f>
        <v>80x120cm -Epal+Epal</v>
      </c>
      <c r="AD47" s="57" t="str">
        <f t="shared" ref="AD47:AD55" si="3">IF(B47="","",CONCATENATE(B47,E47))</f>
        <v>SMART LLCKırmızı tortillas 25cm 4 lü 250g</v>
      </c>
    </row>
    <row r="48" spans="1:30" ht="45.75" customHeight="1" x14ac:dyDescent="0.25">
      <c r="A48" s="8" t="s">
        <v>78</v>
      </c>
      <c r="B48" s="130" t="s">
        <v>119</v>
      </c>
      <c r="C48" s="131">
        <f>IF(B48="","",VLOOKUP(AD48,Varsayımlar!$B:$Q,3,0))</f>
        <v>8698829380698</v>
      </c>
      <c r="D48" s="131"/>
      <c r="E48" s="132" t="s">
        <v>120</v>
      </c>
      <c r="F48" s="130"/>
      <c r="G48" s="130"/>
      <c r="H48" s="130" t="str">
        <f>IF(B48="","",VLOOKUP(AD48,Varsayımlar!$B:$Q,5,0))</f>
        <v>Nimet 25 cm</v>
      </c>
      <c r="I48" s="130"/>
      <c r="J48" s="130" t="str">
        <f>IF(B48="","",VLOOKUP(AD48,Varsayımlar!$B:$Q,6,0))</f>
        <v>SADE</v>
      </c>
      <c r="K48" s="130">
        <v>4000</v>
      </c>
      <c r="L48" s="130"/>
      <c r="M48" s="130">
        <f>IFERROR(IF(B48="","",K48/VLOOKUP(AD48,Varsayımlar!B:R,17,0)),"")</f>
        <v>80</v>
      </c>
      <c r="N48" s="130"/>
      <c r="O48" s="130">
        <v>60</v>
      </c>
      <c r="P48" s="130">
        <f>IF(B48="","",VLOOKUP(AD48,Varsayımlar!$B:$Q,7,0)*K48)</f>
        <v>48000</v>
      </c>
      <c r="Q48" s="130">
        <f>IF(B48="","",VLOOKUP(AD48,Varsayımlar!$B:$Q,8,0))</f>
        <v>25</v>
      </c>
      <c r="R48" s="130" t="str">
        <f>IF(B48="","",VLOOKUP(AD48,Varsayımlar!$B:$Q,9,0))</f>
        <v>Standart</v>
      </c>
      <c r="S48" s="130">
        <f>IF(B48="","",VLOOKUP(AD48,Varsayımlar!$B:$Q,10,0))</f>
        <v>12</v>
      </c>
      <c r="T48" s="130">
        <f>IF(B48="","",VLOOKUP(AD48,Varsayımlar!$B:$Q,11,0))</f>
        <v>12</v>
      </c>
      <c r="U48" s="130">
        <f>IF(B48="","",VLOOKUP(AD48,Varsayımlar!$B:$Q,12,0))</f>
        <v>840</v>
      </c>
      <c r="V48" s="130" t="str">
        <f>IF(B48="","",VLOOKUP(AD48,Varsayımlar!$B:$Q,13,0))</f>
        <v>YURTİÇİ</v>
      </c>
      <c r="W48" s="130">
        <f>IF(B48="","",VLOOKUP(AD48,Varsayımlar!$B:$Q,14,0))</f>
        <v>5</v>
      </c>
      <c r="X48" s="133" t="s">
        <v>113</v>
      </c>
      <c r="Y48" s="133" t="s">
        <v>113</v>
      </c>
      <c r="Z48" s="130" t="s">
        <v>113</v>
      </c>
      <c r="AA48" s="130" t="str">
        <f>IF(B48="","",VLOOKUP(AD48,Varsayımlar!$B:$Q,15,0))</f>
        <v>Nimet Kolisi</v>
      </c>
      <c r="AB48" s="130" t="str">
        <f>IF(B48="","",VLOOKUP(AD48,Varsayımlar!$B:$Q,16,0))</f>
        <v>24-26 CM</v>
      </c>
      <c r="AC48" s="64" t="s">
        <v>360</v>
      </c>
      <c r="AD48" s="57" t="str">
        <f>IF(B48="","",CONCATENATE(B48,E48))</f>
        <v>A101Nimet 25cm 12 pcs 840g</v>
      </c>
    </row>
    <row r="49" spans="1:30" ht="47.25" x14ac:dyDescent="0.25">
      <c r="A49" s="8" t="s">
        <v>80</v>
      </c>
      <c r="B49" s="67" t="s">
        <v>268</v>
      </c>
      <c r="C49" s="42">
        <f>IF(B49="","",VLOOKUP(AD49,Varsayımlar!$B:$Q,3,0))</f>
        <v>8698829380698</v>
      </c>
      <c r="D49" s="42" t="s">
        <v>159</v>
      </c>
      <c r="E49" s="67" t="s">
        <v>342</v>
      </c>
      <c r="F49" s="67">
        <v>20250825</v>
      </c>
      <c r="G49" s="42" t="s">
        <v>68</v>
      </c>
      <c r="H49" s="67" t="str">
        <f>IF(B49="","",VLOOKUP(AD49,Varsayımlar!$B:$Q,5,0))</f>
        <v>Tortillas 25cm Sade</v>
      </c>
      <c r="I49" s="67">
        <f>IF(B49="","",VLOOKUP(AD49,Varsayımlar!B:T,19,0))</f>
        <v>0</v>
      </c>
      <c r="J49" s="67" t="str">
        <f>IF(B49="","",VLOOKUP(AD49,Varsayımlar!$B:$Q,6,0))</f>
        <v>SADE</v>
      </c>
      <c r="K49" s="67">
        <v>672</v>
      </c>
      <c r="L49" s="67"/>
      <c r="M49" s="67">
        <f>IFERROR(IF(B49="","",K49/VLOOKUP(AD49,Varsayımlar!B:R,17,0)),"")</f>
        <v>8</v>
      </c>
      <c r="N49" s="67"/>
      <c r="O49" s="67">
        <v>10</v>
      </c>
      <c r="P49" s="67">
        <f>IF(B49="","",VLOOKUP(AD49,Varsayımlar!$B:$Q,7,0)*K49)</f>
        <v>20160</v>
      </c>
      <c r="Q49" s="67">
        <f>IF(B49="","",VLOOKUP(AD49,Varsayımlar!$B:$Q,8,0))</f>
        <v>25</v>
      </c>
      <c r="R49" s="67" t="str">
        <f>IF(B49="","",VLOOKUP(AD49,Varsayımlar!$B:$Q,9,0))</f>
        <v>Soft-PA3</v>
      </c>
      <c r="S49" s="67">
        <f>IF(B49="","",VLOOKUP(AD49,Varsayımlar!$B:$Q,10,0))</f>
        <v>4</v>
      </c>
      <c r="T49" s="67">
        <f>IF(B49="","",VLOOKUP(AD49,Varsayımlar!$B:$Q,11,0))</f>
        <v>30</v>
      </c>
      <c r="U49" s="67">
        <f>IF(B49="","",VLOOKUP(AD49,Varsayımlar!$B:$Q,12,0))</f>
        <v>240</v>
      </c>
      <c r="V49" s="67" t="str">
        <f>IF(B49="","",VLOOKUP(AD49,Varsayımlar!$B:$Q,13,0))</f>
        <v>Yurtdışı</v>
      </c>
      <c r="W49" s="67">
        <f>IF(B49="","",VLOOKUP(AD49,Varsayımlar!$B:$Q,14,0))</f>
        <v>12</v>
      </c>
      <c r="X49" s="69">
        <v>46199</v>
      </c>
      <c r="Y49" s="69">
        <v>46564</v>
      </c>
      <c r="Z49" s="67">
        <v>26062625</v>
      </c>
      <c r="AA49" s="67" t="str">
        <f>IF(B49="","",VLOOKUP(AD49,Varsayımlar!$B:$Q,15,0))</f>
        <v>25cm Kolisi-Etiketli</v>
      </c>
      <c r="AB49" s="67" t="str">
        <f>IF(B49="","",VLOOKUP(AD49,Varsayımlar!$B:$Q,16,0))</f>
        <v>24-26 cm (Macca Hetto Inkjet Uzun Tarih)</v>
      </c>
      <c r="AC49" s="67" t="str">
        <f>IF(B49="","",VLOOKUP(Sayfa1!AD22,Varsayımlar!B:S,18,0))</f>
        <v>80x120cm</v>
      </c>
      <c r="AD49" s="57" t="str">
        <f t="shared" si="3"/>
        <v>LAIKYUZHN-BELARUSTortillas 25cm Sade 4pcs 240g</v>
      </c>
    </row>
    <row r="50" spans="1:30" ht="63" x14ac:dyDescent="0.25">
      <c r="A50" s="8" t="s">
        <v>81</v>
      </c>
      <c r="B50" s="62" t="s">
        <v>181</v>
      </c>
      <c r="C50" s="32">
        <f>IF(B50="","",VLOOKUP(AD50,Varsayımlar!$B:$Q,3,0))</f>
        <v>8698829380698</v>
      </c>
      <c r="D50" s="32"/>
      <c r="E50" s="62" t="s">
        <v>187</v>
      </c>
      <c r="F50" s="62">
        <v>26060101</v>
      </c>
      <c r="G50" s="32"/>
      <c r="H50" s="62" t="str">
        <f>IF(B50="","",VLOOKUP(AD50,Varsayımlar!$B:$Q,5,0))</f>
        <v>Tortillove 25cm</v>
      </c>
      <c r="I50" s="62" t="str">
        <f>IF(B50="","",VLOOKUP(AD50,Varsayımlar!B:T,19,0))</f>
        <v>Barkod üzerine Arnavutça içerik+Barkod-Tortillove</v>
      </c>
      <c r="J50" s="62" t="str">
        <f>IF(B50="","",VLOOKUP(AD50,Varsayımlar!$B:$Q,6,0))</f>
        <v>SADE</v>
      </c>
      <c r="K50" s="62">
        <v>168</v>
      </c>
      <c r="L50" s="62"/>
      <c r="M50" s="62">
        <f>IFERROR(IF(B50="","",K50/VLOOKUP(AD50,Varsayımlar!B:R,17,0)),"")</f>
        <v>2</v>
      </c>
      <c r="N50" s="62"/>
      <c r="O50" s="62">
        <v>2</v>
      </c>
      <c r="P50" s="62">
        <f>IF(B50="","",VLOOKUP(AD50,Varsayımlar!$B:$Q,7,0)*K50)</f>
        <v>3024</v>
      </c>
      <c r="Q50" s="62">
        <f>IF(B50="","",VLOOKUP(AD50,Varsayımlar!$B:$Q,8,0))</f>
        <v>25</v>
      </c>
      <c r="R50" s="62" t="str">
        <f>IF(B50="","",VLOOKUP(AD50,Varsayımlar!$B:$Q,9,0))</f>
        <v>Irak Soft</v>
      </c>
      <c r="S50" s="62">
        <f>IF(B50="","",VLOOKUP(AD50,Varsayımlar!$B:$Q,10,0))</f>
        <v>6</v>
      </c>
      <c r="T50" s="62">
        <f>IF(B50="","",VLOOKUP(AD50,Varsayımlar!$B:$Q,11,0))</f>
        <v>18</v>
      </c>
      <c r="U50" s="62">
        <f>IF(B50="","",VLOOKUP(AD50,Varsayımlar!$B:$Q,12,0))</f>
        <v>390</v>
      </c>
      <c r="V50" s="62" t="str">
        <f>IF(B50="","",VLOOKUP(AD50,Varsayımlar!$B:$Q,13,0))</f>
        <v>Yurtdışı</v>
      </c>
      <c r="W50" s="62">
        <f>IF(B50="","",VLOOKUP(AD50,Varsayımlar!$B:$Q,14,0))</f>
        <v>12</v>
      </c>
      <c r="X50" s="63">
        <v>46200</v>
      </c>
      <c r="Y50" s="63">
        <v>46565</v>
      </c>
      <c r="Z50" s="62">
        <v>26062725</v>
      </c>
      <c r="AA50" s="62" t="str">
        <f>IF(B50="","",VLOOKUP(AD50,Varsayımlar!$B:$Q,15,0))</f>
        <v>25cm Koli - Tortillove 390g Etiketli</v>
      </c>
      <c r="AB50" s="62" t="str">
        <f>IF(B50="","",VLOOKUP(AD50,Varsayımlar!$B:$Q,16,0))</f>
        <v>24-26 cm</v>
      </c>
      <c r="AC50" s="62">
        <f>IF(B50="","",VLOOKUP(Sayfa1!AD31,Varsayımlar!B:S,18,0))</f>
        <v>0</v>
      </c>
      <c r="AD50" s="57" t="str">
        <f t="shared" si="3"/>
        <v>ALDİ - KOSOVATortillove 25cm 6pcs 390g</v>
      </c>
    </row>
    <row r="51" spans="1:30" ht="63" x14ac:dyDescent="0.25">
      <c r="A51" s="8" t="s">
        <v>82</v>
      </c>
      <c r="B51" s="62" t="s">
        <v>181</v>
      </c>
      <c r="C51" s="32">
        <f>IF(B51="","",VLOOKUP(AD51,Varsayımlar!$B:$Q,3,0))</f>
        <v>8698829380698</v>
      </c>
      <c r="D51" s="32"/>
      <c r="E51" s="62" t="s">
        <v>189</v>
      </c>
      <c r="F51" s="62">
        <v>26060101</v>
      </c>
      <c r="G51" s="32"/>
      <c r="H51" s="62" t="str">
        <f>IF(B51="","",VLOOKUP(AD51,Varsayımlar!$B:$Q,5,0))</f>
        <v>Tortillas 25cm</v>
      </c>
      <c r="I51" s="62" t="str">
        <f>IF(B51="","",VLOOKUP(AD51,Varsayımlar!B:T,19,0))</f>
        <v>Barkod üzerine Arnavutça içerik+Barkod-Tortillas</v>
      </c>
      <c r="J51" s="62" t="str">
        <f>IF(B51="","",VLOOKUP(AD51,Varsayımlar!$B:$Q,6,0))</f>
        <v>SADE</v>
      </c>
      <c r="K51" s="62">
        <v>84</v>
      </c>
      <c r="L51" s="62"/>
      <c r="M51" s="62">
        <f>IFERROR(IF(B51="","",K51/VLOOKUP(AD51,Varsayımlar!B:R,17,0)),"")</f>
        <v>1</v>
      </c>
      <c r="N51" s="62"/>
      <c r="O51" s="62">
        <v>1</v>
      </c>
      <c r="P51" s="62">
        <f>IF(B51="","",VLOOKUP(AD51,Varsayımlar!$B:$Q,7,0)*K51)</f>
        <v>1512</v>
      </c>
      <c r="Q51" s="62">
        <f>IF(B51="","",VLOOKUP(AD51,Varsayımlar!$B:$Q,8,0))</f>
        <v>25</v>
      </c>
      <c r="R51" s="62" t="str">
        <f>IF(B51="","",VLOOKUP(AD51,Varsayımlar!$B:$Q,9,0))</f>
        <v>Irak Soft</v>
      </c>
      <c r="S51" s="62">
        <f>IF(B51="","",VLOOKUP(AD51,Varsayımlar!$B:$Q,10,0))</f>
        <v>6</v>
      </c>
      <c r="T51" s="62">
        <f>IF(B51="","",VLOOKUP(AD51,Varsayımlar!$B:$Q,11,0))</f>
        <v>18</v>
      </c>
      <c r="U51" s="62">
        <f>IF(B51="","",VLOOKUP(AD51,Varsayımlar!$B:$Q,12,0))</f>
        <v>390</v>
      </c>
      <c r="V51" s="62" t="str">
        <f>IF(B51="","",VLOOKUP(AD51,Varsayımlar!$B:$Q,13,0))</f>
        <v>Yurtdışı</v>
      </c>
      <c r="W51" s="62">
        <f>IF(B51="","",VLOOKUP(AD51,Varsayımlar!$B:$Q,14,0))</f>
        <v>12</v>
      </c>
      <c r="X51" s="63">
        <v>46200</v>
      </c>
      <c r="Y51" s="63">
        <v>46565</v>
      </c>
      <c r="Z51" s="62">
        <v>26062725</v>
      </c>
      <c r="AA51" s="62" t="str">
        <f>IF(B51="","",VLOOKUP(AD51,Varsayımlar!$B:$Q,15,0))</f>
        <v>25cm Koli - Tortillas 390g Etiketli</v>
      </c>
      <c r="AB51" s="62" t="str">
        <f>IF(B51="","",VLOOKUP(AD51,Varsayımlar!$B:$Q,16,0))</f>
        <v>24-26 cm</v>
      </c>
      <c r="AC51" s="62">
        <f>IF(B51="","",VLOOKUP(Sayfa1!AD32,Varsayımlar!B:S,18,0))</f>
        <v>0</v>
      </c>
      <c r="AD51" s="57" t="str">
        <f t="shared" si="3"/>
        <v>ALDİ - KOSOVATortillas 25cm 6pcs 390g</v>
      </c>
    </row>
    <row r="52" spans="1:30" ht="47.25" x14ac:dyDescent="0.25">
      <c r="A52" s="8" t="s">
        <v>83</v>
      </c>
      <c r="B52" s="62" t="s">
        <v>181</v>
      </c>
      <c r="C52" s="32">
        <f>IF(B52="","",VLOOKUP(AD52,Varsayımlar!$B:$Q,3,0))</f>
        <v>8698829380698</v>
      </c>
      <c r="D52" s="32"/>
      <c r="E52" s="62" t="s">
        <v>192</v>
      </c>
      <c r="F52" s="62">
        <v>26060101</v>
      </c>
      <c r="G52" s="32"/>
      <c r="H52" s="62" t="str">
        <f>IF(B52="","",VLOOKUP(AD52,Varsayımlar!$B:$Q,5,0))</f>
        <v>Tortillove 25cm</v>
      </c>
      <c r="I52" s="62" t="str">
        <f>IF(B52="","",VLOOKUP(AD52,Varsayımlar!B:T,19,0))</f>
        <v>Arka kısma Arnavutça içerik-Tortillove</v>
      </c>
      <c r="J52" s="62" t="str">
        <f>IF(B52="","",VLOOKUP(AD52,Varsayımlar!$B:$Q,6,0))</f>
        <v>SADE</v>
      </c>
      <c r="K52" s="62">
        <v>168</v>
      </c>
      <c r="L52" s="62"/>
      <c r="M52" s="62">
        <f>IFERROR(IF(B52="","",K52/VLOOKUP(AD52,Varsayımlar!B:R,17,0)),"")</f>
        <v>2</v>
      </c>
      <c r="N52" s="62"/>
      <c r="O52" s="62">
        <v>2</v>
      </c>
      <c r="P52" s="62">
        <f>IF(B52="","",VLOOKUP(AD52,Varsayımlar!$B:$Q,7,0)*K52)</f>
        <v>2016</v>
      </c>
      <c r="Q52" s="62">
        <f>IF(B52="","",VLOOKUP(AD52,Varsayımlar!$B:$Q,8,0))</f>
        <v>25</v>
      </c>
      <c r="R52" s="62" t="str">
        <f>IF(B52="","",VLOOKUP(AD52,Varsayımlar!$B:$Q,9,0))</f>
        <v>Irak Soft</v>
      </c>
      <c r="S52" s="62">
        <f>IF(B52="","",VLOOKUP(AD52,Varsayımlar!$B:$Q,10,0))</f>
        <v>10</v>
      </c>
      <c r="T52" s="62">
        <f>IF(B52="","",VLOOKUP(AD52,Varsayımlar!$B:$Q,11,0))</f>
        <v>12</v>
      </c>
      <c r="U52" s="62">
        <f>IF(B52="","",VLOOKUP(AD52,Varsayımlar!$B:$Q,12,0))</f>
        <v>650</v>
      </c>
      <c r="V52" s="62" t="str">
        <f>IF(B52="","",VLOOKUP(AD52,Varsayımlar!$B:$Q,13,0))</f>
        <v>Yurtdışı</v>
      </c>
      <c r="W52" s="62">
        <f>IF(B52="","",VLOOKUP(AD52,Varsayımlar!$B:$Q,14,0))</f>
        <v>12</v>
      </c>
      <c r="X52" s="63">
        <v>46200</v>
      </c>
      <c r="Y52" s="63">
        <v>46565</v>
      </c>
      <c r="Z52" s="62">
        <v>26062725</v>
      </c>
      <c r="AA52" s="62" t="str">
        <f>IF(B52="","",VLOOKUP(AD52,Varsayımlar!$B:$Q,15,0))</f>
        <v>25cm Koli - Tortillove 650g Etiketli</v>
      </c>
      <c r="AB52" s="62" t="str">
        <f>IF(B52="","",VLOOKUP(AD52,Varsayımlar!$B:$Q,16,0))</f>
        <v>24-26 cm</v>
      </c>
      <c r="AC52" s="62">
        <f>IF(B52="","",VLOOKUP(Sayfa1!AD33,Varsayımlar!B:S,18,0))</f>
        <v>0</v>
      </c>
      <c r="AD52" s="57" t="str">
        <f t="shared" si="3"/>
        <v>ALDİ - KOSOVATortillove 25cm 10pcs 650g</v>
      </c>
    </row>
    <row r="53" spans="1:30" ht="47.25" x14ac:dyDescent="0.25">
      <c r="A53" s="8" t="s">
        <v>84</v>
      </c>
      <c r="B53" s="62" t="s">
        <v>181</v>
      </c>
      <c r="C53" s="32">
        <f>IF(B53="","",VLOOKUP(AD53,Varsayımlar!$B:$Q,3,0))</f>
        <v>8698829380698</v>
      </c>
      <c r="D53" s="32"/>
      <c r="E53" s="62" t="s">
        <v>193</v>
      </c>
      <c r="F53" s="62">
        <v>26060101</v>
      </c>
      <c r="G53" s="32"/>
      <c r="H53" s="62" t="str">
        <f>IF(B53="","",VLOOKUP(AD53,Varsayımlar!$B:$Q,5,0))</f>
        <v>Tortillas 25cm</v>
      </c>
      <c r="I53" s="62" t="str">
        <f>IF(B53="","",VLOOKUP(AD53,Varsayımlar!B:T,19,0))</f>
        <v>Arka kısma Arnavutça içerik-Tortillas</v>
      </c>
      <c r="J53" s="62" t="str">
        <f>IF(B53="","",VLOOKUP(AD53,Varsayımlar!$B:$Q,6,0))</f>
        <v>SADE</v>
      </c>
      <c r="K53" s="62">
        <v>84</v>
      </c>
      <c r="L53" s="62"/>
      <c r="M53" s="62">
        <f>IFERROR(IF(B53="","",K53/VLOOKUP(AD53,Varsayımlar!B:R,17,0)),"")</f>
        <v>1</v>
      </c>
      <c r="N53" s="62"/>
      <c r="O53" s="62">
        <v>2</v>
      </c>
      <c r="P53" s="62">
        <f>IF(B53="","",VLOOKUP(AD53,Varsayımlar!$B:$Q,7,0)*K53)</f>
        <v>1008</v>
      </c>
      <c r="Q53" s="62">
        <f>IF(B53="","",VLOOKUP(AD53,Varsayımlar!$B:$Q,8,0))</f>
        <v>25</v>
      </c>
      <c r="R53" s="62" t="str">
        <f>IF(B53="","",VLOOKUP(AD53,Varsayımlar!$B:$Q,9,0))</f>
        <v>Irak Soft</v>
      </c>
      <c r="S53" s="62">
        <f>IF(B53="","",VLOOKUP(AD53,Varsayımlar!$B:$Q,10,0))</f>
        <v>10</v>
      </c>
      <c r="T53" s="62">
        <f>IF(B53="","",VLOOKUP(AD53,Varsayımlar!$B:$Q,11,0))</f>
        <v>12</v>
      </c>
      <c r="U53" s="62">
        <f>IF(B53="","",VLOOKUP(AD53,Varsayımlar!$B:$Q,12,0))</f>
        <v>650</v>
      </c>
      <c r="V53" s="62" t="str">
        <f>IF(B53="","",VLOOKUP(AD53,Varsayımlar!$B:$Q,13,0))</f>
        <v>Yurtdışı</v>
      </c>
      <c r="W53" s="62">
        <f>IF(B53="","",VLOOKUP(AD53,Varsayımlar!$B:$Q,14,0))</f>
        <v>12</v>
      </c>
      <c r="X53" s="63">
        <v>46200</v>
      </c>
      <c r="Y53" s="63">
        <v>46565</v>
      </c>
      <c r="Z53" s="62">
        <v>26062725</v>
      </c>
      <c r="AA53" s="62" t="str">
        <f>IF(B53="","",VLOOKUP(AD53,Varsayımlar!$B:$Q,15,0))</f>
        <v>25cm Koli - Tortillas 650g Etiketli</v>
      </c>
      <c r="AB53" s="62" t="str">
        <f>IF(B53="","",VLOOKUP(AD53,Varsayımlar!$B:$Q,16,0))</f>
        <v>24-26 cm</v>
      </c>
      <c r="AC53" s="62">
        <f>IF(B53="","",VLOOKUP(Sayfa1!AD34,Varsayımlar!B:S,18,0))</f>
        <v>0</v>
      </c>
      <c r="AD53" s="57" t="str">
        <f t="shared" si="3"/>
        <v>ALDİ - KOSOVATortillas 25cm 10pcs 650g</v>
      </c>
    </row>
    <row r="54" spans="1:30" ht="31.5" x14ac:dyDescent="0.25">
      <c r="A54" s="8" t="s">
        <v>85</v>
      </c>
      <c r="B54" s="64" t="s">
        <v>288</v>
      </c>
      <c r="C54" s="3">
        <f>IF(B54="","",VLOOKUP(AD54,Varsayımlar!$B:$Q,3,0))</f>
        <v>8698829380698</v>
      </c>
      <c r="D54" s="3"/>
      <c r="E54" s="64" t="s">
        <v>292</v>
      </c>
      <c r="F54" s="64">
        <v>20201016</v>
      </c>
      <c r="G54" s="3" t="s">
        <v>68</v>
      </c>
      <c r="H54" s="64" t="str">
        <f>IF(B54="","",VLOOKUP(AD54,Varsayımlar!$B:$Q,5,0))</f>
        <v>Kırmızı Tortillas 25cm Sade</v>
      </c>
      <c r="I54" s="64" t="str">
        <f>IF(B54="","",VLOOKUP(AD54,Varsayımlar!B:T,19,0))</f>
        <v>Arka kısma İçerik</v>
      </c>
      <c r="J54" s="64" t="str">
        <f>IF(B54="","",VLOOKUP(AD54,Varsayımlar!$B:$Q,6,0))</f>
        <v>SADE</v>
      </c>
      <c r="K54" s="64">
        <v>250</v>
      </c>
      <c r="L54" s="64"/>
      <c r="M54" s="64">
        <f>IFERROR(IF(B54="","",K54/VLOOKUP(AD54,Varsayımlar!B:R,17,0)),"")</f>
        <v>5</v>
      </c>
      <c r="N54" s="64"/>
      <c r="O54" s="64">
        <v>4</v>
      </c>
      <c r="P54" s="64">
        <f>IF(B54="","",VLOOKUP(AD54,Varsayımlar!$B:$Q,7,0)*K54)</f>
        <v>4500</v>
      </c>
      <c r="Q54" s="64">
        <f>IF(B54="","",VLOOKUP(AD54,Varsayımlar!$B:$Q,8,0))</f>
        <v>25</v>
      </c>
      <c r="R54" s="64" t="str">
        <f>IF(B54="","",VLOOKUP(AD54,Varsayımlar!$B:$Q,9,0))</f>
        <v>Irak Soft</v>
      </c>
      <c r="S54" s="64">
        <f>IF(B54="","",VLOOKUP(AD54,Varsayımlar!$B:$Q,10,0))</f>
        <v>6</v>
      </c>
      <c r="T54" s="64">
        <f>IF(B54="","",VLOOKUP(AD54,Varsayımlar!$B:$Q,11,0))</f>
        <v>18</v>
      </c>
      <c r="U54" s="64">
        <f>IF(B54="","",VLOOKUP(AD54,Varsayımlar!$B:$Q,12,0))</f>
        <v>390</v>
      </c>
      <c r="V54" s="64" t="str">
        <f>IF(B54="","",VLOOKUP(AD54,Varsayımlar!$B:$Q,13,0))</f>
        <v>YURTDIŞI</v>
      </c>
      <c r="W54" s="64">
        <f>IF(B54="","",VLOOKUP(AD54,Varsayımlar!$B:$Q,14,0))</f>
        <v>9</v>
      </c>
      <c r="X54" s="66">
        <v>46202</v>
      </c>
      <c r="Y54" s="66">
        <v>46475</v>
      </c>
      <c r="Z54" s="64">
        <v>26062925</v>
      </c>
      <c r="AA54" s="64" t="str">
        <f>IF(B54="","",VLOOKUP(AD54,Varsayımlar!$B:$Q,15,0))</f>
        <v>25cm Koli</v>
      </c>
      <c r="AB54" s="64" t="str">
        <f>IF(B54="","",VLOOKUP(AD54,Varsayımlar!$B:$Q,16,0))</f>
        <v>24-26 cm</v>
      </c>
      <c r="AC54" s="64" t="str">
        <f>IF(B54="","",VLOOKUP(Sayfa1!AD42,Varsayımlar!B:S,18,0))</f>
        <v>80x120cm</v>
      </c>
      <c r="AD54" s="57" t="str">
        <f t="shared" si="3"/>
        <v>UNITERA-KAZAKİSTANKırmızı Tortillas 25cm Sade 6pcs 390g</v>
      </c>
    </row>
    <row r="55" spans="1:30" ht="31.5" x14ac:dyDescent="0.25">
      <c r="A55" s="8" t="s">
        <v>86</v>
      </c>
      <c r="B55" s="80" t="s">
        <v>218</v>
      </c>
      <c r="C55" s="44">
        <f>IF(B55="","",VLOOKUP(AD55,Varsayımlar!$B:$Q,3,0))</f>
        <v>8698829380698</v>
      </c>
      <c r="D55" s="44" t="s">
        <v>160</v>
      </c>
      <c r="E55" s="80" t="s">
        <v>228</v>
      </c>
      <c r="F55" s="80">
        <v>26042907</v>
      </c>
      <c r="G55" s="44"/>
      <c r="H55" s="80" t="str">
        <f>IF(B55="","",VLOOKUP(AD55,Varsayımlar!$B:$Q,5,0))</f>
        <v>Tortillas Avrupa 25cm (698)</v>
      </c>
      <c r="I55" s="80">
        <f>IF(B55="","",VLOOKUP(AD55,Varsayımlar!B:T,19,0))</f>
        <v>0</v>
      </c>
      <c r="J55" s="80" t="str">
        <f>IF(B55="","",VLOOKUP(AD55,Varsayımlar!$B:$Q,6,0))</f>
        <v>SADE</v>
      </c>
      <c r="K55" s="80">
        <v>720</v>
      </c>
      <c r="L55" s="80"/>
      <c r="M55" s="80">
        <f>IFERROR(IF(B55="","",K55/VLOOKUP(AD55,Varsayımlar!B:R,17,0)),"")</f>
        <v>6</v>
      </c>
      <c r="N55" s="80"/>
      <c r="O55" s="80">
        <v>7</v>
      </c>
      <c r="P55" s="80">
        <f>IF(B55="","",VLOOKUP(AD55,Varsayımlar!$B:$Q,7,0)*K55)</f>
        <v>5760</v>
      </c>
      <c r="Q55" s="80">
        <f>IF(B55="","",VLOOKUP(AD55,Varsayımlar!$B:$Q,8,0))</f>
        <v>25</v>
      </c>
      <c r="R55" s="80" t="str">
        <f>IF(B55="","",VLOOKUP(AD55,Varsayımlar!$B:$Q,9,0))</f>
        <v>Irak Soft</v>
      </c>
      <c r="S55" s="80">
        <f>IF(B55="","",VLOOKUP(AD55,Varsayımlar!$B:$Q,10,0))</f>
        <v>10</v>
      </c>
      <c r="T55" s="80">
        <f>IF(B55="","",VLOOKUP(AD55,Varsayımlar!$B:$Q,11,0))</f>
        <v>8</v>
      </c>
      <c r="U55" s="80">
        <f>IF(B55="","",VLOOKUP(AD55,Varsayımlar!$B:$Q,12,0))</f>
        <v>650</v>
      </c>
      <c r="V55" s="80" t="str">
        <f>IF(B55="","",VLOOKUP(AD55,Varsayımlar!$B:$Q,13,0))</f>
        <v>Yurtdışı</v>
      </c>
      <c r="W55" s="80">
        <f>IF(B55="","",VLOOKUP(AD55,Varsayımlar!$B:$Q,14,0))</f>
        <v>9</v>
      </c>
      <c r="X55" s="81">
        <v>46203</v>
      </c>
      <c r="Y55" s="81">
        <v>46476</v>
      </c>
      <c r="Z55" s="80">
        <v>26063025</v>
      </c>
      <c r="AA55" s="80" t="str">
        <f>IF(B55="","",VLOOKUP(AD55,Varsayımlar!$B:$Q,15,0))</f>
        <v>25cm Perforeli-Bulgarca etiket</v>
      </c>
      <c r="AB55" s="80" t="str">
        <f>IF(B55="","",VLOOKUP(AD55,Varsayımlar!$B:$Q,16,0))</f>
        <v>24-26 cm</v>
      </c>
      <c r="AC55" s="80" t="str">
        <f>IF(B55="","",VLOOKUP(Sayfa1!AD56,Varsayımlar!B:S,18,0))</f>
        <v>80x120cm -Epal+Epal</v>
      </c>
      <c r="AD55" s="57" t="str">
        <f t="shared" si="3"/>
        <v>TASTE LAND-BULGARİSTANTortillas 25cm Sade 10pcs 650g</v>
      </c>
    </row>
    <row r="56" spans="1:30" ht="47.25" x14ac:dyDescent="0.25">
      <c r="A56" s="8" t="s">
        <v>87</v>
      </c>
      <c r="B56" s="54" t="s">
        <v>268</v>
      </c>
      <c r="C56" s="39">
        <f>IF(B56="","",VLOOKUP(AD56,Varsayımlar!$B:$Q,3,0))</f>
        <v>8698829380698</v>
      </c>
      <c r="D56" s="39" t="s">
        <v>160</v>
      </c>
      <c r="E56" s="54" t="s">
        <v>342</v>
      </c>
      <c r="F56" s="54" t="s">
        <v>343</v>
      </c>
      <c r="G56" s="39" t="s">
        <v>68</v>
      </c>
      <c r="H56" s="54" t="str">
        <f>IF(B56="","",VLOOKUP(AD56,Varsayımlar!$B:$Q,5,0))</f>
        <v>Tortillas 25cm Sade</v>
      </c>
      <c r="I56" s="54">
        <f>IF(B56="","",VLOOKUP(AD56,Varsayımlar!B:T,19,0))</f>
        <v>0</v>
      </c>
      <c r="J56" s="54" t="str">
        <f>IF(B56="","",VLOOKUP(AD56,Varsayımlar!$B:$Q,6,0))</f>
        <v>SADE</v>
      </c>
      <c r="K56" s="54">
        <v>420</v>
      </c>
      <c r="L56" s="54"/>
      <c r="M56" s="54">
        <f>IFERROR(IF(B56="","",K56/VLOOKUP(AD56,Varsayımlar!B:R,17,0)),"")</f>
        <v>5</v>
      </c>
      <c r="N56" s="54"/>
      <c r="O56" s="54">
        <v>7</v>
      </c>
      <c r="P56" s="54">
        <f>IF(B56="","",VLOOKUP(AD56,Varsayımlar!$B:$Q,7,0)*K56)</f>
        <v>12600</v>
      </c>
      <c r="Q56" s="54">
        <f>IF(B56="","",VLOOKUP(AD56,Varsayımlar!$B:$Q,8,0))</f>
        <v>25</v>
      </c>
      <c r="R56" s="54" t="str">
        <f>IF(B56="","",VLOOKUP(AD56,Varsayımlar!$B:$Q,9,0))</f>
        <v>Soft-PA3</v>
      </c>
      <c r="S56" s="54">
        <f>IF(B56="","",VLOOKUP(AD56,Varsayımlar!$B:$Q,10,0))</f>
        <v>4</v>
      </c>
      <c r="T56" s="54">
        <f>IF(B56="","",VLOOKUP(AD56,Varsayımlar!$B:$Q,11,0))</f>
        <v>30</v>
      </c>
      <c r="U56" s="54">
        <f>IF(B56="","",VLOOKUP(AD56,Varsayımlar!$B:$Q,12,0))</f>
        <v>240</v>
      </c>
      <c r="V56" s="54" t="str">
        <f>IF(B56="","",VLOOKUP(AD56,Varsayımlar!$B:$Q,13,0))</f>
        <v>Yurtdışı</v>
      </c>
      <c r="W56" s="54">
        <f>IF(B56="","",VLOOKUP(AD56,Varsayımlar!$B:$Q,14,0))</f>
        <v>12</v>
      </c>
      <c r="X56" s="56">
        <v>46205</v>
      </c>
      <c r="Y56" s="56">
        <v>46570</v>
      </c>
      <c r="Z56" s="54">
        <v>26070225</v>
      </c>
      <c r="AA56" s="54" t="str">
        <f>IF(B56="","",VLOOKUP(AD56,Varsayımlar!$B:$Q,15,0))</f>
        <v>25cm Kolisi-Etiketli</v>
      </c>
      <c r="AB56" s="54" t="str">
        <f>IF(B56="","",VLOOKUP(AD56,Varsayımlar!$B:$Q,16,0))</f>
        <v>24-26 cm (Macca Hetto Inkjet Uzun Tarih)</v>
      </c>
      <c r="AC56" s="54" t="str">
        <f>IF(B56="","",VLOOKUP(Sayfa1!AD35,Varsayımlar!B:S,18,0))</f>
        <v>80x120cm</v>
      </c>
      <c r="AD56" s="57" t="str">
        <f>IF(B56="","",CONCATENATE(B56,E56))</f>
        <v>LAIKYUZHN-BELARUSTortillas 25cm Sade 4pcs 240g</v>
      </c>
    </row>
    <row r="57" spans="1:30" ht="47.25" x14ac:dyDescent="0.25">
      <c r="A57" s="8" t="s">
        <v>88</v>
      </c>
      <c r="B57" s="64" t="s">
        <v>119</v>
      </c>
      <c r="C57" s="3">
        <f>IF(B57="","",VLOOKUP(AD57,Varsayımlar!$B:$Q,3,0))</f>
        <v>8698829380698</v>
      </c>
      <c r="D57" s="3"/>
      <c r="E57" s="65" t="s">
        <v>120</v>
      </c>
      <c r="F57" s="64"/>
      <c r="G57" s="64"/>
      <c r="H57" s="64" t="str">
        <f>IF(B57="","",VLOOKUP(AD57,Varsayımlar!$B:$Q,5,0))</f>
        <v>Nimet 25 cm</v>
      </c>
      <c r="I57" s="64"/>
      <c r="J57" s="64" t="str">
        <f>IF(B57="","",VLOOKUP(AD57,Varsayımlar!$B:$Q,6,0))</f>
        <v>SADE</v>
      </c>
      <c r="K57" s="64">
        <v>4000</v>
      </c>
      <c r="L57" s="64"/>
      <c r="M57" s="64">
        <f>IFERROR(IF(B57="","",K57/VLOOKUP(AD57,Varsayımlar!B:R,17,0)),"")</f>
        <v>80</v>
      </c>
      <c r="N57" s="64"/>
      <c r="O57" s="64">
        <v>60</v>
      </c>
      <c r="P57" s="64">
        <f>IF(B57="","",VLOOKUP(AD57,Varsayımlar!$B:$Q,7,0)*K57)</f>
        <v>48000</v>
      </c>
      <c r="Q57" s="64">
        <f>IF(B57="","",VLOOKUP(AD57,Varsayımlar!$B:$Q,8,0))</f>
        <v>25</v>
      </c>
      <c r="R57" s="64" t="str">
        <f>IF(B57="","",VLOOKUP(AD57,Varsayımlar!$B:$Q,9,0))</f>
        <v>Standart</v>
      </c>
      <c r="S57" s="64">
        <f>IF(B57="","",VLOOKUP(AD57,Varsayımlar!$B:$Q,10,0))</f>
        <v>12</v>
      </c>
      <c r="T57" s="64">
        <f>IF(B57="","",VLOOKUP(AD57,Varsayımlar!$B:$Q,11,0))</f>
        <v>12</v>
      </c>
      <c r="U57" s="64">
        <f>IF(B57="","",VLOOKUP(AD57,Varsayımlar!$B:$Q,12,0))</f>
        <v>840</v>
      </c>
      <c r="V57" s="64" t="str">
        <f>IF(B57="","",VLOOKUP(AD57,Varsayımlar!$B:$Q,13,0))</f>
        <v>YURTİÇİ</v>
      </c>
      <c r="W57" s="64">
        <f>IF(B57="","",VLOOKUP(AD57,Varsayımlar!$B:$Q,14,0))</f>
        <v>5</v>
      </c>
      <c r="X57" s="66" t="s">
        <v>113</v>
      </c>
      <c r="Y57" s="66" t="s">
        <v>113</v>
      </c>
      <c r="Z57" s="64" t="s">
        <v>113</v>
      </c>
      <c r="AA57" s="64" t="str">
        <f>IF(B57="","",VLOOKUP(AD57,Varsayımlar!$B:$Q,15,0))</f>
        <v>Nimet Kolisi</v>
      </c>
      <c r="AB57" s="64" t="str">
        <f>IF(B57="","",VLOOKUP(AD57,Varsayımlar!$B:$Q,16,0))</f>
        <v>24-26 CM</v>
      </c>
      <c r="AC57" s="64" t="s">
        <v>360</v>
      </c>
      <c r="AD57" s="57" t="str">
        <f t="shared" ref="AD57:AD65" si="4">IF(B57="","",CONCATENATE(B57,E57))</f>
        <v>A101Nimet 25cm 12 pcs 840g</v>
      </c>
    </row>
    <row r="58" spans="1:30" ht="31.5" x14ac:dyDescent="0.25">
      <c r="A58" s="8" t="s">
        <v>89</v>
      </c>
      <c r="B58" s="75" t="s">
        <v>218</v>
      </c>
      <c r="C58" s="43">
        <f>IF(B58="","",VLOOKUP(AD58,Varsayımlar!$B:$Q,3,0))</f>
        <v>8698829380698</v>
      </c>
      <c r="D58" s="43" t="s">
        <v>161</v>
      </c>
      <c r="E58" s="75" t="s">
        <v>228</v>
      </c>
      <c r="F58" s="75" t="s">
        <v>341</v>
      </c>
      <c r="G58" s="43"/>
      <c r="H58" s="75" t="str">
        <f>IF(B58="","",VLOOKUP(AD58,Varsayımlar!$B:$Q,5,0))</f>
        <v>Tortillas Avrupa 25cm (698)</v>
      </c>
      <c r="I58" s="75">
        <f>IF(B58="","",VLOOKUP(AD58,Varsayımlar!B:T,19,0))</f>
        <v>0</v>
      </c>
      <c r="J58" s="75" t="str">
        <f>IF(B58="","",VLOOKUP(AD58,Varsayımlar!$B:$Q,6,0))</f>
        <v>SADE</v>
      </c>
      <c r="K58" s="75">
        <v>720</v>
      </c>
      <c r="L58" s="75"/>
      <c r="M58" s="75">
        <f>IFERROR(IF(B58="","",K58/VLOOKUP(AD58,Varsayımlar!B:R,17,0)),"")</f>
        <v>6</v>
      </c>
      <c r="N58" s="75"/>
      <c r="O58" s="75">
        <v>7</v>
      </c>
      <c r="P58" s="75">
        <f>IF(B58="","",VLOOKUP(AD58,Varsayımlar!$B:$Q,7,0)*K58)</f>
        <v>5760</v>
      </c>
      <c r="Q58" s="75">
        <f>IF(B58="","",VLOOKUP(AD58,Varsayımlar!$B:$Q,8,0))</f>
        <v>25</v>
      </c>
      <c r="R58" s="75" t="str">
        <f>IF(B58="","",VLOOKUP(AD58,Varsayımlar!$B:$Q,9,0))</f>
        <v>Irak Soft</v>
      </c>
      <c r="S58" s="75">
        <f>IF(B58="","",VLOOKUP(AD58,Varsayımlar!$B:$Q,10,0))</f>
        <v>10</v>
      </c>
      <c r="T58" s="75">
        <f>IF(B58="","",VLOOKUP(AD58,Varsayımlar!$B:$Q,11,0))</f>
        <v>8</v>
      </c>
      <c r="U58" s="75">
        <f>IF(B58="","",VLOOKUP(AD58,Varsayımlar!$B:$Q,12,0))</f>
        <v>650</v>
      </c>
      <c r="V58" s="75" t="str">
        <f>IF(B58="","",VLOOKUP(AD58,Varsayımlar!$B:$Q,13,0))</f>
        <v>Yurtdışı</v>
      </c>
      <c r="W58" s="75">
        <f>IF(B58="","",VLOOKUP(AD58,Varsayımlar!$B:$Q,14,0))</f>
        <v>9</v>
      </c>
      <c r="X58" s="76">
        <v>46213</v>
      </c>
      <c r="Y58" s="76">
        <v>46487</v>
      </c>
      <c r="Z58" s="75">
        <v>26071025</v>
      </c>
      <c r="AA58" s="75" t="str">
        <f>IF(B58="","",VLOOKUP(AD58,Varsayımlar!$B:$Q,15,0))</f>
        <v>25cm Perforeli-Bulgarca etiket</v>
      </c>
      <c r="AB58" s="75" t="str">
        <f>IF(B58="","",VLOOKUP(AD58,Varsayımlar!$B:$Q,16,0))</f>
        <v>24-26 cm</v>
      </c>
      <c r="AC58" s="75" t="str">
        <f>IF(B58="","",VLOOKUP(Sayfa1!AD61,Varsayımlar!B:S,18,0))</f>
        <v>80x120cm -Epal+Epal</v>
      </c>
      <c r="AD58" s="57" t="str">
        <f t="shared" si="4"/>
        <v>TASTE LAND-BULGARİSTANTortillas 25cm Sade 10pcs 650g</v>
      </c>
    </row>
    <row r="59" spans="1:30" ht="47.25" x14ac:dyDescent="0.25">
      <c r="A59" s="8" t="s">
        <v>90</v>
      </c>
      <c r="B59" s="75" t="s">
        <v>218</v>
      </c>
      <c r="C59" s="43">
        <f>IF(B59="","",VLOOKUP(AD59,Varsayımlar!$B:$Q,3,0))</f>
        <v>8698829380698</v>
      </c>
      <c r="D59" s="43" t="s">
        <v>161</v>
      </c>
      <c r="E59" s="75" t="s">
        <v>250</v>
      </c>
      <c r="F59" s="75" t="s">
        <v>341</v>
      </c>
      <c r="G59" s="43"/>
      <c r="H59" s="75" t="str">
        <f>IF(B59="","",VLOOKUP(AD59,Varsayımlar!$B:$Q,5,0))</f>
        <v>Tortillas Avrupa 25cm (698)</v>
      </c>
      <c r="I59" s="75" t="str">
        <f>IF(B59="","",VLOOKUP(AD59,Varsayımlar!B:T,19,0))</f>
        <v>Barkod üzerine Barkod Etiketi (050)</v>
      </c>
      <c r="J59" s="75" t="str">
        <f>IF(B59="","",VLOOKUP(AD59,Varsayımlar!$B:$Q,6,0))</f>
        <v>SADE</v>
      </c>
      <c r="K59" s="75">
        <v>168</v>
      </c>
      <c r="L59" s="75"/>
      <c r="M59" s="75">
        <f>IFERROR(IF(B59="","",K59/VLOOKUP(AD59,Varsayımlar!B:R,17,0)),"")</f>
        <v>2</v>
      </c>
      <c r="N59" s="75"/>
      <c r="O59" s="75">
        <v>3</v>
      </c>
      <c r="P59" s="75">
        <f>IF(B59="","",VLOOKUP(AD59,Varsayımlar!$B:$Q,7,0)*K59)</f>
        <v>3024</v>
      </c>
      <c r="Q59" s="75">
        <f>IF(B59="","",VLOOKUP(AD59,Varsayımlar!$B:$Q,8,0))</f>
        <v>25</v>
      </c>
      <c r="R59" s="75" t="str">
        <f>IF(B59="","",VLOOKUP(AD59,Varsayımlar!$B:$Q,9,0))</f>
        <v>Irak Soft</v>
      </c>
      <c r="S59" s="75">
        <f>IF(B59="","",VLOOKUP(AD59,Varsayımlar!$B:$Q,10,0))</f>
        <v>6</v>
      </c>
      <c r="T59" s="75">
        <f>IF(B59="","",VLOOKUP(AD59,Varsayımlar!$B:$Q,11,0))</f>
        <v>18</v>
      </c>
      <c r="U59" s="75">
        <f>IF(B59="","",VLOOKUP(AD59,Varsayımlar!$B:$Q,12,0))</f>
        <v>390</v>
      </c>
      <c r="V59" s="75" t="str">
        <f>IF(B59="","",VLOOKUP(AD59,Varsayımlar!$B:$Q,13,0))</f>
        <v>Yurtdışı</v>
      </c>
      <c r="W59" s="75">
        <f>IF(B59="","",VLOOKUP(AD59,Varsayımlar!$B:$Q,14,0))</f>
        <v>9</v>
      </c>
      <c r="X59" s="76">
        <v>46213</v>
      </c>
      <c r="Y59" s="76">
        <v>46487</v>
      </c>
      <c r="Z59" s="75">
        <v>26071025</v>
      </c>
      <c r="AA59" s="75" t="str">
        <f>IF(B59="","",VLOOKUP(AD59,Varsayımlar!$B:$Q,15,0))</f>
        <v>25cm Kırmızı koli-Bulgarca Etiket</v>
      </c>
      <c r="AB59" s="75" t="str">
        <f>IF(B59="","",VLOOKUP(AD59,Varsayımlar!$B:$Q,16,0))</f>
        <v>24-26 cm</v>
      </c>
      <c r="AC59" s="75" t="str">
        <f>IF(B59="","",VLOOKUP(Sayfa1!AD62,Varsayımlar!B:S,18,0))</f>
        <v>80x120cm -Epal+Epal</v>
      </c>
      <c r="AD59" s="57" t="str">
        <f t="shared" si="4"/>
        <v>TASTE LAND-BULGARİSTANTortillas 25cm Sade 6pcs 390g</v>
      </c>
    </row>
    <row r="60" spans="1:30" x14ac:dyDescent="0.25">
      <c r="A60" s="8" t="s">
        <v>90</v>
      </c>
      <c r="B60" s="67" t="s">
        <v>460</v>
      </c>
      <c r="C60" s="42">
        <f>IF(B60="","",VLOOKUP(AD60,Varsayımlar!$B:$Q,3,0))</f>
        <v>8698829380698</v>
      </c>
      <c r="D60" s="67" t="s">
        <v>161</v>
      </c>
      <c r="E60" s="67" t="s">
        <v>468</v>
      </c>
      <c r="F60" s="67">
        <v>20260414</v>
      </c>
      <c r="G60" s="67"/>
      <c r="H60" s="67" t="str">
        <f>IF(B60="","",VLOOKUP(AD60,Varsayımlar!$B:$Q,5,0))</f>
        <v>Tortillove 25cm</v>
      </c>
      <c r="I60" s="67">
        <f>IF(B60="","",VLOOKUP(AD60,Varsayımlar!B:T,19,0))</f>
        <v>0</v>
      </c>
      <c r="J60" s="67" t="str">
        <f>IF(B60="","",VLOOKUP(AD60,Varsayımlar!$B:$Q,6,0))</f>
        <v>SADE</v>
      </c>
      <c r="K60" s="67">
        <v>100</v>
      </c>
      <c r="L60" s="67"/>
      <c r="M60" s="67">
        <f>IFERROR(IF(B60="","",K60/VLOOKUP(AD60,Varsayımlar!B:R,17,0)),"")</f>
        <v>1</v>
      </c>
      <c r="N60" s="67"/>
      <c r="O60" s="67">
        <v>2</v>
      </c>
      <c r="P60" s="67">
        <f>IF(B60="","",VLOOKUP(AD60,Varsayımlar!$B:$Q,7,0)*K60)</f>
        <v>1200</v>
      </c>
      <c r="Q60" s="67">
        <f>IF(B60="","",VLOOKUP(AD60,Varsayımlar!$B:$Q,8,0))</f>
        <v>25</v>
      </c>
      <c r="R60" s="67" t="str">
        <f>IF(B60="","",VLOOKUP(AD60,Varsayımlar!$B:$Q,9,0))</f>
        <v>Irak Soft</v>
      </c>
      <c r="S60" s="67">
        <f>IF(B60="","",VLOOKUP(AD60,Varsayımlar!$B:$Q,10,0))</f>
        <v>10</v>
      </c>
      <c r="T60" s="67">
        <f>IF(B60="","",VLOOKUP(AD60,Varsayımlar!$B:$Q,11,0))</f>
        <v>12</v>
      </c>
      <c r="U60" s="67">
        <f>IF(B60="","",VLOOKUP(AD60,Varsayımlar!$B:$Q,12,0))</f>
        <v>650</v>
      </c>
      <c r="V60" s="67" t="str">
        <f>IF(B60="","",VLOOKUP(AD60,Varsayımlar!$B:$Q,13,0))</f>
        <v>Yurtdışı</v>
      </c>
      <c r="W60" s="67">
        <f>IF(B60="","",VLOOKUP(AD60,Varsayımlar!$B:$Q,14,0))</f>
        <v>6</v>
      </c>
      <c r="X60" s="69">
        <v>46216</v>
      </c>
      <c r="Y60" s="69">
        <v>46400</v>
      </c>
      <c r="Z60" s="67">
        <v>26071325</v>
      </c>
      <c r="AA60" s="67" t="str">
        <f>IF(B60="","",VLOOKUP(AD60,Varsayımlar!$B:$Q,15,0))</f>
        <v>25cm Kırmızı Koli</v>
      </c>
      <c r="AB60" s="67" t="str">
        <f>IF(B60="","",VLOOKUP(AD60,Varsayımlar!$B:$Q,16,0))</f>
        <v>24-26 cm</v>
      </c>
      <c r="AC60" s="75" t="str">
        <f>IF(B60="","",VLOOKUP(Sayfa1!AD64,Varsayımlar!B:S,18,0))</f>
        <v>80x120cm -Epal+Epal</v>
      </c>
      <c r="AD60" s="57" t="str">
        <f t="shared" si="4"/>
        <v>Yüksekbaş GıdaYüksekbaş 25cm 10pcs 650g</v>
      </c>
    </row>
    <row r="61" spans="1:30" ht="31.5" x14ac:dyDescent="0.25">
      <c r="A61" s="8" t="s">
        <v>89</v>
      </c>
      <c r="B61" s="42" t="s">
        <v>460</v>
      </c>
      <c r="C61" s="42">
        <f>IF(B61="","",VLOOKUP(AD61,Varsayımlar!$B:$Q,3,0))</f>
        <v>8698829380698</v>
      </c>
      <c r="D61" s="42" t="s">
        <v>161</v>
      </c>
      <c r="E61" s="42" t="s">
        <v>471</v>
      </c>
      <c r="F61" s="42">
        <v>20260414</v>
      </c>
      <c r="G61" s="42"/>
      <c r="H61" s="42" t="str">
        <f>IF(B61="","",VLOOKUP(AD61,Varsayımlar!$B:$Q,5,0))</f>
        <v>Tortillove Tam Buğday 25cm</v>
      </c>
      <c r="I61" s="42">
        <f>IF(B61="","",VLOOKUP(AD61,Varsayımlar!B:T,19,0))</f>
        <v>0</v>
      </c>
      <c r="J61" s="42" t="str">
        <f>IF(B61="","",VLOOKUP(AD61,Varsayımlar!$B:$Q,6,0))</f>
        <v>Tam Buğdaylı</v>
      </c>
      <c r="K61" s="42">
        <v>500</v>
      </c>
      <c r="L61" s="42"/>
      <c r="M61" s="42">
        <f>IFERROR(IF(B61="","",K61/VLOOKUP(AD61,Varsayımlar!B:R,17,0)),"")</f>
        <v>5</v>
      </c>
      <c r="N61" s="42"/>
      <c r="O61" s="42">
        <v>7</v>
      </c>
      <c r="P61" s="42">
        <f>IF(B61="","",VLOOKUP(AD61,Varsayımlar!$B:$Q,7,0)*K61)</f>
        <v>6000</v>
      </c>
      <c r="Q61" s="42">
        <f>IF(B61="","",VLOOKUP(AD61,Varsayımlar!$B:$Q,8,0))</f>
        <v>25</v>
      </c>
      <c r="R61" s="42" t="str">
        <f>IF(B61="","",VLOOKUP(AD61,Varsayımlar!$B:$Q,9,0))</f>
        <v>Irak Soft</v>
      </c>
      <c r="S61" s="42">
        <f>IF(B61="","",VLOOKUP(AD61,Varsayımlar!$B:$Q,10,0))</f>
        <v>10</v>
      </c>
      <c r="T61" s="42">
        <f>IF(B61="","",VLOOKUP(AD61,Varsayımlar!$B:$Q,11,0))</f>
        <v>12</v>
      </c>
      <c r="U61" s="42">
        <f>IF(B61="","",VLOOKUP(AD61,Varsayımlar!$B:$Q,12,0))</f>
        <v>650</v>
      </c>
      <c r="V61" s="42" t="str">
        <f>IF(B61="","",VLOOKUP(AD61,Varsayımlar!$B:$Q,13,0))</f>
        <v>Yurtdışı</v>
      </c>
      <c r="W61" s="42">
        <f>IF(B61="","",VLOOKUP(AD61,Varsayımlar!$B:$Q,14,0))</f>
        <v>6</v>
      </c>
      <c r="X61" s="69">
        <v>46216</v>
      </c>
      <c r="Y61" s="69">
        <v>46400</v>
      </c>
      <c r="Z61" s="42" t="s">
        <v>475</v>
      </c>
      <c r="AA61" s="42" t="str">
        <f>IF(B61="","",VLOOKUP(AD61,Varsayımlar!$B:$Q,15,0))</f>
        <v>25cm Kırmızı Koli-Etiketli</v>
      </c>
      <c r="AB61" s="42" t="str">
        <f>IF(B61="","",VLOOKUP(AD61,Varsayımlar!$B:$Q,16,0))</f>
        <v>24-26 cm</v>
      </c>
      <c r="AC61" s="75" t="str">
        <f>IF(B61="","",VLOOKUP(Sayfa1!AD64,Varsayımlar!B:S,18,0))</f>
        <v>80x120cm -Epal+Epal</v>
      </c>
      <c r="AD61" s="57" t="str">
        <f t="shared" si="4"/>
        <v>Yüksekbaş GıdaYüksekbaş TB 25cm 10pcs 650g</v>
      </c>
    </row>
    <row r="62" spans="1:30" x14ac:dyDescent="0.25">
      <c r="A62" s="8" t="s">
        <v>152</v>
      </c>
      <c r="B62" s="54" t="s">
        <v>346</v>
      </c>
      <c r="C62" s="39" t="e">
        <f>IF(B62="","",VLOOKUP(AD62,#REF!,3,0))</f>
        <v>#REF!</v>
      </c>
      <c r="D62" s="39">
        <v>49</v>
      </c>
      <c r="E62" s="139" t="s">
        <v>58</v>
      </c>
      <c r="F62" s="54"/>
      <c r="G62" s="54"/>
      <c r="H62" s="54" t="e">
        <f>IF(B62="","",VLOOKUP(AD62,#REF!,5,0))</f>
        <v>#REF!</v>
      </c>
      <c r="I62" s="54" t="e">
        <f>IF(B62="","",VLOOKUP(AD62,#REF!,19,0))</f>
        <v>#REF!</v>
      </c>
      <c r="J62" s="54" t="e">
        <f>IF(B62="","",VLOOKUP(AD62,#REF!,6,0))</f>
        <v>#REF!</v>
      </c>
      <c r="K62" s="54">
        <v>504</v>
      </c>
      <c r="L62" s="54"/>
      <c r="M62" s="54"/>
      <c r="N62" s="54"/>
      <c r="O62" s="54">
        <v>6</v>
      </c>
      <c r="P62" s="54" t="e">
        <f>IF(B62="","",VLOOKUP(AD62,#REF!,7,0)*K62)</f>
        <v>#REF!</v>
      </c>
      <c r="Q62" s="54" t="e">
        <f>IF(B62="","",VLOOKUP(AD62,#REF!,8,0))</f>
        <v>#REF!</v>
      </c>
      <c r="R62" s="54" t="e">
        <f>IF(B62="","",VLOOKUP(AD62,#REF!,9,0))</f>
        <v>#REF!</v>
      </c>
      <c r="S62" s="54" t="e">
        <f>IF(B62="","",VLOOKUP(AD62,#REF!,10,0))</f>
        <v>#REF!</v>
      </c>
      <c r="T62" s="54" t="e">
        <f>IF(B62="","",VLOOKUP(AD62,#REF!,11,0))</f>
        <v>#REF!</v>
      </c>
      <c r="U62" s="54" t="e">
        <f>IF(B62="","",VLOOKUP(AD62,#REF!,12,0))</f>
        <v>#REF!</v>
      </c>
      <c r="V62" s="54" t="e">
        <f>IF(B62="","",VLOOKUP(AD62,#REF!,13,0))</f>
        <v>#REF!</v>
      </c>
      <c r="W62" s="54" t="e">
        <f>IF(B62="","",VLOOKUP(AD62,#REF!,14,0))</f>
        <v>#REF!</v>
      </c>
      <c r="X62" s="54"/>
      <c r="Y62" s="54"/>
      <c r="Z62" s="54"/>
      <c r="AA62" s="54" t="e">
        <f>IF(B62="","",VLOOKUP(AD62,#REF!,15,0))</f>
        <v>#REF!</v>
      </c>
      <c r="AB62" s="54" t="e">
        <f>IF(B62="","",VLOOKUP(AD62,#REF!,16,0))</f>
        <v>#REF!</v>
      </c>
      <c r="AC62" s="8" t="e">
        <f>IF(B62="","",VLOOKUP(#REF!,#REF!,18,0))</f>
        <v>#REF!</v>
      </c>
      <c r="AD62" s="8" t="str">
        <f>IF(B62="","",CONCATENATE(B62,E62))</f>
        <v>GermesKırmızı Tortillas-Germes-25cm 375g</v>
      </c>
    </row>
    <row r="63" spans="1:30" x14ac:dyDescent="0.25">
      <c r="A63" s="8" t="s">
        <v>154</v>
      </c>
      <c r="B63" s="8"/>
      <c r="C63" s="9" t="str">
        <f>IF(B63="","",VLOOKUP(AD63,#REF!,3,0))</f>
        <v/>
      </c>
      <c r="D63" s="9"/>
      <c r="E63" s="9"/>
      <c r="F63" s="8"/>
      <c r="G63" s="8"/>
      <c r="H63" s="8" t="str">
        <f>IF(B63="","",VLOOKUP(AD63,#REF!,5,0))</f>
        <v/>
      </c>
      <c r="I63" s="8" t="str">
        <f>IF(B63="","",VLOOKUP(AD63,#REF!,19,0))</f>
        <v/>
      </c>
      <c r="J63" s="8" t="str">
        <f>IF(B63="","",VLOOKUP(AD63,#REF!,6,0))</f>
        <v/>
      </c>
      <c r="K63" s="8"/>
      <c r="L63" s="8"/>
      <c r="M63" s="8"/>
      <c r="N63" s="8"/>
      <c r="O63" s="8"/>
      <c r="P63" s="8" t="str">
        <f>IF(B63="","",VLOOKUP(AD63,#REF!,7,0)*K63)</f>
        <v/>
      </c>
      <c r="Q63" s="8" t="str">
        <f>IF(B63="","",VLOOKUP(AD63,#REF!,8,0))</f>
        <v/>
      </c>
      <c r="R63" s="8" t="str">
        <f>IF(B63="","",VLOOKUP(AD63,#REF!,9,0))</f>
        <v/>
      </c>
      <c r="S63" s="8" t="str">
        <f>IF(B63="","",VLOOKUP(AD63,#REF!,10,0))</f>
        <v/>
      </c>
      <c r="T63" s="8" t="str">
        <f>IF(B63="","",VLOOKUP(AD63,#REF!,11,0))</f>
        <v/>
      </c>
      <c r="U63" s="8" t="str">
        <f>IF(B63="","",VLOOKUP(AD63,#REF!,12,0))</f>
        <v/>
      </c>
      <c r="V63" s="8" t="str">
        <f>IF(B63="","",VLOOKUP(AD63,#REF!,13,0))</f>
        <v/>
      </c>
      <c r="W63" s="8" t="str">
        <f>IF(B63="","",VLOOKUP(AD63,#REF!,14,0))</f>
        <v/>
      </c>
      <c r="X63" s="8"/>
      <c r="Y63" s="8"/>
      <c r="Z63" s="8"/>
      <c r="AA63" s="8" t="str">
        <f>IF(B63="","",VLOOKUP(AD63,#REF!,15,0))</f>
        <v/>
      </c>
      <c r="AB63" s="8" t="str">
        <f>IF(B63="","",VLOOKUP(AD63,#REF!,16,0))</f>
        <v/>
      </c>
      <c r="AC63" s="8" t="str">
        <f>IF(B63="","",VLOOKUP(#REF!,#REF!,18,0))</f>
        <v/>
      </c>
      <c r="AD63" s="8" t="str">
        <f t="shared" ref="AD63:AD64" si="5">IF(B63="","",CONCATENATE(B63,E63))</f>
        <v/>
      </c>
    </row>
    <row r="64" spans="1:30" x14ac:dyDescent="0.25">
      <c r="A64" s="8" t="s">
        <v>155</v>
      </c>
      <c r="B64" s="8"/>
      <c r="C64" s="9" t="str">
        <f>IF(B64="","",VLOOKUP(AD64,#REF!,3,0))</f>
        <v/>
      </c>
      <c r="D64" s="9"/>
      <c r="E64" s="9"/>
      <c r="F64" s="8"/>
      <c r="G64" s="8"/>
      <c r="H64" s="8" t="str">
        <f>IF(B64="","",VLOOKUP(AD64,#REF!,5,0))</f>
        <v/>
      </c>
      <c r="I64" s="8" t="str">
        <f>IF(B64="","",VLOOKUP(AD64,#REF!,19,0))</f>
        <v/>
      </c>
      <c r="J64" s="8" t="str">
        <f>IF(B64="","",VLOOKUP(AD64,#REF!,6,0))</f>
        <v/>
      </c>
      <c r="K64" s="8"/>
      <c r="L64" s="8"/>
      <c r="M64" s="8"/>
      <c r="N64" s="8"/>
      <c r="O64" s="8"/>
      <c r="P64" s="8" t="str">
        <f>IF(B64="","",VLOOKUP(AD64,#REF!,7,0)*K64)</f>
        <v/>
      </c>
      <c r="Q64" s="8" t="str">
        <f>IF(B64="","",VLOOKUP(AD64,#REF!,8,0))</f>
        <v/>
      </c>
      <c r="R64" s="8" t="str">
        <f>IF(B64="","",VLOOKUP(AD64,#REF!,9,0))</f>
        <v/>
      </c>
      <c r="S64" s="8" t="str">
        <f>IF(B64="","",VLOOKUP(AD64,#REF!,10,0))</f>
        <v/>
      </c>
      <c r="T64" s="8" t="str">
        <f>IF(B64="","",VLOOKUP(AD64,#REF!,11,0))</f>
        <v/>
      </c>
      <c r="U64" s="8" t="str">
        <f>IF(B64="","",VLOOKUP(AD64,#REF!,12,0))</f>
        <v/>
      </c>
      <c r="V64" s="8" t="str">
        <f>IF(B64="","",VLOOKUP(AD64,#REF!,13,0))</f>
        <v/>
      </c>
      <c r="W64" s="8" t="str">
        <f>IF(B64="","",VLOOKUP(AD64,#REF!,14,0))</f>
        <v/>
      </c>
      <c r="X64" s="8"/>
      <c r="Y64" s="8"/>
      <c r="Z64" s="8"/>
      <c r="AA64" s="8" t="str">
        <f>IF(B64="","",VLOOKUP(AD64,#REF!,15,0))</f>
        <v/>
      </c>
      <c r="AB64" s="8" t="str">
        <f>IF(B64="","",VLOOKUP(AD64,#REF!,16,0))</f>
        <v/>
      </c>
      <c r="AC64" s="8" t="str">
        <f>IF(B64="","",VLOOKUP(#REF!,#REF!,18,0))</f>
        <v/>
      </c>
      <c r="AD64" s="8" t="str">
        <f t="shared" si="5"/>
        <v/>
      </c>
    </row>
    <row r="65" spans="1:30" x14ac:dyDescent="0.25">
      <c r="C65" s="53" t="str">
        <f>IF(B65="","",VLOOKUP(AD65,Varsayımlar!$B:$Q,3,0))</f>
        <v/>
      </c>
      <c r="H65" s="7" t="str">
        <f>IF(B65="","",VLOOKUP(AD65,Varsayımlar!$B:$Q,5,0))</f>
        <v/>
      </c>
      <c r="J65" s="7" t="str">
        <f>IF(B65="","",VLOOKUP(AD65,Varsayımlar!$B:$Q,6,0))</f>
        <v/>
      </c>
      <c r="P65" s="7" t="str">
        <f>IF(B65="","",VLOOKUP(AD65,Varsayımlar!$B:$Q,7,0)*K65)</f>
        <v/>
      </c>
      <c r="Q65" s="7" t="str">
        <f>IF(B65="","",VLOOKUP(AD65,Varsayımlar!$B:$Q,8,0))</f>
        <v/>
      </c>
      <c r="R65" s="7" t="str">
        <f>IF(B65="","",VLOOKUP(AD65,Varsayımlar!$B:$Q,9,0))</f>
        <v/>
      </c>
      <c r="S65" s="7" t="str">
        <f>IF(B65="","",VLOOKUP(AD65,Varsayımlar!$B:$Q,10,0))</f>
        <v/>
      </c>
      <c r="T65" s="7" t="str">
        <f>IF(B65="","",VLOOKUP(AD65,Varsayımlar!$B:$Q,11,0))</f>
        <v/>
      </c>
      <c r="U65" s="7" t="str">
        <f>IF(B65="","",VLOOKUP(AD65,Varsayımlar!$B:$Q,12,0))</f>
        <v/>
      </c>
      <c r="V65" s="7" t="str">
        <f>IF(B65="","",VLOOKUP(AD65,Varsayımlar!$B:$Q,13,0))</f>
        <v/>
      </c>
      <c r="W65" s="7" t="str">
        <f>IF(B65="","",VLOOKUP(AD65,Varsayımlar!$B:$Q,14,0))</f>
        <v/>
      </c>
      <c r="AA65" s="7" t="str">
        <f>IF(B65="","",VLOOKUP(AD65,Varsayımlar!$B:$Q,15,0))</f>
        <v/>
      </c>
      <c r="AB65" s="7" t="str">
        <f>IF(B65="","",VLOOKUP(AD65,Varsayımlar!$B:$Q,16,0))</f>
        <v/>
      </c>
      <c r="AD65" s="7" t="str">
        <f t="shared" si="4"/>
        <v/>
      </c>
    </row>
    <row r="66" spans="1:30" ht="31.5" customHeight="1" x14ac:dyDescent="0.25">
      <c r="A66" s="182" t="s">
        <v>345</v>
      </c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4"/>
      <c r="AC66" s="38"/>
    </row>
    <row r="67" spans="1:30" ht="63" x14ac:dyDescent="0.25">
      <c r="A67" s="8" t="s">
        <v>0</v>
      </c>
      <c r="B67" s="8" t="s">
        <v>1</v>
      </c>
      <c r="C67" s="9" t="s">
        <v>31</v>
      </c>
      <c r="D67" s="9" t="s">
        <v>124</v>
      </c>
      <c r="E67" s="9" t="s">
        <v>36</v>
      </c>
      <c r="F67" s="8" t="s">
        <v>37</v>
      </c>
      <c r="G67" s="8" t="s">
        <v>13</v>
      </c>
      <c r="H67" s="8" t="s">
        <v>2</v>
      </c>
      <c r="I67" s="8" t="s">
        <v>49</v>
      </c>
      <c r="J67" s="8" t="s">
        <v>3</v>
      </c>
      <c r="K67" s="8" t="s">
        <v>21</v>
      </c>
      <c r="L67" s="8" t="s">
        <v>94</v>
      </c>
      <c r="M67" s="8" t="s">
        <v>20</v>
      </c>
      <c r="N67" s="8" t="s">
        <v>165</v>
      </c>
      <c r="O67" s="8" t="s">
        <v>123</v>
      </c>
      <c r="P67" s="8" t="s">
        <v>16</v>
      </c>
      <c r="Q67" s="8" t="s">
        <v>4</v>
      </c>
      <c r="R67" s="8" t="s">
        <v>5</v>
      </c>
      <c r="S67" s="8" t="s">
        <v>6</v>
      </c>
      <c r="T67" s="8" t="s">
        <v>28</v>
      </c>
      <c r="U67" s="8" t="s">
        <v>7</v>
      </c>
      <c r="V67" s="8" t="s">
        <v>8</v>
      </c>
      <c r="W67" s="8" t="s">
        <v>9</v>
      </c>
      <c r="X67" s="8" t="s">
        <v>10</v>
      </c>
      <c r="Y67" s="8" t="s">
        <v>11</v>
      </c>
      <c r="Z67" s="8" t="s">
        <v>12</v>
      </c>
      <c r="AA67" s="8" t="s">
        <v>14</v>
      </c>
      <c r="AB67" s="8" t="s">
        <v>15</v>
      </c>
      <c r="AC67" s="8" t="s">
        <v>208</v>
      </c>
      <c r="AD67" s="7" t="s">
        <v>41</v>
      </c>
    </row>
    <row r="68" spans="1:30" x14ac:dyDescent="0.25">
      <c r="A68" s="8" t="s">
        <v>26</v>
      </c>
      <c r="B68" s="67" t="s">
        <v>431</v>
      </c>
      <c r="C68" s="42">
        <f>IF(B68="","",VLOOKUP(AD68,Varsayımlar!$B:$Q,3,0))</f>
        <v>8698829380698</v>
      </c>
      <c r="D68" s="42"/>
      <c r="E68" s="42" t="s">
        <v>435</v>
      </c>
      <c r="F68" s="42">
        <v>20260612</v>
      </c>
      <c r="G68" s="42"/>
      <c r="H68" s="42" t="str">
        <f>IF(B68="","",VLOOKUP(AD68,Varsayımlar!$B:$Q,5,0))</f>
        <v xml:space="preserve">Happylla 500g </v>
      </c>
      <c r="I68" s="42"/>
      <c r="J68" s="42" t="str">
        <f>IF(B68="","",VLOOKUP(AD68,Varsayımlar!$B:$Q,6,0))</f>
        <v>SADE</v>
      </c>
      <c r="K68" s="42">
        <v>1768</v>
      </c>
      <c r="L68" s="42"/>
      <c r="M68" s="42">
        <f>IFERROR(IF(B68="","",K68/VLOOKUP(AD68,Varsayımlar!B:R,17,0)),"")</f>
        <v>17</v>
      </c>
      <c r="N68" s="42">
        <v>104</v>
      </c>
      <c r="O68" s="42">
        <v>30</v>
      </c>
      <c r="P68" s="42">
        <f>IF(B68="","",VLOOKUP(AD68,Varsayımlar!$B:$Q,7,0)*K68)</f>
        <v>21216</v>
      </c>
      <c r="Q68" s="42">
        <f>IF(B68="","",VLOOKUP(AD68,Varsayımlar!$B:$Q,8,0))</f>
        <v>25</v>
      </c>
      <c r="R68" s="42" t="str">
        <f>IF(B68="","",VLOOKUP(AD68,Varsayımlar!$B:$Q,9,0))</f>
        <v>Irak Soft</v>
      </c>
      <c r="S68" s="42">
        <f>IF(B68="","",VLOOKUP(AD68,Varsayımlar!$B:$Q,10,0))</f>
        <v>10</v>
      </c>
      <c r="T68" s="42">
        <f>IF(B68="","",VLOOKUP(AD68,Varsayımlar!$B:$Q,11,0))</f>
        <v>12</v>
      </c>
      <c r="U68" s="42">
        <f>IF(B68="","",VLOOKUP(AD68,Varsayımlar!$B:$Q,12,0))</f>
        <v>500</v>
      </c>
      <c r="V68" s="42" t="str">
        <f>IF(B68="","",VLOOKUP(AD68,Varsayımlar!$B:$Q,13,0))</f>
        <v>Yurtdışı</v>
      </c>
      <c r="W68" s="67">
        <f>IF(B68="","",VLOOKUP(AD68,Varsayımlar!$B:$Q,14,0))</f>
        <v>6</v>
      </c>
      <c r="X68" s="69">
        <v>46196</v>
      </c>
      <c r="Y68" s="69">
        <v>46379</v>
      </c>
      <c r="Z68" s="67">
        <v>26062325</v>
      </c>
      <c r="AA68" s="67" t="str">
        <f>IF(B68="","",VLOOKUP(AD68,Varsayımlar!$B:$Q,15,0))</f>
        <v>Kırmızı Koli 25cm</v>
      </c>
      <c r="AB68" s="67" t="str">
        <f>IF(B68="","",VLOOKUP(AD68,Varsayımlar!$B:$Q,16,0))</f>
        <v>23-26cm</v>
      </c>
      <c r="AC68" s="67"/>
      <c r="AD68" s="57" t="str">
        <f t="shared" ref="AD68:AD75" si="6">IF(B68="","",CONCATENATE(B68,E68))</f>
        <v>Bağ TicaretHappylla 25cm Sade 10pcs 500g</v>
      </c>
    </row>
    <row r="69" spans="1:30" ht="27.75" customHeight="1" x14ac:dyDescent="0.25">
      <c r="A69" s="8" t="s">
        <v>77</v>
      </c>
      <c r="B69" s="67" t="s">
        <v>431</v>
      </c>
      <c r="C69" s="42">
        <f>IF(B69="","",VLOOKUP(AD69,Varsayımlar!$B:$Q,3,0))</f>
        <v>8698829380698</v>
      </c>
      <c r="D69" s="42"/>
      <c r="E69" s="42" t="s">
        <v>432</v>
      </c>
      <c r="F69" s="42">
        <v>20260612</v>
      </c>
      <c r="G69" s="42"/>
      <c r="H69" s="42" t="str">
        <f>IF(B69="","",VLOOKUP(AD69,Varsayımlar!$B:$Q,5,0))</f>
        <v xml:space="preserve">Happylla 30cm </v>
      </c>
      <c r="I69" s="42"/>
      <c r="J69" s="42" t="str">
        <f>IF(B69="","",VLOOKUP(AD69,Varsayımlar!$B:$Q,6,0))</f>
        <v>SADE</v>
      </c>
      <c r="K69" s="42">
        <v>120</v>
      </c>
      <c r="L69" s="42"/>
      <c r="M69" s="42">
        <f>IFERROR(IF(B69="","",K69/VLOOKUP(AD69,Varsayımlar!B:R,17,0)),"")</f>
        <v>2</v>
      </c>
      <c r="N69" s="42">
        <v>60</v>
      </c>
      <c r="O69" s="42">
        <v>4</v>
      </c>
      <c r="P69" s="42">
        <f>IF(B69="","",VLOOKUP(AD69,Varsayımlar!$B:$Q,7,0)*K69)</f>
        <v>1440</v>
      </c>
      <c r="Q69" s="42">
        <f>IF(B69="","",VLOOKUP(AD69,Varsayımlar!$B:$Q,8,0))</f>
        <v>30</v>
      </c>
      <c r="R69" s="42" t="str">
        <f>IF(B69="","",VLOOKUP(AD69,Varsayımlar!$B:$Q,9,0))</f>
        <v>Standart</v>
      </c>
      <c r="S69" s="42">
        <f>IF(B69="","",VLOOKUP(AD69,Varsayımlar!$B:$Q,10,0))</f>
        <v>10</v>
      </c>
      <c r="T69" s="42">
        <f>IF(B69="","",VLOOKUP(AD69,Varsayımlar!$B:$Q,11,0))</f>
        <v>12</v>
      </c>
      <c r="U69" s="42">
        <f>IF(B69="","",VLOOKUP(AD69,Varsayımlar!$B:$Q,12,0))</f>
        <v>900</v>
      </c>
      <c r="V69" s="42" t="str">
        <f>IF(B69="","",VLOOKUP(AD69,Varsayımlar!$B:$Q,13,0))</f>
        <v>Yurtdışı</v>
      </c>
      <c r="W69" s="67">
        <f>IF(B69="","",VLOOKUP(AD69,Varsayımlar!$B:$Q,14,0))</f>
        <v>6</v>
      </c>
      <c r="X69" s="69">
        <v>46196</v>
      </c>
      <c r="Y69" s="69">
        <v>46379</v>
      </c>
      <c r="Z69" s="67">
        <v>26062330</v>
      </c>
      <c r="AA69" s="67" t="str">
        <f>IF(B69="","",VLOOKUP(AD69,Varsayımlar!$B:$Q,15,0))</f>
        <v>30cm kolisi</v>
      </c>
      <c r="AB69" s="67" t="str">
        <f>IF(B69="","",VLOOKUP(AD69,Varsayımlar!$B:$Q,16,0))</f>
        <v>29-31 cm</v>
      </c>
      <c r="AC69" s="67"/>
      <c r="AD69" s="57" t="str">
        <f t="shared" si="6"/>
        <v>Bağ TicaretHappylla 30cm Sade 10pcs 900g</v>
      </c>
    </row>
    <row r="70" spans="1:30" ht="47.25" x14ac:dyDescent="0.25">
      <c r="A70" s="8" t="s">
        <v>78</v>
      </c>
      <c r="B70" s="62" t="s">
        <v>409</v>
      </c>
      <c r="C70" s="32">
        <f>IF(B70="","",VLOOKUP(AD70,Varsayımlar!$B:$Q,3,0))</f>
        <v>8698829380698</v>
      </c>
      <c r="D70" s="32"/>
      <c r="E70" s="32" t="s">
        <v>410</v>
      </c>
      <c r="F70" s="62"/>
      <c r="G70" s="32"/>
      <c r="H70" s="62" t="str">
        <f>IF(B70="","",VLOOKUP(AD70,Varsayımlar!$B:$Q,5,0))</f>
        <v>Baskısız 30cm</v>
      </c>
      <c r="I70" s="62" t="str">
        <f>IF(B70="","",VLOOKUP(AD70,Varsayımlar!B:T,19,0))</f>
        <v>Donipa 30cm 18pcs 1710g etiketli</v>
      </c>
      <c r="J70" s="62" t="str">
        <f>IF(B70="","",VLOOKUP(AD70,Varsayımlar!$B:$Q,6,0))</f>
        <v>SADE</v>
      </c>
      <c r="K70" s="62">
        <v>100</v>
      </c>
      <c r="L70" s="62"/>
      <c r="M70" s="62" t="str">
        <f>IFERROR(IF(B70="","",K70/VLOOKUP(AD70,Varsayımlar!B:R,17,0)),"")</f>
        <v/>
      </c>
      <c r="N70" s="62"/>
      <c r="O70" s="62">
        <v>3</v>
      </c>
      <c r="P70" s="62">
        <f>IF(B70="","",VLOOKUP(AD70,Varsayımlar!$B:$Q,7,0)*K70)</f>
        <v>600</v>
      </c>
      <c r="Q70" s="62">
        <f>IF(B70="","",VLOOKUP(AD70,Varsayımlar!$B:$Q,8,0))</f>
        <v>30</v>
      </c>
      <c r="R70" s="62" t="str">
        <f>IF(B70="","",VLOOKUP(AD70,Varsayımlar!$B:$Q,9,0))</f>
        <v>Irak soft</v>
      </c>
      <c r="S70" s="62">
        <f>IF(B70="","",VLOOKUP(AD70,Varsayımlar!$B:$Q,10,0))</f>
        <v>18</v>
      </c>
      <c r="T70" s="62">
        <f>IF(B70="","",VLOOKUP(AD70,Varsayımlar!$B:$Q,11,0))</f>
        <v>6</v>
      </c>
      <c r="U70" s="62">
        <f>IF(B70="","",VLOOKUP(AD70,Varsayımlar!$B:$Q,12,0))</f>
        <v>1710</v>
      </c>
      <c r="V70" s="62" t="str">
        <f>IF(B70="","",VLOOKUP(AD70,Varsayımlar!$B:$Q,13,0))</f>
        <v>Yurtiçi</v>
      </c>
      <c r="W70" s="62">
        <f>IF(B70="","",VLOOKUP(AD70,Varsayımlar!$B:$Q,14,0))</f>
        <v>6</v>
      </c>
      <c r="X70" s="63" t="s">
        <v>113</v>
      </c>
      <c r="Y70" s="63" t="s">
        <v>113</v>
      </c>
      <c r="Z70" s="63" t="s">
        <v>113</v>
      </c>
      <c r="AA70" s="62" t="str">
        <f>IF(B70="","",VLOOKUP(AD70,Varsayımlar!$B:$Q,15,0))</f>
        <v>30cm koli-Etiketli</v>
      </c>
      <c r="AB70" s="62" t="str">
        <f>IF(B70="","",VLOOKUP(AD70,Varsayımlar!$B:$Q,16,0))</f>
        <v>29-31 cm</v>
      </c>
      <c r="AC70" s="62">
        <f>IF(B70="","",VLOOKUP(Sayfa1!AD13,Varsayımlar!B:S,18,0))</f>
        <v>0</v>
      </c>
      <c r="AD70" s="57" t="str">
        <f>IF(B70="","",CONCATENATE(B70,E70))</f>
        <v>DonipaDonipa 30cm 18pcs 1710g</v>
      </c>
    </row>
    <row r="71" spans="1:30" ht="45.75" customHeight="1" x14ac:dyDescent="0.25">
      <c r="A71" s="8" t="s">
        <v>79</v>
      </c>
      <c r="B71" s="130" t="s">
        <v>119</v>
      </c>
      <c r="C71" s="131">
        <f>IF(B71="","",VLOOKUP(AD71,Varsayımlar!$B:$Q,3,0))</f>
        <v>8698829380698</v>
      </c>
      <c r="D71" s="131"/>
      <c r="E71" s="132" t="s">
        <v>120</v>
      </c>
      <c r="F71" s="130"/>
      <c r="G71" s="130"/>
      <c r="H71" s="130" t="str">
        <f>IF(B71="","",VLOOKUP(AD71,Varsayımlar!$B:$Q,5,0))</f>
        <v>Nimet 25 cm</v>
      </c>
      <c r="I71" s="130"/>
      <c r="J71" s="130" t="str">
        <f>IF(B71="","",VLOOKUP(AD71,Varsayımlar!$B:$Q,6,0))</f>
        <v>SADE</v>
      </c>
      <c r="K71" s="130">
        <v>1500</v>
      </c>
      <c r="L71" s="130"/>
      <c r="M71" s="130">
        <f>IFERROR(IF(B71="","",K71/VLOOKUP(AD71,Varsayımlar!B:R,17,0)),"")</f>
        <v>30</v>
      </c>
      <c r="N71" s="130"/>
      <c r="O71" s="130">
        <v>30</v>
      </c>
      <c r="P71" s="130">
        <f>IF(B71="","",VLOOKUP(AD71,Varsayımlar!$B:$Q,7,0)*K71)</f>
        <v>18000</v>
      </c>
      <c r="Q71" s="130">
        <f>IF(B71="","",VLOOKUP(AD71,Varsayımlar!$B:$Q,8,0))</f>
        <v>25</v>
      </c>
      <c r="R71" s="130" t="str">
        <f>IF(B71="","",VLOOKUP(AD71,Varsayımlar!$B:$Q,9,0))</f>
        <v>Standart</v>
      </c>
      <c r="S71" s="130">
        <f>IF(B71="","",VLOOKUP(AD71,Varsayımlar!$B:$Q,10,0))</f>
        <v>12</v>
      </c>
      <c r="T71" s="130">
        <f>IF(B71="","",VLOOKUP(AD71,Varsayımlar!$B:$Q,11,0))</f>
        <v>12</v>
      </c>
      <c r="U71" s="130">
        <f>IF(B71="","",VLOOKUP(AD71,Varsayımlar!$B:$Q,12,0))</f>
        <v>840</v>
      </c>
      <c r="V71" s="130" t="str">
        <f>IF(B71="","",VLOOKUP(AD71,Varsayımlar!$B:$Q,13,0))</f>
        <v>YURTİÇİ</v>
      </c>
      <c r="W71" s="130">
        <f>IF(B71="","",VLOOKUP(AD71,Varsayımlar!$B:$Q,14,0))</f>
        <v>5</v>
      </c>
      <c r="X71" s="133" t="s">
        <v>113</v>
      </c>
      <c r="Y71" s="133" t="s">
        <v>113</v>
      </c>
      <c r="Z71" s="130" t="s">
        <v>113</v>
      </c>
      <c r="AA71" s="130" t="str">
        <f>IF(B71="","",VLOOKUP(AD71,Varsayımlar!$B:$Q,15,0))</f>
        <v>Nimet Kolisi</v>
      </c>
      <c r="AB71" s="130" t="str">
        <f>IF(B71="","",VLOOKUP(AD71,Varsayımlar!$B:$Q,16,0))</f>
        <v>24-26 CM</v>
      </c>
      <c r="AC71" s="64" t="s">
        <v>360</v>
      </c>
      <c r="AD71" s="57" t="str">
        <f t="shared" si="6"/>
        <v>A101Nimet 25cm 12 pcs 840g</v>
      </c>
    </row>
    <row r="72" spans="1:30" ht="45.75" customHeight="1" x14ac:dyDescent="0.25">
      <c r="A72" s="8"/>
      <c r="B72" s="190" t="s">
        <v>494</v>
      </c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2"/>
      <c r="AC72" s="64"/>
      <c r="AD72" s="57"/>
    </row>
    <row r="73" spans="1:30" ht="47.25" x14ac:dyDescent="0.25">
      <c r="A73" s="8" t="s">
        <v>80</v>
      </c>
      <c r="B73" s="67" t="s">
        <v>268</v>
      </c>
      <c r="C73" s="42">
        <f>IF(B73="","",VLOOKUP(AD73,Varsayımlar!$B:$Q,3,0))</f>
        <v>8698829380698</v>
      </c>
      <c r="D73" s="42" t="s">
        <v>159</v>
      </c>
      <c r="E73" s="42" t="s">
        <v>244</v>
      </c>
      <c r="F73" s="67">
        <v>20250825</v>
      </c>
      <c r="G73" s="42" t="s">
        <v>68</v>
      </c>
      <c r="H73" s="67" t="str">
        <f>IF(B73="","",VLOOKUP(AD73,Varsayımlar!$B:$Q,5,0))</f>
        <v xml:space="preserve">Tortillas Pizza 26cm </v>
      </c>
      <c r="I73" s="67">
        <f>IF(B73="","",VLOOKUP(AD73,Varsayımlar!B:T,19,0))</f>
        <v>0</v>
      </c>
      <c r="J73" s="67" t="str">
        <f>IF(B73="","",VLOOKUP(AD73,Varsayımlar!$B:$Q,6,0))</f>
        <v>SADE</v>
      </c>
      <c r="K73" s="67">
        <v>960</v>
      </c>
      <c r="L73" s="67"/>
      <c r="M73" s="67">
        <f>IFERROR(IF(B73="","",K73/VLOOKUP(AD73,Varsayımlar!B:R,17,0)),"")</f>
        <v>5</v>
      </c>
      <c r="N73" s="67"/>
      <c r="O73" s="67">
        <v>11</v>
      </c>
      <c r="P73" s="67">
        <f>IF(B73="","",VLOOKUP(AD73,Varsayımlar!$B:$Q,7,0)*K73)</f>
        <v>11520</v>
      </c>
      <c r="Q73" s="67">
        <f>IF(B73="","",VLOOKUP(AD73,Varsayımlar!$B:$Q,8,0))</f>
        <v>26</v>
      </c>
      <c r="R73" s="67" t="str">
        <f>IF(B73="","",VLOOKUP(AD73,Varsayımlar!$B:$Q,9,0))</f>
        <v>Soft-PA3</v>
      </c>
      <c r="S73" s="67">
        <f>IF(B73="","",VLOOKUP(AD73,Varsayımlar!$B:$Q,10,0))</f>
        <v>2</v>
      </c>
      <c r="T73" s="67">
        <f>IF(B73="","",VLOOKUP(AD73,Varsayımlar!$B:$Q,11,0))</f>
        <v>12</v>
      </c>
      <c r="U73" s="67">
        <f>IF(B73="","",VLOOKUP(AD73,Varsayımlar!$B:$Q,12,0))</f>
        <v>240</v>
      </c>
      <c r="V73" s="67" t="str">
        <f>IF(B73="","",VLOOKUP(AD73,Varsayımlar!$B:$Q,13,0))</f>
        <v>Yurtdışı</v>
      </c>
      <c r="W73" s="67">
        <f>IF(B73="","",VLOOKUP(AD73,Varsayımlar!$B:$Q,14,0))</f>
        <v>9</v>
      </c>
      <c r="X73" s="69">
        <v>46199</v>
      </c>
      <c r="Y73" s="69">
        <v>46472</v>
      </c>
      <c r="Z73" s="67">
        <v>26062626</v>
      </c>
      <c r="AA73" s="67" t="str">
        <f>IF(B73="","",VLOOKUP(AD73,Varsayımlar!$B:$Q,15,0))</f>
        <v>26 cm pizza kolisi-Etiketli</v>
      </c>
      <c r="AB73" s="67" t="str">
        <f>IF(B73="","",VLOOKUP(AD73,Varsayımlar!$B:$Q,16,0))</f>
        <v>24-26 cm (Macca Hetto Inkjet Uzun Tarih)</v>
      </c>
      <c r="AC73" s="67" t="e">
        <f>IF(B73="","",VLOOKUP(Sayfa1!AD83,Varsayımlar!B:S,18,0))</f>
        <v>#N/A</v>
      </c>
      <c r="AD73" s="57" t="str">
        <f t="shared" si="6"/>
        <v>LAIKYUZHN-BELARUSTortillas Pizza 26cm 4pcs 480g</v>
      </c>
    </row>
    <row r="74" spans="1:30" ht="94.5" x14ac:dyDescent="0.25">
      <c r="A74" s="8" t="s">
        <v>81</v>
      </c>
      <c r="B74" s="62" t="s">
        <v>181</v>
      </c>
      <c r="C74" s="32">
        <f>IF(B74="","",VLOOKUP(AD74,Varsayımlar!$B:$Q,3,0))</f>
        <v>8698829380698</v>
      </c>
      <c r="D74" s="32"/>
      <c r="E74" s="62" t="s">
        <v>206</v>
      </c>
      <c r="F74" s="62">
        <v>26060101</v>
      </c>
      <c r="G74" s="32"/>
      <c r="H74" s="62" t="str">
        <f>IF(B74="","",VLOOKUP(AD74,Varsayımlar!$B:$Q,5,0))</f>
        <v>Pizza-6 26 cm</v>
      </c>
      <c r="I74" s="62" t="str">
        <f>IF(B74="","",VLOOKUP(AD74,Varsayımlar!B:T,19,0))</f>
        <v>Arka kısma Arnavutça içerik-Pizza 6</v>
      </c>
      <c r="J74" s="62" t="str">
        <f>IF(B74="","",VLOOKUP(AD74,Varsayımlar!$B:$Q,6,0))</f>
        <v>SADE</v>
      </c>
      <c r="K74" s="62">
        <v>120</v>
      </c>
      <c r="L74" s="62"/>
      <c r="M74" s="62">
        <f>IFERROR(IF(B74="","",K74/VLOOKUP(AD74,Varsayımlar!B:R,17,0)),"")</f>
        <v>1</v>
      </c>
      <c r="N74" s="62"/>
      <c r="O74" s="62">
        <v>2</v>
      </c>
      <c r="P74" s="62">
        <f>IF(B74="","",VLOOKUP(AD74,Varsayımlar!$B:$Q,7,0)*K74)</f>
        <v>720</v>
      </c>
      <c r="Q74" s="62">
        <f>IF(B74="","",VLOOKUP(AD74,Varsayımlar!$B:$Q,8,0))</f>
        <v>26</v>
      </c>
      <c r="R74" s="62" t="str">
        <f>IF(B74="","",VLOOKUP(AD74,Varsayımlar!$B:$Q,9,0))</f>
        <v>Irak Soft</v>
      </c>
      <c r="S74" s="62">
        <f>IF(B74="","",VLOOKUP(AD74,Varsayımlar!$B:$Q,10,0))</f>
        <v>4</v>
      </c>
      <c r="T74" s="62">
        <f>IF(B74="","",VLOOKUP(AD74,Varsayımlar!$B:$Q,11,0))</f>
        <v>6</v>
      </c>
      <c r="U74" s="62">
        <f>IF(B74="","",VLOOKUP(AD74,Varsayımlar!$B:$Q,12,0))</f>
        <v>480</v>
      </c>
      <c r="V74" s="62" t="str">
        <f>IF(B74="","",VLOOKUP(AD74,Varsayımlar!$B:$Q,13,0))</f>
        <v>YURTDIŞI</v>
      </c>
      <c r="W74" s="62">
        <f>IF(B74="","",VLOOKUP(AD74,Varsayımlar!$B:$Q,14,0))</f>
        <v>12</v>
      </c>
      <c r="X74" s="63">
        <v>46200</v>
      </c>
      <c r="Y74" s="63">
        <v>46565</v>
      </c>
      <c r="Z74" s="62">
        <v>26062726</v>
      </c>
      <c r="AA74" s="62" t="str">
        <f>IF(B74="","",VLOOKUP(AD74,Varsayımlar!$B:$Q,15,0))</f>
        <v>Pizza kolisi</v>
      </c>
      <c r="AB74" s="62" t="str">
        <f>IF(B74="","",VLOOKUP(AD74,Varsayımlar!$B:$Q,16,0))</f>
        <v>26 cm kesme -Beze 145-150g, Kesilmmeiş çap 27-28cm, Kesilmemiş ağı: 520-540g, Kesilmiş:475-485g</v>
      </c>
      <c r="AC74" s="62">
        <f>IF(B74="","",VLOOKUP(Sayfa1!AD84,Varsayımlar!B:S,18,0))</f>
        <v>0</v>
      </c>
      <c r="AD74" s="57" t="str">
        <f t="shared" si="6"/>
        <v>ALDİ - KOSOVAPizza-6 26cm 4pcs 480g</v>
      </c>
    </row>
    <row r="75" spans="1:30" ht="45.75" customHeight="1" x14ac:dyDescent="0.25">
      <c r="A75" s="8" t="s">
        <v>82</v>
      </c>
      <c r="B75" s="130" t="s">
        <v>119</v>
      </c>
      <c r="C75" s="131">
        <f>IF(B75="","",VLOOKUP(AD75,Varsayımlar!$B:$Q,3,0))</f>
        <v>8698829380698</v>
      </c>
      <c r="D75" s="131"/>
      <c r="E75" s="132" t="s">
        <v>120</v>
      </c>
      <c r="F75" s="130"/>
      <c r="G75" s="130"/>
      <c r="H75" s="130" t="str">
        <f>IF(B75="","",VLOOKUP(AD75,Varsayımlar!$B:$Q,5,0))</f>
        <v>Nimet 25 cm</v>
      </c>
      <c r="I75" s="130"/>
      <c r="J75" s="130" t="str">
        <f>IF(B75="","",VLOOKUP(AD75,Varsayımlar!$B:$Q,6,0))</f>
        <v>SADE</v>
      </c>
      <c r="K75" s="130">
        <v>1500</v>
      </c>
      <c r="L75" s="130"/>
      <c r="M75" s="130">
        <f>IFERROR(IF(B75="","",K75/VLOOKUP(AD75,Varsayımlar!B:R,17,0)),"")</f>
        <v>30</v>
      </c>
      <c r="N75" s="130"/>
      <c r="O75" s="130">
        <v>30</v>
      </c>
      <c r="P75" s="130">
        <f>IF(B75="","",VLOOKUP(AD75,Varsayımlar!$B:$Q,7,0)*K75)</f>
        <v>18000</v>
      </c>
      <c r="Q75" s="130">
        <f>IF(B75="","",VLOOKUP(AD75,Varsayımlar!$B:$Q,8,0))</f>
        <v>25</v>
      </c>
      <c r="R75" s="130" t="str">
        <f>IF(B75="","",VLOOKUP(AD75,Varsayımlar!$B:$Q,9,0))</f>
        <v>Standart</v>
      </c>
      <c r="S75" s="130">
        <f>IF(B75="","",VLOOKUP(AD75,Varsayımlar!$B:$Q,10,0))</f>
        <v>12</v>
      </c>
      <c r="T75" s="130">
        <f>IF(B75="","",VLOOKUP(AD75,Varsayımlar!$B:$Q,11,0))</f>
        <v>12</v>
      </c>
      <c r="U75" s="130">
        <f>IF(B75="","",VLOOKUP(AD75,Varsayımlar!$B:$Q,12,0))</f>
        <v>840</v>
      </c>
      <c r="V75" s="130" t="str">
        <f>IF(B75="","",VLOOKUP(AD75,Varsayımlar!$B:$Q,13,0))</f>
        <v>YURTİÇİ</v>
      </c>
      <c r="W75" s="130">
        <f>IF(B75="","",VLOOKUP(AD75,Varsayımlar!$B:$Q,14,0))</f>
        <v>5</v>
      </c>
      <c r="X75" s="133" t="s">
        <v>113</v>
      </c>
      <c r="Y75" s="133" t="s">
        <v>113</v>
      </c>
      <c r="Z75" s="130" t="s">
        <v>113</v>
      </c>
      <c r="AA75" s="130" t="str">
        <f>IF(B75="","",VLOOKUP(AD75,Varsayımlar!$B:$Q,15,0))</f>
        <v>Nimet Kolisi</v>
      </c>
      <c r="AB75" s="130" t="str">
        <f>IF(B75="","",VLOOKUP(AD75,Varsayımlar!$B:$Q,16,0))</f>
        <v>24-26 CM</v>
      </c>
      <c r="AC75" s="64" t="s">
        <v>360</v>
      </c>
      <c r="AD75" s="57" t="str">
        <f t="shared" si="6"/>
        <v>A101Nimet 25cm 12 pcs 840g</v>
      </c>
    </row>
    <row r="76" spans="1:30" ht="94.5" x14ac:dyDescent="0.25">
      <c r="A76" s="8" t="s">
        <v>83</v>
      </c>
      <c r="B76" s="80" t="s">
        <v>218</v>
      </c>
      <c r="C76" s="44">
        <f>IF(B76="","",VLOOKUP(AD76,Varsayımlar!$B:$Q,3,0))</f>
        <v>8698829380698</v>
      </c>
      <c r="D76" s="44" t="s">
        <v>160</v>
      </c>
      <c r="E76" s="80" t="s">
        <v>244</v>
      </c>
      <c r="F76" s="80">
        <v>26042907</v>
      </c>
      <c r="G76" s="44"/>
      <c r="H76" s="80" t="str">
        <f>IF(B76="","",VLOOKUP(AD76,Varsayımlar!$B:$Q,5,0))</f>
        <v>Tortillas Avrupa Pizza 26cm (742)</v>
      </c>
      <c r="I76" s="80">
        <f>IF(B76="","",VLOOKUP(AD76,Varsayımlar!B:T,19,0))</f>
        <v>0</v>
      </c>
      <c r="J76" s="80" t="str">
        <f>IF(B76="","",VLOOKUP(AD76,Varsayımlar!$B:$Q,6,0))</f>
        <v>SADE</v>
      </c>
      <c r="K76" s="80">
        <v>720</v>
      </c>
      <c r="L76" s="80"/>
      <c r="M76" s="80">
        <f>IFERROR(IF(B76="","",K76/VLOOKUP(AD76,Varsayımlar!B:R,17,0)),"")</f>
        <v>6</v>
      </c>
      <c r="N76" s="80"/>
      <c r="O76" s="80">
        <v>9</v>
      </c>
      <c r="P76" s="80">
        <f>IF(B76="","",VLOOKUP(AD76,Varsayımlar!$B:$Q,7,0)*K76)</f>
        <v>5760</v>
      </c>
      <c r="Q76" s="80">
        <f>IF(B76="","",VLOOKUP(AD76,Varsayımlar!$B:$Q,8,0))</f>
        <v>26</v>
      </c>
      <c r="R76" s="80" t="str">
        <f>IF(B76="","",VLOOKUP(AD76,Varsayımlar!$B:$Q,9,0))</f>
        <v>Irak Soft</v>
      </c>
      <c r="S76" s="80">
        <f>IF(B76="","",VLOOKUP(AD76,Varsayımlar!$B:$Q,10,0))</f>
        <v>4</v>
      </c>
      <c r="T76" s="80">
        <f>IF(B76="","",VLOOKUP(AD76,Varsayımlar!$B:$Q,11,0))</f>
        <v>8</v>
      </c>
      <c r="U76" s="80">
        <f>IF(B76="","",VLOOKUP(AD76,Varsayımlar!$B:$Q,12,0))</f>
        <v>480</v>
      </c>
      <c r="V76" s="80" t="str">
        <f>IF(B76="","",VLOOKUP(AD76,Varsayımlar!$B:$Q,13,0))</f>
        <v>Yurtdışı</v>
      </c>
      <c r="W76" s="80">
        <f>IF(B76="","",VLOOKUP(AD76,Varsayımlar!$B:$Q,14,0))</f>
        <v>9</v>
      </c>
      <c r="X76" s="81">
        <v>46203</v>
      </c>
      <c r="Y76" s="81">
        <v>46476</v>
      </c>
      <c r="Z76" s="80">
        <v>26063026</v>
      </c>
      <c r="AA76" s="80" t="str">
        <f>IF(B76="","",VLOOKUP(AD76,Varsayımlar!$B:$Q,15,0))</f>
        <v>26cm Pizza Perforeli-Bulgarca Etiket</v>
      </c>
      <c r="AB76" s="80" t="str">
        <f>IF(B76="","",VLOOKUP(AD76,Varsayımlar!$B:$Q,16,0))</f>
        <v>26 cm kesme -Beze 145-150g, Kesilmmeiş çap 27-28cm, Kesilmemiş ağı: 520-540g, Kesilmiş:475-485g</v>
      </c>
      <c r="AC76" s="80" t="str">
        <f>IF(B76="","",VLOOKUP(Sayfa1!AD80,Varsayımlar!B:S,18,0))</f>
        <v>80x120cm -Epal+Epal</v>
      </c>
      <c r="AD76" s="57" t="str">
        <f t="shared" ref="AD76:AD85" si="7">IF(B76="","",CONCATENATE(B76,E76))</f>
        <v>TASTE LAND-BULGARİSTANTortillas Pizza 26cm 4pcs 480g</v>
      </c>
    </row>
    <row r="77" spans="1:30" ht="47.25" x14ac:dyDescent="0.25">
      <c r="A77" s="8" t="s">
        <v>84</v>
      </c>
      <c r="B77" s="54" t="s">
        <v>268</v>
      </c>
      <c r="C77" s="39">
        <f>IF(B77="","",VLOOKUP(AD77,Varsayımlar!$B:$Q,3,0))</f>
        <v>8698829380698</v>
      </c>
      <c r="D77" s="39" t="s">
        <v>160</v>
      </c>
      <c r="E77" s="39" t="s">
        <v>244</v>
      </c>
      <c r="F77" s="54" t="s">
        <v>343</v>
      </c>
      <c r="G77" s="39" t="s">
        <v>68</v>
      </c>
      <c r="H77" s="54" t="str">
        <f>IF(B77="","",VLOOKUP(AD77,Varsayımlar!$B:$Q,5,0))</f>
        <v xml:space="preserve">Tortillas Pizza 26cm </v>
      </c>
      <c r="I77" s="54">
        <f>IF(B77="","",VLOOKUP(AD77,Varsayımlar!B:T,19,0))</f>
        <v>0</v>
      </c>
      <c r="J77" s="54" t="str">
        <f>IF(B77="","",VLOOKUP(AD77,Varsayımlar!$B:$Q,6,0))</f>
        <v>SADE</v>
      </c>
      <c r="K77" s="54">
        <v>768</v>
      </c>
      <c r="L77" s="54"/>
      <c r="M77" s="54">
        <f>IFERROR(IF(B77="","",K77/VLOOKUP(AD77,Varsayımlar!B:R,17,0)),"")</f>
        <v>4</v>
      </c>
      <c r="N77" s="54"/>
      <c r="O77" s="54">
        <v>9</v>
      </c>
      <c r="P77" s="54">
        <f>IF(B77="","",VLOOKUP(AD77,Varsayımlar!$B:$Q,7,0)*K77)</f>
        <v>9216</v>
      </c>
      <c r="Q77" s="54">
        <f>IF(B77="","",VLOOKUP(AD77,Varsayımlar!$B:$Q,8,0))</f>
        <v>26</v>
      </c>
      <c r="R77" s="54" t="str">
        <f>IF(B77="","",VLOOKUP(AD77,Varsayımlar!$B:$Q,9,0))</f>
        <v>Soft-PA3</v>
      </c>
      <c r="S77" s="54">
        <f>IF(B77="","",VLOOKUP(AD77,Varsayımlar!$B:$Q,10,0))</f>
        <v>2</v>
      </c>
      <c r="T77" s="54">
        <f>IF(B77="","",VLOOKUP(AD77,Varsayımlar!$B:$Q,11,0))</f>
        <v>12</v>
      </c>
      <c r="U77" s="54">
        <f>IF(B77="","",VLOOKUP(AD77,Varsayımlar!$B:$Q,12,0))</f>
        <v>240</v>
      </c>
      <c r="V77" s="54" t="str">
        <f>IF(B77="","",VLOOKUP(AD77,Varsayımlar!$B:$Q,13,0))</f>
        <v>Yurtdışı</v>
      </c>
      <c r="W77" s="54">
        <f>IF(B77="","",VLOOKUP(AD77,Varsayımlar!$B:$Q,14,0))</f>
        <v>9</v>
      </c>
      <c r="X77" s="56">
        <v>46205</v>
      </c>
      <c r="Y77" s="56">
        <v>46479</v>
      </c>
      <c r="Z77" s="54">
        <v>26070226</v>
      </c>
      <c r="AA77" s="54" t="str">
        <f>IF(B77="","",VLOOKUP(AD77,Varsayımlar!$B:$Q,15,0))</f>
        <v>26 cm pizza kolisi-Etiketli</v>
      </c>
      <c r="AB77" s="54" t="str">
        <f>IF(B77="","",VLOOKUP(AD77,Varsayımlar!$B:$Q,16,0))</f>
        <v>24-26 cm (Macca Hetto Inkjet Uzun Tarih)</v>
      </c>
      <c r="AC77" s="54" t="e">
        <f>IF(B77="","",VLOOKUP(Sayfa1!AD83,Varsayımlar!B:S,18,0))</f>
        <v>#N/A</v>
      </c>
      <c r="AD77" s="57" t="str">
        <f>IF(B77="","",CONCATENATE(B77,E77))</f>
        <v>LAIKYUZHN-BELARUSTortillas Pizza 26cm 4pcs 480g</v>
      </c>
    </row>
    <row r="78" spans="1:30" ht="26.25" customHeight="1" x14ac:dyDescent="0.25">
      <c r="A78" s="8" t="s">
        <v>85</v>
      </c>
      <c r="B78" s="67" t="s">
        <v>119</v>
      </c>
      <c r="C78" s="42">
        <v>8698829380698</v>
      </c>
      <c r="D78" s="42"/>
      <c r="E78" s="42" t="s">
        <v>120</v>
      </c>
      <c r="F78" s="67"/>
      <c r="G78" s="42"/>
      <c r="H78" s="67" t="s">
        <v>121</v>
      </c>
      <c r="I78" s="67">
        <v>0</v>
      </c>
      <c r="J78" s="67" t="s">
        <v>19</v>
      </c>
      <c r="K78" s="67">
        <v>2000</v>
      </c>
      <c r="L78" s="67"/>
      <c r="M78" s="67">
        <v>80</v>
      </c>
      <c r="N78" s="67">
        <v>50</v>
      </c>
      <c r="O78" s="67">
        <v>54</v>
      </c>
      <c r="P78" s="67">
        <v>48000</v>
      </c>
      <c r="Q78" s="67">
        <v>25</v>
      </c>
      <c r="R78" s="67" t="s">
        <v>116</v>
      </c>
      <c r="S78" s="67">
        <v>12</v>
      </c>
      <c r="T78" s="67">
        <v>12</v>
      </c>
      <c r="U78" s="67">
        <v>840</v>
      </c>
      <c r="V78" s="67" t="s">
        <v>72</v>
      </c>
      <c r="W78" s="67">
        <v>5</v>
      </c>
      <c r="X78" s="69" t="s">
        <v>113</v>
      </c>
      <c r="Y78" s="69" t="s">
        <v>113</v>
      </c>
      <c r="Z78" s="67" t="s">
        <v>113</v>
      </c>
      <c r="AA78" s="67" t="s">
        <v>122</v>
      </c>
      <c r="AB78" s="67" t="s">
        <v>25</v>
      </c>
      <c r="AC78" s="67">
        <v>0</v>
      </c>
      <c r="AD78" s="57" t="s">
        <v>387</v>
      </c>
    </row>
    <row r="79" spans="1:30" ht="94.5" x14ac:dyDescent="0.25">
      <c r="A79" s="8" t="s">
        <v>86</v>
      </c>
      <c r="B79" s="75" t="s">
        <v>218</v>
      </c>
      <c r="C79" s="43">
        <f>IF(B79="","",VLOOKUP(AD79,Varsayımlar!$B:$Q,3,0))</f>
        <v>8698829380698</v>
      </c>
      <c r="D79" s="43" t="s">
        <v>161</v>
      </c>
      <c r="E79" s="75" t="s">
        <v>244</v>
      </c>
      <c r="F79" s="75" t="s">
        <v>341</v>
      </c>
      <c r="G79" s="43"/>
      <c r="H79" s="75" t="str">
        <f>IF(B79="","",VLOOKUP(AD79,Varsayımlar!$B:$Q,5,0))</f>
        <v>Tortillas Avrupa Pizza 26cm (742)</v>
      </c>
      <c r="I79" s="75">
        <f>IF(B79="","",VLOOKUP(AD79,Varsayımlar!B:T,19,0))</f>
        <v>0</v>
      </c>
      <c r="J79" s="75" t="str">
        <f>IF(B79="","",VLOOKUP(AD79,Varsayımlar!$B:$Q,6,0))</f>
        <v>SADE</v>
      </c>
      <c r="K79" s="75">
        <v>840</v>
      </c>
      <c r="L79" s="75"/>
      <c r="M79" s="75">
        <f>IFERROR(IF(B79="","",K79/VLOOKUP(AD79,Varsayımlar!B:R,17,0)),"")</f>
        <v>7</v>
      </c>
      <c r="N79" s="75"/>
      <c r="O79" s="75">
        <v>11</v>
      </c>
      <c r="P79" s="75">
        <f>IF(B79="","",VLOOKUP(AD79,Varsayımlar!$B:$Q,7,0)*K79)</f>
        <v>6720</v>
      </c>
      <c r="Q79" s="75">
        <f>IF(B79="","",VLOOKUP(AD79,Varsayımlar!$B:$Q,8,0))</f>
        <v>26</v>
      </c>
      <c r="R79" s="75" t="str">
        <f>IF(B79="","",VLOOKUP(AD79,Varsayımlar!$B:$Q,9,0))</f>
        <v>Irak Soft</v>
      </c>
      <c r="S79" s="75">
        <f>IF(B79="","",VLOOKUP(AD79,Varsayımlar!$B:$Q,10,0))</f>
        <v>4</v>
      </c>
      <c r="T79" s="75">
        <f>IF(B79="","",VLOOKUP(AD79,Varsayımlar!$B:$Q,11,0))</f>
        <v>8</v>
      </c>
      <c r="U79" s="75">
        <f>IF(B79="","",VLOOKUP(AD79,Varsayımlar!$B:$Q,12,0))</f>
        <v>480</v>
      </c>
      <c r="V79" s="75" t="str">
        <f>IF(B79="","",VLOOKUP(AD79,Varsayımlar!$B:$Q,13,0))</f>
        <v>Yurtdışı</v>
      </c>
      <c r="W79" s="75">
        <f>IF(B79="","",VLOOKUP(AD79,Varsayımlar!$B:$Q,14,0))</f>
        <v>9</v>
      </c>
      <c r="X79" s="76">
        <v>46213</v>
      </c>
      <c r="Y79" s="76">
        <v>46487</v>
      </c>
      <c r="Z79" s="75">
        <v>26071026</v>
      </c>
      <c r="AA79" s="75" t="str">
        <f>IF(B79="","",VLOOKUP(AD79,Varsayımlar!$B:$Q,15,0))</f>
        <v>26cm Pizza Perforeli-Bulgarca Etiket</v>
      </c>
      <c r="AB79" s="75" t="str">
        <f>IF(B79="","",VLOOKUP(AD79,Varsayımlar!$B:$Q,16,0))</f>
        <v>26 cm kesme -Beze 145-150g, Kesilmmeiş çap 27-28cm, Kesilmemiş ağı: 520-540g, Kesilmiş:475-485g</v>
      </c>
      <c r="AC79" s="75" t="str">
        <f>IF(B79="","",VLOOKUP(Sayfa1!AD81,Varsayımlar!B:S,18,0))</f>
        <v>80x120cm -Epal+Epal</v>
      </c>
      <c r="AD79" s="57" t="str">
        <f t="shared" si="7"/>
        <v>TASTE LAND-BULGARİSTANTortillas Pizza 26cm 4pcs 480g</v>
      </c>
    </row>
    <row r="80" spans="1:30" x14ac:dyDescent="0.25">
      <c r="A80" s="8" t="s">
        <v>87</v>
      </c>
      <c r="B80" s="67" t="s">
        <v>460</v>
      </c>
      <c r="C80" s="42">
        <f>IF(B80="","",VLOOKUP(AD80,Varsayımlar!$B:$Q,3,0))</f>
        <v>8698829380698</v>
      </c>
      <c r="D80" s="67" t="s">
        <v>160</v>
      </c>
      <c r="E80" s="67" t="s">
        <v>461</v>
      </c>
      <c r="F80" s="67">
        <v>20260414</v>
      </c>
      <c r="G80" s="67"/>
      <c r="H80" s="67" t="str">
        <f>IF(B80="","",VLOOKUP(AD80,Varsayımlar!$B:$Q,5,0))</f>
        <v xml:space="preserve">Tortillove 15cm </v>
      </c>
      <c r="I80" s="67">
        <f>IF(B80="","",VLOOKUP(AD80,Varsayımlar!B:T,19,0))</f>
        <v>0</v>
      </c>
      <c r="J80" s="67" t="str">
        <f>IF(B80="","",VLOOKUP(AD80,Varsayımlar!$B:$Q,6,0))</f>
        <v>SADE</v>
      </c>
      <c r="K80" s="67">
        <v>300</v>
      </c>
      <c r="L80" s="67"/>
      <c r="M80" s="67">
        <f>IFERROR(IF(B80="","",K80/VLOOKUP(AD80,Varsayımlar!B:R,17,0)),"")</f>
        <v>3</v>
      </c>
      <c r="N80" s="67"/>
      <c r="O80" s="67">
        <v>9</v>
      </c>
      <c r="P80" s="67">
        <f>IF(B80="","",VLOOKUP(AD80,Varsayımlar!$B:$Q,7,0)*K80)</f>
        <v>3600</v>
      </c>
      <c r="Q80" s="67">
        <f>IF(B80="","",VLOOKUP(AD80,Varsayımlar!$B:$Q,8,0))</f>
        <v>15</v>
      </c>
      <c r="R80" s="67" t="str">
        <f>IF(B80="","",VLOOKUP(AD80,Varsayımlar!$B:$Q,9,0))</f>
        <v>Irak Soft</v>
      </c>
      <c r="S80" s="67">
        <f>IF(B80="","",VLOOKUP(AD80,Varsayımlar!$B:$Q,10,0))</f>
        <v>10</v>
      </c>
      <c r="T80" s="67">
        <f>IF(B80="","",VLOOKUP(AD80,Varsayımlar!$B:$Q,11,0))</f>
        <v>12</v>
      </c>
      <c r="U80" s="67">
        <f>IF(B80="","",VLOOKUP(AD80,Varsayımlar!$B:$Q,12,0))</f>
        <v>250</v>
      </c>
      <c r="V80" s="67" t="str">
        <f>IF(B80="","",VLOOKUP(AD80,Varsayımlar!$B:$Q,13,0))</f>
        <v>Yurtdışı</v>
      </c>
      <c r="W80" s="67">
        <f>IF(B80="","",VLOOKUP(AD80,Varsayımlar!$B:$Q,14,0))</f>
        <v>6</v>
      </c>
      <c r="X80" s="69">
        <v>46216</v>
      </c>
      <c r="Y80" s="69">
        <v>46400</v>
      </c>
      <c r="Z80" s="67">
        <v>26071315</v>
      </c>
      <c r="AA80" s="67" t="str">
        <f>IF(B80="","",VLOOKUP(AD80,Varsayımlar!$B:$Q,15,0))</f>
        <v>15cm koli</v>
      </c>
      <c r="AB80" s="67" t="str">
        <f>IF(B80="","",VLOOKUP(AD80,Varsayımlar!$B:$Q,16,0))</f>
        <v>14-16 cm</v>
      </c>
      <c r="AC80" s="80">
        <f>IF(B80="","",VLOOKUP(Sayfa1!AD85,Varsayımlar!B:S,18,0))</f>
        <v>0</v>
      </c>
      <c r="AD80" s="57" t="str">
        <f t="shared" si="7"/>
        <v>Yüksekbaş GıdaYüksekbaş 15cm 10 pcs 250g</v>
      </c>
    </row>
    <row r="81" spans="1:30" x14ac:dyDescent="0.25">
      <c r="A81" s="8" t="s">
        <v>88</v>
      </c>
      <c r="B81" s="54" t="s">
        <v>346</v>
      </c>
      <c r="C81" s="39" t="e">
        <f>IF(B81="","",VLOOKUP(AD81,#REF!,3,0))</f>
        <v>#REF!</v>
      </c>
      <c r="D81" s="39">
        <v>49</v>
      </c>
      <c r="E81" s="55" t="s">
        <v>325</v>
      </c>
      <c r="F81" s="54"/>
      <c r="G81" s="54"/>
      <c r="H81" s="54" t="e">
        <f>IF(B81="","",VLOOKUP(AD81,#REF!,5,0))</f>
        <v>#REF!</v>
      </c>
      <c r="I81" s="54" t="e">
        <f>IF(B81="","",VLOOKUP(AD81,#REF!,19,0))</f>
        <v>#REF!</v>
      </c>
      <c r="J81" s="54" t="e">
        <f>IF(B81="","",VLOOKUP(AD81,#REF!,6,0))</f>
        <v>#REF!</v>
      </c>
      <c r="K81" s="54">
        <v>1248</v>
      </c>
      <c r="L81" s="54"/>
      <c r="M81" s="54"/>
      <c r="N81" s="54"/>
      <c r="O81" s="54">
        <v>35</v>
      </c>
      <c r="P81" s="54" t="e">
        <f>IF(B81="","",VLOOKUP(AD81,#REF!,7,0)*K81)</f>
        <v>#REF!</v>
      </c>
      <c r="Q81" s="54" t="e">
        <f>IF(B81="","",VLOOKUP(AD81,#REF!,8,0))</f>
        <v>#REF!</v>
      </c>
      <c r="R81" s="54" t="e">
        <f>IF(B81="","",VLOOKUP(AD81,#REF!,9,0))</f>
        <v>#REF!</v>
      </c>
      <c r="S81" s="54" t="e">
        <f>IF(B81="","",VLOOKUP(AD81,#REF!,10,0))</f>
        <v>#REF!</v>
      </c>
      <c r="T81" s="54" t="e">
        <f>IF(B81="","",VLOOKUP(AD81,#REF!,11,0))</f>
        <v>#REF!</v>
      </c>
      <c r="U81" s="54" t="e">
        <f>IF(B81="","",VLOOKUP(AD81,#REF!,12,0))</f>
        <v>#REF!</v>
      </c>
      <c r="V81" s="54" t="e">
        <f>IF(B81="","",VLOOKUP(AD81,#REF!,13,0))</f>
        <v>#REF!</v>
      </c>
      <c r="W81" s="54" t="e">
        <f>IF(B81="","",VLOOKUP(AD81,#REF!,14,0))</f>
        <v>#REF!</v>
      </c>
      <c r="X81" s="54"/>
      <c r="Y81" s="54"/>
      <c r="Z81" s="54"/>
      <c r="AA81" s="54" t="e">
        <f>IF(B81="","",VLOOKUP(AD81,#REF!,15,0))</f>
        <v>#REF!</v>
      </c>
      <c r="AB81" s="54" t="e">
        <f>IF(B81="","",VLOOKUP(AD81,#REF!,16,0))</f>
        <v>#REF!</v>
      </c>
      <c r="AC81" s="8" t="e">
        <f>IF(B81="","",VLOOKUP(#REF!,#REF!,18,0))</f>
        <v>#REF!</v>
      </c>
      <c r="AD81" s="8" t="str">
        <f>IF(B81="","",CONCATENATE(B81,E81))</f>
        <v>GermesHanami Germes Tako 15cm 6pcs 150g</v>
      </c>
    </row>
    <row r="82" spans="1:30" x14ac:dyDescent="0.25">
      <c r="A82" s="8" t="s">
        <v>89</v>
      </c>
      <c r="B82" s="8"/>
      <c r="C82" s="9" t="str">
        <f>IF(B82="","",VLOOKUP(AD82,#REF!,3,0))</f>
        <v/>
      </c>
      <c r="D82" s="9"/>
      <c r="E82" s="9"/>
      <c r="F82" s="8"/>
      <c r="G82" s="8"/>
      <c r="H82" s="8" t="str">
        <f>IF(B82="","",VLOOKUP(AD82,#REF!,5,0))</f>
        <v/>
      </c>
      <c r="I82" s="8" t="str">
        <f>IF(B82="","",VLOOKUP(AD82,#REF!,19,0))</f>
        <v/>
      </c>
      <c r="J82" s="8" t="str">
        <f>IF(B82="","",VLOOKUP(AD82,#REF!,6,0))</f>
        <v/>
      </c>
      <c r="K82" s="8"/>
      <c r="L82" s="8"/>
      <c r="M82" s="8"/>
      <c r="N82" s="8"/>
      <c r="O82" s="8"/>
      <c r="P82" s="8" t="str">
        <f>IF(B82="","",VLOOKUP(AD82,#REF!,7,0)*K82)</f>
        <v/>
      </c>
      <c r="Q82" s="8" t="str">
        <f>IF(B82="","",VLOOKUP(AD82,#REF!,8,0))</f>
        <v/>
      </c>
      <c r="R82" s="8" t="str">
        <f>IF(B82="","",VLOOKUP(AD82,#REF!,9,0))</f>
        <v/>
      </c>
      <c r="S82" s="8" t="str">
        <f>IF(B82="","",VLOOKUP(AD82,#REF!,10,0))</f>
        <v/>
      </c>
      <c r="T82" s="8" t="str">
        <f>IF(B82="","",VLOOKUP(AD82,#REF!,11,0))</f>
        <v/>
      </c>
      <c r="U82" s="8" t="str">
        <f>IF(B82="","",VLOOKUP(AD82,#REF!,12,0))</f>
        <v/>
      </c>
      <c r="V82" s="8" t="str">
        <f>IF(B82="","",VLOOKUP(AD82,#REF!,13,0))</f>
        <v/>
      </c>
      <c r="W82" s="8" t="str">
        <f>IF(B82="","",VLOOKUP(AD82,#REF!,14,0))</f>
        <v/>
      </c>
      <c r="X82" s="8"/>
      <c r="Y82" s="8"/>
      <c r="Z82" s="8"/>
      <c r="AA82" s="8" t="str">
        <f>IF(B82="","",VLOOKUP(AD82,#REF!,15,0))</f>
        <v/>
      </c>
      <c r="AB82" s="8" t="str">
        <f>IF(B82="","",VLOOKUP(AD82,#REF!,16,0))</f>
        <v/>
      </c>
      <c r="AC82" s="8" t="str">
        <f>IF(B82="","",VLOOKUP(#REF!,#REF!,18,0))</f>
        <v/>
      </c>
      <c r="AD82" s="8" t="str">
        <f t="shared" ref="AD82:AD83" si="8">IF(B82="","",CONCATENATE(B82,E82))</f>
        <v/>
      </c>
    </row>
    <row r="83" spans="1:30" x14ac:dyDescent="0.25">
      <c r="A83" s="8" t="s">
        <v>90</v>
      </c>
      <c r="B83" s="8"/>
      <c r="C83" s="9" t="str">
        <f>IF(B83="","",VLOOKUP(AD83,#REF!,3,0))</f>
        <v/>
      </c>
      <c r="D83" s="9"/>
      <c r="E83" s="9"/>
      <c r="F83" s="8"/>
      <c r="G83" s="8"/>
      <c r="H83" s="8" t="str">
        <f>IF(B83="","",VLOOKUP(AD83,#REF!,5,0))</f>
        <v/>
      </c>
      <c r="I83" s="8" t="str">
        <f>IF(B83="","",VLOOKUP(AD83,#REF!,19,0))</f>
        <v/>
      </c>
      <c r="J83" s="8" t="str">
        <f>IF(B83="","",VLOOKUP(AD83,#REF!,6,0))</f>
        <v/>
      </c>
      <c r="K83" s="8"/>
      <c r="L83" s="8"/>
      <c r="M83" s="8"/>
      <c r="N83" s="8"/>
      <c r="O83" s="8"/>
      <c r="P83" s="8" t="str">
        <f>IF(B83="","",VLOOKUP(AD83,#REF!,7,0)*K83)</f>
        <v/>
      </c>
      <c r="Q83" s="8" t="str">
        <f>IF(B83="","",VLOOKUP(AD83,#REF!,8,0))</f>
        <v/>
      </c>
      <c r="R83" s="8" t="str">
        <f>IF(B83="","",VLOOKUP(AD83,#REF!,9,0))</f>
        <v/>
      </c>
      <c r="S83" s="8" t="str">
        <f>IF(B83="","",VLOOKUP(AD83,#REF!,10,0))</f>
        <v/>
      </c>
      <c r="T83" s="8" t="str">
        <f>IF(B83="","",VLOOKUP(AD83,#REF!,11,0))</f>
        <v/>
      </c>
      <c r="U83" s="8" t="str">
        <f>IF(B83="","",VLOOKUP(AD83,#REF!,12,0))</f>
        <v/>
      </c>
      <c r="V83" s="8" t="str">
        <f>IF(B83="","",VLOOKUP(AD83,#REF!,13,0))</f>
        <v/>
      </c>
      <c r="W83" s="8" t="str">
        <f>IF(B83="","",VLOOKUP(AD83,#REF!,14,0))</f>
        <v/>
      </c>
      <c r="X83" s="8"/>
      <c r="Y83" s="8"/>
      <c r="Z83" s="8"/>
      <c r="AA83" s="8" t="str">
        <f>IF(B83="","",VLOOKUP(AD83,#REF!,15,0))</f>
        <v/>
      </c>
      <c r="AB83" s="8" t="str">
        <f>IF(B83="","",VLOOKUP(AD83,#REF!,16,0))</f>
        <v/>
      </c>
      <c r="AC83" s="8" t="str">
        <f>IF(B83="","",VLOOKUP(#REF!,#REF!,18,0))</f>
        <v/>
      </c>
      <c r="AD83" s="8" t="str">
        <f t="shared" si="8"/>
        <v/>
      </c>
    </row>
    <row r="84" spans="1:30" x14ac:dyDescent="0.25">
      <c r="A84" s="8" t="s">
        <v>91</v>
      </c>
      <c r="B84" s="86"/>
      <c r="C84" s="87" t="str">
        <f>IF(B84="","",VLOOKUP(AD84,Varsayımlar!$B:$Q,3,0))</f>
        <v/>
      </c>
      <c r="D84" s="87"/>
      <c r="H84" s="57" t="str">
        <f>IF(B84="","",VLOOKUP(AD84,Varsayımlar!$B:$Q,5,0))</f>
        <v/>
      </c>
      <c r="I84" s="57"/>
      <c r="J84" s="57" t="str">
        <f>IF(B84="","",VLOOKUP(AD84,Varsayımlar!$B:$Q,6,0))</f>
        <v/>
      </c>
      <c r="P84" s="57" t="str">
        <f>IF(B84="","",VLOOKUP(AD84,Varsayımlar!$B:$Q,7,0)*K84)</f>
        <v/>
      </c>
      <c r="Q84" s="57" t="str">
        <f>IF(B84="","",VLOOKUP(AD84,Varsayımlar!$B:$Q,8,0))</f>
        <v/>
      </c>
      <c r="R84" s="57" t="str">
        <f>IF(B84="","",VLOOKUP(AD84,Varsayımlar!$B:$Q,9,0))</f>
        <v/>
      </c>
      <c r="S84" s="57" t="str">
        <f>IF(B84="","",VLOOKUP(AD84,Varsayımlar!$B:$Q,10,0))</f>
        <v/>
      </c>
      <c r="T84" s="57" t="str">
        <f>IF(B84="","",VLOOKUP(AD84,Varsayımlar!$B:$Q,11,0))</f>
        <v/>
      </c>
      <c r="U84" s="57" t="str">
        <f>IF(B84="","",VLOOKUP(AD84,Varsayımlar!$B:$Q,12,0))</f>
        <v/>
      </c>
      <c r="V84" s="57" t="str">
        <f>IF(B84="","",VLOOKUP(AD84,Varsayımlar!$B:$Q,13,0))</f>
        <v/>
      </c>
      <c r="W84" s="57" t="str">
        <f>IF(B84="","",VLOOKUP(AD84,Varsayımlar!$B:$Q,14,0))</f>
        <v/>
      </c>
      <c r="AA84" s="57" t="str">
        <f>IF(B84="","",VLOOKUP(AD84,Varsayımlar!$B:$Q,15,0))</f>
        <v/>
      </c>
      <c r="AB84" s="57" t="str">
        <f>IF(B84="","",VLOOKUP(AD84,Varsayımlar!$B:$Q,16,0))</f>
        <v/>
      </c>
      <c r="AC84" s="57" t="str">
        <f>IF(B84="","",VLOOKUP(Sayfa1!AD93,Varsayımlar!B:S,18,0))</f>
        <v/>
      </c>
      <c r="AD84" s="57" t="str">
        <f t="shared" si="7"/>
        <v/>
      </c>
    </row>
    <row r="85" spans="1:30" x14ac:dyDescent="0.25">
      <c r="C85" s="53" t="str">
        <f>IF(B85="","",VLOOKUP(AD85,Varsayımlar!$B:$Q,3,0))</f>
        <v/>
      </c>
      <c r="H85" s="7" t="str">
        <f>IF(B85="","",VLOOKUP(AD85,Varsayımlar!$B:$Q,5,0))</f>
        <v/>
      </c>
      <c r="J85" s="7" t="str">
        <f>IF(B85="","",VLOOKUP(AD85,Varsayımlar!$B:$Q,6,0))</f>
        <v/>
      </c>
      <c r="P85" s="7" t="str">
        <f>IF(B85="","",VLOOKUP(AD85,Varsayımlar!$B:$Q,7,0)*K85)</f>
        <v/>
      </c>
      <c r="Q85" s="7" t="str">
        <f>IF(B85="","",VLOOKUP(AD85,Varsayımlar!$B:$Q,8,0))</f>
        <v/>
      </c>
      <c r="R85" s="7" t="str">
        <f>IF(B85="","",VLOOKUP(AD85,Varsayımlar!$B:$Q,9,0))</f>
        <v/>
      </c>
      <c r="S85" s="7" t="str">
        <f>IF(B85="","",VLOOKUP(AD85,Varsayımlar!$B:$Q,10,0))</f>
        <v/>
      </c>
      <c r="T85" s="7" t="str">
        <f>IF(B85="","",VLOOKUP(AD85,Varsayımlar!$B:$Q,11,0))</f>
        <v/>
      </c>
      <c r="U85" s="7" t="str">
        <f>IF(B85="","",VLOOKUP(AD85,Varsayımlar!$B:$Q,12,0))</f>
        <v/>
      </c>
      <c r="V85" s="7" t="str">
        <f>IF(B85="","",VLOOKUP(AD85,Varsayımlar!$B:$Q,13,0))</f>
        <v/>
      </c>
      <c r="W85" s="7" t="str">
        <f>IF(B85="","",VLOOKUP(AD85,Varsayımlar!$B:$Q,14,0))</f>
        <v/>
      </c>
      <c r="AA85" s="7" t="str">
        <f>IF(B85="","",VLOOKUP(AD85,Varsayımlar!$B:$Q,15,0))</f>
        <v/>
      </c>
      <c r="AB85" s="7" t="str">
        <f>IF(B85="","",VLOOKUP(AD85,Varsayımlar!$B:$Q,16,0))</f>
        <v/>
      </c>
      <c r="AC85" s="7" t="str">
        <f>IF(B85="","",VLOOKUP(Sayfa1!AD94,Varsayımlar!B:S,18,0))</f>
        <v/>
      </c>
      <c r="AD85" s="7" t="str">
        <f t="shared" si="7"/>
        <v/>
      </c>
    </row>
  </sheetData>
  <mergeCells count="6">
    <mergeCell ref="B72:AB72"/>
    <mergeCell ref="A1:AC1"/>
    <mergeCell ref="A2:Z2"/>
    <mergeCell ref="AB2:AC2"/>
    <mergeCell ref="A45:AB45"/>
    <mergeCell ref="A66:AB66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4"/>
  <sheetViews>
    <sheetView topLeftCell="A52" zoomScale="55" zoomScaleNormal="55" workbookViewId="0">
      <selection activeCell="A62" sqref="A62:XFD62"/>
    </sheetView>
  </sheetViews>
  <sheetFormatPr defaultRowHeight="15.75" x14ac:dyDescent="0.25"/>
  <cols>
    <col min="1" max="1" width="5.85546875" style="7" bestFit="1" customWidth="1"/>
    <col min="2" max="2" width="17" style="7" bestFit="1" customWidth="1"/>
    <col min="3" max="3" width="26.5703125" style="53" hidden="1" customWidth="1"/>
    <col min="4" max="4" width="10.85546875" style="53" customWidth="1"/>
    <col min="5" max="5" width="42" style="53" hidden="1" customWidth="1"/>
    <col min="6" max="6" width="17.7109375" style="7" customWidth="1"/>
    <col min="7" max="7" width="20.28515625" style="7" customWidth="1"/>
    <col min="8" max="8" width="30.5703125" style="7" customWidth="1"/>
    <col min="9" max="9" width="17" style="7" customWidth="1"/>
    <col min="10" max="10" width="14.28515625" style="7" bestFit="1" customWidth="1"/>
    <col min="11" max="11" width="15.85546875" style="7" bestFit="1" customWidth="1"/>
    <col min="12" max="12" width="11.28515625" style="7" customWidth="1"/>
    <col min="13" max="13" width="10.42578125" style="7" customWidth="1"/>
    <col min="14" max="14" width="13.28515625" style="7" customWidth="1"/>
    <col min="15" max="15" width="6.28515625" style="7" customWidth="1"/>
    <col min="16" max="16" width="11.5703125" style="7" customWidth="1"/>
    <col min="17" max="17" width="8.5703125" style="7" bestFit="1" customWidth="1"/>
    <col min="18" max="18" width="12" style="7" customWidth="1"/>
    <col min="19" max="19" width="8.5703125" style="7" bestFit="1" customWidth="1"/>
    <col min="20" max="20" width="9.28515625" style="7" bestFit="1" customWidth="1"/>
    <col min="21" max="21" width="11.28515625" style="7" bestFit="1" customWidth="1"/>
    <col min="22" max="22" width="11.42578125" style="7" customWidth="1"/>
    <col min="23" max="23" width="8.5703125" style="7" bestFit="1" customWidth="1"/>
    <col min="24" max="24" width="13.140625" style="7" bestFit="1" customWidth="1"/>
    <col min="25" max="25" width="16" style="7" customWidth="1"/>
    <col min="26" max="26" width="14.140625" style="7" customWidth="1"/>
    <col min="27" max="27" width="23.85546875" style="7" customWidth="1"/>
    <col min="28" max="28" width="20.7109375" style="7" customWidth="1"/>
    <col min="29" max="29" width="23.28515625" style="7" hidden="1" customWidth="1"/>
    <col min="30" max="30" width="62.140625" style="7" hidden="1" customWidth="1"/>
    <col min="31" max="31" width="38.85546875" style="7" customWidth="1"/>
    <col min="32" max="16384" width="9.140625" style="7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46196</v>
      </c>
      <c r="AB2" s="185">
        <v>0.70833333333333337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7" t="s">
        <v>41</v>
      </c>
    </row>
    <row r="4" spans="1:30" ht="31.5" x14ac:dyDescent="0.25">
      <c r="A4" s="8" t="s">
        <v>26</v>
      </c>
      <c r="B4" s="64" t="s">
        <v>64</v>
      </c>
      <c r="C4" s="3">
        <f>IF(B4="","",VLOOKUP(AD4,Varsayımlar!$B:$Q,3,0))</f>
        <v>8698829380698</v>
      </c>
      <c r="D4" s="3"/>
      <c r="E4" s="64" t="s">
        <v>296</v>
      </c>
      <c r="F4" s="64">
        <v>31</v>
      </c>
      <c r="G4" s="3" t="s">
        <v>68</v>
      </c>
      <c r="H4" s="64" t="str">
        <f>IF(B4="","",VLOOKUP(AD4,Varsayımlar!$B:$Q,5,0))</f>
        <v>Tortillas 20cm Çok Tahıllı</v>
      </c>
      <c r="I4" s="64">
        <f>IF(B4="","",VLOOKUP(AD4,Varsayımlar!B:T,19,0))</f>
        <v>0</v>
      </c>
      <c r="J4" s="64" t="str">
        <f>IF(B4="","",VLOOKUP(AD4,Varsayımlar!$B:$Q,6,0))</f>
        <v>Çok Tahıllı</v>
      </c>
      <c r="K4" s="64">
        <v>1800</v>
      </c>
      <c r="L4" s="64"/>
      <c r="M4" s="64">
        <f>IFERROR(IF(B4="","",K4/VLOOKUP(AD4,Varsayımlar!B:R,17,0)),"")</f>
        <v>8</v>
      </c>
      <c r="N4" s="64"/>
      <c r="O4" s="64">
        <v>15</v>
      </c>
      <c r="P4" s="64">
        <f>IF(B4="","",VLOOKUP(AD4,Varsayımlar!$B:$Q,7,0)*K4)</f>
        <v>25200</v>
      </c>
      <c r="Q4" s="64">
        <f>IF(B4="","",VLOOKUP(AD4,Varsayımlar!$B:$Q,8,0))</f>
        <v>20</v>
      </c>
      <c r="R4" s="64" t="str">
        <f>IF(B4="","",VLOOKUP(AD4,Varsayımlar!$B:$Q,9,0))</f>
        <v>Irak Soft</v>
      </c>
      <c r="S4" s="64">
        <f>IF(B4="","",VLOOKUP(AD4,Varsayımlar!$B:$Q,10,0))</f>
        <v>4</v>
      </c>
      <c r="T4" s="64">
        <f>IF(B4="","",VLOOKUP(AD4,Varsayımlar!$B:$Q,11,0))</f>
        <v>14</v>
      </c>
      <c r="U4" s="64">
        <f>IF(B4="","",VLOOKUP(AD4,Varsayımlar!$B:$Q,12,0))</f>
        <v>166</v>
      </c>
      <c r="V4" s="64" t="str">
        <f>IF(B4="","",VLOOKUP(AD4,Varsayımlar!$B:$Q,13,0))</f>
        <v>Yurtdışı</v>
      </c>
      <c r="W4" s="64">
        <f>IF(B4="","",VLOOKUP(AD4,Varsayımlar!$B:$Q,14,0))</f>
        <v>9</v>
      </c>
      <c r="X4" s="66">
        <v>46196</v>
      </c>
      <c r="Y4" s="66">
        <v>46469</v>
      </c>
      <c r="Z4" s="64" t="s">
        <v>339</v>
      </c>
      <c r="AA4" s="64" t="str">
        <f>IF(B4="","",VLOOKUP(AD4,Varsayımlar!$B:$Q,15,0))</f>
        <v>SİYAH KARE KOLİ-Üretim Tarihi Etiketli</v>
      </c>
      <c r="AB4" s="64" t="str">
        <f>IF(B4="","",VLOOKUP(AD4,Varsayımlar!$B:$Q,16,0))</f>
        <v>19-21 cm</v>
      </c>
      <c r="AC4" s="64">
        <f>IF(B4="","",VLOOKUP(Sayfa1!AD15,Varsayımlar!B:S,18,0))</f>
        <v>0</v>
      </c>
      <c r="AD4" s="57" t="str">
        <f t="shared" ref="AD4:AD35" si="0">IF(B4="","",CONCATENATE(B4,E4))</f>
        <v>SMART LLCTortillas 20cm Çok Tahıllı 4pcs 166g</v>
      </c>
    </row>
    <row r="5" spans="1:30" ht="31.5" x14ac:dyDescent="0.25">
      <c r="A5" s="8" t="s">
        <v>77</v>
      </c>
      <c r="B5" s="64" t="s">
        <v>64</v>
      </c>
      <c r="C5" s="3">
        <f>IF(B5="","",VLOOKUP(AD5,Varsayımlar!$B:$Q,3,0))</f>
        <v>8698829380698</v>
      </c>
      <c r="D5" s="3"/>
      <c r="E5" s="64" t="s">
        <v>176</v>
      </c>
      <c r="F5" s="64">
        <v>31</v>
      </c>
      <c r="G5" s="3" t="s">
        <v>68</v>
      </c>
      <c r="H5" s="64" t="str">
        <f>IF(B5="","",VLOOKUP(AD5,Varsayımlar!$B:$Q,5,0))</f>
        <v>Tortillas 20cm (Samakat Bilgileri Ekli)</v>
      </c>
      <c r="I5" s="64">
        <f>IF(B5="","",VLOOKUP(AD5,Varsayımlar!B:T,19,0))</f>
        <v>0</v>
      </c>
      <c r="J5" s="64" t="str">
        <f>IF(B5="","",VLOOKUP(AD5,Varsayımlar!$B:$Q,6,0))</f>
        <v>PEYNİRLİ</v>
      </c>
      <c r="K5" s="64">
        <v>2925</v>
      </c>
      <c r="L5" s="64"/>
      <c r="M5" s="64">
        <f>IFERROR(IF(B5="","",K5/VLOOKUP(AD5,Varsayımlar!B:R,17,0)),"")</f>
        <v>13</v>
      </c>
      <c r="N5" s="64"/>
      <c r="O5" s="64">
        <v>24</v>
      </c>
      <c r="P5" s="64">
        <f>IF(B5="","",VLOOKUP(AD5,Varsayımlar!$B:$Q,7,0)*K5)</f>
        <v>40950</v>
      </c>
      <c r="Q5" s="64">
        <f>IF(B5="","",VLOOKUP(AD5,Varsayımlar!$B:$Q,8,0))</f>
        <v>20</v>
      </c>
      <c r="R5" s="64" t="str">
        <f>IF(B5="","",VLOOKUP(AD5,Varsayımlar!$B:$Q,9,0))</f>
        <v>IRAK SOFT-AT</v>
      </c>
      <c r="S5" s="64">
        <f>IF(B5="","",VLOOKUP(AD5,Varsayımlar!$B:$Q,10,0))</f>
        <v>4</v>
      </c>
      <c r="T5" s="64">
        <f>IF(B5="","",VLOOKUP(AD5,Varsayımlar!$B:$Q,11,0))</f>
        <v>14</v>
      </c>
      <c r="U5" s="64">
        <f>IF(B5="","",VLOOKUP(AD5,Varsayımlar!$B:$Q,12,0))</f>
        <v>166</v>
      </c>
      <c r="V5" s="64" t="str">
        <f>IF(B5="","",VLOOKUP(AD5,Varsayımlar!$B:$Q,13,0))</f>
        <v>YURTDIŞI</v>
      </c>
      <c r="W5" s="64">
        <f>IF(B5="","",VLOOKUP(AD5,Varsayımlar!$B:$Q,14,0))</f>
        <v>9</v>
      </c>
      <c r="X5" s="66">
        <v>46196</v>
      </c>
      <c r="Y5" s="66">
        <v>46469</v>
      </c>
      <c r="Z5" s="64" t="s">
        <v>340</v>
      </c>
      <c r="AA5" s="64" t="str">
        <f>IF(B5="","",VLOOKUP(AD5,Varsayımlar!$B:$Q,15,0))</f>
        <v>Kare Koli-Üretim Tarihli Etiket</v>
      </c>
      <c r="AB5" s="64" t="str">
        <f>IF(B5="","",VLOOKUP(AD5,Varsayımlar!$B:$Q,16,0))</f>
        <v>19-21 cm</v>
      </c>
      <c r="AC5" s="64">
        <f>IF(B5="","",VLOOKUP(Sayfa1!AD17,Varsayımlar!B:S,18,0))</f>
        <v>0</v>
      </c>
      <c r="AD5" s="57" t="str">
        <f t="shared" si="0"/>
        <v>SMART LLCTortillas 20cm Peynirli 4pcs 166g</v>
      </c>
    </row>
    <row r="6" spans="1:30" ht="47.25" x14ac:dyDescent="0.25">
      <c r="A6" s="8" t="s">
        <v>78</v>
      </c>
      <c r="B6" s="67" t="s">
        <v>268</v>
      </c>
      <c r="C6" s="42">
        <f>IF(B6="","",VLOOKUP(AD6,Varsayımlar!$B:$Q,3,0))</f>
        <v>8698829380698</v>
      </c>
      <c r="D6" s="42" t="s">
        <v>159</v>
      </c>
      <c r="E6" s="67" t="s">
        <v>269</v>
      </c>
      <c r="F6" s="67">
        <v>20250825</v>
      </c>
      <c r="G6" s="42" t="s">
        <v>68</v>
      </c>
      <c r="H6" s="67" t="str">
        <f>IF(B6="","",VLOOKUP(AD6,Varsayımlar!$B:$Q,5,0))</f>
        <v>Tortillas 25cm Tam Buğday</v>
      </c>
      <c r="I6" s="67">
        <f>IF(B6="","",VLOOKUP(AD6,Varsayımlar!B:T,19,0))</f>
        <v>0</v>
      </c>
      <c r="J6" s="67" t="str">
        <f>IF(B6="","",VLOOKUP(AD6,Varsayımlar!$B:$Q,6,0))</f>
        <v>Tam Buğdaylı</v>
      </c>
      <c r="K6" s="67">
        <v>252</v>
      </c>
      <c r="L6" s="67"/>
      <c r="M6" s="67">
        <f>IFERROR(IF(B6="","",K6/VLOOKUP(AD6,Varsayımlar!B:R,17,0)),"")</f>
        <v>3</v>
      </c>
      <c r="N6" s="67"/>
      <c r="O6" s="67">
        <v>5</v>
      </c>
      <c r="P6" s="67">
        <f>IF(B6="","",VLOOKUP(AD6,Varsayımlar!$B:$Q,7,0)*K6)</f>
        <v>7560</v>
      </c>
      <c r="Q6" s="67">
        <f>IF(B6="","",VLOOKUP(AD6,Varsayımlar!$B:$Q,8,0))</f>
        <v>25</v>
      </c>
      <c r="R6" s="67" t="str">
        <f>IF(B6="","",VLOOKUP(AD6,Varsayımlar!$B:$Q,9,0))</f>
        <v>Soft-PA3</v>
      </c>
      <c r="S6" s="67">
        <f>IF(B6="","",VLOOKUP(AD6,Varsayımlar!$B:$Q,10,0))</f>
        <v>4</v>
      </c>
      <c r="T6" s="67">
        <f>IF(B6="","",VLOOKUP(AD6,Varsayımlar!$B:$Q,11,0))</f>
        <v>30</v>
      </c>
      <c r="U6" s="67">
        <f>IF(B6="","",VLOOKUP(AD6,Varsayımlar!$B:$Q,12,0))</f>
        <v>240</v>
      </c>
      <c r="V6" s="67" t="str">
        <f>IF(B6="","",VLOOKUP(AD6,Varsayımlar!$B:$Q,13,0))</f>
        <v>Yurtdışı</v>
      </c>
      <c r="W6" s="67">
        <f>IF(B6="","",VLOOKUP(AD6,Varsayımlar!$B:$Q,14,0))</f>
        <v>12</v>
      </c>
      <c r="X6" s="69">
        <v>46199</v>
      </c>
      <c r="Y6" s="69">
        <v>46564</v>
      </c>
      <c r="Z6" s="67" t="s">
        <v>374</v>
      </c>
      <c r="AA6" s="67" t="str">
        <f>IF(B6="","",VLOOKUP(AD6,Varsayımlar!$B:$Q,15,0))</f>
        <v>25cm Kolisi-Etiketli</v>
      </c>
      <c r="AB6" s="67" t="str">
        <f>IF(B6="","",VLOOKUP(AD6,Varsayımlar!$B:$Q,16,0))</f>
        <v>24-26 cm (Macca Hetto Inkjet Uzun Tarih)</v>
      </c>
      <c r="AC6" s="67" t="str">
        <f>IF(B6="","",VLOOKUP(Sayfa1!AD23,Varsayımlar!B:S,18,0))</f>
        <v>80x120cm</v>
      </c>
      <c r="AD6" s="57" t="str">
        <f t="shared" si="0"/>
        <v>LAIKYUZHN-BELARUSTortillas 25cm Tam buğday 4pcs 240g</v>
      </c>
    </row>
    <row r="7" spans="1:30" ht="47.25" x14ac:dyDescent="0.25">
      <c r="A7" s="8" t="s">
        <v>79</v>
      </c>
      <c r="B7" s="67" t="s">
        <v>268</v>
      </c>
      <c r="C7" s="42">
        <f>IF(B7="","",VLOOKUP(AD7,Varsayımlar!$B:$Q,3,0))</f>
        <v>8698829380698</v>
      </c>
      <c r="D7" s="42" t="s">
        <v>159</v>
      </c>
      <c r="E7" s="67" t="s">
        <v>274</v>
      </c>
      <c r="F7" s="67">
        <v>20250825</v>
      </c>
      <c r="G7" s="42" t="s">
        <v>68</v>
      </c>
      <c r="H7" s="67" t="str">
        <f>IF(B7="","",VLOOKUP(AD7,Varsayımlar!$B:$Q,5,0))</f>
        <v>Tortillas 25cm Domatesli</v>
      </c>
      <c r="I7" s="67">
        <f>IF(B7="","",VLOOKUP(AD7,Varsayımlar!B:T,19,0))</f>
        <v>0</v>
      </c>
      <c r="J7" s="67" t="str">
        <f>IF(B7="","",VLOOKUP(AD7,Varsayımlar!$B:$Q,6,0))</f>
        <v>Domatesli</v>
      </c>
      <c r="K7" s="67">
        <v>252</v>
      </c>
      <c r="L7" s="67"/>
      <c r="M7" s="67">
        <f>IFERROR(IF(B7="","",K7/VLOOKUP(AD7,Varsayımlar!B:R,17,0)),"")</f>
        <v>3</v>
      </c>
      <c r="N7" s="67"/>
      <c r="O7" s="67">
        <v>5</v>
      </c>
      <c r="P7" s="67">
        <f>IF(B7="","",VLOOKUP(AD7,Varsayımlar!$B:$Q,7,0)*K7)</f>
        <v>7560</v>
      </c>
      <c r="Q7" s="67">
        <f>IF(B7="","",VLOOKUP(AD7,Varsayımlar!$B:$Q,8,0))</f>
        <v>25</v>
      </c>
      <c r="R7" s="67" t="str">
        <f>IF(B7="","",VLOOKUP(AD7,Varsayımlar!$B:$Q,9,0))</f>
        <v>Soft-PA3</v>
      </c>
      <c r="S7" s="67">
        <f>IF(B7="","",VLOOKUP(AD7,Varsayımlar!$B:$Q,10,0))</f>
        <v>4</v>
      </c>
      <c r="T7" s="67">
        <f>IF(B7="","",VLOOKUP(AD7,Varsayımlar!$B:$Q,11,0))</f>
        <v>30</v>
      </c>
      <c r="U7" s="67">
        <f>IF(B7="","",VLOOKUP(AD7,Varsayımlar!$B:$Q,12,0))</f>
        <v>240</v>
      </c>
      <c r="V7" s="67" t="str">
        <f>IF(B7="","",VLOOKUP(AD7,Varsayımlar!$B:$Q,13,0))</f>
        <v>Yurtdışı</v>
      </c>
      <c r="W7" s="67">
        <f>IF(B7="","",VLOOKUP(AD7,Varsayımlar!$B:$Q,14,0))</f>
        <v>12</v>
      </c>
      <c r="X7" s="69">
        <v>46199</v>
      </c>
      <c r="Y7" s="69">
        <v>46564</v>
      </c>
      <c r="Z7" s="67" t="s">
        <v>375</v>
      </c>
      <c r="AA7" s="67" t="str">
        <f>IF(B7="","",VLOOKUP(AD7,Varsayımlar!$B:$Q,15,0))</f>
        <v>25cm Kolisi-Etiketli</v>
      </c>
      <c r="AB7" s="67" t="str">
        <f>IF(B7="","",VLOOKUP(AD7,Varsayımlar!$B:$Q,16,0))</f>
        <v>24-26 cm (Macca Hetto Inkjet Uzun Tarih)</v>
      </c>
      <c r="AC7" s="67" t="str">
        <f>IF(B7="","",VLOOKUP(Sayfa1!AD24,Varsayımlar!B:S,18,0))</f>
        <v>80x120cm</v>
      </c>
      <c r="AD7" s="57" t="str">
        <f t="shared" si="0"/>
        <v>LAIKYUZHN-BELARUSTortillas 25cm Domatesli 4pcs 240g</v>
      </c>
    </row>
    <row r="8" spans="1:30" ht="47.25" x14ac:dyDescent="0.25">
      <c r="A8" s="8" t="s">
        <v>80</v>
      </c>
      <c r="B8" s="67" t="s">
        <v>268</v>
      </c>
      <c r="C8" s="42">
        <f>IF(B8="","",VLOOKUP(AD8,Varsayımlar!$B:$Q,3,0))</f>
        <v>8698829380698</v>
      </c>
      <c r="D8" s="42" t="s">
        <v>159</v>
      </c>
      <c r="E8" s="67" t="s">
        <v>276</v>
      </c>
      <c r="F8" s="67">
        <v>20250825</v>
      </c>
      <c r="G8" s="42" t="s">
        <v>68</v>
      </c>
      <c r="H8" s="67" t="str">
        <f>IF(B8="","",VLOOKUP(AD8,Varsayımlar!$B:$Q,5,0))</f>
        <v>Tortillas 25cm Ispanaklı</v>
      </c>
      <c r="I8" s="67">
        <f>IF(B8="","",VLOOKUP(AD8,Varsayımlar!B:T,19,0))</f>
        <v>0</v>
      </c>
      <c r="J8" s="67" t="str">
        <f>IF(B8="","",VLOOKUP(AD8,Varsayımlar!$B:$Q,6,0))</f>
        <v>Ispanaklı</v>
      </c>
      <c r="K8" s="67">
        <v>420</v>
      </c>
      <c r="L8" s="67"/>
      <c r="M8" s="67">
        <f>IFERROR(IF(B8="","",K8/VLOOKUP(AD8,Varsayımlar!B:R,17,0)),"")</f>
        <v>5</v>
      </c>
      <c r="N8" s="67"/>
      <c r="O8" s="67">
        <v>7</v>
      </c>
      <c r="P8" s="67">
        <f>IF(B8="","",VLOOKUP(AD8,Varsayımlar!$B:$Q,7,0)*K8)</f>
        <v>12600</v>
      </c>
      <c r="Q8" s="67">
        <f>IF(B8="","",VLOOKUP(AD8,Varsayımlar!$B:$Q,8,0))</f>
        <v>25</v>
      </c>
      <c r="R8" s="67" t="str">
        <f>IF(B8="","",VLOOKUP(AD8,Varsayımlar!$B:$Q,9,0))</f>
        <v>Soft-PA3</v>
      </c>
      <c r="S8" s="67">
        <f>IF(B8="","",VLOOKUP(AD8,Varsayımlar!$B:$Q,10,0))</f>
        <v>4</v>
      </c>
      <c r="T8" s="67">
        <f>IF(B8="","",VLOOKUP(AD8,Varsayımlar!$B:$Q,11,0))</f>
        <v>30</v>
      </c>
      <c r="U8" s="67">
        <f>IF(B8="","",VLOOKUP(AD8,Varsayımlar!$B:$Q,12,0))</f>
        <v>240</v>
      </c>
      <c r="V8" s="67" t="str">
        <f>IF(B8="","",VLOOKUP(AD8,Varsayımlar!$B:$Q,13,0))</f>
        <v>Yurtdışı</v>
      </c>
      <c r="W8" s="67">
        <f>IF(B8="","",VLOOKUP(AD8,Varsayımlar!$B:$Q,14,0))</f>
        <v>12</v>
      </c>
      <c r="X8" s="69">
        <v>46199</v>
      </c>
      <c r="Y8" s="69">
        <v>46564</v>
      </c>
      <c r="Z8" s="67" t="s">
        <v>376</v>
      </c>
      <c r="AA8" s="67" t="str">
        <f>IF(B8="","",VLOOKUP(AD8,Varsayımlar!$B:$Q,15,0))</f>
        <v>25cm Kolisi-Etiketli</v>
      </c>
      <c r="AB8" s="67" t="str">
        <f>IF(B8="","",VLOOKUP(AD8,Varsayımlar!$B:$Q,16,0))</f>
        <v>24-26 cm (Macca Hetto Inkjet Uzun Tarih)</v>
      </c>
      <c r="AC8" s="67" t="str">
        <f>IF(B8="","",VLOOKUP(Sayfa1!AD25,Varsayımlar!B:S,18,0))</f>
        <v>80x120cm</v>
      </c>
      <c r="AD8" s="57" t="str">
        <f t="shared" si="0"/>
        <v>LAIKYUZHN-BELARUSTortillas 25cm Ispanaklı 4pcs 240g</v>
      </c>
    </row>
    <row r="9" spans="1:30" ht="47.25" x14ac:dyDescent="0.25">
      <c r="A9" s="8" t="s">
        <v>81</v>
      </c>
      <c r="B9" s="67" t="s">
        <v>268</v>
      </c>
      <c r="C9" s="42">
        <f>IF(B9="","",VLOOKUP(AD9,Varsayımlar!$B:$Q,3,0))</f>
        <v>8698829380698</v>
      </c>
      <c r="D9" s="42" t="s">
        <v>159</v>
      </c>
      <c r="E9" s="67" t="s">
        <v>278</v>
      </c>
      <c r="F9" s="67">
        <v>20250825</v>
      </c>
      <c r="G9" s="42" t="s">
        <v>68</v>
      </c>
      <c r="H9" s="67" t="str">
        <f>IF(B9="","",VLOOKUP(AD9,Varsayımlar!$B:$Q,5,0))</f>
        <v>Magnit Tortillas 25cm Peynirli</v>
      </c>
      <c r="I9" s="67" t="str">
        <f>IF(B9="","",VLOOKUP(AD9,Varsayımlar!B:T,19,0))</f>
        <v>Etiketli</v>
      </c>
      <c r="J9" s="67" t="str">
        <f>IF(B9="","",VLOOKUP(AD9,Varsayımlar!$B:$Q,6,0))</f>
        <v>Peynirli</v>
      </c>
      <c r="K9" s="67">
        <v>420</v>
      </c>
      <c r="L9" s="67"/>
      <c r="M9" s="67">
        <f>IFERROR(IF(B9="","",K9/VLOOKUP(AD9,Varsayımlar!B:R,17,0)),"")</f>
        <v>5</v>
      </c>
      <c r="N9" s="67"/>
      <c r="O9" s="67">
        <v>7</v>
      </c>
      <c r="P9" s="67">
        <f>IF(B9="","",VLOOKUP(AD9,Varsayımlar!$B:$Q,7,0)*K9)</f>
        <v>12600</v>
      </c>
      <c r="Q9" s="67">
        <f>IF(B9="","",VLOOKUP(AD9,Varsayımlar!$B:$Q,8,0))</f>
        <v>25</v>
      </c>
      <c r="R9" s="67" t="str">
        <f>IF(B9="","",VLOOKUP(AD9,Varsayımlar!$B:$Q,9,0))</f>
        <v>Soft-PA3-AT</v>
      </c>
      <c r="S9" s="67">
        <f>IF(B9="","",VLOOKUP(AD9,Varsayımlar!$B:$Q,10,0))</f>
        <v>4</v>
      </c>
      <c r="T9" s="67">
        <f>IF(B9="","",VLOOKUP(AD9,Varsayımlar!$B:$Q,11,0))</f>
        <v>30</v>
      </c>
      <c r="U9" s="67">
        <f>IF(B9="","",VLOOKUP(AD9,Varsayımlar!$B:$Q,12,0))</f>
        <v>250</v>
      </c>
      <c r="V9" s="67" t="str">
        <f>IF(B9="","",VLOOKUP(AD9,Varsayımlar!$B:$Q,13,0))</f>
        <v>Yurtdışı</v>
      </c>
      <c r="W9" s="67">
        <f>IF(B9="","",VLOOKUP(AD9,Varsayımlar!$B:$Q,14,0))</f>
        <v>9</v>
      </c>
      <c r="X9" s="69">
        <v>46199</v>
      </c>
      <c r="Y9" s="69">
        <v>46472</v>
      </c>
      <c r="Z9" s="67" t="s">
        <v>377</v>
      </c>
      <c r="AA9" s="67" t="str">
        <f>IF(B9="","",VLOOKUP(AD9,Varsayımlar!$B:$Q,15,0))</f>
        <v>25cm Kolisi-Etiketli</v>
      </c>
      <c r="AB9" s="67" t="str">
        <f>IF(B9="","",VLOOKUP(AD9,Varsayımlar!$B:$Q,16,0))</f>
        <v>24-26 cm (Macca Hetto Inkjet Uzun Tarih)</v>
      </c>
      <c r="AC9" s="67" t="str">
        <f>IF(B9="","",VLOOKUP(Sayfa1!AD26,Varsayımlar!B:S,18,0))</f>
        <v>80x120cm</v>
      </c>
      <c r="AD9" s="57" t="str">
        <f t="shared" si="0"/>
        <v>LAIKYUZHN-BELARUSMagnit Tortillas 25cm Peynirli 4pcs 240g</v>
      </c>
    </row>
    <row r="10" spans="1:30" ht="47.25" x14ac:dyDescent="0.25">
      <c r="A10" s="8" t="s">
        <v>82</v>
      </c>
      <c r="B10" s="62" t="s">
        <v>181</v>
      </c>
      <c r="C10" s="32">
        <f>IF(B10="","",VLOOKUP(AD10,Varsayımlar!$B:$Q,3,0))</f>
        <v>8698829380698</v>
      </c>
      <c r="D10" s="32"/>
      <c r="E10" s="62" t="s">
        <v>182</v>
      </c>
      <c r="F10" s="62">
        <v>26060101</v>
      </c>
      <c r="G10" s="32"/>
      <c r="H10" s="62" t="str">
        <f>IF(B10="","",VLOOKUP(AD10,Varsayımlar!$B:$Q,5,0))</f>
        <v>Tortillove 30cm</v>
      </c>
      <c r="I10" s="62" t="str">
        <f>IF(B10="","",VLOOKUP(AD10,Varsayımlar!B:T,19,0))</f>
        <v>Arka kısma Arnavutça içerik-Tortillove</v>
      </c>
      <c r="J10" s="62" t="str">
        <f>IF(B10="","",VLOOKUP(AD10,Varsayımlar!$B:$Q,6,0))</f>
        <v>SADE</v>
      </c>
      <c r="K10" s="62">
        <v>100</v>
      </c>
      <c r="L10" s="62"/>
      <c r="M10" s="62">
        <f>IFERROR(IF(B10="","",K10/VLOOKUP(AD10,Varsayımlar!B:R,17,0)),"")</f>
        <v>2</v>
      </c>
      <c r="N10" s="62"/>
      <c r="O10" s="62">
        <v>2</v>
      </c>
      <c r="P10" s="62">
        <f>IF(B10="","",VLOOKUP(AD10,Varsayımlar!$B:$Q,7,0)*K10)</f>
        <v>1200</v>
      </c>
      <c r="Q10" s="62">
        <f>IF(B10="","",VLOOKUP(AD10,Varsayımlar!$B:$Q,8,0))</f>
        <v>30</v>
      </c>
      <c r="R10" s="62" t="str">
        <f>IF(B10="","",VLOOKUP(AD10,Varsayımlar!$B:$Q,9,0))</f>
        <v>Irak Soft</v>
      </c>
      <c r="S10" s="62">
        <f>IF(B10="","",VLOOKUP(AD10,Varsayımlar!$B:$Q,10,0))</f>
        <v>10</v>
      </c>
      <c r="T10" s="62">
        <f>IF(B10="","",VLOOKUP(AD10,Varsayımlar!$B:$Q,11,0))</f>
        <v>12</v>
      </c>
      <c r="U10" s="62">
        <f>IF(B10="","",VLOOKUP(AD10,Varsayımlar!$B:$Q,12,0))</f>
        <v>900</v>
      </c>
      <c r="V10" s="62" t="str">
        <f>IF(B10="","",VLOOKUP(AD10,Varsayımlar!$B:$Q,13,0))</f>
        <v>Yurtdışı</v>
      </c>
      <c r="W10" s="62">
        <f>IF(B10="","",VLOOKUP(AD10,Varsayımlar!$B:$Q,14,0))</f>
        <v>12</v>
      </c>
      <c r="X10" s="63">
        <v>46200</v>
      </c>
      <c r="Y10" s="63">
        <v>46565</v>
      </c>
      <c r="Z10" s="62">
        <v>26062730</v>
      </c>
      <c r="AA10" s="62" t="str">
        <f>IF(B10="","",VLOOKUP(AD10,Varsayımlar!$B:$Q,15,0))</f>
        <v>30cm Koli - Tortillove 900g Etiketli</v>
      </c>
      <c r="AB10" s="62" t="str">
        <f>IF(B10="","",VLOOKUP(AD10,Varsayımlar!$B:$Q,16,0))</f>
        <v>29-31 cm</v>
      </c>
      <c r="AC10" s="62">
        <f>IF(B10="","",VLOOKUP(Sayfa1!AD27,Varsayımlar!B:S,18,0))</f>
        <v>0</v>
      </c>
      <c r="AD10" s="57" t="str">
        <f t="shared" si="0"/>
        <v>ALDİ - KOSOVATortillove 30cm 10pcs 900g</v>
      </c>
    </row>
    <row r="11" spans="1:30" ht="47.25" x14ac:dyDescent="0.25">
      <c r="A11" s="8" t="s">
        <v>83</v>
      </c>
      <c r="B11" s="62" t="s">
        <v>181</v>
      </c>
      <c r="C11" s="32">
        <f>IF(B11="","",VLOOKUP(AD11,Varsayımlar!$B:$Q,3,0))</f>
        <v>8698829380698</v>
      </c>
      <c r="D11" s="32"/>
      <c r="E11" s="62" t="s">
        <v>185</v>
      </c>
      <c r="F11" s="62">
        <v>26060101</v>
      </c>
      <c r="G11" s="32"/>
      <c r="H11" s="62" t="str">
        <f>IF(B11="","",VLOOKUP(AD11,Varsayımlar!$B:$Q,5,0))</f>
        <v>Tortillas 30cm</v>
      </c>
      <c r="I11" s="62" t="str">
        <f>IF(B11="","",VLOOKUP(AD11,Varsayımlar!B:T,19,0))</f>
        <v>Arka kısma Arnavutça içerik-Tortillas</v>
      </c>
      <c r="J11" s="62" t="str">
        <f>IF(B11="","",VLOOKUP(AD11,Varsayımlar!$B:$Q,6,0))</f>
        <v>SADE</v>
      </c>
      <c r="K11" s="62">
        <v>50</v>
      </c>
      <c r="L11" s="62"/>
      <c r="M11" s="62">
        <f>IFERROR(IF(B11="","",K11/VLOOKUP(AD11,Varsayımlar!B:R,17,0)),"")</f>
        <v>1</v>
      </c>
      <c r="N11" s="62"/>
      <c r="O11" s="62">
        <v>1</v>
      </c>
      <c r="P11" s="62">
        <f>IF(B11="","",VLOOKUP(AD11,Varsayımlar!$B:$Q,7,0)*K11)</f>
        <v>600</v>
      </c>
      <c r="Q11" s="62">
        <f>IF(B11="","",VLOOKUP(AD11,Varsayımlar!$B:$Q,8,0))</f>
        <v>30</v>
      </c>
      <c r="R11" s="62" t="str">
        <f>IF(B11="","",VLOOKUP(AD11,Varsayımlar!$B:$Q,9,0))</f>
        <v>Irak Soft</v>
      </c>
      <c r="S11" s="62">
        <f>IF(B11="","",VLOOKUP(AD11,Varsayımlar!$B:$Q,10,0))</f>
        <v>10</v>
      </c>
      <c r="T11" s="62">
        <f>IF(B11="","",VLOOKUP(AD11,Varsayımlar!$B:$Q,11,0))</f>
        <v>12</v>
      </c>
      <c r="U11" s="62">
        <f>IF(B11="","",VLOOKUP(AD11,Varsayımlar!$B:$Q,12,0))</f>
        <v>900</v>
      </c>
      <c r="V11" s="62" t="str">
        <f>IF(B11="","",VLOOKUP(AD11,Varsayımlar!$B:$Q,13,0))</f>
        <v>Yurtdışı</v>
      </c>
      <c r="W11" s="62">
        <f>IF(B11="","",VLOOKUP(AD11,Varsayımlar!$B:$Q,14,0))</f>
        <v>12</v>
      </c>
      <c r="X11" s="63">
        <v>46200</v>
      </c>
      <c r="Y11" s="63">
        <v>46565</v>
      </c>
      <c r="Z11" s="62">
        <v>26062730</v>
      </c>
      <c r="AA11" s="62" t="str">
        <f>IF(B11="","",VLOOKUP(AD11,Varsayımlar!$B:$Q,15,0))</f>
        <v>30cm Koli - Tortillas 900g Etiketli</v>
      </c>
      <c r="AB11" s="62" t="str">
        <f>IF(B11="","",VLOOKUP(AD11,Varsayımlar!$B:$Q,16,0))</f>
        <v>29-31 cm</v>
      </c>
      <c r="AC11" s="62">
        <f>IF(B11="","",VLOOKUP(Sayfa1!AD28,Varsayımlar!B:S,18,0))</f>
        <v>0</v>
      </c>
      <c r="AD11" s="57" t="str">
        <f t="shared" si="0"/>
        <v>ALDİ - KOSOVATortillas 30cm 10pcs 900g</v>
      </c>
    </row>
    <row r="12" spans="1:30" ht="63" x14ac:dyDescent="0.25">
      <c r="A12" s="8" t="s">
        <v>84</v>
      </c>
      <c r="B12" s="62" t="s">
        <v>181</v>
      </c>
      <c r="C12" s="32">
        <f>IF(B12="","",VLOOKUP(AD12,Varsayımlar!$B:$Q,3,0))</f>
        <v>8698829380698</v>
      </c>
      <c r="D12" s="32"/>
      <c r="E12" s="32" t="s">
        <v>372</v>
      </c>
      <c r="F12" s="62">
        <v>26060101</v>
      </c>
      <c r="G12" s="32"/>
      <c r="H12" s="62" t="str">
        <f>IF(B12="","",VLOOKUP(AD12,Varsayımlar!$B:$Q,5,0))</f>
        <v>Tortillove Tam Buğday 25cm</v>
      </c>
      <c r="I12" s="62" t="str">
        <f>IF(B12="","",VLOOKUP(AD12,Varsayımlar!B:T,19,0))</f>
        <v>Barkod üzerine Arnavutça TB içerik+Barkod-Tortillove</v>
      </c>
      <c r="J12" s="62" t="str">
        <f>IF(B12="","",VLOOKUP(AD12,Varsayımlar!$B:$Q,6,0))</f>
        <v>Tam Buğdaylı</v>
      </c>
      <c r="K12" s="62">
        <v>84</v>
      </c>
      <c r="L12" s="62"/>
      <c r="M12" s="62">
        <f>IFERROR(IF(B12="","",K12/VLOOKUP(AD12,Varsayımlar!B:R,17,0)),"")</f>
        <v>1</v>
      </c>
      <c r="N12" s="62"/>
      <c r="O12" s="62">
        <v>2</v>
      </c>
      <c r="P12" s="62">
        <f>IF(B12="","",VLOOKUP(AD12,Varsayımlar!$B:$Q,7,0)*K12)</f>
        <v>1512</v>
      </c>
      <c r="Q12" s="62">
        <f>IF(B12="","",VLOOKUP(AD12,Varsayımlar!$B:$Q,8,0))</f>
        <v>25</v>
      </c>
      <c r="R12" s="62" t="str">
        <f>IF(B12="","",VLOOKUP(AD12,Varsayımlar!$B:$Q,9,0))</f>
        <v>Irak Soft</v>
      </c>
      <c r="S12" s="62">
        <f>IF(B12="","",VLOOKUP(AD12,Varsayımlar!$B:$Q,10,0))</f>
        <v>6</v>
      </c>
      <c r="T12" s="62">
        <f>IF(B12="","",VLOOKUP(AD12,Varsayımlar!$B:$Q,11,0))</f>
        <v>18</v>
      </c>
      <c r="U12" s="62">
        <f>IF(B12="","",VLOOKUP(AD12,Varsayımlar!$B:$Q,12,0))</f>
        <v>390</v>
      </c>
      <c r="V12" s="62" t="str">
        <f>IF(B12="","",VLOOKUP(AD12,Varsayımlar!$B:$Q,13,0))</f>
        <v>Yurtdışı</v>
      </c>
      <c r="W12" s="62">
        <f>IF(B12="","",VLOOKUP(AD12,Varsayımlar!$B:$Q,14,0))</f>
        <v>12</v>
      </c>
      <c r="X12" s="63">
        <v>46200</v>
      </c>
      <c r="Y12" s="63">
        <v>46565</v>
      </c>
      <c r="Z12" s="62">
        <v>26062725</v>
      </c>
      <c r="AA12" s="62" t="str">
        <f>IF(B12="","",VLOOKUP(AD12,Varsayımlar!$B:$Q,15,0))</f>
        <v>25cm Koli - Tortillove 390g TB Etiketli</v>
      </c>
      <c r="AB12" s="62" t="str">
        <f>IF(B12="","",VLOOKUP(AD12,Varsayımlar!$B:$Q,16,0))</f>
        <v>24-26 cm</v>
      </c>
      <c r="AC12" s="62">
        <f>IF(B12="","",VLOOKUP(Sayfa1!AD29,Varsayımlar!B:S,18,0))</f>
        <v>0</v>
      </c>
      <c r="AD12" s="57" t="str">
        <f t="shared" si="0"/>
        <v>ALDİ - KOSOVATortillove 25cm TB 6pcs 390g</v>
      </c>
    </row>
    <row r="13" spans="1:30" ht="63" x14ac:dyDescent="0.25">
      <c r="A13" s="8" t="s">
        <v>85</v>
      </c>
      <c r="B13" s="62" t="s">
        <v>181</v>
      </c>
      <c r="C13" s="32">
        <f>IF(B13="","",VLOOKUP(AD13,Varsayımlar!$B:$Q,3,0))</f>
        <v>8698829380698</v>
      </c>
      <c r="D13" s="32"/>
      <c r="E13" s="32" t="s">
        <v>251</v>
      </c>
      <c r="F13" s="62">
        <v>26060101</v>
      </c>
      <c r="G13" s="32"/>
      <c r="H13" s="62" t="str">
        <f>IF(B13="","",VLOOKUP(AD13,Varsayımlar!$B:$Q,5,0))</f>
        <v>Tortillas Tam Buğday 25cm</v>
      </c>
      <c r="I13" s="62" t="str">
        <f>IF(B13="","",VLOOKUP(AD13,Varsayımlar!B:T,19,0))</f>
        <v>Barkod üzerine Arnavutça TB içerik+Barkod-Tortillas</v>
      </c>
      <c r="J13" s="62" t="str">
        <f>IF(B13="","",VLOOKUP(AD13,Varsayımlar!$B:$Q,6,0))</f>
        <v>Tam Buğdaylı</v>
      </c>
      <c r="K13" s="62">
        <v>84</v>
      </c>
      <c r="L13" s="62"/>
      <c r="M13" s="62">
        <f>IFERROR(IF(B13="","",K13/VLOOKUP(AD13,Varsayımlar!B:R,17,0)),"")</f>
        <v>1</v>
      </c>
      <c r="N13" s="62"/>
      <c r="O13" s="62">
        <v>2</v>
      </c>
      <c r="P13" s="62">
        <f>IF(B13="","",VLOOKUP(AD13,Varsayımlar!$B:$Q,7,0)*K13)</f>
        <v>1512</v>
      </c>
      <c r="Q13" s="62">
        <f>IF(B13="","",VLOOKUP(AD13,Varsayımlar!$B:$Q,8,0))</f>
        <v>25</v>
      </c>
      <c r="R13" s="62" t="str">
        <f>IF(B13="","",VLOOKUP(AD13,Varsayımlar!$B:$Q,9,0))</f>
        <v>Irak Soft</v>
      </c>
      <c r="S13" s="62">
        <f>IF(B13="","",VLOOKUP(AD13,Varsayımlar!$B:$Q,10,0))</f>
        <v>6</v>
      </c>
      <c r="T13" s="62">
        <f>IF(B13="","",VLOOKUP(AD13,Varsayımlar!$B:$Q,11,0))</f>
        <v>18</v>
      </c>
      <c r="U13" s="62">
        <f>IF(B13="","",VLOOKUP(AD13,Varsayımlar!$B:$Q,12,0))</f>
        <v>390</v>
      </c>
      <c r="V13" s="62" t="str">
        <f>IF(B13="","",VLOOKUP(AD13,Varsayımlar!$B:$Q,13,0))</f>
        <v>Yurtdışı</v>
      </c>
      <c r="W13" s="62">
        <f>IF(B13="","",VLOOKUP(AD13,Varsayımlar!$B:$Q,14,0))</f>
        <v>12</v>
      </c>
      <c r="X13" s="63">
        <v>46200</v>
      </c>
      <c r="Y13" s="63">
        <v>46565</v>
      </c>
      <c r="Z13" s="62">
        <v>26062725</v>
      </c>
      <c r="AA13" s="62" t="str">
        <f>IF(B13="","",VLOOKUP(AD13,Varsayımlar!$B:$Q,15,0))</f>
        <v>25cm Koli - Tortillas 390g TB Etiketli</v>
      </c>
      <c r="AB13" s="62" t="str">
        <f>IF(B13="","",VLOOKUP(AD13,Varsayımlar!$B:$Q,16,0))</f>
        <v>24-26 cm</v>
      </c>
      <c r="AC13" s="62">
        <f>IF(B13="","",VLOOKUP(Sayfa1!AD30,Varsayımlar!B:S,18,0))</f>
        <v>0</v>
      </c>
      <c r="AD13" s="57" t="str">
        <f t="shared" si="0"/>
        <v>ALDİ - KOSOVATortillas 25cm TB 6pcs 390g</v>
      </c>
    </row>
    <row r="14" spans="1:30" ht="45.75" customHeight="1" x14ac:dyDescent="0.25">
      <c r="A14" s="8" t="s">
        <v>86</v>
      </c>
      <c r="B14" s="130" t="s">
        <v>119</v>
      </c>
      <c r="C14" s="131">
        <f>IF(B14="","",VLOOKUP(AD14,Varsayımlar!$B:$Q,3,0))</f>
        <v>8698829380698</v>
      </c>
      <c r="D14" s="131"/>
      <c r="E14" s="132" t="s">
        <v>120</v>
      </c>
      <c r="F14" s="130"/>
      <c r="G14" s="130"/>
      <c r="H14" s="130" t="str">
        <f>IF(B14="","",VLOOKUP(AD14,Varsayımlar!$B:$Q,5,0))</f>
        <v>Nimet 25 cm</v>
      </c>
      <c r="I14" s="130"/>
      <c r="J14" s="130" t="str">
        <f>IF(B14="","",VLOOKUP(AD14,Varsayımlar!$B:$Q,6,0))</f>
        <v>SADE</v>
      </c>
      <c r="K14" s="130">
        <v>2000</v>
      </c>
      <c r="L14" s="130"/>
      <c r="M14" s="130">
        <f>IFERROR(IF(B14="","",K14/VLOOKUP(AD14,Varsayımlar!B:R,17,0)),"")</f>
        <v>40</v>
      </c>
      <c r="N14" s="130"/>
      <c r="O14" s="130">
        <v>40</v>
      </c>
      <c r="P14" s="130">
        <f>IF(B14="","",VLOOKUP(AD14,Varsayımlar!$B:$Q,7,0)*K14)</f>
        <v>24000</v>
      </c>
      <c r="Q14" s="130">
        <f>IF(B14="","",VLOOKUP(AD14,Varsayımlar!$B:$Q,8,0))</f>
        <v>25</v>
      </c>
      <c r="R14" s="130" t="str">
        <f>IF(B14="","",VLOOKUP(AD14,Varsayımlar!$B:$Q,9,0))</f>
        <v>Standart</v>
      </c>
      <c r="S14" s="130">
        <f>IF(B14="","",VLOOKUP(AD14,Varsayımlar!$B:$Q,10,0))</f>
        <v>12</v>
      </c>
      <c r="T14" s="130">
        <f>IF(B14="","",VLOOKUP(AD14,Varsayımlar!$B:$Q,11,0))</f>
        <v>12</v>
      </c>
      <c r="U14" s="130">
        <f>IF(B14="","",VLOOKUP(AD14,Varsayımlar!$B:$Q,12,0))</f>
        <v>840</v>
      </c>
      <c r="V14" s="130" t="str">
        <f>IF(B14="","",VLOOKUP(AD14,Varsayımlar!$B:$Q,13,0))</f>
        <v>YURTİÇİ</v>
      </c>
      <c r="W14" s="130">
        <f>IF(B14="","",VLOOKUP(AD14,Varsayımlar!$B:$Q,14,0))</f>
        <v>5</v>
      </c>
      <c r="X14" s="133" t="s">
        <v>113</v>
      </c>
      <c r="Y14" s="133" t="s">
        <v>113</v>
      </c>
      <c r="Z14" s="130" t="s">
        <v>113</v>
      </c>
      <c r="AA14" s="130" t="str">
        <f>IF(B14="","",VLOOKUP(AD14,Varsayımlar!$B:$Q,15,0))</f>
        <v>Nimet Kolisi</v>
      </c>
      <c r="AB14" s="130" t="str">
        <f>IF(B14="","",VLOOKUP(AD14,Varsayımlar!$B:$Q,16,0))</f>
        <v>24-26 CM</v>
      </c>
      <c r="AC14" s="64" t="s">
        <v>360</v>
      </c>
      <c r="AD14" s="57" t="str">
        <f>IF(B14="","",CONCATENATE(B14,E14))</f>
        <v>A101Nimet 25cm 12 pcs 840g</v>
      </c>
    </row>
    <row r="15" spans="1:30" ht="31.5" x14ac:dyDescent="0.25">
      <c r="A15" s="8" t="s">
        <v>87</v>
      </c>
      <c r="B15" s="64" t="s">
        <v>288</v>
      </c>
      <c r="C15" s="3">
        <f>IF(B15="","",VLOOKUP(AD15,Varsayımlar!$B:$Q,3,0))</f>
        <v>8698829380698</v>
      </c>
      <c r="D15" s="3"/>
      <c r="E15" s="64" t="s">
        <v>289</v>
      </c>
      <c r="F15" s="64">
        <v>20201016</v>
      </c>
      <c r="G15" s="3" t="s">
        <v>68</v>
      </c>
      <c r="H15" s="64" t="str">
        <f>IF(B15="","",VLOOKUP(AD15,Varsayımlar!$B:$Q,5,0))</f>
        <v>Tortillas 25cm Tam Buğday</v>
      </c>
      <c r="I15" s="64" t="str">
        <f>IF(B15="","",VLOOKUP(AD15,Varsayımlar!B:T,19,0))</f>
        <v>Arka kısma İçerik</v>
      </c>
      <c r="J15" s="64" t="str">
        <f>IF(B15="","",VLOOKUP(AD15,Varsayımlar!$B:$Q,6,0))</f>
        <v>Tam Buğdaylı</v>
      </c>
      <c r="K15" s="64">
        <v>250</v>
      </c>
      <c r="L15" s="64"/>
      <c r="M15" s="64">
        <f>IFERROR(IF(B15="","",K15/VLOOKUP(AD15,Varsayımlar!B:R,17,0)),"")</f>
        <v>5</v>
      </c>
      <c r="N15" s="64"/>
      <c r="O15" s="64">
        <v>4</v>
      </c>
      <c r="P15" s="64">
        <f>IF(B15="","",VLOOKUP(AD15,Varsayımlar!$B:$Q,7,0)*K15)</f>
        <v>4500</v>
      </c>
      <c r="Q15" s="64">
        <f>IF(B15="","",VLOOKUP(AD15,Varsayımlar!$B:$Q,8,0))</f>
        <v>25</v>
      </c>
      <c r="R15" s="64" t="str">
        <f>IF(B15="","",VLOOKUP(AD15,Varsayımlar!$B:$Q,9,0))</f>
        <v>Irak Soft</v>
      </c>
      <c r="S15" s="64">
        <f>IF(B15="","",VLOOKUP(AD15,Varsayımlar!$B:$Q,10,0))</f>
        <v>6</v>
      </c>
      <c r="T15" s="64">
        <f>IF(B15="","",VLOOKUP(AD15,Varsayımlar!$B:$Q,11,0))</f>
        <v>18</v>
      </c>
      <c r="U15" s="64">
        <f>IF(B15="","",VLOOKUP(AD15,Varsayımlar!$B:$Q,12,0))</f>
        <v>390</v>
      </c>
      <c r="V15" s="64" t="str">
        <f>IF(B15="","",VLOOKUP(AD15,Varsayımlar!$B:$Q,13,0))</f>
        <v>YURTDIŞI</v>
      </c>
      <c r="W15" s="64">
        <f>IF(B15="","",VLOOKUP(AD15,Varsayımlar!$B:$Q,14,0))</f>
        <v>9</v>
      </c>
      <c r="X15" s="66">
        <v>46202</v>
      </c>
      <c r="Y15" s="66">
        <v>46475</v>
      </c>
      <c r="Z15" s="64" t="s">
        <v>378</v>
      </c>
      <c r="AA15" s="64" t="str">
        <f>IF(B15="","",VLOOKUP(AD15,Varsayımlar!$B:$Q,15,0))</f>
        <v>25cm Koli-Kazakça Etiketli</v>
      </c>
      <c r="AB15" s="64" t="str">
        <f>IF(B15="","",VLOOKUP(AD15,Varsayımlar!$B:$Q,16,0))</f>
        <v>24-26 cm</v>
      </c>
      <c r="AC15" s="64" t="str">
        <f>IF(B15="","",VLOOKUP(Sayfa1!AD40,Varsayımlar!B:S,18,0))</f>
        <v>80x120cm</v>
      </c>
      <c r="AD15" s="57" t="str">
        <f t="shared" si="0"/>
        <v>UNITERA-KAZAKİSTANTortillas 25cm Tam Buğday 6pcs 390g</v>
      </c>
    </row>
    <row r="16" spans="1:30" ht="31.5" x14ac:dyDescent="0.25">
      <c r="A16" s="8" t="s">
        <v>88</v>
      </c>
      <c r="B16" s="64" t="s">
        <v>288</v>
      </c>
      <c r="C16" s="3">
        <f>IF(B16="","",VLOOKUP(AD16,Varsayımlar!$B:$Q,3,0))</f>
        <v>8698829380698</v>
      </c>
      <c r="D16" s="3"/>
      <c r="E16" s="64" t="s">
        <v>252</v>
      </c>
      <c r="F16" s="64">
        <v>20201016</v>
      </c>
      <c r="G16" s="3" t="s">
        <v>68</v>
      </c>
      <c r="H16" s="64" t="str">
        <f>IF(B16="","",VLOOKUP(AD16,Varsayımlar!$B:$Q,5,0))</f>
        <v>Tortillas 20cm Sade</v>
      </c>
      <c r="I16" s="64" t="str">
        <f>IF(B16="","",VLOOKUP(AD16,Varsayımlar!B:T,19,0))</f>
        <v>Arka kısma İçerik</v>
      </c>
      <c r="J16" s="64" t="str">
        <f>IF(B16="","",VLOOKUP(AD16,Varsayımlar!$B:$Q,6,0))</f>
        <v>SADE</v>
      </c>
      <c r="K16" s="64">
        <v>300</v>
      </c>
      <c r="L16" s="64"/>
      <c r="M16" s="64">
        <f>IFERROR(IF(B16="","",K16/VLOOKUP(AD16,Varsayımlar!B:R,17,0)),"")</f>
        <v>3</v>
      </c>
      <c r="N16" s="64"/>
      <c r="O16" s="64">
        <v>5</v>
      </c>
      <c r="P16" s="64">
        <f>IF(B16="","",VLOOKUP(AD16,Varsayımlar!$B:$Q,7,0)*K16)</f>
        <v>5400</v>
      </c>
      <c r="Q16" s="64">
        <f>IF(B16="","",VLOOKUP(AD16,Varsayımlar!$B:$Q,8,0))</f>
        <v>20</v>
      </c>
      <c r="R16" s="64" t="str">
        <f>IF(B16="","",VLOOKUP(AD16,Varsayımlar!$B:$Q,9,0))</f>
        <v>Irak Soft</v>
      </c>
      <c r="S16" s="64">
        <f>IF(B16="","",VLOOKUP(AD16,Varsayımlar!$B:$Q,10,0))</f>
        <v>6</v>
      </c>
      <c r="T16" s="64">
        <f>IF(B16="","",VLOOKUP(AD16,Varsayımlar!$B:$Q,11,0))</f>
        <v>18</v>
      </c>
      <c r="U16" s="64">
        <f>IF(B16="","",VLOOKUP(AD16,Varsayımlar!$B:$Q,12,0))</f>
        <v>270</v>
      </c>
      <c r="V16" s="64" t="str">
        <f>IF(B16="","",VLOOKUP(AD16,Varsayımlar!$B:$Q,13,0))</f>
        <v>YURTDIŞI</v>
      </c>
      <c r="W16" s="64">
        <f>IF(B16="","",VLOOKUP(AD16,Varsayımlar!$B:$Q,14,0))</f>
        <v>9</v>
      </c>
      <c r="X16" s="66">
        <v>46202</v>
      </c>
      <c r="Y16" s="66">
        <v>46475</v>
      </c>
      <c r="Z16" s="64">
        <v>26062920</v>
      </c>
      <c r="AA16" s="64" t="str">
        <f>IF(B16="","",VLOOKUP(AD16,Varsayımlar!$B:$Q,15,0))</f>
        <v>20cm Koli</v>
      </c>
      <c r="AB16" s="64" t="str">
        <f>IF(B16="","",VLOOKUP(AD16,Varsayımlar!$B:$Q,16,0))</f>
        <v>19-21cm</v>
      </c>
      <c r="AC16" s="64" t="str">
        <f>IF(B16="","",VLOOKUP(Sayfa1!AD41,Varsayımlar!B:S,18,0))</f>
        <v>80x120cm</v>
      </c>
      <c r="AD16" s="57" t="str">
        <f t="shared" si="0"/>
        <v>UNITERA-KAZAKİSTANTortillas 20cm Sade 6pcs 270g</v>
      </c>
    </row>
    <row r="17" spans="1:30" ht="31.5" x14ac:dyDescent="0.25">
      <c r="A17" s="8" t="s">
        <v>89</v>
      </c>
      <c r="B17" s="80" t="s">
        <v>218</v>
      </c>
      <c r="C17" s="44">
        <f>IF(B17="","",VLOOKUP(AD17,Varsayımlar!$B:$Q,3,0))</f>
        <v>8698829380698</v>
      </c>
      <c r="D17" s="44" t="s">
        <v>160</v>
      </c>
      <c r="E17" s="80" t="s">
        <v>229</v>
      </c>
      <c r="F17" s="80">
        <v>26042907</v>
      </c>
      <c r="G17" s="44"/>
      <c r="H17" s="80" t="str">
        <f>IF(B17="","",VLOOKUP(AD17,Varsayımlar!$B:$Q,5,0))</f>
        <v>Tortillas Avrupa 25cm Tam Buğday (711)</v>
      </c>
      <c r="I17" s="80">
        <f>IF(B17="","",VLOOKUP(AD17,Varsayımlar!B:T,19,0))</f>
        <v>0</v>
      </c>
      <c r="J17" s="80" t="str">
        <f>IF(B17="","",VLOOKUP(AD17,Varsayımlar!$B:$Q,6,0))</f>
        <v>Tam Buğdaylı</v>
      </c>
      <c r="K17" s="80">
        <v>840</v>
      </c>
      <c r="L17" s="80"/>
      <c r="M17" s="80">
        <f>IFERROR(IF(B17="","",K17/VLOOKUP(AD17,Varsayımlar!B:R,17,0)),"")</f>
        <v>7</v>
      </c>
      <c r="N17" s="80"/>
      <c r="O17" s="80">
        <v>9</v>
      </c>
      <c r="P17" s="80">
        <f>IF(B17="","",VLOOKUP(AD17,Varsayımlar!$B:$Q,7,0)*K17)</f>
        <v>6720</v>
      </c>
      <c r="Q17" s="80">
        <f>IF(B17="","",VLOOKUP(AD17,Varsayımlar!$B:$Q,8,0))</f>
        <v>25</v>
      </c>
      <c r="R17" s="80" t="str">
        <f>IF(B17="","",VLOOKUP(AD17,Varsayımlar!$B:$Q,9,0))</f>
        <v>Irak Soft</v>
      </c>
      <c r="S17" s="80">
        <f>IF(B17="","",VLOOKUP(AD17,Varsayımlar!$B:$Q,10,0))</f>
        <v>10</v>
      </c>
      <c r="T17" s="80">
        <f>IF(B17="","",VLOOKUP(AD17,Varsayımlar!$B:$Q,11,0))</f>
        <v>8</v>
      </c>
      <c r="U17" s="80">
        <f>IF(B17="","",VLOOKUP(AD17,Varsayımlar!$B:$Q,12,0))</f>
        <v>650</v>
      </c>
      <c r="V17" s="80" t="str">
        <f>IF(B17="","",VLOOKUP(AD17,Varsayımlar!$B:$Q,13,0))</f>
        <v>Yurtdışı</v>
      </c>
      <c r="W17" s="80">
        <f>IF(B17="","",VLOOKUP(AD17,Varsayımlar!$B:$Q,14,0))</f>
        <v>9</v>
      </c>
      <c r="X17" s="81">
        <v>46203</v>
      </c>
      <c r="Y17" s="81">
        <v>46476</v>
      </c>
      <c r="Z17" s="80" t="s">
        <v>379</v>
      </c>
      <c r="AA17" s="80" t="str">
        <f>IF(B17="","",VLOOKUP(AD17,Varsayımlar!$B:$Q,15,0))</f>
        <v>25cm Perforeli-Bulgarca TB etiket</v>
      </c>
      <c r="AB17" s="80" t="str">
        <f>IF(B17="","",VLOOKUP(AD17,Varsayımlar!$B:$Q,16,0))</f>
        <v>24-26 cm</v>
      </c>
      <c r="AC17" s="80" t="str">
        <f>IF(B17="","",VLOOKUP(Sayfa1!AD57,Varsayımlar!B:S,18,0))</f>
        <v>80x120cm -Epal+Epal</v>
      </c>
      <c r="AD17" s="57" t="str">
        <f t="shared" si="0"/>
        <v>TASTE LAND-BULGARİSTANTortillas 25cm Tam Buğday 10pcs 650g</v>
      </c>
    </row>
    <row r="18" spans="1:30" ht="47.25" x14ac:dyDescent="0.25">
      <c r="A18" s="8" t="s">
        <v>90</v>
      </c>
      <c r="B18" s="80" t="s">
        <v>218</v>
      </c>
      <c r="C18" s="44">
        <f>IF(B18="","",VLOOKUP(AD18,Varsayımlar!$B:$Q,3,0))</f>
        <v>8698829380698</v>
      </c>
      <c r="D18" s="44" t="s">
        <v>160</v>
      </c>
      <c r="E18" s="80" t="s">
        <v>232</v>
      </c>
      <c r="F18" s="80">
        <v>26042907</v>
      </c>
      <c r="G18" s="44"/>
      <c r="H18" s="80" t="str">
        <f>IF(B18="","",VLOOKUP(AD18,Varsayımlar!$B:$Q,5,0))</f>
        <v>Tortillas Avrupa 25cm Domatesli (074)</v>
      </c>
      <c r="I18" s="80">
        <f>IF(B18="","",VLOOKUP(AD18,Varsayımlar!B:T,19,0))</f>
        <v>0</v>
      </c>
      <c r="J18" s="80" t="str">
        <f>IF(B18="","",VLOOKUP(AD18,Varsayımlar!$B:$Q,6,0))</f>
        <v>Domatesli</v>
      </c>
      <c r="K18" s="80">
        <v>480</v>
      </c>
      <c r="L18" s="80"/>
      <c r="M18" s="80">
        <f>IFERROR(IF(B18="","",K18/VLOOKUP(AD18,Varsayımlar!B:R,17,0)),"")</f>
        <v>4</v>
      </c>
      <c r="N18" s="80"/>
      <c r="O18" s="80">
        <v>5</v>
      </c>
      <c r="P18" s="80">
        <f>IF(B18="","",VLOOKUP(AD18,Varsayımlar!$B:$Q,7,0)*K18)</f>
        <v>5760</v>
      </c>
      <c r="Q18" s="80">
        <f>IF(B18="","",VLOOKUP(AD18,Varsayımlar!$B:$Q,8,0))</f>
        <v>25</v>
      </c>
      <c r="R18" s="80" t="str">
        <f>IF(B18="","",VLOOKUP(AD18,Varsayımlar!$B:$Q,9,0))</f>
        <v>Irak Soft</v>
      </c>
      <c r="S18" s="80">
        <f>IF(B18="","",VLOOKUP(AD18,Varsayımlar!$B:$Q,10,0))</f>
        <v>6</v>
      </c>
      <c r="T18" s="80">
        <f>IF(B18="","",VLOOKUP(AD18,Varsayımlar!$B:$Q,11,0))</f>
        <v>12</v>
      </c>
      <c r="U18" s="80">
        <f>IF(B18="","",VLOOKUP(AD18,Varsayımlar!$B:$Q,12,0))</f>
        <v>390</v>
      </c>
      <c r="V18" s="80" t="str">
        <f>IF(B18="","",VLOOKUP(AD18,Varsayımlar!$B:$Q,13,0))</f>
        <v>Yurtdışı</v>
      </c>
      <c r="W18" s="80">
        <f>IF(B18="","",VLOOKUP(AD18,Varsayımlar!$B:$Q,14,0))</f>
        <v>9</v>
      </c>
      <c r="X18" s="81">
        <v>46203</v>
      </c>
      <c r="Y18" s="81">
        <v>46476</v>
      </c>
      <c r="Z18" s="80" t="s">
        <v>380</v>
      </c>
      <c r="AA18" s="80" t="str">
        <f>IF(B18="","",VLOOKUP(AD18,Varsayımlar!$B:$Q,15,0))</f>
        <v>25cm Perforeli-Bulgarca Domatesli etiket</v>
      </c>
      <c r="AB18" s="80" t="str">
        <f>IF(B18="","",VLOOKUP(AD18,Varsayımlar!$B:$Q,16,0))</f>
        <v>24-26 cm</v>
      </c>
      <c r="AC18" s="80" t="str">
        <f>IF(B18="","",VLOOKUP(Sayfa1!AD58,Varsayımlar!B:S,18,0))</f>
        <v>80x120cm -Epal+Epal</v>
      </c>
      <c r="AD18" s="57" t="str">
        <f t="shared" si="0"/>
        <v>TASTE LAND-BULGARİSTANTortillas 25cm Domatesli 6pcs 390g</v>
      </c>
    </row>
    <row r="19" spans="1:30" ht="47.25" x14ac:dyDescent="0.25">
      <c r="A19" s="8" t="s">
        <v>91</v>
      </c>
      <c r="B19" s="80" t="s">
        <v>218</v>
      </c>
      <c r="C19" s="44">
        <f>IF(B19="","",VLOOKUP(AD19,Varsayımlar!$B:$Q,3,0))</f>
        <v>8698829380698</v>
      </c>
      <c r="D19" s="44" t="s">
        <v>160</v>
      </c>
      <c r="E19" s="80" t="s">
        <v>235</v>
      </c>
      <c r="F19" s="80">
        <v>26042907</v>
      </c>
      <c r="G19" s="44"/>
      <c r="H19" s="80" t="str">
        <f>IF(B19="","",VLOOKUP(AD19,Varsayımlar!$B:$Q,5,0))</f>
        <v>Tortillas Avrupa 25cm Ispanaklı (081)</v>
      </c>
      <c r="I19" s="80">
        <f>IF(B19="","",VLOOKUP(AD19,Varsayımlar!B:T,19,0))</f>
        <v>0</v>
      </c>
      <c r="J19" s="80" t="str">
        <f>IF(B19="","",VLOOKUP(AD19,Varsayımlar!$B:$Q,6,0))</f>
        <v>Ispanaklı</v>
      </c>
      <c r="K19" s="80">
        <v>480</v>
      </c>
      <c r="L19" s="80"/>
      <c r="M19" s="80">
        <f>IFERROR(IF(B19="","",K19/VLOOKUP(AD19,Varsayımlar!B:R,17,0)),"")</f>
        <v>4</v>
      </c>
      <c r="N19" s="80"/>
      <c r="O19" s="80">
        <v>5</v>
      </c>
      <c r="P19" s="80">
        <f>IF(B19="","",VLOOKUP(AD19,Varsayımlar!$B:$Q,7,0)*K19)</f>
        <v>5760</v>
      </c>
      <c r="Q19" s="80">
        <f>IF(B19="","",VLOOKUP(AD19,Varsayımlar!$B:$Q,8,0))</f>
        <v>25</v>
      </c>
      <c r="R19" s="80" t="str">
        <f>IF(B19="","",VLOOKUP(AD19,Varsayımlar!$B:$Q,9,0))</f>
        <v>Irak Soft</v>
      </c>
      <c r="S19" s="80">
        <f>IF(B19="","",VLOOKUP(AD19,Varsayımlar!$B:$Q,10,0))</f>
        <v>6</v>
      </c>
      <c r="T19" s="80">
        <f>IF(B19="","",VLOOKUP(AD19,Varsayımlar!$B:$Q,11,0))</f>
        <v>12</v>
      </c>
      <c r="U19" s="80">
        <f>IF(B19="","",VLOOKUP(AD19,Varsayımlar!$B:$Q,12,0))</f>
        <v>390</v>
      </c>
      <c r="V19" s="80" t="str">
        <f>IF(B19="","",VLOOKUP(AD19,Varsayımlar!$B:$Q,13,0))</f>
        <v>Yurtdışı</v>
      </c>
      <c r="W19" s="80">
        <f>IF(B19="","",VLOOKUP(AD19,Varsayımlar!$B:$Q,14,0))</f>
        <v>9</v>
      </c>
      <c r="X19" s="81">
        <v>46203</v>
      </c>
      <c r="Y19" s="81">
        <v>46476</v>
      </c>
      <c r="Z19" s="80" t="s">
        <v>381</v>
      </c>
      <c r="AA19" s="80" t="str">
        <f>IF(B19="","",VLOOKUP(AD19,Varsayımlar!$B:$Q,15,0))</f>
        <v>25cm Perforeli-Bulgarca Ispanaklı etiket</v>
      </c>
      <c r="AB19" s="80" t="str">
        <f>IF(B19="","",VLOOKUP(AD19,Varsayımlar!$B:$Q,16,0))</f>
        <v>24-26 cm</v>
      </c>
      <c r="AC19" s="80" t="str">
        <f>IF(B19="","",VLOOKUP(Sayfa1!AD59,Varsayımlar!B:S,18,0))</f>
        <v>80x120cm -Epal+Epal</v>
      </c>
      <c r="AD19" s="57" t="str">
        <f t="shared" si="0"/>
        <v>TASTE LAND-BULGARİSTANTortillas 25cm Ispanaklı 6pcs 390g</v>
      </c>
    </row>
    <row r="20" spans="1:30" ht="47.25" x14ac:dyDescent="0.25">
      <c r="A20" s="8" t="s">
        <v>92</v>
      </c>
      <c r="B20" s="80" t="s">
        <v>218</v>
      </c>
      <c r="C20" s="44">
        <f>IF(B20="","",VLOOKUP(AD20,Varsayımlar!$B:$Q,3,0))</f>
        <v>8698829380698</v>
      </c>
      <c r="D20" s="44" t="s">
        <v>160</v>
      </c>
      <c r="E20" s="80" t="s">
        <v>240</v>
      </c>
      <c r="F20" s="80">
        <v>26042907</v>
      </c>
      <c r="G20" s="44"/>
      <c r="H20" s="80" t="str">
        <f>IF(B20="","",VLOOKUP(AD20,Varsayımlar!$B:$Q,5,0))</f>
        <v>Tortillas Avrupa 25cm Peynirli (098)</v>
      </c>
      <c r="I20" s="80">
        <f>IF(B20="","",VLOOKUP(AD20,Varsayımlar!B:T,19,0))</f>
        <v>0</v>
      </c>
      <c r="J20" s="80" t="str">
        <f>IF(B20="","",VLOOKUP(AD20,Varsayımlar!$B:$Q,6,0))</f>
        <v>Peynirli</v>
      </c>
      <c r="K20" s="80">
        <v>360</v>
      </c>
      <c r="L20" s="80"/>
      <c r="M20" s="80">
        <f>IFERROR(IF(B20="","",K20/VLOOKUP(AD20,Varsayımlar!B:R,17,0)),"")</f>
        <v>3</v>
      </c>
      <c r="N20" s="80"/>
      <c r="O20" s="80">
        <v>4</v>
      </c>
      <c r="P20" s="80">
        <f>IF(B20="","",VLOOKUP(AD20,Varsayımlar!$B:$Q,7,0)*K20)</f>
        <v>4320</v>
      </c>
      <c r="Q20" s="80">
        <f>IF(B20="","",VLOOKUP(AD20,Varsayımlar!$B:$Q,8,0))</f>
        <v>25</v>
      </c>
      <c r="R20" s="80" t="str">
        <f>IF(B20="","",VLOOKUP(AD20,Varsayımlar!$B:$Q,9,0))</f>
        <v>Irak Soft-AT</v>
      </c>
      <c r="S20" s="80">
        <f>IF(B20="","",VLOOKUP(AD20,Varsayımlar!$B:$Q,10,0))</f>
        <v>6</v>
      </c>
      <c r="T20" s="80">
        <f>IF(B20="","",VLOOKUP(AD20,Varsayımlar!$B:$Q,11,0))</f>
        <v>12</v>
      </c>
      <c r="U20" s="80">
        <f>IF(B20="","",VLOOKUP(AD20,Varsayımlar!$B:$Q,12,0))</f>
        <v>390</v>
      </c>
      <c r="V20" s="80" t="str">
        <f>IF(B20="","",VLOOKUP(AD20,Varsayımlar!$B:$Q,13,0))</f>
        <v>Yurtdışı</v>
      </c>
      <c r="W20" s="80">
        <f>IF(B20="","",VLOOKUP(AD20,Varsayımlar!$B:$Q,14,0))</f>
        <v>9</v>
      </c>
      <c r="X20" s="81">
        <v>46203</v>
      </c>
      <c r="Y20" s="81">
        <v>46476</v>
      </c>
      <c r="Z20" s="80" t="s">
        <v>382</v>
      </c>
      <c r="AA20" s="80" t="str">
        <f>IF(B20="","",VLOOKUP(AD20,Varsayımlar!$B:$Q,15,0))</f>
        <v>25cm Perforeli-Bulgarca Peynirli etiket</v>
      </c>
      <c r="AB20" s="80" t="str">
        <f>IF(B20="","",VLOOKUP(AD20,Varsayımlar!$B:$Q,16,0))</f>
        <v>24-26 cm</v>
      </c>
      <c r="AC20" s="80" t="str">
        <f>IF(B20="","",VLOOKUP(Sayfa1!AD60,Varsayımlar!B:S,18,0))</f>
        <v>80x120cm -Epal+Epal</v>
      </c>
      <c r="AD20" s="57" t="str">
        <f t="shared" si="0"/>
        <v>TASTE LAND-BULGARİSTANTortillas 25cm Peynirli 6pcs 390g</v>
      </c>
    </row>
    <row r="21" spans="1:30" ht="47.25" x14ac:dyDescent="0.25">
      <c r="A21" s="8" t="s">
        <v>93</v>
      </c>
      <c r="B21" s="54" t="s">
        <v>268</v>
      </c>
      <c r="C21" s="39">
        <f>IF(B21="","",VLOOKUP(AD21,Varsayımlar!$B:$Q,3,0))</f>
        <v>8698829380698</v>
      </c>
      <c r="D21" s="39" t="s">
        <v>160</v>
      </c>
      <c r="E21" s="54" t="s">
        <v>269</v>
      </c>
      <c r="F21" s="54" t="s">
        <v>343</v>
      </c>
      <c r="G21" s="39" t="s">
        <v>68</v>
      </c>
      <c r="H21" s="54" t="str">
        <f>IF(B21="","",VLOOKUP(AD21,Varsayımlar!$B:$Q,5,0))</f>
        <v>Tortillas 25cm Tam Buğday</v>
      </c>
      <c r="I21" s="54">
        <f>IF(B21="","",VLOOKUP(AD21,Varsayımlar!B:T,19,0))</f>
        <v>0</v>
      </c>
      <c r="J21" s="54" t="str">
        <f>IF(B21="","",VLOOKUP(AD21,Varsayımlar!$B:$Q,6,0))</f>
        <v>Tam Buğdaylı</v>
      </c>
      <c r="K21" s="54">
        <v>336</v>
      </c>
      <c r="L21" s="54"/>
      <c r="M21" s="54">
        <f>IFERROR(IF(B21="","",K21/VLOOKUP(AD21,Varsayımlar!B:R,17,0)),"")</f>
        <v>4</v>
      </c>
      <c r="N21" s="54"/>
      <c r="O21" s="54">
        <v>6</v>
      </c>
      <c r="P21" s="54">
        <f>IF(B21="","",VLOOKUP(AD21,Varsayımlar!$B:$Q,7,0)*K21)</f>
        <v>10080</v>
      </c>
      <c r="Q21" s="54">
        <f>IF(B21="","",VLOOKUP(AD21,Varsayımlar!$B:$Q,8,0))</f>
        <v>25</v>
      </c>
      <c r="R21" s="54" t="str">
        <f>IF(B21="","",VLOOKUP(AD21,Varsayımlar!$B:$Q,9,0))</f>
        <v>Soft-PA3</v>
      </c>
      <c r="S21" s="54">
        <f>IF(B21="","",VLOOKUP(AD21,Varsayımlar!$B:$Q,10,0))</f>
        <v>4</v>
      </c>
      <c r="T21" s="54">
        <f>IF(B21="","",VLOOKUP(AD21,Varsayımlar!$B:$Q,11,0))</f>
        <v>30</v>
      </c>
      <c r="U21" s="54">
        <f>IF(B21="","",VLOOKUP(AD21,Varsayımlar!$B:$Q,12,0))</f>
        <v>240</v>
      </c>
      <c r="V21" s="54" t="str">
        <f>IF(B21="","",VLOOKUP(AD21,Varsayımlar!$B:$Q,13,0))</f>
        <v>Yurtdışı</v>
      </c>
      <c r="W21" s="54">
        <f>IF(B21="","",VLOOKUP(AD21,Varsayımlar!$B:$Q,14,0))</f>
        <v>12</v>
      </c>
      <c r="X21" s="56">
        <v>46205</v>
      </c>
      <c r="Y21" s="56">
        <v>46570</v>
      </c>
      <c r="Z21" s="54" t="s">
        <v>383</v>
      </c>
      <c r="AA21" s="54" t="str">
        <f>IF(B21="","",VLOOKUP(AD21,Varsayımlar!$B:$Q,15,0))</f>
        <v>25cm Kolisi-Etiketli</v>
      </c>
      <c r="AB21" s="54" t="str">
        <f>IF(B21="","",VLOOKUP(AD21,Varsayımlar!$B:$Q,16,0))</f>
        <v>24-26 cm (Macca Hetto Inkjet Uzun Tarih)</v>
      </c>
      <c r="AC21" s="54" t="str">
        <f>IF(B21="","",VLOOKUP(Sayfa1!AD36,Varsayımlar!B:S,18,0))</f>
        <v>80x120cm</v>
      </c>
      <c r="AD21" s="57" t="str">
        <f t="shared" si="0"/>
        <v>LAIKYUZHN-BELARUSTortillas 25cm Tam buğday 4pcs 240g</v>
      </c>
    </row>
    <row r="22" spans="1:30" ht="47.25" x14ac:dyDescent="0.25">
      <c r="A22" s="8" t="s">
        <v>135</v>
      </c>
      <c r="B22" s="54" t="s">
        <v>268</v>
      </c>
      <c r="C22" s="39">
        <f>IF(B22="","",VLOOKUP(AD22,Varsayımlar!$B:$Q,3,0))</f>
        <v>8698829380698</v>
      </c>
      <c r="D22" s="39" t="s">
        <v>160</v>
      </c>
      <c r="E22" s="54" t="s">
        <v>274</v>
      </c>
      <c r="F22" s="54" t="s">
        <v>343</v>
      </c>
      <c r="G22" s="39" t="s">
        <v>68</v>
      </c>
      <c r="H22" s="54" t="str">
        <f>IF(B22="","",VLOOKUP(AD22,Varsayımlar!$B:$Q,5,0))</f>
        <v>Tortillas 25cm Domatesli</v>
      </c>
      <c r="I22" s="54">
        <f>IF(B22="","",VLOOKUP(AD22,Varsayımlar!B:T,19,0))</f>
        <v>0</v>
      </c>
      <c r="J22" s="54" t="str">
        <f>IF(B22="","",VLOOKUP(AD22,Varsayımlar!$B:$Q,6,0))</f>
        <v>Domatesli</v>
      </c>
      <c r="K22" s="54">
        <v>420</v>
      </c>
      <c r="L22" s="54"/>
      <c r="M22" s="54">
        <f>IFERROR(IF(B22="","",K22/VLOOKUP(AD22,Varsayımlar!B:R,17,0)),"")</f>
        <v>5</v>
      </c>
      <c r="N22" s="54"/>
      <c r="O22" s="54">
        <v>7</v>
      </c>
      <c r="P22" s="54">
        <f>IF(B22="","",VLOOKUP(AD22,Varsayımlar!$B:$Q,7,0)*K22)</f>
        <v>12600</v>
      </c>
      <c r="Q22" s="54">
        <f>IF(B22="","",VLOOKUP(AD22,Varsayımlar!$B:$Q,8,0))</f>
        <v>25</v>
      </c>
      <c r="R22" s="54" t="str">
        <f>IF(B22="","",VLOOKUP(AD22,Varsayımlar!$B:$Q,9,0))</f>
        <v>Soft-PA3</v>
      </c>
      <c r="S22" s="54">
        <f>IF(B22="","",VLOOKUP(AD22,Varsayımlar!$B:$Q,10,0))</f>
        <v>4</v>
      </c>
      <c r="T22" s="54">
        <f>IF(B22="","",VLOOKUP(AD22,Varsayımlar!$B:$Q,11,0))</f>
        <v>30</v>
      </c>
      <c r="U22" s="54">
        <f>IF(B22="","",VLOOKUP(AD22,Varsayımlar!$B:$Q,12,0))</f>
        <v>240</v>
      </c>
      <c r="V22" s="54" t="str">
        <f>IF(B22="","",VLOOKUP(AD22,Varsayımlar!$B:$Q,13,0))</f>
        <v>Yurtdışı</v>
      </c>
      <c r="W22" s="54">
        <f>IF(B22="","",VLOOKUP(AD22,Varsayımlar!$B:$Q,14,0))</f>
        <v>12</v>
      </c>
      <c r="X22" s="56">
        <v>46205</v>
      </c>
      <c r="Y22" s="56">
        <v>46570</v>
      </c>
      <c r="Z22" s="54" t="s">
        <v>384</v>
      </c>
      <c r="AA22" s="54" t="str">
        <f>IF(B22="","",VLOOKUP(AD22,Varsayımlar!$B:$Q,15,0))</f>
        <v>25cm Kolisi-Etiketli</v>
      </c>
      <c r="AB22" s="54" t="str">
        <f>IF(B22="","",VLOOKUP(AD22,Varsayımlar!$B:$Q,16,0))</f>
        <v>24-26 cm (Macca Hetto Inkjet Uzun Tarih)</v>
      </c>
      <c r="AC22" s="54" t="str">
        <f>IF(B22="","",VLOOKUP(Sayfa1!AD37,Varsayımlar!B:S,18,0))</f>
        <v>80x120cm</v>
      </c>
      <c r="AD22" s="57" t="str">
        <f t="shared" si="0"/>
        <v>LAIKYUZHN-BELARUSTortillas 25cm Domatesli 4pcs 240g</v>
      </c>
    </row>
    <row r="23" spans="1:30" ht="47.25" x14ac:dyDescent="0.25">
      <c r="A23" s="8" t="s">
        <v>136</v>
      </c>
      <c r="B23" s="54" t="s">
        <v>268</v>
      </c>
      <c r="C23" s="39">
        <f>IF(B23="","",VLOOKUP(AD23,Varsayımlar!$B:$Q,3,0))</f>
        <v>8698829380698</v>
      </c>
      <c r="D23" s="39" t="s">
        <v>160</v>
      </c>
      <c r="E23" s="54" t="s">
        <v>276</v>
      </c>
      <c r="F23" s="54" t="s">
        <v>343</v>
      </c>
      <c r="G23" s="39" t="s">
        <v>68</v>
      </c>
      <c r="H23" s="54" t="str">
        <f>IF(B23="","",VLOOKUP(AD23,Varsayımlar!$B:$Q,5,0))</f>
        <v>Tortillas 25cm Ispanaklı</v>
      </c>
      <c r="I23" s="54">
        <f>IF(B23="","",VLOOKUP(AD23,Varsayımlar!B:T,19,0))</f>
        <v>0</v>
      </c>
      <c r="J23" s="54" t="str">
        <f>IF(B23="","",VLOOKUP(AD23,Varsayımlar!$B:$Q,6,0))</f>
        <v>Ispanaklı</v>
      </c>
      <c r="K23" s="54">
        <v>336</v>
      </c>
      <c r="L23" s="54"/>
      <c r="M23" s="54">
        <f>IFERROR(IF(B23="","",K23/VLOOKUP(AD23,Varsayımlar!B:R,17,0)),"")</f>
        <v>4</v>
      </c>
      <c r="N23" s="54"/>
      <c r="O23" s="54">
        <v>6</v>
      </c>
      <c r="P23" s="54">
        <f>IF(B23="","",VLOOKUP(AD23,Varsayımlar!$B:$Q,7,0)*K23)</f>
        <v>10080</v>
      </c>
      <c r="Q23" s="54">
        <f>IF(B23="","",VLOOKUP(AD23,Varsayımlar!$B:$Q,8,0))</f>
        <v>25</v>
      </c>
      <c r="R23" s="54" t="str">
        <f>IF(B23="","",VLOOKUP(AD23,Varsayımlar!$B:$Q,9,0))</f>
        <v>Soft-PA3</v>
      </c>
      <c r="S23" s="54">
        <f>IF(B23="","",VLOOKUP(AD23,Varsayımlar!$B:$Q,10,0))</f>
        <v>4</v>
      </c>
      <c r="T23" s="54">
        <f>IF(B23="","",VLOOKUP(AD23,Varsayımlar!$B:$Q,11,0))</f>
        <v>30</v>
      </c>
      <c r="U23" s="54">
        <f>IF(B23="","",VLOOKUP(AD23,Varsayımlar!$B:$Q,12,0))</f>
        <v>240</v>
      </c>
      <c r="V23" s="54" t="str">
        <f>IF(B23="","",VLOOKUP(AD23,Varsayımlar!$B:$Q,13,0))</f>
        <v>Yurtdışı</v>
      </c>
      <c r="W23" s="54">
        <f>IF(B23="","",VLOOKUP(AD23,Varsayımlar!$B:$Q,14,0))</f>
        <v>12</v>
      </c>
      <c r="X23" s="56">
        <v>46205</v>
      </c>
      <c r="Y23" s="56">
        <v>46570</v>
      </c>
      <c r="Z23" s="54" t="s">
        <v>385</v>
      </c>
      <c r="AA23" s="54" t="str">
        <f>IF(B23="","",VLOOKUP(AD23,Varsayımlar!$B:$Q,15,0))</f>
        <v>25cm Kolisi-Etiketli</v>
      </c>
      <c r="AB23" s="54" t="str">
        <f>IF(B23="","",VLOOKUP(AD23,Varsayımlar!$B:$Q,16,0))</f>
        <v>24-26 cm (Macca Hetto Inkjet Uzun Tarih)</v>
      </c>
      <c r="AC23" s="54" t="str">
        <f>IF(B23="","",VLOOKUP(Sayfa1!AD38,Varsayımlar!B:S,18,0))</f>
        <v>80x120cm</v>
      </c>
      <c r="AD23" s="57" t="str">
        <f t="shared" si="0"/>
        <v>LAIKYUZHN-BELARUSTortillas 25cm Ispanaklı 4pcs 240g</v>
      </c>
    </row>
    <row r="24" spans="1:30" ht="47.25" x14ac:dyDescent="0.25">
      <c r="A24" s="8" t="s">
        <v>137</v>
      </c>
      <c r="B24" s="54" t="s">
        <v>268</v>
      </c>
      <c r="C24" s="39">
        <f>IF(B24="","",VLOOKUP(AD24,Varsayımlar!$B:$Q,3,0))</f>
        <v>8698829380698</v>
      </c>
      <c r="D24" s="39" t="s">
        <v>160</v>
      </c>
      <c r="E24" s="54" t="s">
        <v>278</v>
      </c>
      <c r="F24" s="54" t="s">
        <v>343</v>
      </c>
      <c r="G24" s="39" t="s">
        <v>68</v>
      </c>
      <c r="H24" s="54" t="str">
        <f>IF(B24="","",VLOOKUP(AD24,Varsayımlar!$B:$Q,5,0))</f>
        <v>Magnit Tortillas 25cm Peynirli</v>
      </c>
      <c r="I24" s="54" t="str">
        <f>IF(B24="","",VLOOKUP(AD24,Varsayımlar!B:T,19,0))</f>
        <v>Etiketli</v>
      </c>
      <c r="J24" s="54" t="str">
        <f>IF(B24="","",VLOOKUP(AD24,Varsayımlar!$B:$Q,6,0))</f>
        <v>Peynirli</v>
      </c>
      <c r="K24" s="54">
        <v>504</v>
      </c>
      <c r="L24" s="54"/>
      <c r="M24" s="54">
        <f>IFERROR(IF(B24="","",K24/VLOOKUP(AD24,Varsayımlar!B:R,17,0)),"")</f>
        <v>6</v>
      </c>
      <c r="N24" s="54"/>
      <c r="O24" s="54">
        <v>9</v>
      </c>
      <c r="P24" s="54">
        <f>IF(B24="","",VLOOKUP(AD24,Varsayımlar!$B:$Q,7,0)*K24)</f>
        <v>15120</v>
      </c>
      <c r="Q24" s="54">
        <f>IF(B24="","",VLOOKUP(AD24,Varsayımlar!$B:$Q,8,0))</f>
        <v>25</v>
      </c>
      <c r="R24" s="54" t="str">
        <f>IF(B24="","",VLOOKUP(AD24,Varsayımlar!$B:$Q,9,0))</f>
        <v>Soft-PA3-AT</v>
      </c>
      <c r="S24" s="54">
        <f>IF(B24="","",VLOOKUP(AD24,Varsayımlar!$B:$Q,10,0))</f>
        <v>4</v>
      </c>
      <c r="T24" s="54">
        <f>IF(B24="","",VLOOKUP(AD24,Varsayımlar!$B:$Q,11,0))</f>
        <v>30</v>
      </c>
      <c r="U24" s="54">
        <f>IF(B24="","",VLOOKUP(AD24,Varsayımlar!$B:$Q,12,0))</f>
        <v>250</v>
      </c>
      <c r="V24" s="54" t="str">
        <f>IF(B24="","",VLOOKUP(AD24,Varsayımlar!$B:$Q,13,0))</f>
        <v>Yurtdışı</v>
      </c>
      <c r="W24" s="54">
        <f>IF(B24="","",VLOOKUP(AD24,Varsayımlar!$B:$Q,14,0))</f>
        <v>9</v>
      </c>
      <c r="X24" s="56">
        <v>46205</v>
      </c>
      <c r="Y24" s="56">
        <v>46479</v>
      </c>
      <c r="Z24" s="54" t="s">
        <v>386</v>
      </c>
      <c r="AA24" s="54" t="str">
        <f>IF(B24="","",VLOOKUP(AD24,Varsayımlar!$B:$Q,15,0))</f>
        <v>25cm Kolisi-Etiketli</v>
      </c>
      <c r="AB24" s="54" t="str">
        <f>IF(B24="","",VLOOKUP(AD24,Varsayımlar!$B:$Q,16,0))</f>
        <v>24-26 cm (Macca Hetto Inkjet Uzun Tarih)</v>
      </c>
      <c r="AC24" s="54" t="str">
        <f>IF(B24="","",VLOOKUP(Sayfa1!AD39,Varsayımlar!B:S,18,0))</f>
        <v>80x120cm</v>
      </c>
      <c r="AD24" s="57" t="str">
        <f t="shared" si="0"/>
        <v>LAIKYUZHN-BELARUSMagnit Tortillas 25cm Peynirli 4pcs 240g</v>
      </c>
    </row>
    <row r="25" spans="1:30" ht="45.75" customHeight="1" x14ac:dyDescent="0.25">
      <c r="A25" s="8" t="s">
        <v>138</v>
      </c>
      <c r="B25" s="130" t="s">
        <v>119</v>
      </c>
      <c r="C25" s="131">
        <f>IF(B25="","",VLOOKUP(AD25,Varsayımlar!$B:$Q,3,0))</f>
        <v>8698829380698</v>
      </c>
      <c r="D25" s="131"/>
      <c r="E25" s="132" t="s">
        <v>120</v>
      </c>
      <c r="F25" s="130"/>
      <c r="G25" s="130"/>
      <c r="H25" s="130" t="str">
        <f>IF(B25="","",VLOOKUP(AD25,Varsayımlar!$B:$Q,5,0))</f>
        <v>Nimet 25 cm</v>
      </c>
      <c r="I25" s="130"/>
      <c r="J25" s="130" t="str">
        <f>IF(B25="","",VLOOKUP(AD25,Varsayımlar!$B:$Q,6,0))</f>
        <v>SADE</v>
      </c>
      <c r="K25" s="130">
        <v>5000</v>
      </c>
      <c r="L25" s="130"/>
      <c r="M25" s="130">
        <f>IFERROR(IF(B25="","",K25/VLOOKUP(AD25,Varsayımlar!B:R,17,0)),"")</f>
        <v>100</v>
      </c>
      <c r="N25" s="130"/>
      <c r="O25" s="130">
        <v>100</v>
      </c>
      <c r="P25" s="130">
        <f>IF(B25="","",VLOOKUP(AD25,Varsayımlar!$B:$Q,7,0)*K25)</f>
        <v>60000</v>
      </c>
      <c r="Q25" s="130">
        <f>IF(B25="","",VLOOKUP(AD25,Varsayımlar!$B:$Q,8,0))</f>
        <v>25</v>
      </c>
      <c r="R25" s="130" t="str">
        <f>IF(B25="","",VLOOKUP(AD25,Varsayımlar!$B:$Q,9,0))</f>
        <v>Standart</v>
      </c>
      <c r="S25" s="130">
        <f>IF(B25="","",VLOOKUP(AD25,Varsayımlar!$B:$Q,10,0))</f>
        <v>12</v>
      </c>
      <c r="T25" s="130">
        <f>IF(B25="","",VLOOKUP(AD25,Varsayımlar!$B:$Q,11,0))</f>
        <v>12</v>
      </c>
      <c r="U25" s="130">
        <f>IF(B25="","",VLOOKUP(AD25,Varsayımlar!$B:$Q,12,0))</f>
        <v>840</v>
      </c>
      <c r="V25" s="130" t="str">
        <f>IF(B25="","",VLOOKUP(AD25,Varsayımlar!$B:$Q,13,0))</f>
        <v>YURTİÇİ</v>
      </c>
      <c r="W25" s="130">
        <f>IF(B25="","",VLOOKUP(AD25,Varsayımlar!$B:$Q,14,0))</f>
        <v>5</v>
      </c>
      <c r="X25" s="133" t="s">
        <v>113</v>
      </c>
      <c r="Y25" s="133" t="s">
        <v>113</v>
      </c>
      <c r="Z25" s="130" t="s">
        <v>113</v>
      </c>
      <c r="AA25" s="130" t="str">
        <f>IF(B25="","",VLOOKUP(AD25,Varsayımlar!$B:$Q,15,0))</f>
        <v>Nimet Kolisi</v>
      </c>
      <c r="AB25" s="130" t="str">
        <f>IF(B25="","",VLOOKUP(AD25,Varsayımlar!$B:$Q,16,0))</f>
        <v>24-26 CM</v>
      </c>
      <c r="AC25" s="64" t="s">
        <v>360</v>
      </c>
      <c r="AD25" s="57" t="str">
        <f>IF(B25="","",CONCATENATE(B25,E25))</f>
        <v>A101Nimet 25cm 12 pcs 840g</v>
      </c>
    </row>
    <row r="26" spans="1:30" ht="47.25" x14ac:dyDescent="0.25">
      <c r="A26" s="8" t="s">
        <v>139</v>
      </c>
      <c r="B26" s="75" t="s">
        <v>218</v>
      </c>
      <c r="C26" s="43">
        <f>IF(B26="","",VLOOKUP(AD26,Varsayımlar!$B:$Q,3,0))</f>
        <v>8698829380698</v>
      </c>
      <c r="D26" s="43" t="s">
        <v>161</v>
      </c>
      <c r="E26" s="75" t="s">
        <v>252</v>
      </c>
      <c r="F26" s="75" t="s">
        <v>341</v>
      </c>
      <c r="G26" s="43"/>
      <c r="H26" s="75" t="str">
        <f>IF(B26="","",VLOOKUP(AD26,Varsayımlar!$B:$Q,5,0))</f>
        <v xml:space="preserve">Tortillas 20cm Sade </v>
      </c>
      <c r="I26" s="75" t="str">
        <f>IF(B26="","",VLOOKUP(AD26,Varsayımlar!B:T,19,0))</f>
        <v>Barkod üzerine Barkod Etiketi (104)</v>
      </c>
      <c r="J26" s="75" t="str">
        <f>IF(B26="","",VLOOKUP(AD26,Varsayımlar!$B:$Q,6,0))</f>
        <v>SADE</v>
      </c>
      <c r="K26" s="75">
        <v>120</v>
      </c>
      <c r="L26" s="75"/>
      <c r="M26" s="75">
        <f>IFERROR(IF(B26="","",K26/VLOOKUP(AD26,Varsayımlar!B:R,17,0)),"")</f>
        <v>1</v>
      </c>
      <c r="N26" s="75"/>
      <c r="O26" s="75">
        <v>2</v>
      </c>
      <c r="P26" s="75">
        <f>IF(B26="","",VLOOKUP(AD26,Varsayımlar!$B:$Q,7,0)*K26)</f>
        <v>2160</v>
      </c>
      <c r="Q26" s="75">
        <f>IF(B26="","",VLOOKUP(AD26,Varsayımlar!$B:$Q,8,0))</f>
        <v>20</v>
      </c>
      <c r="R26" s="75" t="str">
        <f>IF(B26="","",VLOOKUP(AD26,Varsayımlar!$B:$Q,9,0))</f>
        <v>Irak Soft</v>
      </c>
      <c r="S26" s="75">
        <f>IF(B26="","",VLOOKUP(AD26,Varsayımlar!$B:$Q,10,0))</f>
        <v>6</v>
      </c>
      <c r="T26" s="75">
        <f>IF(B26="","",VLOOKUP(AD26,Varsayımlar!$B:$Q,11,0))</f>
        <v>18</v>
      </c>
      <c r="U26" s="75">
        <f>IF(B26="","",VLOOKUP(AD26,Varsayımlar!$B:$Q,12,0))</f>
        <v>270</v>
      </c>
      <c r="V26" s="75" t="str">
        <f>IF(B26="","",VLOOKUP(AD26,Varsayımlar!$B:$Q,13,0))</f>
        <v>Yurtdışı</v>
      </c>
      <c r="W26" s="75">
        <f>IF(B26="","",VLOOKUP(AD26,Varsayımlar!$B:$Q,14,0))</f>
        <v>9</v>
      </c>
      <c r="X26" s="76">
        <v>46213</v>
      </c>
      <c r="Y26" s="76">
        <v>46487</v>
      </c>
      <c r="Z26" s="75">
        <v>26071020</v>
      </c>
      <c r="AA26" s="75" t="str">
        <f>IF(B26="","",VLOOKUP(AD26,Varsayımlar!$B:$Q,15,0))</f>
        <v>20cm Lacivert-Bulgarca Etiket</v>
      </c>
      <c r="AB26" s="75" t="str">
        <f>IF(B26="","",VLOOKUP(AD26,Varsayımlar!$B:$Q,16,0))</f>
        <v>19-21 cm</v>
      </c>
      <c r="AC26" s="75" t="str">
        <f>IF(B26="","",VLOOKUP(Sayfa1!AD21,Varsayımlar!B:S,18,0))</f>
        <v>100x120cm-Epal+Epal</v>
      </c>
      <c r="AD26" s="57" t="str">
        <f t="shared" si="0"/>
        <v>TASTE LAND-BULGARİSTANTortillas 20cm Sade 6pcs 270g</v>
      </c>
    </row>
    <row r="27" spans="1:30" ht="78.75" x14ac:dyDescent="0.25">
      <c r="A27" s="8" t="s">
        <v>140</v>
      </c>
      <c r="B27" s="75" t="s">
        <v>218</v>
      </c>
      <c r="C27" s="43">
        <f>IF(B27="","",VLOOKUP(AD27,Varsayımlar!$B:$Q,3,0))</f>
        <v>8698829380698</v>
      </c>
      <c r="D27" s="43" t="s">
        <v>161</v>
      </c>
      <c r="E27" s="75" t="s">
        <v>222</v>
      </c>
      <c r="F27" s="75" t="s">
        <v>341</v>
      </c>
      <c r="G27" s="43"/>
      <c r="H27" s="75" t="str">
        <f>IF(B27="","",VLOOKUP(AD27,Varsayımlar!$B:$Q,5,0))</f>
        <v xml:space="preserve">Tortillas 30cm Tam Buğday </v>
      </c>
      <c r="I27" s="75" t="str">
        <f>IF(B27="","",VLOOKUP(AD27,Varsayımlar!B:T,19,0))</f>
        <v>Barkod üzerine-Bulgarca Barkodlu TB içerik etiketi (029)</v>
      </c>
      <c r="J27" s="75" t="str">
        <f>IF(B27="","",VLOOKUP(AD27,Varsayımlar!$B:$Q,6,0))</f>
        <v>Tam Buğdaylı</v>
      </c>
      <c r="K27" s="75">
        <v>60</v>
      </c>
      <c r="L27" s="75"/>
      <c r="M27" s="75">
        <f>IFERROR(IF(B27="","",K27/VLOOKUP(AD27,Varsayımlar!B:R,17,0)),"")</f>
        <v>1</v>
      </c>
      <c r="N27" s="75"/>
      <c r="O27" s="75">
        <v>1</v>
      </c>
      <c r="P27" s="75">
        <f>IF(B27="","",VLOOKUP(AD27,Varsayımlar!$B:$Q,7,0)*K27)</f>
        <v>360</v>
      </c>
      <c r="Q27" s="75">
        <f>IF(B27="","",VLOOKUP(AD27,Varsayımlar!$B:$Q,8,0))</f>
        <v>30</v>
      </c>
      <c r="R27" s="75" t="str">
        <f>IF(B27="","",VLOOKUP(AD27,Varsayımlar!$B:$Q,9,0))</f>
        <v>Irak Soft</v>
      </c>
      <c r="S27" s="75">
        <f>IF(B27="","",VLOOKUP(AD27,Varsayımlar!$B:$Q,10,0))</f>
        <v>18</v>
      </c>
      <c r="T27" s="75">
        <f>IF(B27="","",VLOOKUP(AD27,Varsayımlar!$B:$Q,11,0))</f>
        <v>6</v>
      </c>
      <c r="U27" s="75">
        <f>IF(B27="","",VLOOKUP(AD27,Varsayımlar!$B:$Q,12,0))</f>
        <v>1620</v>
      </c>
      <c r="V27" s="75" t="str">
        <f>IF(B27="","",VLOOKUP(AD27,Varsayımlar!$B:$Q,13,0))</f>
        <v>Yurtdışı</v>
      </c>
      <c r="W27" s="75">
        <f>IF(B27="","",VLOOKUP(AD27,Varsayımlar!$B:$Q,14,0))</f>
        <v>9</v>
      </c>
      <c r="X27" s="76">
        <v>46213</v>
      </c>
      <c r="Y27" s="76">
        <v>46487</v>
      </c>
      <c r="Z27" s="75" t="s">
        <v>442</v>
      </c>
      <c r="AA27" s="75" t="str">
        <f>IF(B27="","",VLOOKUP(AD27,Varsayımlar!$B:$Q,15,0))</f>
        <v>30cm Lacivert Koli- Bulgarca TB Etiket</v>
      </c>
      <c r="AB27" s="75" t="str">
        <f>IF(B27="","",VLOOKUP(AD27,Varsayımlar!$B:$Q,16,0))</f>
        <v>29-31 cm</v>
      </c>
      <c r="AC27" s="75" t="str">
        <f>IF(B27="","",VLOOKUP(Sayfa1!AD20,Varsayımlar!B:S,18,0))</f>
        <v>95x130cm</v>
      </c>
      <c r="AD27" s="57" t="str">
        <f t="shared" si="0"/>
        <v>TASTE LAND-BULGARİSTANTortillas 30cm Tam Buğday 18pcs 1620g</v>
      </c>
    </row>
    <row r="28" spans="1:30" ht="31.5" x14ac:dyDescent="0.25">
      <c r="A28" s="8" t="s">
        <v>141</v>
      </c>
      <c r="B28" s="75" t="s">
        <v>218</v>
      </c>
      <c r="C28" s="43">
        <f>IF(B28="","",VLOOKUP(AD28,Varsayımlar!$B:$Q,3,0))</f>
        <v>8698829380698</v>
      </c>
      <c r="D28" s="43" t="s">
        <v>161</v>
      </c>
      <c r="E28" s="75" t="s">
        <v>229</v>
      </c>
      <c r="F28" s="75" t="s">
        <v>341</v>
      </c>
      <c r="G28" s="43"/>
      <c r="H28" s="75" t="str">
        <f>IF(B28="","",VLOOKUP(AD28,Varsayımlar!$B:$Q,5,0))</f>
        <v>Tortillas Avrupa 25cm Tam Buğday (711)</v>
      </c>
      <c r="I28" s="75">
        <f>IF(B28="","",VLOOKUP(AD28,Varsayımlar!B:T,19,0))</f>
        <v>0</v>
      </c>
      <c r="J28" s="75" t="str">
        <f>IF(B28="","",VLOOKUP(AD28,Varsayımlar!$B:$Q,6,0))</f>
        <v>Tam Buğdaylı</v>
      </c>
      <c r="K28" s="75">
        <v>840</v>
      </c>
      <c r="L28" s="75"/>
      <c r="M28" s="75">
        <f>IFERROR(IF(B28="","",K28/VLOOKUP(AD28,Varsayımlar!B:R,17,0)),"")</f>
        <v>7</v>
      </c>
      <c r="N28" s="75"/>
      <c r="O28" s="75">
        <v>9</v>
      </c>
      <c r="P28" s="75">
        <f>IF(B28="","",VLOOKUP(AD28,Varsayımlar!$B:$Q,7,0)*K28)</f>
        <v>6720</v>
      </c>
      <c r="Q28" s="75">
        <f>IF(B28="","",VLOOKUP(AD28,Varsayımlar!$B:$Q,8,0))</f>
        <v>25</v>
      </c>
      <c r="R28" s="75" t="str">
        <f>IF(B28="","",VLOOKUP(AD28,Varsayımlar!$B:$Q,9,0))</f>
        <v>Irak Soft</v>
      </c>
      <c r="S28" s="75">
        <f>IF(B28="","",VLOOKUP(AD28,Varsayımlar!$B:$Q,10,0))</f>
        <v>10</v>
      </c>
      <c r="T28" s="75">
        <f>IF(B28="","",VLOOKUP(AD28,Varsayımlar!$B:$Q,11,0))</f>
        <v>8</v>
      </c>
      <c r="U28" s="75">
        <f>IF(B28="","",VLOOKUP(AD28,Varsayımlar!$B:$Q,12,0))</f>
        <v>650</v>
      </c>
      <c r="V28" s="75" t="str">
        <f>IF(B28="","",VLOOKUP(AD28,Varsayımlar!$B:$Q,13,0))</f>
        <v>Yurtdışı</v>
      </c>
      <c r="W28" s="75">
        <f>IF(B28="","",VLOOKUP(AD28,Varsayımlar!$B:$Q,14,0))</f>
        <v>9</v>
      </c>
      <c r="X28" s="76">
        <v>46213</v>
      </c>
      <c r="Y28" s="76">
        <v>46487</v>
      </c>
      <c r="Z28" s="75" t="s">
        <v>442</v>
      </c>
      <c r="AA28" s="75" t="str">
        <f>IF(B28="","",VLOOKUP(AD28,Varsayımlar!$B:$Q,15,0))</f>
        <v>25cm Perforeli-Bulgarca TB etiket</v>
      </c>
      <c r="AB28" s="75" t="str">
        <f>IF(B28="","",VLOOKUP(AD28,Varsayımlar!$B:$Q,16,0))</f>
        <v>24-26 cm</v>
      </c>
      <c r="AC28" s="75" t="str">
        <f>IF(B28="","",VLOOKUP(Sayfa1!AD63,Varsayımlar!B:S,18,0))</f>
        <v>80x120cm -Epal+Epal</v>
      </c>
      <c r="AD28" s="57" t="str">
        <f t="shared" si="0"/>
        <v>TASTE LAND-BULGARİSTANTortillas 25cm Tam Buğday 10pcs 650g</v>
      </c>
    </row>
    <row r="29" spans="1:30" ht="47.25" x14ac:dyDescent="0.25">
      <c r="A29" s="8" t="s">
        <v>142</v>
      </c>
      <c r="B29" s="75" t="s">
        <v>218</v>
      </c>
      <c r="C29" s="43">
        <f>IF(B29="","",VLOOKUP(AD29,Varsayımlar!$B:$Q,3,0))</f>
        <v>8698829380698</v>
      </c>
      <c r="D29" s="43" t="s">
        <v>161</v>
      </c>
      <c r="E29" s="75" t="s">
        <v>251</v>
      </c>
      <c r="F29" s="75" t="s">
        <v>341</v>
      </c>
      <c r="G29" s="43"/>
      <c r="H29" s="75" t="str">
        <f>IF(B29="","",VLOOKUP(AD29,Varsayımlar!$B:$Q,5,0))</f>
        <v>Tortillas Avrupa 25cm TB (711)</v>
      </c>
      <c r="I29" s="75" t="str">
        <f>IF(B29="","",VLOOKUP(AD29,Varsayımlar!B:T,19,0))</f>
        <v>Barkod üzerine Barkod Etiketi (067)</v>
      </c>
      <c r="J29" s="75" t="str">
        <f>IF(B29="","",VLOOKUP(AD29,Varsayımlar!$B:$Q,6,0))</f>
        <v>Tam Buğdaylı</v>
      </c>
      <c r="K29" s="75">
        <v>84</v>
      </c>
      <c r="L29" s="75"/>
      <c r="M29" s="75">
        <f>IFERROR(IF(B29="","",K29/VLOOKUP(AD29,Varsayımlar!B:R,17,0)),"")</f>
        <v>1</v>
      </c>
      <c r="N29" s="75"/>
      <c r="O29" s="75">
        <v>2</v>
      </c>
      <c r="P29" s="75">
        <f>IF(B29="","",VLOOKUP(AD29,Varsayımlar!$B:$Q,7,0)*K29)</f>
        <v>1512</v>
      </c>
      <c r="Q29" s="75">
        <f>IF(B29="","",VLOOKUP(AD29,Varsayımlar!$B:$Q,8,0))</f>
        <v>25</v>
      </c>
      <c r="R29" s="75" t="str">
        <f>IF(B29="","",VLOOKUP(AD29,Varsayımlar!$B:$Q,9,0))</f>
        <v>Irak Soft</v>
      </c>
      <c r="S29" s="75">
        <f>IF(B29="","",VLOOKUP(AD29,Varsayımlar!$B:$Q,10,0))</f>
        <v>6</v>
      </c>
      <c r="T29" s="75">
        <f>IF(B29="","",VLOOKUP(AD29,Varsayımlar!$B:$Q,11,0))</f>
        <v>18</v>
      </c>
      <c r="U29" s="75">
        <f>IF(B29="","",VLOOKUP(AD29,Varsayımlar!$B:$Q,12,0))</f>
        <v>390</v>
      </c>
      <c r="V29" s="75" t="str">
        <f>IF(B29="","",VLOOKUP(AD29,Varsayımlar!$B:$Q,13,0))</f>
        <v>Yurtdışı</v>
      </c>
      <c r="W29" s="75">
        <f>IF(B29="","",VLOOKUP(AD29,Varsayımlar!$B:$Q,14,0))</f>
        <v>9</v>
      </c>
      <c r="X29" s="76">
        <v>46213</v>
      </c>
      <c r="Y29" s="76">
        <v>46487</v>
      </c>
      <c r="Z29" s="75" t="s">
        <v>442</v>
      </c>
      <c r="AA29" s="75" t="str">
        <f>IF(B29="","",VLOOKUP(AD29,Varsayımlar!$B:$Q,15,0))</f>
        <v>25cm Kırmızı koli-Bulgarca TB Etiket</v>
      </c>
      <c r="AB29" s="75" t="str">
        <f>IF(B29="","",VLOOKUP(AD29,Varsayımlar!$B:$Q,16,0))</f>
        <v>24-26 cm</v>
      </c>
      <c r="AC29" s="75" t="str">
        <f>IF(B29="","",VLOOKUP(Sayfa1!AD64,Varsayımlar!B:S,18,0))</f>
        <v>80x120cm -Epal+Epal</v>
      </c>
      <c r="AD29" s="57" t="str">
        <f t="shared" si="0"/>
        <v>TASTE LAND-BULGARİSTANTortillas 25cm TB 6pcs 390g</v>
      </c>
    </row>
    <row r="30" spans="1:30" ht="47.25" x14ac:dyDescent="0.25">
      <c r="A30" s="8" t="s">
        <v>143</v>
      </c>
      <c r="B30" s="75" t="s">
        <v>218</v>
      </c>
      <c r="C30" s="43">
        <f>IF(B30="","",VLOOKUP(AD30,Varsayımlar!$B:$Q,3,0))</f>
        <v>8698829380698</v>
      </c>
      <c r="D30" s="43" t="s">
        <v>161</v>
      </c>
      <c r="E30" s="75" t="s">
        <v>232</v>
      </c>
      <c r="F30" s="75" t="s">
        <v>341</v>
      </c>
      <c r="G30" s="43"/>
      <c r="H30" s="75" t="str">
        <f>IF(B30="","",VLOOKUP(AD30,Varsayımlar!$B:$Q,5,0))</f>
        <v>Tortillas Avrupa 25cm Domatesli (074)</v>
      </c>
      <c r="I30" s="75">
        <f>IF(B30="","",VLOOKUP(AD30,Varsayımlar!B:T,19,0))</f>
        <v>0</v>
      </c>
      <c r="J30" s="75" t="str">
        <f>IF(B30="","",VLOOKUP(AD30,Varsayımlar!$B:$Q,6,0))</f>
        <v>Domatesli</v>
      </c>
      <c r="K30" s="75">
        <v>240</v>
      </c>
      <c r="L30" s="75"/>
      <c r="M30" s="75">
        <f>IFERROR(IF(B30="","",K30/VLOOKUP(AD30,Varsayımlar!B:R,17,0)),"")</f>
        <v>2</v>
      </c>
      <c r="N30" s="75"/>
      <c r="O30" s="75">
        <v>3</v>
      </c>
      <c r="P30" s="75">
        <f>IF(B30="","",VLOOKUP(AD30,Varsayımlar!$B:$Q,7,0)*K30)</f>
        <v>2880</v>
      </c>
      <c r="Q30" s="75">
        <f>IF(B30="","",VLOOKUP(AD30,Varsayımlar!$B:$Q,8,0))</f>
        <v>25</v>
      </c>
      <c r="R30" s="75" t="str">
        <f>IF(B30="","",VLOOKUP(AD30,Varsayımlar!$B:$Q,9,0))</f>
        <v>Irak Soft</v>
      </c>
      <c r="S30" s="75">
        <f>IF(B30="","",VLOOKUP(AD30,Varsayımlar!$B:$Q,10,0))</f>
        <v>6</v>
      </c>
      <c r="T30" s="75">
        <f>IF(B30="","",VLOOKUP(AD30,Varsayımlar!$B:$Q,11,0))</f>
        <v>12</v>
      </c>
      <c r="U30" s="75">
        <f>IF(B30="","",VLOOKUP(AD30,Varsayımlar!$B:$Q,12,0))</f>
        <v>390</v>
      </c>
      <c r="V30" s="75" t="str">
        <f>IF(B30="","",VLOOKUP(AD30,Varsayımlar!$B:$Q,13,0))</f>
        <v>Yurtdışı</v>
      </c>
      <c r="W30" s="75">
        <f>IF(B30="","",VLOOKUP(AD30,Varsayımlar!$B:$Q,14,0))</f>
        <v>9</v>
      </c>
      <c r="X30" s="76">
        <v>46213</v>
      </c>
      <c r="Y30" s="76">
        <v>46487</v>
      </c>
      <c r="Z30" s="75" t="s">
        <v>443</v>
      </c>
      <c r="AA30" s="75" t="str">
        <f>IF(B30="","",VLOOKUP(AD30,Varsayımlar!$B:$Q,15,0))</f>
        <v>25cm Perforeli-Bulgarca Domatesli etiket</v>
      </c>
      <c r="AB30" s="75" t="str">
        <f>IF(B30="","",VLOOKUP(AD30,Varsayımlar!$B:$Q,16,0))</f>
        <v>24-26 cm</v>
      </c>
      <c r="AC30" s="75" t="str">
        <f>IF(B30="","",VLOOKUP(Sayfa1!AD65,Varsayımlar!B:S,18,0))</f>
        <v>80x120cm -Epal+Epal</v>
      </c>
      <c r="AD30" s="57" t="str">
        <f t="shared" si="0"/>
        <v>TASTE LAND-BULGARİSTANTortillas 25cm Domatesli 6pcs 390g</v>
      </c>
    </row>
    <row r="31" spans="1:30" ht="47.25" x14ac:dyDescent="0.25">
      <c r="A31" s="8" t="s">
        <v>144</v>
      </c>
      <c r="B31" s="75" t="s">
        <v>218</v>
      </c>
      <c r="C31" s="43">
        <f>IF(B31="","",VLOOKUP(AD31,Varsayımlar!$B:$Q,3,0))</f>
        <v>8698829380698</v>
      </c>
      <c r="D31" s="43" t="s">
        <v>161</v>
      </c>
      <c r="E31" s="75" t="s">
        <v>235</v>
      </c>
      <c r="F31" s="75" t="s">
        <v>341</v>
      </c>
      <c r="G31" s="43"/>
      <c r="H31" s="75" t="str">
        <f>IF(B31="","",VLOOKUP(AD31,Varsayımlar!$B:$Q,5,0))</f>
        <v>Tortillas Avrupa 25cm Ispanaklı (081)</v>
      </c>
      <c r="I31" s="75">
        <f>IF(B31="","",VLOOKUP(AD31,Varsayımlar!B:T,19,0))</f>
        <v>0</v>
      </c>
      <c r="J31" s="75" t="str">
        <f>IF(B31="","",VLOOKUP(AD31,Varsayımlar!$B:$Q,6,0))</f>
        <v>Ispanaklı</v>
      </c>
      <c r="K31" s="75">
        <v>240</v>
      </c>
      <c r="L31" s="75"/>
      <c r="M31" s="75">
        <f>IFERROR(IF(B31="","",K31/VLOOKUP(AD31,Varsayımlar!B:R,17,0)),"")</f>
        <v>2</v>
      </c>
      <c r="N31" s="75"/>
      <c r="O31" s="75">
        <v>3</v>
      </c>
      <c r="P31" s="75">
        <f>IF(B31="","",VLOOKUP(AD31,Varsayımlar!$B:$Q,7,0)*K31)</f>
        <v>2880</v>
      </c>
      <c r="Q31" s="75">
        <f>IF(B31="","",VLOOKUP(AD31,Varsayımlar!$B:$Q,8,0))</f>
        <v>25</v>
      </c>
      <c r="R31" s="75" t="str">
        <f>IF(B31="","",VLOOKUP(AD31,Varsayımlar!$B:$Q,9,0))</f>
        <v>Irak Soft</v>
      </c>
      <c r="S31" s="75">
        <f>IF(B31="","",VLOOKUP(AD31,Varsayımlar!$B:$Q,10,0))</f>
        <v>6</v>
      </c>
      <c r="T31" s="75">
        <f>IF(B31="","",VLOOKUP(AD31,Varsayımlar!$B:$Q,11,0))</f>
        <v>12</v>
      </c>
      <c r="U31" s="75">
        <f>IF(B31="","",VLOOKUP(AD31,Varsayımlar!$B:$Q,12,0))</f>
        <v>390</v>
      </c>
      <c r="V31" s="75" t="str">
        <f>IF(B31="","",VLOOKUP(AD31,Varsayımlar!$B:$Q,13,0))</f>
        <v>Yurtdışı</v>
      </c>
      <c r="W31" s="75">
        <f>IF(B31="","",VLOOKUP(AD31,Varsayımlar!$B:$Q,14,0))</f>
        <v>9</v>
      </c>
      <c r="X31" s="76">
        <v>46213</v>
      </c>
      <c r="Y31" s="76">
        <v>46487</v>
      </c>
      <c r="Z31" s="75" t="s">
        <v>444</v>
      </c>
      <c r="AA31" s="75" t="str">
        <f>IF(B31="","",VLOOKUP(AD31,Varsayımlar!$B:$Q,15,0))</f>
        <v>25cm Perforeli-Bulgarca Ispanaklı etiket</v>
      </c>
      <c r="AB31" s="75" t="str">
        <f>IF(B31="","",VLOOKUP(AD31,Varsayımlar!$B:$Q,16,0))</f>
        <v>24-26 cm</v>
      </c>
      <c r="AC31" s="75" t="str">
        <f>IF(B31="","",VLOOKUP(Sayfa1!AD66,Varsayımlar!B:S,18,0))</f>
        <v>80x120cm -Epal+Epal</v>
      </c>
      <c r="AD31" s="57" t="str">
        <f t="shared" si="0"/>
        <v>TASTE LAND-BULGARİSTANTortillas 25cm Ispanaklı 6pcs 390g</v>
      </c>
    </row>
    <row r="32" spans="1:30" ht="47.25" x14ac:dyDescent="0.25">
      <c r="A32" s="8" t="s">
        <v>145</v>
      </c>
      <c r="B32" s="75" t="s">
        <v>218</v>
      </c>
      <c r="C32" s="43">
        <f>IF(B32="","",VLOOKUP(AD32,Varsayımlar!$B:$Q,3,0))</f>
        <v>8698829380698</v>
      </c>
      <c r="D32" s="43" t="s">
        <v>161</v>
      </c>
      <c r="E32" s="75" t="s">
        <v>240</v>
      </c>
      <c r="F32" s="75" t="s">
        <v>341</v>
      </c>
      <c r="G32" s="43"/>
      <c r="H32" s="75" t="str">
        <f>IF(B32="","",VLOOKUP(AD32,Varsayımlar!$B:$Q,5,0))</f>
        <v>Tortillas Avrupa 25cm Peynirli (098)</v>
      </c>
      <c r="I32" s="75">
        <f>IF(B32="","",VLOOKUP(AD32,Varsayımlar!B:T,19,0))</f>
        <v>0</v>
      </c>
      <c r="J32" s="75" t="str">
        <f>IF(B32="","",VLOOKUP(AD32,Varsayımlar!$B:$Q,6,0))</f>
        <v>Peynirli</v>
      </c>
      <c r="K32" s="75">
        <v>120</v>
      </c>
      <c r="L32" s="75"/>
      <c r="M32" s="75">
        <f>IFERROR(IF(B32="","",K32/VLOOKUP(AD32,Varsayımlar!B:R,17,0)),"")</f>
        <v>1</v>
      </c>
      <c r="N32" s="75"/>
      <c r="O32" s="75">
        <v>2</v>
      </c>
      <c r="P32" s="75">
        <f>IF(B32="","",VLOOKUP(AD32,Varsayımlar!$B:$Q,7,0)*K32)</f>
        <v>1440</v>
      </c>
      <c r="Q32" s="75">
        <f>IF(B32="","",VLOOKUP(AD32,Varsayımlar!$B:$Q,8,0))</f>
        <v>25</v>
      </c>
      <c r="R32" s="75" t="str">
        <f>IF(B32="","",VLOOKUP(AD32,Varsayımlar!$B:$Q,9,0))</f>
        <v>Irak Soft-AT</v>
      </c>
      <c r="S32" s="75">
        <f>IF(B32="","",VLOOKUP(AD32,Varsayımlar!$B:$Q,10,0))</f>
        <v>6</v>
      </c>
      <c r="T32" s="75">
        <f>IF(B32="","",VLOOKUP(AD32,Varsayımlar!$B:$Q,11,0))</f>
        <v>12</v>
      </c>
      <c r="U32" s="75">
        <f>IF(B32="","",VLOOKUP(AD32,Varsayımlar!$B:$Q,12,0))</f>
        <v>390</v>
      </c>
      <c r="V32" s="75" t="str">
        <f>IF(B32="","",VLOOKUP(AD32,Varsayımlar!$B:$Q,13,0))</f>
        <v>Yurtdışı</v>
      </c>
      <c r="W32" s="75">
        <f>IF(B32="","",VLOOKUP(AD32,Varsayımlar!$B:$Q,14,0))</f>
        <v>9</v>
      </c>
      <c r="X32" s="76">
        <v>46213</v>
      </c>
      <c r="Y32" s="76">
        <v>46487</v>
      </c>
      <c r="Z32" s="75" t="s">
        <v>445</v>
      </c>
      <c r="AA32" s="75" t="str">
        <f>IF(B32="","",VLOOKUP(AD32,Varsayımlar!$B:$Q,15,0))</f>
        <v>25cm Perforeli-Bulgarca Peynirli etiket</v>
      </c>
      <c r="AB32" s="75" t="str">
        <f>IF(B32="","",VLOOKUP(AD32,Varsayımlar!$B:$Q,16,0))</f>
        <v>24-26 cm</v>
      </c>
      <c r="AC32" s="75" t="str">
        <f>IF(B32="","",VLOOKUP(Sayfa1!AD67,Varsayımlar!B:S,18,0))</f>
        <v>80x120cm -Epal+Epal</v>
      </c>
      <c r="AD32" s="57" t="str">
        <f t="shared" si="0"/>
        <v>TASTE LAND-BULGARİSTANTortillas 25cm Peynirli 6pcs 390g</v>
      </c>
    </row>
    <row r="33" spans="1:30" ht="32.25" customHeight="1" x14ac:dyDescent="0.25">
      <c r="A33" s="8" t="s">
        <v>146</v>
      </c>
      <c r="B33" s="67" t="s">
        <v>460</v>
      </c>
      <c r="C33" s="42">
        <f>IF(B33="","",VLOOKUP(AD33,Varsayımlar!$B:$Q,3,0))</f>
        <v>8698829380698</v>
      </c>
      <c r="D33" s="67"/>
      <c r="E33" s="67" t="s">
        <v>464</v>
      </c>
      <c r="F33" s="67">
        <v>20260414</v>
      </c>
      <c r="G33" s="67"/>
      <c r="H33" s="67" t="str">
        <f>IF(B33="","",VLOOKUP(AD33,Varsayımlar!$B:$Q,5,0))</f>
        <v>Tortillove 20cm</v>
      </c>
      <c r="I33" s="67">
        <f>IF(B33="","",VLOOKUP(AD33,Varsayımlar!B:T,19,0))</f>
        <v>0</v>
      </c>
      <c r="J33" s="67" t="str">
        <f>IF(B33="","",VLOOKUP(AD33,Varsayımlar!$B:$Q,6,0))</f>
        <v>SADE</v>
      </c>
      <c r="K33" s="67">
        <v>300</v>
      </c>
      <c r="L33" s="67"/>
      <c r="M33" s="67">
        <f>IFERROR(IF(B33="","",K33/VLOOKUP(AD33,Varsayımlar!B:R,17,0)),"")</f>
        <v>3</v>
      </c>
      <c r="N33" s="67"/>
      <c r="O33" s="67">
        <v>5</v>
      </c>
      <c r="P33" s="67">
        <f>IF(B33="","",VLOOKUP(AD33,Varsayımlar!$B:$Q,7,0)*K33)</f>
        <v>3600</v>
      </c>
      <c r="Q33" s="67">
        <f>IF(B33="","",VLOOKUP(AD33,Varsayımlar!$B:$Q,8,0))</f>
        <v>20</v>
      </c>
      <c r="R33" s="67" t="str">
        <f>IF(B33="","",VLOOKUP(AD33,Varsayımlar!$B:$Q,9,0))</f>
        <v>Irak Soft</v>
      </c>
      <c r="S33" s="67">
        <f>IF(B33="","",VLOOKUP(AD33,Varsayımlar!$B:$Q,10,0))</f>
        <v>10</v>
      </c>
      <c r="T33" s="67">
        <f>IF(B33="","",VLOOKUP(AD33,Varsayımlar!$B:$Q,11,0))</f>
        <v>12</v>
      </c>
      <c r="U33" s="67">
        <f>IF(B33="","",VLOOKUP(AD33,Varsayımlar!$B:$Q,12,0))</f>
        <v>450</v>
      </c>
      <c r="V33" s="67" t="str">
        <f>IF(B33="","",VLOOKUP(AD33,Varsayımlar!$B:$Q,13,0))</f>
        <v>Yurtdışı</v>
      </c>
      <c r="W33" s="67">
        <f>IF(B33="","",VLOOKUP(AD33,Varsayımlar!$B:$Q,14,0))</f>
        <v>6</v>
      </c>
      <c r="X33" s="69">
        <v>46216</v>
      </c>
      <c r="Y33" s="69">
        <v>46400</v>
      </c>
      <c r="Z33" s="67">
        <v>26071320</v>
      </c>
      <c r="AA33" s="67" t="str">
        <f>IF(B33="","",VLOOKUP(AD33,Varsayımlar!$B:$Q,15,0))</f>
        <v>20cm kolisi</v>
      </c>
      <c r="AB33" s="67" t="str">
        <f>IF(B33="","",VLOOKUP(AD33,Varsayımlar!$B:$Q,16,0))</f>
        <v>19-21 cm</v>
      </c>
      <c r="AC33" s="75">
        <f>IF(B33="","",VLOOKUP(Sayfa1!AD69,Varsayımlar!B:S,18,0))</f>
        <v>0</v>
      </c>
      <c r="AD33" s="57" t="str">
        <f t="shared" si="0"/>
        <v>Yüksekbaş GıdaYüksekbaş 20cm 10pcs 450g</v>
      </c>
    </row>
    <row r="34" spans="1:30" ht="32.25" customHeight="1" x14ac:dyDescent="0.25">
      <c r="A34" s="8" t="s">
        <v>147</v>
      </c>
      <c r="B34" s="67" t="s">
        <v>460</v>
      </c>
      <c r="C34" s="42">
        <f>IF(B34="","",VLOOKUP(AD34,Varsayımlar!$B:$Q,3,0))</f>
        <v>8698829380698</v>
      </c>
      <c r="D34" s="67"/>
      <c r="E34" s="67" t="s">
        <v>470</v>
      </c>
      <c r="F34" s="67">
        <v>20260414</v>
      </c>
      <c r="G34" s="67"/>
      <c r="H34" s="67" t="str">
        <f>IF(B34="","",VLOOKUP(AD34,Varsayımlar!$B:$Q,5,0))</f>
        <v>Tortillove 30cm</v>
      </c>
      <c r="I34" s="67">
        <f>IF(B34="","",VLOOKUP(AD34,Varsayımlar!B:T,19,0))</f>
        <v>0</v>
      </c>
      <c r="J34" s="67" t="str">
        <f>IF(B34="","",VLOOKUP(AD34,Varsayımlar!$B:$Q,6,0))</f>
        <v>SADE</v>
      </c>
      <c r="K34" s="67">
        <v>792</v>
      </c>
      <c r="L34" s="67"/>
      <c r="M34" s="67">
        <f>IFERROR(IF(B34="","",K34/VLOOKUP(AD34,Varsayımlar!B:R,17,0)),"")</f>
        <v>12</v>
      </c>
      <c r="N34" s="67"/>
      <c r="O34" s="67">
        <v>14</v>
      </c>
      <c r="P34" s="67">
        <f>IF(B34="","",VLOOKUP(AD34,Varsayımlar!$B:$Q,7,0)*K34)</f>
        <v>9504</v>
      </c>
      <c r="Q34" s="67">
        <f>IF(B34="","",VLOOKUP(AD34,Varsayımlar!$B:$Q,8,0))</f>
        <v>30</v>
      </c>
      <c r="R34" s="67" t="str">
        <f>IF(B34="","",VLOOKUP(AD34,Varsayımlar!$B:$Q,9,0))</f>
        <v>Irak Soft</v>
      </c>
      <c r="S34" s="67">
        <f>IF(B34="","",VLOOKUP(AD34,Varsayımlar!$B:$Q,10,0))</f>
        <v>10</v>
      </c>
      <c r="T34" s="67">
        <f>IF(B34="","",VLOOKUP(AD34,Varsayımlar!$B:$Q,11,0))</f>
        <v>12</v>
      </c>
      <c r="U34" s="67">
        <f>IF(B34="","",VLOOKUP(AD34,Varsayımlar!$B:$Q,12,0))</f>
        <v>950</v>
      </c>
      <c r="V34" s="67" t="str">
        <f>IF(B34="","",VLOOKUP(AD34,Varsayımlar!$B:$Q,13,0))</f>
        <v>Yurtdışı</v>
      </c>
      <c r="W34" s="67">
        <f>IF(B34="","",VLOOKUP(AD34,Varsayımlar!$B:$Q,14,0))</f>
        <v>6</v>
      </c>
      <c r="X34" s="69">
        <v>46216</v>
      </c>
      <c r="Y34" s="69">
        <v>46400</v>
      </c>
      <c r="Z34" s="67">
        <v>26071330</v>
      </c>
      <c r="AA34" s="67" t="str">
        <f>IF(B34="","",VLOOKUP(AD34,Varsayımlar!$B:$Q,15,0))</f>
        <v>30cm Kolisi</v>
      </c>
      <c r="AB34" s="67" t="str">
        <f>IF(B34="","",VLOOKUP(AD34,Varsayımlar!$B:$Q,16,0))</f>
        <v>29-31 cm</v>
      </c>
      <c r="AC34" s="75">
        <f>IF(B34="","",VLOOKUP(Sayfa1!AD69,Varsayımlar!B:S,18,0))</f>
        <v>0</v>
      </c>
      <c r="AD34" s="57" t="str">
        <f t="shared" si="0"/>
        <v>Yüksekbaş GıdaYüksekbaş 30cm 10pcs 950g</v>
      </c>
    </row>
    <row r="35" spans="1:30" ht="47.25" x14ac:dyDescent="0.25">
      <c r="A35" s="8" t="s">
        <v>148</v>
      </c>
      <c r="B35" s="58" t="s">
        <v>346</v>
      </c>
      <c r="C35" s="147">
        <f>IF(B35="","",VLOOKUP(AD35,Varsayımlar!$B:$Q,3,0))</f>
        <v>8698829380698</v>
      </c>
      <c r="D35" s="40">
        <v>48</v>
      </c>
      <c r="E35" s="59" t="s">
        <v>162</v>
      </c>
      <c r="F35" s="58"/>
      <c r="G35" s="58"/>
      <c r="H35" s="58" t="str">
        <f>IF(B35="","",VLOOKUP(AD35,Varsayımlar!$B:$Q,5,0))</f>
        <v>Hanami 20cm Sade 4 pcs 166g (067)</v>
      </c>
      <c r="I35" s="58" t="str">
        <f>IF(B35="","",VLOOKUP(AD35,Varsayımlar!B:T,19,0))</f>
        <v>Ambalaj kaç aylık kontrol?</v>
      </c>
      <c r="J35" s="58" t="str">
        <f>IF(B35="","",VLOOKUP(AD35,Varsayımlar!$B:$Q,6,0))</f>
        <v>SADE</v>
      </c>
      <c r="K35" s="58">
        <v>3080</v>
      </c>
      <c r="L35" s="58"/>
      <c r="M35" s="58">
        <f>IFERROR(IF(B35="","",K35/VLOOKUP(AD35,Varsayımlar!B:R,17,0)),"")</f>
        <v>22</v>
      </c>
      <c r="N35" s="58"/>
      <c r="O35" s="58">
        <v>52</v>
      </c>
      <c r="P35" s="58">
        <f>IF(B35="","",VLOOKUP(AD35,Varsayımlar!$B:$Q,7,0)*K35)</f>
        <v>92400</v>
      </c>
      <c r="Q35" s="58">
        <f>IF(B35="","",VLOOKUP(AD35,Varsayımlar!$B:$Q,8,0))</f>
        <v>20</v>
      </c>
      <c r="R35" s="58" t="str">
        <f>IF(B35="","",VLOOKUP(AD35,Varsayımlar!$B:$Q,9,0))</f>
        <v>Irak Soft</v>
      </c>
      <c r="S35" s="58">
        <f>IF(B35="","",VLOOKUP(AD35,Varsayımlar!$B:$Q,10,0))</f>
        <v>4</v>
      </c>
      <c r="T35" s="58">
        <f>IF(B35="","",VLOOKUP(AD35,Varsayımlar!$B:$Q,11,0))</f>
        <v>30</v>
      </c>
      <c r="U35" s="58">
        <f>IF(B35="","",VLOOKUP(AD35,Varsayımlar!$B:$Q,12,0))</f>
        <v>166</v>
      </c>
      <c r="V35" s="58" t="str">
        <f>IF(B35="","",VLOOKUP(AD35,Varsayımlar!$B:$Q,13,0))</f>
        <v>Yurtdışı</v>
      </c>
      <c r="W35" s="58">
        <f>IF(B35="","",VLOOKUP(AD35,Varsayımlar!$B:$Q,14,0))</f>
        <v>9</v>
      </c>
      <c r="X35" s="60">
        <v>46218</v>
      </c>
      <c r="Y35" s="60">
        <v>46492</v>
      </c>
      <c r="Z35" s="58">
        <v>26071520</v>
      </c>
      <c r="AA35" s="58" t="str">
        <f>IF(B35="","",VLOOKUP(AD35,Varsayımlar!$B:$Q,15,0))</f>
        <v>Hanami Mavi Koli -Üretim Tarihi+9 AYI KAPATACAK ETİKETLİ</v>
      </c>
      <c r="AB35" s="58" t="str">
        <f>IF(B35="","",VLOOKUP(AD35,Varsayımlar!$B:$Q,16,0))</f>
        <v>19-21 cm</v>
      </c>
      <c r="AC35" s="8" t="e">
        <f>IF(B35="","",VLOOKUP(#REF!,#REF!,18,0))</f>
        <v>#REF!</v>
      </c>
      <c r="AD35" s="8" t="str">
        <f t="shared" si="0"/>
        <v xml:space="preserve">GermesHanami 20cm sade 4pcs 166g </v>
      </c>
    </row>
    <row r="36" spans="1:30" ht="31.5" x14ac:dyDescent="0.25">
      <c r="A36" s="8" t="s">
        <v>149</v>
      </c>
      <c r="B36" s="58" t="s">
        <v>346</v>
      </c>
      <c r="C36" s="147">
        <f>IF(B36="","",VLOOKUP(AD36,Varsayımlar!$B:$Q,3,0))</f>
        <v>8698829380698</v>
      </c>
      <c r="D36" s="40">
        <v>48</v>
      </c>
      <c r="E36" s="59" t="s">
        <v>166</v>
      </c>
      <c r="F36" s="58"/>
      <c r="G36" s="58"/>
      <c r="H36" s="58" t="str">
        <f>IF(B36="","",VLOOKUP(AD36,Varsayımlar!$B:$Q,5,0))</f>
        <v>Tortillas 20cm (Etiketli)</v>
      </c>
      <c r="I36" s="58" t="str">
        <f>IF(B36="","",VLOOKUP(AD36,Varsayımlar!B:T,19,0))</f>
        <v>Etiketli</v>
      </c>
      <c r="J36" s="58" t="str">
        <f>IF(B36="","",VLOOKUP(AD36,Varsayımlar!$B:$Q,6,0))</f>
        <v>SADE</v>
      </c>
      <c r="K36" s="58">
        <v>280</v>
      </c>
      <c r="L36" s="58"/>
      <c r="M36" s="58">
        <f>IFERROR(IF(B36="","",K36/VLOOKUP(AD36,Varsayımlar!B:R,17,0)),"")</f>
        <v>2</v>
      </c>
      <c r="N36" s="58"/>
      <c r="O36" s="58">
        <v>5</v>
      </c>
      <c r="P36" s="58">
        <f>IF(B36="","",VLOOKUP(AD36,Varsayımlar!$B:$Q,7,0)*K36)</f>
        <v>8400</v>
      </c>
      <c r="Q36" s="58">
        <f>IF(B36="","",VLOOKUP(AD36,Varsayımlar!$B:$Q,8,0))</f>
        <v>20</v>
      </c>
      <c r="R36" s="58" t="str">
        <f>IF(B36="","",VLOOKUP(AD36,Varsayımlar!$B:$Q,9,0))</f>
        <v>Irak soft</v>
      </c>
      <c r="S36" s="58">
        <f>IF(B36="","",VLOOKUP(AD36,Varsayımlar!$B:$Q,10,0))</f>
        <v>4</v>
      </c>
      <c r="T36" s="58">
        <f>IF(B36="","",VLOOKUP(AD36,Varsayımlar!$B:$Q,11,0))</f>
        <v>30</v>
      </c>
      <c r="U36" s="58">
        <f>IF(B36="","",VLOOKUP(AD36,Varsayımlar!$B:$Q,12,0))</f>
        <v>166</v>
      </c>
      <c r="V36" s="58" t="str">
        <f>IF(B36="","",VLOOKUP(AD36,Varsayımlar!$B:$Q,13,0))</f>
        <v>Yurtdışı</v>
      </c>
      <c r="W36" s="58">
        <f>IF(B36="","",VLOOKUP(AD36,Varsayımlar!$B:$Q,14,0))</f>
        <v>9</v>
      </c>
      <c r="X36" s="60">
        <v>46218</v>
      </c>
      <c r="Y36" s="60">
        <v>46492</v>
      </c>
      <c r="Z36" s="58">
        <v>26071520</v>
      </c>
      <c r="AA36" s="58" t="str">
        <f>IF(B36="","",VLOOKUP(AD36,Varsayımlar!$B:$Q,15,0))</f>
        <v>20cm Koli-Üretim Tarihli Etiket</v>
      </c>
      <c r="AB36" s="58" t="str">
        <f>IF(B36="","",VLOOKUP(AD36,Varsayımlar!$B:$Q,16,0))</f>
        <v>19-21 cm</v>
      </c>
      <c r="AC36" s="8" t="e">
        <f>IF(B36="","",VLOOKUP(#REF!,#REF!,18,0))</f>
        <v>#REF!</v>
      </c>
      <c r="AD36" s="8" t="str">
        <f>IF(B36="","",CONCATENATE(B36,E36))</f>
        <v>GermesTortillas 20cm 4 lü 166g</v>
      </c>
    </row>
    <row r="37" spans="1:30" ht="31.5" customHeight="1" x14ac:dyDescent="0.25">
      <c r="A37" s="8" t="s">
        <v>150</v>
      </c>
      <c r="B37" s="58" t="s">
        <v>346</v>
      </c>
      <c r="C37" s="147">
        <f>IF(B37="","",VLOOKUP(AD37,Varsayımlar!$B:$Q,3,0))</f>
        <v>8698829380698</v>
      </c>
      <c r="D37" s="40">
        <v>48</v>
      </c>
      <c r="E37" s="59" t="s">
        <v>168</v>
      </c>
      <c r="F37" s="58"/>
      <c r="G37" s="58"/>
      <c r="H37" s="58" t="str">
        <f>IF(B37="","",VLOOKUP(AD37,Varsayımlar!$B:$Q,5,0))</f>
        <v>Hanami Peynirli 20cm (050)</v>
      </c>
      <c r="I37" s="58" t="str">
        <f>IF(B37="","",VLOOKUP(AD37,Varsayımlar!B:T,19,0))</f>
        <v>Ambalaj kaç aylık kontrol?</v>
      </c>
      <c r="J37" s="58" t="str">
        <f>IF(B37="","",VLOOKUP(AD37,Varsayımlar!$B:$Q,6,0))</f>
        <v>PEYNİRLİ</v>
      </c>
      <c r="K37" s="58">
        <v>280</v>
      </c>
      <c r="L37" s="58"/>
      <c r="M37" s="58">
        <f>IFERROR(IF(B37="","",K37/VLOOKUP(AD37,Varsayımlar!B:R,17,0)),"")</f>
        <v>2</v>
      </c>
      <c r="N37" s="58"/>
      <c r="O37" s="58">
        <v>6</v>
      </c>
      <c r="P37" s="58">
        <f>IF(B37="","",VLOOKUP(AD37,Varsayımlar!$B:$Q,7,0)*K37)</f>
        <v>8400</v>
      </c>
      <c r="Q37" s="58">
        <f>IF(B37="","",VLOOKUP(AD37,Varsayımlar!$B:$Q,8,0))</f>
        <v>20</v>
      </c>
      <c r="R37" s="58" t="str">
        <f>IF(B37="","",VLOOKUP(AD37,Varsayımlar!$B:$Q,9,0))</f>
        <v>Irak Soft-AT</v>
      </c>
      <c r="S37" s="58">
        <f>IF(B37="","",VLOOKUP(AD37,Varsayımlar!$B:$Q,10,0))</f>
        <v>4</v>
      </c>
      <c r="T37" s="58">
        <f>IF(B37="","",VLOOKUP(AD37,Varsayımlar!$B:$Q,11,0))</f>
        <v>30</v>
      </c>
      <c r="U37" s="58">
        <f>IF(B37="","",VLOOKUP(AD37,Varsayımlar!$B:$Q,12,0))</f>
        <v>166</v>
      </c>
      <c r="V37" s="58" t="str">
        <f>IF(B37="","",VLOOKUP(AD37,Varsayımlar!$B:$Q,13,0))</f>
        <v>YURTDIŞI</v>
      </c>
      <c r="W37" s="58">
        <f>IF(B37="","",VLOOKUP(AD37,Varsayımlar!$B:$Q,14,0))</f>
        <v>9</v>
      </c>
      <c r="X37" s="60">
        <v>46218</v>
      </c>
      <c r="Y37" s="60">
        <v>46492</v>
      </c>
      <c r="Z37" s="58" t="s">
        <v>495</v>
      </c>
      <c r="AA37" s="58" t="str">
        <f>IF(B37="","",VLOOKUP(AD37,Varsayımlar!$B:$Q,15,0))</f>
        <v>HANAMİ SARI KOLİ-ÜRETİM TARİHİ BASILACAK</v>
      </c>
      <c r="AB37" s="58" t="str">
        <f>IF(B37="","",VLOOKUP(AD37,Varsayımlar!$B:$Q,16,0))</f>
        <v>19-21 CM</v>
      </c>
      <c r="AC37" s="8" t="e">
        <f>IF(B37="","",VLOOKUP(#REF!,#REF!,18,0))</f>
        <v>#REF!</v>
      </c>
      <c r="AD37" s="8" t="str">
        <f t="shared" ref="AD37:AD42" si="1">IF(B37="","",CONCATENATE(B37,E37))</f>
        <v>GermesHanami Peynirli 20cm 4 lü 166g</v>
      </c>
    </row>
    <row r="38" spans="1:30" ht="47.25" x14ac:dyDescent="0.25">
      <c r="A38" s="8" t="s">
        <v>151</v>
      </c>
      <c r="B38" s="54" t="s">
        <v>346</v>
      </c>
      <c r="C38" s="139">
        <f>IF(B38="","",VLOOKUP(AD38,Varsayımlar!$B:$Q,3,0))</f>
        <v>8698829380698</v>
      </c>
      <c r="D38" s="39">
        <v>49</v>
      </c>
      <c r="E38" s="55" t="s">
        <v>162</v>
      </c>
      <c r="F38" s="54"/>
      <c r="G38" s="54"/>
      <c r="H38" s="54" t="str">
        <f>IF(B38="","",VLOOKUP(AD38,Varsayımlar!$B:$Q,5,0))</f>
        <v>Hanami 20cm Sade 4 pcs 166g (067)</v>
      </c>
      <c r="I38" s="54" t="str">
        <f>IF(B38="","",VLOOKUP(AD38,Varsayımlar!B:T,19,0))</f>
        <v>Ambalaj kaç aylık kontrol?</v>
      </c>
      <c r="J38" s="54" t="str">
        <f>IF(B38="","",VLOOKUP(AD38,Varsayımlar!$B:$Q,6,0))</f>
        <v>SADE</v>
      </c>
      <c r="K38" s="54">
        <v>700</v>
      </c>
      <c r="L38" s="54"/>
      <c r="M38" s="54">
        <f>IFERROR(IF(B38="","",K38/VLOOKUP(AD38,Varsayımlar!B:R,17,0)),"")</f>
        <v>5</v>
      </c>
      <c r="N38" s="54"/>
      <c r="O38" s="54">
        <v>12</v>
      </c>
      <c r="P38" s="54">
        <f>IF(B38="","",VLOOKUP(AD38,Varsayımlar!$B:$Q,7,0)*K38)</f>
        <v>21000</v>
      </c>
      <c r="Q38" s="54">
        <f>IF(B38="","",VLOOKUP(AD38,Varsayımlar!$B:$Q,8,0))</f>
        <v>20</v>
      </c>
      <c r="R38" s="54" t="str">
        <f>IF(B38="","",VLOOKUP(AD38,Varsayımlar!$B:$Q,9,0))</f>
        <v>Irak Soft</v>
      </c>
      <c r="S38" s="54">
        <f>IF(B38="","",VLOOKUP(AD38,Varsayımlar!$B:$Q,10,0))</f>
        <v>4</v>
      </c>
      <c r="T38" s="54">
        <f>IF(B38="","",VLOOKUP(AD38,Varsayımlar!$B:$Q,11,0))</f>
        <v>30</v>
      </c>
      <c r="U38" s="54">
        <f>IF(B38="","",VLOOKUP(AD38,Varsayımlar!$B:$Q,12,0))</f>
        <v>166</v>
      </c>
      <c r="V38" s="54" t="str">
        <f>IF(B38="","",VLOOKUP(AD38,Varsayımlar!$B:$Q,13,0))</f>
        <v>Yurtdışı</v>
      </c>
      <c r="W38" s="54">
        <f>IF(B38="","",VLOOKUP(AD38,Varsayımlar!$B:$Q,14,0))</f>
        <v>9</v>
      </c>
      <c r="X38" s="56">
        <v>46226</v>
      </c>
      <c r="Y38" s="56">
        <v>46500</v>
      </c>
      <c r="Z38" s="54">
        <v>26072320</v>
      </c>
      <c r="AA38" s="54" t="str">
        <f>IF(B38="","",VLOOKUP(AD38,Varsayımlar!$B:$Q,15,0))</f>
        <v>Hanami Mavi Koli -Üretim Tarihi+9 AYI KAPATACAK ETİKETLİ</v>
      </c>
      <c r="AB38" s="54" t="str">
        <f>IF(B38="","",VLOOKUP(AD38,Varsayımlar!$B:$Q,16,0))</f>
        <v>19-21 cm</v>
      </c>
      <c r="AC38" s="8" t="e">
        <f>IF(B38="","",VLOOKUP(#REF!,#REF!,18,0))</f>
        <v>#REF!</v>
      </c>
      <c r="AD38" s="8" t="str">
        <f t="shared" si="1"/>
        <v xml:space="preserve">GermesHanami 20cm sade 4pcs 166g </v>
      </c>
    </row>
    <row r="39" spans="1:30" ht="31.5" x14ac:dyDescent="0.25">
      <c r="A39" s="8" t="s">
        <v>152</v>
      </c>
      <c r="B39" s="54" t="s">
        <v>346</v>
      </c>
      <c r="C39" s="139">
        <f>IF(B39="","",VLOOKUP(AD39,Varsayımlar!$B:$Q,3,0))</f>
        <v>8698829380698</v>
      </c>
      <c r="D39" s="39">
        <v>49</v>
      </c>
      <c r="E39" s="55" t="s">
        <v>490</v>
      </c>
      <c r="F39" s="54"/>
      <c r="G39" s="54"/>
      <c r="H39" s="54" t="str">
        <f>IF(B39="","",VLOOKUP(AD39,Varsayımlar!$B:$Q,5,0))</f>
        <v>Tortillas Domatesli 25cm (Germes Bilgileri Ekli)</v>
      </c>
      <c r="I39" s="54">
        <f>IF(B39="","",VLOOKUP(AD39,Varsayımlar!B:T,19,0))</f>
        <v>0</v>
      </c>
      <c r="J39" s="54" t="str">
        <f>IF(B39="","",VLOOKUP(AD39,Varsayımlar!$B:$Q,6,0))</f>
        <v>Domatesli</v>
      </c>
      <c r="K39" s="54">
        <v>420</v>
      </c>
      <c r="L39" s="54"/>
      <c r="M39" s="54" t="str">
        <f>IFERROR(IF(B39="","",K39/VLOOKUP(AD39,Varsayımlar!B:R,17,0)),"")</f>
        <v/>
      </c>
      <c r="N39" s="54"/>
      <c r="O39" s="54">
        <v>8</v>
      </c>
      <c r="P39" s="54">
        <f>IF(B39="","",VLOOKUP(AD39,Varsayımlar!$B:$Q,7,0)*K39)</f>
        <v>12600</v>
      </c>
      <c r="Q39" s="54">
        <f>IF(B39="","",VLOOKUP(AD39,Varsayımlar!$B:$Q,8,0))</f>
        <v>25</v>
      </c>
      <c r="R39" s="54" t="str">
        <f>IF(B39="","",VLOOKUP(AD39,Varsayımlar!$B:$Q,9,0))</f>
        <v>Irak Soft</v>
      </c>
      <c r="S39" s="54">
        <f>IF(B39="","",VLOOKUP(AD39,Varsayımlar!$B:$Q,10,0))</f>
        <v>4</v>
      </c>
      <c r="T39" s="54">
        <f>IF(B39="","",VLOOKUP(AD39,Varsayımlar!$B:$Q,11,0))</f>
        <v>30</v>
      </c>
      <c r="U39" s="54">
        <f>IF(B39="","",VLOOKUP(AD39,Varsayımlar!$B:$Q,12,0))</f>
        <v>250</v>
      </c>
      <c r="V39" s="54" t="str">
        <f>IF(B39="","",VLOOKUP(AD39,Varsayımlar!$B:$Q,13,0))</f>
        <v>Yurtdışı</v>
      </c>
      <c r="W39" s="54">
        <f>IF(B39="","",VLOOKUP(AD39,Varsayımlar!$B:$Q,14,0))</f>
        <v>9</v>
      </c>
      <c r="X39" s="56">
        <v>46226</v>
      </c>
      <c r="Y39" s="56">
        <v>46135</v>
      </c>
      <c r="Z39" s="54" t="s">
        <v>496</v>
      </c>
      <c r="AA39" s="54" t="str">
        <f>IF(B39="","",VLOOKUP(AD39,Varsayımlar!$B:$Q,15,0))</f>
        <v>25cm Kırmızı Koli-Üretim Tarihli Etiketli</v>
      </c>
      <c r="AB39" s="54">
        <f>IF(B39="","",VLOOKUP(AD39,Varsayımlar!$B:$Q,16,0))</f>
        <v>0</v>
      </c>
      <c r="AC39" s="8" t="e">
        <f>IF(B39="","",VLOOKUP(#REF!,#REF!,18,0))</f>
        <v>#REF!</v>
      </c>
      <c r="AD39" s="8" t="str">
        <f t="shared" si="1"/>
        <v xml:space="preserve">GermesTortillas Domatesli 25cm 4pcs 250g </v>
      </c>
    </row>
    <row r="40" spans="1:30" ht="31.5" x14ac:dyDescent="0.25">
      <c r="A40" s="8" t="s">
        <v>153</v>
      </c>
      <c r="B40" s="54" t="s">
        <v>346</v>
      </c>
      <c r="C40" s="139">
        <f>IF(B40="","",VLOOKUP(AD40,Varsayımlar!$B:$Q,3,0))</f>
        <v>8698829380698</v>
      </c>
      <c r="D40" s="39">
        <v>49</v>
      </c>
      <c r="E40" s="55" t="s">
        <v>492</v>
      </c>
      <c r="F40" s="54"/>
      <c r="G40" s="54"/>
      <c r="H40" s="54" t="str">
        <f>IF(B40="","",VLOOKUP(AD40,Varsayımlar!$B:$Q,5,0))</f>
        <v>Tortillas Ispanaklı 25cm (Germes Bilgileri Ekli)</v>
      </c>
      <c r="I40" s="54">
        <f>IF(B40="","",VLOOKUP(AD40,Varsayımlar!B:T,19,0))</f>
        <v>0</v>
      </c>
      <c r="J40" s="54" t="str">
        <f>IF(B40="","",VLOOKUP(AD40,Varsayımlar!$B:$Q,6,0))</f>
        <v>Ispanaklı</v>
      </c>
      <c r="K40" s="54">
        <v>420</v>
      </c>
      <c r="L40" s="54"/>
      <c r="M40" s="54" t="str">
        <f>IFERROR(IF(B40="","",K40/VLOOKUP(AD40,Varsayımlar!B:R,17,0)),"")</f>
        <v/>
      </c>
      <c r="N40" s="54"/>
      <c r="O40" s="54">
        <v>8</v>
      </c>
      <c r="P40" s="54">
        <f>IF(B40="","",VLOOKUP(AD40,Varsayımlar!$B:$Q,7,0)*K40)</f>
        <v>12600</v>
      </c>
      <c r="Q40" s="54">
        <f>IF(B40="","",VLOOKUP(AD40,Varsayımlar!$B:$Q,8,0))</f>
        <v>25</v>
      </c>
      <c r="R40" s="54" t="str">
        <f>IF(B40="","",VLOOKUP(AD40,Varsayımlar!$B:$Q,9,0))</f>
        <v>Irak Soft</v>
      </c>
      <c r="S40" s="54">
        <f>IF(B40="","",VLOOKUP(AD40,Varsayımlar!$B:$Q,10,0))</f>
        <v>4</v>
      </c>
      <c r="T40" s="54">
        <f>IF(B40="","",VLOOKUP(AD40,Varsayımlar!$B:$Q,11,0))</f>
        <v>30</v>
      </c>
      <c r="U40" s="54">
        <f>IF(B40="","",VLOOKUP(AD40,Varsayımlar!$B:$Q,12,0))</f>
        <v>250</v>
      </c>
      <c r="V40" s="54" t="str">
        <f>IF(B40="","",VLOOKUP(AD40,Varsayımlar!$B:$Q,13,0))</f>
        <v>Yurtdışı</v>
      </c>
      <c r="W40" s="54">
        <f>IF(B40="","",VLOOKUP(AD40,Varsayımlar!$B:$Q,14,0))</f>
        <v>9</v>
      </c>
      <c r="X40" s="56">
        <v>46226</v>
      </c>
      <c r="Y40" s="56">
        <v>46500</v>
      </c>
      <c r="Z40" s="54" t="s">
        <v>497</v>
      </c>
      <c r="AA40" s="54" t="str">
        <f>IF(B40="","",VLOOKUP(AD40,Varsayımlar!$B:$Q,15,0))</f>
        <v>25cm Kırmızı Koli-Üretim Tarihli Etiketli</v>
      </c>
      <c r="AB40" s="54">
        <f>IF(B40="","",VLOOKUP(AD40,Varsayımlar!$B:$Q,16,0))</f>
        <v>0</v>
      </c>
      <c r="AC40" s="8" t="e">
        <f>IF(B40="","",VLOOKUP(#REF!,#REF!,18,0))</f>
        <v>#REF!</v>
      </c>
      <c r="AD40" s="8" t="str">
        <f t="shared" si="1"/>
        <v xml:space="preserve">GermesTortillas Ispanaklı 25cm 4pcs 250g </v>
      </c>
    </row>
    <row r="41" spans="1:30" s="140" customFormat="1" ht="45.75" customHeight="1" x14ac:dyDescent="0.25">
      <c r="A41" s="8" t="s">
        <v>154</v>
      </c>
      <c r="B41" s="130" t="s">
        <v>119</v>
      </c>
      <c r="C41" s="131">
        <f>IF(B41="","",VLOOKUP(AD41,Varsayımlar!$B:$Q,3,0))</f>
        <v>8698829380698</v>
      </c>
      <c r="D41" s="131"/>
      <c r="E41" s="132" t="s">
        <v>120</v>
      </c>
      <c r="F41" s="130"/>
      <c r="G41" s="130"/>
      <c r="H41" s="130" t="str">
        <f>IF(B41="","",VLOOKUP(AD41,Varsayımlar!$B:$Q,5,0))</f>
        <v>Nimet 25 cm</v>
      </c>
      <c r="I41" s="130"/>
      <c r="J41" s="130" t="str">
        <f>IF(B41="","",VLOOKUP(AD41,Varsayımlar!$B:$Q,6,0))</f>
        <v>SADE</v>
      </c>
      <c r="K41" s="130">
        <v>5000</v>
      </c>
      <c r="L41" s="130"/>
      <c r="M41" s="130">
        <f>IFERROR(IF(B41="","",K41/VLOOKUP(AD41,Varsayımlar!B:R,17,0)),"")</f>
        <v>100</v>
      </c>
      <c r="N41" s="130"/>
      <c r="O41" s="130">
        <v>100</v>
      </c>
      <c r="P41" s="130">
        <f>IF(B41="","",VLOOKUP(AD41,Varsayımlar!$B:$Q,7,0)*K41)</f>
        <v>60000</v>
      </c>
      <c r="Q41" s="130">
        <f>IF(B41="","",VLOOKUP(AD41,Varsayımlar!$B:$Q,8,0))</f>
        <v>25</v>
      </c>
      <c r="R41" s="130" t="str">
        <f>IF(B41="","",VLOOKUP(AD41,Varsayımlar!$B:$Q,9,0))</f>
        <v>Standart</v>
      </c>
      <c r="S41" s="130">
        <f>IF(B41="","",VLOOKUP(AD41,Varsayımlar!$B:$Q,10,0))</f>
        <v>12</v>
      </c>
      <c r="T41" s="130">
        <f>IF(B41="","",VLOOKUP(AD41,Varsayımlar!$B:$Q,11,0))</f>
        <v>12</v>
      </c>
      <c r="U41" s="130">
        <f>IF(B41="","",VLOOKUP(AD41,Varsayımlar!$B:$Q,12,0))</f>
        <v>840</v>
      </c>
      <c r="V41" s="130" t="str">
        <f>IF(B41="","",VLOOKUP(AD41,Varsayımlar!$B:$Q,13,0))</f>
        <v>YURTİÇİ</v>
      </c>
      <c r="W41" s="130">
        <f>IF(B41="","",VLOOKUP(AD41,Varsayımlar!$B:$Q,14,0))</f>
        <v>5</v>
      </c>
      <c r="X41" s="133" t="s">
        <v>113</v>
      </c>
      <c r="Y41" s="133" t="s">
        <v>113</v>
      </c>
      <c r="Z41" s="130" t="s">
        <v>113</v>
      </c>
      <c r="AA41" s="130" t="str">
        <f>IF(B41="","",VLOOKUP(AD41,Varsayımlar!$B:$Q,15,0))</f>
        <v>Nimet Kolisi</v>
      </c>
      <c r="AB41" s="130" t="str">
        <f>IF(B41="","",VLOOKUP(AD41,Varsayımlar!$B:$Q,16,0))</f>
        <v>24-26 CM</v>
      </c>
      <c r="AC41" s="64" t="s">
        <v>360</v>
      </c>
      <c r="AD41" s="57" t="str">
        <f>IF(B41="","",CONCATENATE(B41,E41))</f>
        <v>A101Nimet 25cm 12 pcs 840g</v>
      </c>
    </row>
    <row r="42" spans="1:30" s="140" customFormat="1" ht="36" customHeight="1" x14ac:dyDescent="0.25">
      <c r="A42" s="8" t="s">
        <v>155</v>
      </c>
      <c r="B42" s="149" t="s">
        <v>500</v>
      </c>
      <c r="C42" s="149" t="e">
        <f>IF(B42="","",VLOOKUP(AD42,#REF!,3,0))</f>
        <v>#REF!</v>
      </c>
      <c r="D42" s="149"/>
      <c r="E42" s="149" t="s">
        <v>501</v>
      </c>
      <c r="F42" s="149">
        <v>26062201</v>
      </c>
      <c r="G42" s="149"/>
      <c r="H42" s="149" t="e">
        <f>IF(B42="","",VLOOKUP(AD42,#REF!,5,0))</f>
        <v>#REF!</v>
      </c>
      <c r="I42" s="149" t="e">
        <f>IF(B42="","",VLOOKUP(AD42,#REF!,19,0))</f>
        <v>#REF!</v>
      </c>
      <c r="J42" s="149" t="e">
        <f>IF(B42="","",VLOOKUP(AD42,#REF!,6,0))</f>
        <v>#REF!</v>
      </c>
      <c r="K42" s="149">
        <v>100</v>
      </c>
      <c r="L42" s="149"/>
      <c r="M42" s="149">
        <f>IFERROR(IF(B42="","",K42/VLOOKUP(AD42,Varsayımlar!B:R,17,0)),"")</f>
        <v>2</v>
      </c>
      <c r="N42" s="149"/>
      <c r="O42" s="149">
        <v>2</v>
      </c>
      <c r="P42" s="149" t="e">
        <f>IF(B42="","",VLOOKUP(AD42,#REF!,7,0)*K42)</f>
        <v>#REF!</v>
      </c>
      <c r="Q42" s="149" t="e">
        <f>IF(B42="","",VLOOKUP(AD42,#REF!,8,0))</f>
        <v>#REF!</v>
      </c>
      <c r="R42" s="149" t="e">
        <f>IF(B42="","",VLOOKUP(AD42,#REF!,9,0))</f>
        <v>#REF!</v>
      </c>
      <c r="S42" s="149" t="e">
        <f>IF(B42="","",VLOOKUP(AD42,#REF!,10,0))</f>
        <v>#REF!</v>
      </c>
      <c r="T42" s="149" t="e">
        <f>IF(B42="","",VLOOKUP(AD42,#REF!,11,0))</f>
        <v>#REF!</v>
      </c>
      <c r="U42" s="149" t="e">
        <f>IF(B42="","",VLOOKUP(AD42,#REF!,12,0))</f>
        <v>#REF!</v>
      </c>
      <c r="V42" s="149" t="e">
        <f>IF(B42="","",VLOOKUP(AD42,#REF!,13,0))</f>
        <v>#REF!</v>
      </c>
      <c r="W42" s="149" t="e">
        <f>IF(B42="","",VLOOKUP(AD42,#REF!,14,0))</f>
        <v>#REF!</v>
      </c>
      <c r="X42" s="151">
        <v>46231</v>
      </c>
      <c r="Y42" s="151">
        <v>46596</v>
      </c>
      <c r="Z42" s="149">
        <v>26072833</v>
      </c>
      <c r="AA42" s="149" t="e">
        <f>IF(B42="","",VLOOKUP(AD42,#REF!,15,0))</f>
        <v>#REF!</v>
      </c>
      <c r="AB42" s="149" t="e">
        <f>IF(B42="","",VLOOKUP(AD42,#REF!,16,0))</f>
        <v>#REF!</v>
      </c>
      <c r="AC42" s="67" t="e">
        <f>IF(B42="","",VLOOKUP(#REF!,#REF!,18,0))</f>
        <v>#REF!</v>
      </c>
      <c r="AD42" s="57" t="str">
        <f t="shared" si="1"/>
        <v>Fama GroupTortillas 33cm 10pcs 1000g</v>
      </c>
    </row>
    <row r="43" spans="1:30" s="140" customFormat="1" ht="49.5" customHeight="1" x14ac:dyDescent="0.25">
      <c r="A43" s="8" t="s">
        <v>156</v>
      </c>
      <c r="B43" s="152" t="s">
        <v>518</v>
      </c>
      <c r="C43" s="153">
        <f>IF(B43="","",VLOOKUP(AD43,Varsayımlar!$B:$Q,3,0))</f>
        <v>8698829380698</v>
      </c>
      <c r="D43" s="154"/>
      <c r="E43" s="156" t="s">
        <v>501</v>
      </c>
      <c r="F43" s="152">
        <v>26062302</v>
      </c>
      <c r="G43" s="152"/>
      <c r="H43" s="152" t="str">
        <f>IF(B43="","",VLOOKUP(AD43,Varsayımlar!$B:$Q,5,0))</f>
        <v>Tortillas 33cm</v>
      </c>
      <c r="I43" s="152">
        <f>IF(B43="","",VLOOKUP(AD43,Varsayımlar!B:T,19,0))</f>
        <v>0</v>
      </c>
      <c r="J43" s="152" t="str">
        <f>IF(B43="","",VLOOKUP(AD43,Varsayımlar!$B:$Q,6,0))</f>
        <v>Sade</v>
      </c>
      <c r="K43" s="152">
        <v>25</v>
      </c>
      <c r="L43" s="152"/>
      <c r="M43" s="152">
        <f>IFERROR(IF(B43="","",K43/VLOOKUP(AD43,Varsayımlar!B:R,17,0)),"")</f>
        <v>0.5</v>
      </c>
      <c r="N43" s="152"/>
      <c r="O43" s="152">
        <v>1</v>
      </c>
      <c r="P43" s="152">
        <f>IF(B43="","",VLOOKUP(AD43,Varsayımlar!$B:$Q,7,0)*K43)</f>
        <v>300</v>
      </c>
      <c r="Q43" s="152">
        <f>IF(B43="","",VLOOKUP(AD43,Varsayımlar!$B:$Q,8,0))</f>
        <v>33</v>
      </c>
      <c r="R43" s="152" t="str">
        <f>IF(B43="","",VLOOKUP(AD43,Varsayımlar!$B:$Q,9,0))</f>
        <v>Irak Soft</v>
      </c>
      <c r="S43" s="152">
        <f>IF(B43="","",VLOOKUP(AD43,Varsayımlar!$B:$Q,10,0))</f>
        <v>10</v>
      </c>
      <c r="T43" s="152">
        <f>IF(B43="","",VLOOKUP(AD43,Varsayımlar!$B:$Q,11,0))</f>
        <v>12</v>
      </c>
      <c r="U43" s="152">
        <f>IF(B43="","",VLOOKUP(AD43,Varsayımlar!$B:$Q,12,0))</f>
        <v>1000</v>
      </c>
      <c r="V43" s="152" t="str">
        <f>IF(B43="","",VLOOKUP(AD43,Varsayımlar!$B:$Q,13,0))</f>
        <v>Yurtiçi</v>
      </c>
      <c r="W43" s="152">
        <f>IF(B43="","",VLOOKUP(AD43,Varsayımlar!$B:$Q,14,0))</f>
        <v>6</v>
      </c>
      <c r="X43" s="155">
        <v>46231</v>
      </c>
      <c r="Y43" s="155">
        <v>46415</v>
      </c>
      <c r="Z43" s="152">
        <v>26072833</v>
      </c>
      <c r="AA43" s="152" t="str">
        <f>IF(B43="","",VLOOKUP(AD43,Varsayımlar!$B:$Q,15,0))</f>
        <v>33cm Kolisi</v>
      </c>
      <c r="AB43" s="152" t="str">
        <f>IF(B43="","",VLOOKUP(AD43,Varsayımlar!$B:$Q,16,0))</f>
        <v>32-34cm</v>
      </c>
      <c r="AC43" s="8" t="e">
        <f>IF(B43="","",VLOOKUP(#REF!,#REF!,18,0))</f>
        <v>#REF!</v>
      </c>
      <c r="AD43" s="8" t="str">
        <f t="shared" ref="AD43" si="2">IF(B43="","",CONCATENATE(B43,E43))</f>
        <v>Yusuf KöseTortillas 33cm 10pcs 1000g</v>
      </c>
    </row>
    <row r="44" spans="1:30" s="140" customFormat="1" ht="49.5" customHeight="1" x14ac:dyDescent="0.25">
      <c r="A44" s="8" t="s">
        <v>157</v>
      </c>
      <c r="B44" s="152" t="s">
        <v>518</v>
      </c>
      <c r="C44" s="153">
        <f>IF(B44="","",VLOOKUP(AD44,Varsayımlar!$B:$Q,3,0))</f>
        <v>8698829380698</v>
      </c>
      <c r="D44" s="154"/>
      <c r="E44" s="152" t="s">
        <v>520</v>
      </c>
      <c r="F44" s="152">
        <v>26062302</v>
      </c>
      <c r="G44" s="152"/>
      <c r="H44" s="152" t="str">
        <f>IF(B44="","",VLOOKUP(AD44,Varsayımlar!$B:$Q,5,0))</f>
        <v>Tortillas 30cm</v>
      </c>
      <c r="I44" s="152">
        <f>IF(B44="","",VLOOKUP(AD44,Varsayımlar!B:T,19,0))</f>
        <v>0</v>
      </c>
      <c r="J44" s="152" t="str">
        <f>IF(B44="","",VLOOKUP(AD44,Varsayımlar!$B:$Q,6,0))</f>
        <v>Sade</v>
      </c>
      <c r="K44" s="152">
        <v>15</v>
      </c>
      <c r="L44" s="152"/>
      <c r="M44" s="152">
        <f>IFERROR(IF(B44="","",K44/VLOOKUP(AD44,Varsayımlar!B:R,17,0)),"")</f>
        <v>0.3</v>
      </c>
      <c r="N44" s="152"/>
      <c r="O44" s="152">
        <v>0</v>
      </c>
      <c r="P44" s="152">
        <f>IF(B44="","",VLOOKUP(AD44,Varsayımlar!$B:$Q,7,0)*K44)</f>
        <v>180</v>
      </c>
      <c r="Q44" s="152">
        <f>IF(B44="","",VLOOKUP(AD44,Varsayımlar!$B:$Q,8,0))</f>
        <v>30</v>
      </c>
      <c r="R44" s="152" t="str">
        <f>IF(B44="","",VLOOKUP(AD44,Varsayımlar!$B:$Q,9,0))</f>
        <v>Irak Soft</v>
      </c>
      <c r="S44" s="152">
        <f>IF(B44="","",VLOOKUP(AD44,Varsayımlar!$B:$Q,10,0))</f>
        <v>10</v>
      </c>
      <c r="T44" s="152">
        <f>IF(B44="","",VLOOKUP(AD44,Varsayımlar!$B:$Q,11,0))</f>
        <v>12</v>
      </c>
      <c r="U44" s="152">
        <f>IF(B44="","",VLOOKUP(AD44,Varsayımlar!$B:$Q,12,0))</f>
        <v>950</v>
      </c>
      <c r="V44" s="152" t="str">
        <f>IF(B44="","",VLOOKUP(AD44,Varsayımlar!$B:$Q,13,0))</f>
        <v>Yurtiçi</v>
      </c>
      <c r="W44" s="152">
        <f>IF(B44="","",VLOOKUP(AD44,Varsayımlar!$B:$Q,14,0))</f>
        <v>6</v>
      </c>
      <c r="X44" s="155">
        <v>46231</v>
      </c>
      <c r="Y44" s="155">
        <v>46415</v>
      </c>
      <c r="Z44" s="152">
        <v>26072830</v>
      </c>
      <c r="AA44" s="152" t="str">
        <f>IF(B44="","",VLOOKUP(AD44,Varsayımlar!$B:$Q,15,0))</f>
        <v>30cm Kolisi</v>
      </c>
      <c r="AB44" s="152" t="str">
        <f>IF(B44="","",VLOOKUP(AD44,Varsayımlar!$B:$Q,16,0))</f>
        <v>29-31cm</v>
      </c>
      <c r="AC44" s="8" t="e">
        <f>IF(B44="","",VLOOKUP(#REF!,#REF!,18,0))</f>
        <v>#REF!</v>
      </c>
      <c r="AD44" s="8" t="str">
        <f t="shared" ref="AD44" si="3">IF(B44="","",CONCATENATE(B44,E44))</f>
        <v>Yusuf KöseTortillas 30cm 10pcs 950g</v>
      </c>
    </row>
    <row r="45" spans="1:30" s="140" customFormat="1" ht="36" customHeight="1" x14ac:dyDescent="0.25">
      <c r="A45" s="8" t="s">
        <v>158</v>
      </c>
      <c r="B45" s="149" t="s">
        <v>500</v>
      </c>
      <c r="C45" s="149" t="e">
        <f>IF(B45="","",VLOOKUP(AD45,#REF!,3,0))</f>
        <v>#REF!</v>
      </c>
      <c r="D45" s="149"/>
      <c r="E45" s="149" t="s">
        <v>509</v>
      </c>
      <c r="F45" s="149">
        <v>26062201</v>
      </c>
      <c r="G45" s="149"/>
      <c r="H45" s="149" t="e">
        <f>IF(B45="","",VLOOKUP(AD45,#REF!,5,0))</f>
        <v>#REF!</v>
      </c>
      <c r="I45" s="149" t="e">
        <f>IF(B45="","",VLOOKUP(AD45,#REF!,19,0))</f>
        <v>#REF!</v>
      </c>
      <c r="J45" s="149" t="e">
        <f>IF(B45="","",VLOOKUP(AD45,#REF!,6,0))</f>
        <v>#REF!</v>
      </c>
      <c r="K45" s="149">
        <v>250</v>
      </c>
      <c r="L45" s="149"/>
      <c r="M45" s="149">
        <f>IFERROR(IF(B45="","",K45/VLOOKUP(AD45,Varsayımlar!B:R,17,0)),"")</f>
        <v>5</v>
      </c>
      <c r="N45" s="149"/>
      <c r="O45" s="149">
        <v>5</v>
      </c>
      <c r="P45" s="149" t="e">
        <f>IF(B45="","",VLOOKUP(AD45,#REF!,7,0)*K45)</f>
        <v>#REF!</v>
      </c>
      <c r="Q45" s="149" t="e">
        <f>IF(B45="","",VLOOKUP(AD45,#REF!,8,0))</f>
        <v>#REF!</v>
      </c>
      <c r="R45" s="149" t="e">
        <f>IF(B45="","",VLOOKUP(AD45,#REF!,9,0))</f>
        <v>#REF!</v>
      </c>
      <c r="S45" s="149" t="e">
        <f>IF(B45="","",VLOOKUP(AD45,#REF!,10,0))</f>
        <v>#REF!</v>
      </c>
      <c r="T45" s="149" t="e">
        <f>IF(B45="","",VLOOKUP(AD45,#REF!,11,0))</f>
        <v>#REF!</v>
      </c>
      <c r="U45" s="149" t="e">
        <f>IF(B45="","",VLOOKUP(AD45,#REF!,12,0))</f>
        <v>#REF!</v>
      </c>
      <c r="V45" s="149" t="e">
        <f>IF(B45="","",VLOOKUP(AD45,#REF!,13,0))</f>
        <v>#REF!</v>
      </c>
      <c r="W45" s="149" t="e">
        <f>IF(B45="","",VLOOKUP(AD45,#REF!,14,0))</f>
        <v>#REF!</v>
      </c>
      <c r="X45" s="151">
        <v>46231</v>
      </c>
      <c r="Y45" s="151">
        <v>46596</v>
      </c>
      <c r="Z45" s="149">
        <v>26072830</v>
      </c>
      <c r="AA45" s="149" t="e">
        <f>IF(B45="","",VLOOKUP(AD45,#REF!,15,0))</f>
        <v>#REF!</v>
      </c>
      <c r="AB45" s="149" t="e">
        <f>IF(B45="","",VLOOKUP(AD45,#REF!,16,0))</f>
        <v>#REF!</v>
      </c>
      <c r="AC45" s="67" t="e">
        <f>IF(B45="","",VLOOKUP(#REF!,#REF!,18,0))</f>
        <v>#REF!</v>
      </c>
      <c r="AD45" s="57" t="str">
        <f t="shared" ref="AD45" si="4">IF(B45="","",CONCATENATE(B45,E45))</f>
        <v>Fama GroupTortillas 30cm 10pcs 850g</v>
      </c>
    </row>
    <row r="46" spans="1:30" s="140" customFormat="1" ht="36" customHeight="1" x14ac:dyDescent="0.25">
      <c r="A46" s="8" t="s">
        <v>388</v>
      </c>
      <c r="B46" s="149" t="s">
        <v>500</v>
      </c>
      <c r="C46" s="149" t="e">
        <f>IF(B46="","",VLOOKUP(AD46,#REF!,3,0))</f>
        <v>#REF!</v>
      </c>
      <c r="D46" s="149"/>
      <c r="E46" s="149" t="s">
        <v>512</v>
      </c>
      <c r="F46" s="149">
        <v>26062201</v>
      </c>
      <c r="G46" s="149"/>
      <c r="H46" s="149" t="e">
        <f>IF(B46="","",VLOOKUP(AD46,#REF!,5,0))</f>
        <v>#REF!</v>
      </c>
      <c r="I46" s="149" t="e">
        <f>IF(B46="","",VLOOKUP(AD46,#REF!,19,0))</f>
        <v>#REF!</v>
      </c>
      <c r="J46" s="149" t="e">
        <f>IF(B46="","",VLOOKUP(AD46,#REF!,6,0))</f>
        <v>#REF!</v>
      </c>
      <c r="K46" s="149">
        <v>50</v>
      </c>
      <c r="L46" s="149"/>
      <c r="M46" s="149">
        <f>IFERROR(IF(B46="","",K46/VLOOKUP(AD46,Varsayımlar!B:R,17,0)),"")</f>
        <v>1</v>
      </c>
      <c r="N46" s="149"/>
      <c r="O46" s="149">
        <v>1</v>
      </c>
      <c r="P46" s="149" t="e">
        <f>IF(B46="","",VLOOKUP(AD46,#REF!,7,0)*K46)</f>
        <v>#REF!</v>
      </c>
      <c r="Q46" s="149" t="e">
        <f>IF(B46="","",VLOOKUP(AD46,#REF!,8,0))</f>
        <v>#REF!</v>
      </c>
      <c r="R46" s="149" t="e">
        <f>IF(B46="","",VLOOKUP(AD46,#REF!,9,0))</f>
        <v>#REF!</v>
      </c>
      <c r="S46" s="149" t="e">
        <f>IF(B46="","",VLOOKUP(AD46,#REF!,10,0))</f>
        <v>#REF!</v>
      </c>
      <c r="T46" s="149" t="e">
        <f>IF(B46="","",VLOOKUP(AD46,#REF!,11,0))</f>
        <v>#REF!</v>
      </c>
      <c r="U46" s="149" t="e">
        <f>IF(B46="","",VLOOKUP(AD46,#REF!,12,0))</f>
        <v>#REF!</v>
      </c>
      <c r="V46" s="149" t="e">
        <f>IF(B46="","",VLOOKUP(AD46,#REF!,13,0))</f>
        <v>#REF!</v>
      </c>
      <c r="W46" s="149" t="e">
        <f>IF(B46="","",VLOOKUP(AD46,#REF!,14,0))</f>
        <v>#REF!</v>
      </c>
      <c r="X46" s="151">
        <v>46231</v>
      </c>
      <c r="Y46" s="151">
        <v>46596</v>
      </c>
      <c r="Z46" s="149">
        <v>26072820</v>
      </c>
      <c r="AA46" s="149" t="e">
        <f>IF(B46="","",VLOOKUP(AD46,#REF!,15,0))</f>
        <v>#REF!</v>
      </c>
      <c r="AB46" s="149" t="e">
        <f>IF(B46="","",VLOOKUP(AD46,#REF!,16,0))</f>
        <v>#REF!</v>
      </c>
      <c r="AC46" s="67" t="e">
        <f>IF(B46="","",VLOOKUP(#REF!,#REF!,18,0))</f>
        <v>#REF!</v>
      </c>
      <c r="AD46" s="57" t="str">
        <f t="shared" ref="AD46" si="5">IF(B46="","",CONCATENATE(B46,E46))</f>
        <v>Fama GroupTortillas 20cm 10pcs 450g</v>
      </c>
    </row>
    <row r="47" spans="1:30" s="140" customFormat="1" ht="36" customHeight="1" x14ac:dyDescent="0.25">
      <c r="A47" s="8" t="s">
        <v>389</v>
      </c>
      <c r="B47" s="149" t="s">
        <v>500</v>
      </c>
      <c r="C47" s="149" t="e">
        <f>IF(B47="","",VLOOKUP(AD47,#REF!,3,0))</f>
        <v>#REF!</v>
      </c>
      <c r="D47" s="149"/>
      <c r="E47" s="149" t="s">
        <v>229</v>
      </c>
      <c r="F47" s="149">
        <v>26062201</v>
      </c>
      <c r="G47" s="149"/>
      <c r="H47" s="149" t="e">
        <f>IF(B47="","",VLOOKUP(AD47,#REF!,5,0))</f>
        <v>#REF!</v>
      </c>
      <c r="I47" s="149" t="e">
        <f>IF(B47="","",VLOOKUP(AD47,#REF!,19,0))</f>
        <v>#REF!</v>
      </c>
      <c r="J47" s="149" t="e">
        <f>IF(B47="","",VLOOKUP(AD47,#REF!,6,0))</f>
        <v>#REF!</v>
      </c>
      <c r="K47" s="149">
        <v>50</v>
      </c>
      <c r="L47" s="149"/>
      <c r="M47" s="149">
        <f>IFERROR(IF(B47="","",K47/VLOOKUP(AD47,Varsayımlar!B:R,17,0)),"")</f>
        <v>1</v>
      </c>
      <c r="N47" s="149"/>
      <c r="O47" s="149">
        <v>1</v>
      </c>
      <c r="P47" s="149" t="e">
        <f>IF(B47="","",VLOOKUP(AD47,#REF!,7,0)*K47)</f>
        <v>#REF!</v>
      </c>
      <c r="Q47" s="149" t="e">
        <f>IF(B47="","",VLOOKUP(AD47,#REF!,8,0))</f>
        <v>#REF!</v>
      </c>
      <c r="R47" s="149" t="e">
        <f>IF(B47="","",VLOOKUP(AD47,#REF!,9,0))</f>
        <v>#REF!</v>
      </c>
      <c r="S47" s="149" t="e">
        <f>IF(B47="","",VLOOKUP(AD47,#REF!,10,0))</f>
        <v>#REF!</v>
      </c>
      <c r="T47" s="149" t="e">
        <f>IF(B47="","",VLOOKUP(AD47,#REF!,11,0))</f>
        <v>#REF!</v>
      </c>
      <c r="U47" s="149" t="e">
        <f>IF(B47="","",VLOOKUP(AD47,#REF!,12,0))</f>
        <v>#REF!</v>
      </c>
      <c r="V47" s="149" t="e">
        <f>IF(B47="","",VLOOKUP(AD47,#REF!,13,0))</f>
        <v>#REF!</v>
      </c>
      <c r="W47" s="149" t="e">
        <f>IF(B47="","",VLOOKUP(AD47,#REF!,14,0))</f>
        <v>#REF!</v>
      </c>
      <c r="X47" s="151">
        <v>46231</v>
      </c>
      <c r="Y47" s="151">
        <v>46596</v>
      </c>
      <c r="Z47" s="149" t="s">
        <v>525</v>
      </c>
      <c r="AA47" s="149" t="e">
        <f>IF(B47="","",VLOOKUP(AD47,#REF!,15,0))</f>
        <v>#REF!</v>
      </c>
      <c r="AB47" s="149" t="e">
        <f>IF(B47="","",VLOOKUP(AD47,#REF!,16,0))</f>
        <v>#REF!</v>
      </c>
      <c r="AC47" s="67" t="e">
        <f>IF(B47="","",VLOOKUP(#REF!,#REF!,18,0))</f>
        <v>#REF!</v>
      </c>
      <c r="AD47" s="57" t="str">
        <f t="shared" ref="AD47" si="6">IF(B47="","",CONCATENATE(B47,E47))</f>
        <v>Fama GroupTortillas 25cm Tam Buğday 10pcs 650g</v>
      </c>
    </row>
    <row r="48" spans="1:30" s="140" customFormat="1" ht="36" customHeight="1" x14ac:dyDescent="0.25">
      <c r="A48" s="8" t="s">
        <v>390</v>
      </c>
      <c r="B48" s="67"/>
      <c r="C48" s="42" t="str">
        <f>IF(B48="","",VLOOKUP(AD48,#REF!,3,0))</f>
        <v/>
      </c>
      <c r="D48" s="42"/>
      <c r="E48" s="42"/>
      <c r="F48" s="67"/>
      <c r="G48" s="67"/>
      <c r="H48" s="67" t="str">
        <f>IF(B48="","",VLOOKUP(AD48,#REF!,5,0))</f>
        <v/>
      </c>
      <c r="I48" s="67" t="str">
        <f>IF(B48="","",VLOOKUP(AD48,#REF!,19,0))</f>
        <v/>
      </c>
      <c r="J48" s="67" t="str">
        <f>IF(B48="","",VLOOKUP(AD48,#REF!,6,0))</f>
        <v/>
      </c>
      <c r="K48" s="67"/>
      <c r="L48" s="67"/>
      <c r="M48" s="67" t="str">
        <f>IFERROR(IF(B48="","",K48/VLOOKUP(AD48,Varsayımlar!B:R,17,0)),"")</f>
        <v/>
      </c>
      <c r="N48" s="67"/>
      <c r="O48" s="67"/>
      <c r="P48" s="67" t="str">
        <f>IF(B48="","",VLOOKUP(AD48,#REF!,7,0)*K48)</f>
        <v/>
      </c>
      <c r="Q48" s="67" t="str">
        <f>IF(B48="","",VLOOKUP(AD48,#REF!,8,0))</f>
        <v/>
      </c>
      <c r="R48" s="67" t="str">
        <f>IF(B48="","",VLOOKUP(AD48,#REF!,9,0))</f>
        <v/>
      </c>
      <c r="S48" s="67" t="str">
        <f>IF(B48="","",VLOOKUP(AD48,#REF!,10,0))</f>
        <v/>
      </c>
      <c r="T48" s="67" t="str">
        <f>IF(B48="","",VLOOKUP(AD48,#REF!,11,0))</f>
        <v/>
      </c>
      <c r="U48" s="67" t="str">
        <f>IF(B48="","",VLOOKUP(AD48,#REF!,12,0))</f>
        <v/>
      </c>
      <c r="V48" s="67" t="str">
        <f>IF(B48="","",VLOOKUP(AD48,#REF!,13,0))</f>
        <v/>
      </c>
      <c r="W48" s="67" t="str">
        <f>IF(B48="","",VLOOKUP(AD48,#REF!,14,0))</f>
        <v/>
      </c>
      <c r="X48" s="69"/>
      <c r="Y48" s="69"/>
      <c r="Z48" s="67"/>
      <c r="AA48" s="67" t="str">
        <f>IF(B48="","",VLOOKUP(AD48,#REF!,15,0))</f>
        <v/>
      </c>
      <c r="AB48" s="67" t="str">
        <f>IF(B48="","",VLOOKUP(AD48,#REF!,16,0))</f>
        <v/>
      </c>
      <c r="AC48" s="145"/>
      <c r="AD48" s="57"/>
    </row>
    <row r="49" spans="1:30" s="140" customFormat="1" ht="36" customHeight="1" x14ac:dyDescent="0.25">
      <c r="A49" s="8" t="s">
        <v>391</v>
      </c>
      <c r="B49" s="67"/>
      <c r="C49" s="42" t="str">
        <f>IF(B49="","",VLOOKUP(AD49,#REF!,3,0))</f>
        <v/>
      </c>
      <c r="D49" s="42"/>
      <c r="E49" s="42"/>
      <c r="F49" s="67"/>
      <c r="G49" s="67"/>
      <c r="H49" s="67" t="str">
        <f>IF(B49="","",VLOOKUP(AD49,#REF!,5,0))</f>
        <v/>
      </c>
      <c r="I49" s="67" t="str">
        <f>IF(B49="","",VLOOKUP(AD49,#REF!,19,0))</f>
        <v/>
      </c>
      <c r="J49" s="67" t="str">
        <f>IF(B49="","",VLOOKUP(AD49,#REF!,6,0))</f>
        <v/>
      </c>
      <c r="K49" s="67"/>
      <c r="L49" s="67"/>
      <c r="M49" s="67" t="str">
        <f>IFERROR(IF(B49="","",K49/VLOOKUP(AD49,Varsayımlar!B:R,17,0)),"")</f>
        <v/>
      </c>
      <c r="N49" s="67"/>
      <c r="O49" s="67"/>
      <c r="P49" s="67" t="str">
        <f>IF(B49="","",VLOOKUP(AD49,#REF!,7,0)*K49)</f>
        <v/>
      </c>
      <c r="Q49" s="67" t="str">
        <f>IF(B49="","",VLOOKUP(AD49,#REF!,8,0))</f>
        <v/>
      </c>
      <c r="R49" s="67" t="str">
        <f>IF(B49="","",VLOOKUP(AD49,#REF!,9,0))</f>
        <v/>
      </c>
      <c r="S49" s="67" t="str">
        <f>IF(B49="","",VLOOKUP(AD49,#REF!,10,0))</f>
        <v/>
      </c>
      <c r="T49" s="67" t="str">
        <f>IF(B49="","",VLOOKUP(AD49,#REF!,11,0))</f>
        <v/>
      </c>
      <c r="U49" s="67" t="str">
        <f>IF(B49="","",VLOOKUP(AD49,#REF!,12,0))</f>
        <v/>
      </c>
      <c r="V49" s="67" t="str">
        <f>IF(B49="","",VLOOKUP(AD49,#REF!,13,0))</f>
        <v/>
      </c>
      <c r="W49" s="67" t="str">
        <f>IF(B49="","",VLOOKUP(AD49,#REF!,14,0))</f>
        <v/>
      </c>
      <c r="X49" s="69"/>
      <c r="Y49" s="69"/>
      <c r="Z49" s="67"/>
      <c r="AA49" s="67" t="str">
        <f>IF(B49="","",VLOOKUP(AD49,#REF!,15,0))</f>
        <v/>
      </c>
      <c r="AB49" s="67" t="str">
        <f>IF(B49="","",VLOOKUP(AD49,#REF!,16,0))</f>
        <v/>
      </c>
      <c r="AC49" s="145"/>
      <c r="AD49" s="57"/>
    </row>
    <row r="50" spans="1:30" s="140" customFormat="1" ht="36" customHeight="1" x14ac:dyDescent="0.25">
      <c r="A50" s="8" t="s">
        <v>392</v>
      </c>
      <c r="B50" s="67"/>
      <c r="C50" s="42" t="str">
        <f>IF(B50="","",VLOOKUP(AD50,#REF!,3,0))</f>
        <v/>
      </c>
      <c r="D50" s="42"/>
      <c r="E50" s="42"/>
      <c r="F50" s="67"/>
      <c r="G50" s="67"/>
      <c r="H50" s="67" t="str">
        <f>IF(B50="","",VLOOKUP(AD50,#REF!,5,0))</f>
        <v/>
      </c>
      <c r="I50" s="67" t="str">
        <f>IF(B50="","",VLOOKUP(AD50,#REF!,19,0))</f>
        <v/>
      </c>
      <c r="J50" s="67" t="str">
        <f>IF(B50="","",VLOOKUP(AD50,#REF!,6,0))</f>
        <v/>
      </c>
      <c r="K50" s="67"/>
      <c r="L50" s="67"/>
      <c r="M50" s="67" t="str">
        <f>IFERROR(IF(B50="","",K50/VLOOKUP(AD50,Varsayımlar!B:R,17,0)),"")</f>
        <v/>
      </c>
      <c r="N50" s="67"/>
      <c r="O50" s="67"/>
      <c r="P50" s="67" t="str">
        <f>IF(B50="","",VLOOKUP(AD50,#REF!,7,0)*K50)</f>
        <v/>
      </c>
      <c r="Q50" s="67" t="str">
        <f>IF(B50="","",VLOOKUP(AD50,#REF!,8,0))</f>
        <v/>
      </c>
      <c r="R50" s="67" t="str">
        <f>IF(B50="","",VLOOKUP(AD50,#REF!,9,0))</f>
        <v/>
      </c>
      <c r="S50" s="67" t="str">
        <f>IF(B50="","",VLOOKUP(AD50,#REF!,10,0))</f>
        <v/>
      </c>
      <c r="T50" s="67" t="str">
        <f>IF(B50="","",VLOOKUP(AD50,#REF!,11,0))</f>
        <v/>
      </c>
      <c r="U50" s="67" t="str">
        <f>IF(B50="","",VLOOKUP(AD50,#REF!,12,0))</f>
        <v/>
      </c>
      <c r="V50" s="67" t="str">
        <f>IF(B50="","",VLOOKUP(AD50,#REF!,13,0))</f>
        <v/>
      </c>
      <c r="W50" s="67" t="str">
        <f>IF(B50="","",VLOOKUP(AD50,#REF!,14,0))</f>
        <v/>
      </c>
      <c r="X50" s="69"/>
      <c r="Y50" s="69"/>
      <c r="Z50" s="67"/>
      <c r="AA50" s="67" t="str">
        <f>IF(B50="","",VLOOKUP(AD50,#REF!,15,0))</f>
        <v/>
      </c>
      <c r="AB50" s="67" t="str">
        <f>IF(B50="","",VLOOKUP(AD50,#REF!,16,0))</f>
        <v/>
      </c>
      <c r="AC50" s="145"/>
      <c r="AD50" s="57"/>
    </row>
    <row r="51" spans="1:30" s="140" customFormat="1" ht="36" customHeight="1" x14ac:dyDescent="0.25">
      <c r="A51" s="8" t="s">
        <v>393</v>
      </c>
      <c r="B51" s="67"/>
      <c r="C51" s="42" t="str">
        <f>IF(B51="","",VLOOKUP(AD51,#REF!,3,0))</f>
        <v/>
      </c>
      <c r="D51" s="42"/>
      <c r="E51" s="42"/>
      <c r="F51" s="67"/>
      <c r="G51" s="67"/>
      <c r="H51" s="67" t="str">
        <f>IF(B51="","",VLOOKUP(AD51,#REF!,5,0))</f>
        <v/>
      </c>
      <c r="I51" s="67" t="str">
        <f>IF(B51="","",VLOOKUP(AD51,#REF!,19,0))</f>
        <v/>
      </c>
      <c r="J51" s="67" t="str">
        <f>IF(B51="","",VLOOKUP(AD51,#REF!,6,0))</f>
        <v/>
      </c>
      <c r="K51" s="67"/>
      <c r="L51" s="67"/>
      <c r="M51" s="67" t="str">
        <f>IFERROR(IF(B51="","",K51/VLOOKUP(AD51,Varsayımlar!B:R,17,0)),"")</f>
        <v/>
      </c>
      <c r="N51" s="67"/>
      <c r="O51" s="67"/>
      <c r="P51" s="67" t="str">
        <f>IF(B51="","",VLOOKUP(AD51,#REF!,7,0)*K51)</f>
        <v/>
      </c>
      <c r="Q51" s="67" t="str">
        <f>IF(B51="","",VLOOKUP(AD51,#REF!,8,0))</f>
        <v/>
      </c>
      <c r="R51" s="67" t="str">
        <f>IF(B51="","",VLOOKUP(AD51,#REF!,9,0))</f>
        <v/>
      </c>
      <c r="S51" s="67" t="str">
        <f>IF(B51="","",VLOOKUP(AD51,#REF!,10,0))</f>
        <v/>
      </c>
      <c r="T51" s="67" t="str">
        <f>IF(B51="","",VLOOKUP(AD51,#REF!,11,0))</f>
        <v/>
      </c>
      <c r="U51" s="67" t="str">
        <f>IF(B51="","",VLOOKUP(AD51,#REF!,12,0))</f>
        <v/>
      </c>
      <c r="V51" s="67" t="str">
        <f>IF(B51="","",VLOOKUP(AD51,#REF!,13,0))</f>
        <v/>
      </c>
      <c r="W51" s="67" t="str">
        <f>IF(B51="","",VLOOKUP(AD51,#REF!,14,0))</f>
        <v/>
      </c>
      <c r="X51" s="69"/>
      <c r="Y51" s="69"/>
      <c r="Z51" s="67"/>
      <c r="AA51" s="67" t="str">
        <f>IF(B51="","",VLOOKUP(AD51,#REF!,15,0))</f>
        <v/>
      </c>
      <c r="AB51" s="67" t="str">
        <f>IF(B51="","",VLOOKUP(AD51,#REF!,16,0))</f>
        <v/>
      </c>
      <c r="AC51" s="145"/>
      <c r="AD51" s="57"/>
    </row>
    <row r="52" spans="1:30" x14ac:dyDescent="0.25">
      <c r="A52" s="134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6"/>
      <c r="Y52" s="136"/>
      <c r="Z52" s="135"/>
      <c r="AA52" s="135"/>
      <c r="AB52" s="137"/>
      <c r="AC52" s="138"/>
      <c r="AD52" s="57"/>
    </row>
    <row r="53" spans="1:30" ht="31.5" customHeight="1" x14ac:dyDescent="0.25">
      <c r="A53" s="182" t="s">
        <v>344</v>
      </c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4"/>
      <c r="AC53" s="38"/>
    </row>
    <row r="54" spans="1:30" ht="63" x14ac:dyDescent="0.25">
      <c r="A54" s="8" t="s">
        <v>0</v>
      </c>
      <c r="B54" s="8" t="s">
        <v>1</v>
      </c>
      <c r="C54" s="9" t="s">
        <v>31</v>
      </c>
      <c r="D54" s="9" t="s">
        <v>124</v>
      </c>
      <c r="E54" s="9" t="s">
        <v>36</v>
      </c>
      <c r="F54" s="8" t="s">
        <v>37</v>
      </c>
      <c r="G54" s="8" t="s">
        <v>13</v>
      </c>
      <c r="H54" s="8" t="s">
        <v>2</v>
      </c>
      <c r="I54" s="8" t="s">
        <v>49</v>
      </c>
      <c r="J54" s="8" t="s">
        <v>3</v>
      </c>
      <c r="K54" s="8" t="s">
        <v>21</v>
      </c>
      <c r="L54" s="8" t="s">
        <v>94</v>
      </c>
      <c r="M54" s="8" t="s">
        <v>20</v>
      </c>
      <c r="N54" s="8" t="s">
        <v>165</v>
      </c>
      <c r="O54" s="8" t="s">
        <v>123</v>
      </c>
      <c r="P54" s="8" t="s">
        <v>16</v>
      </c>
      <c r="Q54" s="8" t="s">
        <v>4</v>
      </c>
      <c r="R54" s="8" t="s">
        <v>5</v>
      </c>
      <c r="S54" s="8" t="s">
        <v>6</v>
      </c>
      <c r="T54" s="8" t="s">
        <v>28</v>
      </c>
      <c r="U54" s="8" t="s">
        <v>7</v>
      </c>
      <c r="V54" s="8" t="s">
        <v>8</v>
      </c>
      <c r="W54" s="8" t="s">
        <v>267</v>
      </c>
      <c r="X54" s="8" t="s">
        <v>10</v>
      </c>
      <c r="Y54" s="8" t="s">
        <v>11</v>
      </c>
      <c r="Z54" s="8" t="s">
        <v>12</v>
      </c>
      <c r="AA54" s="8" t="s">
        <v>14</v>
      </c>
      <c r="AB54" s="8" t="s">
        <v>15</v>
      </c>
      <c r="AC54" s="8" t="s">
        <v>208</v>
      </c>
      <c r="AD54" s="7" t="s">
        <v>41</v>
      </c>
    </row>
    <row r="55" spans="1:30" ht="45.75" customHeight="1" x14ac:dyDescent="0.25">
      <c r="A55" s="8" t="s">
        <v>26</v>
      </c>
      <c r="B55" s="130" t="s">
        <v>119</v>
      </c>
      <c r="C55" s="131">
        <f>IF(B55="","",VLOOKUP(AD55,Varsayımlar!$B:$Q,3,0))</f>
        <v>8698829380698</v>
      </c>
      <c r="D55" s="131"/>
      <c r="E55" s="132" t="s">
        <v>120</v>
      </c>
      <c r="F55" s="130"/>
      <c r="G55" s="130"/>
      <c r="H55" s="130" t="str">
        <f>IF(B55="","",VLOOKUP(AD55,Varsayımlar!$B:$Q,5,0))</f>
        <v>Nimet 25 cm</v>
      </c>
      <c r="I55" s="130"/>
      <c r="J55" s="130" t="str">
        <f>IF(B55="","",VLOOKUP(AD55,Varsayımlar!$B:$Q,6,0))</f>
        <v>SADE</v>
      </c>
      <c r="K55" s="130">
        <v>4000</v>
      </c>
      <c r="L55" s="130"/>
      <c r="M55" s="130">
        <f>IFERROR(IF(B55="","",K55/VLOOKUP(AD55,Varsayımlar!B:R,17,0)),"")</f>
        <v>80</v>
      </c>
      <c r="N55" s="130"/>
      <c r="O55" s="130">
        <v>60</v>
      </c>
      <c r="P55" s="130">
        <f>IF(B55="","",VLOOKUP(AD55,Varsayımlar!$B:$Q,7,0)*K55)</f>
        <v>48000</v>
      </c>
      <c r="Q55" s="130">
        <f>IF(B55="","",VLOOKUP(AD55,Varsayımlar!$B:$Q,8,0))</f>
        <v>25</v>
      </c>
      <c r="R55" s="130" t="str">
        <f>IF(B55="","",VLOOKUP(AD55,Varsayımlar!$B:$Q,9,0))</f>
        <v>Standart</v>
      </c>
      <c r="S55" s="130">
        <f>IF(B55="","",VLOOKUP(AD55,Varsayımlar!$B:$Q,10,0))</f>
        <v>12</v>
      </c>
      <c r="T55" s="130">
        <f>IF(B55="","",VLOOKUP(AD55,Varsayımlar!$B:$Q,11,0))</f>
        <v>12</v>
      </c>
      <c r="U55" s="130">
        <f>IF(B55="","",VLOOKUP(AD55,Varsayımlar!$B:$Q,12,0))</f>
        <v>840</v>
      </c>
      <c r="V55" s="130" t="str">
        <f>IF(B55="","",VLOOKUP(AD55,Varsayımlar!$B:$Q,13,0))</f>
        <v>YURTİÇİ</v>
      </c>
      <c r="W55" s="130">
        <f>IF(B55="","",VLOOKUP(AD55,Varsayımlar!$B:$Q,14,0))</f>
        <v>5</v>
      </c>
      <c r="X55" s="133" t="s">
        <v>113</v>
      </c>
      <c r="Y55" s="133" t="s">
        <v>113</v>
      </c>
      <c r="Z55" s="130" t="s">
        <v>113</v>
      </c>
      <c r="AA55" s="130" t="str">
        <f>IF(B55="","",VLOOKUP(AD55,Varsayımlar!$B:$Q,15,0))</f>
        <v>Nimet Kolisi</v>
      </c>
      <c r="AB55" s="130" t="str">
        <f>IF(B55="","",VLOOKUP(AD55,Varsayımlar!$B:$Q,16,0))</f>
        <v>24-26 CM</v>
      </c>
      <c r="AC55" s="64" t="s">
        <v>360</v>
      </c>
      <c r="AD55" s="57" t="str">
        <f>IF(B55="","",CONCATENATE(B55,E55))</f>
        <v>A101Nimet 25cm 12 pcs 840g</v>
      </c>
    </row>
    <row r="56" spans="1:30" ht="39" customHeight="1" x14ac:dyDescent="0.25">
      <c r="A56" s="8" t="s">
        <v>77</v>
      </c>
      <c r="B56" s="3" t="s">
        <v>64</v>
      </c>
      <c r="C56" s="3">
        <f>IF(B56="","",VLOOKUP(AD56,Varsayımlar!$B:$Q,3,0))</f>
        <v>8698829380698</v>
      </c>
      <c r="D56" s="3"/>
      <c r="E56" s="3" t="s">
        <v>108</v>
      </c>
      <c r="F56" s="3">
        <v>31</v>
      </c>
      <c r="G56" s="3"/>
      <c r="H56" s="3" t="str">
        <f>IF(B56="","",VLOOKUP(AD56,Varsayımlar!$B:$Q,5,0))</f>
        <v>Kırmızı Tortillas 25 cm</v>
      </c>
      <c r="I56" s="3">
        <f>IF(B56="","",VLOOKUP(AD56,Varsayımlar!B:T,19,0))</f>
        <v>0</v>
      </c>
      <c r="J56" s="3" t="str">
        <f>IF(B56="","",VLOOKUP(AD56,Varsayımlar!$B:$Q,6,0))</f>
        <v>SADE</v>
      </c>
      <c r="K56" s="3">
        <v>924</v>
      </c>
      <c r="L56" s="3"/>
      <c r="M56" s="3">
        <f>IFERROR(IF(B56="","",K56/VLOOKUP(AD56,Varsayımlar!B:R,17,0)),"")</f>
        <v>11</v>
      </c>
      <c r="N56" s="3"/>
      <c r="O56" s="3">
        <v>14</v>
      </c>
      <c r="P56" s="3">
        <f>IF(B56="","",VLOOKUP(AD56,Varsayımlar!$B:$Q,7,0)*K56)</f>
        <v>27720</v>
      </c>
      <c r="Q56" s="3">
        <f>IF(B56="","",VLOOKUP(AD56,Varsayımlar!$B:$Q,8,0))</f>
        <v>25</v>
      </c>
      <c r="R56" s="3" t="str">
        <f>IF(B56="","",VLOOKUP(AD56,Varsayımlar!$B:$Q,9,0))</f>
        <v>Soft</v>
      </c>
      <c r="S56" s="3">
        <f>IF(B56="","",VLOOKUP(AD56,Varsayımlar!$B:$Q,10,0))</f>
        <v>4</v>
      </c>
      <c r="T56" s="3">
        <f>IF(B56="","",VLOOKUP(AD56,Varsayımlar!$B:$Q,11,0))</f>
        <v>30</v>
      </c>
      <c r="U56" s="3">
        <f>IF(B56="","",VLOOKUP(AD56,Varsayımlar!$B:$Q,12,0))</f>
        <v>250</v>
      </c>
      <c r="V56" s="3" t="str">
        <f>IF(B56="","",VLOOKUP(AD56,Varsayımlar!$B:$Q,13,0))</f>
        <v>Yurtdışı</v>
      </c>
      <c r="W56" s="3">
        <f>IF(B56="","",VLOOKUP(AD56,Varsayımlar!$B:$Q,14,0))</f>
        <v>9</v>
      </c>
      <c r="X56" s="66">
        <v>46196</v>
      </c>
      <c r="Y56" s="66">
        <v>46469</v>
      </c>
      <c r="Z56" s="3">
        <v>26062325</v>
      </c>
      <c r="AA56" s="3" t="str">
        <f>IF(B56="","",VLOOKUP(AD56,Varsayımlar!$B:$Q,15,0))</f>
        <v>Kırmızı Koli- Üretim Tarihi Etiketli</v>
      </c>
      <c r="AB56" s="3" t="str">
        <f>IF(B56="","",VLOOKUP(AD56,Varsayımlar!$B:$Q,16,0))</f>
        <v>24-26 CM</v>
      </c>
      <c r="AC56" s="67" t="str">
        <f>IF(B56="","",VLOOKUP(Sayfa1!AD58,Varsayımlar!B:S,18,0))</f>
        <v>80x120cm -Epal+Epal</v>
      </c>
      <c r="AD56" s="57" t="str">
        <f t="shared" ref="AD56:AD64" si="7">IF(B56="","",CONCATENATE(B56,E56))</f>
        <v>SMART LLCKırmızı tortillas 25cm 4 lü 250g</v>
      </c>
    </row>
    <row r="57" spans="1:30" ht="47.25" x14ac:dyDescent="0.25">
      <c r="A57" s="8" t="s">
        <v>78</v>
      </c>
      <c r="B57" s="67" t="s">
        <v>268</v>
      </c>
      <c r="C57" s="42">
        <f>IF(B57="","",VLOOKUP(AD57,Varsayımlar!$B:$Q,3,0))</f>
        <v>8698829380698</v>
      </c>
      <c r="D57" s="42" t="s">
        <v>159</v>
      </c>
      <c r="E57" s="67" t="s">
        <v>342</v>
      </c>
      <c r="F57" s="67">
        <v>20250825</v>
      </c>
      <c r="G57" s="42" t="s">
        <v>68</v>
      </c>
      <c r="H57" s="67" t="str">
        <f>IF(B57="","",VLOOKUP(AD57,Varsayımlar!$B:$Q,5,0))</f>
        <v>Tortillas 25cm Sade</v>
      </c>
      <c r="I57" s="67">
        <f>IF(B57="","",VLOOKUP(AD57,Varsayımlar!B:T,19,0))</f>
        <v>0</v>
      </c>
      <c r="J57" s="67" t="str">
        <f>IF(B57="","",VLOOKUP(AD57,Varsayımlar!$B:$Q,6,0))</f>
        <v>SADE</v>
      </c>
      <c r="K57" s="67">
        <v>672</v>
      </c>
      <c r="L57" s="67"/>
      <c r="M57" s="67">
        <f>IFERROR(IF(B57="","",K57/VLOOKUP(AD57,Varsayımlar!B:R,17,0)),"")</f>
        <v>8</v>
      </c>
      <c r="N57" s="67"/>
      <c r="O57" s="67">
        <v>10</v>
      </c>
      <c r="P57" s="67">
        <f>IF(B57="","",VLOOKUP(AD57,Varsayımlar!$B:$Q,7,0)*K57)</f>
        <v>20160</v>
      </c>
      <c r="Q57" s="67">
        <f>IF(B57="","",VLOOKUP(AD57,Varsayımlar!$B:$Q,8,0))</f>
        <v>25</v>
      </c>
      <c r="R57" s="67" t="str">
        <f>IF(B57="","",VLOOKUP(AD57,Varsayımlar!$B:$Q,9,0))</f>
        <v>Soft-PA3</v>
      </c>
      <c r="S57" s="67">
        <f>IF(B57="","",VLOOKUP(AD57,Varsayımlar!$B:$Q,10,0))</f>
        <v>4</v>
      </c>
      <c r="T57" s="67">
        <f>IF(B57="","",VLOOKUP(AD57,Varsayımlar!$B:$Q,11,0))</f>
        <v>30</v>
      </c>
      <c r="U57" s="67">
        <f>IF(B57="","",VLOOKUP(AD57,Varsayımlar!$B:$Q,12,0))</f>
        <v>240</v>
      </c>
      <c r="V57" s="67" t="str">
        <f>IF(B57="","",VLOOKUP(AD57,Varsayımlar!$B:$Q,13,0))</f>
        <v>Yurtdışı</v>
      </c>
      <c r="W57" s="67">
        <f>IF(B57="","",VLOOKUP(AD57,Varsayımlar!$B:$Q,14,0))</f>
        <v>12</v>
      </c>
      <c r="X57" s="69">
        <v>46199</v>
      </c>
      <c r="Y57" s="69">
        <v>46564</v>
      </c>
      <c r="Z57" s="67">
        <v>26062625</v>
      </c>
      <c r="AA57" s="67" t="str">
        <f>IF(B57="","",VLOOKUP(AD57,Varsayımlar!$B:$Q,15,0))</f>
        <v>25cm Kolisi-Etiketli</v>
      </c>
      <c r="AB57" s="67" t="str">
        <f>IF(B57="","",VLOOKUP(AD57,Varsayımlar!$B:$Q,16,0))</f>
        <v>24-26 cm (Macca Hetto Inkjet Uzun Tarih)</v>
      </c>
      <c r="AC57" s="67" t="str">
        <f>IF(B57="","",VLOOKUP(Sayfa1!AD22,Varsayımlar!B:S,18,0))</f>
        <v>80x120cm</v>
      </c>
      <c r="AD57" s="57" t="str">
        <f t="shared" si="7"/>
        <v>LAIKYUZHN-BELARUSTortillas 25cm Sade 4pcs 240g</v>
      </c>
    </row>
    <row r="58" spans="1:30" ht="63" x14ac:dyDescent="0.25">
      <c r="A58" s="8" t="s">
        <v>79</v>
      </c>
      <c r="B58" s="62" t="s">
        <v>181</v>
      </c>
      <c r="C58" s="32">
        <f>IF(B58="","",VLOOKUP(AD58,Varsayımlar!$B:$Q,3,0))</f>
        <v>8698829380698</v>
      </c>
      <c r="D58" s="32"/>
      <c r="E58" s="62" t="s">
        <v>187</v>
      </c>
      <c r="F58" s="62">
        <v>26060101</v>
      </c>
      <c r="G58" s="32"/>
      <c r="H58" s="62" t="str">
        <f>IF(B58="","",VLOOKUP(AD58,Varsayımlar!$B:$Q,5,0))</f>
        <v>Tortillove 25cm</v>
      </c>
      <c r="I58" s="62" t="str">
        <f>IF(B58="","",VLOOKUP(AD58,Varsayımlar!B:T,19,0))</f>
        <v>Barkod üzerine Arnavutça içerik+Barkod-Tortillove</v>
      </c>
      <c r="J58" s="62" t="str">
        <f>IF(B58="","",VLOOKUP(AD58,Varsayımlar!$B:$Q,6,0))</f>
        <v>SADE</v>
      </c>
      <c r="K58" s="62">
        <v>168</v>
      </c>
      <c r="L58" s="62"/>
      <c r="M58" s="62">
        <f>IFERROR(IF(B58="","",K58/VLOOKUP(AD58,Varsayımlar!B:R,17,0)),"")</f>
        <v>2</v>
      </c>
      <c r="N58" s="62"/>
      <c r="O58" s="62">
        <v>2</v>
      </c>
      <c r="P58" s="62">
        <f>IF(B58="","",VLOOKUP(AD58,Varsayımlar!$B:$Q,7,0)*K58)</f>
        <v>3024</v>
      </c>
      <c r="Q58" s="62">
        <f>IF(B58="","",VLOOKUP(AD58,Varsayımlar!$B:$Q,8,0))</f>
        <v>25</v>
      </c>
      <c r="R58" s="62" t="str">
        <f>IF(B58="","",VLOOKUP(AD58,Varsayımlar!$B:$Q,9,0))</f>
        <v>Irak Soft</v>
      </c>
      <c r="S58" s="62">
        <f>IF(B58="","",VLOOKUP(AD58,Varsayımlar!$B:$Q,10,0))</f>
        <v>6</v>
      </c>
      <c r="T58" s="62">
        <f>IF(B58="","",VLOOKUP(AD58,Varsayımlar!$B:$Q,11,0))</f>
        <v>18</v>
      </c>
      <c r="U58" s="62">
        <f>IF(B58="","",VLOOKUP(AD58,Varsayımlar!$B:$Q,12,0))</f>
        <v>390</v>
      </c>
      <c r="V58" s="62" t="str">
        <f>IF(B58="","",VLOOKUP(AD58,Varsayımlar!$B:$Q,13,0))</f>
        <v>Yurtdışı</v>
      </c>
      <c r="W58" s="62">
        <f>IF(B58="","",VLOOKUP(AD58,Varsayımlar!$B:$Q,14,0))</f>
        <v>12</v>
      </c>
      <c r="X58" s="63">
        <v>46200</v>
      </c>
      <c r="Y58" s="63">
        <v>46565</v>
      </c>
      <c r="Z58" s="62">
        <v>26062725</v>
      </c>
      <c r="AA58" s="62" t="str">
        <f>IF(B58="","",VLOOKUP(AD58,Varsayımlar!$B:$Q,15,0))</f>
        <v>25cm Koli - Tortillove 390g Etiketli</v>
      </c>
      <c r="AB58" s="62" t="str">
        <f>IF(B58="","",VLOOKUP(AD58,Varsayımlar!$B:$Q,16,0))</f>
        <v>24-26 cm</v>
      </c>
      <c r="AC58" s="62">
        <f>IF(B58="","",VLOOKUP(Sayfa1!AD31,Varsayımlar!B:S,18,0))</f>
        <v>0</v>
      </c>
      <c r="AD58" s="57" t="str">
        <f t="shared" si="7"/>
        <v>ALDİ - KOSOVATortillove 25cm 6pcs 390g</v>
      </c>
    </row>
    <row r="59" spans="1:30" ht="63" x14ac:dyDescent="0.25">
      <c r="A59" s="8" t="s">
        <v>80</v>
      </c>
      <c r="B59" s="62" t="s">
        <v>181</v>
      </c>
      <c r="C59" s="32">
        <f>IF(B59="","",VLOOKUP(AD59,Varsayımlar!$B:$Q,3,0))</f>
        <v>8698829380698</v>
      </c>
      <c r="D59" s="32"/>
      <c r="E59" s="62" t="s">
        <v>189</v>
      </c>
      <c r="F59" s="62">
        <v>26060101</v>
      </c>
      <c r="G59" s="32"/>
      <c r="H59" s="62" t="str">
        <f>IF(B59="","",VLOOKUP(AD59,Varsayımlar!$B:$Q,5,0))</f>
        <v>Tortillas 25cm</v>
      </c>
      <c r="I59" s="62" t="str">
        <f>IF(B59="","",VLOOKUP(AD59,Varsayımlar!B:T,19,0))</f>
        <v>Barkod üzerine Arnavutça içerik+Barkod-Tortillas</v>
      </c>
      <c r="J59" s="62" t="str">
        <f>IF(B59="","",VLOOKUP(AD59,Varsayımlar!$B:$Q,6,0))</f>
        <v>SADE</v>
      </c>
      <c r="K59" s="62">
        <v>84</v>
      </c>
      <c r="L59" s="62"/>
      <c r="M59" s="62">
        <f>IFERROR(IF(B59="","",K59/VLOOKUP(AD59,Varsayımlar!B:R,17,0)),"")</f>
        <v>1</v>
      </c>
      <c r="N59" s="62"/>
      <c r="O59" s="62">
        <v>1</v>
      </c>
      <c r="P59" s="62">
        <f>IF(B59="","",VLOOKUP(AD59,Varsayımlar!$B:$Q,7,0)*K59)</f>
        <v>1512</v>
      </c>
      <c r="Q59" s="62">
        <f>IF(B59="","",VLOOKUP(AD59,Varsayımlar!$B:$Q,8,0))</f>
        <v>25</v>
      </c>
      <c r="R59" s="62" t="str">
        <f>IF(B59="","",VLOOKUP(AD59,Varsayımlar!$B:$Q,9,0))</f>
        <v>Irak Soft</v>
      </c>
      <c r="S59" s="62">
        <f>IF(B59="","",VLOOKUP(AD59,Varsayımlar!$B:$Q,10,0))</f>
        <v>6</v>
      </c>
      <c r="T59" s="62">
        <f>IF(B59="","",VLOOKUP(AD59,Varsayımlar!$B:$Q,11,0))</f>
        <v>18</v>
      </c>
      <c r="U59" s="62">
        <f>IF(B59="","",VLOOKUP(AD59,Varsayımlar!$B:$Q,12,0))</f>
        <v>390</v>
      </c>
      <c r="V59" s="62" t="str">
        <f>IF(B59="","",VLOOKUP(AD59,Varsayımlar!$B:$Q,13,0))</f>
        <v>Yurtdışı</v>
      </c>
      <c r="W59" s="62">
        <f>IF(B59="","",VLOOKUP(AD59,Varsayımlar!$B:$Q,14,0))</f>
        <v>12</v>
      </c>
      <c r="X59" s="63">
        <v>46200</v>
      </c>
      <c r="Y59" s="63">
        <v>46565</v>
      </c>
      <c r="Z59" s="62">
        <v>26062725</v>
      </c>
      <c r="AA59" s="62" t="str">
        <f>IF(B59="","",VLOOKUP(AD59,Varsayımlar!$B:$Q,15,0))</f>
        <v>25cm Koli - Tortillas 390g Etiketli</v>
      </c>
      <c r="AB59" s="62" t="str">
        <f>IF(B59="","",VLOOKUP(AD59,Varsayımlar!$B:$Q,16,0))</f>
        <v>24-26 cm</v>
      </c>
      <c r="AC59" s="62">
        <f>IF(B59="","",VLOOKUP(Sayfa1!AD32,Varsayımlar!B:S,18,0))</f>
        <v>0</v>
      </c>
      <c r="AD59" s="57" t="str">
        <f t="shared" si="7"/>
        <v>ALDİ - KOSOVATortillas 25cm 6pcs 390g</v>
      </c>
    </row>
    <row r="60" spans="1:30" ht="47.25" x14ac:dyDescent="0.25">
      <c r="A60" s="8" t="s">
        <v>81</v>
      </c>
      <c r="B60" s="62" t="s">
        <v>181</v>
      </c>
      <c r="C60" s="32">
        <f>IF(B60="","",VLOOKUP(AD60,Varsayımlar!$B:$Q,3,0))</f>
        <v>8698829380698</v>
      </c>
      <c r="D60" s="32"/>
      <c r="E60" s="62" t="s">
        <v>192</v>
      </c>
      <c r="F60" s="62">
        <v>26060101</v>
      </c>
      <c r="G60" s="32"/>
      <c r="H60" s="62" t="str">
        <f>IF(B60="","",VLOOKUP(AD60,Varsayımlar!$B:$Q,5,0))</f>
        <v>Tortillove 25cm</v>
      </c>
      <c r="I60" s="62" t="str">
        <f>IF(B60="","",VLOOKUP(AD60,Varsayımlar!B:T,19,0))</f>
        <v>Arka kısma Arnavutça içerik-Tortillove</v>
      </c>
      <c r="J60" s="62" t="str">
        <f>IF(B60="","",VLOOKUP(AD60,Varsayımlar!$B:$Q,6,0))</f>
        <v>SADE</v>
      </c>
      <c r="K60" s="62">
        <v>168</v>
      </c>
      <c r="L60" s="62"/>
      <c r="M60" s="62">
        <f>IFERROR(IF(B60="","",K60/VLOOKUP(AD60,Varsayımlar!B:R,17,0)),"")</f>
        <v>2</v>
      </c>
      <c r="N60" s="62"/>
      <c r="O60" s="62">
        <v>2</v>
      </c>
      <c r="P60" s="62">
        <f>IF(B60="","",VLOOKUP(AD60,Varsayımlar!$B:$Q,7,0)*K60)</f>
        <v>2016</v>
      </c>
      <c r="Q60" s="62">
        <f>IF(B60="","",VLOOKUP(AD60,Varsayımlar!$B:$Q,8,0))</f>
        <v>25</v>
      </c>
      <c r="R60" s="62" t="str">
        <f>IF(B60="","",VLOOKUP(AD60,Varsayımlar!$B:$Q,9,0))</f>
        <v>Irak Soft</v>
      </c>
      <c r="S60" s="62">
        <f>IF(B60="","",VLOOKUP(AD60,Varsayımlar!$B:$Q,10,0))</f>
        <v>10</v>
      </c>
      <c r="T60" s="62">
        <f>IF(B60="","",VLOOKUP(AD60,Varsayımlar!$B:$Q,11,0))</f>
        <v>12</v>
      </c>
      <c r="U60" s="62">
        <f>IF(B60="","",VLOOKUP(AD60,Varsayımlar!$B:$Q,12,0))</f>
        <v>650</v>
      </c>
      <c r="V60" s="62" t="str">
        <f>IF(B60="","",VLOOKUP(AD60,Varsayımlar!$B:$Q,13,0))</f>
        <v>Yurtdışı</v>
      </c>
      <c r="W60" s="62">
        <f>IF(B60="","",VLOOKUP(AD60,Varsayımlar!$B:$Q,14,0))</f>
        <v>12</v>
      </c>
      <c r="X60" s="63">
        <v>46200</v>
      </c>
      <c r="Y60" s="63">
        <v>46565</v>
      </c>
      <c r="Z60" s="62">
        <v>26062725</v>
      </c>
      <c r="AA60" s="62" t="str">
        <f>IF(B60="","",VLOOKUP(AD60,Varsayımlar!$B:$Q,15,0))</f>
        <v>25cm Koli - Tortillove 650g Etiketli</v>
      </c>
      <c r="AB60" s="62" t="str">
        <f>IF(B60="","",VLOOKUP(AD60,Varsayımlar!$B:$Q,16,0))</f>
        <v>24-26 cm</v>
      </c>
      <c r="AC60" s="62">
        <f>IF(B60="","",VLOOKUP(Sayfa1!AD33,Varsayımlar!B:S,18,0))</f>
        <v>0</v>
      </c>
      <c r="AD60" s="57" t="str">
        <f t="shared" si="7"/>
        <v>ALDİ - KOSOVATortillove 25cm 10pcs 650g</v>
      </c>
    </row>
    <row r="61" spans="1:30" ht="47.25" x14ac:dyDescent="0.25">
      <c r="A61" s="8" t="s">
        <v>82</v>
      </c>
      <c r="B61" s="62" t="s">
        <v>181</v>
      </c>
      <c r="C61" s="32">
        <f>IF(B61="","",VLOOKUP(AD61,Varsayımlar!$B:$Q,3,0))</f>
        <v>8698829380698</v>
      </c>
      <c r="D61" s="32"/>
      <c r="E61" s="62" t="s">
        <v>193</v>
      </c>
      <c r="F61" s="62">
        <v>26060101</v>
      </c>
      <c r="G61" s="32"/>
      <c r="H61" s="62" t="str">
        <f>IF(B61="","",VLOOKUP(AD61,Varsayımlar!$B:$Q,5,0))</f>
        <v>Tortillas 25cm</v>
      </c>
      <c r="I61" s="62" t="str">
        <f>IF(B61="","",VLOOKUP(AD61,Varsayımlar!B:T,19,0))</f>
        <v>Arka kısma Arnavutça içerik-Tortillas</v>
      </c>
      <c r="J61" s="62" t="str">
        <f>IF(B61="","",VLOOKUP(AD61,Varsayımlar!$B:$Q,6,0))</f>
        <v>SADE</v>
      </c>
      <c r="K61" s="62">
        <v>84</v>
      </c>
      <c r="L61" s="62"/>
      <c r="M61" s="62">
        <f>IFERROR(IF(B61="","",K61/VLOOKUP(AD61,Varsayımlar!B:R,17,0)),"")</f>
        <v>1</v>
      </c>
      <c r="N61" s="62"/>
      <c r="O61" s="62">
        <v>2</v>
      </c>
      <c r="P61" s="62">
        <f>IF(B61="","",VLOOKUP(AD61,Varsayımlar!$B:$Q,7,0)*K61)</f>
        <v>1008</v>
      </c>
      <c r="Q61" s="62">
        <f>IF(B61="","",VLOOKUP(AD61,Varsayımlar!$B:$Q,8,0))</f>
        <v>25</v>
      </c>
      <c r="R61" s="62" t="str">
        <f>IF(B61="","",VLOOKUP(AD61,Varsayımlar!$B:$Q,9,0))</f>
        <v>Irak Soft</v>
      </c>
      <c r="S61" s="62">
        <f>IF(B61="","",VLOOKUP(AD61,Varsayımlar!$B:$Q,10,0))</f>
        <v>10</v>
      </c>
      <c r="T61" s="62">
        <f>IF(B61="","",VLOOKUP(AD61,Varsayımlar!$B:$Q,11,0))</f>
        <v>12</v>
      </c>
      <c r="U61" s="62">
        <f>IF(B61="","",VLOOKUP(AD61,Varsayımlar!$B:$Q,12,0))</f>
        <v>650</v>
      </c>
      <c r="V61" s="62" t="str">
        <f>IF(B61="","",VLOOKUP(AD61,Varsayımlar!$B:$Q,13,0))</f>
        <v>Yurtdışı</v>
      </c>
      <c r="W61" s="62">
        <f>IF(B61="","",VLOOKUP(AD61,Varsayımlar!$B:$Q,14,0))</f>
        <v>12</v>
      </c>
      <c r="X61" s="63">
        <v>46200</v>
      </c>
      <c r="Y61" s="63">
        <v>46565</v>
      </c>
      <c r="Z61" s="62">
        <v>26062725</v>
      </c>
      <c r="AA61" s="62" t="str">
        <f>IF(B61="","",VLOOKUP(AD61,Varsayımlar!$B:$Q,15,0))</f>
        <v>25cm Koli - Tortillas 650g Etiketli</v>
      </c>
      <c r="AB61" s="62" t="str">
        <f>IF(B61="","",VLOOKUP(AD61,Varsayımlar!$B:$Q,16,0))</f>
        <v>24-26 cm</v>
      </c>
      <c r="AC61" s="62">
        <f>IF(B61="","",VLOOKUP(Sayfa1!AD34,Varsayımlar!B:S,18,0))</f>
        <v>0</v>
      </c>
      <c r="AD61" s="57" t="str">
        <f t="shared" si="7"/>
        <v>ALDİ - KOSOVATortillas 25cm 10pcs 650g</v>
      </c>
    </row>
    <row r="62" spans="1:30" s="140" customFormat="1" ht="54.75" customHeight="1" x14ac:dyDescent="0.25">
      <c r="A62" s="8" t="s">
        <v>83</v>
      </c>
      <c r="B62" s="73" t="s">
        <v>95</v>
      </c>
      <c r="C62" s="71">
        <f>IF(B62="","",VLOOKUP(AD62,Varsayımlar!$B:$Q,3,0))</f>
        <v>8698829380698</v>
      </c>
      <c r="D62" s="71"/>
      <c r="E62" s="157" t="s">
        <v>114</v>
      </c>
      <c r="F62" s="73"/>
      <c r="G62" s="73"/>
      <c r="H62" s="73" t="str">
        <f>IF(B62="","",VLOOKUP(AD62,Varsayımlar!$B:$Q,5,0))</f>
        <v>Bisto 25 cm</v>
      </c>
      <c r="I62" s="73"/>
      <c r="J62" s="73" t="str">
        <f>IF(B62="","",VLOOKUP(AD62,Varsayımlar!$B:$Q,6,0))</f>
        <v>SADE</v>
      </c>
      <c r="K62" s="73">
        <v>720</v>
      </c>
      <c r="L62" s="73"/>
      <c r="M62" s="73">
        <f>IFERROR(IF(B62="","",K62/VLOOKUP(AD62,Varsayımlar!B:R,17,0)),"")</f>
        <v>15</v>
      </c>
      <c r="N62" s="73"/>
      <c r="O62" s="73">
        <v>11</v>
      </c>
      <c r="P62" s="73">
        <f>IF(B62="","",VLOOKUP(AD62,Varsayımlar!$B:$Q,7,0)*K62)</f>
        <v>8640</v>
      </c>
      <c r="Q62" s="73">
        <f>IF(B62="","",VLOOKUP(AD62,Varsayımlar!$B:$Q,8,0))</f>
        <v>25</v>
      </c>
      <c r="R62" s="73" t="str">
        <f>IF(B62="","",VLOOKUP(AD62,Varsayımlar!$B:$Q,9,0))</f>
        <v>Standart</v>
      </c>
      <c r="S62" s="73">
        <f>IF(B62="","",VLOOKUP(AD62,Varsayımlar!$B:$Q,10,0))</f>
        <v>12</v>
      </c>
      <c r="T62" s="73">
        <f>IF(B62="","",VLOOKUP(AD62,Varsayımlar!$B:$Q,11,0))</f>
        <v>12</v>
      </c>
      <c r="U62" s="73">
        <f>IF(B62="","",VLOOKUP(AD62,Varsayımlar!$B:$Q,12,0))</f>
        <v>840</v>
      </c>
      <c r="V62" s="73" t="str">
        <f>IF(B62="","",VLOOKUP(AD62,Varsayımlar!$B:$Q,13,0))</f>
        <v>Yurtiçi</v>
      </c>
      <c r="W62" s="73">
        <f>IF(B62="","",VLOOKUP(AD62,Varsayımlar!$B:$Q,14,0))</f>
        <v>6</v>
      </c>
      <c r="X62" s="158" t="s">
        <v>113</v>
      </c>
      <c r="Y62" s="158" t="s">
        <v>113</v>
      </c>
      <c r="Z62" s="73" t="s">
        <v>113</v>
      </c>
      <c r="AA62" s="73" t="str">
        <f>IF(B62="","",VLOOKUP(AD62,Varsayımlar!$B:$Q,15,0))</f>
        <v>Bisto Kolisi</v>
      </c>
      <c r="AB62" s="73" t="str">
        <f>IF(B62="","",VLOOKUP(AD62,Varsayımlar!$B:$Q,16,0))</f>
        <v>24-26 Cm</v>
      </c>
      <c r="AC62" s="64" t="s">
        <v>362</v>
      </c>
      <c r="AD62" s="57" t="str">
        <f t="shared" si="7"/>
        <v>Şok MarketBisto 25 cm 12 pcs 840g</v>
      </c>
    </row>
    <row r="63" spans="1:30" ht="31.5" x14ac:dyDescent="0.25">
      <c r="A63" s="8" t="s">
        <v>84</v>
      </c>
      <c r="B63" s="64" t="s">
        <v>288</v>
      </c>
      <c r="C63" s="3">
        <f>IF(B63="","",VLOOKUP(AD63,Varsayımlar!$B:$Q,3,0))</f>
        <v>8698829380698</v>
      </c>
      <c r="D63" s="3"/>
      <c r="E63" s="64" t="s">
        <v>292</v>
      </c>
      <c r="F63" s="64">
        <v>20201016</v>
      </c>
      <c r="G63" s="3" t="s">
        <v>68</v>
      </c>
      <c r="H63" s="64" t="str">
        <f>IF(B63="","",VLOOKUP(AD63,Varsayımlar!$B:$Q,5,0))</f>
        <v>Kırmızı Tortillas 25cm Sade</v>
      </c>
      <c r="I63" s="64" t="str">
        <f>IF(B63="","",VLOOKUP(AD63,Varsayımlar!B:T,19,0))</f>
        <v>Arka kısma İçerik</v>
      </c>
      <c r="J63" s="64" t="str">
        <f>IF(B63="","",VLOOKUP(AD63,Varsayımlar!$B:$Q,6,0))</f>
        <v>SADE</v>
      </c>
      <c r="K63" s="64">
        <v>250</v>
      </c>
      <c r="L63" s="64"/>
      <c r="M63" s="64">
        <f>IFERROR(IF(B63="","",K63/VLOOKUP(AD63,Varsayımlar!B:R,17,0)),"")</f>
        <v>5</v>
      </c>
      <c r="N63" s="64"/>
      <c r="O63" s="64">
        <v>4</v>
      </c>
      <c r="P63" s="64">
        <f>IF(B63="","",VLOOKUP(AD63,Varsayımlar!$B:$Q,7,0)*K63)</f>
        <v>4500</v>
      </c>
      <c r="Q63" s="64">
        <f>IF(B63="","",VLOOKUP(AD63,Varsayımlar!$B:$Q,8,0))</f>
        <v>25</v>
      </c>
      <c r="R63" s="64" t="str">
        <f>IF(B63="","",VLOOKUP(AD63,Varsayımlar!$B:$Q,9,0))</f>
        <v>Irak Soft</v>
      </c>
      <c r="S63" s="64">
        <f>IF(B63="","",VLOOKUP(AD63,Varsayımlar!$B:$Q,10,0))</f>
        <v>6</v>
      </c>
      <c r="T63" s="64">
        <f>IF(B63="","",VLOOKUP(AD63,Varsayımlar!$B:$Q,11,0))</f>
        <v>18</v>
      </c>
      <c r="U63" s="64">
        <f>IF(B63="","",VLOOKUP(AD63,Varsayımlar!$B:$Q,12,0))</f>
        <v>390</v>
      </c>
      <c r="V63" s="64" t="str">
        <f>IF(B63="","",VLOOKUP(AD63,Varsayımlar!$B:$Q,13,0))</f>
        <v>YURTDIŞI</v>
      </c>
      <c r="W63" s="64">
        <f>IF(B63="","",VLOOKUP(AD63,Varsayımlar!$B:$Q,14,0))</f>
        <v>9</v>
      </c>
      <c r="X63" s="66">
        <v>46202</v>
      </c>
      <c r="Y63" s="66">
        <v>46475</v>
      </c>
      <c r="Z63" s="64">
        <v>26062925</v>
      </c>
      <c r="AA63" s="64" t="str">
        <f>IF(B63="","",VLOOKUP(AD63,Varsayımlar!$B:$Q,15,0))</f>
        <v>25cm Koli</v>
      </c>
      <c r="AB63" s="64" t="str">
        <f>IF(B63="","",VLOOKUP(AD63,Varsayımlar!$B:$Q,16,0))</f>
        <v>24-26 cm</v>
      </c>
      <c r="AC63" s="64" t="str">
        <f>IF(B63="","",VLOOKUP(Sayfa1!AD42,Varsayımlar!B:S,18,0))</f>
        <v>80x120cm</v>
      </c>
      <c r="AD63" s="57" t="str">
        <f t="shared" si="7"/>
        <v>UNITERA-KAZAKİSTANKırmızı Tortillas 25cm Sade 6pcs 390g</v>
      </c>
    </row>
    <row r="64" spans="1:30" ht="31.5" hidden="1" x14ac:dyDescent="0.25">
      <c r="A64" s="8" t="s">
        <v>84</v>
      </c>
      <c r="B64" s="80" t="s">
        <v>218</v>
      </c>
      <c r="C64" s="44">
        <f>IF(B64="","",VLOOKUP(AD64,Varsayımlar!$B:$Q,3,0))</f>
        <v>8698829380698</v>
      </c>
      <c r="D64" s="44" t="s">
        <v>160</v>
      </c>
      <c r="E64" s="80" t="s">
        <v>228</v>
      </c>
      <c r="F64" s="80">
        <v>26042907</v>
      </c>
      <c r="G64" s="44"/>
      <c r="H64" s="80" t="str">
        <f>IF(B64="","",VLOOKUP(AD64,Varsayımlar!$B:$Q,5,0))</f>
        <v>Tortillas Avrupa 25cm (698)</v>
      </c>
      <c r="I64" s="80">
        <f>IF(B64="","",VLOOKUP(AD64,Varsayımlar!B:T,19,0))</f>
        <v>0</v>
      </c>
      <c r="J64" s="80" t="str">
        <f>IF(B64="","",VLOOKUP(AD64,Varsayımlar!$B:$Q,6,0))</f>
        <v>SADE</v>
      </c>
      <c r="K64" s="80">
        <v>720</v>
      </c>
      <c r="L64" s="80"/>
      <c r="M64" s="80">
        <f>IFERROR(IF(B64="","",K64/VLOOKUP(AD64,Varsayımlar!B:R,17,0)),"")</f>
        <v>6</v>
      </c>
      <c r="N64" s="80"/>
      <c r="O64" s="80">
        <v>7</v>
      </c>
      <c r="P64" s="80">
        <f>IF(B64="","",VLOOKUP(AD64,Varsayımlar!$B:$Q,7,0)*K64)</f>
        <v>5760</v>
      </c>
      <c r="Q64" s="80">
        <f>IF(B64="","",VLOOKUP(AD64,Varsayımlar!$B:$Q,8,0))</f>
        <v>25</v>
      </c>
      <c r="R64" s="80" t="str">
        <f>IF(B64="","",VLOOKUP(AD64,Varsayımlar!$B:$Q,9,0))</f>
        <v>Irak Soft</v>
      </c>
      <c r="S64" s="80">
        <f>IF(B64="","",VLOOKUP(AD64,Varsayımlar!$B:$Q,10,0))</f>
        <v>10</v>
      </c>
      <c r="T64" s="80">
        <f>IF(B64="","",VLOOKUP(AD64,Varsayımlar!$B:$Q,11,0))</f>
        <v>8</v>
      </c>
      <c r="U64" s="80">
        <f>IF(B64="","",VLOOKUP(AD64,Varsayımlar!$B:$Q,12,0))</f>
        <v>650</v>
      </c>
      <c r="V64" s="80" t="str">
        <f>IF(B64="","",VLOOKUP(AD64,Varsayımlar!$B:$Q,13,0))</f>
        <v>Yurtdışı</v>
      </c>
      <c r="W64" s="80">
        <f>IF(B64="","",VLOOKUP(AD64,Varsayımlar!$B:$Q,14,0))</f>
        <v>9</v>
      </c>
      <c r="X64" s="81">
        <v>46203</v>
      </c>
      <c r="Y64" s="81">
        <v>46476</v>
      </c>
      <c r="Z64" s="80">
        <v>26063025</v>
      </c>
      <c r="AA64" s="80" t="str">
        <f>IF(B64="","",VLOOKUP(AD64,Varsayımlar!$B:$Q,15,0))</f>
        <v>25cm Perforeli-Bulgarca etiket</v>
      </c>
      <c r="AB64" s="80" t="str">
        <f>IF(B64="","",VLOOKUP(AD64,Varsayımlar!$B:$Q,16,0))</f>
        <v>24-26 cm</v>
      </c>
      <c r="AC64" s="80" t="str">
        <f>IF(B64="","",VLOOKUP(Sayfa1!AD56,Varsayımlar!B:S,18,0))</f>
        <v>80x120cm -Epal+Epal</v>
      </c>
      <c r="AD64" s="57" t="str">
        <f t="shared" si="7"/>
        <v>TASTE LAND-BULGARİSTANTortillas 25cm Sade 10pcs 650g</v>
      </c>
    </row>
    <row r="65" spans="1:30" ht="47.25" hidden="1" x14ac:dyDescent="0.25">
      <c r="A65" s="8" t="s">
        <v>85</v>
      </c>
      <c r="B65" s="54" t="s">
        <v>268</v>
      </c>
      <c r="C65" s="39">
        <f>IF(B65="","",VLOOKUP(AD65,Varsayımlar!$B:$Q,3,0))</f>
        <v>8698829380698</v>
      </c>
      <c r="D65" s="39" t="s">
        <v>160</v>
      </c>
      <c r="E65" s="54" t="s">
        <v>342</v>
      </c>
      <c r="F65" s="54" t="s">
        <v>343</v>
      </c>
      <c r="G65" s="39" t="s">
        <v>68</v>
      </c>
      <c r="H65" s="54" t="str">
        <f>IF(B65="","",VLOOKUP(AD65,Varsayımlar!$B:$Q,5,0))</f>
        <v>Tortillas 25cm Sade</v>
      </c>
      <c r="I65" s="54">
        <f>IF(B65="","",VLOOKUP(AD65,Varsayımlar!B:T,19,0))</f>
        <v>0</v>
      </c>
      <c r="J65" s="54" t="str">
        <f>IF(B65="","",VLOOKUP(AD65,Varsayımlar!$B:$Q,6,0))</f>
        <v>SADE</v>
      </c>
      <c r="K65" s="54">
        <v>420</v>
      </c>
      <c r="L65" s="54"/>
      <c r="M65" s="54">
        <f>IFERROR(IF(B65="","",K65/VLOOKUP(AD65,Varsayımlar!B:R,17,0)),"")</f>
        <v>5</v>
      </c>
      <c r="N65" s="54"/>
      <c r="O65" s="54">
        <v>7</v>
      </c>
      <c r="P65" s="54">
        <f>IF(B65="","",VLOOKUP(AD65,Varsayımlar!$B:$Q,7,0)*K65)</f>
        <v>12600</v>
      </c>
      <c r="Q65" s="54">
        <f>IF(B65="","",VLOOKUP(AD65,Varsayımlar!$B:$Q,8,0))</f>
        <v>25</v>
      </c>
      <c r="R65" s="54" t="str">
        <f>IF(B65="","",VLOOKUP(AD65,Varsayımlar!$B:$Q,9,0))</f>
        <v>Soft-PA3</v>
      </c>
      <c r="S65" s="54">
        <f>IF(B65="","",VLOOKUP(AD65,Varsayımlar!$B:$Q,10,0))</f>
        <v>4</v>
      </c>
      <c r="T65" s="54">
        <f>IF(B65="","",VLOOKUP(AD65,Varsayımlar!$B:$Q,11,0))</f>
        <v>30</v>
      </c>
      <c r="U65" s="54">
        <f>IF(B65="","",VLOOKUP(AD65,Varsayımlar!$B:$Q,12,0))</f>
        <v>240</v>
      </c>
      <c r="V65" s="54" t="str">
        <f>IF(B65="","",VLOOKUP(AD65,Varsayımlar!$B:$Q,13,0))</f>
        <v>Yurtdışı</v>
      </c>
      <c r="W65" s="54">
        <f>IF(B65="","",VLOOKUP(AD65,Varsayımlar!$B:$Q,14,0))</f>
        <v>12</v>
      </c>
      <c r="X65" s="56">
        <v>46205</v>
      </c>
      <c r="Y65" s="56">
        <v>46570</v>
      </c>
      <c r="Z65" s="54">
        <v>26070225</v>
      </c>
      <c r="AA65" s="54" t="str">
        <f>IF(B65="","",VLOOKUP(AD65,Varsayımlar!$B:$Q,15,0))</f>
        <v>25cm Kolisi-Etiketli</v>
      </c>
      <c r="AB65" s="54" t="str">
        <f>IF(B65="","",VLOOKUP(AD65,Varsayımlar!$B:$Q,16,0))</f>
        <v>24-26 cm (Macca Hetto Inkjet Uzun Tarih)</v>
      </c>
      <c r="AC65" s="54" t="str">
        <f>IF(B65="","",VLOOKUP(Sayfa1!AD35,Varsayımlar!B:S,18,0))</f>
        <v>80x120cm</v>
      </c>
      <c r="AD65" s="57" t="str">
        <f>IF(B65="","",CONCATENATE(B65,E65))</f>
        <v>LAIKYUZHN-BELARUSTortillas 25cm Sade 4pcs 240g</v>
      </c>
    </row>
    <row r="66" spans="1:30" ht="47.25" hidden="1" x14ac:dyDescent="0.25">
      <c r="A66" s="8" t="s">
        <v>86</v>
      </c>
      <c r="B66" s="130" t="s">
        <v>119</v>
      </c>
      <c r="C66" s="130">
        <f>IF(B66="","",VLOOKUP(AD66,Varsayımlar!$B:$Q,3,0))</f>
        <v>8698829380698</v>
      </c>
      <c r="D66" s="130"/>
      <c r="E66" s="130" t="s">
        <v>120</v>
      </c>
      <c r="F66" s="130"/>
      <c r="G66" s="130"/>
      <c r="H66" s="130" t="str">
        <f>IF(B66="","",VLOOKUP(AD66,Varsayımlar!$B:$Q,5,0))</f>
        <v>Nimet 25 cm</v>
      </c>
      <c r="I66" s="130"/>
      <c r="J66" s="130" t="str">
        <f>IF(B66="","",VLOOKUP(AD66,Varsayımlar!$B:$Q,6,0))</f>
        <v>SADE</v>
      </c>
      <c r="K66" s="130">
        <v>4000</v>
      </c>
      <c r="L66" s="130"/>
      <c r="M66" s="130">
        <f>IFERROR(IF(B66="","",K66/VLOOKUP(AD66,Varsayımlar!B:R,17,0)),"")</f>
        <v>80</v>
      </c>
      <c r="N66" s="130"/>
      <c r="O66" s="130">
        <v>60</v>
      </c>
      <c r="P66" s="130">
        <f>IF(B66="","",VLOOKUP(AD66,Varsayımlar!$B:$Q,7,0)*K66)</f>
        <v>48000</v>
      </c>
      <c r="Q66" s="130">
        <f>IF(B66="","",VLOOKUP(AD66,Varsayımlar!$B:$Q,8,0))</f>
        <v>25</v>
      </c>
      <c r="R66" s="130" t="str">
        <f>IF(B66="","",VLOOKUP(AD66,Varsayımlar!$B:$Q,9,0))</f>
        <v>Standart</v>
      </c>
      <c r="S66" s="130">
        <f>IF(B66="","",VLOOKUP(AD66,Varsayımlar!$B:$Q,10,0))</f>
        <v>12</v>
      </c>
      <c r="T66" s="130">
        <f>IF(B66="","",VLOOKUP(AD66,Varsayımlar!$B:$Q,11,0))</f>
        <v>12</v>
      </c>
      <c r="U66" s="130">
        <f>IF(B66="","",VLOOKUP(AD66,Varsayımlar!$B:$Q,12,0))</f>
        <v>840</v>
      </c>
      <c r="V66" s="130" t="str">
        <f>IF(B66="","",VLOOKUP(AD66,Varsayımlar!$B:$Q,13,0))</f>
        <v>YURTİÇİ</v>
      </c>
      <c r="W66" s="130">
        <f>IF(B66="","",VLOOKUP(AD66,Varsayımlar!$B:$Q,14,0))</f>
        <v>5</v>
      </c>
      <c r="X66" s="130" t="s">
        <v>113</v>
      </c>
      <c r="Y66" s="130" t="s">
        <v>113</v>
      </c>
      <c r="Z66" s="130" t="s">
        <v>113</v>
      </c>
      <c r="AA66" s="130" t="str">
        <f>IF(B66="","",VLOOKUP(AD66,Varsayımlar!$B:$Q,15,0))</f>
        <v>Nimet Kolisi</v>
      </c>
      <c r="AB66" s="130" t="str">
        <f>IF(B66="","",VLOOKUP(AD66,Varsayımlar!$B:$Q,16,0))</f>
        <v>24-26 CM</v>
      </c>
      <c r="AC66" s="64" t="s">
        <v>360</v>
      </c>
      <c r="AD66" s="57" t="str">
        <f t="shared" ref="AD66:AD77" si="8">IF(B66="","",CONCATENATE(B66,E66))</f>
        <v>A101Nimet 25cm 12 pcs 840g</v>
      </c>
    </row>
    <row r="67" spans="1:30" ht="31.5" hidden="1" x14ac:dyDescent="0.25">
      <c r="A67" s="8" t="s">
        <v>87</v>
      </c>
      <c r="B67" s="75" t="s">
        <v>218</v>
      </c>
      <c r="C67" s="43">
        <f>IF(B67="","",VLOOKUP(AD67,Varsayımlar!$B:$Q,3,0))</f>
        <v>8698829380698</v>
      </c>
      <c r="D67" s="43" t="s">
        <v>161</v>
      </c>
      <c r="E67" s="75" t="s">
        <v>228</v>
      </c>
      <c r="F67" s="75" t="s">
        <v>341</v>
      </c>
      <c r="G67" s="43"/>
      <c r="H67" s="75" t="str">
        <f>IF(B67="","",VLOOKUP(AD67,Varsayımlar!$B:$Q,5,0))</f>
        <v>Tortillas Avrupa 25cm (698)</v>
      </c>
      <c r="I67" s="75">
        <f>IF(B67="","",VLOOKUP(AD67,Varsayımlar!B:T,19,0))</f>
        <v>0</v>
      </c>
      <c r="J67" s="75" t="str">
        <f>IF(B67="","",VLOOKUP(AD67,Varsayımlar!$B:$Q,6,0))</f>
        <v>SADE</v>
      </c>
      <c r="K67" s="75">
        <v>720</v>
      </c>
      <c r="L67" s="75"/>
      <c r="M67" s="75">
        <f>IFERROR(IF(B67="","",K67/VLOOKUP(AD67,Varsayımlar!B:R,17,0)),"")</f>
        <v>6</v>
      </c>
      <c r="N67" s="75"/>
      <c r="O67" s="75">
        <v>7</v>
      </c>
      <c r="P67" s="75">
        <f>IF(B67="","",VLOOKUP(AD67,Varsayımlar!$B:$Q,7,0)*K67)</f>
        <v>5760</v>
      </c>
      <c r="Q67" s="75">
        <f>IF(B67="","",VLOOKUP(AD67,Varsayımlar!$B:$Q,8,0))</f>
        <v>25</v>
      </c>
      <c r="R67" s="75" t="str">
        <f>IF(B67="","",VLOOKUP(AD67,Varsayımlar!$B:$Q,9,0))</f>
        <v>Irak Soft</v>
      </c>
      <c r="S67" s="75">
        <f>IF(B67="","",VLOOKUP(AD67,Varsayımlar!$B:$Q,10,0))</f>
        <v>10</v>
      </c>
      <c r="T67" s="75">
        <f>IF(B67="","",VLOOKUP(AD67,Varsayımlar!$B:$Q,11,0))</f>
        <v>8</v>
      </c>
      <c r="U67" s="75">
        <f>IF(B67="","",VLOOKUP(AD67,Varsayımlar!$B:$Q,12,0))</f>
        <v>650</v>
      </c>
      <c r="V67" s="75" t="str">
        <f>IF(B67="","",VLOOKUP(AD67,Varsayımlar!$B:$Q,13,0))</f>
        <v>Yurtdışı</v>
      </c>
      <c r="W67" s="75">
        <f>IF(B67="","",VLOOKUP(AD67,Varsayımlar!$B:$Q,14,0))</f>
        <v>9</v>
      </c>
      <c r="X67" s="76">
        <v>46213</v>
      </c>
      <c r="Y67" s="76">
        <v>46487</v>
      </c>
      <c r="Z67" s="75">
        <v>26071025</v>
      </c>
      <c r="AA67" s="75" t="str">
        <f>IF(B67="","",VLOOKUP(AD67,Varsayımlar!$B:$Q,15,0))</f>
        <v>25cm Perforeli-Bulgarca etiket</v>
      </c>
      <c r="AB67" s="75" t="str">
        <f>IF(B67="","",VLOOKUP(AD67,Varsayımlar!$B:$Q,16,0))</f>
        <v>24-26 cm</v>
      </c>
      <c r="AC67" s="75" t="str">
        <f>IF(B67="","",VLOOKUP(Sayfa1!AD61,Varsayımlar!B:S,18,0))</f>
        <v>80x120cm -Epal+Epal</v>
      </c>
      <c r="AD67" s="57" t="str">
        <f t="shared" si="8"/>
        <v>TASTE LAND-BULGARİSTANTortillas 25cm Sade 10pcs 650g</v>
      </c>
    </row>
    <row r="68" spans="1:30" ht="47.25" hidden="1" x14ac:dyDescent="0.25">
      <c r="A68" s="8" t="s">
        <v>88</v>
      </c>
      <c r="B68" s="75" t="s">
        <v>218</v>
      </c>
      <c r="C68" s="43">
        <f>IF(B68="","",VLOOKUP(AD68,Varsayımlar!$B:$Q,3,0))</f>
        <v>8698829380698</v>
      </c>
      <c r="D68" s="43" t="s">
        <v>161</v>
      </c>
      <c r="E68" s="75" t="s">
        <v>250</v>
      </c>
      <c r="F68" s="75" t="s">
        <v>341</v>
      </c>
      <c r="G68" s="43"/>
      <c r="H68" s="75" t="str">
        <f>IF(B68="","",VLOOKUP(AD68,Varsayımlar!$B:$Q,5,0))</f>
        <v>Tortillas Avrupa 25cm (698)</v>
      </c>
      <c r="I68" s="75" t="str">
        <f>IF(B68="","",VLOOKUP(AD68,Varsayımlar!B:T,19,0))</f>
        <v>Barkod üzerine Barkod Etiketi (050)</v>
      </c>
      <c r="J68" s="75" t="str">
        <f>IF(B68="","",VLOOKUP(AD68,Varsayımlar!$B:$Q,6,0))</f>
        <v>SADE</v>
      </c>
      <c r="K68" s="75">
        <v>168</v>
      </c>
      <c r="L68" s="75"/>
      <c r="M68" s="75">
        <f>IFERROR(IF(B68="","",K68/VLOOKUP(AD68,Varsayımlar!B:R,17,0)),"")</f>
        <v>2</v>
      </c>
      <c r="N68" s="75"/>
      <c r="O68" s="75">
        <v>3</v>
      </c>
      <c r="P68" s="75">
        <f>IF(B68="","",VLOOKUP(AD68,Varsayımlar!$B:$Q,7,0)*K68)</f>
        <v>3024</v>
      </c>
      <c r="Q68" s="75">
        <f>IF(B68="","",VLOOKUP(AD68,Varsayımlar!$B:$Q,8,0))</f>
        <v>25</v>
      </c>
      <c r="R68" s="75" t="str">
        <f>IF(B68="","",VLOOKUP(AD68,Varsayımlar!$B:$Q,9,0))</f>
        <v>Irak Soft</v>
      </c>
      <c r="S68" s="75">
        <f>IF(B68="","",VLOOKUP(AD68,Varsayımlar!$B:$Q,10,0))</f>
        <v>6</v>
      </c>
      <c r="T68" s="75">
        <f>IF(B68="","",VLOOKUP(AD68,Varsayımlar!$B:$Q,11,0))</f>
        <v>18</v>
      </c>
      <c r="U68" s="75">
        <f>IF(B68="","",VLOOKUP(AD68,Varsayımlar!$B:$Q,12,0))</f>
        <v>390</v>
      </c>
      <c r="V68" s="75" t="str">
        <f>IF(B68="","",VLOOKUP(AD68,Varsayımlar!$B:$Q,13,0))</f>
        <v>Yurtdışı</v>
      </c>
      <c r="W68" s="75">
        <f>IF(B68="","",VLOOKUP(AD68,Varsayımlar!$B:$Q,14,0))</f>
        <v>9</v>
      </c>
      <c r="X68" s="76">
        <v>46213</v>
      </c>
      <c r="Y68" s="76">
        <v>46487</v>
      </c>
      <c r="Z68" s="75">
        <v>26071025</v>
      </c>
      <c r="AA68" s="75" t="str">
        <f>IF(B68="","",VLOOKUP(AD68,Varsayımlar!$B:$Q,15,0))</f>
        <v>25cm Kırmızı koli-Bulgarca Etiket</v>
      </c>
      <c r="AB68" s="75" t="str">
        <f>IF(B68="","",VLOOKUP(AD68,Varsayımlar!$B:$Q,16,0))</f>
        <v>24-26 cm</v>
      </c>
      <c r="AC68" s="75" t="str">
        <f>IF(B68="","",VLOOKUP(Sayfa1!AD62,Varsayımlar!B:S,18,0))</f>
        <v>80x120cm -Epal+Epal</v>
      </c>
      <c r="AD68" s="57" t="str">
        <f t="shared" si="8"/>
        <v>TASTE LAND-BULGARİSTANTortillas 25cm Sade 6pcs 390g</v>
      </c>
    </row>
    <row r="69" spans="1:30" hidden="1" x14ac:dyDescent="0.25">
      <c r="A69" s="8" t="s">
        <v>89</v>
      </c>
      <c r="B69" s="67" t="s">
        <v>460</v>
      </c>
      <c r="C69" s="42">
        <f>IF(B69="","",VLOOKUP(AD69,Varsayımlar!$B:$Q,3,0))</f>
        <v>8698829380698</v>
      </c>
      <c r="D69" s="67" t="s">
        <v>161</v>
      </c>
      <c r="E69" s="67" t="s">
        <v>468</v>
      </c>
      <c r="F69" s="67">
        <v>20260414</v>
      </c>
      <c r="G69" s="67"/>
      <c r="H69" s="67" t="str">
        <f>IF(B69="","",VLOOKUP(AD69,Varsayımlar!$B:$Q,5,0))</f>
        <v>Tortillove 25cm</v>
      </c>
      <c r="I69" s="67">
        <f>IF(B69="","",VLOOKUP(AD69,Varsayımlar!B:T,19,0))</f>
        <v>0</v>
      </c>
      <c r="J69" s="67" t="str">
        <f>IF(B69="","",VLOOKUP(AD69,Varsayımlar!$B:$Q,6,0))</f>
        <v>SADE</v>
      </c>
      <c r="K69" s="67">
        <v>100</v>
      </c>
      <c r="L69" s="67"/>
      <c r="M69" s="67">
        <f>IFERROR(IF(B69="","",K69/VLOOKUP(AD69,Varsayımlar!B:R,17,0)),"")</f>
        <v>1</v>
      </c>
      <c r="N69" s="67"/>
      <c r="O69" s="67">
        <v>2</v>
      </c>
      <c r="P69" s="67">
        <f>IF(B69="","",VLOOKUP(AD69,Varsayımlar!$B:$Q,7,0)*K69)</f>
        <v>1200</v>
      </c>
      <c r="Q69" s="67">
        <f>IF(B69="","",VLOOKUP(AD69,Varsayımlar!$B:$Q,8,0))</f>
        <v>25</v>
      </c>
      <c r="R69" s="67" t="str">
        <f>IF(B69="","",VLOOKUP(AD69,Varsayımlar!$B:$Q,9,0))</f>
        <v>Irak Soft</v>
      </c>
      <c r="S69" s="67">
        <f>IF(B69="","",VLOOKUP(AD69,Varsayımlar!$B:$Q,10,0))</f>
        <v>10</v>
      </c>
      <c r="T69" s="67">
        <f>IF(B69="","",VLOOKUP(AD69,Varsayımlar!$B:$Q,11,0))</f>
        <v>12</v>
      </c>
      <c r="U69" s="67">
        <f>IF(B69="","",VLOOKUP(AD69,Varsayımlar!$B:$Q,12,0))</f>
        <v>650</v>
      </c>
      <c r="V69" s="67" t="str">
        <f>IF(B69="","",VLOOKUP(AD69,Varsayımlar!$B:$Q,13,0))</f>
        <v>Yurtdışı</v>
      </c>
      <c r="W69" s="67">
        <f>IF(B69="","",VLOOKUP(AD69,Varsayımlar!$B:$Q,14,0))</f>
        <v>6</v>
      </c>
      <c r="X69" s="69">
        <v>46216</v>
      </c>
      <c r="Y69" s="69">
        <v>46400</v>
      </c>
      <c r="Z69" s="67">
        <v>26071325</v>
      </c>
      <c r="AA69" s="67" t="str">
        <f>IF(B69="","",VLOOKUP(AD69,Varsayımlar!$B:$Q,15,0))</f>
        <v>25cm Kırmızı Koli</v>
      </c>
      <c r="AB69" s="67" t="str">
        <f>IF(B69="","",VLOOKUP(AD69,Varsayımlar!$B:$Q,16,0))</f>
        <v>24-26 cm</v>
      </c>
      <c r="AC69" s="75" t="str">
        <f>IF(B69="","",VLOOKUP(Sayfa1!AD64,Varsayımlar!B:S,18,0))</f>
        <v>80x120cm -Epal+Epal</v>
      </c>
      <c r="AD69" s="57" t="str">
        <f t="shared" si="8"/>
        <v>Yüksekbaş GıdaYüksekbaş 25cm 10pcs 650g</v>
      </c>
    </row>
    <row r="70" spans="1:30" ht="31.5" hidden="1" x14ac:dyDescent="0.25">
      <c r="A70" s="8" t="s">
        <v>90</v>
      </c>
      <c r="B70" s="42" t="s">
        <v>460</v>
      </c>
      <c r="C70" s="42">
        <f>IF(B70="","",VLOOKUP(AD70,Varsayımlar!$B:$Q,3,0))</f>
        <v>8698829380698</v>
      </c>
      <c r="D70" s="42" t="s">
        <v>161</v>
      </c>
      <c r="E70" s="42" t="s">
        <v>471</v>
      </c>
      <c r="F70" s="42">
        <v>20260414</v>
      </c>
      <c r="G70" s="42"/>
      <c r="H70" s="42" t="str">
        <f>IF(B70="","",VLOOKUP(AD70,Varsayımlar!$B:$Q,5,0))</f>
        <v>Tortillove Tam Buğday 25cm</v>
      </c>
      <c r="I70" s="42">
        <f>IF(B70="","",VLOOKUP(AD70,Varsayımlar!B:T,19,0))</f>
        <v>0</v>
      </c>
      <c r="J70" s="42" t="str">
        <f>IF(B70="","",VLOOKUP(AD70,Varsayımlar!$B:$Q,6,0))</f>
        <v>Tam Buğdaylı</v>
      </c>
      <c r="K70" s="42">
        <v>500</v>
      </c>
      <c r="L70" s="42"/>
      <c r="M70" s="42">
        <f>IFERROR(IF(B70="","",K70/VLOOKUP(AD70,Varsayımlar!B:R,17,0)),"")</f>
        <v>5</v>
      </c>
      <c r="N70" s="42"/>
      <c r="O70" s="42">
        <v>7</v>
      </c>
      <c r="P70" s="42">
        <f>IF(B70="","",VLOOKUP(AD70,Varsayımlar!$B:$Q,7,0)*K70)</f>
        <v>6000</v>
      </c>
      <c r="Q70" s="42">
        <f>IF(B70="","",VLOOKUP(AD70,Varsayımlar!$B:$Q,8,0))</f>
        <v>25</v>
      </c>
      <c r="R70" s="42" t="str">
        <f>IF(B70="","",VLOOKUP(AD70,Varsayımlar!$B:$Q,9,0))</f>
        <v>Irak Soft</v>
      </c>
      <c r="S70" s="42">
        <f>IF(B70="","",VLOOKUP(AD70,Varsayımlar!$B:$Q,10,0))</f>
        <v>10</v>
      </c>
      <c r="T70" s="42">
        <f>IF(B70="","",VLOOKUP(AD70,Varsayımlar!$B:$Q,11,0))</f>
        <v>12</v>
      </c>
      <c r="U70" s="42">
        <f>IF(B70="","",VLOOKUP(AD70,Varsayımlar!$B:$Q,12,0))</f>
        <v>650</v>
      </c>
      <c r="V70" s="42" t="str">
        <f>IF(B70="","",VLOOKUP(AD70,Varsayımlar!$B:$Q,13,0))</f>
        <v>Yurtdışı</v>
      </c>
      <c r="W70" s="42">
        <f>IF(B70="","",VLOOKUP(AD70,Varsayımlar!$B:$Q,14,0))</f>
        <v>6</v>
      </c>
      <c r="X70" s="69">
        <v>46216</v>
      </c>
      <c r="Y70" s="69">
        <v>46400</v>
      </c>
      <c r="Z70" s="42" t="s">
        <v>475</v>
      </c>
      <c r="AA70" s="42" t="str">
        <f>IF(B70="","",VLOOKUP(AD70,Varsayımlar!$B:$Q,15,0))</f>
        <v>25cm Kırmızı Koli-Etiketli</v>
      </c>
      <c r="AB70" s="42" t="str">
        <f>IF(B70="","",VLOOKUP(AD70,Varsayımlar!$B:$Q,16,0))</f>
        <v>24-26 cm</v>
      </c>
      <c r="AC70" s="75" t="str">
        <f>IF(B70="","",VLOOKUP(Sayfa1!AD64,Varsayımlar!B:S,18,0))</f>
        <v>80x120cm -Epal+Epal</v>
      </c>
      <c r="AD70" s="57" t="str">
        <f t="shared" si="8"/>
        <v>Yüksekbaş GıdaYüksekbaş TB 25cm 10pcs 650g</v>
      </c>
    </row>
    <row r="71" spans="1:30" s="140" customFormat="1" ht="45.75" hidden="1" customHeight="1" x14ac:dyDescent="0.25">
      <c r="A71" s="8" t="s">
        <v>91</v>
      </c>
      <c r="B71" s="130" t="s">
        <v>119</v>
      </c>
      <c r="C71" s="131">
        <f>IF(B71="","",VLOOKUP(AD71,Varsayımlar!$B:$Q,3,0))</f>
        <v>8698829380698</v>
      </c>
      <c r="D71" s="131"/>
      <c r="E71" s="132" t="s">
        <v>120</v>
      </c>
      <c r="F71" s="130"/>
      <c r="G71" s="130"/>
      <c r="H71" s="130" t="str">
        <f>IF(B71="","",VLOOKUP(AD71,Varsayımlar!$B:$Q,5,0))</f>
        <v>Nimet 25 cm</v>
      </c>
      <c r="I71" s="130"/>
      <c r="J71" s="130" t="str">
        <f>IF(B71="","",VLOOKUP(AD71,Varsayımlar!$B:$Q,6,0))</f>
        <v>SADE</v>
      </c>
      <c r="K71" s="130">
        <v>4000</v>
      </c>
      <c r="L71" s="130"/>
      <c r="M71" s="130">
        <f>IFERROR(IF(B71="","",K71/VLOOKUP(AD71,Varsayımlar!B:R,17,0)),"")</f>
        <v>80</v>
      </c>
      <c r="N71" s="130"/>
      <c r="O71" s="130">
        <v>60</v>
      </c>
      <c r="P71" s="130">
        <f>IF(B71="","",VLOOKUP(AD71,Varsayımlar!$B:$Q,7,0)*K71)</f>
        <v>48000</v>
      </c>
      <c r="Q71" s="130">
        <f>IF(B71="","",VLOOKUP(AD71,Varsayımlar!$B:$Q,8,0))</f>
        <v>25</v>
      </c>
      <c r="R71" s="130" t="str">
        <f>IF(B71="","",VLOOKUP(AD71,Varsayımlar!$B:$Q,9,0))</f>
        <v>Standart</v>
      </c>
      <c r="S71" s="130">
        <f>IF(B71="","",VLOOKUP(AD71,Varsayımlar!$B:$Q,10,0))</f>
        <v>12</v>
      </c>
      <c r="T71" s="130">
        <f>IF(B71="","",VLOOKUP(AD71,Varsayımlar!$B:$Q,11,0))</f>
        <v>12</v>
      </c>
      <c r="U71" s="130">
        <f>IF(B71="","",VLOOKUP(AD71,Varsayımlar!$B:$Q,12,0))</f>
        <v>840</v>
      </c>
      <c r="V71" s="130" t="str">
        <f>IF(B71="","",VLOOKUP(AD71,Varsayımlar!$B:$Q,13,0))</f>
        <v>YURTİÇİ</v>
      </c>
      <c r="W71" s="130">
        <f>IF(B71="","",VLOOKUP(AD71,Varsayımlar!$B:$Q,14,0))</f>
        <v>5</v>
      </c>
      <c r="X71" s="133" t="s">
        <v>113</v>
      </c>
      <c r="Y71" s="133" t="s">
        <v>113</v>
      </c>
      <c r="Z71" s="130" t="s">
        <v>113</v>
      </c>
      <c r="AA71" s="130" t="str">
        <f>IF(B71="","",VLOOKUP(AD71,Varsayımlar!$B:$Q,15,0))</f>
        <v>Nimet Kolisi</v>
      </c>
      <c r="AB71" s="130" t="str">
        <f>IF(B71="","",VLOOKUP(AD71,Varsayımlar!$B:$Q,16,0))</f>
        <v>24-26 CM</v>
      </c>
      <c r="AC71" s="64" t="s">
        <v>360</v>
      </c>
      <c r="AD71" s="57" t="str">
        <f>IF(B71="","",CONCATENATE(B71,E71))</f>
        <v>A101Nimet 25cm 12 pcs 840g</v>
      </c>
    </row>
    <row r="72" spans="1:30" ht="31.5" hidden="1" x14ac:dyDescent="0.25">
      <c r="A72" s="8" t="s">
        <v>92</v>
      </c>
      <c r="B72" s="54" t="s">
        <v>346</v>
      </c>
      <c r="C72" s="39">
        <f>IF(B72="","",VLOOKUP(AD72,Varsayımlar!$B:$Q,3,0))</f>
        <v>8698829380698</v>
      </c>
      <c r="D72" s="39">
        <v>49</v>
      </c>
      <c r="E72" s="139" t="s">
        <v>58</v>
      </c>
      <c r="F72" s="54"/>
      <c r="G72" s="54"/>
      <c r="H72" s="54" t="str">
        <f>IF(B72="","",VLOOKUP(AD72,Varsayımlar!$B:$Q,5,0))</f>
        <v>KIRMIZI TORTİLLAS 25 CM</v>
      </c>
      <c r="I72" s="54" t="str">
        <f>IF(B72="","",VLOOKUP(AD72,Varsayımlar!B:T,19,0))</f>
        <v>BARKOD ETİKETİ</v>
      </c>
      <c r="J72" s="54" t="str">
        <f>IF(B72="","",VLOOKUP(AD72,Varsayımlar!$B:$Q,6,0))</f>
        <v>SADE</v>
      </c>
      <c r="K72" s="54">
        <v>504</v>
      </c>
      <c r="L72" s="54"/>
      <c r="M72" s="54">
        <f>IFERROR(IF(B72="","",K72/VLOOKUP(AD72,Varsayımlar!B:R,17,0)),"")</f>
        <v>6</v>
      </c>
      <c r="N72" s="54"/>
      <c r="O72" s="54">
        <v>6</v>
      </c>
      <c r="P72" s="54">
        <f>IF(B72="","",VLOOKUP(AD72,Varsayımlar!$B:$Q,7,0)*K72)</f>
        <v>9072</v>
      </c>
      <c r="Q72" s="54">
        <f>IF(B72="","",VLOOKUP(AD72,Varsayımlar!$B:$Q,8,0))</f>
        <v>25</v>
      </c>
      <c r="R72" s="54" t="str">
        <f>IF(B72="","",VLOOKUP(AD72,Varsayımlar!$B:$Q,9,0))</f>
        <v>IRAK SOFT</v>
      </c>
      <c r="S72" s="54">
        <f>IF(B72="","",VLOOKUP(AD72,Varsayımlar!$B:$Q,10,0))</f>
        <v>6</v>
      </c>
      <c r="T72" s="54">
        <f>IF(B72="","",VLOOKUP(AD72,Varsayımlar!$B:$Q,11,0))</f>
        <v>18</v>
      </c>
      <c r="U72" s="54">
        <f>IF(B72="","",VLOOKUP(AD72,Varsayımlar!$B:$Q,12,0))</f>
        <v>375</v>
      </c>
      <c r="V72" s="54" t="str">
        <f>IF(B72="","",VLOOKUP(AD72,Varsayımlar!$B:$Q,13,0))</f>
        <v>YURTDIŞI</v>
      </c>
      <c r="W72" s="54">
        <f>IF(B72="","",VLOOKUP(AD72,Varsayımlar!$B:$Q,14,0))</f>
        <v>9</v>
      </c>
      <c r="X72" s="56">
        <v>46226</v>
      </c>
      <c r="Y72" s="56">
        <v>46500</v>
      </c>
      <c r="Z72" s="54">
        <v>26072325</v>
      </c>
      <c r="AA72" s="54" t="str">
        <f>IF(B72="","",VLOOKUP(AD72,Varsayımlar!$B:$Q,15,0))</f>
        <v>KIRMIZI - ÜRETİM TARİHLİ ETİKET</v>
      </c>
      <c r="AB72" s="54" t="str">
        <f>IF(B72="","",VLOOKUP(AD72,Varsayımlar!$B:$Q,16,0))</f>
        <v>24-26 CM</v>
      </c>
      <c r="AC72" s="8" t="e">
        <f>IF(B72="","",VLOOKUP(#REF!,#REF!,18,0))</f>
        <v>#REF!</v>
      </c>
      <c r="AD72" s="8" t="str">
        <f>IF(B72="","",CONCATENATE(B72,E72))</f>
        <v>GermesKırmızı Tortillas-Germes-25cm 375g</v>
      </c>
    </row>
    <row r="73" spans="1:30" s="140" customFormat="1" ht="36" hidden="1" customHeight="1" x14ac:dyDescent="0.25">
      <c r="A73" s="8" t="s">
        <v>93</v>
      </c>
      <c r="B73" s="149" t="s">
        <v>500</v>
      </c>
      <c r="C73" s="149" t="e">
        <f>IF(B73="","",VLOOKUP(AD73,#REF!,3,0))</f>
        <v>#REF!</v>
      </c>
      <c r="D73" s="149"/>
      <c r="E73" s="149" t="s">
        <v>193</v>
      </c>
      <c r="F73" s="149">
        <v>26062201</v>
      </c>
      <c r="G73" s="149"/>
      <c r="H73" s="149" t="e">
        <f>IF(B73="","",VLOOKUP(AD73,#REF!,5,0))</f>
        <v>#REF!</v>
      </c>
      <c r="I73" s="149" t="e">
        <f>IF(B73="","",VLOOKUP(AD73,#REF!,19,0))</f>
        <v>#REF!</v>
      </c>
      <c r="J73" s="149" t="e">
        <f>IF(B73="","",VLOOKUP(AD73,#REF!,6,0))</f>
        <v>#REF!</v>
      </c>
      <c r="K73" s="149">
        <v>50</v>
      </c>
      <c r="L73" s="149"/>
      <c r="M73" s="149">
        <f>IFERROR(IF(B73="","",K73/VLOOKUP(AD73,Varsayımlar!B:R,17,0)),"")</f>
        <v>1</v>
      </c>
      <c r="N73" s="149"/>
      <c r="O73" s="149">
        <v>1</v>
      </c>
      <c r="P73" s="149" t="e">
        <f>IF(B73="","",VLOOKUP(AD73,#REF!,7,0)*K73)</f>
        <v>#REF!</v>
      </c>
      <c r="Q73" s="149" t="e">
        <f>IF(B73="","",VLOOKUP(AD73,#REF!,8,0))</f>
        <v>#REF!</v>
      </c>
      <c r="R73" s="149" t="e">
        <f>IF(B73="","",VLOOKUP(AD73,#REF!,9,0))</f>
        <v>#REF!</v>
      </c>
      <c r="S73" s="149" t="e">
        <f>IF(B73="","",VLOOKUP(AD73,#REF!,10,0))</f>
        <v>#REF!</v>
      </c>
      <c r="T73" s="149" t="e">
        <f>IF(B73="","",VLOOKUP(AD73,#REF!,11,0))</f>
        <v>#REF!</v>
      </c>
      <c r="U73" s="149" t="e">
        <f>IF(B73="","",VLOOKUP(AD73,#REF!,12,0))</f>
        <v>#REF!</v>
      </c>
      <c r="V73" s="149" t="e">
        <f>IF(B73="","",VLOOKUP(AD73,#REF!,13,0))</f>
        <v>#REF!</v>
      </c>
      <c r="W73" s="149" t="e">
        <f>IF(B73="","",VLOOKUP(AD73,#REF!,14,0))</f>
        <v>#REF!</v>
      </c>
      <c r="X73" s="151">
        <v>46231</v>
      </c>
      <c r="Y73" s="151">
        <v>46596</v>
      </c>
      <c r="Z73" s="149">
        <v>26072825</v>
      </c>
      <c r="AA73" s="149" t="e">
        <f>IF(B73="","",VLOOKUP(AD73,#REF!,15,0))</f>
        <v>#REF!</v>
      </c>
      <c r="AB73" s="149" t="e">
        <f>IF(B73="","",VLOOKUP(AD73,#REF!,16,0))</f>
        <v>#REF!</v>
      </c>
      <c r="AC73" s="67"/>
      <c r="AD73" s="57" t="str">
        <f t="shared" ref="AD73" si="9">IF(B73="","",CONCATENATE(B73,E73))</f>
        <v>Fama GroupTortillas 25cm 10pcs 650g</v>
      </c>
    </row>
    <row r="74" spans="1:30" s="140" customFormat="1" ht="36" hidden="1" customHeight="1" x14ac:dyDescent="0.25">
      <c r="A74" s="8" t="s">
        <v>135</v>
      </c>
      <c r="B74" s="67"/>
      <c r="C74" s="42" t="str">
        <f>IF(B74="","",VLOOKUP(AD74,#REF!,3,0))</f>
        <v/>
      </c>
      <c r="D74" s="42"/>
      <c r="E74" s="42"/>
      <c r="F74" s="67"/>
      <c r="G74" s="67"/>
      <c r="H74" s="67" t="str">
        <f>IF(B74="","",VLOOKUP(AD74,#REF!,5,0))</f>
        <v/>
      </c>
      <c r="I74" s="67" t="str">
        <f>IF(B74="","",VLOOKUP(AD74,#REF!,19,0))</f>
        <v/>
      </c>
      <c r="J74" s="67" t="str">
        <f>IF(B74="","",VLOOKUP(AD74,#REF!,6,0))</f>
        <v/>
      </c>
      <c r="K74" s="67"/>
      <c r="L74" s="67"/>
      <c r="M74" s="42" t="str">
        <f>IFERROR(IF(B74="","",K74/VLOOKUP(AD74,Varsayımlar!B:R,17,0)),"")</f>
        <v/>
      </c>
      <c r="N74" s="67"/>
      <c r="O74" s="67"/>
      <c r="P74" s="67" t="str">
        <f>IF(B74="","",VLOOKUP(AD74,#REF!,7,0)*K74)</f>
        <v/>
      </c>
      <c r="Q74" s="67" t="str">
        <f>IF(B74="","",VLOOKUP(AD74,#REF!,8,0))</f>
        <v/>
      </c>
      <c r="R74" s="67" t="str">
        <f>IF(B74="","",VLOOKUP(AD74,#REF!,9,0))</f>
        <v/>
      </c>
      <c r="S74" s="67" t="str">
        <f>IF(B74="","",VLOOKUP(AD74,#REF!,10,0))</f>
        <v/>
      </c>
      <c r="T74" s="67" t="str">
        <f>IF(B74="","",VLOOKUP(AD74,#REF!,11,0))</f>
        <v/>
      </c>
      <c r="U74" s="67" t="str">
        <f>IF(B74="","",VLOOKUP(AD74,#REF!,12,0))</f>
        <v/>
      </c>
      <c r="V74" s="67" t="str">
        <f>IF(B74="","",VLOOKUP(AD74,#REF!,13,0))</f>
        <v/>
      </c>
      <c r="W74" s="67" t="str">
        <f>IF(B74="","",VLOOKUP(AD74,#REF!,14,0))</f>
        <v/>
      </c>
      <c r="X74" s="69"/>
      <c r="Y74" s="69"/>
      <c r="Z74" s="67"/>
      <c r="AA74" s="67" t="str">
        <f>IF(B74="","",VLOOKUP(AD74,#REF!,15,0))</f>
        <v/>
      </c>
      <c r="AB74" s="67" t="str">
        <f>IF(B74="","",VLOOKUP(AD74,#REF!,16,0))</f>
        <v/>
      </c>
      <c r="AC74" s="145"/>
      <c r="AD74" s="57"/>
    </row>
    <row r="75" spans="1:30" s="140" customFormat="1" ht="36" hidden="1" customHeight="1" x14ac:dyDescent="0.25">
      <c r="A75" s="8" t="s">
        <v>136</v>
      </c>
      <c r="B75" s="67"/>
      <c r="C75" s="42" t="str">
        <f>IF(B75="","",VLOOKUP(AD75,#REF!,3,0))</f>
        <v/>
      </c>
      <c r="D75" s="42"/>
      <c r="E75" s="42"/>
      <c r="F75" s="67"/>
      <c r="G75" s="67"/>
      <c r="H75" s="67" t="str">
        <f>IF(B75="","",VLOOKUP(AD75,#REF!,5,0))</f>
        <v/>
      </c>
      <c r="I75" s="67" t="str">
        <f>IF(B75="","",VLOOKUP(AD75,#REF!,19,0))</f>
        <v/>
      </c>
      <c r="J75" s="67" t="str">
        <f>IF(B75="","",VLOOKUP(AD75,#REF!,6,0))</f>
        <v/>
      </c>
      <c r="K75" s="67"/>
      <c r="L75" s="67"/>
      <c r="M75" s="42" t="str">
        <f>IFERROR(IF(B75="","",K75/VLOOKUP(AD75,Varsayımlar!B:R,17,0)),"")</f>
        <v/>
      </c>
      <c r="N75" s="67"/>
      <c r="O75" s="67"/>
      <c r="P75" s="67" t="str">
        <f>IF(B75="","",VLOOKUP(AD75,#REF!,7,0)*K75)</f>
        <v/>
      </c>
      <c r="Q75" s="67" t="str">
        <f>IF(B75="","",VLOOKUP(AD75,#REF!,8,0))</f>
        <v/>
      </c>
      <c r="R75" s="67" t="str">
        <f>IF(B75="","",VLOOKUP(AD75,#REF!,9,0))</f>
        <v/>
      </c>
      <c r="S75" s="67" t="str">
        <f>IF(B75="","",VLOOKUP(AD75,#REF!,10,0))</f>
        <v/>
      </c>
      <c r="T75" s="67" t="str">
        <f>IF(B75="","",VLOOKUP(AD75,#REF!,11,0))</f>
        <v/>
      </c>
      <c r="U75" s="67" t="str">
        <f>IF(B75="","",VLOOKUP(AD75,#REF!,12,0))</f>
        <v/>
      </c>
      <c r="V75" s="67" t="str">
        <f>IF(B75="","",VLOOKUP(AD75,#REF!,13,0))</f>
        <v/>
      </c>
      <c r="W75" s="67" t="str">
        <f>IF(B75="","",VLOOKUP(AD75,#REF!,14,0))</f>
        <v/>
      </c>
      <c r="X75" s="69"/>
      <c r="Y75" s="69"/>
      <c r="Z75" s="67"/>
      <c r="AA75" s="67" t="str">
        <f>IF(B75="","",VLOOKUP(AD75,#REF!,15,0))</f>
        <v/>
      </c>
      <c r="AB75" s="67" t="str">
        <f>IF(B75="","",VLOOKUP(AD75,#REF!,16,0))</f>
        <v/>
      </c>
      <c r="AC75" s="145"/>
      <c r="AD75" s="57"/>
    </row>
    <row r="76" spans="1:30" s="140" customFormat="1" ht="36" hidden="1" customHeight="1" x14ac:dyDescent="0.25">
      <c r="A76" s="8" t="s">
        <v>137</v>
      </c>
      <c r="B76" s="67"/>
      <c r="C76" s="42" t="str">
        <f>IF(B76="","",VLOOKUP(AD76,#REF!,3,0))</f>
        <v/>
      </c>
      <c r="D76" s="42"/>
      <c r="E76" s="42"/>
      <c r="F76" s="67"/>
      <c r="G76" s="67"/>
      <c r="H76" s="67" t="str">
        <f>IF(B76="","",VLOOKUP(AD76,#REF!,5,0))</f>
        <v/>
      </c>
      <c r="I76" s="67" t="str">
        <f>IF(B76="","",VLOOKUP(AD76,#REF!,19,0))</f>
        <v/>
      </c>
      <c r="J76" s="67" t="str">
        <f>IF(B76="","",VLOOKUP(AD76,#REF!,6,0))</f>
        <v/>
      </c>
      <c r="K76" s="67"/>
      <c r="L76" s="67"/>
      <c r="M76" s="42" t="str">
        <f>IFERROR(IF(B76="","",K76/VLOOKUP(AD76,Varsayımlar!B:R,17,0)),"")</f>
        <v/>
      </c>
      <c r="N76" s="67"/>
      <c r="O76" s="67"/>
      <c r="P76" s="67" t="str">
        <f>IF(B76="","",VLOOKUP(AD76,#REF!,7,0)*K76)</f>
        <v/>
      </c>
      <c r="Q76" s="67" t="str">
        <f>IF(B76="","",VLOOKUP(AD76,#REF!,8,0))</f>
        <v/>
      </c>
      <c r="R76" s="67" t="str">
        <f>IF(B76="","",VLOOKUP(AD76,#REF!,9,0))</f>
        <v/>
      </c>
      <c r="S76" s="67" t="str">
        <f>IF(B76="","",VLOOKUP(AD76,#REF!,10,0))</f>
        <v/>
      </c>
      <c r="T76" s="67" t="str">
        <f>IF(B76="","",VLOOKUP(AD76,#REF!,11,0))</f>
        <v/>
      </c>
      <c r="U76" s="67" t="str">
        <f>IF(B76="","",VLOOKUP(AD76,#REF!,12,0))</f>
        <v/>
      </c>
      <c r="V76" s="67" t="str">
        <f>IF(B76="","",VLOOKUP(AD76,#REF!,13,0))</f>
        <v/>
      </c>
      <c r="W76" s="67" t="str">
        <f>IF(B76="","",VLOOKUP(AD76,#REF!,14,0))</f>
        <v/>
      </c>
      <c r="X76" s="69"/>
      <c r="Y76" s="69"/>
      <c r="Z76" s="67"/>
      <c r="AA76" s="67" t="str">
        <f>IF(B76="","",VLOOKUP(AD76,#REF!,15,0))</f>
        <v/>
      </c>
      <c r="AB76" s="67" t="str">
        <f>IF(B76="","",VLOOKUP(AD76,#REF!,16,0))</f>
        <v/>
      </c>
      <c r="AC76" s="145"/>
      <c r="AD76" s="57"/>
    </row>
    <row r="77" spans="1:30" x14ac:dyDescent="0.25">
      <c r="C77" s="53" t="str">
        <f>IF(B77="","",VLOOKUP(AD77,Varsayımlar!$B:$Q,3,0))</f>
        <v/>
      </c>
      <c r="H77" s="7" t="str">
        <f>IF(B77="","",VLOOKUP(AD77,Varsayımlar!$B:$Q,5,0))</f>
        <v/>
      </c>
      <c r="J77" s="7" t="str">
        <f>IF(B77="","",VLOOKUP(AD77,Varsayımlar!$B:$Q,6,0))</f>
        <v/>
      </c>
      <c r="P77" s="7" t="str">
        <f>IF(B77="","",VLOOKUP(AD77,Varsayımlar!$B:$Q,7,0)*K77)</f>
        <v/>
      </c>
      <c r="Q77" s="7" t="str">
        <f>IF(B77="","",VLOOKUP(AD77,Varsayımlar!$B:$Q,8,0))</f>
        <v/>
      </c>
      <c r="R77" s="7" t="str">
        <f>IF(B77="","",VLOOKUP(AD77,Varsayımlar!$B:$Q,9,0))</f>
        <v/>
      </c>
      <c r="S77" s="7" t="str">
        <f>IF(B77="","",VLOOKUP(AD77,Varsayımlar!$B:$Q,10,0))</f>
        <v/>
      </c>
      <c r="T77" s="7" t="str">
        <f>IF(B77="","",VLOOKUP(AD77,Varsayımlar!$B:$Q,11,0))</f>
        <v/>
      </c>
      <c r="U77" s="7" t="str">
        <f>IF(B77="","",VLOOKUP(AD77,Varsayımlar!$B:$Q,12,0))</f>
        <v/>
      </c>
      <c r="V77" s="7" t="str">
        <f>IF(B77="","",VLOOKUP(AD77,Varsayımlar!$B:$Q,13,0))</f>
        <v/>
      </c>
      <c r="W77" s="7" t="str">
        <f>IF(B77="","",VLOOKUP(AD77,Varsayımlar!$B:$Q,14,0))</f>
        <v/>
      </c>
      <c r="AA77" s="7" t="str">
        <f>IF(B77="","",VLOOKUP(AD77,Varsayımlar!$B:$Q,15,0))</f>
        <v/>
      </c>
      <c r="AB77" s="7" t="str">
        <f>IF(B77="","",VLOOKUP(AD77,Varsayımlar!$B:$Q,16,0))</f>
        <v/>
      </c>
      <c r="AD77" s="7" t="str">
        <f t="shared" si="8"/>
        <v/>
      </c>
    </row>
    <row r="78" spans="1:30" ht="31.5" customHeight="1" x14ac:dyDescent="0.25">
      <c r="A78" s="182" t="s">
        <v>345</v>
      </c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4"/>
      <c r="AC78" s="38"/>
    </row>
    <row r="79" spans="1:30" ht="63" x14ac:dyDescent="0.25">
      <c r="A79" s="8" t="s">
        <v>0</v>
      </c>
      <c r="B79" s="8" t="s">
        <v>1</v>
      </c>
      <c r="C79" s="9" t="s">
        <v>31</v>
      </c>
      <c r="D79" s="9" t="s">
        <v>124</v>
      </c>
      <c r="E79" s="9" t="s">
        <v>36</v>
      </c>
      <c r="F79" s="8" t="s">
        <v>37</v>
      </c>
      <c r="G79" s="8" t="s">
        <v>13</v>
      </c>
      <c r="H79" s="8" t="s">
        <v>2</v>
      </c>
      <c r="I79" s="8" t="s">
        <v>49</v>
      </c>
      <c r="J79" s="8" t="s">
        <v>3</v>
      </c>
      <c r="K79" s="8" t="s">
        <v>21</v>
      </c>
      <c r="L79" s="8" t="s">
        <v>94</v>
      </c>
      <c r="M79" s="8" t="s">
        <v>20</v>
      </c>
      <c r="N79" s="8" t="s">
        <v>165</v>
      </c>
      <c r="O79" s="8" t="s">
        <v>123</v>
      </c>
      <c r="P79" s="8" t="s">
        <v>16</v>
      </c>
      <c r="Q79" s="8" t="s">
        <v>4</v>
      </c>
      <c r="R79" s="8" t="s">
        <v>5</v>
      </c>
      <c r="S79" s="8" t="s">
        <v>6</v>
      </c>
      <c r="T79" s="8" t="s">
        <v>28</v>
      </c>
      <c r="U79" s="8" t="s">
        <v>7</v>
      </c>
      <c r="V79" s="8" t="s">
        <v>8</v>
      </c>
      <c r="W79" s="8" t="s">
        <v>9</v>
      </c>
      <c r="X79" s="8" t="s">
        <v>10</v>
      </c>
      <c r="Y79" s="8" t="s">
        <v>11</v>
      </c>
      <c r="Z79" s="8" t="s">
        <v>12</v>
      </c>
      <c r="AA79" s="8" t="s">
        <v>14</v>
      </c>
      <c r="AB79" s="8" t="s">
        <v>15</v>
      </c>
      <c r="AC79" s="8" t="s">
        <v>208</v>
      </c>
      <c r="AD79" s="7" t="s">
        <v>41</v>
      </c>
    </row>
    <row r="80" spans="1:30" ht="39" customHeight="1" x14ac:dyDescent="0.25">
      <c r="A80" s="8" t="s">
        <v>26</v>
      </c>
      <c r="B80" s="67" t="s">
        <v>431</v>
      </c>
      <c r="C80" s="42">
        <f>IF(B80="","",VLOOKUP(AD80,Varsayımlar!$B:$Q,3,0))</f>
        <v>8698829380698</v>
      </c>
      <c r="D80" s="42"/>
      <c r="E80" s="42" t="s">
        <v>435</v>
      </c>
      <c r="F80" s="42">
        <v>20260612</v>
      </c>
      <c r="G80" s="42"/>
      <c r="H80" s="42" t="str">
        <f>IF(B80="","",VLOOKUP(AD80,Varsayımlar!$B:$Q,5,0))</f>
        <v xml:space="preserve">Happylla 500g </v>
      </c>
      <c r="I80" s="42"/>
      <c r="J80" s="42" t="str">
        <f>IF(B80="","",VLOOKUP(AD80,Varsayımlar!$B:$Q,6,0))</f>
        <v>SADE</v>
      </c>
      <c r="K80" s="42">
        <v>1768</v>
      </c>
      <c r="L80" s="42"/>
      <c r="M80" s="42">
        <f>IFERROR(IF(B80="","",K80/VLOOKUP(AD80,Varsayımlar!B:R,17,0)),"")</f>
        <v>17</v>
      </c>
      <c r="N80" s="42">
        <v>104</v>
      </c>
      <c r="O80" s="42">
        <v>22</v>
      </c>
      <c r="P80" s="42">
        <f>IF(B80="","",VLOOKUP(AD80,Varsayımlar!$B:$Q,7,0)*K80)</f>
        <v>21216</v>
      </c>
      <c r="Q80" s="42">
        <f>IF(B80="","",VLOOKUP(AD80,Varsayımlar!$B:$Q,8,0))</f>
        <v>25</v>
      </c>
      <c r="R80" s="42" t="str">
        <f>IF(B80="","",VLOOKUP(AD80,Varsayımlar!$B:$Q,9,0))</f>
        <v>Irak Soft</v>
      </c>
      <c r="S80" s="42">
        <f>IF(B80="","",VLOOKUP(AD80,Varsayımlar!$B:$Q,10,0))</f>
        <v>10</v>
      </c>
      <c r="T80" s="42">
        <f>IF(B80="","",VLOOKUP(AD80,Varsayımlar!$B:$Q,11,0))</f>
        <v>12</v>
      </c>
      <c r="U80" s="42">
        <f>IF(B80="","",VLOOKUP(AD80,Varsayımlar!$B:$Q,12,0))</f>
        <v>500</v>
      </c>
      <c r="V80" s="42" t="str">
        <f>IF(B80="","",VLOOKUP(AD80,Varsayımlar!$B:$Q,13,0))</f>
        <v>Yurtdışı</v>
      </c>
      <c r="W80" s="67">
        <f>IF(B80="","",VLOOKUP(AD80,Varsayımlar!$B:$Q,14,0))</f>
        <v>6</v>
      </c>
      <c r="X80" s="69">
        <v>46196</v>
      </c>
      <c r="Y80" s="69">
        <v>46379</v>
      </c>
      <c r="Z80" s="67">
        <v>26062325</v>
      </c>
      <c r="AA80" s="67" t="str">
        <f>IF(B80="","",VLOOKUP(AD80,Varsayımlar!$B:$Q,15,0))</f>
        <v>Kırmızı Koli 25cm</v>
      </c>
      <c r="AB80" s="67" t="str">
        <f>IF(B80="","",VLOOKUP(AD80,Varsayımlar!$B:$Q,16,0))</f>
        <v>23-26cm</v>
      </c>
      <c r="AC80" s="67"/>
      <c r="AD80" s="57" t="str">
        <f t="shared" ref="AD80:AD92" si="10">IF(B80="","",CONCATENATE(B80,E80))</f>
        <v>Bağ TicaretHappylla 25cm Sade 10pcs 500g</v>
      </c>
    </row>
    <row r="81" spans="1:30" ht="39" customHeight="1" x14ac:dyDescent="0.25">
      <c r="A81" s="8" t="s">
        <v>77</v>
      </c>
      <c r="B81" s="67" t="s">
        <v>431</v>
      </c>
      <c r="C81" s="42">
        <f>IF(B81="","",VLOOKUP(AD81,Varsayımlar!$B:$Q,3,0))</f>
        <v>8698829380698</v>
      </c>
      <c r="D81" s="42"/>
      <c r="E81" s="42" t="s">
        <v>432</v>
      </c>
      <c r="F81" s="42">
        <v>20260612</v>
      </c>
      <c r="G81" s="42"/>
      <c r="H81" s="42" t="str">
        <f>IF(B81="","",VLOOKUP(AD81,Varsayımlar!$B:$Q,5,0))</f>
        <v xml:space="preserve">Happylla 30cm </v>
      </c>
      <c r="I81" s="42"/>
      <c r="J81" s="42" t="str">
        <f>IF(B81="","",VLOOKUP(AD81,Varsayımlar!$B:$Q,6,0))</f>
        <v>SADE</v>
      </c>
      <c r="K81" s="42">
        <v>120</v>
      </c>
      <c r="L81" s="42"/>
      <c r="M81" s="42">
        <f>IFERROR(IF(B81="","",K81/VLOOKUP(AD81,Varsayımlar!B:R,17,0)),"")</f>
        <v>2</v>
      </c>
      <c r="N81" s="42">
        <v>60</v>
      </c>
      <c r="O81" s="42">
        <v>4</v>
      </c>
      <c r="P81" s="42">
        <f>IF(B81="","",VLOOKUP(AD81,Varsayımlar!$B:$Q,7,0)*K81)</f>
        <v>1440</v>
      </c>
      <c r="Q81" s="42">
        <f>IF(B81="","",VLOOKUP(AD81,Varsayımlar!$B:$Q,8,0))</f>
        <v>30</v>
      </c>
      <c r="R81" s="42" t="str">
        <f>IF(B81="","",VLOOKUP(AD81,Varsayımlar!$B:$Q,9,0))</f>
        <v>Standart</v>
      </c>
      <c r="S81" s="42">
        <f>IF(B81="","",VLOOKUP(AD81,Varsayımlar!$B:$Q,10,0))</f>
        <v>10</v>
      </c>
      <c r="T81" s="42">
        <f>IF(B81="","",VLOOKUP(AD81,Varsayımlar!$B:$Q,11,0))</f>
        <v>12</v>
      </c>
      <c r="U81" s="42">
        <f>IF(B81="","",VLOOKUP(AD81,Varsayımlar!$B:$Q,12,0))</f>
        <v>900</v>
      </c>
      <c r="V81" s="42" t="str">
        <f>IF(B81="","",VLOOKUP(AD81,Varsayımlar!$B:$Q,13,0))</f>
        <v>Yurtdışı</v>
      </c>
      <c r="W81" s="67">
        <f>IF(B81="","",VLOOKUP(AD81,Varsayımlar!$B:$Q,14,0))</f>
        <v>6</v>
      </c>
      <c r="X81" s="69">
        <v>46196</v>
      </c>
      <c r="Y81" s="69">
        <v>46379</v>
      </c>
      <c r="Z81" s="67">
        <v>26062330</v>
      </c>
      <c r="AA81" s="67" t="str">
        <f>IF(B81="","",VLOOKUP(AD81,Varsayımlar!$B:$Q,15,0))</f>
        <v>30cm kolisi</v>
      </c>
      <c r="AB81" s="67" t="str">
        <f>IF(B81="","",VLOOKUP(AD81,Varsayımlar!$B:$Q,16,0))</f>
        <v>29-31 cm</v>
      </c>
      <c r="AC81" s="67"/>
      <c r="AD81" s="57" t="str">
        <f t="shared" si="10"/>
        <v>Bağ TicaretHappylla 30cm Sade 10pcs 900g</v>
      </c>
    </row>
    <row r="82" spans="1:30" ht="47.25" x14ac:dyDescent="0.25">
      <c r="A82" s="8" t="s">
        <v>78</v>
      </c>
      <c r="B82" s="62" t="s">
        <v>409</v>
      </c>
      <c r="C82" s="32">
        <f>IF(B82="","",VLOOKUP(AD82,Varsayımlar!$B:$Q,3,0))</f>
        <v>8698829380698</v>
      </c>
      <c r="D82" s="32"/>
      <c r="E82" s="32" t="s">
        <v>410</v>
      </c>
      <c r="F82" s="62"/>
      <c r="G82" s="32"/>
      <c r="H82" s="62" t="str">
        <f>IF(B82="","",VLOOKUP(AD82,Varsayımlar!$B:$Q,5,0))</f>
        <v>Baskısız 30cm</v>
      </c>
      <c r="I82" s="62" t="str">
        <f>IF(B82="","",VLOOKUP(AD82,Varsayımlar!B:T,19,0))</f>
        <v>Donipa 30cm 18pcs 1710g etiketli</v>
      </c>
      <c r="J82" s="62" t="str">
        <f>IF(B82="","",VLOOKUP(AD82,Varsayımlar!$B:$Q,6,0))</f>
        <v>SADE</v>
      </c>
      <c r="K82" s="62">
        <v>100</v>
      </c>
      <c r="L82" s="62"/>
      <c r="M82" s="62" t="str">
        <f>IFERROR(IF(B82="","",K82/VLOOKUP(AD82,Varsayımlar!B:R,17,0)),"")</f>
        <v/>
      </c>
      <c r="N82" s="62"/>
      <c r="O82" s="62">
        <v>3</v>
      </c>
      <c r="P82" s="62">
        <f>IF(B82="","",VLOOKUP(AD82,Varsayımlar!$B:$Q,7,0)*K82)</f>
        <v>600</v>
      </c>
      <c r="Q82" s="62">
        <f>IF(B82="","",VLOOKUP(AD82,Varsayımlar!$B:$Q,8,0))</f>
        <v>30</v>
      </c>
      <c r="R82" s="62" t="str">
        <f>IF(B82="","",VLOOKUP(AD82,Varsayımlar!$B:$Q,9,0))</f>
        <v>Irak soft</v>
      </c>
      <c r="S82" s="62">
        <f>IF(B82="","",VLOOKUP(AD82,Varsayımlar!$B:$Q,10,0))</f>
        <v>18</v>
      </c>
      <c r="T82" s="62">
        <f>IF(B82="","",VLOOKUP(AD82,Varsayımlar!$B:$Q,11,0))</f>
        <v>6</v>
      </c>
      <c r="U82" s="62">
        <f>IF(B82="","",VLOOKUP(AD82,Varsayımlar!$B:$Q,12,0))</f>
        <v>1710</v>
      </c>
      <c r="V82" s="62" t="str">
        <f>IF(B82="","",VLOOKUP(AD82,Varsayımlar!$B:$Q,13,0))</f>
        <v>Yurtiçi</v>
      </c>
      <c r="W82" s="62">
        <f>IF(B82="","",VLOOKUP(AD82,Varsayımlar!$B:$Q,14,0))</f>
        <v>6</v>
      </c>
      <c r="X82" s="63" t="s">
        <v>113</v>
      </c>
      <c r="Y82" s="63" t="s">
        <v>113</v>
      </c>
      <c r="Z82" s="63" t="s">
        <v>113</v>
      </c>
      <c r="AA82" s="62" t="str">
        <f>IF(B82="","",VLOOKUP(AD82,Varsayımlar!$B:$Q,15,0))</f>
        <v>30cm koli-Etiketli</v>
      </c>
      <c r="AB82" s="62" t="str">
        <f>IF(B82="","",VLOOKUP(AD82,Varsayımlar!$B:$Q,16,0))</f>
        <v>29-31 cm</v>
      </c>
      <c r="AC82" s="62">
        <f>IF(B82="","",VLOOKUP(Sayfa1!AD13,Varsayımlar!B:S,18,0))</f>
        <v>0</v>
      </c>
      <c r="AD82" s="57" t="str">
        <f>IF(B82="","",CONCATENATE(B82,E82))</f>
        <v>DonipaDonipa 30cm 18pcs 1710g</v>
      </c>
    </row>
    <row r="83" spans="1:30" ht="45.75" customHeight="1" x14ac:dyDescent="0.25">
      <c r="A83" s="8" t="s">
        <v>79</v>
      </c>
      <c r="B83" s="130" t="s">
        <v>119</v>
      </c>
      <c r="C83" s="131">
        <f>IF(B83="","",VLOOKUP(AD83,Varsayımlar!$B:$Q,3,0))</f>
        <v>8698829380698</v>
      </c>
      <c r="D83" s="131"/>
      <c r="E83" s="132" t="s">
        <v>120</v>
      </c>
      <c r="F83" s="130"/>
      <c r="G83" s="130"/>
      <c r="H83" s="130" t="str">
        <f>IF(B83="","",VLOOKUP(AD83,Varsayımlar!$B:$Q,5,0))</f>
        <v>Nimet 25 cm</v>
      </c>
      <c r="I83" s="130"/>
      <c r="J83" s="130" t="str">
        <f>IF(B83="","",VLOOKUP(AD83,Varsayımlar!$B:$Q,6,0))</f>
        <v>SADE</v>
      </c>
      <c r="K83" s="130">
        <v>1500</v>
      </c>
      <c r="L83" s="130"/>
      <c r="M83" s="130">
        <f>IFERROR(IF(B83="","",K83/VLOOKUP(AD83,Varsayımlar!B:R,17,0)),"")</f>
        <v>30</v>
      </c>
      <c r="N83" s="130"/>
      <c r="O83" s="130">
        <v>30</v>
      </c>
      <c r="P83" s="130">
        <f>IF(B83="","",VLOOKUP(AD83,Varsayımlar!$B:$Q,7,0)*K83)</f>
        <v>18000</v>
      </c>
      <c r="Q83" s="130">
        <f>IF(B83="","",VLOOKUP(AD83,Varsayımlar!$B:$Q,8,0))</f>
        <v>25</v>
      </c>
      <c r="R83" s="130" t="str">
        <f>IF(B83="","",VLOOKUP(AD83,Varsayımlar!$B:$Q,9,0))</f>
        <v>Standart</v>
      </c>
      <c r="S83" s="130">
        <f>IF(B83="","",VLOOKUP(AD83,Varsayımlar!$B:$Q,10,0))</f>
        <v>12</v>
      </c>
      <c r="T83" s="130">
        <f>IF(B83="","",VLOOKUP(AD83,Varsayımlar!$B:$Q,11,0))</f>
        <v>12</v>
      </c>
      <c r="U83" s="130">
        <f>IF(B83="","",VLOOKUP(AD83,Varsayımlar!$B:$Q,12,0))</f>
        <v>840</v>
      </c>
      <c r="V83" s="130" t="str">
        <f>IF(B83="","",VLOOKUP(AD83,Varsayımlar!$B:$Q,13,0))</f>
        <v>YURTİÇİ</v>
      </c>
      <c r="W83" s="130">
        <f>IF(B83="","",VLOOKUP(AD83,Varsayımlar!$B:$Q,14,0))</f>
        <v>5</v>
      </c>
      <c r="X83" s="133" t="s">
        <v>113</v>
      </c>
      <c r="Y83" s="133" t="s">
        <v>113</v>
      </c>
      <c r="Z83" s="130" t="s">
        <v>113</v>
      </c>
      <c r="AA83" s="130" t="str">
        <f>IF(B83="","",VLOOKUP(AD83,Varsayımlar!$B:$Q,15,0))</f>
        <v>Nimet Kolisi</v>
      </c>
      <c r="AB83" s="130" t="str">
        <f>IF(B83="","",VLOOKUP(AD83,Varsayımlar!$B:$Q,16,0))</f>
        <v>24-26 CM</v>
      </c>
      <c r="AC83" s="64" t="s">
        <v>360</v>
      </c>
      <c r="AD83" s="57" t="str">
        <f t="shared" si="10"/>
        <v>A101Nimet 25cm 12 pcs 840g</v>
      </c>
    </row>
    <row r="84" spans="1:30" ht="45.75" customHeight="1" x14ac:dyDescent="0.25">
      <c r="A84" s="8"/>
      <c r="B84" s="190" t="s">
        <v>494</v>
      </c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2"/>
      <c r="AC84" s="64"/>
      <c r="AD84" s="57"/>
    </row>
    <row r="85" spans="1:30" ht="47.25" x14ac:dyDescent="0.25">
      <c r="A85" s="8" t="s">
        <v>80</v>
      </c>
      <c r="B85" s="67" t="s">
        <v>268</v>
      </c>
      <c r="C85" s="42">
        <f>IF(B85="","",VLOOKUP(AD85,Varsayımlar!$B:$Q,3,0))</f>
        <v>8698829380698</v>
      </c>
      <c r="D85" s="42" t="s">
        <v>159</v>
      </c>
      <c r="E85" s="42" t="s">
        <v>244</v>
      </c>
      <c r="F85" s="67">
        <v>20250825</v>
      </c>
      <c r="G85" s="42" t="s">
        <v>68</v>
      </c>
      <c r="H85" s="67" t="str">
        <f>IF(B85="","",VLOOKUP(AD85,Varsayımlar!$B:$Q,5,0))</f>
        <v xml:space="preserve">Tortillas Pizza 26cm </v>
      </c>
      <c r="I85" s="67">
        <f>IF(B85="","",VLOOKUP(AD85,Varsayımlar!B:T,19,0))</f>
        <v>0</v>
      </c>
      <c r="J85" s="67" t="str">
        <f>IF(B85="","",VLOOKUP(AD85,Varsayımlar!$B:$Q,6,0))</f>
        <v>SADE</v>
      </c>
      <c r="K85" s="67">
        <v>960</v>
      </c>
      <c r="L85" s="67"/>
      <c r="M85" s="67">
        <f>IFERROR(IF(B85="","",K85/VLOOKUP(AD85,Varsayımlar!B:R,17,0)),"")</f>
        <v>5</v>
      </c>
      <c r="N85" s="67"/>
      <c r="O85" s="67">
        <v>11</v>
      </c>
      <c r="P85" s="67">
        <f>IF(B85="","",VLOOKUP(AD85,Varsayımlar!$B:$Q,7,0)*K85)</f>
        <v>11520</v>
      </c>
      <c r="Q85" s="67">
        <f>IF(B85="","",VLOOKUP(AD85,Varsayımlar!$B:$Q,8,0))</f>
        <v>26</v>
      </c>
      <c r="R85" s="67" t="str">
        <f>IF(B85="","",VLOOKUP(AD85,Varsayımlar!$B:$Q,9,0))</f>
        <v>Soft-PA3</v>
      </c>
      <c r="S85" s="67">
        <f>IF(B85="","",VLOOKUP(AD85,Varsayımlar!$B:$Q,10,0))</f>
        <v>2</v>
      </c>
      <c r="T85" s="67">
        <f>IF(B85="","",VLOOKUP(AD85,Varsayımlar!$B:$Q,11,0))</f>
        <v>12</v>
      </c>
      <c r="U85" s="67">
        <f>IF(B85="","",VLOOKUP(AD85,Varsayımlar!$B:$Q,12,0))</f>
        <v>240</v>
      </c>
      <c r="V85" s="67" t="str">
        <f>IF(B85="","",VLOOKUP(AD85,Varsayımlar!$B:$Q,13,0))</f>
        <v>Yurtdışı</v>
      </c>
      <c r="W85" s="67">
        <f>IF(B85="","",VLOOKUP(AD85,Varsayımlar!$B:$Q,14,0))</f>
        <v>9</v>
      </c>
      <c r="X85" s="69">
        <v>46199</v>
      </c>
      <c r="Y85" s="69">
        <v>46472</v>
      </c>
      <c r="Z85" s="67">
        <v>26062626</v>
      </c>
      <c r="AA85" s="67" t="str">
        <f>IF(B85="","",VLOOKUP(AD85,Varsayımlar!$B:$Q,15,0))</f>
        <v>26 cm pizza kolisi-Etiketli</v>
      </c>
      <c r="AB85" s="67" t="str">
        <f>IF(B85="","",VLOOKUP(AD85,Varsayımlar!$B:$Q,16,0))</f>
        <v>24-26 cm (Macca Hetto Inkjet Uzun Tarih)</v>
      </c>
      <c r="AC85" s="67" t="e">
        <f>IF(B85="","",VLOOKUP(Sayfa1!AD83,Varsayımlar!B:S,18,0))</f>
        <v>#N/A</v>
      </c>
      <c r="AD85" s="57" t="str">
        <f t="shared" si="10"/>
        <v>LAIKYUZHN-BELARUSTortillas Pizza 26cm 4pcs 480g</v>
      </c>
    </row>
    <row r="86" spans="1:30" ht="94.5" x14ac:dyDescent="0.25">
      <c r="A86" s="8" t="s">
        <v>81</v>
      </c>
      <c r="B86" s="62" t="s">
        <v>181</v>
      </c>
      <c r="C86" s="32">
        <f>IF(B86="","",VLOOKUP(AD86,Varsayımlar!$B:$Q,3,0))</f>
        <v>8698829380698</v>
      </c>
      <c r="D86" s="32"/>
      <c r="E86" s="62" t="s">
        <v>206</v>
      </c>
      <c r="F86" s="62">
        <v>26060101</v>
      </c>
      <c r="G86" s="32"/>
      <c r="H86" s="62" t="str">
        <f>IF(B86="","",VLOOKUP(AD86,Varsayımlar!$B:$Q,5,0))</f>
        <v>Pizza-6 26 cm</v>
      </c>
      <c r="I86" s="62" t="str">
        <f>IF(B86="","",VLOOKUP(AD86,Varsayımlar!B:T,19,0))</f>
        <v>Arka kısma Arnavutça içerik-Pizza 6</v>
      </c>
      <c r="J86" s="62" t="str">
        <f>IF(B86="","",VLOOKUP(AD86,Varsayımlar!$B:$Q,6,0))</f>
        <v>SADE</v>
      </c>
      <c r="K86" s="62">
        <v>120</v>
      </c>
      <c r="L86" s="62"/>
      <c r="M86" s="62">
        <f>IFERROR(IF(B86="","",K86/VLOOKUP(AD86,Varsayımlar!B:R,17,0)),"")</f>
        <v>1</v>
      </c>
      <c r="N86" s="62"/>
      <c r="O86" s="62">
        <v>2</v>
      </c>
      <c r="P86" s="62">
        <f>IF(B86="","",VLOOKUP(AD86,Varsayımlar!$B:$Q,7,0)*K86)</f>
        <v>720</v>
      </c>
      <c r="Q86" s="62">
        <f>IF(B86="","",VLOOKUP(AD86,Varsayımlar!$B:$Q,8,0))</f>
        <v>26</v>
      </c>
      <c r="R86" s="62" t="str">
        <f>IF(B86="","",VLOOKUP(AD86,Varsayımlar!$B:$Q,9,0))</f>
        <v>Irak Soft</v>
      </c>
      <c r="S86" s="62">
        <f>IF(B86="","",VLOOKUP(AD86,Varsayımlar!$B:$Q,10,0))</f>
        <v>4</v>
      </c>
      <c r="T86" s="62">
        <f>IF(B86="","",VLOOKUP(AD86,Varsayımlar!$B:$Q,11,0))</f>
        <v>6</v>
      </c>
      <c r="U86" s="62">
        <f>IF(B86="","",VLOOKUP(AD86,Varsayımlar!$B:$Q,12,0))</f>
        <v>480</v>
      </c>
      <c r="V86" s="62" t="str">
        <f>IF(B86="","",VLOOKUP(AD86,Varsayımlar!$B:$Q,13,0))</f>
        <v>YURTDIŞI</v>
      </c>
      <c r="W86" s="62">
        <f>IF(B86="","",VLOOKUP(AD86,Varsayımlar!$B:$Q,14,0))</f>
        <v>12</v>
      </c>
      <c r="X86" s="63">
        <v>46200</v>
      </c>
      <c r="Y86" s="63">
        <v>46565</v>
      </c>
      <c r="Z86" s="62">
        <v>26062726</v>
      </c>
      <c r="AA86" s="62" t="str">
        <f>IF(B86="","",VLOOKUP(AD86,Varsayımlar!$B:$Q,15,0))</f>
        <v>Pizza kolisi</v>
      </c>
      <c r="AB86" s="62" t="str">
        <f>IF(B86="","",VLOOKUP(AD86,Varsayımlar!$B:$Q,16,0))</f>
        <v>26 cm kesme -Beze 145-150g, Kesilmmeiş çap 27-28cm, Kesilmemiş ağı: 520-540g, Kesilmiş:475-485g</v>
      </c>
      <c r="AC86" s="62">
        <f>IF(B86="","",VLOOKUP(Sayfa1!AD84,Varsayımlar!B:S,18,0))</f>
        <v>0</v>
      </c>
      <c r="AD86" s="57" t="str">
        <f t="shared" si="10"/>
        <v>ALDİ - KOSOVAPizza-6 26cm 4pcs 480g</v>
      </c>
    </row>
    <row r="87" spans="1:30" ht="45.75" customHeight="1" x14ac:dyDescent="0.25">
      <c r="A87" s="8" t="s">
        <v>82</v>
      </c>
      <c r="B87" s="130" t="s">
        <v>119</v>
      </c>
      <c r="C87" s="131">
        <f>IF(B87="","",VLOOKUP(AD87,Varsayımlar!$B:$Q,3,0))</f>
        <v>8698829380698</v>
      </c>
      <c r="D87" s="131"/>
      <c r="E87" s="132" t="s">
        <v>120</v>
      </c>
      <c r="F87" s="130"/>
      <c r="G87" s="130"/>
      <c r="H87" s="130" t="str">
        <f>IF(B87="","",VLOOKUP(AD87,Varsayımlar!$B:$Q,5,0))</f>
        <v>Nimet 25 cm</v>
      </c>
      <c r="I87" s="130"/>
      <c r="J87" s="130" t="str">
        <f>IF(B87="","",VLOOKUP(AD87,Varsayımlar!$B:$Q,6,0))</f>
        <v>SADE</v>
      </c>
      <c r="K87" s="130">
        <v>1500</v>
      </c>
      <c r="L87" s="130"/>
      <c r="M87" s="130">
        <f>IFERROR(IF(B87="","",K87/VLOOKUP(AD87,Varsayımlar!B:R,17,0)),"")</f>
        <v>30</v>
      </c>
      <c r="N87" s="130"/>
      <c r="O87" s="130">
        <v>30</v>
      </c>
      <c r="P87" s="130">
        <f>IF(B87="","",VLOOKUP(AD87,Varsayımlar!$B:$Q,7,0)*K87)</f>
        <v>18000</v>
      </c>
      <c r="Q87" s="130">
        <f>IF(B87="","",VLOOKUP(AD87,Varsayımlar!$B:$Q,8,0))</f>
        <v>25</v>
      </c>
      <c r="R87" s="130" t="str">
        <f>IF(B87="","",VLOOKUP(AD87,Varsayımlar!$B:$Q,9,0))</f>
        <v>Standart</v>
      </c>
      <c r="S87" s="130">
        <f>IF(B87="","",VLOOKUP(AD87,Varsayımlar!$B:$Q,10,0))</f>
        <v>12</v>
      </c>
      <c r="T87" s="130">
        <f>IF(B87="","",VLOOKUP(AD87,Varsayımlar!$B:$Q,11,0))</f>
        <v>12</v>
      </c>
      <c r="U87" s="130">
        <f>IF(B87="","",VLOOKUP(AD87,Varsayımlar!$B:$Q,12,0))</f>
        <v>840</v>
      </c>
      <c r="V87" s="130" t="str">
        <f>IF(B87="","",VLOOKUP(AD87,Varsayımlar!$B:$Q,13,0))</f>
        <v>YURTİÇİ</v>
      </c>
      <c r="W87" s="130">
        <f>IF(B87="","",VLOOKUP(AD87,Varsayımlar!$B:$Q,14,0))</f>
        <v>5</v>
      </c>
      <c r="X87" s="133" t="s">
        <v>113</v>
      </c>
      <c r="Y87" s="133" t="s">
        <v>113</v>
      </c>
      <c r="Z87" s="130" t="s">
        <v>113</v>
      </c>
      <c r="AA87" s="130" t="str">
        <f>IF(B87="","",VLOOKUP(AD87,Varsayımlar!$B:$Q,15,0))</f>
        <v>Nimet Kolisi</v>
      </c>
      <c r="AB87" s="130" t="str">
        <f>IF(B87="","",VLOOKUP(AD87,Varsayımlar!$B:$Q,16,0))</f>
        <v>24-26 CM</v>
      </c>
      <c r="AC87" s="64" t="s">
        <v>360</v>
      </c>
      <c r="AD87" s="57" t="str">
        <f t="shared" si="10"/>
        <v>A101Nimet 25cm 12 pcs 840g</v>
      </c>
    </row>
    <row r="88" spans="1:30" ht="94.5" hidden="1" x14ac:dyDescent="0.25">
      <c r="A88" s="8" t="s">
        <v>83</v>
      </c>
      <c r="B88" s="80" t="s">
        <v>218</v>
      </c>
      <c r="C88" s="44">
        <f>IF(B88="","",VLOOKUP(AD88,Varsayımlar!$B:$Q,3,0))</f>
        <v>8698829380698</v>
      </c>
      <c r="D88" s="44" t="s">
        <v>160</v>
      </c>
      <c r="E88" s="80" t="s">
        <v>244</v>
      </c>
      <c r="F88" s="80">
        <v>26042907</v>
      </c>
      <c r="G88" s="44"/>
      <c r="H88" s="80" t="str">
        <f>IF(B88="","",VLOOKUP(AD88,Varsayımlar!$B:$Q,5,0))</f>
        <v>Tortillas Avrupa Pizza 26cm (742)</v>
      </c>
      <c r="I88" s="80">
        <f>IF(B88="","",VLOOKUP(AD88,Varsayımlar!B:T,19,0))</f>
        <v>0</v>
      </c>
      <c r="J88" s="80" t="str">
        <f>IF(B88="","",VLOOKUP(AD88,Varsayımlar!$B:$Q,6,0))</f>
        <v>SADE</v>
      </c>
      <c r="K88" s="80">
        <v>720</v>
      </c>
      <c r="L88" s="80"/>
      <c r="M88" s="80">
        <f>IFERROR(IF(B88="","",K88/VLOOKUP(AD88,Varsayımlar!B:R,17,0)),"")</f>
        <v>6</v>
      </c>
      <c r="N88" s="80"/>
      <c r="O88" s="80">
        <v>9</v>
      </c>
      <c r="P88" s="80">
        <f>IF(B88="","",VLOOKUP(AD88,Varsayımlar!$B:$Q,7,0)*K88)</f>
        <v>5760</v>
      </c>
      <c r="Q88" s="80">
        <f>IF(B88="","",VLOOKUP(AD88,Varsayımlar!$B:$Q,8,0))</f>
        <v>26</v>
      </c>
      <c r="R88" s="80" t="str">
        <f>IF(B88="","",VLOOKUP(AD88,Varsayımlar!$B:$Q,9,0))</f>
        <v>Irak Soft</v>
      </c>
      <c r="S88" s="80">
        <f>IF(B88="","",VLOOKUP(AD88,Varsayımlar!$B:$Q,10,0))</f>
        <v>4</v>
      </c>
      <c r="T88" s="80">
        <f>IF(B88="","",VLOOKUP(AD88,Varsayımlar!$B:$Q,11,0))</f>
        <v>8</v>
      </c>
      <c r="U88" s="80">
        <f>IF(B88="","",VLOOKUP(AD88,Varsayımlar!$B:$Q,12,0))</f>
        <v>480</v>
      </c>
      <c r="V88" s="80" t="str">
        <f>IF(B88="","",VLOOKUP(AD88,Varsayımlar!$B:$Q,13,0))</f>
        <v>Yurtdışı</v>
      </c>
      <c r="W88" s="80">
        <f>IF(B88="","",VLOOKUP(AD88,Varsayımlar!$B:$Q,14,0))</f>
        <v>9</v>
      </c>
      <c r="X88" s="81">
        <v>46203</v>
      </c>
      <c r="Y88" s="81">
        <v>46476</v>
      </c>
      <c r="Z88" s="80">
        <v>26063026</v>
      </c>
      <c r="AA88" s="80" t="str">
        <f>IF(B88="","",VLOOKUP(AD88,Varsayımlar!$B:$Q,15,0))</f>
        <v>26cm Pizza Perforeli-Bulgarca Etiket</v>
      </c>
      <c r="AB88" s="80" t="str">
        <f>IF(B88="","",VLOOKUP(AD88,Varsayımlar!$B:$Q,16,0))</f>
        <v>26 cm kesme -Beze 145-150g, Kesilmmeiş çap 27-28cm, Kesilmemiş ağı: 520-540g, Kesilmiş:475-485g</v>
      </c>
      <c r="AC88" s="80" t="str">
        <f>IF(B88="","",VLOOKUP(Sayfa1!AD80,Varsayımlar!B:S,18,0))</f>
        <v>80x120cm -Epal+Epal</v>
      </c>
      <c r="AD88" s="57" t="str">
        <f t="shared" si="10"/>
        <v>TASTE LAND-BULGARİSTANTortillas Pizza 26cm 4pcs 480g</v>
      </c>
    </row>
    <row r="89" spans="1:30" ht="47.25" hidden="1" x14ac:dyDescent="0.25">
      <c r="A89" s="8" t="s">
        <v>84</v>
      </c>
      <c r="B89" s="54" t="s">
        <v>268</v>
      </c>
      <c r="C89" s="39">
        <f>IF(B89="","",VLOOKUP(AD89,Varsayımlar!$B:$Q,3,0))</f>
        <v>8698829380698</v>
      </c>
      <c r="D89" s="39" t="s">
        <v>160</v>
      </c>
      <c r="E89" s="39" t="s">
        <v>244</v>
      </c>
      <c r="F89" s="54" t="s">
        <v>343</v>
      </c>
      <c r="G89" s="39" t="s">
        <v>68</v>
      </c>
      <c r="H89" s="54" t="str">
        <f>IF(B89="","",VLOOKUP(AD89,Varsayımlar!$B:$Q,5,0))</f>
        <v xml:space="preserve">Tortillas Pizza 26cm </v>
      </c>
      <c r="I89" s="54">
        <f>IF(B89="","",VLOOKUP(AD89,Varsayımlar!B:T,19,0))</f>
        <v>0</v>
      </c>
      <c r="J89" s="54" t="str">
        <f>IF(B89="","",VLOOKUP(AD89,Varsayımlar!$B:$Q,6,0))</f>
        <v>SADE</v>
      </c>
      <c r="K89" s="54">
        <v>768</v>
      </c>
      <c r="L89" s="54"/>
      <c r="M89" s="54">
        <f>IFERROR(IF(B89="","",K89/VLOOKUP(AD89,Varsayımlar!B:R,17,0)),"")</f>
        <v>4</v>
      </c>
      <c r="N89" s="54"/>
      <c r="O89" s="54">
        <v>9</v>
      </c>
      <c r="P89" s="54">
        <f>IF(B89="","",VLOOKUP(AD89,Varsayımlar!$B:$Q,7,0)*K89)</f>
        <v>9216</v>
      </c>
      <c r="Q89" s="54">
        <f>IF(B89="","",VLOOKUP(AD89,Varsayımlar!$B:$Q,8,0))</f>
        <v>26</v>
      </c>
      <c r="R89" s="54" t="str">
        <f>IF(B89="","",VLOOKUP(AD89,Varsayımlar!$B:$Q,9,0))</f>
        <v>Soft-PA3</v>
      </c>
      <c r="S89" s="54">
        <f>IF(B89="","",VLOOKUP(AD89,Varsayımlar!$B:$Q,10,0))</f>
        <v>2</v>
      </c>
      <c r="T89" s="54">
        <f>IF(B89="","",VLOOKUP(AD89,Varsayımlar!$B:$Q,11,0))</f>
        <v>12</v>
      </c>
      <c r="U89" s="54">
        <f>IF(B89="","",VLOOKUP(AD89,Varsayımlar!$B:$Q,12,0))</f>
        <v>240</v>
      </c>
      <c r="V89" s="54" t="str">
        <f>IF(B89="","",VLOOKUP(AD89,Varsayımlar!$B:$Q,13,0))</f>
        <v>Yurtdışı</v>
      </c>
      <c r="W89" s="54">
        <f>IF(B89="","",VLOOKUP(AD89,Varsayımlar!$B:$Q,14,0))</f>
        <v>9</v>
      </c>
      <c r="X89" s="56">
        <v>46205</v>
      </c>
      <c r="Y89" s="56">
        <v>46479</v>
      </c>
      <c r="Z89" s="54">
        <v>26070226</v>
      </c>
      <c r="AA89" s="54" t="str">
        <f>IF(B89="","",VLOOKUP(AD89,Varsayımlar!$B:$Q,15,0))</f>
        <v>26 cm pizza kolisi-Etiketli</v>
      </c>
      <c r="AB89" s="54" t="str">
        <f>IF(B89="","",VLOOKUP(AD89,Varsayımlar!$B:$Q,16,0))</f>
        <v>24-26 cm (Macca Hetto Inkjet Uzun Tarih)</v>
      </c>
      <c r="AC89" s="54" t="e">
        <f>IF(B89="","",VLOOKUP(Sayfa1!AD83,Varsayımlar!B:S,18,0))</f>
        <v>#N/A</v>
      </c>
      <c r="AD89" s="57" t="str">
        <f>IF(B89="","",CONCATENATE(B89,E89))</f>
        <v>LAIKYUZHN-BELARUSTortillas Pizza 26cm 4pcs 480g</v>
      </c>
    </row>
    <row r="90" spans="1:30" ht="26.25" hidden="1" customHeight="1" x14ac:dyDescent="0.25">
      <c r="A90" s="8" t="s">
        <v>85</v>
      </c>
      <c r="B90" s="67" t="s">
        <v>119</v>
      </c>
      <c r="C90" s="42">
        <v>8698829380698</v>
      </c>
      <c r="D90" s="42"/>
      <c r="E90" s="42" t="s">
        <v>120</v>
      </c>
      <c r="F90" s="67"/>
      <c r="G90" s="42"/>
      <c r="H90" s="67" t="s">
        <v>121</v>
      </c>
      <c r="I90" s="67">
        <v>0</v>
      </c>
      <c r="J90" s="67" t="s">
        <v>19</v>
      </c>
      <c r="K90" s="67">
        <v>2000</v>
      </c>
      <c r="L90" s="67"/>
      <c r="M90" s="67">
        <v>80</v>
      </c>
      <c r="N90" s="67">
        <v>50</v>
      </c>
      <c r="O90" s="67">
        <v>54</v>
      </c>
      <c r="P90" s="67">
        <v>48000</v>
      </c>
      <c r="Q90" s="67">
        <v>25</v>
      </c>
      <c r="R90" s="67" t="s">
        <v>116</v>
      </c>
      <c r="S90" s="67">
        <v>12</v>
      </c>
      <c r="T90" s="67">
        <v>12</v>
      </c>
      <c r="U90" s="67">
        <v>840</v>
      </c>
      <c r="V90" s="67" t="s">
        <v>72</v>
      </c>
      <c r="W90" s="67">
        <v>5</v>
      </c>
      <c r="X90" s="69" t="s">
        <v>113</v>
      </c>
      <c r="Y90" s="69" t="s">
        <v>113</v>
      </c>
      <c r="Z90" s="67" t="s">
        <v>113</v>
      </c>
      <c r="AA90" s="67" t="s">
        <v>122</v>
      </c>
      <c r="AB90" s="67" t="s">
        <v>25</v>
      </c>
      <c r="AC90" s="67">
        <v>0</v>
      </c>
      <c r="AD90" s="57" t="s">
        <v>387</v>
      </c>
    </row>
    <row r="91" spans="1:30" ht="94.5" hidden="1" x14ac:dyDescent="0.25">
      <c r="A91" s="8" t="s">
        <v>86</v>
      </c>
      <c r="B91" s="75" t="s">
        <v>218</v>
      </c>
      <c r="C91" s="43">
        <f>IF(B91="","",VLOOKUP(AD91,Varsayımlar!$B:$Q,3,0))</f>
        <v>8698829380698</v>
      </c>
      <c r="D91" s="43" t="s">
        <v>161</v>
      </c>
      <c r="E91" s="75" t="s">
        <v>244</v>
      </c>
      <c r="F91" s="75" t="s">
        <v>341</v>
      </c>
      <c r="G91" s="43"/>
      <c r="H91" s="75" t="str">
        <f>IF(B91="","",VLOOKUP(AD91,Varsayımlar!$B:$Q,5,0))</f>
        <v>Tortillas Avrupa Pizza 26cm (742)</v>
      </c>
      <c r="I91" s="75">
        <f>IF(B91="","",VLOOKUP(AD91,Varsayımlar!B:T,19,0))</f>
        <v>0</v>
      </c>
      <c r="J91" s="75" t="str">
        <f>IF(B91="","",VLOOKUP(AD91,Varsayımlar!$B:$Q,6,0))</f>
        <v>SADE</v>
      </c>
      <c r="K91" s="75">
        <v>840</v>
      </c>
      <c r="L91" s="75"/>
      <c r="M91" s="75">
        <f>IFERROR(IF(B91="","",K91/VLOOKUP(AD91,Varsayımlar!B:R,17,0)),"")</f>
        <v>7</v>
      </c>
      <c r="N91" s="75"/>
      <c r="O91" s="75">
        <v>11</v>
      </c>
      <c r="P91" s="75">
        <f>IF(B91="","",VLOOKUP(AD91,Varsayımlar!$B:$Q,7,0)*K91)</f>
        <v>6720</v>
      </c>
      <c r="Q91" s="75">
        <f>IF(B91="","",VLOOKUP(AD91,Varsayımlar!$B:$Q,8,0))</f>
        <v>26</v>
      </c>
      <c r="R91" s="75" t="str">
        <f>IF(B91="","",VLOOKUP(AD91,Varsayımlar!$B:$Q,9,0))</f>
        <v>Irak Soft</v>
      </c>
      <c r="S91" s="75">
        <f>IF(B91="","",VLOOKUP(AD91,Varsayımlar!$B:$Q,10,0))</f>
        <v>4</v>
      </c>
      <c r="T91" s="75">
        <f>IF(B91="","",VLOOKUP(AD91,Varsayımlar!$B:$Q,11,0))</f>
        <v>8</v>
      </c>
      <c r="U91" s="75">
        <f>IF(B91="","",VLOOKUP(AD91,Varsayımlar!$B:$Q,12,0))</f>
        <v>480</v>
      </c>
      <c r="V91" s="75" t="str">
        <f>IF(B91="","",VLOOKUP(AD91,Varsayımlar!$B:$Q,13,0))</f>
        <v>Yurtdışı</v>
      </c>
      <c r="W91" s="75">
        <f>IF(B91="","",VLOOKUP(AD91,Varsayımlar!$B:$Q,14,0))</f>
        <v>9</v>
      </c>
      <c r="X91" s="76">
        <v>46213</v>
      </c>
      <c r="Y91" s="76">
        <v>46487</v>
      </c>
      <c r="Z91" s="75">
        <v>26071026</v>
      </c>
      <c r="AA91" s="75" t="str">
        <f>IF(B91="","",VLOOKUP(AD91,Varsayımlar!$B:$Q,15,0))</f>
        <v>26cm Pizza Perforeli-Bulgarca Etiket</v>
      </c>
      <c r="AB91" s="75" t="str">
        <f>IF(B91="","",VLOOKUP(AD91,Varsayımlar!$B:$Q,16,0))</f>
        <v>26 cm kesme -Beze 145-150g, Kesilmmeiş çap 27-28cm, Kesilmemiş ağı: 520-540g, Kesilmiş:475-485g</v>
      </c>
      <c r="AC91" s="75" t="str">
        <f>IF(B91="","",VLOOKUP(Sayfa1!AD81,Varsayımlar!B:S,18,0))</f>
        <v>80x120cm -Epal+Epal</v>
      </c>
      <c r="AD91" s="57" t="str">
        <f t="shared" si="10"/>
        <v>TASTE LAND-BULGARİSTANTortillas Pizza 26cm 4pcs 480g</v>
      </c>
    </row>
    <row r="92" spans="1:30" ht="33.75" hidden="1" customHeight="1" x14ac:dyDescent="0.25">
      <c r="A92" s="8" t="s">
        <v>87</v>
      </c>
      <c r="B92" s="67" t="s">
        <v>460</v>
      </c>
      <c r="C92" s="42">
        <f>IF(B92="","",VLOOKUP(AD92,Varsayımlar!$B:$Q,3,0))</f>
        <v>8698829380698</v>
      </c>
      <c r="D92" s="67" t="s">
        <v>160</v>
      </c>
      <c r="E92" s="67" t="s">
        <v>461</v>
      </c>
      <c r="F92" s="67">
        <v>20260414</v>
      </c>
      <c r="G92" s="67"/>
      <c r="H92" s="67" t="str">
        <f>IF(B92="","",VLOOKUP(AD92,Varsayımlar!$B:$Q,5,0))</f>
        <v xml:space="preserve">Tortillove 15cm </v>
      </c>
      <c r="I92" s="67">
        <f>IF(B92="","",VLOOKUP(AD92,Varsayımlar!B:T,19,0))</f>
        <v>0</v>
      </c>
      <c r="J92" s="67" t="str">
        <f>IF(B92="","",VLOOKUP(AD92,Varsayımlar!$B:$Q,6,0))</f>
        <v>SADE</v>
      </c>
      <c r="K92" s="67">
        <v>300</v>
      </c>
      <c r="L92" s="67"/>
      <c r="M92" s="67">
        <f>IFERROR(IF(B92="","",K92/VLOOKUP(AD92,Varsayımlar!B:R,17,0)),"")</f>
        <v>3</v>
      </c>
      <c r="N92" s="67"/>
      <c r="O92" s="67">
        <v>9</v>
      </c>
      <c r="P92" s="67">
        <f>IF(B92="","",VLOOKUP(AD92,Varsayımlar!$B:$Q,7,0)*K92)</f>
        <v>3600</v>
      </c>
      <c r="Q92" s="67">
        <f>IF(B92="","",VLOOKUP(AD92,Varsayımlar!$B:$Q,8,0))</f>
        <v>15</v>
      </c>
      <c r="R92" s="67" t="str">
        <f>IF(B92="","",VLOOKUP(AD92,Varsayımlar!$B:$Q,9,0))</f>
        <v>Irak Soft</v>
      </c>
      <c r="S92" s="67">
        <f>IF(B92="","",VLOOKUP(AD92,Varsayımlar!$B:$Q,10,0))</f>
        <v>10</v>
      </c>
      <c r="T92" s="67">
        <f>IF(B92="","",VLOOKUP(AD92,Varsayımlar!$B:$Q,11,0))</f>
        <v>12</v>
      </c>
      <c r="U92" s="67">
        <f>IF(B92="","",VLOOKUP(AD92,Varsayımlar!$B:$Q,12,0))</f>
        <v>250</v>
      </c>
      <c r="V92" s="67" t="str">
        <f>IF(B92="","",VLOOKUP(AD92,Varsayımlar!$B:$Q,13,0))</f>
        <v>Yurtdışı</v>
      </c>
      <c r="W92" s="67">
        <f>IF(B92="","",VLOOKUP(AD92,Varsayımlar!$B:$Q,14,0))</f>
        <v>6</v>
      </c>
      <c r="X92" s="69">
        <v>46216</v>
      </c>
      <c r="Y92" s="69">
        <v>46400</v>
      </c>
      <c r="Z92" s="67">
        <v>26071315</v>
      </c>
      <c r="AA92" s="67" t="str">
        <f>IF(B92="","",VLOOKUP(AD92,Varsayımlar!$B:$Q,15,0))</f>
        <v>15cm koli</v>
      </c>
      <c r="AB92" s="67" t="str">
        <f>IF(B92="","",VLOOKUP(AD92,Varsayımlar!$B:$Q,16,0))</f>
        <v>14-16 cm</v>
      </c>
      <c r="AC92" s="80">
        <f>IF(B92="","",VLOOKUP(Sayfa1!AD85,Varsayımlar!B:S,18,0))</f>
        <v>0</v>
      </c>
      <c r="AD92" s="57" t="str">
        <f t="shared" si="10"/>
        <v>Yüksekbaş GıdaYüksekbaş 15cm 10 pcs 250g</v>
      </c>
    </row>
    <row r="93" spans="1:30" ht="31.5" hidden="1" x14ac:dyDescent="0.25">
      <c r="A93" s="8" t="s">
        <v>88</v>
      </c>
      <c r="B93" s="54" t="s">
        <v>346</v>
      </c>
      <c r="C93" s="39">
        <f>IF(B93="","",VLOOKUP(AD93,Varsayımlar!$B:$Q,3,0))</f>
        <v>8698829380698</v>
      </c>
      <c r="D93" s="39">
        <v>49</v>
      </c>
      <c r="E93" s="55" t="s">
        <v>325</v>
      </c>
      <c r="F93" s="54"/>
      <c r="G93" s="54"/>
      <c r="H93" s="54" t="str">
        <f>IF(B93="","",VLOOKUP(AD93,Varsayımlar!$B:$Q,5,0))</f>
        <v>Hanami Tako 15cm</v>
      </c>
      <c r="I93" s="54" t="str">
        <f>IF(B93="","",VLOOKUP(AD93,Varsayımlar!B:T,19,0))</f>
        <v>Ambalaj kaç aylık kontrol?</v>
      </c>
      <c r="J93" s="54" t="str">
        <f>IF(B93="","",VLOOKUP(AD93,Varsayımlar!$B:$Q,6,0))</f>
        <v>SADE</v>
      </c>
      <c r="K93" s="54">
        <v>1248</v>
      </c>
      <c r="L93" s="54"/>
      <c r="M93" s="54"/>
      <c r="N93" s="54"/>
      <c r="O93" s="54">
        <v>35</v>
      </c>
      <c r="P93" s="54">
        <f>IF(B93="","",VLOOKUP(AD93,Varsayımlar!$B:$Q,7,0)*K93)</f>
        <v>24960</v>
      </c>
      <c r="Q93" s="54">
        <f>IF(B93="","",VLOOKUP(AD93,Varsayımlar!$B:$Q,8,0))</f>
        <v>15</v>
      </c>
      <c r="R93" s="54" t="str">
        <f>IF(B93="","",VLOOKUP(AD93,Varsayımlar!$B:$Q,9,0))</f>
        <v>Irak Soft</v>
      </c>
      <c r="S93" s="54">
        <f>IF(B93="","",VLOOKUP(AD93,Varsayımlar!$B:$Q,10,0))</f>
        <v>6</v>
      </c>
      <c r="T93" s="54">
        <f>IF(B93="","",VLOOKUP(AD93,Varsayımlar!$B:$Q,11,0))</f>
        <v>20</v>
      </c>
      <c r="U93" s="54">
        <f>IF(B93="","",VLOOKUP(AD93,Varsayımlar!$B:$Q,12,0))</f>
        <v>150</v>
      </c>
      <c r="V93" s="54" t="str">
        <f>IF(B93="","",VLOOKUP(AD93,Varsayımlar!$B:$Q,13,0))</f>
        <v>Yurtdışı</v>
      </c>
      <c r="W93" s="54">
        <f>IF(B93="","",VLOOKUP(AD93,Varsayımlar!$B:$Q,14,0))</f>
        <v>9</v>
      </c>
      <c r="X93" s="56">
        <v>46226</v>
      </c>
      <c r="Y93" s="56">
        <v>46500</v>
      </c>
      <c r="Z93" s="54">
        <v>26072315</v>
      </c>
      <c r="AA93" s="54" t="str">
        <f>IF(B93="","",VLOOKUP(AD93,Varsayımlar!$B:$Q,15,0))</f>
        <v>Hanami Tako 15cm-Üretim Tarihi Atılacak</v>
      </c>
      <c r="AB93" s="54" t="str">
        <f>IF(B93="","",VLOOKUP(AD93,Varsayımlar!$B:$Q,16,0))</f>
        <v>14-16 cm</v>
      </c>
      <c r="AC93" s="8" t="e">
        <f>IF(B93="","",VLOOKUP(#REF!,#REF!,18,0))</f>
        <v>#REF!</v>
      </c>
      <c r="AD93" s="8" t="str">
        <f>IF(B93="","",CONCATENATE(B93,E93))</f>
        <v>GermesHanami Germes Tako 15cm 6pcs 150g</v>
      </c>
    </row>
    <row r="94" spans="1:30" s="140" customFormat="1" ht="49.5" hidden="1" customHeight="1" x14ac:dyDescent="0.25">
      <c r="A94" s="8" t="s">
        <v>89</v>
      </c>
      <c r="B94" s="152" t="s">
        <v>518</v>
      </c>
      <c r="C94" s="153">
        <f>IF(B94="","",VLOOKUP(AD94,Varsayımlar!$B:$Q,3,0))</f>
        <v>8698829380698</v>
      </c>
      <c r="D94" s="154"/>
      <c r="E94" s="154" t="s">
        <v>515</v>
      </c>
      <c r="F94" s="152">
        <v>26062302</v>
      </c>
      <c r="G94" s="152"/>
      <c r="H94" s="152" t="str">
        <f>IF(B94="","",VLOOKUP(AD94,Varsayımlar!$B:$Q,5,0))</f>
        <v>Tortillas 15cm</v>
      </c>
      <c r="I94" s="152">
        <f>IF(B94="","",VLOOKUP(AD94,Varsayımlar!B:T,19,0))</f>
        <v>0</v>
      </c>
      <c r="J94" s="152" t="str">
        <f>IF(B94="","",VLOOKUP(AD94,Varsayımlar!$B:$Q,6,0))</f>
        <v>Sade</v>
      </c>
      <c r="K94" s="152">
        <v>10</v>
      </c>
      <c r="L94" s="152"/>
      <c r="M94" s="152">
        <f>IFERROR(IF(B94="","",K94/VLOOKUP(AD94,Varsayımlar!B:R,17,0)),"")</f>
        <v>0.11904761904761904</v>
      </c>
      <c r="N94" s="152"/>
      <c r="O94" s="152">
        <v>0</v>
      </c>
      <c r="P94" s="152">
        <f>IF(B94="","",VLOOKUP(AD94,Varsayımlar!$B:$Q,7,0)*K94)</f>
        <v>120</v>
      </c>
      <c r="Q94" s="152">
        <f>IF(B94="","",VLOOKUP(AD94,Varsayımlar!$B:$Q,8,0))</f>
        <v>15</v>
      </c>
      <c r="R94" s="152" t="str">
        <f>IF(B94="","",VLOOKUP(AD94,Varsayımlar!$B:$Q,9,0))</f>
        <v>Irak Soft</v>
      </c>
      <c r="S94" s="152">
        <f>IF(B94="","",VLOOKUP(AD94,Varsayımlar!$B:$Q,10,0))</f>
        <v>10</v>
      </c>
      <c r="T94" s="152">
        <f>IF(B94="","",VLOOKUP(AD94,Varsayımlar!$B:$Q,11,0))</f>
        <v>12</v>
      </c>
      <c r="U94" s="152">
        <f>IF(B94="","",VLOOKUP(AD94,Varsayımlar!$B:$Q,12,0))</f>
        <v>250</v>
      </c>
      <c r="V94" s="152" t="str">
        <f>IF(B94="","",VLOOKUP(AD94,Varsayımlar!$B:$Q,13,0))</f>
        <v>Yurtiçi</v>
      </c>
      <c r="W94" s="152">
        <f>IF(B94="","",VLOOKUP(AD94,Varsayımlar!$B:$Q,14,0))</f>
        <v>6</v>
      </c>
      <c r="X94" s="155">
        <v>46231</v>
      </c>
      <c r="Y94" s="155">
        <v>46415</v>
      </c>
      <c r="Z94" s="152">
        <v>26072815</v>
      </c>
      <c r="AA94" s="152" t="str">
        <f>IF(B94="","",VLOOKUP(AD94,Varsayımlar!$B:$Q,15,0))</f>
        <v>15cm koli</v>
      </c>
      <c r="AB94" s="152" t="str">
        <f>IF(B94="","",VLOOKUP(AD94,Varsayımlar!$B:$Q,16,0))</f>
        <v>14-16cm</v>
      </c>
      <c r="AC94" s="8" t="e">
        <f>IF(B94="","",VLOOKUP(#REF!,#REF!,18,0))</f>
        <v>#REF!</v>
      </c>
      <c r="AD94" s="8" t="str">
        <f t="shared" ref="AD94" si="11">IF(B94="","",CONCATENATE(B94,E94))</f>
        <v>Yusuf KöseTortillas 15cm 10pcs 250g</v>
      </c>
    </row>
    <row r="95" spans="1:30" s="140" customFormat="1" ht="54" hidden="1" customHeight="1" x14ac:dyDescent="0.25">
      <c r="A95" s="8" t="s">
        <v>90</v>
      </c>
      <c r="B95" s="148" t="s">
        <v>500</v>
      </c>
      <c r="C95" s="149" t="e">
        <f>IF(B95="","",VLOOKUP(AD95,#REF!,3,0))</f>
        <v>#REF!</v>
      </c>
      <c r="D95" s="149"/>
      <c r="E95" s="150" t="s">
        <v>515</v>
      </c>
      <c r="F95" s="148">
        <v>26062201</v>
      </c>
      <c r="G95" s="148"/>
      <c r="H95" s="148" t="e">
        <f>IF(B95="","",VLOOKUP(AD95,#REF!,5,0))</f>
        <v>#REF!</v>
      </c>
      <c r="I95" s="148" t="e">
        <f>IF(B95="","",VLOOKUP(AD95,#REF!,19,0))</f>
        <v>#REF!</v>
      </c>
      <c r="J95" s="148" t="e">
        <f>IF(B95="","",VLOOKUP(AD95,#REF!,6,0))</f>
        <v>#REF!</v>
      </c>
      <c r="K95" s="148">
        <v>50</v>
      </c>
      <c r="L95" s="148"/>
      <c r="M95" s="148" t="str">
        <f>IFERROR(IF(B95="","",K95/VLOOKUP(AD95,#REF!,17,0)),"")</f>
        <v/>
      </c>
      <c r="N95" s="148"/>
      <c r="O95" s="148">
        <v>2</v>
      </c>
      <c r="P95" s="148" t="e">
        <f>IF(B95="","",VLOOKUP(AD95,#REF!,7,0)*K95)</f>
        <v>#REF!</v>
      </c>
      <c r="Q95" s="148" t="e">
        <f>IF(B95="","",VLOOKUP(AD95,#REF!,8,0))</f>
        <v>#REF!</v>
      </c>
      <c r="R95" s="148" t="e">
        <f>IF(B95="","",VLOOKUP(AD95,#REF!,9,0))</f>
        <v>#REF!</v>
      </c>
      <c r="S95" s="148" t="e">
        <f>IF(B95="","",VLOOKUP(AD95,#REF!,10,0))</f>
        <v>#REF!</v>
      </c>
      <c r="T95" s="148" t="e">
        <f>IF(B95="","",VLOOKUP(AD95,#REF!,11,0))</f>
        <v>#REF!</v>
      </c>
      <c r="U95" s="148" t="e">
        <f>IF(B95="","",VLOOKUP(AD95,#REF!,12,0))</f>
        <v>#REF!</v>
      </c>
      <c r="V95" s="148" t="e">
        <f>IF(B95="","",VLOOKUP(AD95,#REF!,13,0))</f>
        <v>#REF!</v>
      </c>
      <c r="W95" s="148" t="e">
        <f>IF(B95="","",VLOOKUP(AD95,#REF!,14,0))</f>
        <v>#REF!</v>
      </c>
      <c r="X95" s="151">
        <v>46231</v>
      </c>
      <c r="Y95" s="151">
        <v>46596</v>
      </c>
      <c r="Z95" s="148">
        <v>26072815</v>
      </c>
      <c r="AA95" s="148" t="e">
        <f>IF(B95="","",VLOOKUP(AD95,#REF!,15,0))</f>
        <v>#REF!</v>
      </c>
      <c r="AB95" s="148" t="e">
        <f>IF(B95="","",VLOOKUP(AD95,#REF!,16,0))</f>
        <v>#REF!</v>
      </c>
      <c r="AC95" s="67"/>
      <c r="AD95" s="57" t="str">
        <f t="shared" ref="AD95" si="12">IF(B95="","",CONCATENATE(B95,E95))</f>
        <v>Fama GroupTortillas 15cm 10pcs 250g</v>
      </c>
    </row>
    <row r="96" spans="1:30" ht="48" hidden="1" customHeight="1" x14ac:dyDescent="0.25">
      <c r="A96" s="8" t="s">
        <v>91</v>
      </c>
      <c r="B96" s="149" t="s">
        <v>500</v>
      </c>
      <c r="C96" s="149" t="e">
        <f>IF(B96="","",VLOOKUP(AD96,#REF!,3,0))</f>
        <v>#REF!</v>
      </c>
      <c r="D96" s="149"/>
      <c r="E96" s="149" t="s">
        <v>244</v>
      </c>
      <c r="F96" s="149">
        <v>26062201</v>
      </c>
      <c r="G96" s="149"/>
      <c r="H96" s="149" t="e">
        <f>IF(B96="","",VLOOKUP(AD96,#REF!,5,0))</f>
        <v>#REF!</v>
      </c>
      <c r="I96" s="149" t="e">
        <f>IF(B96="","",VLOOKUP(AD96,#REF!,19,0))</f>
        <v>#REF!</v>
      </c>
      <c r="J96" s="149" t="e">
        <f>IF(B96="","",VLOOKUP(AD96,#REF!,6,0))</f>
        <v>#REF!</v>
      </c>
      <c r="K96" s="149">
        <v>50</v>
      </c>
      <c r="L96" s="149"/>
      <c r="M96" s="149" t="str">
        <f>IFERROR(IF(B96="","",K96/VLOOKUP(AD96,#REF!,17,0)),"")</f>
        <v/>
      </c>
      <c r="N96" s="149"/>
      <c r="O96" s="149">
        <v>1</v>
      </c>
      <c r="P96" s="149" t="e">
        <f>IF(B96="","",VLOOKUP(AD96,#REF!,7,0)*K96)</f>
        <v>#REF!</v>
      </c>
      <c r="Q96" s="149" t="e">
        <f>IF(B96="","",VLOOKUP(AD96,#REF!,8,0))</f>
        <v>#REF!</v>
      </c>
      <c r="R96" s="149" t="e">
        <f>IF(B96="","",VLOOKUP(AD96,#REF!,9,0))</f>
        <v>#REF!</v>
      </c>
      <c r="S96" s="149" t="e">
        <f>IF(B96="","",VLOOKUP(AD96,#REF!,10,0))</f>
        <v>#REF!</v>
      </c>
      <c r="T96" s="149" t="e">
        <f>IF(B96="","",VLOOKUP(AD96,#REF!,11,0))</f>
        <v>#REF!</v>
      </c>
      <c r="U96" s="149" t="e">
        <f>IF(B96="","",VLOOKUP(AD96,#REF!,12,0))</f>
        <v>#REF!</v>
      </c>
      <c r="V96" s="149" t="e">
        <f>IF(B96="","",VLOOKUP(AD96,#REF!,13,0))</f>
        <v>#REF!</v>
      </c>
      <c r="W96" s="149" t="e">
        <f>IF(B96="","",VLOOKUP(AD96,#REF!,14,0))</f>
        <v>#REF!</v>
      </c>
      <c r="X96" s="151">
        <v>46231</v>
      </c>
      <c r="Y96" s="151">
        <v>46596</v>
      </c>
      <c r="Z96" s="149">
        <v>26072826</v>
      </c>
      <c r="AA96" s="149" t="e">
        <f>IF(B96="","",VLOOKUP(AD96,#REF!,15,0))</f>
        <v>#REF!</v>
      </c>
      <c r="AB96" s="149" t="e">
        <f>IF(B96="","",VLOOKUP(AD96,#REF!,16,0))</f>
        <v>#REF!</v>
      </c>
      <c r="AC96" s="7">
        <f>IF(B96="","",VLOOKUP(Sayfa1!AD94,Varsayımlar!B:S,18,0))</f>
        <v>0</v>
      </c>
      <c r="AD96" s="7" t="str">
        <f>IF(B96="","",CONCATENATE(B96,E96))</f>
        <v>Fama GroupTortillas Pizza 26cm 4pcs 480g</v>
      </c>
    </row>
    <row r="97" spans="1:30" s="140" customFormat="1" ht="94.5" hidden="1" x14ac:dyDescent="0.25">
      <c r="A97" s="8" t="s">
        <v>92</v>
      </c>
      <c r="B97" s="62" t="s">
        <v>456</v>
      </c>
      <c r="C97" s="32" t="e">
        <f>IF(B97="","",VLOOKUP(AD97,#REF!,3,0))</f>
        <v>#REF!</v>
      </c>
      <c r="D97" s="32"/>
      <c r="E97" s="61" t="s">
        <v>484</v>
      </c>
      <c r="F97" s="62" t="s">
        <v>524</v>
      </c>
      <c r="G97" s="62"/>
      <c r="H97" s="62" t="e">
        <f>IF(B97="","",VLOOKUP(AD97,#REF!,5,0))</f>
        <v>#REF!</v>
      </c>
      <c r="I97" s="62" t="e">
        <f>IF(B97="","",VLOOKUP(AD97,#REF!,19,0))</f>
        <v>#REF!</v>
      </c>
      <c r="J97" s="62" t="e">
        <f>IF(B97="","",VLOOKUP(AD97,#REF!,6,0))</f>
        <v>#REF!</v>
      </c>
      <c r="K97" s="62">
        <v>2250</v>
      </c>
      <c r="L97" s="62"/>
      <c r="M97" s="62" t="str">
        <f>IFERROR(IF(B97="","",K97/VLOOKUP(AD97,#REF!,17,0)),"")</f>
        <v/>
      </c>
      <c r="N97" s="62"/>
      <c r="O97" s="62">
        <v>16</v>
      </c>
      <c r="P97" s="62" t="e">
        <f>IF(B97="","",VLOOKUP(AD97,#REF!,7,0)*K97)</f>
        <v>#REF!</v>
      </c>
      <c r="Q97" s="62" t="e">
        <f>IF(B97="","",VLOOKUP(AD97,#REF!,8,0))</f>
        <v>#REF!</v>
      </c>
      <c r="R97" s="62" t="e">
        <f>IF(B97="","",VLOOKUP(AD97,#REF!,9,0))</f>
        <v>#REF!</v>
      </c>
      <c r="S97" s="62" t="e">
        <f>IF(B97="","",VLOOKUP(AD97,#REF!,10,0))</f>
        <v>#REF!</v>
      </c>
      <c r="T97" s="62" t="e">
        <f>IF(B97="","",VLOOKUP(AD97,#REF!,11,0))</f>
        <v>#REF!</v>
      </c>
      <c r="U97" s="62" t="e">
        <f>IF(B97="","",VLOOKUP(AD97,#REF!,12,0))</f>
        <v>#REF!</v>
      </c>
      <c r="V97" s="62" t="e">
        <f>IF(B97="","",VLOOKUP(AD97,#REF!,13,0))</f>
        <v>#REF!</v>
      </c>
      <c r="W97" s="62" t="e">
        <f>IF(B97="","",VLOOKUP(AD97,#REF!,14,0))</f>
        <v>#REF!</v>
      </c>
      <c r="X97" s="63"/>
      <c r="Y97" s="146" t="s">
        <v>523</v>
      </c>
      <c r="Z97" s="146" t="s">
        <v>522</v>
      </c>
      <c r="AA97" s="62" t="e">
        <f>IF(B97="","",VLOOKUP(AD97,#REF!,15,0))</f>
        <v>#REF!</v>
      </c>
      <c r="AB97" s="62" t="e">
        <f>IF(B97="","",VLOOKUP(AD97,#REF!,16,0))</f>
        <v>#REF!</v>
      </c>
      <c r="AC97" s="73" t="e">
        <f>IF(B97="","",VLOOKUP(#REF!,#REF!,18,0))</f>
        <v>#REF!</v>
      </c>
      <c r="AD97" s="73" t="str">
        <f>IF(B97="","",CONCATENATE(B97,E97))</f>
        <v>WillifoodWillifood Pizza 26cm 4 pcs 480g</v>
      </c>
    </row>
    <row r="98" spans="1:30" hidden="1" x14ac:dyDescent="0.25">
      <c r="A98" s="8" t="s">
        <v>93</v>
      </c>
      <c r="B98" s="67"/>
      <c r="C98" s="42" t="str">
        <f>IF(B98="","",VLOOKUP(AD98,#REF!,3,0))</f>
        <v/>
      </c>
      <c r="D98" s="42"/>
      <c r="E98" s="42"/>
      <c r="F98" s="67"/>
      <c r="G98" s="67"/>
      <c r="H98" s="67" t="str">
        <f>IF(B98="","",VLOOKUP(AD98,#REF!,5,0))</f>
        <v/>
      </c>
      <c r="I98" s="67" t="str">
        <f>IF(B98="","",VLOOKUP(AD98,#REF!,19,0))</f>
        <v/>
      </c>
      <c r="J98" s="67" t="str">
        <f>IF(B98="","",VLOOKUP(AD98,#REF!,6,0))</f>
        <v/>
      </c>
      <c r="K98" s="67"/>
      <c r="L98" s="67"/>
      <c r="M98" s="67" t="str">
        <f>IFERROR(IF(B98="","",K98/VLOOKUP(AD98,#REF!,17,0)),"")</f>
        <v/>
      </c>
      <c r="N98" s="67"/>
      <c r="O98" s="67"/>
      <c r="P98" s="67" t="str">
        <f>IF(B98="","",VLOOKUP(AD98,#REF!,7,0)*K98)</f>
        <v/>
      </c>
      <c r="Q98" s="67" t="str">
        <f>IF(B98="","",VLOOKUP(AD98,#REF!,8,0))</f>
        <v/>
      </c>
      <c r="R98" s="67" t="str">
        <f>IF(B98="","",VLOOKUP(AD98,#REF!,9,0))</f>
        <v/>
      </c>
      <c r="S98" s="67" t="str">
        <f>IF(B98="","",VLOOKUP(AD98,#REF!,10,0))</f>
        <v/>
      </c>
      <c r="T98" s="67" t="str">
        <f>IF(B98="","",VLOOKUP(AD98,#REF!,11,0))</f>
        <v/>
      </c>
      <c r="U98" s="67" t="str">
        <f>IF(B98="","",VLOOKUP(AD98,#REF!,12,0))</f>
        <v/>
      </c>
      <c r="V98" s="67" t="str">
        <f>IF(B98="","",VLOOKUP(AD98,#REF!,13,0))</f>
        <v/>
      </c>
      <c r="W98" s="67" t="str">
        <f>IF(B98="","",VLOOKUP(AD98,#REF!,14,0))</f>
        <v/>
      </c>
      <c r="X98" s="69"/>
      <c r="Y98" s="69"/>
      <c r="Z98" s="67"/>
      <c r="AA98" s="67" t="str">
        <f>IF(B98="","",VLOOKUP(AD98,#REF!,15,0))</f>
        <v/>
      </c>
      <c r="AB98" s="67" t="str">
        <f>IF(B98="","",VLOOKUP(AD98,#REF!,16,0))</f>
        <v/>
      </c>
    </row>
    <row r="99" spans="1:30" hidden="1" x14ac:dyDescent="0.25">
      <c r="A99" s="8" t="s">
        <v>135</v>
      </c>
      <c r="B99" s="67"/>
      <c r="C99" s="42" t="str">
        <f>IF(B99="","",VLOOKUP(AD99,#REF!,3,0))</f>
        <v/>
      </c>
      <c r="D99" s="42"/>
      <c r="E99" s="42"/>
      <c r="F99" s="67"/>
      <c r="G99" s="67"/>
      <c r="H99" s="67" t="str">
        <f>IF(B99="","",VLOOKUP(AD99,#REF!,5,0))</f>
        <v/>
      </c>
      <c r="I99" s="67" t="str">
        <f>IF(B99="","",VLOOKUP(AD99,#REF!,19,0))</f>
        <v/>
      </c>
      <c r="J99" s="67" t="str">
        <f>IF(B99="","",VLOOKUP(AD99,#REF!,6,0))</f>
        <v/>
      </c>
      <c r="K99" s="67"/>
      <c r="L99" s="67"/>
      <c r="M99" s="67" t="str">
        <f>IFERROR(IF(B99="","",K99/VLOOKUP(AD99,#REF!,17,0)),"")</f>
        <v/>
      </c>
      <c r="N99" s="67"/>
      <c r="O99" s="67"/>
      <c r="P99" s="67" t="str">
        <f>IF(B99="","",VLOOKUP(AD99,#REF!,7,0)*K99)</f>
        <v/>
      </c>
      <c r="Q99" s="67" t="str">
        <f>IF(B99="","",VLOOKUP(AD99,#REF!,8,0))</f>
        <v/>
      </c>
      <c r="R99" s="67" t="str">
        <f>IF(B99="","",VLOOKUP(AD99,#REF!,9,0))</f>
        <v/>
      </c>
      <c r="S99" s="67" t="str">
        <f>IF(B99="","",VLOOKUP(AD99,#REF!,10,0))</f>
        <v/>
      </c>
      <c r="T99" s="67" t="str">
        <f>IF(B99="","",VLOOKUP(AD99,#REF!,11,0))</f>
        <v/>
      </c>
      <c r="U99" s="67" t="str">
        <f>IF(B99="","",VLOOKUP(AD99,#REF!,12,0))</f>
        <v/>
      </c>
      <c r="V99" s="67" t="str">
        <f>IF(B99="","",VLOOKUP(AD99,#REF!,13,0))</f>
        <v/>
      </c>
      <c r="W99" s="67" t="str">
        <f>IF(B99="","",VLOOKUP(AD99,#REF!,14,0))</f>
        <v/>
      </c>
      <c r="X99" s="69"/>
      <c r="Y99" s="69"/>
      <c r="Z99" s="67"/>
      <c r="AA99" s="67" t="str">
        <f>IF(B99="","",VLOOKUP(AD99,#REF!,15,0))</f>
        <v/>
      </c>
      <c r="AB99" s="67" t="str">
        <f>IF(B99="","",VLOOKUP(AD99,#REF!,16,0))</f>
        <v/>
      </c>
    </row>
    <row r="100" spans="1:30" hidden="1" x14ac:dyDescent="0.25">
      <c r="A100" s="8" t="s">
        <v>136</v>
      </c>
      <c r="B100" s="67"/>
      <c r="C100" s="42" t="str">
        <f>IF(B100="","",VLOOKUP(AD100,#REF!,3,0))</f>
        <v/>
      </c>
      <c r="D100" s="42"/>
      <c r="E100" s="42"/>
      <c r="F100" s="67"/>
      <c r="G100" s="67"/>
      <c r="H100" s="67" t="str">
        <f>IF(B100="","",VLOOKUP(AD100,#REF!,5,0))</f>
        <v/>
      </c>
      <c r="I100" s="67" t="str">
        <f>IF(B100="","",VLOOKUP(AD100,#REF!,19,0))</f>
        <v/>
      </c>
      <c r="J100" s="67" t="str">
        <f>IF(B100="","",VLOOKUP(AD100,#REF!,6,0))</f>
        <v/>
      </c>
      <c r="K100" s="67"/>
      <c r="L100" s="67"/>
      <c r="M100" s="67" t="str">
        <f>IFERROR(IF(B100="","",K100/VLOOKUP(AD100,#REF!,17,0)),"")</f>
        <v/>
      </c>
      <c r="N100" s="67"/>
      <c r="O100" s="67"/>
      <c r="P100" s="67" t="str">
        <f>IF(B100="","",VLOOKUP(AD100,#REF!,7,0)*K100)</f>
        <v/>
      </c>
      <c r="Q100" s="67" t="str">
        <f>IF(B100="","",VLOOKUP(AD100,#REF!,8,0))</f>
        <v/>
      </c>
      <c r="R100" s="67" t="str">
        <f>IF(B100="","",VLOOKUP(AD100,#REF!,9,0))</f>
        <v/>
      </c>
      <c r="S100" s="67" t="str">
        <f>IF(B100="","",VLOOKUP(AD100,#REF!,10,0))</f>
        <v/>
      </c>
      <c r="T100" s="67" t="str">
        <f>IF(B100="","",VLOOKUP(AD100,#REF!,11,0))</f>
        <v/>
      </c>
      <c r="U100" s="67" t="str">
        <f>IF(B100="","",VLOOKUP(AD100,#REF!,12,0))</f>
        <v/>
      </c>
      <c r="V100" s="67" t="str">
        <f>IF(B100="","",VLOOKUP(AD100,#REF!,13,0))</f>
        <v/>
      </c>
      <c r="W100" s="67" t="str">
        <f>IF(B100="","",VLOOKUP(AD100,#REF!,14,0))</f>
        <v/>
      </c>
      <c r="X100" s="69"/>
      <c r="Y100" s="69"/>
      <c r="Z100" s="67"/>
      <c r="AA100" s="67" t="str">
        <f>IF(B100="","",VLOOKUP(AD100,#REF!,15,0))</f>
        <v/>
      </c>
      <c r="AB100" s="67" t="str">
        <f>IF(B100="","",VLOOKUP(AD100,#REF!,16,0))</f>
        <v/>
      </c>
    </row>
    <row r="101" spans="1:30" hidden="1" x14ac:dyDescent="0.25">
      <c r="A101" s="8" t="s">
        <v>137</v>
      </c>
      <c r="B101" s="67"/>
      <c r="C101" s="42" t="str">
        <f>IF(B101="","",VLOOKUP(AD101,#REF!,3,0))</f>
        <v/>
      </c>
      <c r="D101" s="42"/>
      <c r="E101" s="42"/>
      <c r="F101" s="67"/>
      <c r="G101" s="67"/>
      <c r="H101" s="67" t="str">
        <f>IF(B101="","",VLOOKUP(AD101,#REF!,5,0))</f>
        <v/>
      </c>
      <c r="I101" s="67" t="str">
        <f>IF(B101="","",VLOOKUP(AD101,#REF!,19,0))</f>
        <v/>
      </c>
      <c r="J101" s="67" t="str">
        <f>IF(B101="","",VLOOKUP(AD101,#REF!,6,0))</f>
        <v/>
      </c>
      <c r="K101" s="67"/>
      <c r="L101" s="67"/>
      <c r="M101" s="67" t="str">
        <f>IFERROR(IF(B101="","",K101/VLOOKUP(AD101,#REF!,17,0)),"")</f>
        <v/>
      </c>
      <c r="N101" s="67"/>
      <c r="O101" s="67"/>
      <c r="P101" s="67" t="str">
        <f>IF(B101="","",VLOOKUP(AD101,#REF!,7,0)*K101)</f>
        <v/>
      </c>
      <c r="Q101" s="67" t="str">
        <f>IF(B101="","",VLOOKUP(AD101,#REF!,8,0))</f>
        <v/>
      </c>
      <c r="R101" s="67" t="str">
        <f>IF(B101="","",VLOOKUP(AD101,#REF!,9,0))</f>
        <v/>
      </c>
      <c r="S101" s="67" t="str">
        <f>IF(B101="","",VLOOKUP(AD101,#REF!,10,0))</f>
        <v/>
      </c>
      <c r="T101" s="67" t="str">
        <f>IF(B101="","",VLOOKUP(AD101,#REF!,11,0))</f>
        <v/>
      </c>
      <c r="U101" s="67" t="str">
        <f>IF(B101="","",VLOOKUP(AD101,#REF!,12,0))</f>
        <v/>
      </c>
      <c r="V101" s="67" t="str">
        <f>IF(B101="","",VLOOKUP(AD101,#REF!,13,0))</f>
        <v/>
      </c>
      <c r="W101" s="67" t="str">
        <f>IF(B101="","",VLOOKUP(AD101,#REF!,14,0))</f>
        <v/>
      </c>
      <c r="X101" s="69"/>
      <c r="Y101" s="69"/>
      <c r="Z101" s="67"/>
      <c r="AA101" s="67" t="str">
        <f>IF(B101="","",VLOOKUP(AD101,#REF!,15,0))</f>
        <v/>
      </c>
      <c r="AB101" s="67" t="str">
        <f>IF(B101="","",VLOOKUP(AD101,#REF!,16,0))</f>
        <v/>
      </c>
    </row>
    <row r="102" spans="1:30" hidden="1" x14ac:dyDescent="0.25">
      <c r="A102" s="8" t="s">
        <v>138</v>
      </c>
      <c r="B102" s="67"/>
      <c r="C102" s="42" t="str">
        <f>IF(B102="","",VLOOKUP(AD102,#REF!,3,0))</f>
        <v/>
      </c>
      <c r="D102" s="42"/>
      <c r="E102" s="42"/>
      <c r="F102" s="67"/>
      <c r="G102" s="67"/>
      <c r="H102" s="67" t="str">
        <f>IF(B102="","",VLOOKUP(AD102,#REF!,5,0))</f>
        <v/>
      </c>
      <c r="I102" s="67" t="str">
        <f>IF(B102="","",VLOOKUP(AD102,#REF!,19,0))</f>
        <v/>
      </c>
      <c r="J102" s="67" t="str">
        <f>IF(B102="","",VLOOKUP(AD102,#REF!,6,0))</f>
        <v/>
      </c>
      <c r="K102" s="67"/>
      <c r="L102" s="67"/>
      <c r="M102" s="67" t="str">
        <f>IFERROR(IF(B102="","",K102/VLOOKUP(AD102,#REF!,17,0)),"")</f>
        <v/>
      </c>
      <c r="N102" s="67"/>
      <c r="O102" s="67"/>
      <c r="P102" s="67" t="str">
        <f>IF(B102="","",VLOOKUP(AD102,#REF!,7,0)*K102)</f>
        <v/>
      </c>
      <c r="Q102" s="67" t="str">
        <f>IF(B102="","",VLOOKUP(AD102,#REF!,8,0))</f>
        <v/>
      </c>
      <c r="R102" s="67" t="str">
        <f>IF(B102="","",VLOOKUP(AD102,#REF!,9,0))</f>
        <v/>
      </c>
      <c r="S102" s="67" t="str">
        <f>IF(B102="","",VLOOKUP(AD102,#REF!,10,0))</f>
        <v/>
      </c>
      <c r="T102" s="67" t="str">
        <f>IF(B102="","",VLOOKUP(AD102,#REF!,11,0))</f>
        <v/>
      </c>
      <c r="U102" s="67" t="str">
        <f>IF(B102="","",VLOOKUP(AD102,#REF!,12,0))</f>
        <v/>
      </c>
      <c r="V102" s="67" t="str">
        <f>IF(B102="","",VLOOKUP(AD102,#REF!,13,0))</f>
        <v/>
      </c>
      <c r="W102" s="67" t="str">
        <f>IF(B102="","",VLOOKUP(AD102,#REF!,14,0))</f>
        <v/>
      </c>
      <c r="X102" s="69"/>
      <c r="Y102" s="69"/>
      <c r="Z102" s="67"/>
      <c r="AA102" s="67" t="str">
        <f>IF(B102="","",VLOOKUP(AD102,#REF!,15,0))</f>
        <v/>
      </c>
      <c r="AB102" s="67" t="str">
        <f>IF(B102="","",VLOOKUP(AD102,#REF!,16,0))</f>
        <v/>
      </c>
    </row>
    <row r="103" spans="1:30" hidden="1" x14ac:dyDescent="0.25">
      <c r="A103" s="8" t="s">
        <v>139</v>
      </c>
      <c r="B103" s="67"/>
      <c r="C103" s="42" t="str">
        <f>IF(B103="","",VLOOKUP(AD103,#REF!,3,0))</f>
        <v/>
      </c>
      <c r="D103" s="42"/>
      <c r="E103" s="42"/>
      <c r="F103" s="67"/>
      <c r="G103" s="67"/>
      <c r="H103" s="67" t="str">
        <f>IF(B103="","",VLOOKUP(AD103,#REF!,5,0))</f>
        <v/>
      </c>
      <c r="I103" s="67" t="str">
        <f>IF(B103="","",VLOOKUP(AD103,#REF!,19,0))</f>
        <v/>
      </c>
      <c r="J103" s="67" t="str">
        <f>IF(B103="","",VLOOKUP(AD103,#REF!,6,0))</f>
        <v/>
      </c>
      <c r="K103" s="67"/>
      <c r="L103" s="67"/>
      <c r="M103" s="67" t="str">
        <f>IFERROR(IF(B103="","",K103/VLOOKUP(AD103,#REF!,17,0)),"")</f>
        <v/>
      </c>
      <c r="N103" s="67"/>
      <c r="O103" s="67"/>
      <c r="P103" s="67" t="str">
        <f>IF(B103="","",VLOOKUP(AD103,#REF!,7,0)*K103)</f>
        <v/>
      </c>
      <c r="Q103" s="67" t="str">
        <f>IF(B103="","",VLOOKUP(AD103,#REF!,8,0))</f>
        <v/>
      </c>
      <c r="R103" s="67" t="str">
        <f>IF(B103="","",VLOOKUP(AD103,#REF!,9,0))</f>
        <v/>
      </c>
      <c r="S103" s="67" t="str">
        <f>IF(B103="","",VLOOKUP(AD103,#REF!,10,0))</f>
        <v/>
      </c>
      <c r="T103" s="67" t="str">
        <f>IF(B103="","",VLOOKUP(AD103,#REF!,11,0))</f>
        <v/>
      </c>
      <c r="U103" s="67" t="str">
        <f>IF(B103="","",VLOOKUP(AD103,#REF!,12,0))</f>
        <v/>
      </c>
      <c r="V103" s="67" t="str">
        <f>IF(B103="","",VLOOKUP(AD103,#REF!,13,0))</f>
        <v/>
      </c>
      <c r="W103" s="67" t="str">
        <f>IF(B103="","",VLOOKUP(AD103,#REF!,14,0))</f>
        <v/>
      </c>
      <c r="X103" s="69"/>
      <c r="Y103" s="69"/>
      <c r="Z103" s="67"/>
      <c r="AA103" s="67" t="str">
        <f>IF(B103="","",VLOOKUP(AD103,#REF!,15,0))</f>
        <v/>
      </c>
      <c r="AB103" s="67" t="str">
        <f>IF(B103="","",VLOOKUP(AD103,#REF!,16,0))</f>
        <v/>
      </c>
    </row>
    <row r="104" spans="1:30" x14ac:dyDescent="0.25">
      <c r="A104" s="8" t="s">
        <v>140</v>
      </c>
      <c r="B104" s="67"/>
      <c r="C104" s="42" t="str">
        <f>IF(B104="","",VLOOKUP(AD104,#REF!,3,0))</f>
        <v/>
      </c>
      <c r="D104" s="42"/>
      <c r="E104" s="42"/>
      <c r="F104" s="67"/>
      <c r="G104" s="67"/>
      <c r="H104" s="67" t="str">
        <f>IF(B104="","",VLOOKUP(AD104,#REF!,5,0))</f>
        <v/>
      </c>
      <c r="I104" s="67" t="str">
        <f>IF(B104="","",VLOOKUP(AD104,#REF!,19,0))</f>
        <v/>
      </c>
      <c r="J104" s="67" t="str">
        <f>IF(B104="","",VLOOKUP(AD104,#REF!,6,0))</f>
        <v/>
      </c>
      <c r="K104" s="67"/>
      <c r="L104" s="67"/>
      <c r="M104" s="67" t="str">
        <f>IFERROR(IF(B104="","",K104/VLOOKUP(AD104,#REF!,17,0)),"")</f>
        <v/>
      </c>
      <c r="N104" s="67"/>
      <c r="O104" s="67"/>
      <c r="P104" s="67" t="str">
        <f>IF(B104="","",VLOOKUP(AD104,#REF!,7,0)*K104)</f>
        <v/>
      </c>
      <c r="Q104" s="67" t="str">
        <f>IF(B104="","",VLOOKUP(AD104,#REF!,8,0))</f>
        <v/>
      </c>
      <c r="R104" s="67" t="str">
        <f>IF(B104="","",VLOOKUP(AD104,#REF!,9,0))</f>
        <v/>
      </c>
      <c r="S104" s="67" t="str">
        <f>IF(B104="","",VLOOKUP(AD104,#REF!,10,0))</f>
        <v/>
      </c>
      <c r="T104" s="67" t="str">
        <f>IF(B104="","",VLOOKUP(AD104,#REF!,11,0))</f>
        <v/>
      </c>
      <c r="U104" s="67" t="str">
        <f>IF(B104="","",VLOOKUP(AD104,#REF!,12,0))</f>
        <v/>
      </c>
      <c r="V104" s="67" t="str">
        <f>IF(B104="","",VLOOKUP(AD104,#REF!,13,0))</f>
        <v/>
      </c>
      <c r="W104" s="67" t="str">
        <f>IF(B104="","",VLOOKUP(AD104,#REF!,14,0))</f>
        <v/>
      </c>
      <c r="X104" s="69"/>
      <c r="Y104" s="69"/>
      <c r="Z104" s="67"/>
      <c r="AA104" s="67" t="str">
        <f>IF(B104="","",VLOOKUP(AD104,#REF!,15,0))</f>
        <v/>
      </c>
      <c r="AB104" s="67" t="str">
        <f>IF(B104="","",VLOOKUP(AD104,#REF!,16,0))</f>
        <v/>
      </c>
    </row>
  </sheetData>
  <mergeCells count="6">
    <mergeCell ref="B84:AB84"/>
    <mergeCell ref="A1:AC1"/>
    <mergeCell ref="A2:Z2"/>
    <mergeCell ref="AB2:AC2"/>
    <mergeCell ref="A53:AB53"/>
    <mergeCell ref="A78:AB78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1" fitToHeight="2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5"/>
  <sheetViews>
    <sheetView zoomScale="70" zoomScaleNormal="70" workbookViewId="0">
      <selection activeCell="Q32" sqref="Q32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hidden="1" customWidth="1"/>
    <col min="6" max="6" width="17.7109375" style="140" customWidth="1"/>
    <col min="7" max="7" width="20.28515625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5.85546875" style="140" bestFit="1" customWidth="1"/>
    <col min="12" max="12" width="11.285156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23.28515625" style="140" hidden="1" customWidth="1"/>
    <col min="30" max="30" width="62.140625" style="140" hidden="1" customWidth="1"/>
    <col min="31" max="31" width="38.85546875" style="140" customWidth="1"/>
    <col min="32" max="16384" width="9.140625" style="140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46197</v>
      </c>
      <c r="AB2" s="185">
        <v>0.65972222222222221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0" ht="31.5" x14ac:dyDescent="0.25">
      <c r="A4" s="8" t="s">
        <v>26</v>
      </c>
      <c r="B4" s="64" t="s">
        <v>64</v>
      </c>
      <c r="C4" s="3">
        <f>IF(B4="","",VLOOKUP(AD4,Varsayımlar!$B:$Q,3,0))</f>
        <v>8698829380698</v>
      </c>
      <c r="D4" s="3"/>
      <c r="E4" s="64" t="s">
        <v>176</v>
      </c>
      <c r="F4" s="64">
        <v>31</v>
      </c>
      <c r="G4" s="3" t="s">
        <v>68</v>
      </c>
      <c r="H4" s="64" t="str">
        <f>IF(B4="","",VLOOKUP(AD4,Varsayımlar!$B:$Q,5,0))</f>
        <v>Tortillas 20cm (Samakat Bilgileri Ekli)</v>
      </c>
      <c r="I4" s="64">
        <f>IF(B4="","",VLOOKUP(AD4,Varsayımlar!B:T,19,0))</f>
        <v>0</v>
      </c>
      <c r="J4" s="64" t="str">
        <f>IF(B4="","",VLOOKUP(AD4,Varsayımlar!$B:$Q,6,0))</f>
        <v>PEYNİRLİ</v>
      </c>
      <c r="K4" s="64">
        <v>2925</v>
      </c>
      <c r="L4" s="64"/>
      <c r="M4" s="64">
        <f>IFERROR(IF(B4="","",K4/VLOOKUP(AD4,Varsayımlar!B:R,17,0)),"")</f>
        <v>13</v>
      </c>
      <c r="N4" s="64"/>
      <c r="O4" s="64">
        <v>24</v>
      </c>
      <c r="P4" s="64">
        <f>IF(B4="","",VLOOKUP(AD4,Varsayımlar!$B:$Q,7,0)*K4)</f>
        <v>40950</v>
      </c>
      <c r="Q4" s="64">
        <f>IF(B4="","",VLOOKUP(AD4,Varsayımlar!$B:$Q,8,0))</f>
        <v>20</v>
      </c>
      <c r="R4" s="64" t="str">
        <f>IF(B4="","",VLOOKUP(AD4,Varsayımlar!$B:$Q,9,0))</f>
        <v>IRAK SOFT-AT</v>
      </c>
      <c r="S4" s="64">
        <f>IF(B4="","",VLOOKUP(AD4,Varsayımlar!$B:$Q,10,0))</f>
        <v>4</v>
      </c>
      <c r="T4" s="64">
        <f>IF(B4="","",VLOOKUP(AD4,Varsayımlar!$B:$Q,11,0))</f>
        <v>14</v>
      </c>
      <c r="U4" s="64">
        <f>IF(B4="","",VLOOKUP(AD4,Varsayımlar!$B:$Q,12,0))</f>
        <v>166</v>
      </c>
      <c r="V4" s="64" t="str">
        <f>IF(B4="","",VLOOKUP(AD4,Varsayımlar!$B:$Q,13,0))</f>
        <v>YURTDIŞI</v>
      </c>
      <c r="W4" s="64">
        <f>IF(B4="","",VLOOKUP(AD4,Varsayımlar!$B:$Q,14,0))</f>
        <v>9</v>
      </c>
      <c r="X4" s="66">
        <v>46188</v>
      </c>
      <c r="Y4" s="66">
        <v>46461</v>
      </c>
      <c r="Z4" s="64" t="s">
        <v>172</v>
      </c>
      <c r="AA4" s="64" t="str">
        <f>IF(B4="","",VLOOKUP(AD4,Varsayımlar!$B:$Q,15,0))</f>
        <v>Kare Koli-Üretim Tarihli Etiket</v>
      </c>
      <c r="AB4" s="64" t="str">
        <f>IF(B4="","",VLOOKUP(AD4,Varsayımlar!$B:$Q,16,0))</f>
        <v>19-21 cm</v>
      </c>
      <c r="AC4" s="64">
        <f>IF(B4="","",VLOOKUP(Sayfa1!AD17,Varsayımlar!B:S,18,0))</f>
        <v>0</v>
      </c>
      <c r="AD4" s="57" t="str">
        <f t="shared" ref="AD4:AD36" si="0">IF(B4="","",CONCATENATE(B4,E4))</f>
        <v>SMART LLCTortillas 20cm Peynirli 4pcs 166g</v>
      </c>
    </row>
    <row r="5" spans="1:30" ht="45.75" customHeight="1" x14ac:dyDescent="0.25">
      <c r="A5" s="8" t="s">
        <v>77</v>
      </c>
      <c r="B5" s="130" t="s">
        <v>119</v>
      </c>
      <c r="C5" s="131">
        <f>IF(B5="","",VLOOKUP(AD5,Varsayımlar!$B:$Q,3,0))</f>
        <v>8698829380698</v>
      </c>
      <c r="D5" s="131"/>
      <c r="E5" s="132" t="s">
        <v>120</v>
      </c>
      <c r="F5" s="130"/>
      <c r="G5" s="130"/>
      <c r="H5" s="130" t="str">
        <f>IF(B5="","",VLOOKUP(AD5,Varsayımlar!$B:$Q,5,0))</f>
        <v>Nimet 25 cm</v>
      </c>
      <c r="I5" s="130"/>
      <c r="J5" s="130" t="str">
        <f>IF(B5="","",VLOOKUP(AD5,Varsayımlar!$B:$Q,6,0))</f>
        <v>SADE</v>
      </c>
      <c r="K5" s="130">
        <v>1000</v>
      </c>
      <c r="L5" s="130"/>
      <c r="M5" s="130">
        <f>IFERROR(IF(B5="","",K5/VLOOKUP(AD5,Varsayımlar!B:R,17,0)),"")</f>
        <v>20</v>
      </c>
      <c r="N5" s="130"/>
      <c r="O5" s="130">
        <v>40</v>
      </c>
      <c r="P5" s="130">
        <f>IF(B5="","",VLOOKUP(AD5,Varsayımlar!$B:$Q,7,0)*K5)</f>
        <v>12000</v>
      </c>
      <c r="Q5" s="130">
        <f>IF(B5="","",VLOOKUP(AD5,Varsayımlar!$B:$Q,8,0))</f>
        <v>25</v>
      </c>
      <c r="R5" s="130" t="str">
        <f>IF(B5="","",VLOOKUP(AD5,Varsayımlar!$B:$Q,9,0))</f>
        <v>Standart</v>
      </c>
      <c r="S5" s="130">
        <f>IF(B5="","",VLOOKUP(AD5,Varsayımlar!$B:$Q,10,0))</f>
        <v>12</v>
      </c>
      <c r="T5" s="130">
        <f>IF(B5="","",VLOOKUP(AD5,Varsayımlar!$B:$Q,11,0))</f>
        <v>12</v>
      </c>
      <c r="U5" s="130">
        <f>IF(B5="","",VLOOKUP(AD5,Varsayımlar!$B:$Q,12,0))</f>
        <v>840</v>
      </c>
      <c r="V5" s="130" t="str">
        <f>IF(B5="","",VLOOKUP(AD5,Varsayımlar!$B:$Q,13,0))</f>
        <v>YURTİÇİ</v>
      </c>
      <c r="W5" s="130">
        <f>IF(B5="","",VLOOKUP(AD5,Varsayımlar!$B:$Q,14,0))</f>
        <v>5</v>
      </c>
      <c r="X5" s="133" t="s">
        <v>113</v>
      </c>
      <c r="Y5" s="133" t="s">
        <v>113</v>
      </c>
      <c r="Z5" s="130" t="s">
        <v>113</v>
      </c>
      <c r="AA5" s="130" t="str">
        <f>IF(B5="","",VLOOKUP(AD5,Varsayımlar!$B:$Q,15,0))</f>
        <v>Nimet Kolisi</v>
      </c>
      <c r="AB5" s="130" t="str">
        <f>IF(B5="","",VLOOKUP(AD5,Varsayımlar!$B:$Q,16,0))</f>
        <v>24-26 CM</v>
      </c>
      <c r="AC5" s="64" t="s">
        <v>360</v>
      </c>
      <c r="AD5" s="57" t="str">
        <f>IF(B5="","",CONCATENATE(B5,E5))</f>
        <v>A101Nimet 25cm 12 pcs 840g</v>
      </c>
    </row>
    <row r="6" spans="1:30" ht="47.25" x14ac:dyDescent="0.25">
      <c r="A6" s="8" t="s">
        <v>78</v>
      </c>
      <c r="B6" s="67" t="s">
        <v>268</v>
      </c>
      <c r="C6" s="42">
        <f>IF(B6="","",VLOOKUP(AD6,Varsayımlar!$B:$Q,3,0))</f>
        <v>8698829380698</v>
      </c>
      <c r="D6" s="42" t="s">
        <v>159</v>
      </c>
      <c r="E6" s="67" t="s">
        <v>269</v>
      </c>
      <c r="F6" s="67">
        <v>20250825</v>
      </c>
      <c r="G6" s="42" t="s">
        <v>68</v>
      </c>
      <c r="H6" s="67" t="str">
        <f>IF(B6="","",VLOOKUP(AD6,Varsayımlar!$B:$Q,5,0))</f>
        <v>Tortillas 25cm Tam Buğday</v>
      </c>
      <c r="I6" s="67">
        <f>IF(B6="","",VLOOKUP(AD6,Varsayımlar!B:T,19,0))</f>
        <v>0</v>
      </c>
      <c r="J6" s="67" t="str">
        <f>IF(B6="","",VLOOKUP(AD6,Varsayımlar!$B:$Q,6,0))</f>
        <v>Tam Buğdaylı</v>
      </c>
      <c r="K6" s="67">
        <v>252</v>
      </c>
      <c r="L6" s="67"/>
      <c r="M6" s="67">
        <f>IFERROR(IF(B6="","",K6/VLOOKUP(AD6,Varsayımlar!B:R,17,0)),"")</f>
        <v>3</v>
      </c>
      <c r="N6" s="67"/>
      <c r="O6" s="67">
        <v>5</v>
      </c>
      <c r="P6" s="67">
        <f>IF(B6="","",VLOOKUP(AD6,Varsayımlar!$B:$Q,7,0)*K6)</f>
        <v>7560</v>
      </c>
      <c r="Q6" s="67">
        <f>IF(B6="","",VLOOKUP(AD6,Varsayımlar!$B:$Q,8,0))</f>
        <v>25</v>
      </c>
      <c r="R6" s="67" t="str">
        <f>IF(B6="","",VLOOKUP(AD6,Varsayımlar!$B:$Q,9,0))</f>
        <v>Soft-PA3</v>
      </c>
      <c r="S6" s="67">
        <f>IF(B6="","",VLOOKUP(AD6,Varsayımlar!$B:$Q,10,0))</f>
        <v>4</v>
      </c>
      <c r="T6" s="67">
        <f>IF(B6="","",VLOOKUP(AD6,Varsayımlar!$B:$Q,11,0))</f>
        <v>30</v>
      </c>
      <c r="U6" s="67">
        <f>IF(B6="","",VLOOKUP(AD6,Varsayımlar!$B:$Q,12,0))</f>
        <v>240</v>
      </c>
      <c r="V6" s="67" t="str">
        <f>IF(B6="","",VLOOKUP(AD6,Varsayımlar!$B:$Q,13,0))</f>
        <v>Yurtdışı</v>
      </c>
      <c r="W6" s="67">
        <f>IF(B6="","",VLOOKUP(AD6,Varsayımlar!$B:$Q,14,0))</f>
        <v>12</v>
      </c>
      <c r="X6" s="69">
        <v>46199</v>
      </c>
      <c r="Y6" s="69">
        <v>46564</v>
      </c>
      <c r="Z6" s="67" t="s">
        <v>374</v>
      </c>
      <c r="AA6" s="67" t="str">
        <f>IF(B6="","",VLOOKUP(AD6,Varsayımlar!$B:$Q,15,0))</f>
        <v>25cm Kolisi-Etiketli</v>
      </c>
      <c r="AB6" s="67" t="str">
        <f>IF(B6="","",VLOOKUP(AD6,Varsayımlar!$B:$Q,16,0))</f>
        <v>24-26 cm (Macca Hetto Inkjet Uzun Tarih)</v>
      </c>
      <c r="AC6" s="67" t="str">
        <f>IF(B6="","",VLOOKUP(Sayfa1!AD23,Varsayımlar!B:S,18,0))</f>
        <v>80x120cm</v>
      </c>
      <c r="AD6" s="57" t="str">
        <f t="shared" si="0"/>
        <v>LAIKYUZHN-BELARUSTortillas 25cm Tam buğday 4pcs 240g</v>
      </c>
    </row>
    <row r="7" spans="1:30" ht="47.25" x14ac:dyDescent="0.25">
      <c r="A7" s="8" t="s">
        <v>79</v>
      </c>
      <c r="B7" s="67" t="s">
        <v>268</v>
      </c>
      <c r="C7" s="42">
        <f>IF(B7="","",VLOOKUP(AD7,Varsayımlar!$B:$Q,3,0))</f>
        <v>8698829380698</v>
      </c>
      <c r="D7" s="42" t="s">
        <v>159</v>
      </c>
      <c r="E7" s="67" t="s">
        <v>274</v>
      </c>
      <c r="F7" s="67">
        <v>20250825</v>
      </c>
      <c r="G7" s="42" t="s">
        <v>68</v>
      </c>
      <c r="H7" s="67" t="str">
        <f>IF(B7="","",VLOOKUP(AD7,Varsayımlar!$B:$Q,5,0))</f>
        <v>Tortillas 25cm Domatesli</v>
      </c>
      <c r="I7" s="67">
        <f>IF(B7="","",VLOOKUP(AD7,Varsayımlar!B:T,19,0))</f>
        <v>0</v>
      </c>
      <c r="J7" s="67" t="str">
        <f>IF(B7="","",VLOOKUP(AD7,Varsayımlar!$B:$Q,6,0))</f>
        <v>Domatesli</v>
      </c>
      <c r="K7" s="67">
        <v>252</v>
      </c>
      <c r="L7" s="67"/>
      <c r="M7" s="67">
        <f>IFERROR(IF(B7="","",K7/VLOOKUP(AD7,Varsayımlar!B:R,17,0)),"")</f>
        <v>3</v>
      </c>
      <c r="N7" s="67"/>
      <c r="O7" s="67">
        <v>5</v>
      </c>
      <c r="P7" s="67">
        <f>IF(B7="","",VLOOKUP(AD7,Varsayımlar!$B:$Q,7,0)*K7)</f>
        <v>7560</v>
      </c>
      <c r="Q7" s="67">
        <f>IF(B7="","",VLOOKUP(AD7,Varsayımlar!$B:$Q,8,0))</f>
        <v>25</v>
      </c>
      <c r="R7" s="67" t="str">
        <f>IF(B7="","",VLOOKUP(AD7,Varsayımlar!$B:$Q,9,0))</f>
        <v>Soft-PA3</v>
      </c>
      <c r="S7" s="67">
        <f>IF(B7="","",VLOOKUP(AD7,Varsayımlar!$B:$Q,10,0))</f>
        <v>4</v>
      </c>
      <c r="T7" s="67">
        <f>IF(B7="","",VLOOKUP(AD7,Varsayımlar!$B:$Q,11,0))</f>
        <v>30</v>
      </c>
      <c r="U7" s="67">
        <f>IF(B7="","",VLOOKUP(AD7,Varsayımlar!$B:$Q,12,0))</f>
        <v>240</v>
      </c>
      <c r="V7" s="67" t="str">
        <f>IF(B7="","",VLOOKUP(AD7,Varsayımlar!$B:$Q,13,0))</f>
        <v>Yurtdışı</v>
      </c>
      <c r="W7" s="67">
        <f>IF(B7="","",VLOOKUP(AD7,Varsayımlar!$B:$Q,14,0))</f>
        <v>12</v>
      </c>
      <c r="X7" s="69">
        <v>46199</v>
      </c>
      <c r="Y7" s="69">
        <v>46564</v>
      </c>
      <c r="Z7" s="67" t="s">
        <v>375</v>
      </c>
      <c r="AA7" s="67" t="str">
        <f>IF(B7="","",VLOOKUP(AD7,Varsayımlar!$B:$Q,15,0))</f>
        <v>25cm Kolisi-Etiketli</v>
      </c>
      <c r="AB7" s="67" t="str">
        <f>IF(B7="","",VLOOKUP(AD7,Varsayımlar!$B:$Q,16,0))</f>
        <v>24-26 cm (Macca Hetto Inkjet Uzun Tarih)</v>
      </c>
      <c r="AC7" s="67" t="str">
        <f>IF(B7="","",VLOOKUP(Sayfa1!AD24,Varsayımlar!B:S,18,0))</f>
        <v>80x120cm</v>
      </c>
      <c r="AD7" s="57" t="str">
        <f t="shared" si="0"/>
        <v>LAIKYUZHN-BELARUSTortillas 25cm Domatesli 4pcs 240g</v>
      </c>
    </row>
    <row r="8" spans="1:30" ht="47.25" x14ac:dyDescent="0.25">
      <c r="A8" s="8" t="s">
        <v>80</v>
      </c>
      <c r="B8" s="67" t="s">
        <v>268</v>
      </c>
      <c r="C8" s="42">
        <f>IF(B8="","",VLOOKUP(AD8,Varsayımlar!$B:$Q,3,0))</f>
        <v>8698829380698</v>
      </c>
      <c r="D8" s="42" t="s">
        <v>159</v>
      </c>
      <c r="E8" s="67" t="s">
        <v>276</v>
      </c>
      <c r="F8" s="67">
        <v>20250825</v>
      </c>
      <c r="G8" s="42" t="s">
        <v>68</v>
      </c>
      <c r="H8" s="67" t="str">
        <f>IF(B8="","",VLOOKUP(AD8,Varsayımlar!$B:$Q,5,0))</f>
        <v>Tortillas 25cm Ispanaklı</v>
      </c>
      <c r="I8" s="67">
        <f>IF(B8="","",VLOOKUP(AD8,Varsayımlar!B:T,19,0))</f>
        <v>0</v>
      </c>
      <c r="J8" s="67" t="str">
        <f>IF(B8="","",VLOOKUP(AD8,Varsayımlar!$B:$Q,6,0))</f>
        <v>Ispanaklı</v>
      </c>
      <c r="K8" s="67">
        <v>420</v>
      </c>
      <c r="L8" s="67"/>
      <c r="M8" s="67">
        <f>IFERROR(IF(B8="","",K8/VLOOKUP(AD8,Varsayımlar!B:R,17,0)),"")</f>
        <v>5</v>
      </c>
      <c r="N8" s="67"/>
      <c r="O8" s="67">
        <v>7</v>
      </c>
      <c r="P8" s="67">
        <f>IF(B8="","",VLOOKUP(AD8,Varsayımlar!$B:$Q,7,0)*K8)</f>
        <v>12600</v>
      </c>
      <c r="Q8" s="67">
        <f>IF(B8="","",VLOOKUP(AD8,Varsayımlar!$B:$Q,8,0))</f>
        <v>25</v>
      </c>
      <c r="R8" s="67" t="str">
        <f>IF(B8="","",VLOOKUP(AD8,Varsayımlar!$B:$Q,9,0))</f>
        <v>Soft-PA3</v>
      </c>
      <c r="S8" s="67">
        <f>IF(B8="","",VLOOKUP(AD8,Varsayımlar!$B:$Q,10,0))</f>
        <v>4</v>
      </c>
      <c r="T8" s="67">
        <f>IF(B8="","",VLOOKUP(AD8,Varsayımlar!$B:$Q,11,0))</f>
        <v>30</v>
      </c>
      <c r="U8" s="67">
        <f>IF(B8="","",VLOOKUP(AD8,Varsayımlar!$B:$Q,12,0))</f>
        <v>240</v>
      </c>
      <c r="V8" s="67" t="str">
        <f>IF(B8="","",VLOOKUP(AD8,Varsayımlar!$B:$Q,13,0))</f>
        <v>Yurtdışı</v>
      </c>
      <c r="W8" s="67">
        <f>IF(B8="","",VLOOKUP(AD8,Varsayımlar!$B:$Q,14,0))</f>
        <v>12</v>
      </c>
      <c r="X8" s="69">
        <v>46199</v>
      </c>
      <c r="Y8" s="69">
        <v>46564</v>
      </c>
      <c r="Z8" s="67" t="s">
        <v>376</v>
      </c>
      <c r="AA8" s="67" t="str">
        <f>IF(B8="","",VLOOKUP(AD8,Varsayımlar!$B:$Q,15,0))</f>
        <v>25cm Kolisi-Etiketli</v>
      </c>
      <c r="AB8" s="67" t="str">
        <f>IF(B8="","",VLOOKUP(AD8,Varsayımlar!$B:$Q,16,0))</f>
        <v>24-26 cm (Macca Hetto Inkjet Uzun Tarih)</v>
      </c>
      <c r="AC8" s="67" t="str">
        <f>IF(B8="","",VLOOKUP(Sayfa1!AD25,Varsayımlar!B:S,18,0))</f>
        <v>80x120cm</v>
      </c>
      <c r="AD8" s="57" t="str">
        <f t="shared" si="0"/>
        <v>LAIKYUZHN-BELARUSTortillas 25cm Ispanaklı 4pcs 240g</v>
      </c>
    </row>
    <row r="9" spans="1:30" ht="47.25" x14ac:dyDescent="0.25">
      <c r="A9" s="8" t="s">
        <v>81</v>
      </c>
      <c r="B9" s="67" t="s">
        <v>268</v>
      </c>
      <c r="C9" s="42">
        <f>IF(B9="","",VLOOKUP(AD9,Varsayımlar!$B:$Q,3,0))</f>
        <v>8698829380698</v>
      </c>
      <c r="D9" s="42" t="s">
        <v>159</v>
      </c>
      <c r="E9" s="67" t="s">
        <v>278</v>
      </c>
      <c r="F9" s="67">
        <v>20250825</v>
      </c>
      <c r="G9" s="42" t="s">
        <v>68</v>
      </c>
      <c r="H9" s="67" t="str">
        <f>IF(B9="","",VLOOKUP(AD9,Varsayımlar!$B:$Q,5,0))</f>
        <v>Magnit Tortillas 25cm Peynirli</v>
      </c>
      <c r="I9" s="67" t="str">
        <f>IF(B9="","",VLOOKUP(AD9,Varsayımlar!B:T,19,0))</f>
        <v>Etiketli</v>
      </c>
      <c r="J9" s="67" t="str">
        <f>IF(B9="","",VLOOKUP(AD9,Varsayımlar!$B:$Q,6,0))</f>
        <v>Peynirli</v>
      </c>
      <c r="K9" s="67">
        <v>420</v>
      </c>
      <c r="L9" s="67"/>
      <c r="M9" s="67">
        <f>IFERROR(IF(B9="","",K9/VLOOKUP(AD9,Varsayımlar!B:R,17,0)),"")</f>
        <v>5</v>
      </c>
      <c r="N9" s="67"/>
      <c r="O9" s="67">
        <v>7</v>
      </c>
      <c r="P9" s="67">
        <f>IF(B9="","",VLOOKUP(AD9,Varsayımlar!$B:$Q,7,0)*K9)</f>
        <v>12600</v>
      </c>
      <c r="Q9" s="67">
        <f>IF(B9="","",VLOOKUP(AD9,Varsayımlar!$B:$Q,8,0))</f>
        <v>25</v>
      </c>
      <c r="R9" s="67" t="str">
        <f>IF(B9="","",VLOOKUP(AD9,Varsayımlar!$B:$Q,9,0))</f>
        <v>Soft-PA3-AT</v>
      </c>
      <c r="S9" s="67">
        <f>IF(B9="","",VLOOKUP(AD9,Varsayımlar!$B:$Q,10,0))</f>
        <v>4</v>
      </c>
      <c r="T9" s="67">
        <f>IF(B9="","",VLOOKUP(AD9,Varsayımlar!$B:$Q,11,0))</f>
        <v>30</v>
      </c>
      <c r="U9" s="67">
        <f>IF(B9="","",VLOOKUP(AD9,Varsayımlar!$B:$Q,12,0))</f>
        <v>250</v>
      </c>
      <c r="V9" s="67" t="str">
        <f>IF(B9="","",VLOOKUP(AD9,Varsayımlar!$B:$Q,13,0))</f>
        <v>Yurtdışı</v>
      </c>
      <c r="W9" s="67">
        <f>IF(B9="","",VLOOKUP(AD9,Varsayımlar!$B:$Q,14,0))</f>
        <v>9</v>
      </c>
      <c r="X9" s="69">
        <v>46199</v>
      </c>
      <c r="Y9" s="69">
        <v>46472</v>
      </c>
      <c r="Z9" s="67" t="s">
        <v>377</v>
      </c>
      <c r="AA9" s="67" t="str">
        <f>IF(B9="","",VLOOKUP(AD9,Varsayımlar!$B:$Q,15,0))</f>
        <v>25cm Kolisi-Etiketli</v>
      </c>
      <c r="AB9" s="67" t="str">
        <f>IF(B9="","",VLOOKUP(AD9,Varsayımlar!$B:$Q,16,0))</f>
        <v>24-26 cm (Macca Hetto Inkjet Uzun Tarih)</v>
      </c>
      <c r="AC9" s="67" t="str">
        <f>IF(B9="","",VLOOKUP(Sayfa1!AD26,Varsayımlar!B:S,18,0))</f>
        <v>80x120cm</v>
      </c>
      <c r="AD9" s="57" t="str">
        <f t="shared" si="0"/>
        <v>LAIKYUZHN-BELARUSMagnit Tortillas 25cm Peynirli 4pcs 240g</v>
      </c>
    </row>
    <row r="10" spans="1:30" ht="45" customHeight="1" x14ac:dyDescent="0.25">
      <c r="A10" s="8" t="s">
        <v>82</v>
      </c>
      <c r="B10" s="54" t="s">
        <v>130</v>
      </c>
      <c r="C10" s="39">
        <f>IF(B10="","",VLOOKUP(AD10,Varsayımlar!$B:$Q,3,0))</f>
        <v>8698829380698</v>
      </c>
      <c r="D10" s="39"/>
      <c r="E10" s="39" t="s">
        <v>501</v>
      </c>
      <c r="F10" s="54"/>
      <c r="G10" s="39"/>
      <c r="H10" s="54" t="str">
        <f>IF(B10="","",VLOOKUP(AD10,Varsayımlar!$B:$Q,5,0))</f>
        <v>Tortillas 33cm</v>
      </c>
      <c r="I10" s="54">
        <f>IF(B10="","",VLOOKUP(AD10,Varsayımlar!B:T,19,0))</f>
        <v>0</v>
      </c>
      <c r="J10" s="54" t="str">
        <f>IF(B10="","",VLOOKUP(AD10,Varsayımlar!$B:$Q,6,0))</f>
        <v>Sade</v>
      </c>
      <c r="K10" s="54">
        <v>50</v>
      </c>
      <c r="L10" s="54" t="s">
        <v>529</v>
      </c>
      <c r="M10" s="54" t="str">
        <f>IFERROR(IF(B10="","",K10/VLOOKUP(AD10,Varsayımlar!B:R,17,0)),"")</f>
        <v/>
      </c>
      <c r="N10" s="54"/>
      <c r="O10" s="54">
        <v>6</v>
      </c>
      <c r="P10" s="54">
        <f>IF(B10="","",VLOOKUP(AD10,Varsayımlar!$B:$Q,7,0)*K10)</f>
        <v>600</v>
      </c>
      <c r="Q10" s="54">
        <f>IF(B10="","",VLOOKUP(AD10,Varsayımlar!$B:$Q,8,0))</f>
        <v>33</v>
      </c>
      <c r="R10" s="54" t="str">
        <f>IF(B10="","",VLOOKUP(AD10,Varsayımlar!$B:$Q,9,0))</f>
        <v>Irak Soft</v>
      </c>
      <c r="S10" s="54">
        <f>IF(B10="","",VLOOKUP(AD10,Varsayımlar!$B:$Q,10,0))</f>
        <v>10</v>
      </c>
      <c r="T10" s="54">
        <f>IF(B10="","",VLOOKUP(AD10,Varsayımlar!$B:$Q,11,0))</f>
        <v>12</v>
      </c>
      <c r="U10" s="54">
        <f>IF(B10="","",VLOOKUP(AD10,Varsayımlar!$B:$Q,12,0))</f>
        <v>1000</v>
      </c>
      <c r="V10" s="54" t="str">
        <f>IF(B10="","",VLOOKUP(AD10,Varsayımlar!$B:$Q,13,0))</f>
        <v>Yurtiçi</v>
      </c>
      <c r="W10" s="54">
        <f>IF(B10="","",VLOOKUP(AD10,Varsayımlar!$B:$Q,14,0))</f>
        <v>6</v>
      </c>
      <c r="X10" s="56" t="s">
        <v>113</v>
      </c>
      <c r="Y10" s="56" t="s">
        <v>113</v>
      </c>
      <c r="Z10" s="54" t="s">
        <v>113</v>
      </c>
      <c r="AA10" s="54" t="str">
        <f>IF(B10="","",VLOOKUP(AD10,Varsayımlar!$B:$Q,15,0))</f>
        <v>33cm Kolisi</v>
      </c>
      <c r="AB10" s="54" t="str">
        <f>IF(B10="","",VLOOKUP(AD10,Varsayımlar!$B:$Q,16,0))</f>
        <v>32-34cm</v>
      </c>
      <c r="AC10" s="54" t="str">
        <f>IF(B10="","",VLOOKUP(Sayfa1!AD24,Varsayımlar!B:S,18,0))</f>
        <v>80x120cm</v>
      </c>
      <c r="AD10" s="57" t="str">
        <f t="shared" ref="AD10" si="1">IF(B10="","",CONCATENATE(B10,E10))</f>
        <v>KopuzTortillas 33cm 10pcs 1000g</v>
      </c>
    </row>
    <row r="11" spans="1:30" ht="47.25" x14ac:dyDescent="0.25">
      <c r="A11" s="8" t="s">
        <v>83</v>
      </c>
      <c r="B11" s="62" t="s">
        <v>181</v>
      </c>
      <c r="C11" s="32">
        <f>IF(B11="","",VLOOKUP(AD11,Varsayımlar!$B:$Q,3,0))</f>
        <v>8698829380698</v>
      </c>
      <c r="D11" s="32"/>
      <c r="E11" s="62" t="s">
        <v>182</v>
      </c>
      <c r="F11" s="62">
        <v>26060101</v>
      </c>
      <c r="G11" s="32"/>
      <c r="H11" s="62" t="str">
        <f>IF(B11="","",VLOOKUP(AD11,Varsayımlar!$B:$Q,5,0))</f>
        <v>Tortillove 30cm</v>
      </c>
      <c r="I11" s="62" t="str">
        <f>IF(B11="","",VLOOKUP(AD11,Varsayımlar!B:T,19,0))</f>
        <v>Arka kısma Arnavutça içerik-Tortillove</v>
      </c>
      <c r="J11" s="62" t="str">
        <f>IF(B11="","",VLOOKUP(AD11,Varsayımlar!$B:$Q,6,0))</f>
        <v>SADE</v>
      </c>
      <c r="K11" s="62">
        <v>100</v>
      </c>
      <c r="L11" s="62"/>
      <c r="M11" s="62">
        <f>IFERROR(IF(B11="","",K11/VLOOKUP(AD11,Varsayımlar!B:R,17,0)),"")</f>
        <v>2</v>
      </c>
      <c r="N11" s="62"/>
      <c r="O11" s="62">
        <v>2</v>
      </c>
      <c r="P11" s="62">
        <f>IF(B11="","",VLOOKUP(AD11,Varsayımlar!$B:$Q,7,0)*K11)</f>
        <v>1200</v>
      </c>
      <c r="Q11" s="62">
        <f>IF(B11="","",VLOOKUP(AD11,Varsayımlar!$B:$Q,8,0))</f>
        <v>30</v>
      </c>
      <c r="R11" s="62" t="str">
        <f>IF(B11="","",VLOOKUP(AD11,Varsayımlar!$B:$Q,9,0))</f>
        <v>Irak Soft</v>
      </c>
      <c r="S11" s="62">
        <f>IF(B11="","",VLOOKUP(AD11,Varsayımlar!$B:$Q,10,0))</f>
        <v>10</v>
      </c>
      <c r="T11" s="62">
        <f>IF(B11="","",VLOOKUP(AD11,Varsayımlar!$B:$Q,11,0))</f>
        <v>12</v>
      </c>
      <c r="U11" s="62">
        <f>IF(B11="","",VLOOKUP(AD11,Varsayımlar!$B:$Q,12,0))</f>
        <v>900</v>
      </c>
      <c r="V11" s="62" t="str">
        <f>IF(B11="","",VLOOKUP(AD11,Varsayımlar!$B:$Q,13,0))</f>
        <v>Yurtdışı</v>
      </c>
      <c r="W11" s="62">
        <f>IF(B11="","",VLOOKUP(AD11,Varsayımlar!$B:$Q,14,0))</f>
        <v>12</v>
      </c>
      <c r="X11" s="63">
        <v>46200</v>
      </c>
      <c r="Y11" s="63">
        <v>46565</v>
      </c>
      <c r="Z11" s="62">
        <v>26062730</v>
      </c>
      <c r="AA11" s="62" t="str">
        <f>IF(B11="","",VLOOKUP(AD11,Varsayımlar!$B:$Q,15,0))</f>
        <v>30cm Koli - Tortillove 900g Etiketli</v>
      </c>
      <c r="AB11" s="62" t="str">
        <f>IF(B11="","",VLOOKUP(AD11,Varsayımlar!$B:$Q,16,0))</f>
        <v>29-31 cm</v>
      </c>
      <c r="AC11" s="62">
        <f>IF(B11="","",VLOOKUP(Sayfa1!AD27,Varsayımlar!B:S,18,0))</f>
        <v>0</v>
      </c>
      <c r="AD11" s="57" t="str">
        <f t="shared" si="0"/>
        <v>ALDİ - KOSOVATortillove 30cm 10pcs 900g</v>
      </c>
    </row>
    <row r="12" spans="1:30" ht="47.25" x14ac:dyDescent="0.25">
      <c r="A12" s="8" t="s">
        <v>84</v>
      </c>
      <c r="B12" s="62" t="s">
        <v>181</v>
      </c>
      <c r="C12" s="32">
        <f>IF(B12="","",VLOOKUP(AD12,Varsayımlar!$B:$Q,3,0))</f>
        <v>8698829380698</v>
      </c>
      <c r="D12" s="32"/>
      <c r="E12" s="62" t="s">
        <v>185</v>
      </c>
      <c r="F12" s="62">
        <v>26060101</v>
      </c>
      <c r="G12" s="32"/>
      <c r="H12" s="62" t="str">
        <f>IF(B12="","",VLOOKUP(AD12,Varsayımlar!$B:$Q,5,0))</f>
        <v>Tortillas 30cm</v>
      </c>
      <c r="I12" s="62" t="str">
        <f>IF(B12="","",VLOOKUP(AD12,Varsayımlar!B:T,19,0))</f>
        <v>Arka kısma Arnavutça içerik-Tortillas</v>
      </c>
      <c r="J12" s="62" t="str">
        <f>IF(B12="","",VLOOKUP(AD12,Varsayımlar!$B:$Q,6,0))</f>
        <v>SADE</v>
      </c>
      <c r="K12" s="62">
        <v>50</v>
      </c>
      <c r="L12" s="62"/>
      <c r="M12" s="62">
        <f>IFERROR(IF(B12="","",K12/VLOOKUP(AD12,Varsayımlar!B:R,17,0)),"")</f>
        <v>1</v>
      </c>
      <c r="N12" s="62"/>
      <c r="O12" s="62">
        <v>1</v>
      </c>
      <c r="P12" s="62">
        <f>IF(B12="","",VLOOKUP(AD12,Varsayımlar!$B:$Q,7,0)*K12)</f>
        <v>600</v>
      </c>
      <c r="Q12" s="62">
        <f>IF(B12="","",VLOOKUP(AD12,Varsayımlar!$B:$Q,8,0))</f>
        <v>30</v>
      </c>
      <c r="R12" s="62" t="str">
        <f>IF(B12="","",VLOOKUP(AD12,Varsayımlar!$B:$Q,9,0))</f>
        <v>Irak Soft</v>
      </c>
      <c r="S12" s="62">
        <f>IF(B12="","",VLOOKUP(AD12,Varsayımlar!$B:$Q,10,0))</f>
        <v>10</v>
      </c>
      <c r="T12" s="62">
        <f>IF(B12="","",VLOOKUP(AD12,Varsayımlar!$B:$Q,11,0))</f>
        <v>12</v>
      </c>
      <c r="U12" s="62">
        <f>IF(B12="","",VLOOKUP(AD12,Varsayımlar!$B:$Q,12,0))</f>
        <v>900</v>
      </c>
      <c r="V12" s="62" t="str">
        <f>IF(B12="","",VLOOKUP(AD12,Varsayımlar!$B:$Q,13,0))</f>
        <v>Yurtdışı</v>
      </c>
      <c r="W12" s="62">
        <f>IF(B12="","",VLOOKUP(AD12,Varsayımlar!$B:$Q,14,0))</f>
        <v>12</v>
      </c>
      <c r="X12" s="63">
        <v>46200</v>
      </c>
      <c r="Y12" s="63">
        <v>46565</v>
      </c>
      <c r="Z12" s="62">
        <v>26062730</v>
      </c>
      <c r="AA12" s="62" t="str">
        <f>IF(B12="","",VLOOKUP(AD12,Varsayımlar!$B:$Q,15,0))</f>
        <v>30cm Koli - Tortillas 900g Etiketli</v>
      </c>
      <c r="AB12" s="62" t="str">
        <f>IF(B12="","",VLOOKUP(AD12,Varsayımlar!$B:$Q,16,0))</f>
        <v>29-31 cm</v>
      </c>
      <c r="AC12" s="62">
        <f>IF(B12="","",VLOOKUP(Sayfa1!AD28,Varsayımlar!B:S,18,0))</f>
        <v>0</v>
      </c>
      <c r="AD12" s="57" t="str">
        <f t="shared" si="0"/>
        <v>ALDİ - KOSOVATortillas 30cm 10pcs 900g</v>
      </c>
    </row>
    <row r="13" spans="1:30" ht="63" x14ac:dyDescent="0.25">
      <c r="A13" s="8" t="s">
        <v>85</v>
      </c>
      <c r="B13" s="62" t="s">
        <v>181</v>
      </c>
      <c r="C13" s="32">
        <f>IF(B13="","",VLOOKUP(AD13,Varsayımlar!$B:$Q,3,0))</f>
        <v>8698829380698</v>
      </c>
      <c r="D13" s="32"/>
      <c r="E13" s="32" t="s">
        <v>372</v>
      </c>
      <c r="F13" s="62">
        <v>26060101</v>
      </c>
      <c r="G13" s="32"/>
      <c r="H13" s="62" t="str">
        <f>IF(B13="","",VLOOKUP(AD13,Varsayımlar!$B:$Q,5,0))</f>
        <v>Tortillove Tam Buğday 25cm</v>
      </c>
      <c r="I13" s="62" t="str">
        <f>IF(B13="","",VLOOKUP(AD13,Varsayımlar!B:T,19,0))</f>
        <v>Barkod üzerine Arnavutça TB içerik+Barkod-Tortillove</v>
      </c>
      <c r="J13" s="62" t="str">
        <f>IF(B13="","",VLOOKUP(AD13,Varsayımlar!$B:$Q,6,0))</f>
        <v>Tam Buğdaylı</v>
      </c>
      <c r="K13" s="62">
        <v>84</v>
      </c>
      <c r="L13" s="62"/>
      <c r="M13" s="62">
        <f>IFERROR(IF(B13="","",K13/VLOOKUP(AD13,Varsayımlar!B:R,17,0)),"")</f>
        <v>1</v>
      </c>
      <c r="N13" s="62"/>
      <c r="O13" s="62">
        <v>2</v>
      </c>
      <c r="P13" s="62">
        <f>IF(B13="","",VLOOKUP(AD13,Varsayımlar!$B:$Q,7,0)*K13)</f>
        <v>1512</v>
      </c>
      <c r="Q13" s="62">
        <f>IF(B13="","",VLOOKUP(AD13,Varsayımlar!$B:$Q,8,0))</f>
        <v>25</v>
      </c>
      <c r="R13" s="62" t="str">
        <f>IF(B13="","",VLOOKUP(AD13,Varsayımlar!$B:$Q,9,0))</f>
        <v>Irak Soft</v>
      </c>
      <c r="S13" s="62">
        <f>IF(B13="","",VLOOKUP(AD13,Varsayımlar!$B:$Q,10,0))</f>
        <v>6</v>
      </c>
      <c r="T13" s="62">
        <f>IF(B13="","",VLOOKUP(AD13,Varsayımlar!$B:$Q,11,0))</f>
        <v>18</v>
      </c>
      <c r="U13" s="62">
        <f>IF(B13="","",VLOOKUP(AD13,Varsayımlar!$B:$Q,12,0))</f>
        <v>390</v>
      </c>
      <c r="V13" s="62" t="str">
        <f>IF(B13="","",VLOOKUP(AD13,Varsayımlar!$B:$Q,13,0))</f>
        <v>Yurtdışı</v>
      </c>
      <c r="W13" s="62">
        <f>IF(B13="","",VLOOKUP(AD13,Varsayımlar!$B:$Q,14,0))</f>
        <v>12</v>
      </c>
      <c r="X13" s="63">
        <v>46200</v>
      </c>
      <c r="Y13" s="63">
        <v>46565</v>
      </c>
      <c r="Z13" s="62">
        <v>26062725</v>
      </c>
      <c r="AA13" s="62" t="str">
        <f>IF(B13="","",VLOOKUP(AD13,Varsayımlar!$B:$Q,15,0))</f>
        <v>25cm Koli - Tortillove 390g TB Etiketli</v>
      </c>
      <c r="AB13" s="62" t="str">
        <f>IF(B13="","",VLOOKUP(AD13,Varsayımlar!$B:$Q,16,0))</f>
        <v>24-26 cm</v>
      </c>
      <c r="AC13" s="62">
        <f>IF(B13="","",VLOOKUP(Sayfa1!AD29,Varsayımlar!B:S,18,0))</f>
        <v>0</v>
      </c>
      <c r="AD13" s="57" t="str">
        <f t="shared" si="0"/>
        <v>ALDİ - KOSOVATortillove 25cm TB 6pcs 390g</v>
      </c>
    </row>
    <row r="14" spans="1:30" ht="63" x14ac:dyDescent="0.25">
      <c r="A14" s="8" t="s">
        <v>86</v>
      </c>
      <c r="B14" s="62" t="s">
        <v>181</v>
      </c>
      <c r="C14" s="32">
        <f>IF(B14="","",VLOOKUP(AD14,Varsayımlar!$B:$Q,3,0))</f>
        <v>8698829380698</v>
      </c>
      <c r="D14" s="32"/>
      <c r="E14" s="32" t="s">
        <v>251</v>
      </c>
      <c r="F14" s="62">
        <v>26060101</v>
      </c>
      <c r="G14" s="32"/>
      <c r="H14" s="62" t="str">
        <f>IF(B14="","",VLOOKUP(AD14,Varsayımlar!$B:$Q,5,0))</f>
        <v>Tortillas Tam Buğday 25cm</v>
      </c>
      <c r="I14" s="62" t="str">
        <f>IF(B14="","",VLOOKUP(AD14,Varsayımlar!B:T,19,0))</f>
        <v>Barkod üzerine Arnavutça TB içerik+Barkod-Tortillas</v>
      </c>
      <c r="J14" s="62" t="str">
        <f>IF(B14="","",VLOOKUP(AD14,Varsayımlar!$B:$Q,6,0))</f>
        <v>Tam Buğdaylı</v>
      </c>
      <c r="K14" s="62">
        <v>84</v>
      </c>
      <c r="L14" s="62"/>
      <c r="M14" s="62">
        <f>IFERROR(IF(B14="","",K14/VLOOKUP(AD14,Varsayımlar!B:R,17,0)),"")</f>
        <v>1</v>
      </c>
      <c r="N14" s="62"/>
      <c r="O14" s="62">
        <v>2</v>
      </c>
      <c r="P14" s="62">
        <f>IF(B14="","",VLOOKUP(AD14,Varsayımlar!$B:$Q,7,0)*K14)</f>
        <v>1512</v>
      </c>
      <c r="Q14" s="62">
        <f>IF(B14="","",VLOOKUP(AD14,Varsayımlar!$B:$Q,8,0))</f>
        <v>25</v>
      </c>
      <c r="R14" s="62" t="str">
        <f>IF(B14="","",VLOOKUP(AD14,Varsayımlar!$B:$Q,9,0))</f>
        <v>Irak Soft</v>
      </c>
      <c r="S14" s="62">
        <f>IF(B14="","",VLOOKUP(AD14,Varsayımlar!$B:$Q,10,0))</f>
        <v>6</v>
      </c>
      <c r="T14" s="62">
        <f>IF(B14="","",VLOOKUP(AD14,Varsayımlar!$B:$Q,11,0))</f>
        <v>18</v>
      </c>
      <c r="U14" s="62">
        <f>IF(B14="","",VLOOKUP(AD14,Varsayımlar!$B:$Q,12,0))</f>
        <v>390</v>
      </c>
      <c r="V14" s="62" t="str">
        <f>IF(B14="","",VLOOKUP(AD14,Varsayımlar!$B:$Q,13,0))</f>
        <v>Yurtdışı</v>
      </c>
      <c r="W14" s="62">
        <f>IF(B14="","",VLOOKUP(AD14,Varsayımlar!$B:$Q,14,0))</f>
        <v>12</v>
      </c>
      <c r="X14" s="63">
        <v>46200</v>
      </c>
      <c r="Y14" s="63">
        <v>46565</v>
      </c>
      <c r="Z14" s="62">
        <v>26062725</v>
      </c>
      <c r="AA14" s="62" t="str">
        <f>IF(B14="","",VLOOKUP(AD14,Varsayımlar!$B:$Q,15,0))</f>
        <v>25cm Koli - Tortillas 390g TB Etiketli</v>
      </c>
      <c r="AB14" s="62" t="str">
        <f>IF(B14="","",VLOOKUP(AD14,Varsayımlar!$B:$Q,16,0))</f>
        <v>24-26 cm</v>
      </c>
      <c r="AC14" s="62">
        <f>IF(B14="","",VLOOKUP(Sayfa1!AD30,Varsayımlar!B:S,18,0))</f>
        <v>0</v>
      </c>
      <c r="AD14" s="57" t="str">
        <f t="shared" si="0"/>
        <v>ALDİ - KOSOVATortillas 25cm TB 6pcs 390g</v>
      </c>
    </row>
    <row r="15" spans="1:30" ht="45.75" customHeight="1" x14ac:dyDescent="0.25">
      <c r="A15" s="8" t="s">
        <v>87</v>
      </c>
      <c r="B15" s="130" t="s">
        <v>119</v>
      </c>
      <c r="C15" s="131">
        <f>IF(B15="","",VLOOKUP(AD15,Varsayımlar!$B:$Q,3,0))</f>
        <v>8698829380698</v>
      </c>
      <c r="D15" s="131"/>
      <c r="E15" s="132" t="s">
        <v>120</v>
      </c>
      <c r="F15" s="130"/>
      <c r="G15" s="130"/>
      <c r="H15" s="130" t="str">
        <f>IF(B15="","",VLOOKUP(AD15,Varsayımlar!$B:$Q,5,0))</f>
        <v>Nimet 25 cm</v>
      </c>
      <c r="I15" s="130"/>
      <c r="J15" s="130" t="str">
        <f>IF(B15="","",VLOOKUP(AD15,Varsayımlar!$B:$Q,6,0))</f>
        <v>SADE</v>
      </c>
      <c r="K15" s="130">
        <v>2000</v>
      </c>
      <c r="L15" s="130"/>
      <c r="M15" s="130">
        <f>IFERROR(IF(B15="","",K15/VLOOKUP(AD15,Varsayımlar!B:R,17,0)),"")</f>
        <v>40</v>
      </c>
      <c r="N15" s="130"/>
      <c r="O15" s="130">
        <v>40</v>
      </c>
      <c r="P15" s="130">
        <f>IF(B15="","",VLOOKUP(AD15,Varsayımlar!$B:$Q,7,0)*K15)</f>
        <v>24000</v>
      </c>
      <c r="Q15" s="130">
        <f>IF(B15="","",VLOOKUP(AD15,Varsayımlar!$B:$Q,8,0))</f>
        <v>25</v>
      </c>
      <c r="R15" s="130" t="str">
        <f>IF(B15="","",VLOOKUP(AD15,Varsayımlar!$B:$Q,9,0))</f>
        <v>Standart</v>
      </c>
      <c r="S15" s="130">
        <f>IF(B15="","",VLOOKUP(AD15,Varsayımlar!$B:$Q,10,0))</f>
        <v>12</v>
      </c>
      <c r="T15" s="130">
        <f>IF(B15="","",VLOOKUP(AD15,Varsayımlar!$B:$Q,11,0))</f>
        <v>12</v>
      </c>
      <c r="U15" s="130">
        <f>IF(B15="","",VLOOKUP(AD15,Varsayımlar!$B:$Q,12,0))</f>
        <v>840</v>
      </c>
      <c r="V15" s="130" t="str">
        <f>IF(B15="","",VLOOKUP(AD15,Varsayımlar!$B:$Q,13,0))</f>
        <v>YURTİÇİ</v>
      </c>
      <c r="W15" s="130">
        <f>IF(B15="","",VLOOKUP(AD15,Varsayımlar!$B:$Q,14,0))</f>
        <v>5</v>
      </c>
      <c r="X15" s="133" t="s">
        <v>113</v>
      </c>
      <c r="Y15" s="133" t="s">
        <v>113</v>
      </c>
      <c r="Z15" s="130" t="s">
        <v>113</v>
      </c>
      <c r="AA15" s="130" t="str">
        <f>IF(B15="","",VLOOKUP(AD15,Varsayımlar!$B:$Q,15,0))</f>
        <v>Nimet Kolisi</v>
      </c>
      <c r="AB15" s="130" t="str">
        <f>IF(B15="","",VLOOKUP(AD15,Varsayımlar!$B:$Q,16,0))</f>
        <v>24-26 CM</v>
      </c>
      <c r="AC15" s="64" t="s">
        <v>360</v>
      </c>
      <c r="AD15" s="57" t="str">
        <f>IF(B15="","",CONCATENATE(B15,E15))</f>
        <v>A101Nimet 25cm 12 pcs 840g</v>
      </c>
    </row>
    <row r="16" spans="1:30" ht="31.5" x14ac:dyDescent="0.25">
      <c r="A16" s="8" t="s">
        <v>88</v>
      </c>
      <c r="B16" s="64" t="s">
        <v>288</v>
      </c>
      <c r="C16" s="3">
        <f>IF(B16="","",VLOOKUP(AD16,Varsayımlar!$B:$Q,3,0))</f>
        <v>8698829380698</v>
      </c>
      <c r="D16" s="3"/>
      <c r="E16" s="64" t="s">
        <v>289</v>
      </c>
      <c r="F16" s="64">
        <v>20201016</v>
      </c>
      <c r="G16" s="3" t="s">
        <v>68</v>
      </c>
      <c r="H16" s="64" t="str">
        <f>IF(B16="","",VLOOKUP(AD16,Varsayımlar!$B:$Q,5,0))</f>
        <v>Tortillas 25cm Tam Buğday</v>
      </c>
      <c r="I16" s="64" t="str">
        <f>IF(B16="","",VLOOKUP(AD16,Varsayımlar!B:T,19,0))</f>
        <v>Arka kısma İçerik</v>
      </c>
      <c r="J16" s="64" t="str">
        <f>IF(B16="","",VLOOKUP(AD16,Varsayımlar!$B:$Q,6,0))</f>
        <v>Tam Buğdaylı</v>
      </c>
      <c r="K16" s="64">
        <v>250</v>
      </c>
      <c r="L16" s="64"/>
      <c r="M16" s="64">
        <f>IFERROR(IF(B16="","",K16/VLOOKUP(AD16,Varsayımlar!B:R,17,0)),"")</f>
        <v>5</v>
      </c>
      <c r="N16" s="64"/>
      <c r="O16" s="64">
        <v>4</v>
      </c>
      <c r="P16" s="64">
        <f>IF(B16="","",VLOOKUP(AD16,Varsayımlar!$B:$Q,7,0)*K16)</f>
        <v>4500</v>
      </c>
      <c r="Q16" s="64">
        <f>IF(B16="","",VLOOKUP(AD16,Varsayımlar!$B:$Q,8,0))</f>
        <v>25</v>
      </c>
      <c r="R16" s="64" t="str">
        <f>IF(B16="","",VLOOKUP(AD16,Varsayımlar!$B:$Q,9,0))</f>
        <v>Irak Soft</v>
      </c>
      <c r="S16" s="64">
        <f>IF(B16="","",VLOOKUP(AD16,Varsayımlar!$B:$Q,10,0))</f>
        <v>6</v>
      </c>
      <c r="T16" s="64">
        <f>IF(B16="","",VLOOKUP(AD16,Varsayımlar!$B:$Q,11,0))</f>
        <v>18</v>
      </c>
      <c r="U16" s="64">
        <f>IF(B16="","",VLOOKUP(AD16,Varsayımlar!$B:$Q,12,0))</f>
        <v>390</v>
      </c>
      <c r="V16" s="64" t="str">
        <f>IF(B16="","",VLOOKUP(AD16,Varsayımlar!$B:$Q,13,0))</f>
        <v>YURTDIŞI</v>
      </c>
      <c r="W16" s="64">
        <f>IF(B16="","",VLOOKUP(AD16,Varsayımlar!$B:$Q,14,0))</f>
        <v>9</v>
      </c>
      <c r="X16" s="66">
        <v>46202</v>
      </c>
      <c r="Y16" s="66">
        <v>46475</v>
      </c>
      <c r="Z16" s="64" t="s">
        <v>378</v>
      </c>
      <c r="AA16" s="64" t="str">
        <f>IF(B16="","",VLOOKUP(AD16,Varsayımlar!$B:$Q,15,0))</f>
        <v>25cm Koli-Kazakça Etiketli</v>
      </c>
      <c r="AB16" s="64" t="str">
        <f>IF(B16="","",VLOOKUP(AD16,Varsayımlar!$B:$Q,16,0))</f>
        <v>24-26 cm</v>
      </c>
      <c r="AC16" s="64" t="str">
        <f>IF(B16="","",VLOOKUP(Sayfa1!AD40,Varsayımlar!B:S,18,0))</f>
        <v>80x120cm</v>
      </c>
      <c r="AD16" s="57" t="str">
        <f t="shared" si="0"/>
        <v>UNITERA-KAZAKİSTANTortillas 25cm Tam Buğday 6pcs 390g</v>
      </c>
    </row>
    <row r="17" spans="1:30" ht="31.5" x14ac:dyDescent="0.25">
      <c r="A17" s="8" t="s">
        <v>89</v>
      </c>
      <c r="B17" s="64" t="s">
        <v>288</v>
      </c>
      <c r="C17" s="3">
        <f>IF(B17="","",VLOOKUP(AD17,Varsayımlar!$B:$Q,3,0))</f>
        <v>8698829380698</v>
      </c>
      <c r="D17" s="3"/>
      <c r="E17" s="64" t="s">
        <v>252</v>
      </c>
      <c r="F17" s="64">
        <v>20201016</v>
      </c>
      <c r="G17" s="3" t="s">
        <v>68</v>
      </c>
      <c r="H17" s="64" t="str">
        <f>IF(B17="","",VLOOKUP(AD17,Varsayımlar!$B:$Q,5,0))</f>
        <v>Tortillas 20cm Sade</v>
      </c>
      <c r="I17" s="64" t="str">
        <f>IF(B17="","",VLOOKUP(AD17,Varsayımlar!B:T,19,0))</f>
        <v>Arka kısma İçerik</v>
      </c>
      <c r="J17" s="64" t="str">
        <f>IF(B17="","",VLOOKUP(AD17,Varsayımlar!$B:$Q,6,0))</f>
        <v>SADE</v>
      </c>
      <c r="K17" s="64">
        <v>300</v>
      </c>
      <c r="L17" s="64"/>
      <c r="M17" s="64">
        <f>IFERROR(IF(B17="","",K17/VLOOKUP(AD17,Varsayımlar!B:R,17,0)),"")</f>
        <v>3</v>
      </c>
      <c r="N17" s="64"/>
      <c r="O17" s="64">
        <v>5</v>
      </c>
      <c r="P17" s="64">
        <f>IF(B17="","",VLOOKUP(AD17,Varsayımlar!$B:$Q,7,0)*K17)</f>
        <v>5400</v>
      </c>
      <c r="Q17" s="64">
        <f>IF(B17="","",VLOOKUP(AD17,Varsayımlar!$B:$Q,8,0))</f>
        <v>20</v>
      </c>
      <c r="R17" s="64" t="str">
        <f>IF(B17="","",VLOOKUP(AD17,Varsayımlar!$B:$Q,9,0))</f>
        <v>Irak Soft</v>
      </c>
      <c r="S17" s="64">
        <f>IF(B17="","",VLOOKUP(AD17,Varsayımlar!$B:$Q,10,0))</f>
        <v>6</v>
      </c>
      <c r="T17" s="64">
        <f>IF(B17="","",VLOOKUP(AD17,Varsayımlar!$B:$Q,11,0))</f>
        <v>18</v>
      </c>
      <c r="U17" s="64">
        <f>IF(B17="","",VLOOKUP(AD17,Varsayımlar!$B:$Q,12,0))</f>
        <v>270</v>
      </c>
      <c r="V17" s="64" t="str">
        <f>IF(B17="","",VLOOKUP(AD17,Varsayımlar!$B:$Q,13,0))</f>
        <v>YURTDIŞI</v>
      </c>
      <c r="W17" s="64">
        <f>IF(B17="","",VLOOKUP(AD17,Varsayımlar!$B:$Q,14,0))</f>
        <v>9</v>
      </c>
      <c r="X17" s="66">
        <v>46202</v>
      </c>
      <c r="Y17" s="66">
        <v>46475</v>
      </c>
      <c r="Z17" s="64">
        <v>26062920</v>
      </c>
      <c r="AA17" s="64" t="str">
        <f>IF(B17="","",VLOOKUP(AD17,Varsayımlar!$B:$Q,15,0))</f>
        <v>20cm Koli</v>
      </c>
      <c r="AB17" s="64" t="str">
        <f>IF(B17="","",VLOOKUP(AD17,Varsayımlar!$B:$Q,16,0))</f>
        <v>19-21cm</v>
      </c>
      <c r="AC17" s="64" t="str">
        <f>IF(B17="","",VLOOKUP(Sayfa1!AD41,Varsayımlar!B:S,18,0))</f>
        <v>80x120cm</v>
      </c>
      <c r="AD17" s="57" t="str">
        <f t="shared" si="0"/>
        <v>UNITERA-KAZAKİSTANTortillas 20cm Sade 6pcs 270g</v>
      </c>
    </row>
    <row r="18" spans="1:30" ht="31.5" x14ac:dyDescent="0.25">
      <c r="A18" s="8" t="s">
        <v>90</v>
      </c>
      <c r="B18" s="80" t="s">
        <v>218</v>
      </c>
      <c r="C18" s="44">
        <f>IF(B18="","",VLOOKUP(AD18,Varsayımlar!$B:$Q,3,0))</f>
        <v>8698829380698</v>
      </c>
      <c r="D18" s="44" t="s">
        <v>160</v>
      </c>
      <c r="E18" s="80" t="s">
        <v>229</v>
      </c>
      <c r="F18" s="80">
        <v>26042907</v>
      </c>
      <c r="G18" s="44"/>
      <c r="H18" s="80" t="str">
        <f>IF(B18="","",VLOOKUP(AD18,Varsayımlar!$B:$Q,5,0))</f>
        <v>Tortillas Avrupa 25cm Tam Buğday (711)</v>
      </c>
      <c r="I18" s="80">
        <f>IF(B18="","",VLOOKUP(AD18,Varsayımlar!B:T,19,0))</f>
        <v>0</v>
      </c>
      <c r="J18" s="80" t="str">
        <f>IF(B18="","",VLOOKUP(AD18,Varsayımlar!$B:$Q,6,0))</f>
        <v>Tam Buğdaylı</v>
      </c>
      <c r="K18" s="80">
        <v>840</v>
      </c>
      <c r="L18" s="80"/>
      <c r="M18" s="80">
        <f>IFERROR(IF(B18="","",K18/VLOOKUP(AD18,Varsayımlar!B:R,17,0)),"")</f>
        <v>7</v>
      </c>
      <c r="N18" s="80"/>
      <c r="O18" s="80">
        <v>9</v>
      </c>
      <c r="P18" s="80">
        <f>IF(B18="","",VLOOKUP(AD18,Varsayımlar!$B:$Q,7,0)*K18)</f>
        <v>6720</v>
      </c>
      <c r="Q18" s="80">
        <f>IF(B18="","",VLOOKUP(AD18,Varsayımlar!$B:$Q,8,0))</f>
        <v>25</v>
      </c>
      <c r="R18" s="80" t="str">
        <f>IF(B18="","",VLOOKUP(AD18,Varsayımlar!$B:$Q,9,0))</f>
        <v>Irak Soft</v>
      </c>
      <c r="S18" s="80">
        <f>IF(B18="","",VLOOKUP(AD18,Varsayımlar!$B:$Q,10,0))</f>
        <v>10</v>
      </c>
      <c r="T18" s="80">
        <f>IF(B18="","",VLOOKUP(AD18,Varsayımlar!$B:$Q,11,0))</f>
        <v>8</v>
      </c>
      <c r="U18" s="80">
        <f>IF(B18="","",VLOOKUP(AD18,Varsayımlar!$B:$Q,12,0))</f>
        <v>650</v>
      </c>
      <c r="V18" s="80" t="str">
        <f>IF(B18="","",VLOOKUP(AD18,Varsayımlar!$B:$Q,13,0))</f>
        <v>Yurtdışı</v>
      </c>
      <c r="W18" s="80">
        <f>IF(B18="","",VLOOKUP(AD18,Varsayımlar!$B:$Q,14,0))</f>
        <v>9</v>
      </c>
      <c r="X18" s="81">
        <v>46203</v>
      </c>
      <c r="Y18" s="81">
        <v>46476</v>
      </c>
      <c r="Z18" s="80" t="s">
        <v>379</v>
      </c>
      <c r="AA18" s="80" t="str">
        <f>IF(B18="","",VLOOKUP(AD18,Varsayımlar!$B:$Q,15,0))</f>
        <v>25cm Perforeli-Bulgarca TB etiket</v>
      </c>
      <c r="AB18" s="80" t="str">
        <f>IF(B18="","",VLOOKUP(AD18,Varsayımlar!$B:$Q,16,0))</f>
        <v>24-26 cm</v>
      </c>
      <c r="AC18" s="80" t="str">
        <f>IF(B18="","",VLOOKUP(Sayfa1!AD57,Varsayımlar!B:S,18,0))</f>
        <v>80x120cm -Epal+Epal</v>
      </c>
      <c r="AD18" s="57" t="str">
        <f t="shared" si="0"/>
        <v>TASTE LAND-BULGARİSTANTortillas 25cm Tam Buğday 10pcs 650g</v>
      </c>
    </row>
    <row r="19" spans="1:30" ht="47.25" x14ac:dyDescent="0.25">
      <c r="A19" s="8" t="s">
        <v>91</v>
      </c>
      <c r="B19" s="80" t="s">
        <v>218</v>
      </c>
      <c r="C19" s="44">
        <f>IF(B19="","",VLOOKUP(AD19,Varsayımlar!$B:$Q,3,0))</f>
        <v>8698829380698</v>
      </c>
      <c r="D19" s="44" t="s">
        <v>160</v>
      </c>
      <c r="E19" s="80" t="s">
        <v>232</v>
      </c>
      <c r="F19" s="80">
        <v>26042907</v>
      </c>
      <c r="G19" s="44"/>
      <c r="H19" s="80" t="str">
        <f>IF(B19="","",VLOOKUP(AD19,Varsayımlar!$B:$Q,5,0))</f>
        <v>Tortillas Avrupa 25cm Domatesli (074)</v>
      </c>
      <c r="I19" s="80">
        <f>IF(B19="","",VLOOKUP(AD19,Varsayımlar!B:T,19,0))</f>
        <v>0</v>
      </c>
      <c r="J19" s="80" t="str">
        <f>IF(B19="","",VLOOKUP(AD19,Varsayımlar!$B:$Q,6,0))</f>
        <v>Domatesli</v>
      </c>
      <c r="K19" s="80">
        <v>480</v>
      </c>
      <c r="L19" s="80" t="s">
        <v>533</v>
      </c>
      <c r="M19" s="80">
        <f>IFERROR(IF(B19="","",K19/VLOOKUP(AD19,Varsayımlar!B:R,17,0)),"")</f>
        <v>4</v>
      </c>
      <c r="N19" s="80"/>
      <c r="O19" s="80">
        <v>5</v>
      </c>
      <c r="P19" s="80">
        <f>IF(B19="","",VLOOKUP(AD19,Varsayımlar!$B:$Q,7,0)*K19)</f>
        <v>5760</v>
      </c>
      <c r="Q19" s="80">
        <f>IF(B19="","",VLOOKUP(AD19,Varsayımlar!$B:$Q,8,0))</f>
        <v>25</v>
      </c>
      <c r="R19" s="80" t="str">
        <f>IF(B19="","",VLOOKUP(AD19,Varsayımlar!$B:$Q,9,0))</f>
        <v>Irak Soft</v>
      </c>
      <c r="S19" s="80">
        <f>IF(B19="","",VLOOKUP(AD19,Varsayımlar!$B:$Q,10,0))</f>
        <v>6</v>
      </c>
      <c r="T19" s="80">
        <f>IF(B19="","",VLOOKUP(AD19,Varsayımlar!$B:$Q,11,0))</f>
        <v>12</v>
      </c>
      <c r="U19" s="80">
        <f>IF(B19="","",VLOOKUP(AD19,Varsayımlar!$B:$Q,12,0))</f>
        <v>390</v>
      </c>
      <c r="V19" s="80" t="str">
        <f>IF(B19="","",VLOOKUP(AD19,Varsayımlar!$B:$Q,13,0))</f>
        <v>Yurtdışı</v>
      </c>
      <c r="W19" s="80">
        <f>IF(B19="","",VLOOKUP(AD19,Varsayımlar!$B:$Q,14,0))</f>
        <v>9</v>
      </c>
      <c r="X19" s="81">
        <v>46203</v>
      </c>
      <c r="Y19" s="81">
        <v>46476</v>
      </c>
      <c r="Z19" s="80" t="s">
        <v>380</v>
      </c>
      <c r="AA19" s="80" t="str">
        <f>IF(B19="","",VLOOKUP(AD19,Varsayımlar!$B:$Q,15,0))</f>
        <v>25cm Perforeli-Bulgarca Domatesli etiket</v>
      </c>
      <c r="AB19" s="80" t="str">
        <f>IF(B19="","",VLOOKUP(AD19,Varsayımlar!$B:$Q,16,0))</f>
        <v>24-26 cm</v>
      </c>
      <c r="AC19" s="80" t="str">
        <f>IF(B19="","",VLOOKUP(Sayfa1!AD58,Varsayımlar!B:S,18,0))</f>
        <v>80x120cm -Epal+Epal</v>
      </c>
      <c r="AD19" s="57" t="str">
        <f t="shared" si="0"/>
        <v>TASTE LAND-BULGARİSTANTortillas 25cm Domatesli 6pcs 390g</v>
      </c>
    </row>
    <row r="20" spans="1:30" ht="47.25" x14ac:dyDescent="0.25">
      <c r="A20" s="8" t="s">
        <v>92</v>
      </c>
      <c r="B20" s="80" t="s">
        <v>218</v>
      </c>
      <c r="C20" s="44">
        <f>IF(B20="","",VLOOKUP(AD20,Varsayımlar!$B:$Q,3,0))</f>
        <v>8698829380698</v>
      </c>
      <c r="D20" s="44" t="s">
        <v>160</v>
      </c>
      <c r="E20" s="80" t="s">
        <v>235</v>
      </c>
      <c r="F20" s="80">
        <v>26042907</v>
      </c>
      <c r="G20" s="44"/>
      <c r="H20" s="80" t="str">
        <f>IF(B20="","",VLOOKUP(AD20,Varsayımlar!$B:$Q,5,0))</f>
        <v>Tortillas Avrupa 25cm Ispanaklı (081)</v>
      </c>
      <c r="I20" s="80">
        <f>IF(B20="","",VLOOKUP(AD20,Varsayımlar!B:T,19,0))</f>
        <v>0</v>
      </c>
      <c r="J20" s="80" t="str">
        <f>IF(B20="","",VLOOKUP(AD20,Varsayımlar!$B:$Q,6,0))</f>
        <v>Ispanaklı</v>
      </c>
      <c r="K20" s="80">
        <v>480</v>
      </c>
      <c r="L20" s="80" t="s">
        <v>528</v>
      </c>
      <c r="M20" s="80">
        <f>IFERROR(IF(B20="","",K20/VLOOKUP(AD20,Varsayımlar!B:R,17,0)),"")</f>
        <v>4</v>
      </c>
      <c r="N20" s="80"/>
      <c r="O20" s="80">
        <v>5</v>
      </c>
      <c r="P20" s="80">
        <f>IF(B20="","",VLOOKUP(AD20,Varsayımlar!$B:$Q,7,0)*K20)</f>
        <v>5760</v>
      </c>
      <c r="Q20" s="80">
        <f>IF(B20="","",VLOOKUP(AD20,Varsayımlar!$B:$Q,8,0))</f>
        <v>25</v>
      </c>
      <c r="R20" s="80" t="str">
        <f>IF(B20="","",VLOOKUP(AD20,Varsayımlar!$B:$Q,9,0))</f>
        <v>Irak Soft</v>
      </c>
      <c r="S20" s="80">
        <f>IF(B20="","",VLOOKUP(AD20,Varsayımlar!$B:$Q,10,0))</f>
        <v>6</v>
      </c>
      <c r="T20" s="80">
        <f>IF(B20="","",VLOOKUP(AD20,Varsayımlar!$B:$Q,11,0))</f>
        <v>12</v>
      </c>
      <c r="U20" s="80">
        <f>IF(B20="","",VLOOKUP(AD20,Varsayımlar!$B:$Q,12,0))</f>
        <v>390</v>
      </c>
      <c r="V20" s="80" t="str">
        <f>IF(B20="","",VLOOKUP(AD20,Varsayımlar!$B:$Q,13,0))</f>
        <v>Yurtdışı</v>
      </c>
      <c r="W20" s="80">
        <f>IF(B20="","",VLOOKUP(AD20,Varsayımlar!$B:$Q,14,0))</f>
        <v>9</v>
      </c>
      <c r="X20" s="81">
        <v>46203</v>
      </c>
      <c r="Y20" s="81">
        <v>46476</v>
      </c>
      <c r="Z20" s="80" t="s">
        <v>381</v>
      </c>
      <c r="AA20" s="80" t="str">
        <f>IF(B20="","",VLOOKUP(AD20,Varsayımlar!$B:$Q,15,0))</f>
        <v>25cm Perforeli-Bulgarca Ispanaklı etiket</v>
      </c>
      <c r="AB20" s="80" t="str">
        <f>IF(B20="","",VLOOKUP(AD20,Varsayımlar!$B:$Q,16,0))</f>
        <v>24-26 cm</v>
      </c>
      <c r="AC20" s="80" t="str">
        <f>IF(B20="","",VLOOKUP(Sayfa1!AD59,Varsayımlar!B:S,18,0))</f>
        <v>80x120cm -Epal+Epal</v>
      </c>
      <c r="AD20" s="57" t="str">
        <f t="shared" si="0"/>
        <v>TASTE LAND-BULGARİSTANTortillas 25cm Ispanaklı 6pcs 390g</v>
      </c>
    </row>
    <row r="21" spans="1:30" ht="47.25" x14ac:dyDescent="0.25">
      <c r="A21" s="8" t="s">
        <v>93</v>
      </c>
      <c r="B21" s="80" t="s">
        <v>218</v>
      </c>
      <c r="C21" s="44">
        <f>IF(B21="","",VLOOKUP(AD21,Varsayımlar!$B:$Q,3,0))</f>
        <v>8698829380698</v>
      </c>
      <c r="D21" s="44" t="s">
        <v>160</v>
      </c>
      <c r="E21" s="80" t="s">
        <v>240</v>
      </c>
      <c r="F21" s="80">
        <v>26042907</v>
      </c>
      <c r="G21" s="44"/>
      <c r="H21" s="80" t="str">
        <f>IF(B21="","",VLOOKUP(AD21,Varsayımlar!$B:$Q,5,0))</f>
        <v>Tortillas Avrupa 25cm Peynirli (098)</v>
      </c>
      <c r="I21" s="80">
        <f>IF(B21="","",VLOOKUP(AD21,Varsayımlar!B:T,19,0))</f>
        <v>0</v>
      </c>
      <c r="J21" s="80" t="str">
        <f>IF(B21="","",VLOOKUP(AD21,Varsayımlar!$B:$Q,6,0))</f>
        <v>Peynirli</v>
      </c>
      <c r="K21" s="80">
        <v>360</v>
      </c>
      <c r="L21" s="80" t="s">
        <v>528</v>
      </c>
      <c r="M21" s="80">
        <f>IFERROR(IF(B21="","",K21/VLOOKUP(AD21,Varsayımlar!B:R,17,0)),"")</f>
        <v>3</v>
      </c>
      <c r="N21" s="80"/>
      <c r="O21" s="80">
        <v>4</v>
      </c>
      <c r="P21" s="80">
        <f>IF(B21="","",VLOOKUP(AD21,Varsayımlar!$B:$Q,7,0)*K21)</f>
        <v>4320</v>
      </c>
      <c r="Q21" s="80">
        <f>IF(B21="","",VLOOKUP(AD21,Varsayımlar!$B:$Q,8,0))</f>
        <v>25</v>
      </c>
      <c r="R21" s="80" t="str">
        <f>IF(B21="","",VLOOKUP(AD21,Varsayımlar!$B:$Q,9,0))</f>
        <v>Irak Soft-AT</v>
      </c>
      <c r="S21" s="80">
        <f>IF(B21="","",VLOOKUP(AD21,Varsayımlar!$B:$Q,10,0))</f>
        <v>6</v>
      </c>
      <c r="T21" s="80">
        <f>IF(B21="","",VLOOKUP(AD21,Varsayımlar!$B:$Q,11,0))</f>
        <v>12</v>
      </c>
      <c r="U21" s="80">
        <f>IF(B21="","",VLOOKUP(AD21,Varsayımlar!$B:$Q,12,0))</f>
        <v>390</v>
      </c>
      <c r="V21" s="80" t="str">
        <f>IF(B21="","",VLOOKUP(AD21,Varsayımlar!$B:$Q,13,0))</f>
        <v>Yurtdışı</v>
      </c>
      <c r="W21" s="80">
        <f>IF(B21="","",VLOOKUP(AD21,Varsayımlar!$B:$Q,14,0))</f>
        <v>9</v>
      </c>
      <c r="X21" s="81">
        <v>46203</v>
      </c>
      <c r="Y21" s="81">
        <v>46476</v>
      </c>
      <c r="Z21" s="80" t="s">
        <v>382</v>
      </c>
      <c r="AA21" s="80" t="str">
        <f>IF(B21="","",VLOOKUP(AD21,Varsayımlar!$B:$Q,15,0))</f>
        <v>25cm Perforeli-Bulgarca Peynirli etiket</v>
      </c>
      <c r="AB21" s="80" t="str">
        <f>IF(B21="","",VLOOKUP(AD21,Varsayımlar!$B:$Q,16,0))</f>
        <v>24-26 cm</v>
      </c>
      <c r="AC21" s="80" t="str">
        <f>IF(B21="","",VLOOKUP(Sayfa1!AD60,Varsayımlar!B:S,18,0))</f>
        <v>80x120cm -Epal+Epal</v>
      </c>
      <c r="AD21" s="57" t="str">
        <f t="shared" si="0"/>
        <v>TASTE LAND-BULGARİSTANTortillas 25cm Peynirli 6pcs 390g</v>
      </c>
    </row>
    <row r="22" spans="1:30" ht="47.25" x14ac:dyDescent="0.25">
      <c r="A22" s="8" t="s">
        <v>135</v>
      </c>
      <c r="B22" s="54" t="s">
        <v>268</v>
      </c>
      <c r="C22" s="39">
        <f>IF(B22="","",VLOOKUP(AD22,Varsayımlar!$B:$Q,3,0))</f>
        <v>8698829380698</v>
      </c>
      <c r="D22" s="39" t="s">
        <v>160</v>
      </c>
      <c r="E22" s="54" t="s">
        <v>269</v>
      </c>
      <c r="F22" s="54" t="s">
        <v>343</v>
      </c>
      <c r="G22" s="39" t="s">
        <v>68</v>
      </c>
      <c r="H22" s="54" t="str">
        <f>IF(B22="","",VLOOKUP(AD22,Varsayımlar!$B:$Q,5,0))</f>
        <v>Tortillas 25cm Tam Buğday</v>
      </c>
      <c r="I22" s="54">
        <f>IF(B22="","",VLOOKUP(AD22,Varsayımlar!B:T,19,0))</f>
        <v>0</v>
      </c>
      <c r="J22" s="54" t="str">
        <f>IF(B22="","",VLOOKUP(AD22,Varsayımlar!$B:$Q,6,0))</f>
        <v>Tam Buğdaylı</v>
      </c>
      <c r="K22" s="54">
        <v>336</v>
      </c>
      <c r="L22" s="54"/>
      <c r="M22" s="54">
        <f>IFERROR(IF(B22="","",K22/VLOOKUP(AD22,Varsayımlar!B:R,17,0)),"")</f>
        <v>4</v>
      </c>
      <c r="N22" s="54"/>
      <c r="O22" s="54">
        <v>6</v>
      </c>
      <c r="P22" s="54">
        <f>IF(B22="","",VLOOKUP(AD22,Varsayımlar!$B:$Q,7,0)*K22)</f>
        <v>10080</v>
      </c>
      <c r="Q22" s="54">
        <f>IF(B22="","",VLOOKUP(AD22,Varsayımlar!$B:$Q,8,0))</f>
        <v>25</v>
      </c>
      <c r="R22" s="54" t="str">
        <f>IF(B22="","",VLOOKUP(AD22,Varsayımlar!$B:$Q,9,0))</f>
        <v>Soft-PA3</v>
      </c>
      <c r="S22" s="54">
        <f>IF(B22="","",VLOOKUP(AD22,Varsayımlar!$B:$Q,10,0))</f>
        <v>4</v>
      </c>
      <c r="T22" s="54">
        <f>IF(B22="","",VLOOKUP(AD22,Varsayımlar!$B:$Q,11,0))</f>
        <v>30</v>
      </c>
      <c r="U22" s="54">
        <f>IF(B22="","",VLOOKUP(AD22,Varsayımlar!$B:$Q,12,0))</f>
        <v>240</v>
      </c>
      <c r="V22" s="54" t="str">
        <f>IF(B22="","",VLOOKUP(AD22,Varsayımlar!$B:$Q,13,0))</f>
        <v>Yurtdışı</v>
      </c>
      <c r="W22" s="54">
        <f>IF(B22="","",VLOOKUP(AD22,Varsayımlar!$B:$Q,14,0))</f>
        <v>12</v>
      </c>
      <c r="X22" s="56">
        <v>46205</v>
      </c>
      <c r="Y22" s="56">
        <v>46570</v>
      </c>
      <c r="Z22" s="54" t="s">
        <v>383</v>
      </c>
      <c r="AA22" s="54" t="str">
        <f>IF(B22="","",VLOOKUP(AD22,Varsayımlar!$B:$Q,15,0))</f>
        <v>25cm Kolisi-Etiketli</v>
      </c>
      <c r="AB22" s="54" t="str">
        <f>IF(B22="","",VLOOKUP(AD22,Varsayımlar!$B:$Q,16,0))</f>
        <v>24-26 cm (Macca Hetto Inkjet Uzun Tarih)</v>
      </c>
      <c r="AC22" s="54" t="str">
        <f>IF(B22="","",VLOOKUP(Sayfa1!AD36,Varsayımlar!B:S,18,0))</f>
        <v>80x120cm</v>
      </c>
      <c r="AD22" s="57" t="str">
        <f t="shared" si="0"/>
        <v>LAIKYUZHN-BELARUSTortillas 25cm Tam buğday 4pcs 240g</v>
      </c>
    </row>
    <row r="23" spans="1:30" ht="47.25" x14ac:dyDescent="0.25">
      <c r="A23" s="8" t="s">
        <v>136</v>
      </c>
      <c r="B23" s="54" t="s">
        <v>268</v>
      </c>
      <c r="C23" s="39">
        <f>IF(B23="","",VLOOKUP(AD23,Varsayımlar!$B:$Q,3,0))</f>
        <v>8698829380698</v>
      </c>
      <c r="D23" s="39" t="s">
        <v>160</v>
      </c>
      <c r="E23" s="54" t="s">
        <v>274</v>
      </c>
      <c r="F23" s="54" t="s">
        <v>343</v>
      </c>
      <c r="G23" s="39" t="s">
        <v>68</v>
      </c>
      <c r="H23" s="54" t="str">
        <f>IF(B23="","",VLOOKUP(AD23,Varsayımlar!$B:$Q,5,0))</f>
        <v>Tortillas 25cm Domatesli</v>
      </c>
      <c r="I23" s="54">
        <f>IF(B23="","",VLOOKUP(AD23,Varsayımlar!B:T,19,0))</f>
        <v>0</v>
      </c>
      <c r="J23" s="54" t="str">
        <f>IF(B23="","",VLOOKUP(AD23,Varsayımlar!$B:$Q,6,0))</f>
        <v>Domatesli</v>
      </c>
      <c r="K23" s="54">
        <v>420</v>
      </c>
      <c r="L23" s="54"/>
      <c r="M23" s="54">
        <f>IFERROR(IF(B23="","",K23/VLOOKUP(AD23,Varsayımlar!B:R,17,0)),"")</f>
        <v>5</v>
      </c>
      <c r="N23" s="54"/>
      <c r="O23" s="54">
        <v>7</v>
      </c>
      <c r="P23" s="54">
        <f>IF(B23="","",VLOOKUP(AD23,Varsayımlar!$B:$Q,7,0)*K23)</f>
        <v>12600</v>
      </c>
      <c r="Q23" s="54">
        <f>IF(B23="","",VLOOKUP(AD23,Varsayımlar!$B:$Q,8,0))</f>
        <v>25</v>
      </c>
      <c r="R23" s="54" t="str">
        <f>IF(B23="","",VLOOKUP(AD23,Varsayımlar!$B:$Q,9,0))</f>
        <v>Soft-PA3</v>
      </c>
      <c r="S23" s="54">
        <f>IF(B23="","",VLOOKUP(AD23,Varsayımlar!$B:$Q,10,0))</f>
        <v>4</v>
      </c>
      <c r="T23" s="54">
        <f>IF(B23="","",VLOOKUP(AD23,Varsayımlar!$B:$Q,11,0))</f>
        <v>30</v>
      </c>
      <c r="U23" s="54">
        <f>IF(B23="","",VLOOKUP(AD23,Varsayımlar!$B:$Q,12,0))</f>
        <v>240</v>
      </c>
      <c r="V23" s="54" t="str">
        <f>IF(B23="","",VLOOKUP(AD23,Varsayımlar!$B:$Q,13,0))</f>
        <v>Yurtdışı</v>
      </c>
      <c r="W23" s="54">
        <f>IF(B23="","",VLOOKUP(AD23,Varsayımlar!$B:$Q,14,0))</f>
        <v>12</v>
      </c>
      <c r="X23" s="56">
        <v>46205</v>
      </c>
      <c r="Y23" s="56">
        <v>46570</v>
      </c>
      <c r="Z23" s="54" t="s">
        <v>384</v>
      </c>
      <c r="AA23" s="54" t="str">
        <f>IF(B23="","",VLOOKUP(AD23,Varsayımlar!$B:$Q,15,0))</f>
        <v>25cm Kolisi-Etiketli</v>
      </c>
      <c r="AB23" s="54" t="str">
        <f>IF(B23="","",VLOOKUP(AD23,Varsayımlar!$B:$Q,16,0))</f>
        <v>24-26 cm (Macca Hetto Inkjet Uzun Tarih)</v>
      </c>
      <c r="AC23" s="54" t="str">
        <f>IF(B23="","",VLOOKUP(Sayfa1!AD37,Varsayımlar!B:S,18,0))</f>
        <v>80x120cm</v>
      </c>
      <c r="AD23" s="57" t="str">
        <f t="shared" si="0"/>
        <v>LAIKYUZHN-BELARUSTortillas 25cm Domatesli 4pcs 240g</v>
      </c>
    </row>
    <row r="24" spans="1:30" ht="47.25" x14ac:dyDescent="0.25">
      <c r="A24" s="8" t="s">
        <v>137</v>
      </c>
      <c r="B24" s="54" t="s">
        <v>268</v>
      </c>
      <c r="C24" s="39">
        <f>IF(B24="","",VLOOKUP(AD24,Varsayımlar!$B:$Q,3,0))</f>
        <v>8698829380698</v>
      </c>
      <c r="D24" s="39" t="s">
        <v>160</v>
      </c>
      <c r="E24" s="54" t="s">
        <v>276</v>
      </c>
      <c r="F24" s="54" t="s">
        <v>343</v>
      </c>
      <c r="G24" s="39" t="s">
        <v>68</v>
      </c>
      <c r="H24" s="54" t="str">
        <f>IF(B24="","",VLOOKUP(AD24,Varsayımlar!$B:$Q,5,0))</f>
        <v>Tortillas 25cm Ispanaklı</v>
      </c>
      <c r="I24" s="54">
        <f>IF(B24="","",VLOOKUP(AD24,Varsayımlar!B:T,19,0))</f>
        <v>0</v>
      </c>
      <c r="J24" s="54" t="str">
        <f>IF(B24="","",VLOOKUP(AD24,Varsayımlar!$B:$Q,6,0))</f>
        <v>Ispanaklı</v>
      </c>
      <c r="K24" s="54">
        <v>336</v>
      </c>
      <c r="L24" s="54"/>
      <c r="M24" s="54">
        <f>IFERROR(IF(B24="","",K24/VLOOKUP(AD24,Varsayımlar!B:R,17,0)),"")</f>
        <v>4</v>
      </c>
      <c r="N24" s="54"/>
      <c r="O24" s="54">
        <v>6</v>
      </c>
      <c r="P24" s="54">
        <f>IF(B24="","",VLOOKUP(AD24,Varsayımlar!$B:$Q,7,0)*K24)</f>
        <v>10080</v>
      </c>
      <c r="Q24" s="54">
        <f>IF(B24="","",VLOOKUP(AD24,Varsayımlar!$B:$Q,8,0))</f>
        <v>25</v>
      </c>
      <c r="R24" s="54" t="str">
        <f>IF(B24="","",VLOOKUP(AD24,Varsayımlar!$B:$Q,9,0))</f>
        <v>Soft-PA3</v>
      </c>
      <c r="S24" s="54">
        <f>IF(B24="","",VLOOKUP(AD24,Varsayımlar!$B:$Q,10,0))</f>
        <v>4</v>
      </c>
      <c r="T24" s="54">
        <f>IF(B24="","",VLOOKUP(AD24,Varsayımlar!$B:$Q,11,0))</f>
        <v>30</v>
      </c>
      <c r="U24" s="54">
        <f>IF(B24="","",VLOOKUP(AD24,Varsayımlar!$B:$Q,12,0))</f>
        <v>240</v>
      </c>
      <c r="V24" s="54" t="str">
        <f>IF(B24="","",VLOOKUP(AD24,Varsayımlar!$B:$Q,13,0))</f>
        <v>Yurtdışı</v>
      </c>
      <c r="W24" s="54">
        <f>IF(B24="","",VLOOKUP(AD24,Varsayımlar!$B:$Q,14,0))</f>
        <v>12</v>
      </c>
      <c r="X24" s="56">
        <v>46205</v>
      </c>
      <c r="Y24" s="56">
        <v>46570</v>
      </c>
      <c r="Z24" s="54" t="s">
        <v>385</v>
      </c>
      <c r="AA24" s="54" t="str">
        <f>IF(B24="","",VLOOKUP(AD24,Varsayımlar!$B:$Q,15,0))</f>
        <v>25cm Kolisi-Etiketli</v>
      </c>
      <c r="AB24" s="54" t="str">
        <f>IF(B24="","",VLOOKUP(AD24,Varsayımlar!$B:$Q,16,0))</f>
        <v>24-26 cm (Macca Hetto Inkjet Uzun Tarih)</v>
      </c>
      <c r="AC24" s="54" t="str">
        <f>IF(B24="","",VLOOKUP(Sayfa1!AD38,Varsayımlar!B:S,18,0))</f>
        <v>80x120cm</v>
      </c>
      <c r="AD24" s="57" t="str">
        <f t="shared" si="0"/>
        <v>LAIKYUZHN-BELARUSTortillas 25cm Ispanaklı 4pcs 240g</v>
      </c>
    </row>
    <row r="25" spans="1:30" ht="47.25" x14ac:dyDescent="0.25">
      <c r="A25" s="8" t="s">
        <v>138</v>
      </c>
      <c r="B25" s="54" t="s">
        <v>268</v>
      </c>
      <c r="C25" s="39">
        <f>IF(B25="","",VLOOKUP(AD25,Varsayımlar!$B:$Q,3,0))</f>
        <v>8698829380698</v>
      </c>
      <c r="D25" s="39" t="s">
        <v>160</v>
      </c>
      <c r="E25" s="54" t="s">
        <v>278</v>
      </c>
      <c r="F25" s="54" t="s">
        <v>343</v>
      </c>
      <c r="G25" s="39" t="s">
        <v>68</v>
      </c>
      <c r="H25" s="54" t="str">
        <f>IF(B25="","",VLOOKUP(AD25,Varsayımlar!$B:$Q,5,0))</f>
        <v>Magnit Tortillas 25cm Peynirli</v>
      </c>
      <c r="I25" s="54" t="str">
        <f>IF(B25="","",VLOOKUP(AD25,Varsayımlar!B:T,19,0))</f>
        <v>Etiketli</v>
      </c>
      <c r="J25" s="54" t="str">
        <f>IF(B25="","",VLOOKUP(AD25,Varsayımlar!$B:$Q,6,0))</f>
        <v>Peynirli</v>
      </c>
      <c r="K25" s="54">
        <v>504</v>
      </c>
      <c r="L25" s="54"/>
      <c r="M25" s="54">
        <f>IFERROR(IF(B25="","",K25/VLOOKUP(AD25,Varsayımlar!B:R,17,0)),"")</f>
        <v>6</v>
      </c>
      <c r="N25" s="54"/>
      <c r="O25" s="54">
        <v>9</v>
      </c>
      <c r="P25" s="54">
        <f>IF(B25="","",VLOOKUP(AD25,Varsayımlar!$B:$Q,7,0)*K25)</f>
        <v>15120</v>
      </c>
      <c r="Q25" s="54">
        <f>IF(B25="","",VLOOKUP(AD25,Varsayımlar!$B:$Q,8,0))</f>
        <v>25</v>
      </c>
      <c r="R25" s="54" t="str">
        <f>IF(B25="","",VLOOKUP(AD25,Varsayımlar!$B:$Q,9,0))</f>
        <v>Soft-PA3-AT</v>
      </c>
      <c r="S25" s="54">
        <f>IF(B25="","",VLOOKUP(AD25,Varsayımlar!$B:$Q,10,0))</f>
        <v>4</v>
      </c>
      <c r="T25" s="54">
        <f>IF(B25="","",VLOOKUP(AD25,Varsayımlar!$B:$Q,11,0))</f>
        <v>30</v>
      </c>
      <c r="U25" s="54">
        <f>IF(B25="","",VLOOKUP(AD25,Varsayımlar!$B:$Q,12,0))</f>
        <v>250</v>
      </c>
      <c r="V25" s="54" t="str">
        <f>IF(B25="","",VLOOKUP(AD25,Varsayımlar!$B:$Q,13,0))</f>
        <v>Yurtdışı</v>
      </c>
      <c r="W25" s="54">
        <f>IF(B25="","",VLOOKUP(AD25,Varsayımlar!$B:$Q,14,0))</f>
        <v>9</v>
      </c>
      <c r="X25" s="56">
        <v>46205</v>
      </c>
      <c r="Y25" s="56">
        <v>46479</v>
      </c>
      <c r="Z25" s="54" t="s">
        <v>386</v>
      </c>
      <c r="AA25" s="54" t="str">
        <f>IF(B25="","",VLOOKUP(AD25,Varsayımlar!$B:$Q,15,0))</f>
        <v>25cm Kolisi-Etiketli</v>
      </c>
      <c r="AB25" s="54" t="str">
        <f>IF(B25="","",VLOOKUP(AD25,Varsayımlar!$B:$Q,16,0))</f>
        <v>24-26 cm (Macca Hetto Inkjet Uzun Tarih)</v>
      </c>
      <c r="AC25" s="54" t="str">
        <f>IF(B25="","",VLOOKUP(Sayfa1!AD39,Varsayımlar!B:S,18,0))</f>
        <v>80x120cm</v>
      </c>
      <c r="AD25" s="57" t="str">
        <f t="shared" si="0"/>
        <v>LAIKYUZHN-BELARUSMagnit Tortillas 25cm Peynirli 4pcs 240g</v>
      </c>
    </row>
    <row r="26" spans="1:30" ht="45.75" customHeight="1" x14ac:dyDescent="0.25">
      <c r="A26" s="8" t="s">
        <v>139</v>
      </c>
      <c r="B26" s="130" t="s">
        <v>119</v>
      </c>
      <c r="C26" s="131">
        <f>IF(B26="","",VLOOKUP(AD26,Varsayımlar!$B:$Q,3,0))</f>
        <v>8698829380698</v>
      </c>
      <c r="D26" s="131"/>
      <c r="E26" s="132" t="s">
        <v>120</v>
      </c>
      <c r="F26" s="130"/>
      <c r="G26" s="130"/>
      <c r="H26" s="130" t="str">
        <f>IF(B26="","",VLOOKUP(AD26,Varsayımlar!$B:$Q,5,0))</f>
        <v>Nimet 25 cm</v>
      </c>
      <c r="I26" s="130"/>
      <c r="J26" s="130" t="str">
        <f>IF(B26="","",VLOOKUP(AD26,Varsayımlar!$B:$Q,6,0))</f>
        <v>SADE</v>
      </c>
      <c r="K26" s="130">
        <v>5000</v>
      </c>
      <c r="L26" s="130"/>
      <c r="M26" s="130">
        <f>IFERROR(IF(B26="","",K26/VLOOKUP(AD26,Varsayımlar!B:R,17,0)),"")</f>
        <v>100</v>
      </c>
      <c r="N26" s="130"/>
      <c r="O26" s="130">
        <v>100</v>
      </c>
      <c r="P26" s="130">
        <f>IF(B26="","",VLOOKUP(AD26,Varsayımlar!$B:$Q,7,0)*K26)</f>
        <v>60000</v>
      </c>
      <c r="Q26" s="130">
        <f>IF(B26="","",VLOOKUP(AD26,Varsayımlar!$B:$Q,8,0))</f>
        <v>25</v>
      </c>
      <c r="R26" s="130" t="str">
        <f>IF(B26="","",VLOOKUP(AD26,Varsayımlar!$B:$Q,9,0))</f>
        <v>Standart</v>
      </c>
      <c r="S26" s="130">
        <f>IF(B26="","",VLOOKUP(AD26,Varsayımlar!$B:$Q,10,0))</f>
        <v>12</v>
      </c>
      <c r="T26" s="130">
        <f>IF(B26="","",VLOOKUP(AD26,Varsayımlar!$B:$Q,11,0))</f>
        <v>12</v>
      </c>
      <c r="U26" s="130">
        <f>IF(B26="","",VLOOKUP(AD26,Varsayımlar!$B:$Q,12,0))</f>
        <v>840</v>
      </c>
      <c r="V26" s="130" t="str">
        <f>IF(B26="","",VLOOKUP(AD26,Varsayımlar!$B:$Q,13,0))</f>
        <v>YURTİÇİ</v>
      </c>
      <c r="W26" s="130">
        <f>IF(B26="","",VLOOKUP(AD26,Varsayımlar!$B:$Q,14,0))</f>
        <v>5</v>
      </c>
      <c r="X26" s="133" t="s">
        <v>113</v>
      </c>
      <c r="Y26" s="133" t="s">
        <v>113</v>
      </c>
      <c r="Z26" s="130" t="s">
        <v>113</v>
      </c>
      <c r="AA26" s="130" t="str">
        <f>IF(B26="","",VLOOKUP(AD26,Varsayımlar!$B:$Q,15,0))</f>
        <v>Nimet Kolisi</v>
      </c>
      <c r="AB26" s="130" t="str">
        <f>IF(B26="","",VLOOKUP(AD26,Varsayımlar!$B:$Q,16,0))</f>
        <v>24-26 CM</v>
      </c>
      <c r="AC26" s="64" t="s">
        <v>360</v>
      </c>
      <c r="AD26" s="57" t="str">
        <f>IF(B26="","",CONCATENATE(B26,E26))</f>
        <v>A101Nimet 25cm 12 pcs 840g</v>
      </c>
    </row>
    <row r="27" spans="1:30" ht="47.25" x14ac:dyDescent="0.25">
      <c r="A27" s="8" t="s">
        <v>140</v>
      </c>
      <c r="B27" s="75" t="s">
        <v>218</v>
      </c>
      <c r="C27" s="43">
        <f>IF(B27="","",VLOOKUP(AD27,Varsayımlar!$B:$Q,3,0))</f>
        <v>8698829380698</v>
      </c>
      <c r="D27" s="43" t="s">
        <v>161</v>
      </c>
      <c r="E27" s="75" t="s">
        <v>252</v>
      </c>
      <c r="F27" s="75" t="s">
        <v>341</v>
      </c>
      <c r="G27" s="43"/>
      <c r="H27" s="75" t="str">
        <f>IF(B27="","",VLOOKUP(AD27,Varsayımlar!$B:$Q,5,0))</f>
        <v xml:space="preserve">Tortillas 20cm Sade </v>
      </c>
      <c r="I27" s="75" t="str">
        <f>IF(B27="","",VLOOKUP(AD27,Varsayımlar!B:T,19,0))</f>
        <v>Barkod üzerine Barkod Etiketi (104)</v>
      </c>
      <c r="J27" s="75" t="str">
        <f>IF(B27="","",VLOOKUP(AD27,Varsayımlar!$B:$Q,6,0))</f>
        <v>SADE</v>
      </c>
      <c r="K27" s="75">
        <v>120</v>
      </c>
      <c r="L27" s="75"/>
      <c r="M27" s="75">
        <f>IFERROR(IF(B27="","",K27/VLOOKUP(AD27,Varsayımlar!B:R,17,0)),"")</f>
        <v>1</v>
      </c>
      <c r="N27" s="75"/>
      <c r="O27" s="75">
        <v>2</v>
      </c>
      <c r="P27" s="75">
        <f>IF(B27="","",VLOOKUP(AD27,Varsayımlar!$B:$Q,7,0)*K27)</f>
        <v>2160</v>
      </c>
      <c r="Q27" s="75">
        <f>IF(B27="","",VLOOKUP(AD27,Varsayımlar!$B:$Q,8,0))</f>
        <v>20</v>
      </c>
      <c r="R27" s="75" t="str">
        <f>IF(B27="","",VLOOKUP(AD27,Varsayımlar!$B:$Q,9,0))</f>
        <v>Irak Soft</v>
      </c>
      <c r="S27" s="75">
        <f>IF(B27="","",VLOOKUP(AD27,Varsayımlar!$B:$Q,10,0))</f>
        <v>6</v>
      </c>
      <c r="T27" s="75">
        <f>IF(B27="","",VLOOKUP(AD27,Varsayımlar!$B:$Q,11,0))</f>
        <v>18</v>
      </c>
      <c r="U27" s="75">
        <f>IF(B27="","",VLOOKUP(AD27,Varsayımlar!$B:$Q,12,0))</f>
        <v>270</v>
      </c>
      <c r="V27" s="75" t="str">
        <f>IF(B27="","",VLOOKUP(AD27,Varsayımlar!$B:$Q,13,0))</f>
        <v>Yurtdışı</v>
      </c>
      <c r="W27" s="75">
        <f>IF(B27="","",VLOOKUP(AD27,Varsayımlar!$B:$Q,14,0))</f>
        <v>9</v>
      </c>
      <c r="X27" s="76">
        <v>46213</v>
      </c>
      <c r="Y27" s="76">
        <v>46487</v>
      </c>
      <c r="Z27" s="75">
        <v>26071020</v>
      </c>
      <c r="AA27" s="75" t="str">
        <f>IF(B27="","",VLOOKUP(AD27,Varsayımlar!$B:$Q,15,0))</f>
        <v>20cm Lacivert-Bulgarca Etiket</v>
      </c>
      <c r="AB27" s="75" t="str">
        <f>IF(B27="","",VLOOKUP(AD27,Varsayımlar!$B:$Q,16,0))</f>
        <v>19-21 cm</v>
      </c>
      <c r="AC27" s="75" t="str">
        <f>IF(B27="","",VLOOKUP(Sayfa1!AD21,Varsayımlar!B:S,18,0))</f>
        <v>100x120cm-Epal+Epal</v>
      </c>
      <c r="AD27" s="57" t="str">
        <f t="shared" si="0"/>
        <v>TASTE LAND-BULGARİSTANTortillas 20cm Sade 6pcs 270g</v>
      </c>
    </row>
    <row r="28" spans="1:30" ht="78.75" x14ac:dyDescent="0.25">
      <c r="A28" s="8" t="s">
        <v>141</v>
      </c>
      <c r="B28" s="75" t="s">
        <v>218</v>
      </c>
      <c r="C28" s="43">
        <f>IF(B28="","",VLOOKUP(AD28,Varsayımlar!$B:$Q,3,0))</f>
        <v>8698829380698</v>
      </c>
      <c r="D28" s="43" t="s">
        <v>161</v>
      </c>
      <c r="E28" s="75" t="s">
        <v>222</v>
      </c>
      <c r="F28" s="75" t="s">
        <v>341</v>
      </c>
      <c r="G28" s="43"/>
      <c r="H28" s="75" t="str">
        <f>IF(B28="","",VLOOKUP(AD28,Varsayımlar!$B:$Q,5,0))</f>
        <v xml:space="preserve">Tortillas 30cm Tam Buğday </v>
      </c>
      <c r="I28" s="75" t="str">
        <f>IF(B28="","",VLOOKUP(AD28,Varsayımlar!B:T,19,0))</f>
        <v>Barkod üzerine-Bulgarca Barkodlu TB içerik etiketi (029)</v>
      </c>
      <c r="J28" s="75" t="str">
        <f>IF(B28="","",VLOOKUP(AD28,Varsayımlar!$B:$Q,6,0))</f>
        <v>Tam Buğdaylı</v>
      </c>
      <c r="K28" s="75">
        <v>60</v>
      </c>
      <c r="L28" s="75"/>
      <c r="M28" s="75">
        <f>IFERROR(IF(B28="","",K28/VLOOKUP(AD28,Varsayımlar!B:R,17,0)),"")</f>
        <v>1</v>
      </c>
      <c r="N28" s="75"/>
      <c r="O28" s="75">
        <v>1</v>
      </c>
      <c r="P28" s="75">
        <f>IF(B28="","",VLOOKUP(AD28,Varsayımlar!$B:$Q,7,0)*K28)</f>
        <v>360</v>
      </c>
      <c r="Q28" s="75">
        <f>IF(B28="","",VLOOKUP(AD28,Varsayımlar!$B:$Q,8,0))</f>
        <v>30</v>
      </c>
      <c r="R28" s="75" t="str">
        <f>IF(B28="","",VLOOKUP(AD28,Varsayımlar!$B:$Q,9,0))</f>
        <v>Irak Soft</v>
      </c>
      <c r="S28" s="75">
        <f>IF(B28="","",VLOOKUP(AD28,Varsayımlar!$B:$Q,10,0))</f>
        <v>18</v>
      </c>
      <c r="T28" s="75">
        <f>IF(B28="","",VLOOKUP(AD28,Varsayımlar!$B:$Q,11,0))</f>
        <v>6</v>
      </c>
      <c r="U28" s="75">
        <f>IF(B28="","",VLOOKUP(AD28,Varsayımlar!$B:$Q,12,0))</f>
        <v>1620</v>
      </c>
      <c r="V28" s="75" t="str">
        <f>IF(B28="","",VLOOKUP(AD28,Varsayımlar!$B:$Q,13,0))</f>
        <v>Yurtdışı</v>
      </c>
      <c r="W28" s="75">
        <f>IF(B28="","",VLOOKUP(AD28,Varsayımlar!$B:$Q,14,0))</f>
        <v>9</v>
      </c>
      <c r="X28" s="76">
        <v>46213</v>
      </c>
      <c r="Y28" s="76">
        <v>46487</v>
      </c>
      <c r="Z28" s="75" t="s">
        <v>442</v>
      </c>
      <c r="AA28" s="75" t="str">
        <f>IF(B28="","",VLOOKUP(AD28,Varsayımlar!$B:$Q,15,0))</f>
        <v>30cm Lacivert Koli- Bulgarca TB Etiket</v>
      </c>
      <c r="AB28" s="75" t="str">
        <f>IF(B28="","",VLOOKUP(AD28,Varsayımlar!$B:$Q,16,0))</f>
        <v>29-31 cm</v>
      </c>
      <c r="AC28" s="75" t="str">
        <f>IF(B28="","",VLOOKUP(Sayfa1!AD20,Varsayımlar!B:S,18,0))</f>
        <v>95x130cm</v>
      </c>
      <c r="AD28" s="57" t="str">
        <f t="shared" si="0"/>
        <v>TASTE LAND-BULGARİSTANTortillas 30cm Tam Buğday 18pcs 1620g</v>
      </c>
    </row>
    <row r="29" spans="1:30" ht="31.5" x14ac:dyDescent="0.25">
      <c r="A29" s="8" t="s">
        <v>142</v>
      </c>
      <c r="B29" s="75" t="s">
        <v>218</v>
      </c>
      <c r="C29" s="43">
        <f>IF(B29="","",VLOOKUP(AD29,Varsayımlar!$B:$Q,3,0))</f>
        <v>8698829380698</v>
      </c>
      <c r="D29" s="43" t="s">
        <v>161</v>
      </c>
      <c r="E29" s="75" t="s">
        <v>229</v>
      </c>
      <c r="F29" s="75" t="s">
        <v>341</v>
      </c>
      <c r="G29" s="43"/>
      <c r="H29" s="75" t="str">
        <f>IF(B29="","",VLOOKUP(AD29,Varsayımlar!$B:$Q,5,0))</f>
        <v>Tortillas Avrupa 25cm Tam Buğday (711)</v>
      </c>
      <c r="I29" s="75">
        <f>IF(B29="","",VLOOKUP(AD29,Varsayımlar!B:T,19,0))</f>
        <v>0</v>
      </c>
      <c r="J29" s="75" t="str">
        <f>IF(B29="","",VLOOKUP(AD29,Varsayımlar!$B:$Q,6,0))</f>
        <v>Tam Buğdaylı</v>
      </c>
      <c r="K29" s="75">
        <v>840</v>
      </c>
      <c r="L29" s="75"/>
      <c r="M29" s="75">
        <f>IFERROR(IF(B29="","",K29/VLOOKUP(AD29,Varsayımlar!B:R,17,0)),"")</f>
        <v>7</v>
      </c>
      <c r="N29" s="75"/>
      <c r="O29" s="75">
        <v>9</v>
      </c>
      <c r="P29" s="75">
        <f>IF(B29="","",VLOOKUP(AD29,Varsayımlar!$B:$Q,7,0)*K29)</f>
        <v>6720</v>
      </c>
      <c r="Q29" s="75">
        <f>IF(B29="","",VLOOKUP(AD29,Varsayımlar!$B:$Q,8,0))</f>
        <v>25</v>
      </c>
      <c r="R29" s="75" t="str">
        <f>IF(B29="","",VLOOKUP(AD29,Varsayımlar!$B:$Q,9,0))</f>
        <v>Irak Soft</v>
      </c>
      <c r="S29" s="75">
        <f>IF(B29="","",VLOOKUP(AD29,Varsayımlar!$B:$Q,10,0))</f>
        <v>10</v>
      </c>
      <c r="T29" s="75">
        <f>IF(B29="","",VLOOKUP(AD29,Varsayımlar!$B:$Q,11,0))</f>
        <v>8</v>
      </c>
      <c r="U29" s="75">
        <f>IF(B29="","",VLOOKUP(AD29,Varsayımlar!$B:$Q,12,0))</f>
        <v>650</v>
      </c>
      <c r="V29" s="75" t="str">
        <f>IF(B29="","",VLOOKUP(AD29,Varsayımlar!$B:$Q,13,0))</f>
        <v>Yurtdışı</v>
      </c>
      <c r="W29" s="75">
        <f>IF(B29="","",VLOOKUP(AD29,Varsayımlar!$B:$Q,14,0))</f>
        <v>9</v>
      </c>
      <c r="X29" s="76">
        <v>46213</v>
      </c>
      <c r="Y29" s="76">
        <v>46487</v>
      </c>
      <c r="Z29" s="75" t="s">
        <v>442</v>
      </c>
      <c r="AA29" s="75" t="str">
        <f>IF(B29="","",VLOOKUP(AD29,Varsayımlar!$B:$Q,15,0))</f>
        <v>25cm Perforeli-Bulgarca TB etiket</v>
      </c>
      <c r="AB29" s="75" t="str">
        <f>IF(B29="","",VLOOKUP(AD29,Varsayımlar!$B:$Q,16,0))</f>
        <v>24-26 cm</v>
      </c>
      <c r="AC29" s="75" t="str">
        <f>IF(B29="","",VLOOKUP(Sayfa1!AD63,Varsayımlar!B:S,18,0))</f>
        <v>80x120cm -Epal+Epal</v>
      </c>
      <c r="AD29" s="57" t="str">
        <f t="shared" si="0"/>
        <v>TASTE LAND-BULGARİSTANTortillas 25cm Tam Buğday 10pcs 650g</v>
      </c>
    </row>
    <row r="30" spans="1:30" ht="47.25" x14ac:dyDescent="0.25">
      <c r="A30" s="8" t="s">
        <v>143</v>
      </c>
      <c r="B30" s="75" t="s">
        <v>218</v>
      </c>
      <c r="C30" s="43">
        <f>IF(B30="","",VLOOKUP(AD30,Varsayımlar!$B:$Q,3,0))</f>
        <v>8698829380698</v>
      </c>
      <c r="D30" s="43" t="s">
        <v>161</v>
      </c>
      <c r="E30" s="75" t="s">
        <v>251</v>
      </c>
      <c r="F30" s="75" t="s">
        <v>341</v>
      </c>
      <c r="G30" s="43"/>
      <c r="H30" s="75" t="str">
        <f>IF(B30="","",VLOOKUP(AD30,Varsayımlar!$B:$Q,5,0))</f>
        <v>Tortillas Avrupa 25cm TB (711)</v>
      </c>
      <c r="I30" s="75" t="str">
        <f>IF(B30="","",VLOOKUP(AD30,Varsayımlar!B:T,19,0))</f>
        <v>Barkod üzerine Barkod Etiketi (067)</v>
      </c>
      <c r="J30" s="75" t="str">
        <f>IF(B30="","",VLOOKUP(AD30,Varsayımlar!$B:$Q,6,0))</f>
        <v>Tam Buğdaylı</v>
      </c>
      <c r="K30" s="75">
        <v>84</v>
      </c>
      <c r="L30" s="75"/>
      <c r="M30" s="75">
        <f>IFERROR(IF(B30="","",K30/VLOOKUP(AD30,Varsayımlar!B:R,17,0)),"")</f>
        <v>1</v>
      </c>
      <c r="N30" s="75"/>
      <c r="O30" s="75">
        <v>2</v>
      </c>
      <c r="P30" s="75">
        <f>IF(B30="","",VLOOKUP(AD30,Varsayımlar!$B:$Q,7,0)*K30)</f>
        <v>1512</v>
      </c>
      <c r="Q30" s="75">
        <f>IF(B30="","",VLOOKUP(AD30,Varsayımlar!$B:$Q,8,0))</f>
        <v>25</v>
      </c>
      <c r="R30" s="75" t="str">
        <f>IF(B30="","",VLOOKUP(AD30,Varsayımlar!$B:$Q,9,0))</f>
        <v>Irak Soft</v>
      </c>
      <c r="S30" s="75">
        <f>IF(B30="","",VLOOKUP(AD30,Varsayımlar!$B:$Q,10,0))</f>
        <v>6</v>
      </c>
      <c r="T30" s="75">
        <f>IF(B30="","",VLOOKUP(AD30,Varsayımlar!$B:$Q,11,0))</f>
        <v>18</v>
      </c>
      <c r="U30" s="75">
        <f>IF(B30="","",VLOOKUP(AD30,Varsayımlar!$B:$Q,12,0))</f>
        <v>390</v>
      </c>
      <c r="V30" s="75" t="str">
        <f>IF(B30="","",VLOOKUP(AD30,Varsayımlar!$B:$Q,13,0))</f>
        <v>Yurtdışı</v>
      </c>
      <c r="W30" s="75">
        <f>IF(B30="","",VLOOKUP(AD30,Varsayımlar!$B:$Q,14,0))</f>
        <v>9</v>
      </c>
      <c r="X30" s="76">
        <v>46213</v>
      </c>
      <c r="Y30" s="76">
        <v>46487</v>
      </c>
      <c r="Z30" s="75" t="s">
        <v>442</v>
      </c>
      <c r="AA30" s="75" t="str">
        <f>IF(B30="","",VLOOKUP(AD30,Varsayımlar!$B:$Q,15,0))</f>
        <v>25cm Kırmızı koli-Bulgarca TB Etiket</v>
      </c>
      <c r="AB30" s="75" t="str">
        <f>IF(B30="","",VLOOKUP(AD30,Varsayımlar!$B:$Q,16,0))</f>
        <v>24-26 cm</v>
      </c>
      <c r="AC30" s="75" t="str">
        <f>IF(B30="","",VLOOKUP(Sayfa1!AD64,Varsayımlar!B:S,18,0))</f>
        <v>80x120cm -Epal+Epal</v>
      </c>
      <c r="AD30" s="57" t="str">
        <f t="shared" si="0"/>
        <v>TASTE LAND-BULGARİSTANTortillas 25cm TB 6pcs 390g</v>
      </c>
    </row>
    <row r="31" spans="1:30" ht="47.25" x14ac:dyDescent="0.25">
      <c r="A31" s="8" t="s">
        <v>144</v>
      </c>
      <c r="B31" s="75" t="s">
        <v>218</v>
      </c>
      <c r="C31" s="43">
        <f>IF(B31="","",VLOOKUP(AD31,Varsayımlar!$B:$Q,3,0))</f>
        <v>8698829380698</v>
      </c>
      <c r="D31" s="43" t="s">
        <v>161</v>
      </c>
      <c r="E31" s="75" t="s">
        <v>232</v>
      </c>
      <c r="F31" s="75" t="s">
        <v>341</v>
      </c>
      <c r="G31" s="43"/>
      <c r="H31" s="75" t="str">
        <f>IF(B31="","",VLOOKUP(AD31,Varsayımlar!$B:$Q,5,0))</f>
        <v>Tortillas Avrupa 25cm Domatesli (074)</v>
      </c>
      <c r="I31" s="75">
        <f>IF(B31="","",VLOOKUP(AD31,Varsayımlar!B:T,19,0))</f>
        <v>0</v>
      </c>
      <c r="J31" s="75" t="str">
        <f>IF(B31="","",VLOOKUP(AD31,Varsayımlar!$B:$Q,6,0))</f>
        <v>Domatesli</v>
      </c>
      <c r="K31" s="75">
        <v>240</v>
      </c>
      <c r="L31" s="75"/>
      <c r="M31" s="75">
        <f>IFERROR(IF(B31="","",K31/VLOOKUP(AD31,Varsayımlar!B:R,17,0)),"")</f>
        <v>2</v>
      </c>
      <c r="N31" s="75"/>
      <c r="O31" s="75">
        <v>3</v>
      </c>
      <c r="P31" s="75">
        <f>IF(B31="","",VLOOKUP(AD31,Varsayımlar!$B:$Q,7,0)*K31)</f>
        <v>2880</v>
      </c>
      <c r="Q31" s="75">
        <f>IF(B31="","",VLOOKUP(AD31,Varsayımlar!$B:$Q,8,0))</f>
        <v>25</v>
      </c>
      <c r="R31" s="75" t="str">
        <f>IF(B31="","",VLOOKUP(AD31,Varsayımlar!$B:$Q,9,0))</f>
        <v>Irak Soft</v>
      </c>
      <c r="S31" s="75">
        <f>IF(B31="","",VLOOKUP(AD31,Varsayımlar!$B:$Q,10,0))</f>
        <v>6</v>
      </c>
      <c r="T31" s="75">
        <f>IF(B31="","",VLOOKUP(AD31,Varsayımlar!$B:$Q,11,0))</f>
        <v>12</v>
      </c>
      <c r="U31" s="75">
        <f>IF(B31="","",VLOOKUP(AD31,Varsayımlar!$B:$Q,12,0))</f>
        <v>390</v>
      </c>
      <c r="V31" s="75" t="str">
        <f>IF(B31="","",VLOOKUP(AD31,Varsayımlar!$B:$Q,13,0))</f>
        <v>Yurtdışı</v>
      </c>
      <c r="W31" s="75">
        <f>IF(B31="","",VLOOKUP(AD31,Varsayımlar!$B:$Q,14,0))</f>
        <v>9</v>
      </c>
      <c r="X31" s="76">
        <v>46213</v>
      </c>
      <c r="Y31" s="76">
        <v>46487</v>
      </c>
      <c r="Z31" s="75" t="s">
        <v>443</v>
      </c>
      <c r="AA31" s="75" t="str">
        <f>IF(B31="","",VLOOKUP(AD31,Varsayımlar!$B:$Q,15,0))</f>
        <v>25cm Perforeli-Bulgarca Domatesli etiket</v>
      </c>
      <c r="AB31" s="75" t="str">
        <f>IF(B31="","",VLOOKUP(AD31,Varsayımlar!$B:$Q,16,0))</f>
        <v>24-26 cm</v>
      </c>
      <c r="AC31" s="75" t="str">
        <f>IF(B31="","",VLOOKUP(Sayfa1!AD65,Varsayımlar!B:S,18,0))</f>
        <v>80x120cm -Epal+Epal</v>
      </c>
      <c r="AD31" s="57" t="str">
        <f t="shared" si="0"/>
        <v>TASTE LAND-BULGARİSTANTortillas 25cm Domatesli 6pcs 390g</v>
      </c>
    </row>
    <row r="32" spans="1:30" ht="47.25" x14ac:dyDescent="0.25">
      <c r="A32" s="8" t="s">
        <v>145</v>
      </c>
      <c r="B32" s="75" t="s">
        <v>218</v>
      </c>
      <c r="C32" s="43">
        <f>IF(B32="","",VLOOKUP(AD32,Varsayımlar!$B:$Q,3,0))</f>
        <v>8698829380698</v>
      </c>
      <c r="D32" s="43" t="s">
        <v>161</v>
      </c>
      <c r="E32" s="75" t="s">
        <v>235</v>
      </c>
      <c r="F32" s="75" t="s">
        <v>341</v>
      </c>
      <c r="G32" s="43"/>
      <c r="H32" s="75" t="str">
        <f>IF(B32="","",VLOOKUP(AD32,Varsayımlar!$B:$Q,5,0))</f>
        <v>Tortillas Avrupa 25cm Ispanaklı (081)</v>
      </c>
      <c r="I32" s="75">
        <f>IF(B32="","",VLOOKUP(AD32,Varsayımlar!B:T,19,0))</f>
        <v>0</v>
      </c>
      <c r="J32" s="75" t="str">
        <f>IF(B32="","",VLOOKUP(AD32,Varsayımlar!$B:$Q,6,0))</f>
        <v>Ispanaklı</v>
      </c>
      <c r="K32" s="75">
        <v>240</v>
      </c>
      <c r="L32" s="75"/>
      <c r="M32" s="75">
        <f>IFERROR(IF(B32="","",K32/VLOOKUP(AD32,Varsayımlar!B:R,17,0)),"")</f>
        <v>2</v>
      </c>
      <c r="N32" s="75"/>
      <c r="O32" s="75">
        <v>3</v>
      </c>
      <c r="P32" s="75">
        <f>IF(B32="","",VLOOKUP(AD32,Varsayımlar!$B:$Q,7,0)*K32)</f>
        <v>2880</v>
      </c>
      <c r="Q32" s="75">
        <f>IF(B32="","",VLOOKUP(AD32,Varsayımlar!$B:$Q,8,0))</f>
        <v>25</v>
      </c>
      <c r="R32" s="75" t="str">
        <f>IF(B32="","",VLOOKUP(AD32,Varsayımlar!$B:$Q,9,0))</f>
        <v>Irak Soft</v>
      </c>
      <c r="S32" s="75">
        <f>IF(B32="","",VLOOKUP(AD32,Varsayımlar!$B:$Q,10,0))</f>
        <v>6</v>
      </c>
      <c r="T32" s="75">
        <f>IF(B32="","",VLOOKUP(AD32,Varsayımlar!$B:$Q,11,0))</f>
        <v>12</v>
      </c>
      <c r="U32" s="75">
        <f>IF(B32="","",VLOOKUP(AD32,Varsayımlar!$B:$Q,12,0))</f>
        <v>390</v>
      </c>
      <c r="V32" s="75" t="str">
        <f>IF(B32="","",VLOOKUP(AD32,Varsayımlar!$B:$Q,13,0))</f>
        <v>Yurtdışı</v>
      </c>
      <c r="W32" s="75">
        <f>IF(B32="","",VLOOKUP(AD32,Varsayımlar!$B:$Q,14,0))</f>
        <v>9</v>
      </c>
      <c r="X32" s="76">
        <v>46213</v>
      </c>
      <c r="Y32" s="76">
        <v>46487</v>
      </c>
      <c r="Z32" s="75" t="s">
        <v>444</v>
      </c>
      <c r="AA32" s="75" t="str">
        <f>IF(B32="","",VLOOKUP(AD32,Varsayımlar!$B:$Q,15,0))</f>
        <v>25cm Perforeli-Bulgarca Ispanaklı etiket</v>
      </c>
      <c r="AB32" s="75" t="str">
        <f>IF(B32="","",VLOOKUP(AD32,Varsayımlar!$B:$Q,16,0))</f>
        <v>24-26 cm</v>
      </c>
      <c r="AC32" s="75" t="str">
        <f>IF(B32="","",VLOOKUP(Sayfa1!AD66,Varsayımlar!B:S,18,0))</f>
        <v>80x120cm -Epal+Epal</v>
      </c>
      <c r="AD32" s="57" t="str">
        <f t="shared" si="0"/>
        <v>TASTE LAND-BULGARİSTANTortillas 25cm Ispanaklı 6pcs 390g</v>
      </c>
    </row>
    <row r="33" spans="1:30" ht="47.25" x14ac:dyDescent="0.25">
      <c r="A33" s="8" t="s">
        <v>146</v>
      </c>
      <c r="B33" s="75" t="s">
        <v>218</v>
      </c>
      <c r="C33" s="43">
        <f>IF(B33="","",VLOOKUP(AD33,Varsayımlar!$B:$Q,3,0))</f>
        <v>8698829380698</v>
      </c>
      <c r="D33" s="43" t="s">
        <v>161</v>
      </c>
      <c r="E33" s="75" t="s">
        <v>240</v>
      </c>
      <c r="F33" s="75" t="s">
        <v>341</v>
      </c>
      <c r="G33" s="43"/>
      <c r="H33" s="75" t="str">
        <f>IF(B33="","",VLOOKUP(AD33,Varsayımlar!$B:$Q,5,0))</f>
        <v>Tortillas Avrupa 25cm Peynirli (098)</v>
      </c>
      <c r="I33" s="75">
        <f>IF(B33="","",VLOOKUP(AD33,Varsayımlar!B:T,19,0))</f>
        <v>0</v>
      </c>
      <c r="J33" s="75" t="str">
        <f>IF(B33="","",VLOOKUP(AD33,Varsayımlar!$B:$Q,6,0))</f>
        <v>Peynirli</v>
      </c>
      <c r="K33" s="75">
        <v>120</v>
      </c>
      <c r="L33" s="75"/>
      <c r="M33" s="75">
        <f>IFERROR(IF(B33="","",K33/VLOOKUP(AD33,Varsayımlar!B:R,17,0)),"")</f>
        <v>1</v>
      </c>
      <c r="N33" s="75"/>
      <c r="O33" s="75">
        <v>2</v>
      </c>
      <c r="P33" s="75">
        <f>IF(B33="","",VLOOKUP(AD33,Varsayımlar!$B:$Q,7,0)*K33)</f>
        <v>1440</v>
      </c>
      <c r="Q33" s="75">
        <f>IF(B33="","",VLOOKUP(AD33,Varsayımlar!$B:$Q,8,0))</f>
        <v>25</v>
      </c>
      <c r="R33" s="75" t="str">
        <f>IF(B33="","",VLOOKUP(AD33,Varsayımlar!$B:$Q,9,0))</f>
        <v>Irak Soft-AT</v>
      </c>
      <c r="S33" s="75">
        <f>IF(B33="","",VLOOKUP(AD33,Varsayımlar!$B:$Q,10,0))</f>
        <v>6</v>
      </c>
      <c r="T33" s="75">
        <f>IF(B33="","",VLOOKUP(AD33,Varsayımlar!$B:$Q,11,0))</f>
        <v>12</v>
      </c>
      <c r="U33" s="75">
        <f>IF(B33="","",VLOOKUP(AD33,Varsayımlar!$B:$Q,12,0))</f>
        <v>390</v>
      </c>
      <c r="V33" s="75" t="str">
        <f>IF(B33="","",VLOOKUP(AD33,Varsayımlar!$B:$Q,13,0))</f>
        <v>Yurtdışı</v>
      </c>
      <c r="W33" s="75">
        <f>IF(B33="","",VLOOKUP(AD33,Varsayımlar!$B:$Q,14,0))</f>
        <v>9</v>
      </c>
      <c r="X33" s="76">
        <v>46213</v>
      </c>
      <c r="Y33" s="76">
        <v>46487</v>
      </c>
      <c r="Z33" s="75" t="s">
        <v>445</v>
      </c>
      <c r="AA33" s="75" t="str">
        <f>IF(B33="","",VLOOKUP(AD33,Varsayımlar!$B:$Q,15,0))</f>
        <v>25cm Perforeli-Bulgarca Peynirli etiket</v>
      </c>
      <c r="AB33" s="75" t="str">
        <f>IF(B33="","",VLOOKUP(AD33,Varsayımlar!$B:$Q,16,0))</f>
        <v>24-26 cm</v>
      </c>
      <c r="AC33" s="75" t="str">
        <f>IF(B33="","",VLOOKUP(Sayfa1!AD67,Varsayımlar!B:S,18,0))</f>
        <v>80x120cm -Epal+Epal</v>
      </c>
      <c r="AD33" s="57" t="str">
        <f t="shared" si="0"/>
        <v>TASTE LAND-BULGARİSTANTortillas 25cm Peynirli 6pcs 390g</v>
      </c>
    </row>
    <row r="34" spans="1:30" ht="32.25" customHeight="1" x14ac:dyDescent="0.25">
      <c r="A34" s="8" t="s">
        <v>147</v>
      </c>
      <c r="B34" s="67" t="s">
        <v>460</v>
      </c>
      <c r="C34" s="42">
        <f>IF(B34="","",VLOOKUP(AD34,Varsayımlar!$B:$Q,3,0))</f>
        <v>8698829380698</v>
      </c>
      <c r="D34" s="67"/>
      <c r="E34" s="67" t="s">
        <v>464</v>
      </c>
      <c r="F34" s="67">
        <v>20260414</v>
      </c>
      <c r="G34" s="67"/>
      <c r="H34" s="67" t="str">
        <f>IF(B34="","",VLOOKUP(AD34,Varsayımlar!$B:$Q,5,0))</f>
        <v>Tortillove 20cm</v>
      </c>
      <c r="I34" s="67">
        <f>IF(B34="","",VLOOKUP(AD34,Varsayımlar!B:T,19,0))</f>
        <v>0</v>
      </c>
      <c r="J34" s="67" t="str">
        <f>IF(B34="","",VLOOKUP(AD34,Varsayımlar!$B:$Q,6,0))</f>
        <v>SADE</v>
      </c>
      <c r="K34" s="67">
        <v>300</v>
      </c>
      <c r="L34" s="67"/>
      <c r="M34" s="67">
        <f>IFERROR(IF(B34="","",K34/VLOOKUP(AD34,Varsayımlar!B:R,17,0)),"")</f>
        <v>3</v>
      </c>
      <c r="N34" s="67"/>
      <c r="O34" s="67">
        <v>5</v>
      </c>
      <c r="P34" s="67">
        <f>IF(B34="","",VLOOKUP(AD34,Varsayımlar!$B:$Q,7,0)*K34)</f>
        <v>3600</v>
      </c>
      <c r="Q34" s="67">
        <f>IF(B34="","",VLOOKUP(AD34,Varsayımlar!$B:$Q,8,0))</f>
        <v>20</v>
      </c>
      <c r="R34" s="67" t="str">
        <f>IF(B34="","",VLOOKUP(AD34,Varsayımlar!$B:$Q,9,0))</f>
        <v>Irak Soft</v>
      </c>
      <c r="S34" s="67">
        <f>IF(B34="","",VLOOKUP(AD34,Varsayımlar!$B:$Q,10,0))</f>
        <v>10</v>
      </c>
      <c r="T34" s="67">
        <f>IF(B34="","",VLOOKUP(AD34,Varsayımlar!$B:$Q,11,0))</f>
        <v>12</v>
      </c>
      <c r="U34" s="67">
        <f>IF(B34="","",VLOOKUP(AD34,Varsayımlar!$B:$Q,12,0))</f>
        <v>450</v>
      </c>
      <c r="V34" s="67" t="str">
        <f>IF(B34="","",VLOOKUP(AD34,Varsayımlar!$B:$Q,13,0))</f>
        <v>Yurtdışı</v>
      </c>
      <c r="W34" s="67">
        <f>IF(B34="","",VLOOKUP(AD34,Varsayımlar!$B:$Q,14,0))</f>
        <v>6</v>
      </c>
      <c r="X34" s="69">
        <v>46216</v>
      </c>
      <c r="Y34" s="69">
        <v>46400</v>
      </c>
      <c r="Z34" s="67">
        <v>26071320</v>
      </c>
      <c r="AA34" s="67" t="str">
        <f>IF(B34="","",VLOOKUP(AD34,Varsayımlar!$B:$Q,15,0))</f>
        <v>20cm kolisi</v>
      </c>
      <c r="AB34" s="67" t="str">
        <f>IF(B34="","",VLOOKUP(AD34,Varsayımlar!$B:$Q,16,0))</f>
        <v>19-21 cm</v>
      </c>
      <c r="AC34" s="75">
        <f>IF(B34="","",VLOOKUP(Sayfa1!AD69,Varsayımlar!B:S,18,0))</f>
        <v>0</v>
      </c>
      <c r="AD34" s="57" t="str">
        <f t="shared" si="0"/>
        <v>Yüksekbaş GıdaYüksekbaş 20cm 10pcs 450g</v>
      </c>
    </row>
    <row r="35" spans="1:30" ht="32.25" customHeight="1" x14ac:dyDescent="0.25">
      <c r="A35" s="8" t="s">
        <v>148</v>
      </c>
      <c r="B35" s="67" t="s">
        <v>460</v>
      </c>
      <c r="C35" s="42">
        <f>IF(B35="","",VLOOKUP(AD35,Varsayımlar!$B:$Q,3,0))</f>
        <v>8698829380698</v>
      </c>
      <c r="D35" s="67"/>
      <c r="E35" s="67" t="s">
        <v>470</v>
      </c>
      <c r="F35" s="67">
        <v>20260414</v>
      </c>
      <c r="G35" s="67"/>
      <c r="H35" s="67" t="str">
        <f>IF(B35="","",VLOOKUP(AD35,Varsayımlar!$B:$Q,5,0))</f>
        <v>Tortillove 30cm</v>
      </c>
      <c r="I35" s="67">
        <f>IF(B35="","",VLOOKUP(AD35,Varsayımlar!B:T,19,0))</f>
        <v>0</v>
      </c>
      <c r="J35" s="67" t="str">
        <f>IF(B35="","",VLOOKUP(AD35,Varsayımlar!$B:$Q,6,0))</f>
        <v>SADE</v>
      </c>
      <c r="K35" s="67">
        <v>792</v>
      </c>
      <c r="L35" s="67" t="s">
        <v>530</v>
      </c>
      <c r="M35" s="67">
        <f>IFERROR(IF(B35="","",K35/VLOOKUP(AD35,Varsayımlar!B:R,17,0)),"")</f>
        <v>12</v>
      </c>
      <c r="N35" s="67"/>
      <c r="O35" s="67">
        <v>14</v>
      </c>
      <c r="P35" s="67">
        <f>IF(B35="","",VLOOKUP(AD35,Varsayımlar!$B:$Q,7,0)*K35)</f>
        <v>9504</v>
      </c>
      <c r="Q35" s="67">
        <f>IF(B35="","",VLOOKUP(AD35,Varsayımlar!$B:$Q,8,0))</f>
        <v>30</v>
      </c>
      <c r="R35" s="67" t="str">
        <f>IF(B35="","",VLOOKUP(AD35,Varsayımlar!$B:$Q,9,0))</f>
        <v>Irak Soft</v>
      </c>
      <c r="S35" s="67">
        <f>IF(B35="","",VLOOKUP(AD35,Varsayımlar!$B:$Q,10,0))</f>
        <v>10</v>
      </c>
      <c r="T35" s="67">
        <f>IF(B35="","",VLOOKUP(AD35,Varsayımlar!$B:$Q,11,0))</f>
        <v>12</v>
      </c>
      <c r="U35" s="67">
        <f>IF(B35="","",VLOOKUP(AD35,Varsayımlar!$B:$Q,12,0))</f>
        <v>950</v>
      </c>
      <c r="V35" s="67" t="str">
        <f>IF(B35="","",VLOOKUP(AD35,Varsayımlar!$B:$Q,13,0))</f>
        <v>Yurtdışı</v>
      </c>
      <c r="W35" s="67">
        <f>IF(B35="","",VLOOKUP(AD35,Varsayımlar!$B:$Q,14,0))</f>
        <v>6</v>
      </c>
      <c r="X35" s="69">
        <v>46216</v>
      </c>
      <c r="Y35" s="69">
        <v>46400</v>
      </c>
      <c r="Z35" s="67">
        <v>26071330</v>
      </c>
      <c r="AA35" s="67" t="str">
        <f>IF(B35="","",VLOOKUP(AD35,Varsayımlar!$B:$Q,15,0))</f>
        <v>30cm Kolisi</v>
      </c>
      <c r="AB35" s="67" t="str">
        <f>IF(B35="","",VLOOKUP(AD35,Varsayımlar!$B:$Q,16,0))</f>
        <v>29-31 cm</v>
      </c>
      <c r="AC35" s="75">
        <f>IF(B35="","",VLOOKUP(Sayfa1!AD69,Varsayımlar!B:S,18,0))</f>
        <v>0</v>
      </c>
      <c r="AD35" s="57" t="str">
        <f t="shared" si="0"/>
        <v>Yüksekbaş GıdaYüksekbaş 30cm 10pcs 950g</v>
      </c>
    </row>
    <row r="36" spans="1:30" ht="47.25" x14ac:dyDescent="0.25">
      <c r="A36" s="8" t="s">
        <v>149</v>
      </c>
      <c r="B36" s="58" t="s">
        <v>346</v>
      </c>
      <c r="C36" s="147">
        <f>IF(B36="","",VLOOKUP(AD36,Varsayımlar!$B:$Q,3,0))</f>
        <v>8698829380698</v>
      </c>
      <c r="D36" s="40">
        <v>48</v>
      </c>
      <c r="E36" s="59" t="s">
        <v>162</v>
      </c>
      <c r="F36" s="58"/>
      <c r="G36" s="58"/>
      <c r="H36" s="58" t="str">
        <f>IF(B36="","",VLOOKUP(AD36,Varsayımlar!$B:$Q,5,0))</f>
        <v>Hanami 20cm Sade 4 pcs 166g (067)</v>
      </c>
      <c r="I36" s="58" t="str">
        <f>IF(B36="","",VLOOKUP(AD36,Varsayımlar!B:T,19,0))</f>
        <v>Ambalaj kaç aylık kontrol?</v>
      </c>
      <c r="J36" s="58" t="str">
        <f>IF(B36="","",VLOOKUP(AD36,Varsayımlar!$B:$Q,6,0))</f>
        <v>SADE</v>
      </c>
      <c r="K36" s="58">
        <v>3080</v>
      </c>
      <c r="L36" s="58"/>
      <c r="M36" s="58">
        <f>IFERROR(IF(B36="","",K36/VLOOKUP(AD36,Varsayımlar!B:R,17,0)),"")</f>
        <v>22</v>
      </c>
      <c r="N36" s="58"/>
      <c r="O36" s="58">
        <v>52</v>
      </c>
      <c r="P36" s="58">
        <f>IF(B36="","",VLOOKUP(AD36,Varsayımlar!$B:$Q,7,0)*K36)</f>
        <v>92400</v>
      </c>
      <c r="Q36" s="58">
        <f>IF(B36="","",VLOOKUP(AD36,Varsayımlar!$B:$Q,8,0))</f>
        <v>20</v>
      </c>
      <c r="R36" s="58" t="str">
        <f>IF(B36="","",VLOOKUP(AD36,Varsayımlar!$B:$Q,9,0))</f>
        <v>Irak Soft</v>
      </c>
      <c r="S36" s="58">
        <f>IF(B36="","",VLOOKUP(AD36,Varsayımlar!$B:$Q,10,0))</f>
        <v>4</v>
      </c>
      <c r="T36" s="58">
        <f>IF(B36="","",VLOOKUP(AD36,Varsayımlar!$B:$Q,11,0))</f>
        <v>30</v>
      </c>
      <c r="U36" s="58">
        <f>IF(B36="","",VLOOKUP(AD36,Varsayımlar!$B:$Q,12,0))</f>
        <v>166</v>
      </c>
      <c r="V36" s="58" t="str">
        <f>IF(B36="","",VLOOKUP(AD36,Varsayımlar!$B:$Q,13,0))</f>
        <v>Yurtdışı</v>
      </c>
      <c r="W36" s="58">
        <f>IF(B36="","",VLOOKUP(AD36,Varsayımlar!$B:$Q,14,0))</f>
        <v>9</v>
      </c>
      <c r="X36" s="60">
        <v>46218</v>
      </c>
      <c r="Y36" s="60">
        <v>46492</v>
      </c>
      <c r="Z36" s="58">
        <v>26071520</v>
      </c>
      <c r="AA36" s="58" t="str">
        <f>IF(B36="","",VLOOKUP(AD36,Varsayımlar!$B:$Q,15,0))</f>
        <v>Hanami Mavi Koli -Üretim Tarihi+9 AYI KAPATACAK ETİKETLİ</v>
      </c>
      <c r="AB36" s="58" t="str">
        <f>IF(B36="","",VLOOKUP(AD36,Varsayımlar!$B:$Q,16,0))</f>
        <v>19-21 cm</v>
      </c>
      <c r="AC36" s="8" t="e">
        <f>IF(B36="","",VLOOKUP(#REF!,#REF!,18,0))</f>
        <v>#REF!</v>
      </c>
      <c r="AD36" s="8" t="str">
        <f t="shared" si="0"/>
        <v xml:space="preserve">GermesHanami 20cm sade 4pcs 166g </v>
      </c>
    </row>
    <row r="37" spans="1:30" ht="31.5" x14ac:dyDescent="0.25">
      <c r="A37" s="8" t="s">
        <v>150</v>
      </c>
      <c r="B37" s="58" t="s">
        <v>346</v>
      </c>
      <c r="C37" s="147">
        <f>IF(B37="","",VLOOKUP(AD37,Varsayımlar!$B:$Q,3,0))</f>
        <v>8698829380698</v>
      </c>
      <c r="D37" s="40">
        <v>48</v>
      </c>
      <c r="E37" s="59" t="s">
        <v>166</v>
      </c>
      <c r="F37" s="58"/>
      <c r="G37" s="58"/>
      <c r="H37" s="58" t="str">
        <f>IF(B37="","",VLOOKUP(AD37,Varsayımlar!$B:$Q,5,0))</f>
        <v>Tortillas 20cm (Etiketli)</v>
      </c>
      <c r="I37" s="58" t="str">
        <f>IF(B37="","",VLOOKUP(AD37,Varsayımlar!B:T,19,0))</f>
        <v>Etiketli</v>
      </c>
      <c r="J37" s="58" t="str">
        <f>IF(B37="","",VLOOKUP(AD37,Varsayımlar!$B:$Q,6,0))</f>
        <v>SADE</v>
      </c>
      <c r="K37" s="58">
        <v>280</v>
      </c>
      <c r="L37" s="58"/>
      <c r="M37" s="58">
        <f>IFERROR(IF(B37="","",K37/VLOOKUP(AD37,Varsayımlar!B:R,17,0)),"")</f>
        <v>2</v>
      </c>
      <c r="N37" s="58"/>
      <c r="O37" s="58">
        <v>5</v>
      </c>
      <c r="P37" s="58">
        <f>IF(B37="","",VLOOKUP(AD37,Varsayımlar!$B:$Q,7,0)*K37)</f>
        <v>8400</v>
      </c>
      <c r="Q37" s="58">
        <f>IF(B37="","",VLOOKUP(AD37,Varsayımlar!$B:$Q,8,0))</f>
        <v>20</v>
      </c>
      <c r="R37" s="58" t="str">
        <f>IF(B37="","",VLOOKUP(AD37,Varsayımlar!$B:$Q,9,0))</f>
        <v>Irak soft</v>
      </c>
      <c r="S37" s="58">
        <f>IF(B37="","",VLOOKUP(AD37,Varsayımlar!$B:$Q,10,0))</f>
        <v>4</v>
      </c>
      <c r="T37" s="58">
        <f>IF(B37="","",VLOOKUP(AD37,Varsayımlar!$B:$Q,11,0))</f>
        <v>30</v>
      </c>
      <c r="U37" s="58">
        <f>IF(B37="","",VLOOKUP(AD37,Varsayımlar!$B:$Q,12,0))</f>
        <v>166</v>
      </c>
      <c r="V37" s="58" t="str">
        <f>IF(B37="","",VLOOKUP(AD37,Varsayımlar!$B:$Q,13,0))</f>
        <v>Yurtdışı</v>
      </c>
      <c r="W37" s="58">
        <f>IF(B37="","",VLOOKUP(AD37,Varsayımlar!$B:$Q,14,0))</f>
        <v>9</v>
      </c>
      <c r="X37" s="60">
        <v>46218</v>
      </c>
      <c r="Y37" s="60">
        <v>46492</v>
      </c>
      <c r="Z37" s="58">
        <v>26071520</v>
      </c>
      <c r="AA37" s="58" t="str">
        <f>IF(B37="","",VLOOKUP(AD37,Varsayımlar!$B:$Q,15,0))</f>
        <v>20cm Koli-Üretim Tarihli Etiket</v>
      </c>
      <c r="AB37" s="58" t="str">
        <f>IF(B37="","",VLOOKUP(AD37,Varsayımlar!$B:$Q,16,0))</f>
        <v>19-21 cm</v>
      </c>
      <c r="AC37" s="8" t="e">
        <f>IF(B37="","",VLOOKUP(#REF!,#REF!,18,0))</f>
        <v>#REF!</v>
      </c>
      <c r="AD37" s="8" t="str">
        <f>IF(B37="","",CONCATENATE(B37,E37))</f>
        <v>GermesTortillas 20cm 4 lü 166g</v>
      </c>
    </row>
    <row r="38" spans="1:30" ht="31.5" customHeight="1" x14ac:dyDescent="0.25">
      <c r="A38" s="8" t="s">
        <v>151</v>
      </c>
      <c r="B38" s="58" t="s">
        <v>346</v>
      </c>
      <c r="C38" s="147">
        <f>IF(B38="","",VLOOKUP(AD38,Varsayımlar!$B:$Q,3,0))</f>
        <v>8698829380698</v>
      </c>
      <c r="D38" s="40">
        <v>48</v>
      </c>
      <c r="E38" s="59" t="s">
        <v>168</v>
      </c>
      <c r="F38" s="58"/>
      <c r="G38" s="58"/>
      <c r="H38" s="58" t="str">
        <f>IF(B38="","",VLOOKUP(AD38,Varsayımlar!$B:$Q,5,0))</f>
        <v>Hanami Peynirli 20cm (050)</v>
      </c>
      <c r="I38" s="58" t="str">
        <f>IF(B38="","",VLOOKUP(AD38,Varsayımlar!B:T,19,0))</f>
        <v>Ambalaj kaç aylık kontrol?</v>
      </c>
      <c r="J38" s="58" t="str">
        <f>IF(B38="","",VLOOKUP(AD38,Varsayımlar!$B:$Q,6,0))</f>
        <v>PEYNİRLİ</v>
      </c>
      <c r="K38" s="58">
        <v>280</v>
      </c>
      <c r="L38" s="58" t="s">
        <v>531</v>
      </c>
      <c r="M38" s="58">
        <f>IFERROR(IF(B38="","",K38/VLOOKUP(AD38,Varsayımlar!B:R,17,0)),"")</f>
        <v>2</v>
      </c>
      <c r="N38" s="58"/>
      <c r="O38" s="58">
        <v>6</v>
      </c>
      <c r="P38" s="58">
        <f>IF(B38="","",VLOOKUP(AD38,Varsayımlar!$B:$Q,7,0)*K38)</f>
        <v>8400</v>
      </c>
      <c r="Q38" s="58">
        <f>IF(B38="","",VLOOKUP(AD38,Varsayımlar!$B:$Q,8,0))</f>
        <v>20</v>
      </c>
      <c r="R38" s="58" t="str">
        <f>IF(B38="","",VLOOKUP(AD38,Varsayımlar!$B:$Q,9,0))</f>
        <v>Irak Soft-AT</v>
      </c>
      <c r="S38" s="58">
        <f>IF(B38="","",VLOOKUP(AD38,Varsayımlar!$B:$Q,10,0))</f>
        <v>4</v>
      </c>
      <c r="T38" s="58">
        <f>IF(B38="","",VLOOKUP(AD38,Varsayımlar!$B:$Q,11,0))</f>
        <v>30</v>
      </c>
      <c r="U38" s="58">
        <f>IF(B38="","",VLOOKUP(AD38,Varsayımlar!$B:$Q,12,0))</f>
        <v>166</v>
      </c>
      <c r="V38" s="58" t="str">
        <f>IF(B38="","",VLOOKUP(AD38,Varsayımlar!$B:$Q,13,0))</f>
        <v>YURTDIŞI</v>
      </c>
      <c r="W38" s="58">
        <f>IF(B38="","",VLOOKUP(AD38,Varsayımlar!$B:$Q,14,0))</f>
        <v>9</v>
      </c>
      <c r="X38" s="60">
        <v>46218</v>
      </c>
      <c r="Y38" s="60">
        <v>46492</v>
      </c>
      <c r="Z38" s="58" t="s">
        <v>495</v>
      </c>
      <c r="AA38" s="58" t="str">
        <f>IF(B38="","",VLOOKUP(AD38,Varsayımlar!$B:$Q,15,0))</f>
        <v>HANAMİ SARI KOLİ-ÜRETİM TARİHİ BASILACAK</v>
      </c>
      <c r="AB38" s="58" t="str">
        <f>IF(B38="","",VLOOKUP(AD38,Varsayımlar!$B:$Q,16,0))</f>
        <v>19-21 CM</v>
      </c>
      <c r="AC38" s="8" t="e">
        <f>IF(B38="","",VLOOKUP(#REF!,#REF!,18,0))</f>
        <v>#REF!</v>
      </c>
      <c r="AD38" s="8" t="str">
        <f t="shared" ref="AD38:AD48" si="2">IF(B38="","",CONCATENATE(B38,E38))</f>
        <v>GermesHanami Peynirli 20cm 4 lü 166g</v>
      </c>
    </row>
    <row r="39" spans="1:30" ht="47.25" x14ac:dyDescent="0.25">
      <c r="A39" s="8" t="s">
        <v>152</v>
      </c>
      <c r="B39" s="54" t="s">
        <v>346</v>
      </c>
      <c r="C39" s="139">
        <f>IF(B39="","",VLOOKUP(AD39,Varsayımlar!$B:$Q,3,0))</f>
        <v>8698829380698</v>
      </c>
      <c r="D39" s="39">
        <v>49</v>
      </c>
      <c r="E39" s="55" t="s">
        <v>162</v>
      </c>
      <c r="F39" s="54"/>
      <c r="G39" s="54"/>
      <c r="H39" s="54" t="str">
        <f>IF(B39="","",VLOOKUP(AD39,Varsayımlar!$B:$Q,5,0))</f>
        <v>Hanami 20cm Sade 4 pcs 166g (067)</v>
      </c>
      <c r="I39" s="54" t="str">
        <f>IF(B39="","",VLOOKUP(AD39,Varsayımlar!B:T,19,0))</f>
        <v>Ambalaj kaç aylık kontrol?</v>
      </c>
      <c r="J39" s="54" t="str">
        <f>IF(B39="","",VLOOKUP(AD39,Varsayımlar!$B:$Q,6,0))</f>
        <v>SADE</v>
      </c>
      <c r="K39" s="54">
        <v>700</v>
      </c>
      <c r="L39" s="54"/>
      <c r="M39" s="54">
        <f>IFERROR(IF(B39="","",K39/VLOOKUP(AD39,Varsayımlar!B:R,17,0)),"")</f>
        <v>5</v>
      </c>
      <c r="N39" s="54"/>
      <c r="O39" s="54">
        <v>12</v>
      </c>
      <c r="P39" s="54">
        <f>IF(B39="","",VLOOKUP(AD39,Varsayımlar!$B:$Q,7,0)*K39)</f>
        <v>21000</v>
      </c>
      <c r="Q39" s="54">
        <f>IF(B39="","",VLOOKUP(AD39,Varsayımlar!$B:$Q,8,0))</f>
        <v>20</v>
      </c>
      <c r="R39" s="54" t="str">
        <f>IF(B39="","",VLOOKUP(AD39,Varsayımlar!$B:$Q,9,0))</f>
        <v>Irak Soft</v>
      </c>
      <c r="S39" s="54">
        <f>IF(B39="","",VLOOKUP(AD39,Varsayımlar!$B:$Q,10,0))</f>
        <v>4</v>
      </c>
      <c r="T39" s="54">
        <f>IF(B39="","",VLOOKUP(AD39,Varsayımlar!$B:$Q,11,0))</f>
        <v>30</v>
      </c>
      <c r="U39" s="54">
        <f>IF(B39="","",VLOOKUP(AD39,Varsayımlar!$B:$Q,12,0))</f>
        <v>166</v>
      </c>
      <c r="V39" s="54" t="str">
        <f>IF(B39="","",VLOOKUP(AD39,Varsayımlar!$B:$Q,13,0))</f>
        <v>Yurtdışı</v>
      </c>
      <c r="W39" s="54">
        <f>IF(B39="","",VLOOKUP(AD39,Varsayımlar!$B:$Q,14,0))</f>
        <v>9</v>
      </c>
      <c r="X39" s="56">
        <v>46226</v>
      </c>
      <c r="Y39" s="56">
        <v>46500</v>
      </c>
      <c r="Z39" s="54">
        <v>26072320</v>
      </c>
      <c r="AA39" s="54" t="str">
        <f>IF(B39="","",VLOOKUP(AD39,Varsayımlar!$B:$Q,15,0))</f>
        <v>Hanami Mavi Koli -Üretim Tarihi+9 AYI KAPATACAK ETİKETLİ</v>
      </c>
      <c r="AB39" s="54" t="str">
        <f>IF(B39="","",VLOOKUP(AD39,Varsayımlar!$B:$Q,16,0))</f>
        <v>19-21 cm</v>
      </c>
      <c r="AC39" s="8" t="e">
        <f>IF(B39="","",VLOOKUP(#REF!,#REF!,18,0))</f>
        <v>#REF!</v>
      </c>
      <c r="AD39" s="8" t="str">
        <f t="shared" si="2"/>
        <v xml:space="preserve">GermesHanami 20cm sade 4pcs 166g </v>
      </c>
    </row>
    <row r="40" spans="1:30" ht="31.5" x14ac:dyDescent="0.25">
      <c r="A40" s="8" t="s">
        <v>153</v>
      </c>
      <c r="B40" s="54" t="s">
        <v>346</v>
      </c>
      <c r="C40" s="139">
        <f>IF(B40="","",VLOOKUP(AD40,Varsayımlar!$B:$Q,3,0))</f>
        <v>8698829380698</v>
      </c>
      <c r="D40" s="39">
        <v>49</v>
      </c>
      <c r="E40" s="55" t="s">
        <v>490</v>
      </c>
      <c r="F40" s="54"/>
      <c r="G40" s="54"/>
      <c r="H40" s="54" t="str">
        <f>IF(B40="","",VLOOKUP(AD40,Varsayımlar!$B:$Q,5,0))</f>
        <v>Tortillas Domatesli 25cm (Germes Bilgileri Ekli)</v>
      </c>
      <c r="I40" s="54">
        <f>IF(B40="","",VLOOKUP(AD40,Varsayımlar!B:T,19,0))</f>
        <v>0</v>
      </c>
      <c r="J40" s="54" t="str">
        <f>IF(B40="","",VLOOKUP(AD40,Varsayımlar!$B:$Q,6,0))</f>
        <v>Domatesli</v>
      </c>
      <c r="K40" s="54">
        <v>420</v>
      </c>
      <c r="L40" s="54"/>
      <c r="M40" s="54" t="str">
        <f>IFERROR(IF(B40="","",K40/VLOOKUP(AD40,Varsayımlar!B:R,17,0)),"")</f>
        <v/>
      </c>
      <c r="N40" s="54"/>
      <c r="O40" s="54">
        <v>8</v>
      </c>
      <c r="P40" s="54">
        <f>IF(B40="","",VLOOKUP(AD40,Varsayımlar!$B:$Q,7,0)*K40)</f>
        <v>12600</v>
      </c>
      <c r="Q40" s="54">
        <f>IF(B40="","",VLOOKUP(AD40,Varsayımlar!$B:$Q,8,0))</f>
        <v>25</v>
      </c>
      <c r="R40" s="54" t="str">
        <f>IF(B40="","",VLOOKUP(AD40,Varsayımlar!$B:$Q,9,0))</f>
        <v>Irak Soft</v>
      </c>
      <c r="S40" s="54">
        <f>IF(B40="","",VLOOKUP(AD40,Varsayımlar!$B:$Q,10,0))</f>
        <v>4</v>
      </c>
      <c r="T40" s="54">
        <f>IF(B40="","",VLOOKUP(AD40,Varsayımlar!$B:$Q,11,0))</f>
        <v>30</v>
      </c>
      <c r="U40" s="54">
        <f>IF(B40="","",VLOOKUP(AD40,Varsayımlar!$B:$Q,12,0))</f>
        <v>250</v>
      </c>
      <c r="V40" s="54" t="str">
        <f>IF(B40="","",VLOOKUP(AD40,Varsayımlar!$B:$Q,13,0))</f>
        <v>Yurtdışı</v>
      </c>
      <c r="W40" s="54">
        <f>IF(B40="","",VLOOKUP(AD40,Varsayımlar!$B:$Q,14,0))</f>
        <v>9</v>
      </c>
      <c r="X40" s="56">
        <v>46226</v>
      </c>
      <c r="Y40" s="56">
        <v>46135</v>
      </c>
      <c r="Z40" s="54" t="s">
        <v>496</v>
      </c>
      <c r="AA40" s="54" t="str">
        <f>IF(B40="","",VLOOKUP(AD40,Varsayımlar!$B:$Q,15,0))</f>
        <v>25cm Kırmızı Koli-Üretim Tarihli Etiketli</v>
      </c>
      <c r="AB40" s="54">
        <f>IF(B40="","",VLOOKUP(AD40,Varsayımlar!$B:$Q,16,0))</f>
        <v>0</v>
      </c>
      <c r="AC40" s="8" t="e">
        <f>IF(B40="","",VLOOKUP(#REF!,#REF!,18,0))</f>
        <v>#REF!</v>
      </c>
      <c r="AD40" s="8" t="str">
        <f t="shared" si="2"/>
        <v xml:space="preserve">GermesTortillas Domatesli 25cm 4pcs 250g </v>
      </c>
    </row>
    <row r="41" spans="1:30" ht="31.5" x14ac:dyDescent="0.25">
      <c r="A41" s="8" t="s">
        <v>154</v>
      </c>
      <c r="B41" s="54" t="s">
        <v>346</v>
      </c>
      <c r="C41" s="139">
        <f>IF(B41="","",VLOOKUP(AD41,Varsayımlar!$B:$Q,3,0))</f>
        <v>8698829380698</v>
      </c>
      <c r="D41" s="39">
        <v>49</v>
      </c>
      <c r="E41" s="55" t="s">
        <v>492</v>
      </c>
      <c r="F41" s="54"/>
      <c r="G41" s="54"/>
      <c r="H41" s="54" t="str">
        <f>IF(B41="","",VLOOKUP(AD41,Varsayımlar!$B:$Q,5,0))</f>
        <v>Tortillas Ispanaklı 25cm (Germes Bilgileri Ekli)</v>
      </c>
      <c r="I41" s="54">
        <f>IF(B41="","",VLOOKUP(AD41,Varsayımlar!B:T,19,0))</f>
        <v>0</v>
      </c>
      <c r="J41" s="54" t="str">
        <f>IF(B41="","",VLOOKUP(AD41,Varsayımlar!$B:$Q,6,0))</f>
        <v>Ispanaklı</v>
      </c>
      <c r="K41" s="54">
        <v>420</v>
      </c>
      <c r="L41" s="54"/>
      <c r="M41" s="54" t="str">
        <f>IFERROR(IF(B41="","",K41/VLOOKUP(AD41,Varsayımlar!B:R,17,0)),"")</f>
        <v/>
      </c>
      <c r="N41" s="54"/>
      <c r="O41" s="54">
        <v>8</v>
      </c>
      <c r="P41" s="54">
        <f>IF(B41="","",VLOOKUP(AD41,Varsayımlar!$B:$Q,7,0)*K41)</f>
        <v>12600</v>
      </c>
      <c r="Q41" s="54">
        <f>IF(B41="","",VLOOKUP(AD41,Varsayımlar!$B:$Q,8,0))</f>
        <v>25</v>
      </c>
      <c r="R41" s="54" t="str">
        <f>IF(B41="","",VLOOKUP(AD41,Varsayımlar!$B:$Q,9,0))</f>
        <v>Irak Soft</v>
      </c>
      <c r="S41" s="54">
        <f>IF(B41="","",VLOOKUP(AD41,Varsayımlar!$B:$Q,10,0))</f>
        <v>4</v>
      </c>
      <c r="T41" s="54">
        <f>IF(B41="","",VLOOKUP(AD41,Varsayımlar!$B:$Q,11,0))</f>
        <v>30</v>
      </c>
      <c r="U41" s="54">
        <f>IF(B41="","",VLOOKUP(AD41,Varsayımlar!$B:$Q,12,0))</f>
        <v>250</v>
      </c>
      <c r="V41" s="54" t="str">
        <f>IF(B41="","",VLOOKUP(AD41,Varsayımlar!$B:$Q,13,0))</f>
        <v>Yurtdışı</v>
      </c>
      <c r="W41" s="54">
        <f>IF(B41="","",VLOOKUP(AD41,Varsayımlar!$B:$Q,14,0))</f>
        <v>9</v>
      </c>
      <c r="X41" s="56">
        <v>46226</v>
      </c>
      <c r="Y41" s="56">
        <v>46500</v>
      </c>
      <c r="Z41" s="54" t="s">
        <v>497</v>
      </c>
      <c r="AA41" s="54" t="str">
        <f>IF(B41="","",VLOOKUP(AD41,Varsayımlar!$B:$Q,15,0))</f>
        <v>25cm Kırmızı Koli-Üretim Tarihli Etiketli</v>
      </c>
      <c r="AB41" s="54">
        <f>IF(B41="","",VLOOKUP(AD41,Varsayımlar!$B:$Q,16,0))</f>
        <v>0</v>
      </c>
      <c r="AC41" s="8" t="e">
        <f>IF(B41="","",VLOOKUP(#REF!,#REF!,18,0))</f>
        <v>#REF!</v>
      </c>
      <c r="AD41" s="8" t="str">
        <f t="shared" si="2"/>
        <v xml:space="preserve">GermesTortillas Ispanaklı 25cm 4pcs 250g </v>
      </c>
    </row>
    <row r="42" spans="1:30" ht="45.75" customHeight="1" x14ac:dyDescent="0.25">
      <c r="A42" s="8" t="s">
        <v>155</v>
      </c>
      <c r="B42" s="130" t="s">
        <v>119</v>
      </c>
      <c r="C42" s="131">
        <f>IF(B42="","",VLOOKUP(AD42,Varsayımlar!$B:$Q,3,0))</f>
        <v>8698829380698</v>
      </c>
      <c r="D42" s="131"/>
      <c r="E42" s="132" t="s">
        <v>120</v>
      </c>
      <c r="F42" s="130"/>
      <c r="G42" s="130"/>
      <c r="H42" s="130" t="str">
        <f>IF(B42="","",VLOOKUP(AD42,Varsayımlar!$B:$Q,5,0))</f>
        <v>Nimet 25 cm</v>
      </c>
      <c r="I42" s="130">
        <f>IF(B42="","",VLOOKUP(AD42,Varsayımlar!B:T,19,0))</f>
        <v>0</v>
      </c>
      <c r="J42" s="130" t="str">
        <f>IF(B42="","",VLOOKUP(AD42,Varsayımlar!$B:$Q,6,0))</f>
        <v>SADE</v>
      </c>
      <c r="K42" s="130">
        <v>5000</v>
      </c>
      <c r="L42" s="130"/>
      <c r="M42" s="130">
        <f>IFERROR(IF(B42="","",K42/VLOOKUP(AD42,Varsayımlar!B:R,17,0)),"")</f>
        <v>100</v>
      </c>
      <c r="N42" s="130"/>
      <c r="O42" s="130">
        <v>100</v>
      </c>
      <c r="P42" s="130">
        <f>IF(B42="","",VLOOKUP(AD42,Varsayımlar!$B:$Q,7,0)*K42)</f>
        <v>60000</v>
      </c>
      <c r="Q42" s="130">
        <f>IF(B42="","",VLOOKUP(AD42,Varsayımlar!$B:$Q,8,0))</f>
        <v>25</v>
      </c>
      <c r="R42" s="130" t="str">
        <f>IF(B42="","",VLOOKUP(AD42,Varsayımlar!$B:$Q,9,0))</f>
        <v>Standart</v>
      </c>
      <c r="S42" s="130">
        <f>IF(B42="","",VLOOKUP(AD42,Varsayımlar!$B:$Q,10,0))</f>
        <v>12</v>
      </c>
      <c r="T42" s="130">
        <f>IF(B42="","",VLOOKUP(AD42,Varsayımlar!$B:$Q,11,0))</f>
        <v>12</v>
      </c>
      <c r="U42" s="130">
        <f>IF(B42="","",VLOOKUP(AD42,Varsayımlar!$B:$Q,12,0))</f>
        <v>840</v>
      </c>
      <c r="V42" s="130" t="str">
        <f>IF(B42="","",VLOOKUP(AD42,Varsayımlar!$B:$Q,13,0))</f>
        <v>YURTİÇİ</v>
      </c>
      <c r="W42" s="130">
        <f>IF(B42="","",VLOOKUP(AD42,Varsayımlar!$B:$Q,14,0))</f>
        <v>5</v>
      </c>
      <c r="X42" s="133" t="s">
        <v>113</v>
      </c>
      <c r="Y42" s="133" t="s">
        <v>113</v>
      </c>
      <c r="Z42" s="130" t="s">
        <v>113</v>
      </c>
      <c r="AA42" s="130" t="str">
        <f>IF(B42="","",VLOOKUP(AD42,Varsayımlar!$B:$Q,15,0))</f>
        <v>Nimet Kolisi</v>
      </c>
      <c r="AB42" s="130" t="str">
        <f>IF(B42="","",VLOOKUP(AD42,Varsayımlar!$B:$Q,16,0))</f>
        <v>24-26 CM</v>
      </c>
      <c r="AC42" s="64" t="s">
        <v>360</v>
      </c>
      <c r="AD42" s="57" t="str">
        <f>IF(B42="","",CONCATENATE(B42,E42))</f>
        <v>A101Nimet 25cm 12 pcs 840g</v>
      </c>
    </row>
    <row r="43" spans="1:30" ht="36" customHeight="1" x14ac:dyDescent="0.25">
      <c r="A43" s="8" t="s">
        <v>156</v>
      </c>
      <c r="B43" s="149" t="s">
        <v>500</v>
      </c>
      <c r="C43" s="149">
        <f>IF(B43="","",VLOOKUP(AD43,Varsayımlar!$B:$Q,3,0))</f>
        <v>8698829380698</v>
      </c>
      <c r="D43" s="149"/>
      <c r="E43" s="149" t="s">
        <v>501</v>
      </c>
      <c r="F43" s="149">
        <v>26062201</v>
      </c>
      <c r="G43" s="149"/>
      <c r="H43" s="149" t="str">
        <f>IF(B43="","",VLOOKUP(AD43,Varsayımlar!$B:$Q,5,0))</f>
        <v>Tortillas 33cm</v>
      </c>
      <c r="I43" s="149">
        <f>IF(B43="","",VLOOKUP(AD43,Varsayımlar!B:T,19,0))</f>
        <v>0</v>
      </c>
      <c r="J43" s="149" t="str">
        <f>IF(B43="","",VLOOKUP(AD43,Varsayımlar!$B:$Q,6,0))</f>
        <v>Sade</v>
      </c>
      <c r="K43" s="149">
        <v>100</v>
      </c>
      <c r="L43" s="149"/>
      <c r="M43" s="149">
        <f>IFERROR(IF(B43="","",K43/VLOOKUP(AD43,Varsayımlar!B:R,17,0)),"")</f>
        <v>2</v>
      </c>
      <c r="N43" s="149"/>
      <c r="O43" s="149">
        <v>2</v>
      </c>
      <c r="P43" s="149">
        <f>IF(B43="","",VLOOKUP(AD43,Varsayımlar!$B:$Q,7,0)*K43)</f>
        <v>1200</v>
      </c>
      <c r="Q43" s="149">
        <f>IF(B43="","",VLOOKUP(AD43,Varsayımlar!$B:$Q,8,0))</f>
        <v>33</v>
      </c>
      <c r="R43" s="149" t="str">
        <f>IF(B43="","",VLOOKUP(AD43,Varsayımlar!$B:$Q,9,0))</f>
        <v>Irak Soft</v>
      </c>
      <c r="S43" s="149">
        <f>IF(B43="","",VLOOKUP(AD43,Varsayımlar!$B:$Q,10,0))</f>
        <v>10</v>
      </c>
      <c r="T43" s="149">
        <f>IF(B43="","",VLOOKUP(AD43,Varsayımlar!$B:$Q,11,0))</f>
        <v>12</v>
      </c>
      <c r="U43" s="149">
        <f>IF(B43="","",VLOOKUP(AD43,Varsayımlar!$B:$Q,12,0))</f>
        <v>1000</v>
      </c>
      <c r="V43" s="149" t="str">
        <f>IF(B43="","",VLOOKUP(AD43,Varsayımlar!$B:$Q,13,0))</f>
        <v>Yurtdışı</v>
      </c>
      <c r="W43" s="149">
        <f>IF(B43="","",VLOOKUP(AD43,Varsayımlar!$B:$Q,14,0))</f>
        <v>12</v>
      </c>
      <c r="X43" s="151">
        <v>46231</v>
      </c>
      <c r="Y43" s="151">
        <v>46596</v>
      </c>
      <c r="Z43" s="149">
        <v>26072833</v>
      </c>
      <c r="AA43" s="149" t="str">
        <f>IF(B43="","",VLOOKUP(AD43,Varsayımlar!$B:$Q,15,0))</f>
        <v>33cm Kolisi</v>
      </c>
      <c r="AB43" s="149" t="str">
        <f>IF(B43="","",VLOOKUP(AD43,Varsayımlar!$B:$Q,16,0))</f>
        <v>32-34 cm</v>
      </c>
      <c r="AC43" s="67" t="e">
        <f>IF(B43="","",VLOOKUP(#REF!,#REF!,18,0))</f>
        <v>#REF!</v>
      </c>
      <c r="AD43" s="57" t="str">
        <f t="shared" si="2"/>
        <v>Fama GroupTortillas 33cm 10pcs 1000g</v>
      </c>
    </row>
    <row r="44" spans="1:30" ht="49.5" customHeight="1" x14ac:dyDescent="0.25">
      <c r="A44" s="8" t="s">
        <v>157</v>
      </c>
      <c r="B44" s="152" t="s">
        <v>518</v>
      </c>
      <c r="C44" s="153">
        <f>IF(B44="","",VLOOKUP(AD44,Varsayımlar!$B:$Q,3,0))</f>
        <v>8698829380698</v>
      </c>
      <c r="D44" s="154"/>
      <c r="E44" s="156" t="s">
        <v>501</v>
      </c>
      <c r="F44" s="152">
        <v>26062302</v>
      </c>
      <c r="G44" s="152"/>
      <c r="H44" s="152" t="str">
        <f>IF(B44="","",VLOOKUP(AD44,Varsayımlar!$B:$Q,5,0))</f>
        <v>Tortillas 33cm</v>
      </c>
      <c r="I44" s="152">
        <f>IF(B44="","",VLOOKUP(AD44,Varsayımlar!B:T,19,0))</f>
        <v>0</v>
      </c>
      <c r="J44" s="152" t="str">
        <f>IF(B44="","",VLOOKUP(AD44,Varsayımlar!$B:$Q,6,0))</f>
        <v>Sade</v>
      </c>
      <c r="K44" s="152">
        <v>25</v>
      </c>
      <c r="L44" s="152"/>
      <c r="M44" s="152">
        <f>IFERROR(IF(B44="","",K44/VLOOKUP(AD44,Varsayımlar!B:R,17,0)),"")</f>
        <v>0.5</v>
      </c>
      <c r="N44" s="152"/>
      <c r="O44" s="152">
        <v>1</v>
      </c>
      <c r="P44" s="152">
        <f>IF(B44="","",VLOOKUP(AD44,Varsayımlar!$B:$Q,7,0)*K44)</f>
        <v>300</v>
      </c>
      <c r="Q44" s="152">
        <f>IF(B44="","",VLOOKUP(AD44,Varsayımlar!$B:$Q,8,0))</f>
        <v>33</v>
      </c>
      <c r="R44" s="152" t="str">
        <f>IF(B44="","",VLOOKUP(AD44,Varsayımlar!$B:$Q,9,0))</f>
        <v>Irak Soft</v>
      </c>
      <c r="S44" s="152">
        <f>IF(B44="","",VLOOKUP(AD44,Varsayımlar!$B:$Q,10,0))</f>
        <v>10</v>
      </c>
      <c r="T44" s="152">
        <f>IF(B44="","",VLOOKUP(AD44,Varsayımlar!$B:$Q,11,0))</f>
        <v>12</v>
      </c>
      <c r="U44" s="152">
        <f>IF(B44="","",VLOOKUP(AD44,Varsayımlar!$B:$Q,12,0))</f>
        <v>1000</v>
      </c>
      <c r="V44" s="152" t="str">
        <f>IF(B44="","",VLOOKUP(AD44,Varsayımlar!$B:$Q,13,0))</f>
        <v>Yurtiçi</v>
      </c>
      <c r="W44" s="152">
        <f>IF(B44="","",VLOOKUP(AD44,Varsayımlar!$B:$Q,14,0))</f>
        <v>6</v>
      </c>
      <c r="X44" s="155">
        <v>46231</v>
      </c>
      <c r="Y44" s="155">
        <v>46415</v>
      </c>
      <c r="Z44" s="152">
        <v>26072833</v>
      </c>
      <c r="AA44" s="152" t="str">
        <f>IF(B44="","",VLOOKUP(AD44,Varsayımlar!$B:$Q,15,0))</f>
        <v>33cm Kolisi</v>
      </c>
      <c r="AB44" s="152" t="str">
        <f>IF(B44="","",VLOOKUP(AD44,Varsayımlar!$B:$Q,16,0))</f>
        <v>32-34cm</v>
      </c>
      <c r="AC44" s="8" t="e">
        <f>IF(B44="","",VLOOKUP(#REF!,#REF!,18,0))</f>
        <v>#REF!</v>
      </c>
      <c r="AD44" s="8" t="str">
        <f t="shared" si="2"/>
        <v>Yusuf KöseTortillas 33cm 10pcs 1000g</v>
      </c>
    </row>
    <row r="45" spans="1:30" ht="49.5" customHeight="1" x14ac:dyDescent="0.25">
      <c r="A45" s="8" t="s">
        <v>158</v>
      </c>
      <c r="B45" s="152" t="s">
        <v>518</v>
      </c>
      <c r="C45" s="153">
        <f>IF(B45="","",VLOOKUP(AD45,Varsayımlar!$B:$Q,3,0))</f>
        <v>8698829380698</v>
      </c>
      <c r="D45" s="154"/>
      <c r="E45" s="152" t="s">
        <v>520</v>
      </c>
      <c r="F45" s="152">
        <v>26062302</v>
      </c>
      <c r="G45" s="152"/>
      <c r="H45" s="152" t="str">
        <f>IF(B45="","",VLOOKUP(AD45,Varsayımlar!$B:$Q,5,0))</f>
        <v>Tortillas 30cm</v>
      </c>
      <c r="I45" s="152">
        <f>IF(B45="","",VLOOKUP(AD45,Varsayımlar!B:T,19,0))</f>
        <v>0</v>
      </c>
      <c r="J45" s="152" t="str">
        <f>IF(B45="","",VLOOKUP(AD45,Varsayımlar!$B:$Q,6,0))</f>
        <v>Sade</v>
      </c>
      <c r="K45" s="152">
        <v>15</v>
      </c>
      <c r="L45" s="152"/>
      <c r="M45" s="152">
        <f>IFERROR(IF(B45="","",K45/VLOOKUP(AD45,Varsayımlar!B:R,17,0)),"")</f>
        <v>0.3</v>
      </c>
      <c r="N45" s="152"/>
      <c r="O45" s="152">
        <v>0</v>
      </c>
      <c r="P45" s="152">
        <f>IF(B45="","",VLOOKUP(AD45,Varsayımlar!$B:$Q,7,0)*K45)</f>
        <v>180</v>
      </c>
      <c r="Q45" s="152">
        <f>IF(B45="","",VLOOKUP(AD45,Varsayımlar!$B:$Q,8,0))</f>
        <v>30</v>
      </c>
      <c r="R45" s="152" t="str">
        <f>IF(B45="","",VLOOKUP(AD45,Varsayımlar!$B:$Q,9,0))</f>
        <v>Irak Soft</v>
      </c>
      <c r="S45" s="152">
        <f>IF(B45="","",VLOOKUP(AD45,Varsayımlar!$B:$Q,10,0))</f>
        <v>10</v>
      </c>
      <c r="T45" s="152">
        <f>IF(B45="","",VLOOKUP(AD45,Varsayımlar!$B:$Q,11,0))</f>
        <v>12</v>
      </c>
      <c r="U45" s="152">
        <f>IF(B45="","",VLOOKUP(AD45,Varsayımlar!$B:$Q,12,0))</f>
        <v>950</v>
      </c>
      <c r="V45" s="152" t="str">
        <f>IF(B45="","",VLOOKUP(AD45,Varsayımlar!$B:$Q,13,0))</f>
        <v>Yurtiçi</v>
      </c>
      <c r="W45" s="152">
        <f>IF(B45="","",VLOOKUP(AD45,Varsayımlar!$B:$Q,14,0))</f>
        <v>6</v>
      </c>
      <c r="X45" s="155">
        <v>46231</v>
      </c>
      <c r="Y45" s="155">
        <v>46415</v>
      </c>
      <c r="Z45" s="152">
        <v>26072830</v>
      </c>
      <c r="AA45" s="152" t="str">
        <f>IF(B45="","",VLOOKUP(AD45,Varsayımlar!$B:$Q,15,0))</f>
        <v>30cm Kolisi</v>
      </c>
      <c r="AB45" s="152" t="str">
        <f>IF(B45="","",VLOOKUP(AD45,Varsayımlar!$B:$Q,16,0))</f>
        <v>29-31cm</v>
      </c>
      <c r="AC45" s="8" t="e">
        <f>IF(B45="","",VLOOKUP(#REF!,#REF!,18,0))</f>
        <v>#REF!</v>
      </c>
      <c r="AD45" s="8" t="str">
        <f t="shared" si="2"/>
        <v>Yusuf KöseTortillas 30cm 10pcs 950g</v>
      </c>
    </row>
    <row r="46" spans="1:30" ht="36" customHeight="1" x14ac:dyDescent="0.25">
      <c r="A46" s="8" t="s">
        <v>388</v>
      </c>
      <c r="B46" s="149" t="s">
        <v>500</v>
      </c>
      <c r="C46" s="149">
        <f>IF(B46="","",VLOOKUP(AD46,Varsayımlar!$B:$Q,3,0))</f>
        <v>8698829380698</v>
      </c>
      <c r="D46" s="149"/>
      <c r="E46" s="149" t="s">
        <v>509</v>
      </c>
      <c r="F46" s="149">
        <v>26062201</v>
      </c>
      <c r="G46" s="149"/>
      <c r="H46" s="149" t="str">
        <f>IF(B46="","",VLOOKUP(AD46,Varsayımlar!$B:$Q,5,0))</f>
        <v xml:space="preserve">Tortillas 30cm </v>
      </c>
      <c r="I46" s="149">
        <f>IF(B46="","",VLOOKUP(AD46,Varsayımlar!B:T,19,0))</f>
        <v>0</v>
      </c>
      <c r="J46" s="149" t="str">
        <f>IF(B46="","",VLOOKUP(AD46,Varsayımlar!$B:$Q,6,0))</f>
        <v>Sade</v>
      </c>
      <c r="K46" s="149">
        <v>250</v>
      </c>
      <c r="L46" s="149"/>
      <c r="M46" s="149">
        <f>IFERROR(IF(B46="","",K46/VLOOKUP(AD46,Varsayımlar!B:R,17,0)),"")</f>
        <v>5</v>
      </c>
      <c r="N46" s="149"/>
      <c r="O46" s="149">
        <v>5</v>
      </c>
      <c r="P46" s="149">
        <f>IF(B46="","",VLOOKUP(AD46,Varsayımlar!$B:$Q,7,0)*K46)</f>
        <v>3000</v>
      </c>
      <c r="Q46" s="149">
        <f>IF(B46="","",VLOOKUP(AD46,Varsayımlar!$B:$Q,8,0))</f>
        <v>30</v>
      </c>
      <c r="R46" s="149" t="str">
        <f>IF(B46="","",VLOOKUP(AD46,Varsayımlar!$B:$Q,9,0))</f>
        <v>Irak Soft</v>
      </c>
      <c r="S46" s="149">
        <f>IF(B46="","",VLOOKUP(AD46,Varsayımlar!$B:$Q,10,0))</f>
        <v>10</v>
      </c>
      <c r="T46" s="149">
        <f>IF(B46="","",VLOOKUP(AD46,Varsayımlar!$B:$Q,11,0))</f>
        <v>12</v>
      </c>
      <c r="U46" s="149">
        <f>IF(B46="","",VLOOKUP(AD46,Varsayımlar!$B:$Q,12,0))</f>
        <v>850</v>
      </c>
      <c r="V46" s="149" t="str">
        <f>IF(B46="","",VLOOKUP(AD46,Varsayımlar!$B:$Q,13,0))</f>
        <v>Yurtdışı</v>
      </c>
      <c r="W46" s="149">
        <f>IF(B46="","",VLOOKUP(AD46,Varsayımlar!$B:$Q,14,0))</f>
        <v>12</v>
      </c>
      <c r="X46" s="151">
        <v>46231</v>
      </c>
      <c r="Y46" s="151">
        <v>46596</v>
      </c>
      <c r="Z46" s="149">
        <v>26072830</v>
      </c>
      <c r="AA46" s="151" t="str">
        <f>IF(B46="","",VLOOKUP(AD46,Varsayımlar!$B:$Q,15,0))</f>
        <v>30 cm Kolisi</v>
      </c>
      <c r="AB46" s="151" t="str">
        <f>IF(B46="","",VLOOKUP(AD46,Varsayımlar!$B:$Q,16,0))</f>
        <v>29-31 cm</v>
      </c>
      <c r="AC46" s="67" t="e">
        <f>IF(B46="","",VLOOKUP(#REF!,#REF!,18,0))</f>
        <v>#REF!</v>
      </c>
      <c r="AD46" s="57" t="str">
        <f t="shared" si="2"/>
        <v>Fama GroupTortillas 30cm 10pcs 850g</v>
      </c>
    </row>
    <row r="47" spans="1:30" ht="36" customHeight="1" x14ac:dyDescent="0.25">
      <c r="A47" s="8" t="s">
        <v>389</v>
      </c>
      <c r="B47" s="149" t="s">
        <v>500</v>
      </c>
      <c r="C47" s="149">
        <f>IF(B47="","",VLOOKUP(AD47,Varsayımlar!$B:$Q,3,0))</f>
        <v>8698829380698</v>
      </c>
      <c r="D47" s="149"/>
      <c r="E47" s="149" t="s">
        <v>512</v>
      </c>
      <c r="F47" s="149">
        <v>26062201</v>
      </c>
      <c r="G47" s="149"/>
      <c r="H47" s="149" t="str">
        <f>IF(B47="","",VLOOKUP(AD47,Varsayımlar!$B:$Q,5,0))</f>
        <v>Tortillas 20cm</v>
      </c>
      <c r="I47" s="149">
        <f>IF(B47="","",VLOOKUP(AD47,Varsayımlar!B:T,19,0))</f>
        <v>0</v>
      </c>
      <c r="J47" s="149" t="str">
        <f>IF(B47="","",VLOOKUP(AD47,Varsayımlar!$B:$Q,6,0))</f>
        <v>Sade</v>
      </c>
      <c r="K47" s="149">
        <v>50</v>
      </c>
      <c r="L47" s="149"/>
      <c r="M47" s="149">
        <f>IFERROR(IF(B47="","",K47/VLOOKUP(AD47,Varsayımlar!B:R,17,0)),"")</f>
        <v>1</v>
      </c>
      <c r="N47" s="149"/>
      <c r="O47" s="149">
        <v>1</v>
      </c>
      <c r="P47" s="149">
        <f>IF(B47="","",VLOOKUP(AD47,Varsayımlar!$B:$Q,7,0)*K47)</f>
        <v>600</v>
      </c>
      <c r="Q47" s="149">
        <f>IF(B47="","",VLOOKUP(AD47,Varsayımlar!$B:$Q,8,0))</f>
        <v>20</v>
      </c>
      <c r="R47" s="149" t="str">
        <f>IF(B47="","",VLOOKUP(AD47,Varsayımlar!$B:$Q,9,0))</f>
        <v>Irak Soft</v>
      </c>
      <c r="S47" s="149">
        <f>IF(B47="","",VLOOKUP(AD47,Varsayımlar!$B:$Q,10,0))</f>
        <v>10</v>
      </c>
      <c r="T47" s="149">
        <f>IF(B47="","",VLOOKUP(AD47,Varsayımlar!$B:$Q,11,0))</f>
        <v>12</v>
      </c>
      <c r="U47" s="149">
        <f>IF(B47="","",VLOOKUP(AD47,Varsayımlar!$B:$Q,12,0))</f>
        <v>450</v>
      </c>
      <c r="V47" s="149" t="str">
        <f>IF(B47="","",VLOOKUP(AD47,Varsayımlar!$B:$Q,13,0))</f>
        <v>Yurtdışı</v>
      </c>
      <c r="W47" s="149">
        <f>IF(B47="","",VLOOKUP(AD47,Varsayımlar!$B:$Q,14,0))</f>
        <v>12</v>
      </c>
      <c r="X47" s="151">
        <v>46231</v>
      </c>
      <c r="Y47" s="151">
        <v>46596</v>
      </c>
      <c r="Z47" s="149">
        <v>26072820</v>
      </c>
      <c r="AA47" s="151" t="str">
        <f>IF(B47="","",VLOOKUP(AD47,Varsayımlar!$B:$Q,15,0))</f>
        <v>20cm Siyah Koli</v>
      </c>
      <c r="AB47" s="151" t="str">
        <f>IF(B47="","",VLOOKUP(AD47,Varsayımlar!$B:$Q,16,0))</f>
        <v>19-21cm</v>
      </c>
      <c r="AC47" s="67" t="e">
        <f>IF(B47="","",VLOOKUP(#REF!,#REF!,18,0))</f>
        <v>#REF!</v>
      </c>
      <c r="AD47" s="57" t="str">
        <f t="shared" si="2"/>
        <v>Fama GroupTortillas 20cm 10pcs 450g</v>
      </c>
    </row>
    <row r="48" spans="1:30" ht="36" customHeight="1" x14ac:dyDescent="0.25">
      <c r="A48" s="8" t="s">
        <v>390</v>
      </c>
      <c r="B48" s="149" t="s">
        <v>500</v>
      </c>
      <c r="C48" s="149">
        <f>IF(B48="","",VLOOKUP(AD48,Varsayımlar!$B:$Q,3,0))</f>
        <v>8698829380698</v>
      </c>
      <c r="D48" s="149"/>
      <c r="E48" s="149" t="s">
        <v>229</v>
      </c>
      <c r="F48" s="149">
        <v>26062201</v>
      </c>
      <c r="G48" s="149"/>
      <c r="H48" s="149" t="str">
        <f>IF(B48="","",VLOOKUP(AD48,Varsayımlar!$B:$Q,5,0))</f>
        <v>Tortillas 25cm Tam Buğday</v>
      </c>
      <c r="I48" s="149">
        <f>IF(B48="","",VLOOKUP(AD48,Varsayımlar!B:T,19,0))</f>
        <v>0</v>
      </c>
      <c r="J48" s="149" t="str">
        <f>IF(B48="","",VLOOKUP(AD48,Varsayımlar!$B:$Q,6,0))</f>
        <v>Tam Buğdaylı</v>
      </c>
      <c r="K48" s="149">
        <v>50</v>
      </c>
      <c r="L48" s="149"/>
      <c r="M48" s="149">
        <f>IFERROR(IF(B48="","",K48/VLOOKUP(AD48,Varsayımlar!B:R,17,0)),"")</f>
        <v>1</v>
      </c>
      <c r="N48" s="149"/>
      <c r="O48" s="149">
        <v>1</v>
      </c>
      <c r="P48" s="149">
        <f>IF(B48="","",VLOOKUP(AD48,Varsayımlar!$B:$Q,7,0)*K48)</f>
        <v>600</v>
      </c>
      <c r="Q48" s="149">
        <f>IF(B48="","",VLOOKUP(AD48,Varsayımlar!$B:$Q,8,0))</f>
        <v>25</v>
      </c>
      <c r="R48" s="149" t="str">
        <f>IF(B48="","",VLOOKUP(AD48,Varsayımlar!$B:$Q,9,0))</f>
        <v>Irak Soft</v>
      </c>
      <c r="S48" s="149">
        <f>IF(B48="","",VLOOKUP(AD48,Varsayımlar!$B:$Q,10,0))</f>
        <v>10</v>
      </c>
      <c r="T48" s="149">
        <f>IF(B48="","",VLOOKUP(AD48,Varsayımlar!$B:$Q,11,0))</f>
        <v>12</v>
      </c>
      <c r="U48" s="149">
        <f>IF(B48="","",VLOOKUP(AD48,Varsayımlar!$B:$Q,12,0))</f>
        <v>650</v>
      </c>
      <c r="V48" s="149" t="str">
        <f>IF(B48="","",VLOOKUP(AD48,Varsayımlar!$B:$Q,13,0))</f>
        <v>Yurtdışı</v>
      </c>
      <c r="W48" s="149">
        <f>IF(B48="","",VLOOKUP(AD48,Varsayımlar!$B:$Q,14,0))</f>
        <v>12</v>
      </c>
      <c r="X48" s="151">
        <v>46231</v>
      </c>
      <c r="Y48" s="151">
        <v>46596</v>
      </c>
      <c r="Z48" s="149" t="s">
        <v>525</v>
      </c>
      <c r="AA48" s="151" t="str">
        <f>IF(B48="","",VLOOKUP(AD48,Varsayımlar!$B:$Q,15,0))</f>
        <v>25cm Kolisi-Etiketli</v>
      </c>
      <c r="AB48" s="151" t="str">
        <f>IF(B48="","",VLOOKUP(AD48,Varsayımlar!$B:$Q,16,0))</f>
        <v>24-26 cm</v>
      </c>
      <c r="AC48" s="67" t="e">
        <f>IF(B48="","",VLOOKUP(#REF!,#REF!,18,0))</f>
        <v>#REF!</v>
      </c>
      <c r="AD48" s="57" t="str">
        <f t="shared" si="2"/>
        <v>Fama GroupTortillas 25cm Tam Buğday 10pcs 650g</v>
      </c>
    </row>
    <row r="49" spans="1:30" ht="36" customHeight="1" x14ac:dyDescent="0.25">
      <c r="A49" s="8" t="s">
        <v>391</v>
      </c>
      <c r="B49" s="67"/>
      <c r="C49" s="42" t="str">
        <f>IF(B49="","",VLOOKUP(AD49,#REF!,3,0))</f>
        <v/>
      </c>
      <c r="D49" s="42"/>
      <c r="E49" s="42"/>
      <c r="F49" s="67"/>
      <c r="G49" s="67"/>
      <c r="H49" s="67" t="str">
        <f>IF(B49="","",VLOOKUP(AD49,#REF!,5,0))</f>
        <v/>
      </c>
      <c r="I49" s="67" t="str">
        <f>IF(B49="","",VLOOKUP(AD49,#REF!,19,0))</f>
        <v/>
      </c>
      <c r="J49" s="67" t="str">
        <f>IF(B49="","",VLOOKUP(AD49,#REF!,6,0))</f>
        <v/>
      </c>
      <c r="K49" s="67"/>
      <c r="L49" s="67"/>
      <c r="M49" s="67" t="str">
        <f>IFERROR(IF(B49="","",K49/VLOOKUP(AD49,Varsayımlar!B:R,17,0)),"")</f>
        <v/>
      </c>
      <c r="N49" s="67"/>
      <c r="O49" s="67"/>
      <c r="P49" s="67" t="str">
        <f>IF(B49="","",VLOOKUP(AD49,#REF!,7,0)*K49)</f>
        <v/>
      </c>
      <c r="Q49" s="67" t="str">
        <f>IF(B49="","",VLOOKUP(AD49,#REF!,8,0))</f>
        <v/>
      </c>
      <c r="R49" s="67" t="str">
        <f>IF(B49="","",VLOOKUP(AD49,#REF!,9,0))</f>
        <v/>
      </c>
      <c r="S49" s="67" t="str">
        <f>IF(B49="","",VLOOKUP(AD49,#REF!,10,0))</f>
        <v/>
      </c>
      <c r="T49" s="67" t="str">
        <f>IF(B49="","",VLOOKUP(AD49,#REF!,11,0))</f>
        <v/>
      </c>
      <c r="U49" s="67" t="str">
        <f>IF(B49="","",VLOOKUP(AD49,#REF!,12,0))</f>
        <v/>
      </c>
      <c r="V49" s="67" t="str">
        <f>IF(B49="","",VLOOKUP(AD49,#REF!,13,0))</f>
        <v/>
      </c>
      <c r="W49" s="67" t="str">
        <f>IF(B49="","",VLOOKUP(AD49,#REF!,14,0))</f>
        <v/>
      </c>
      <c r="X49" s="69"/>
      <c r="Y49" s="69"/>
      <c r="Z49" s="67"/>
      <c r="AA49" s="67" t="str">
        <f>IF(B49="","",VLOOKUP(AD49,#REF!,15,0))</f>
        <v/>
      </c>
      <c r="AB49" s="67" t="str">
        <f>IF(B49="","",VLOOKUP(AD49,#REF!,16,0))</f>
        <v/>
      </c>
      <c r="AC49" s="145"/>
      <c r="AD49" s="57"/>
    </row>
    <row r="50" spans="1:30" ht="36" customHeight="1" x14ac:dyDescent="0.25">
      <c r="A50" s="8" t="s">
        <v>392</v>
      </c>
      <c r="B50" s="67"/>
      <c r="C50" s="42" t="str">
        <f>IF(B50="","",VLOOKUP(AD50,#REF!,3,0))</f>
        <v/>
      </c>
      <c r="D50" s="42"/>
      <c r="E50" s="42"/>
      <c r="F50" s="67"/>
      <c r="G50" s="67"/>
      <c r="H50" s="67" t="str">
        <f>IF(B50="","",VLOOKUP(AD50,#REF!,5,0))</f>
        <v/>
      </c>
      <c r="I50" s="67" t="str">
        <f>IF(B50="","",VLOOKUP(AD50,#REF!,19,0))</f>
        <v/>
      </c>
      <c r="J50" s="67" t="str">
        <f>IF(B50="","",VLOOKUP(AD50,#REF!,6,0))</f>
        <v/>
      </c>
      <c r="K50" s="67"/>
      <c r="L50" s="67"/>
      <c r="M50" s="67" t="str">
        <f>IFERROR(IF(B50="","",K50/VLOOKUP(AD50,Varsayımlar!B:R,17,0)),"")</f>
        <v/>
      </c>
      <c r="N50" s="67"/>
      <c r="O50" s="67"/>
      <c r="P50" s="67" t="str">
        <f>IF(B50="","",VLOOKUP(AD50,#REF!,7,0)*K50)</f>
        <v/>
      </c>
      <c r="Q50" s="67" t="str">
        <f>IF(B50="","",VLOOKUP(AD50,#REF!,8,0))</f>
        <v/>
      </c>
      <c r="R50" s="67" t="str">
        <f>IF(B50="","",VLOOKUP(AD50,#REF!,9,0))</f>
        <v/>
      </c>
      <c r="S50" s="67" t="str">
        <f>IF(B50="","",VLOOKUP(AD50,#REF!,10,0))</f>
        <v/>
      </c>
      <c r="T50" s="67" t="str">
        <f>IF(B50="","",VLOOKUP(AD50,#REF!,11,0))</f>
        <v/>
      </c>
      <c r="U50" s="67" t="str">
        <f>IF(B50="","",VLOOKUP(AD50,#REF!,12,0))</f>
        <v/>
      </c>
      <c r="V50" s="67" t="str">
        <f>IF(B50="","",VLOOKUP(AD50,#REF!,13,0))</f>
        <v/>
      </c>
      <c r="W50" s="67" t="str">
        <f>IF(B50="","",VLOOKUP(AD50,#REF!,14,0))</f>
        <v/>
      </c>
      <c r="X50" s="69"/>
      <c r="Y50" s="69"/>
      <c r="Z50" s="67"/>
      <c r="AA50" s="67" t="str">
        <f>IF(B50="","",VLOOKUP(AD50,#REF!,15,0))</f>
        <v/>
      </c>
      <c r="AB50" s="67" t="str">
        <f>IF(B50="","",VLOOKUP(AD50,#REF!,16,0))</f>
        <v/>
      </c>
      <c r="AC50" s="145"/>
      <c r="AD50" s="57"/>
    </row>
    <row r="51" spans="1:30" ht="36" customHeight="1" x14ac:dyDescent="0.25">
      <c r="A51" s="8" t="s">
        <v>393</v>
      </c>
      <c r="B51" s="67"/>
      <c r="C51" s="42" t="str">
        <f>IF(B51="","",VLOOKUP(AD51,#REF!,3,0))</f>
        <v/>
      </c>
      <c r="D51" s="42"/>
      <c r="E51" s="42"/>
      <c r="F51" s="67"/>
      <c r="G51" s="67"/>
      <c r="H51" s="67" t="str">
        <f>IF(B51="","",VLOOKUP(AD51,#REF!,5,0))</f>
        <v/>
      </c>
      <c r="I51" s="67" t="str">
        <f>IF(B51="","",VLOOKUP(AD51,#REF!,19,0))</f>
        <v/>
      </c>
      <c r="J51" s="67" t="str">
        <f>IF(B51="","",VLOOKUP(AD51,#REF!,6,0))</f>
        <v/>
      </c>
      <c r="K51" s="67"/>
      <c r="L51" s="67"/>
      <c r="M51" s="67" t="str">
        <f>IFERROR(IF(B51="","",K51/VLOOKUP(AD51,Varsayımlar!B:R,17,0)),"")</f>
        <v/>
      </c>
      <c r="N51" s="67"/>
      <c r="O51" s="67"/>
      <c r="P51" s="67" t="str">
        <f>IF(B51="","",VLOOKUP(AD51,#REF!,7,0)*K51)</f>
        <v/>
      </c>
      <c r="Q51" s="67" t="str">
        <f>IF(B51="","",VLOOKUP(AD51,#REF!,8,0))</f>
        <v/>
      </c>
      <c r="R51" s="67" t="str">
        <f>IF(B51="","",VLOOKUP(AD51,#REF!,9,0))</f>
        <v/>
      </c>
      <c r="S51" s="67" t="str">
        <f>IF(B51="","",VLOOKUP(AD51,#REF!,10,0))</f>
        <v/>
      </c>
      <c r="T51" s="67" t="str">
        <f>IF(B51="","",VLOOKUP(AD51,#REF!,11,0))</f>
        <v/>
      </c>
      <c r="U51" s="67" t="str">
        <f>IF(B51="","",VLOOKUP(AD51,#REF!,12,0))</f>
        <v/>
      </c>
      <c r="V51" s="67" t="str">
        <f>IF(B51="","",VLOOKUP(AD51,#REF!,13,0))</f>
        <v/>
      </c>
      <c r="W51" s="67" t="str">
        <f>IF(B51="","",VLOOKUP(AD51,#REF!,14,0))</f>
        <v/>
      </c>
      <c r="X51" s="69"/>
      <c r="Y51" s="69"/>
      <c r="Z51" s="67"/>
      <c r="AA51" s="67" t="str">
        <f>IF(B51="","",VLOOKUP(AD51,#REF!,15,0))</f>
        <v/>
      </c>
      <c r="AB51" s="67" t="str">
        <f>IF(B51="","",VLOOKUP(AD51,#REF!,16,0))</f>
        <v/>
      </c>
      <c r="AC51" s="145"/>
      <c r="AD51" s="57"/>
    </row>
    <row r="52" spans="1:30" ht="36" customHeight="1" x14ac:dyDescent="0.25">
      <c r="A52" s="8" t="s">
        <v>413</v>
      </c>
      <c r="B52" s="67"/>
      <c r="C52" s="42" t="str">
        <f>IF(B52="","",VLOOKUP(AD52,#REF!,3,0))</f>
        <v/>
      </c>
      <c r="D52" s="42"/>
      <c r="E52" s="42"/>
      <c r="F52" s="67"/>
      <c r="G52" s="67"/>
      <c r="H52" s="67" t="str">
        <f>IF(B52="","",VLOOKUP(AD52,#REF!,5,0))</f>
        <v/>
      </c>
      <c r="I52" s="67" t="str">
        <f>IF(B52="","",VLOOKUP(AD52,#REF!,19,0))</f>
        <v/>
      </c>
      <c r="J52" s="67" t="str">
        <f>IF(B52="","",VLOOKUP(AD52,#REF!,6,0))</f>
        <v/>
      </c>
      <c r="K52" s="67"/>
      <c r="L52" s="67"/>
      <c r="M52" s="67" t="str">
        <f>IFERROR(IF(B52="","",K52/VLOOKUP(AD52,Varsayımlar!B:R,17,0)),"")</f>
        <v/>
      </c>
      <c r="N52" s="67"/>
      <c r="O52" s="67"/>
      <c r="P52" s="67" t="str">
        <f>IF(B52="","",VLOOKUP(AD52,#REF!,7,0)*K52)</f>
        <v/>
      </c>
      <c r="Q52" s="67" t="str">
        <f>IF(B52="","",VLOOKUP(AD52,#REF!,8,0))</f>
        <v/>
      </c>
      <c r="R52" s="67" t="str">
        <f>IF(B52="","",VLOOKUP(AD52,#REF!,9,0))</f>
        <v/>
      </c>
      <c r="S52" s="67" t="str">
        <f>IF(B52="","",VLOOKUP(AD52,#REF!,10,0))</f>
        <v/>
      </c>
      <c r="T52" s="67" t="str">
        <f>IF(B52="","",VLOOKUP(AD52,#REF!,11,0))</f>
        <v/>
      </c>
      <c r="U52" s="67" t="str">
        <f>IF(B52="","",VLOOKUP(AD52,#REF!,12,0))</f>
        <v/>
      </c>
      <c r="V52" s="67" t="str">
        <f>IF(B52="","",VLOOKUP(AD52,#REF!,13,0))</f>
        <v/>
      </c>
      <c r="W52" s="67" t="str">
        <f>IF(B52="","",VLOOKUP(AD52,#REF!,14,0))</f>
        <v/>
      </c>
      <c r="X52" s="69"/>
      <c r="Y52" s="69"/>
      <c r="Z52" s="67"/>
      <c r="AA52" s="67" t="str">
        <f>IF(B52="","",VLOOKUP(AD52,#REF!,15,0))</f>
        <v/>
      </c>
      <c r="AB52" s="67" t="str">
        <f>IF(B52="","",VLOOKUP(AD52,#REF!,16,0))</f>
        <v/>
      </c>
      <c r="AC52" s="145"/>
      <c r="AD52" s="57"/>
    </row>
    <row r="53" spans="1:30" x14ac:dyDescent="0.25">
      <c r="A53" s="134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6"/>
      <c r="Y53" s="136"/>
      <c r="Z53" s="135"/>
      <c r="AA53" s="135"/>
      <c r="AB53" s="137"/>
      <c r="AC53" s="138"/>
      <c r="AD53" s="57"/>
    </row>
    <row r="54" spans="1:30" ht="31.5" customHeight="1" x14ac:dyDescent="0.25">
      <c r="A54" s="182" t="s">
        <v>344</v>
      </c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4"/>
      <c r="AC54" s="38"/>
    </row>
    <row r="55" spans="1:30" ht="63" x14ac:dyDescent="0.25">
      <c r="A55" s="8" t="s">
        <v>0</v>
      </c>
      <c r="B55" s="8" t="s">
        <v>1</v>
      </c>
      <c r="C55" s="9" t="s">
        <v>31</v>
      </c>
      <c r="D55" s="9" t="s">
        <v>124</v>
      </c>
      <c r="E55" s="9" t="s">
        <v>36</v>
      </c>
      <c r="F55" s="8" t="s">
        <v>37</v>
      </c>
      <c r="G55" s="8" t="s">
        <v>13</v>
      </c>
      <c r="H55" s="8" t="s">
        <v>2</v>
      </c>
      <c r="I55" s="8" t="s">
        <v>49</v>
      </c>
      <c r="J55" s="8" t="s">
        <v>3</v>
      </c>
      <c r="K55" s="8" t="s">
        <v>21</v>
      </c>
      <c r="L55" s="8" t="s">
        <v>94</v>
      </c>
      <c r="M55" s="8" t="s">
        <v>20</v>
      </c>
      <c r="N55" s="8" t="s">
        <v>165</v>
      </c>
      <c r="O55" s="8" t="s">
        <v>123</v>
      </c>
      <c r="P55" s="8" t="s">
        <v>16</v>
      </c>
      <c r="Q55" s="8" t="s">
        <v>4</v>
      </c>
      <c r="R55" s="8" t="s">
        <v>5</v>
      </c>
      <c r="S55" s="8" t="s">
        <v>6</v>
      </c>
      <c r="T55" s="8" t="s">
        <v>28</v>
      </c>
      <c r="U55" s="8" t="s">
        <v>7</v>
      </c>
      <c r="V55" s="8" t="s">
        <v>8</v>
      </c>
      <c r="W55" s="8" t="s">
        <v>267</v>
      </c>
      <c r="X55" s="8" t="s">
        <v>10</v>
      </c>
      <c r="Y55" s="8" t="s">
        <v>11</v>
      </c>
      <c r="Z55" s="8" t="s">
        <v>12</v>
      </c>
      <c r="AA55" s="8" t="s">
        <v>14</v>
      </c>
      <c r="AB55" s="8" t="s">
        <v>15</v>
      </c>
      <c r="AC55" s="8" t="s">
        <v>208</v>
      </c>
      <c r="AD55" s="140" t="s">
        <v>41</v>
      </c>
    </row>
    <row r="56" spans="1:30" ht="39" customHeight="1" x14ac:dyDescent="0.25">
      <c r="A56" s="8" t="s">
        <v>26</v>
      </c>
      <c r="B56" s="3" t="s">
        <v>64</v>
      </c>
      <c r="C56" s="3">
        <f>IF(B56="","",VLOOKUP(AD56,Varsayımlar!$B:$Q,3,0))</f>
        <v>8698829380698</v>
      </c>
      <c r="D56" s="3"/>
      <c r="E56" s="3" t="s">
        <v>108</v>
      </c>
      <c r="F56" s="3">
        <v>31</v>
      </c>
      <c r="G56" s="3"/>
      <c r="H56" s="3" t="str">
        <f>IF(B56="","",VLOOKUP(AD56,Varsayımlar!$B:$Q,5,0))</f>
        <v>Kırmızı Tortillas 25 cm</v>
      </c>
      <c r="I56" s="3">
        <f>IF(B56="","",VLOOKUP(AD56,Varsayımlar!B:T,19,0))</f>
        <v>0</v>
      </c>
      <c r="J56" s="3" t="str">
        <f>IF(B56="","",VLOOKUP(AD56,Varsayımlar!$B:$Q,6,0))</f>
        <v>SADE</v>
      </c>
      <c r="K56" s="3">
        <v>924</v>
      </c>
      <c r="L56" s="3"/>
      <c r="M56" s="3">
        <f>IFERROR(IF(B56="","",K56/VLOOKUP(AD56,Varsayımlar!B:R,17,0)),"")</f>
        <v>11</v>
      </c>
      <c r="N56" s="3"/>
      <c r="O56" s="3">
        <v>14</v>
      </c>
      <c r="P56" s="3">
        <f>IF(B56="","",VLOOKUP(AD56,Varsayımlar!$B:$Q,7,0)*K56)</f>
        <v>27720</v>
      </c>
      <c r="Q56" s="3">
        <f>IF(B56="","",VLOOKUP(AD56,Varsayımlar!$B:$Q,8,0))</f>
        <v>25</v>
      </c>
      <c r="R56" s="3" t="str">
        <f>IF(B56="","",VLOOKUP(AD56,Varsayımlar!$B:$Q,9,0))</f>
        <v>Soft</v>
      </c>
      <c r="S56" s="3">
        <f>IF(B56="","",VLOOKUP(AD56,Varsayımlar!$B:$Q,10,0))</f>
        <v>4</v>
      </c>
      <c r="T56" s="3">
        <f>IF(B56="","",VLOOKUP(AD56,Varsayımlar!$B:$Q,11,0))</f>
        <v>30</v>
      </c>
      <c r="U56" s="3">
        <f>IF(B56="","",VLOOKUP(AD56,Varsayımlar!$B:$Q,12,0))</f>
        <v>250</v>
      </c>
      <c r="V56" s="3" t="str">
        <f>IF(B56="","",VLOOKUP(AD56,Varsayımlar!$B:$Q,13,0))</f>
        <v>Yurtdışı</v>
      </c>
      <c r="W56" s="3">
        <f>IF(B56="","",VLOOKUP(AD56,Varsayımlar!$B:$Q,14,0))</f>
        <v>9</v>
      </c>
      <c r="X56" s="66">
        <v>46196</v>
      </c>
      <c r="Y56" s="66">
        <v>46469</v>
      </c>
      <c r="Z56" s="3">
        <v>26062325</v>
      </c>
      <c r="AA56" s="3" t="str">
        <f>IF(B56="","",VLOOKUP(AD56,Varsayımlar!$B:$Q,15,0))</f>
        <v>Kırmızı Koli- Üretim Tarihi Etiketli</v>
      </c>
      <c r="AB56" s="3" t="str">
        <f>IF(B56="","",VLOOKUP(AD56,Varsayımlar!$B:$Q,16,0))</f>
        <v>24-26 CM</v>
      </c>
      <c r="AC56" s="67" t="str">
        <f>IF(B56="","",VLOOKUP(Sayfa1!AD58,Varsayımlar!B:S,18,0))</f>
        <v>80x120cm -Epal+Epal</v>
      </c>
      <c r="AD56" s="57" t="str">
        <f>IF(B56="","",CONCATENATE(B56,E56))</f>
        <v>SMART LLCKırmızı tortillas 25cm 4 lü 250g</v>
      </c>
    </row>
    <row r="57" spans="1:30" ht="45.75" customHeight="1" x14ac:dyDescent="0.25">
      <c r="A57" s="8" t="s">
        <v>77</v>
      </c>
      <c r="B57" s="130" t="s">
        <v>119</v>
      </c>
      <c r="C57" s="131">
        <f>IF(B57="","",VLOOKUP(AD57,Varsayımlar!$B:$Q,3,0))</f>
        <v>8698829380698</v>
      </c>
      <c r="D57" s="131"/>
      <c r="E57" s="132" t="s">
        <v>120</v>
      </c>
      <c r="F57" s="130"/>
      <c r="G57" s="130"/>
      <c r="H57" s="130" t="str">
        <f>IF(B57="","",VLOOKUP(AD57,Varsayımlar!$B:$Q,5,0))</f>
        <v>Nimet 25 cm</v>
      </c>
      <c r="I57" s="130"/>
      <c r="J57" s="130" t="str">
        <f>IF(B57="","",VLOOKUP(AD57,Varsayımlar!$B:$Q,6,0))</f>
        <v>SADE</v>
      </c>
      <c r="K57" s="130">
        <v>4000</v>
      </c>
      <c r="L57" s="130"/>
      <c r="M57" s="130">
        <f>IFERROR(IF(B57="","",K57/VLOOKUP(AD57,Varsayımlar!B:R,17,0)),"")</f>
        <v>80</v>
      </c>
      <c r="N57" s="130"/>
      <c r="O57" s="130">
        <v>60</v>
      </c>
      <c r="P57" s="130">
        <f>IF(B57="","",VLOOKUP(AD57,Varsayımlar!$B:$Q,7,0)*K57)</f>
        <v>48000</v>
      </c>
      <c r="Q57" s="130">
        <f>IF(B57="","",VLOOKUP(AD57,Varsayımlar!$B:$Q,8,0))</f>
        <v>25</v>
      </c>
      <c r="R57" s="130" t="str">
        <f>IF(B57="","",VLOOKUP(AD57,Varsayımlar!$B:$Q,9,0))</f>
        <v>Standart</v>
      </c>
      <c r="S57" s="130">
        <f>IF(B57="","",VLOOKUP(AD57,Varsayımlar!$B:$Q,10,0))</f>
        <v>12</v>
      </c>
      <c r="T57" s="130">
        <f>IF(B57="","",VLOOKUP(AD57,Varsayımlar!$B:$Q,11,0))</f>
        <v>12</v>
      </c>
      <c r="U57" s="130">
        <f>IF(B57="","",VLOOKUP(AD57,Varsayımlar!$B:$Q,12,0))</f>
        <v>840</v>
      </c>
      <c r="V57" s="130" t="str">
        <f>IF(B57="","",VLOOKUP(AD57,Varsayımlar!$B:$Q,13,0))</f>
        <v>YURTİÇİ</v>
      </c>
      <c r="W57" s="130">
        <f>IF(B57="","",VLOOKUP(AD57,Varsayımlar!$B:$Q,14,0))</f>
        <v>5</v>
      </c>
      <c r="X57" s="133" t="s">
        <v>113</v>
      </c>
      <c r="Y57" s="133" t="s">
        <v>113</v>
      </c>
      <c r="Z57" s="130" t="s">
        <v>113</v>
      </c>
      <c r="AA57" s="130" t="str">
        <f>IF(B57="","",VLOOKUP(AD57,Varsayımlar!$B:$Q,15,0))</f>
        <v>Nimet Kolisi</v>
      </c>
      <c r="AB57" s="130" t="str">
        <f>IF(B57="","",VLOOKUP(AD57,Varsayımlar!$B:$Q,16,0))</f>
        <v>24-26 CM</v>
      </c>
      <c r="AC57" s="64" t="s">
        <v>360</v>
      </c>
      <c r="AD57" s="57" t="str">
        <f>IF(B57="","",CONCATENATE(B57,E57))</f>
        <v>A101Nimet 25cm 12 pcs 840g</v>
      </c>
    </row>
    <row r="58" spans="1:30" ht="47.25" x14ac:dyDescent="0.25">
      <c r="A58" s="8" t="s">
        <v>78</v>
      </c>
      <c r="B58" s="67" t="s">
        <v>268</v>
      </c>
      <c r="C58" s="42">
        <f>IF(B58="","",VLOOKUP(AD58,Varsayımlar!$B:$Q,3,0))</f>
        <v>8698829380698</v>
      </c>
      <c r="D58" s="42" t="s">
        <v>159</v>
      </c>
      <c r="E58" s="67" t="s">
        <v>342</v>
      </c>
      <c r="F58" s="67">
        <v>20250825</v>
      </c>
      <c r="G58" s="42" t="s">
        <v>68</v>
      </c>
      <c r="H58" s="67" t="str">
        <f>IF(B58="","",VLOOKUP(AD58,Varsayımlar!$B:$Q,5,0))</f>
        <v>Tortillas 25cm Sade</v>
      </c>
      <c r="I58" s="67">
        <f>IF(B58="","",VLOOKUP(AD58,Varsayımlar!B:T,19,0))</f>
        <v>0</v>
      </c>
      <c r="J58" s="67" t="str">
        <f>IF(B58="","",VLOOKUP(AD58,Varsayımlar!$B:$Q,6,0))</f>
        <v>SADE</v>
      </c>
      <c r="K58" s="67">
        <v>672</v>
      </c>
      <c r="L58" s="67"/>
      <c r="M58" s="67">
        <f>IFERROR(IF(B58="","",K58/VLOOKUP(AD58,Varsayımlar!B:R,17,0)),"")</f>
        <v>8</v>
      </c>
      <c r="N58" s="67"/>
      <c r="O58" s="67">
        <v>10</v>
      </c>
      <c r="P58" s="67">
        <f>IF(B58="","",VLOOKUP(AD58,Varsayımlar!$B:$Q,7,0)*K58)</f>
        <v>20160</v>
      </c>
      <c r="Q58" s="67">
        <f>IF(B58="","",VLOOKUP(AD58,Varsayımlar!$B:$Q,8,0))</f>
        <v>25</v>
      </c>
      <c r="R58" s="67" t="str">
        <f>IF(B58="","",VLOOKUP(AD58,Varsayımlar!$B:$Q,9,0))</f>
        <v>Soft-PA3</v>
      </c>
      <c r="S58" s="67">
        <f>IF(B58="","",VLOOKUP(AD58,Varsayımlar!$B:$Q,10,0))</f>
        <v>4</v>
      </c>
      <c r="T58" s="67">
        <f>IF(B58="","",VLOOKUP(AD58,Varsayımlar!$B:$Q,11,0))</f>
        <v>30</v>
      </c>
      <c r="U58" s="67">
        <f>IF(B58="","",VLOOKUP(AD58,Varsayımlar!$B:$Q,12,0))</f>
        <v>240</v>
      </c>
      <c r="V58" s="67" t="str">
        <f>IF(B58="","",VLOOKUP(AD58,Varsayımlar!$B:$Q,13,0))</f>
        <v>Yurtdışı</v>
      </c>
      <c r="W58" s="67">
        <f>IF(B58="","",VLOOKUP(AD58,Varsayımlar!$B:$Q,14,0))</f>
        <v>12</v>
      </c>
      <c r="X58" s="69">
        <v>46199</v>
      </c>
      <c r="Y58" s="69">
        <v>46564</v>
      </c>
      <c r="Z58" s="67">
        <v>26062625</v>
      </c>
      <c r="AA58" s="67" t="str">
        <f>IF(B58="","",VLOOKUP(AD58,Varsayımlar!$B:$Q,15,0))</f>
        <v>25cm Kolisi-Etiketli</v>
      </c>
      <c r="AB58" s="67" t="str">
        <f>IF(B58="","",VLOOKUP(AD58,Varsayımlar!$B:$Q,16,0))</f>
        <v>24-26 cm (Macca Hetto Inkjet Uzun Tarih)</v>
      </c>
      <c r="AC58" s="67" t="str">
        <f>IF(B58="","",VLOOKUP(Sayfa1!AD22,Varsayımlar!B:S,18,0))</f>
        <v>80x120cm</v>
      </c>
      <c r="AD58" s="57" t="str">
        <f t="shared" ref="AD58:AD65" si="3">IF(B58="","",CONCATENATE(B58,E58))</f>
        <v>LAIKYUZHN-BELARUSTortillas 25cm Sade 4pcs 240g</v>
      </c>
    </row>
    <row r="59" spans="1:30" ht="63" x14ac:dyDescent="0.25">
      <c r="A59" s="8" t="s">
        <v>79</v>
      </c>
      <c r="B59" s="62" t="s">
        <v>181</v>
      </c>
      <c r="C59" s="32">
        <f>IF(B59="","",VLOOKUP(AD59,Varsayımlar!$B:$Q,3,0))</f>
        <v>8698829380698</v>
      </c>
      <c r="D59" s="32"/>
      <c r="E59" s="62" t="s">
        <v>187</v>
      </c>
      <c r="F59" s="62">
        <v>26060101</v>
      </c>
      <c r="G59" s="32"/>
      <c r="H59" s="62" t="str">
        <f>IF(B59="","",VLOOKUP(AD59,Varsayımlar!$B:$Q,5,0))</f>
        <v>Tortillove 25cm</v>
      </c>
      <c r="I59" s="62" t="str">
        <f>IF(B59="","",VLOOKUP(AD59,Varsayımlar!B:T,19,0))</f>
        <v>Barkod üzerine Arnavutça içerik+Barkod-Tortillove</v>
      </c>
      <c r="J59" s="62" t="str">
        <f>IF(B59="","",VLOOKUP(AD59,Varsayımlar!$B:$Q,6,0))</f>
        <v>SADE</v>
      </c>
      <c r="K59" s="62">
        <v>168</v>
      </c>
      <c r="L59" s="62"/>
      <c r="M59" s="62">
        <f>IFERROR(IF(B59="","",K59/VLOOKUP(AD59,Varsayımlar!B:R,17,0)),"")</f>
        <v>2</v>
      </c>
      <c r="N59" s="62"/>
      <c r="O59" s="62">
        <v>2</v>
      </c>
      <c r="P59" s="62">
        <f>IF(B59="","",VLOOKUP(AD59,Varsayımlar!$B:$Q,7,0)*K59)</f>
        <v>3024</v>
      </c>
      <c r="Q59" s="62">
        <f>IF(B59="","",VLOOKUP(AD59,Varsayımlar!$B:$Q,8,0))</f>
        <v>25</v>
      </c>
      <c r="R59" s="62" t="str">
        <f>IF(B59="","",VLOOKUP(AD59,Varsayımlar!$B:$Q,9,0))</f>
        <v>Irak Soft</v>
      </c>
      <c r="S59" s="62">
        <f>IF(B59="","",VLOOKUP(AD59,Varsayımlar!$B:$Q,10,0))</f>
        <v>6</v>
      </c>
      <c r="T59" s="62">
        <f>IF(B59="","",VLOOKUP(AD59,Varsayımlar!$B:$Q,11,0))</f>
        <v>18</v>
      </c>
      <c r="U59" s="62">
        <f>IF(B59="","",VLOOKUP(AD59,Varsayımlar!$B:$Q,12,0))</f>
        <v>390</v>
      </c>
      <c r="V59" s="62" t="str">
        <f>IF(B59="","",VLOOKUP(AD59,Varsayımlar!$B:$Q,13,0))</f>
        <v>Yurtdışı</v>
      </c>
      <c r="W59" s="62">
        <f>IF(B59="","",VLOOKUP(AD59,Varsayımlar!$B:$Q,14,0))</f>
        <v>12</v>
      </c>
      <c r="X59" s="63">
        <v>46200</v>
      </c>
      <c r="Y59" s="63">
        <v>46565</v>
      </c>
      <c r="Z59" s="62">
        <v>26062725</v>
      </c>
      <c r="AA59" s="62" t="str">
        <f>IF(B59="","",VLOOKUP(AD59,Varsayımlar!$B:$Q,15,0))</f>
        <v>25cm Koli - Tortillove 390g Etiketli</v>
      </c>
      <c r="AB59" s="62" t="str">
        <f>IF(B59="","",VLOOKUP(AD59,Varsayımlar!$B:$Q,16,0))</f>
        <v>24-26 cm</v>
      </c>
      <c r="AC59" s="62">
        <f>IF(B59="","",VLOOKUP(Sayfa1!AD31,Varsayımlar!B:S,18,0))</f>
        <v>0</v>
      </c>
      <c r="AD59" s="57" t="str">
        <f t="shared" si="3"/>
        <v>ALDİ - KOSOVATortillove 25cm 6pcs 390g</v>
      </c>
    </row>
    <row r="60" spans="1:30" ht="63" x14ac:dyDescent="0.25">
      <c r="A60" s="8" t="s">
        <v>80</v>
      </c>
      <c r="B60" s="62" t="s">
        <v>181</v>
      </c>
      <c r="C60" s="32">
        <f>IF(B60="","",VLOOKUP(AD60,Varsayımlar!$B:$Q,3,0))</f>
        <v>8698829380698</v>
      </c>
      <c r="D60" s="32"/>
      <c r="E60" s="62" t="s">
        <v>189</v>
      </c>
      <c r="F60" s="62">
        <v>26060101</v>
      </c>
      <c r="G60" s="32"/>
      <c r="H60" s="62" t="str">
        <f>IF(B60="","",VLOOKUP(AD60,Varsayımlar!$B:$Q,5,0))</f>
        <v>Tortillas 25cm</v>
      </c>
      <c r="I60" s="62" t="str">
        <f>IF(B60="","",VLOOKUP(AD60,Varsayımlar!B:T,19,0))</f>
        <v>Barkod üzerine Arnavutça içerik+Barkod-Tortillas</v>
      </c>
      <c r="J60" s="62" t="str">
        <f>IF(B60="","",VLOOKUP(AD60,Varsayımlar!$B:$Q,6,0))</f>
        <v>SADE</v>
      </c>
      <c r="K60" s="62">
        <v>84</v>
      </c>
      <c r="L60" s="62"/>
      <c r="M60" s="62">
        <f>IFERROR(IF(B60="","",K60/VLOOKUP(AD60,Varsayımlar!B:R,17,0)),"")</f>
        <v>1</v>
      </c>
      <c r="N60" s="62"/>
      <c r="O60" s="62">
        <v>1</v>
      </c>
      <c r="P60" s="62">
        <f>IF(B60="","",VLOOKUP(AD60,Varsayımlar!$B:$Q,7,0)*K60)</f>
        <v>1512</v>
      </c>
      <c r="Q60" s="62">
        <f>IF(B60="","",VLOOKUP(AD60,Varsayımlar!$B:$Q,8,0))</f>
        <v>25</v>
      </c>
      <c r="R60" s="62" t="str">
        <f>IF(B60="","",VLOOKUP(AD60,Varsayımlar!$B:$Q,9,0))</f>
        <v>Irak Soft</v>
      </c>
      <c r="S60" s="62">
        <f>IF(B60="","",VLOOKUP(AD60,Varsayımlar!$B:$Q,10,0))</f>
        <v>6</v>
      </c>
      <c r="T60" s="62">
        <f>IF(B60="","",VLOOKUP(AD60,Varsayımlar!$B:$Q,11,0))</f>
        <v>18</v>
      </c>
      <c r="U60" s="62">
        <f>IF(B60="","",VLOOKUP(AD60,Varsayımlar!$B:$Q,12,0))</f>
        <v>390</v>
      </c>
      <c r="V60" s="62" t="str">
        <f>IF(B60="","",VLOOKUP(AD60,Varsayımlar!$B:$Q,13,0))</f>
        <v>Yurtdışı</v>
      </c>
      <c r="W60" s="62">
        <f>IF(B60="","",VLOOKUP(AD60,Varsayımlar!$B:$Q,14,0))</f>
        <v>12</v>
      </c>
      <c r="X60" s="63">
        <v>46200</v>
      </c>
      <c r="Y60" s="63">
        <v>46565</v>
      </c>
      <c r="Z60" s="62">
        <v>26062725</v>
      </c>
      <c r="AA60" s="62" t="str">
        <f>IF(B60="","",VLOOKUP(AD60,Varsayımlar!$B:$Q,15,0))</f>
        <v>25cm Koli - Tortillas 390g Etiketli</v>
      </c>
      <c r="AB60" s="62" t="str">
        <f>IF(B60="","",VLOOKUP(AD60,Varsayımlar!$B:$Q,16,0))</f>
        <v>24-26 cm</v>
      </c>
      <c r="AC60" s="62">
        <f>IF(B60="","",VLOOKUP(Sayfa1!AD32,Varsayımlar!B:S,18,0))</f>
        <v>0</v>
      </c>
      <c r="AD60" s="57" t="str">
        <f t="shared" si="3"/>
        <v>ALDİ - KOSOVATortillas 25cm 6pcs 390g</v>
      </c>
    </row>
    <row r="61" spans="1:30" ht="47.25" x14ac:dyDescent="0.25">
      <c r="A61" s="8" t="s">
        <v>81</v>
      </c>
      <c r="B61" s="62" t="s">
        <v>181</v>
      </c>
      <c r="C61" s="32">
        <f>IF(B61="","",VLOOKUP(AD61,Varsayımlar!$B:$Q,3,0))</f>
        <v>8698829380698</v>
      </c>
      <c r="D61" s="32"/>
      <c r="E61" s="62" t="s">
        <v>192</v>
      </c>
      <c r="F61" s="62">
        <v>26060101</v>
      </c>
      <c r="G61" s="32"/>
      <c r="H61" s="62" t="str">
        <f>IF(B61="","",VLOOKUP(AD61,Varsayımlar!$B:$Q,5,0))</f>
        <v>Tortillove 25cm</v>
      </c>
      <c r="I61" s="62" t="str">
        <f>IF(B61="","",VLOOKUP(AD61,Varsayımlar!B:T,19,0))</f>
        <v>Arka kısma Arnavutça içerik-Tortillove</v>
      </c>
      <c r="J61" s="62" t="str">
        <f>IF(B61="","",VLOOKUP(AD61,Varsayımlar!$B:$Q,6,0))</f>
        <v>SADE</v>
      </c>
      <c r="K61" s="62">
        <v>168</v>
      </c>
      <c r="L61" s="62"/>
      <c r="M61" s="62">
        <f>IFERROR(IF(B61="","",K61/VLOOKUP(AD61,Varsayımlar!B:R,17,0)),"")</f>
        <v>2</v>
      </c>
      <c r="N61" s="62"/>
      <c r="O61" s="62">
        <v>2</v>
      </c>
      <c r="P61" s="62">
        <f>IF(B61="","",VLOOKUP(AD61,Varsayımlar!$B:$Q,7,0)*K61)</f>
        <v>2016</v>
      </c>
      <c r="Q61" s="62">
        <f>IF(B61="","",VLOOKUP(AD61,Varsayımlar!$B:$Q,8,0))</f>
        <v>25</v>
      </c>
      <c r="R61" s="62" t="str">
        <f>IF(B61="","",VLOOKUP(AD61,Varsayımlar!$B:$Q,9,0))</f>
        <v>Irak Soft</v>
      </c>
      <c r="S61" s="62">
        <f>IF(B61="","",VLOOKUP(AD61,Varsayımlar!$B:$Q,10,0))</f>
        <v>10</v>
      </c>
      <c r="T61" s="62">
        <f>IF(B61="","",VLOOKUP(AD61,Varsayımlar!$B:$Q,11,0))</f>
        <v>12</v>
      </c>
      <c r="U61" s="62">
        <f>IF(B61="","",VLOOKUP(AD61,Varsayımlar!$B:$Q,12,0))</f>
        <v>650</v>
      </c>
      <c r="V61" s="62" t="str">
        <f>IF(B61="","",VLOOKUP(AD61,Varsayımlar!$B:$Q,13,0))</f>
        <v>Yurtdışı</v>
      </c>
      <c r="W61" s="62">
        <f>IF(B61="","",VLOOKUP(AD61,Varsayımlar!$B:$Q,14,0))</f>
        <v>12</v>
      </c>
      <c r="X61" s="63">
        <v>46200</v>
      </c>
      <c r="Y61" s="63">
        <v>46565</v>
      </c>
      <c r="Z61" s="62">
        <v>26062725</v>
      </c>
      <c r="AA61" s="62" t="str">
        <f>IF(B61="","",VLOOKUP(AD61,Varsayımlar!$B:$Q,15,0))</f>
        <v>25cm Koli - Tortillove 650g Etiketli</v>
      </c>
      <c r="AB61" s="62" t="str">
        <f>IF(B61="","",VLOOKUP(AD61,Varsayımlar!$B:$Q,16,0))</f>
        <v>24-26 cm</v>
      </c>
      <c r="AC61" s="62">
        <f>IF(B61="","",VLOOKUP(Sayfa1!AD33,Varsayımlar!B:S,18,0))</f>
        <v>0</v>
      </c>
      <c r="AD61" s="57" t="str">
        <f t="shared" si="3"/>
        <v>ALDİ - KOSOVATortillove 25cm 10pcs 650g</v>
      </c>
    </row>
    <row r="62" spans="1:30" ht="47.25" x14ac:dyDescent="0.25">
      <c r="A62" s="8" t="s">
        <v>82</v>
      </c>
      <c r="B62" s="62" t="s">
        <v>181</v>
      </c>
      <c r="C62" s="32">
        <f>IF(B62="","",VLOOKUP(AD62,Varsayımlar!$B:$Q,3,0))</f>
        <v>8698829380698</v>
      </c>
      <c r="D62" s="32"/>
      <c r="E62" s="62" t="s">
        <v>193</v>
      </c>
      <c r="F62" s="62">
        <v>26060101</v>
      </c>
      <c r="G62" s="32"/>
      <c r="H62" s="62" t="str">
        <f>IF(B62="","",VLOOKUP(AD62,Varsayımlar!$B:$Q,5,0))</f>
        <v>Tortillas 25cm</v>
      </c>
      <c r="I62" s="62" t="str">
        <f>IF(B62="","",VLOOKUP(AD62,Varsayımlar!B:T,19,0))</f>
        <v>Arka kısma Arnavutça içerik-Tortillas</v>
      </c>
      <c r="J62" s="62" t="str">
        <f>IF(B62="","",VLOOKUP(AD62,Varsayımlar!$B:$Q,6,0))</f>
        <v>SADE</v>
      </c>
      <c r="K62" s="62">
        <v>84</v>
      </c>
      <c r="L62" s="62"/>
      <c r="M62" s="62">
        <f>IFERROR(IF(B62="","",K62/VLOOKUP(AD62,Varsayımlar!B:R,17,0)),"")</f>
        <v>1</v>
      </c>
      <c r="N62" s="62"/>
      <c r="O62" s="62">
        <v>2</v>
      </c>
      <c r="P62" s="62">
        <f>IF(B62="","",VLOOKUP(AD62,Varsayımlar!$B:$Q,7,0)*K62)</f>
        <v>1008</v>
      </c>
      <c r="Q62" s="62">
        <f>IF(B62="","",VLOOKUP(AD62,Varsayımlar!$B:$Q,8,0))</f>
        <v>25</v>
      </c>
      <c r="R62" s="62" t="str">
        <f>IF(B62="","",VLOOKUP(AD62,Varsayımlar!$B:$Q,9,0))</f>
        <v>Irak Soft</v>
      </c>
      <c r="S62" s="62">
        <f>IF(B62="","",VLOOKUP(AD62,Varsayımlar!$B:$Q,10,0))</f>
        <v>10</v>
      </c>
      <c r="T62" s="62">
        <f>IF(B62="","",VLOOKUP(AD62,Varsayımlar!$B:$Q,11,0))</f>
        <v>12</v>
      </c>
      <c r="U62" s="62">
        <f>IF(B62="","",VLOOKUP(AD62,Varsayımlar!$B:$Q,12,0))</f>
        <v>650</v>
      </c>
      <c r="V62" s="62" t="str">
        <f>IF(B62="","",VLOOKUP(AD62,Varsayımlar!$B:$Q,13,0))</f>
        <v>Yurtdışı</v>
      </c>
      <c r="W62" s="62">
        <f>IF(B62="","",VLOOKUP(AD62,Varsayımlar!$B:$Q,14,0))</f>
        <v>12</v>
      </c>
      <c r="X62" s="63">
        <v>46200</v>
      </c>
      <c r="Y62" s="63">
        <v>46565</v>
      </c>
      <c r="Z62" s="62">
        <v>26062725</v>
      </c>
      <c r="AA62" s="62" t="str">
        <f>IF(B62="","",VLOOKUP(AD62,Varsayımlar!$B:$Q,15,0))</f>
        <v>25cm Koli - Tortillas 650g Etiketli</v>
      </c>
      <c r="AB62" s="62" t="str">
        <f>IF(B62="","",VLOOKUP(AD62,Varsayımlar!$B:$Q,16,0))</f>
        <v>24-26 cm</v>
      </c>
      <c r="AC62" s="62">
        <f>IF(B62="","",VLOOKUP(Sayfa1!AD34,Varsayımlar!B:S,18,0))</f>
        <v>0</v>
      </c>
      <c r="AD62" s="57" t="str">
        <f t="shared" si="3"/>
        <v>ALDİ - KOSOVATortillas 25cm 10pcs 650g</v>
      </c>
    </row>
    <row r="63" spans="1:30" ht="54.75" customHeight="1" x14ac:dyDescent="0.25">
      <c r="A63" s="8" t="s">
        <v>83</v>
      </c>
      <c r="B63" s="73" t="s">
        <v>95</v>
      </c>
      <c r="C63" s="71">
        <f>IF(B63="","",VLOOKUP(AD63,Varsayımlar!$B:$Q,3,0))</f>
        <v>8698829380698</v>
      </c>
      <c r="D63" s="71"/>
      <c r="E63" s="157" t="s">
        <v>114</v>
      </c>
      <c r="F63" s="73"/>
      <c r="G63" s="73"/>
      <c r="H63" s="73" t="str">
        <f>IF(B63="","",VLOOKUP(AD63,Varsayımlar!$B:$Q,5,0))</f>
        <v>Bisto 25 cm</v>
      </c>
      <c r="I63" s="73"/>
      <c r="J63" s="73" t="str">
        <f>IF(B63="","",VLOOKUP(AD63,Varsayımlar!$B:$Q,6,0))</f>
        <v>SADE</v>
      </c>
      <c r="K63" s="73">
        <v>720</v>
      </c>
      <c r="L63" s="73"/>
      <c r="M63" s="73">
        <f>IFERROR(IF(B63="","",K63/VLOOKUP(AD63,Varsayımlar!B:R,17,0)),"")</f>
        <v>15</v>
      </c>
      <c r="N63" s="73"/>
      <c r="O63" s="73">
        <v>11</v>
      </c>
      <c r="P63" s="73">
        <f>IF(B63="","",VLOOKUP(AD63,Varsayımlar!$B:$Q,7,0)*K63)</f>
        <v>8640</v>
      </c>
      <c r="Q63" s="73">
        <f>IF(B63="","",VLOOKUP(AD63,Varsayımlar!$B:$Q,8,0))</f>
        <v>25</v>
      </c>
      <c r="R63" s="73" t="str">
        <f>IF(B63="","",VLOOKUP(AD63,Varsayımlar!$B:$Q,9,0))</f>
        <v>Standart</v>
      </c>
      <c r="S63" s="73">
        <f>IF(B63="","",VLOOKUP(AD63,Varsayımlar!$B:$Q,10,0))</f>
        <v>12</v>
      </c>
      <c r="T63" s="73">
        <f>IF(B63="","",VLOOKUP(AD63,Varsayımlar!$B:$Q,11,0))</f>
        <v>12</v>
      </c>
      <c r="U63" s="73">
        <f>IF(B63="","",VLOOKUP(AD63,Varsayımlar!$B:$Q,12,0))</f>
        <v>840</v>
      </c>
      <c r="V63" s="73" t="str">
        <f>IF(B63="","",VLOOKUP(AD63,Varsayımlar!$B:$Q,13,0))</f>
        <v>Yurtiçi</v>
      </c>
      <c r="W63" s="73">
        <f>IF(B63="","",VLOOKUP(AD63,Varsayımlar!$B:$Q,14,0))</f>
        <v>6</v>
      </c>
      <c r="X63" s="158" t="s">
        <v>113</v>
      </c>
      <c r="Y63" s="158" t="s">
        <v>113</v>
      </c>
      <c r="Z63" s="73" t="s">
        <v>113</v>
      </c>
      <c r="AA63" s="73" t="str">
        <f>IF(B63="","",VLOOKUP(AD63,Varsayımlar!$B:$Q,15,0))</f>
        <v>Bisto Kolisi</v>
      </c>
      <c r="AB63" s="73" t="str">
        <f>IF(B63="","",VLOOKUP(AD63,Varsayımlar!$B:$Q,16,0))</f>
        <v>24-26 Cm</v>
      </c>
      <c r="AC63" s="64" t="s">
        <v>362</v>
      </c>
      <c r="AD63" s="57" t="str">
        <f t="shared" si="3"/>
        <v>Şok MarketBisto 25 cm 12 pcs 840g</v>
      </c>
    </row>
    <row r="64" spans="1:30" ht="31.5" x14ac:dyDescent="0.25">
      <c r="A64" s="8" t="s">
        <v>84</v>
      </c>
      <c r="B64" s="64" t="s">
        <v>288</v>
      </c>
      <c r="C64" s="3">
        <f>IF(B64="","",VLOOKUP(AD64,Varsayımlar!$B:$Q,3,0))</f>
        <v>8698829380698</v>
      </c>
      <c r="D64" s="3"/>
      <c r="E64" s="64" t="s">
        <v>292</v>
      </c>
      <c r="F64" s="64">
        <v>20201016</v>
      </c>
      <c r="G64" s="3" t="s">
        <v>68</v>
      </c>
      <c r="H64" s="64" t="str">
        <f>IF(B64="","",VLOOKUP(AD64,Varsayımlar!$B:$Q,5,0))</f>
        <v>Kırmızı Tortillas 25cm Sade</v>
      </c>
      <c r="I64" s="64" t="str">
        <f>IF(B64="","",VLOOKUP(AD64,Varsayımlar!B:T,19,0))</f>
        <v>Arka kısma İçerik</v>
      </c>
      <c r="J64" s="64" t="str">
        <f>IF(B64="","",VLOOKUP(AD64,Varsayımlar!$B:$Q,6,0))</f>
        <v>SADE</v>
      </c>
      <c r="K64" s="64">
        <v>250</v>
      </c>
      <c r="L64" s="64"/>
      <c r="M64" s="64">
        <f>IFERROR(IF(B64="","",K64/VLOOKUP(AD64,Varsayımlar!B:R,17,0)),"")</f>
        <v>5</v>
      </c>
      <c r="N64" s="64"/>
      <c r="O64" s="64">
        <v>4</v>
      </c>
      <c r="P64" s="64">
        <f>IF(B64="","",VLOOKUP(AD64,Varsayımlar!$B:$Q,7,0)*K64)</f>
        <v>4500</v>
      </c>
      <c r="Q64" s="64">
        <f>IF(B64="","",VLOOKUP(AD64,Varsayımlar!$B:$Q,8,0))</f>
        <v>25</v>
      </c>
      <c r="R64" s="64" t="str">
        <f>IF(B64="","",VLOOKUP(AD64,Varsayımlar!$B:$Q,9,0))</f>
        <v>Irak Soft</v>
      </c>
      <c r="S64" s="64">
        <f>IF(B64="","",VLOOKUP(AD64,Varsayımlar!$B:$Q,10,0))</f>
        <v>6</v>
      </c>
      <c r="T64" s="64">
        <f>IF(B64="","",VLOOKUP(AD64,Varsayımlar!$B:$Q,11,0))</f>
        <v>18</v>
      </c>
      <c r="U64" s="64">
        <f>IF(B64="","",VLOOKUP(AD64,Varsayımlar!$B:$Q,12,0))</f>
        <v>390</v>
      </c>
      <c r="V64" s="64" t="str">
        <f>IF(B64="","",VLOOKUP(AD64,Varsayımlar!$B:$Q,13,0))</f>
        <v>YURTDIŞI</v>
      </c>
      <c r="W64" s="64">
        <f>IF(B64="","",VLOOKUP(AD64,Varsayımlar!$B:$Q,14,0))</f>
        <v>9</v>
      </c>
      <c r="X64" s="66">
        <v>46202</v>
      </c>
      <c r="Y64" s="66">
        <v>46475</v>
      </c>
      <c r="Z64" s="64">
        <v>26062925</v>
      </c>
      <c r="AA64" s="64" t="str">
        <f>IF(B64="","",VLOOKUP(AD64,Varsayımlar!$B:$Q,15,0))</f>
        <v>25cm Koli</v>
      </c>
      <c r="AB64" s="64" t="str">
        <f>IF(B64="","",VLOOKUP(AD64,Varsayımlar!$B:$Q,16,0))</f>
        <v>24-26 cm</v>
      </c>
      <c r="AC64" s="64" t="str">
        <f>IF(B64="","",VLOOKUP(Sayfa1!AD42,Varsayımlar!B:S,18,0))</f>
        <v>80x120cm</v>
      </c>
      <c r="AD64" s="57" t="str">
        <f t="shared" si="3"/>
        <v>UNITERA-KAZAKİSTANKırmızı Tortillas 25cm Sade 6pcs 390g</v>
      </c>
    </row>
    <row r="65" spans="1:30" ht="31.5" x14ac:dyDescent="0.25">
      <c r="A65" s="8" t="s">
        <v>84</v>
      </c>
      <c r="B65" s="80" t="s">
        <v>218</v>
      </c>
      <c r="C65" s="44">
        <f>IF(B65="","",VLOOKUP(AD65,Varsayımlar!$B:$Q,3,0))</f>
        <v>8698829380698</v>
      </c>
      <c r="D65" s="44" t="s">
        <v>160</v>
      </c>
      <c r="E65" s="80" t="s">
        <v>228</v>
      </c>
      <c r="F65" s="80">
        <v>26042907</v>
      </c>
      <c r="G65" s="44"/>
      <c r="H65" s="80" t="str">
        <f>IF(B65="","",VLOOKUP(AD65,Varsayımlar!$B:$Q,5,0))</f>
        <v>Tortillas Avrupa 25cm (698)</v>
      </c>
      <c r="I65" s="80">
        <f>IF(B65="","",VLOOKUP(AD65,Varsayımlar!B:T,19,0))</f>
        <v>0</v>
      </c>
      <c r="J65" s="80" t="str">
        <f>IF(B65="","",VLOOKUP(AD65,Varsayımlar!$B:$Q,6,0))</f>
        <v>SADE</v>
      </c>
      <c r="K65" s="80">
        <v>720</v>
      </c>
      <c r="L65" s="80"/>
      <c r="M65" s="80">
        <f>IFERROR(IF(B65="","",K65/VLOOKUP(AD65,Varsayımlar!B:R,17,0)),"")</f>
        <v>6</v>
      </c>
      <c r="N65" s="80"/>
      <c r="O65" s="80">
        <v>7</v>
      </c>
      <c r="P65" s="80">
        <f>IF(B65="","",VLOOKUP(AD65,Varsayımlar!$B:$Q,7,0)*K65)</f>
        <v>5760</v>
      </c>
      <c r="Q65" s="80">
        <f>IF(B65="","",VLOOKUP(AD65,Varsayımlar!$B:$Q,8,0))</f>
        <v>25</v>
      </c>
      <c r="R65" s="80" t="str">
        <f>IF(B65="","",VLOOKUP(AD65,Varsayımlar!$B:$Q,9,0))</f>
        <v>Irak Soft</v>
      </c>
      <c r="S65" s="80">
        <f>IF(B65="","",VLOOKUP(AD65,Varsayımlar!$B:$Q,10,0))</f>
        <v>10</v>
      </c>
      <c r="T65" s="80">
        <f>IF(B65="","",VLOOKUP(AD65,Varsayımlar!$B:$Q,11,0))</f>
        <v>8</v>
      </c>
      <c r="U65" s="80">
        <f>IF(B65="","",VLOOKUP(AD65,Varsayımlar!$B:$Q,12,0))</f>
        <v>650</v>
      </c>
      <c r="V65" s="80" t="str">
        <f>IF(B65="","",VLOOKUP(AD65,Varsayımlar!$B:$Q,13,0))</f>
        <v>Yurtdışı</v>
      </c>
      <c r="W65" s="80">
        <f>IF(B65="","",VLOOKUP(AD65,Varsayımlar!$B:$Q,14,0))</f>
        <v>9</v>
      </c>
      <c r="X65" s="81">
        <v>46203</v>
      </c>
      <c r="Y65" s="81">
        <v>46476</v>
      </c>
      <c r="Z65" s="80">
        <v>26063025</v>
      </c>
      <c r="AA65" s="80" t="str">
        <f>IF(B65="","",VLOOKUP(AD65,Varsayımlar!$B:$Q,15,0))</f>
        <v>25cm Perforeli-Bulgarca etiket</v>
      </c>
      <c r="AB65" s="80" t="str">
        <f>IF(B65="","",VLOOKUP(AD65,Varsayımlar!$B:$Q,16,0))</f>
        <v>24-26 cm</v>
      </c>
      <c r="AC65" s="80" t="str">
        <f>IF(B65="","",VLOOKUP(Sayfa1!AD56,Varsayımlar!B:S,18,0))</f>
        <v>80x120cm -Epal+Epal</v>
      </c>
      <c r="AD65" s="57" t="str">
        <f t="shared" si="3"/>
        <v>TASTE LAND-BULGARİSTANTortillas 25cm Sade 10pcs 650g</v>
      </c>
    </row>
    <row r="66" spans="1:30" ht="47.25" x14ac:dyDescent="0.25">
      <c r="A66" s="8" t="s">
        <v>85</v>
      </c>
      <c r="B66" s="54" t="s">
        <v>268</v>
      </c>
      <c r="C66" s="39">
        <f>IF(B66="","",VLOOKUP(AD66,Varsayımlar!$B:$Q,3,0))</f>
        <v>8698829380698</v>
      </c>
      <c r="D66" s="39" t="s">
        <v>160</v>
      </c>
      <c r="E66" s="54" t="s">
        <v>342</v>
      </c>
      <c r="F66" s="54" t="s">
        <v>343</v>
      </c>
      <c r="G66" s="39" t="s">
        <v>68</v>
      </c>
      <c r="H66" s="54" t="str">
        <f>IF(B66="","",VLOOKUP(AD66,Varsayımlar!$B:$Q,5,0))</f>
        <v>Tortillas 25cm Sade</v>
      </c>
      <c r="I66" s="54">
        <f>IF(B66="","",VLOOKUP(AD66,Varsayımlar!B:T,19,0))</f>
        <v>0</v>
      </c>
      <c r="J66" s="54" t="str">
        <f>IF(B66="","",VLOOKUP(AD66,Varsayımlar!$B:$Q,6,0))</f>
        <v>SADE</v>
      </c>
      <c r="K66" s="54">
        <v>420</v>
      </c>
      <c r="L66" s="54"/>
      <c r="M66" s="54">
        <f>IFERROR(IF(B66="","",K66/VLOOKUP(AD66,Varsayımlar!B:R,17,0)),"")</f>
        <v>5</v>
      </c>
      <c r="N66" s="54"/>
      <c r="O66" s="54">
        <v>7</v>
      </c>
      <c r="P66" s="54">
        <f>IF(B66="","",VLOOKUP(AD66,Varsayımlar!$B:$Q,7,0)*K66)</f>
        <v>12600</v>
      </c>
      <c r="Q66" s="54">
        <f>IF(B66="","",VLOOKUP(AD66,Varsayımlar!$B:$Q,8,0))</f>
        <v>25</v>
      </c>
      <c r="R66" s="54" t="str">
        <f>IF(B66="","",VLOOKUP(AD66,Varsayımlar!$B:$Q,9,0))</f>
        <v>Soft-PA3</v>
      </c>
      <c r="S66" s="54">
        <f>IF(B66="","",VLOOKUP(AD66,Varsayımlar!$B:$Q,10,0))</f>
        <v>4</v>
      </c>
      <c r="T66" s="54">
        <f>IF(B66="","",VLOOKUP(AD66,Varsayımlar!$B:$Q,11,0))</f>
        <v>30</v>
      </c>
      <c r="U66" s="54">
        <f>IF(B66="","",VLOOKUP(AD66,Varsayımlar!$B:$Q,12,0))</f>
        <v>240</v>
      </c>
      <c r="V66" s="54" t="str">
        <f>IF(B66="","",VLOOKUP(AD66,Varsayımlar!$B:$Q,13,0))</f>
        <v>Yurtdışı</v>
      </c>
      <c r="W66" s="54">
        <f>IF(B66="","",VLOOKUP(AD66,Varsayımlar!$B:$Q,14,0))</f>
        <v>12</v>
      </c>
      <c r="X66" s="56">
        <v>46205</v>
      </c>
      <c r="Y66" s="56">
        <v>46570</v>
      </c>
      <c r="Z66" s="54">
        <v>26070225</v>
      </c>
      <c r="AA66" s="54" t="str">
        <f>IF(B66="","",VLOOKUP(AD66,Varsayımlar!$B:$Q,15,0))</f>
        <v>25cm Kolisi-Etiketli</v>
      </c>
      <c r="AB66" s="54" t="str">
        <f>IF(B66="","",VLOOKUP(AD66,Varsayımlar!$B:$Q,16,0))</f>
        <v>24-26 cm (Macca Hetto Inkjet Uzun Tarih)</v>
      </c>
      <c r="AC66" s="54" t="str">
        <f>IF(B66="","",VLOOKUP(Sayfa1!AD35,Varsayımlar!B:S,18,0))</f>
        <v>80x120cm</v>
      </c>
      <c r="AD66" s="57" t="str">
        <f>IF(B66="","",CONCATENATE(B66,E66))</f>
        <v>LAIKYUZHN-BELARUSTortillas 25cm Sade 4pcs 240g</v>
      </c>
    </row>
    <row r="67" spans="1:30" ht="47.25" x14ac:dyDescent="0.25">
      <c r="A67" s="8" t="s">
        <v>86</v>
      </c>
      <c r="B67" s="130" t="s">
        <v>119</v>
      </c>
      <c r="C67" s="130">
        <f>IF(B67="","",VLOOKUP(AD67,Varsayımlar!$B:$Q,3,0))</f>
        <v>8698829380698</v>
      </c>
      <c r="D67" s="130"/>
      <c r="E67" s="130" t="s">
        <v>120</v>
      </c>
      <c r="F67" s="130"/>
      <c r="G67" s="130"/>
      <c r="H67" s="130" t="str">
        <f>IF(B67="","",VLOOKUP(AD67,Varsayımlar!$B:$Q,5,0))</f>
        <v>Nimet 25 cm</v>
      </c>
      <c r="I67" s="130"/>
      <c r="J67" s="130" t="str">
        <f>IF(B67="","",VLOOKUP(AD67,Varsayımlar!$B:$Q,6,0))</f>
        <v>SADE</v>
      </c>
      <c r="K67" s="130">
        <v>4000</v>
      </c>
      <c r="L67" s="130"/>
      <c r="M67" s="130">
        <f>IFERROR(IF(B67="","",K67/VLOOKUP(AD67,Varsayımlar!B:R,17,0)),"")</f>
        <v>80</v>
      </c>
      <c r="N67" s="130"/>
      <c r="O67" s="130">
        <v>60</v>
      </c>
      <c r="P67" s="130">
        <f>IF(B67="","",VLOOKUP(AD67,Varsayımlar!$B:$Q,7,0)*K67)</f>
        <v>48000</v>
      </c>
      <c r="Q67" s="130">
        <f>IF(B67="","",VLOOKUP(AD67,Varsayımlar!$B:$Q,8,0))</f>
        <v>25</v>
      </c>
      <c r="R67" s="130" t="str">
        <f>IF(B67="","",VLOOKUP(AD67,Varsayımlar!$B:$Q,9,0))</f>
        <v>Standart</v>
      </c>
      <c r="S67" s="130">
        <f>IF(B67="","",VLOOKUP(AD67,Varsayımlar!$B:$Q,10,0))</f>
        <v>12</v>
      </c>
      <c r="T67" s="130">
        <f>IF(B67="","",VLOOKUP(AD67,Varsayımlar!$B:$Q,11,0))</f>
        <v>12</v>
      </c>
      <c r="U67" s="130">
        <f>IF(B67="","",VLOOKUP(AD67,Varsayımlar!$B:$Q,12,0))</f>
        <v>840</v>
      </c>
      <c r="V67" s="130" t="str">
        <f>IF(B67="","",VLOOKUP(AD67,Varsayımlar!$B:$Q,13,0))</f>
        <v>YURTİÇİ</v>
      </c>
      <c r="W67" s="130">
        <f>IF(B67="","",VLOOKUP(AD67,Varsayımlar!$B:$Q,14,0))</f>
        <v>5</v>
      </c>
      <c r="X67" s="130" t="s">
        <v>113</v>
      </c>
      <c r="Y67" s="130" t="s">
        <v>113</v>
      </c>
      <c r="Z67" s="130" t="s">
        <v>113</v>
      </c>
      <c r="AA67" s="130" t="str">
        <f>IF(B67="","",VLOOKUP(AD67,Varsayımlar!$B:$Q,15,0))</f>
        <v>Nimet Kolisi</v>
      </c>
      <c r="AB67" s="130" t="str">
        <f>IF(B67="","",VLOOKUP(AD67,Varsayımlar!$B:$Q,16,0))</f>
        <v>24-26 CM</v>
      </c>
      <c r="AC67" s="64" t="s">
        <v>360</v>
      </c>
      <c r="AD67" s="57" t="str">
        <f t="shared" ref="AD67:AD78" si="4">IF(B67="","",CONCATENATE(B67,E67))</f>
        <v>A101Nimet 25cm 12 pcs 840g</v>
      </c>
    </row>
    <row r="68" spans="1:30" ht="31.5" x14ac:dyDescent="0.25">
      <c r="A68" s="8" t="s">
        <v>87</v>
      </c>
      <c r="B68" s="75" t="s">
        <v>218</v>
      </c>
      <c r="C68" s="43">
        <f>IF(B68="","",VLOOKUP(AD68,Varsayımlar!$B:$Q,3,0))</f>
        <v>8698829380698</v>
      </c>
      <c r="D68" s="43" t="s">
        <v>161</v>
      </c>
      <c r="E68" s="75" t="s">
        <v>228</v>
      </c>
      <c r="F68" s="75" t="s">
        <v>341</v>
      </c>
      <c r="G68" s="43"/>
      <c r="H68" s="75" t="str">
        <f>IF(B68="","",VLOOKUP(AD68,Varsayımlar!$B:$Q,5,0))</f>
        <v>Tortillas Avrupa 25cm (698)</v>
      </c>
      <c r="I68" s="75">
        <f>IF(B68="","",VLOOKUP(AD68,Varsayımlar!B:T,19,0))</f>
        <v>0</v>
      </c>
      <c r="J68" s="75" t="str">
        <f>IF(B68="","",VLOOKUP(AD68,Varsayımlar!$B:$Q,6,0))</f>
        <v>SADE</v>
      </c>
      <c r="K68" s="75">
        <v>720</v>
      </c>
      <c r="L68" s="75"/>
      <c r="M68" s="75">
        <f>IFERROR(IF(B68="","",K68/VLOOKUP(AD68,Varsayımlar!B:R,17,0)),"")</f>
        <v>6</v>
      </c>
      <c r="N68" s="75"/>
      <c r="O68" s="75">
        <v>7</v>
      </c>
      <c r="P68" s="75">
        <f>IF(B68="","",VLOOKUP(AD68,Varsayımlar!$B:$Q,7,0)*K68)</f>
        <v>5760</v>
      </c>
      <c r="Q68" s="75">
        <f>IF(B68="","",VLOOKUP(AD68,Varsayımlar!$B:$Q,8,0))</f>
        <v>25</v>
      </c>
      <c r="R68" s="75" t="str">
        <f>IF(B68="","",VLOOKUP(AD68,Varsayımlar!$B:$Q,9,0))</f>
        <v>Irak Soft</v>
      </c>
      <c r="S68" s="75">
        <f>IF(B68="","",VLOOKUP(AD68,Varsayımlar!$B:$Q,10,0))</f>
        <v>10</v>
      </c>
      <c r="T68" s="75">
        <f>IF(B68="","",VLOOKUP(AD68,Varsayımlar!$B:$Q,11,0))</f>
        <v>8</v>
      </c>
      <c r="U68" s="75">
        <f>IF(B68="","",VLOOKUP(AD68,Varsayımlar!$B:$Q,12,0))</f>
        <v>650</v>
      </c>
      <c r="V68" s="75" t="str">
        <f>IF(B68="","",VLOOKUP(AD68,Varsayımlar!$B:$Q,13,0))</f>
        <v>Yurtdışı</v>
      </c>
      <c r="W68" s="75">
        <f>IF(B68="","",VLOOKUP(AD68,Varsayımlar!$B:$Q,14,0))</f>
        <v>9</v>
      </c>
      <c r="X68" s="76">
        <v>46213</v>
      </c>
      <c r="Y68" s="76">
        <v>46487</v>
      </c>
      <c r="Z68" s="75">
        <v>26071025</v>
      </c>
      <c r="AA68" s="75" t="str">
        <f>IF(B68="","",VLOOKUP(AD68,Varsayımlar!$B:$Q,15,0))</f>
        <v>25cm Perforeli-Bulgarca etiket</v>
      </c>
      <c r="AB68" s="75" t="str">
        <f>IF(B68="","",VLOOKUP(AD68,Varsayımlar!$B:$Q,16,0))</f>
        <v>24-26 cm</v>
      </c>
      <c r="AC68" s="75" t="str">
        <f>IF(B68="","",VLOOKUP(Sayfa1!AD61,Varsayımlar!B:S,18,0))</f>
        <v>80x120cm -Epal+Epal</v>
      </c>
      <c r="AD68" s="57" t="str">
        <f t="shared" si="4"/>
        <v>TASTE LAND-BULGARİSTANTortillas 25cm Sade 10pcs 650g</v>
      </c>
    </row>
    <row r="69" spans="1:30" ht="47.25" x14ac:dyDescent="0.25">
      <c r="A69" s="8" t="s">
        <v>88</v>
      </c>
      <c r="B69" s="75" t="s">
        <v>218</v>
      </c>
      <c r="C69" s="43">
        <f>IF(B69="","",VLOOKUP(AD69,Varsayımlar!$B:$Q,3,0))</f>
        <v>8698829380698</v>
      </c>
      <c r="D69" s="43" t="s">
        <v>161</v>
      </c>
      <c r="E69" s="75" t="s">
        <v>250</v>
      </c>
      <c r="F69" s="75" t="s">
        <v>341</v>
      </c>
      <c r="G69" s="43"/>
      <c r="H69" s="75" t="str">
        <f>IF(B69="","",VLOOKUP(AD69,Varsayımlar!$B:$Q,5,0))</f>
        <v>Tortillas Avrupa 25cm (698)</v>
      </c>
      <c r="I69" s="75" t="str">
        <f>IF(B69="","",VLOOKUP(AD69,Varsayımlar!B:T,19,0))</f>
        <v>Barkod üzerine Barkod Etiketi (050)</v>
      </c>
      <c r="J69" s="75" t="str">
        <f>IF(B69="","",VLOOKUP(AD69,Varsayımlar!$B:$Q,6,0))</f>
        <v>SADE</v>
      </c>
      <c r="K69" s="75">
        <v>168</v>
      </c>
      <c r="L69" s="75"/>
      <c r="M69" s="75">
        <f>IFERROR(IF(B69="","",K69/VLOOKUP(AD69,Varsayımlar!B:R,17,0)),"")</f>
        <v>2</v>
      </c>
      <c r="N69" s="75"/>
      <c r="O69" s="75">
        <v>3</v>
      </c>
      <c r="P69" s="75">
        <f>IF(B69="","",VLOOKUP(AD69,Varsayımlar!$B:$Q,7,0)*K69)</f>
        <v>3024</v>
      </c>
      <c r="Q69" s="75">
        <f>IF(B69="","",VLOOKUP(AD69,Varsayımlar!$B:$Q,8,0))</f>
        <v>25</v>
      </c>
      <c r="R69" s="75" t="str">
        <f>IF(B69="","",VLOOKUP(AD69,Varsayımlar!$B:$Q,9,0))</f>
        <v>Irak Soft</v>
      </c>
      <c r="S69" s="75">
        <f>IF(B69="","",VLOOKUP(AD69,Varsayımlar!$B:$Q,10,0))</f>
        <v>6</v>
      </c>
      <c r="T69" s="75">
        <f>IF(B69="","",VLOOKUP(AD69,Varsayımlar!$B:$Q,11,0))</f>
        <v>18</v>
      </c>
      <c r="U69" s="75">
        <f>IF(B69="","",VLOOKUP(AD69,Varsayımlar!$B:$Q,12,0))</f>
        <v>390</v>
      </c>
      <c r="V69" s="75" t="str">
        <f>IF(B69="","",VLOOKUP(AD69,Varsayımlar!$B:$Q,13,0))</f>
        <v>Yurtdışı</v>
      </c>
      <c r="W69" s="75">
        <f>IF(B69="","",VLOOKUP(AD69,Varsayımlar!$B:$Q,14,0))</f>
        <v>9</v>
      </c>
      <c r="X69" s="76">
        <v>46213</v>
      </c>
      <c r="Y69" s="76">
        <v>46487</v>
      </c>
      <c r="Z69" s="75">
        <v>26071025</v>
      </c>
      <c r="AA69" s="75" t="str">
        <f>IF(B69="","",VLOOKUP(AD69,Varsayımlar!$B:$Q,15,0))</f>
        <v>25cm Kırmızı koli-Bulgarca Etiket</v>
      </c>
      <c r="AB69" s="75" t="str">
        <f>IF(B69="","",VLOOKUP(AD69,Varsayımlar!$B:$Q,16,0))</f>
        <v>24-26 cm</v>
      </c>
      <c r="AC69" s="75" t="str">
        <f>IF(B69="","",VLOOKUP(Sayfa1!AD62,Varsayımlar!B:S,18,0))</f>
        <v>80x120cm -Epal+Epal</v>
      </c>
      <c r="AD69" s="57" t="str">
        <f t="shared" si="4"/>
        <v>TASTE LAND-BULGARİSTANTortillas 25cm Sade 6pcs 390g</v>
      </c>
    </row>
    <row r="70" spans="1:30" x14ac:dyDescent="0.25">
      <c r="A70" s="8" t="s">
        <v>89</v>
      </c>
      <c r="B70" s="67" t="s">
        <v>460</v>
      </c>
      <c r="C70" s="42">
        <f>IF(B70="","",VLOOKUP(AD70,Varsayımlar!$B:$Q,3,0))</f>
        <v>8698829380698</v>
      </c>
      <c r="D70" s="67" t="s">
        <v>161</v>
      </c>
      <c r="E70" s="67" t="s">
        <v>468</v>
      </c>
      <c r="F70" s="67">
        <v>20260414</v>
      </c>
      <c r="G70" s="67"/>
      <c r="H70" s="67" t="str">
        <f>IF(B70="","",VLOOKUP(AD70,Varsayımlar!$B:$Q,5,0))</f>
        <v>Tortillove 25cm</v>
      </c>
      <c r="I70" s="67">
        <f>IF(B70="","",VLOOKUP(AD70,Varsayımlar!B:T,19,0))</f>
        <v>0</v>
      </c>
      <c r="J70" s="67" t="str">
        <f>IF(B70="","",VLOOKUP(AD70,Varsayımlar!$B:$Q,6,0))</f>
        <v>SADE</v>
      </c>
      <c r="K70" s="67">
        <v>100</v>
      </c>
      <c r="L70" s="67"/>
      <c r="M70" s="67">
        <f>IFERROR(IF(B70="","",K70/VLOOKUP(AD70,Varsayımlar!B:R,17,0)),"")</f>
        <v>1</v>
      </c>
      <c r="N70" s="67"/>
      <c r="O70" s="67">
        <v>2</v>
      </c>
      <c r="P70" s="67">
        <f>IF(B70="","",VLOOKUP(AD70,Varsayımlar!$B:$Q,7,0)*K70)</f>
        <v>1200</v>
      </c>
      <c r="Q70" s="67">
        <f>IF(B70="","",VLOOKUP(AD70,Varsayımlar!$B:$Q,8,0))</f>
        <v>25</v>
      </c>
      <c r="R70" s="67" t="str">
        <f>IF(B70="","",VLOOKUP(AD70,Varsayımlar!$B:$Q,9,0))</f>
        <v>Irak Soft</v>
      </c>
      <c r="S70" s="67">
        <f>IF(B70="","",VLOOKUP(AD70,Varsayımlar!$B:$Q,10,0))</f>
        <v>10</v>
      </c>
      <c r="T70" s="67">
        <f>IF(B70="","",VLOOKUP(AD70,Varsayımlar!$B:$Q,11,0))</f>
        <v>12</v>
      </c>
      <c r="U70" s="67">
        <f>IF(B70="","",VLOOKUP(AD70,Varsayımlar!$B:$Q,12,0))</f>
        <v>650</v>
      </c>
      <c r="V70" s="67" t="str">
        <f>IF(B70="","",VLOOKUP(AD70,Varsayımlar!$B:$Q,13,0))</f>
        <v>Yurtdışı</v>
      </c>
      <c r="W70" s="67">
        <f>IF(B70="","",VLOOKUP(AD70,Varsayımlar!$B:$Q,14,0))</f>
        <v>6</v>
      </c>
      <c r="X70" s="69">
        <v>46216</v>
      </c>
      <c r="Y70" s="69">
        <v>46400</v>
      </c>
      <c r="Z70" s="67">
        <v>26071325</v>
      </c>
      <c r="AA70" s="67" t="str">
        <f>IF(B70="","",VLOOKUP(AD70,Varsayımlar!$B:$Q,15,0))</f>
        <v>25cm Kırmızı Koli</v>
      </c>
      <c r="AB70" s="67" t="str">
        <f>IF(B70="","",VLOOKUP(AD70,Varsayımlar!$B:$Q,16,0))</f>
        <v>24-26 cm</v>
      </c>
      <c r="AC70" s="75" t="str">
        <f>IF(B70="","",VLOOKUP(Sayfa1!AD64,Varsayımlar!B:S,18,0))</f>
        <v>80x120cm -Epal+Epal</v>
      </c>
      <c r="AD70" s="57" t="str">
        <f t="shared" si="4"/>
        <v>Yüksekbaş GıdaYüksekbaş 25cm 10pcs 650g</v>
      </c>
    </row>
    <row r="71" spans="1:30" ht="31.5" x14ac:dyDescent="0.25">
      <c r="A71" s="8" t="s">
        <v>90</v>
      </c>
      <c r="B71" s="42" t="s">
        <v>460</v>
      </c>
      <c r="C71" s="42">
        <f>IF(B71="","",VLOOKUP(AD71,Varsayımlar!$B:$Q,3,0))</f>
        <v>8698829380698</v>
      </c>
      <c r="D71" s="42" t="s">
        <v>161</v>
      </c>
      <c r="E71" s="42" t="s">
        <v>471</v>
      </c>
      <c r="F71" s="42">
        <v>20260414</v>
      </c>
      <c r="G71" s="42"/>
      <c r="H71" s="42" t="str">
        <f>IF(B71="","",VLOOKUP(AD71,Varsayımlar!$B:$Q,5,0))</f>
        <v>Tortillove Tam Buğday 25cm</v>
      </c>
      <c r="I71" s="42">
        <f>IF(B71="","",VLOOKUP(AD71,Varsayımlar!B:T,19,0))</f>
        <v>0</v>
      </c>
      <c r="J71" s="42" t="str">
        <f>IF(B71="","",VLOOKUP(AD71,Varsayımlar!$B:$Q,6,0))</f>
        <v>Tam Buğdaylı</v>
      </c>
      <c r="K71" s="42">
        <v>500</v>
      </c>
      <c r="L71" s="42"/>
      <c r="M71" s="42">
        <f>IFERROR(IF(B71="","",K71/VLOOKUP(AD71,Varsayımlar!B:R,17,0)),"")</f>
        <v>5</v>
      </c>
      <c r="N71" s="42"/>
      <c r="O71" s="42">
        <v>7</v>
      </c>
      <c r="P71" s="42">
        <f>IF(B71="","",VLOOKUP(AD71,Varsayımlar!$B:$Q,7,0)*K71)</f>
        <v>6000</v>
      </c>
      <c r="Q71" s="42">
        <f>IF(B71="","",VLOOKUP(AD71,Varsayımlar!$B:$Q,8,0))</f>
        <v>25</v>
      </c>
      <c r="R71" s="42" t="str">
        <f>IF(B71="","",VLOOKUP(AD71,Varsayımlar!$B:$Q,9,0))</f>
        <v>Irak Soft</v>
      </c>
      <c r="S71" s="42">
        <f>IF(B71="","",VLOOKUP(AD71,Varsayımlar!$B:$Q,10,0))</f>
        <v>10</v>
      </c>
      <c r="T71" s="42">
        <f>IF(B71="","",VLOOKUP(AD71,Varsayımlar!$B:$Q,11,0))</f>
        <v>12</v>
      </c>
      <c r="U71" s="42">
        <f>IF(B71="","",VLOOKUP(AD71,Varsayımlar!$B:$Q,12,0))</f>
        <v>650</v>
      </c>
      <c r="V71" s="42" t="str">
        <f>IF(B71="","",VLOOKUP(AD71,Varsayımlar!$B:$Q,13,0))</f>
        <v>Yurtdışı</v>
      </c>
      <c r="W71" s="42">
        <f>IF(B71="","",VLOOKUP(AD71,Varsayımlar!$B:$Q,14,0))</f>
        <v>6</v>
      </c>
      <c r="X71" s="69">
        <v>46216</v>
      </c>
      <c r="Y71" s="69">
        <v>46400</v>
      </c>
      <c r="Z71" s="42" t="s">
        <v>475</v>
      </c>
      <c r="AA71" s="42" t="str">
        <f>IF(B71="","",VLOOKUP(AD71,Varsayımlar!$B:$Q,15,0))</f>
        <v>25cm Kırmızı Koli-Etiketli</v>
      </c>
      <c r="AB71" s="42" t="str">
        <f>IF(B71="","",VLOOKUP(AD71,Varsayımlar!$B:$Q,16,0))</f>
        <v>24-26 cm</v>
      </c>
      <c r="AC71" s="75" t="str">
        <f>IF(B71="","",VLOOKUP(Sayfa1!AD64,Varsayımlar!B:S,18,0))</f>
        <v>80x120cm -Epal+Epal</v>
      </c>
      <c r="AD71" s="57" t="str">
        <f t="shared" si="4"/>
        <v>Yüksekbaş GıdaYüksekbaş TB 25cm 10pcs 650g</v>
      </c>
    </row>
    <row r="72" spans="1:30" ht="45.75" customHeight="1" x14ac:dyDescent="0.25">
      <c r="A72" s="8" t="s">
        <v>91</v>
      </c>
      <c r="B72" s="130" t="s">
        <v>119</v>
      </c>
      <c r="C72" s="131">
        <f>IF(B72="","",VLOOKUP(AD72,Varsayımlar!$B:$Q,3,0))</f>
        <v>8698829380698</v>
      </c>
      <c r="D72" s="131"/>
      <c r="E72" s="132" t="s">
        <v>120</v>
      </c>
      <c r="F72" s="130"/>
      <c r="G72" s="130"/>
      <c r="H72" s="130" t="str">
        <f>IF(B72="","",VLOOKUP(AD72,Varsayımlar!$B:$Q,5,0))</f>
        <v>Nimet 25 cm</v>
      </c>
      <c r="I72" s="130"/>
      <c r="J72" s="130" t="str">
        <f>IF(B72="","",VLOOKUP(AD72,Varsayımlar!$B:$Q,6,0))</f>
        <v>SADE</v>
      </c>
      <c r="K72" s="130">
        <v>4000</v>
      </c>
      <c r="L72" s="130"/>
      <c r="M72" s="130">
        <f>IFERROR(IF(B72="","",K72/VLOOKUP(AD72,Varsayımlar!B:R,17,0)),"")</f>
        <v>80</v>
      </c>
      <c r="N72" s="130"/>
      <c r="O72" s="130">
        <v>60</v>
      </c>
      <c r="P72" s="130">
        <f>IF(B72="","",VLOOKUP(AD72,Varsayımlar!$B:$Q,7,0)*K72)</f>
        <v>48000</v>
      </c>
      <c r="Q72" s="130">
        <f>IF(B72="","",VLOOKUP(AD72,Varsayımlar!$B:$Q,8,0))</f>
        <v>25</v>
      </c>
      <c r="R72" s="130" t="str">
        <f>IF(B72="","",VLOOKUP(AD72,Varsayımlar!$B:$Q,9,0))</f>
        <v>Standart</v>
      </c>
      <c r="S72" s="130">
        <f>IF(B72="","",VLOOKUP(AD72,Varsayımlar!$B:$Q,10,0))</f>
        <v>12</v>
      </c>
      <c r="T72" s="130">
        <f>IF(B72="","",VLOOKUP(AD72,Varsayımlar!$B:$Q,11,0))</f>
        <v>12</v>
      </c>
      <c r="U72" s="130">
        <f>IF(B72="","",VLOOKUP(AD72,Varsayımlar!$B:$Q,12,0))</f>
        <v>840</v>
      </c>
      <c r="V72" s="130" t="str">
        <f>IF(B72="","",VLOOKUP(AD72,Varsayımlar!$B:$Q,13,0))</f>
        <v>YURTİÇİ</v>
      </c>
      <c r="W72" s="130">
        <f>IF(B72="","",VLOOKUP(AD72,Varsayımlar!$B:$Q,14,0))</f>
        <v>5</v>
      </c>
      <c r="X72" s="133" t="s">
        <v>113</v>
      </c>
      <c r="Y72" s="133" t="s">
        <v>113</v>
      </c>
      <c r="Z72" s="130" t="s">
        <v>113</v>
      </c>
      <c r="AA72" s="130" t="str">
        <f>IF(B72="","",VLOOKUP(AD72,Varsayımlar!$B:$Q,15,0))</f>
        <v>Nimet Kolisi</v>
      </c>
      <c r="AB72" s="130" t="str">
        <f>IF(B72="","",VLOOKUP(AD72,Varsayımlar!$B:$Q,16,0))</f>
        <v>24-26 CM</v>
      </c>
      <c r="AC72" s="64" t="s">
        <v>360</v>
      </c>
      <c r="AD72" s="57" t="str">
        <f>IF(B72="","",CONCATENATE(B72,E72))</f>
        <v>A101Nimet 25cm 12 pcs 840g</v>
      </c>
    </row>
    <row r="73" spans="1:30" ht="31.5" x14ac:dyDescent="0.25">
      <c r="A73" s="8" t="s">
        <v>92</v>
      </c>
      <c r="B73" s="54" t="s">
        <v>346</v>
      </c>
      <c r="C73" s="39">
        <f>IF(B73="","",VLOOKUP(AD73,Varsayımlar!$B:$Q,3,0))</f>
        <v>8698829380698</v>
      </c>
      <c r="D73" s="39">
        <v>49</v>
      </c>
      <c r="E73" s="139" t="s">
        <v>58</v>
      </c>
      <c r="F73" s="54"/>
      <c r="G73" s="54"/>
      <c r="H73" s="54" t="str">
        <f>IF(B73="","",VLOOKUP(AD73,Varsayımlar!$B:$Q,5,0))</f>
        <v>KIRMIZI TORTİLLAS 25 CM</v>
      </c>
      <c r="I73" s="54" t="str">
        <f>IF(B73="","",VLOOKUP(AD73,Varsayımlar!B:T,19,0))</f>
        <v>BARKOD ETİKETİ</v>
      </c>
      <c r="J73" s="54" t="str">
        <f>IF(B73="","",VLOOKUP(AD73,Varsayımlar!$B:$Q,6,0))</f>
        <v>SADE</v>
      </c>
      <c r="K73" s="54">
        <v>504</v>
      </c>
      <c r="L73" s="54"/>
      <c r="M73" s="54">
        <f>IFERROR(IF(B73="","",K73/VLOOKUP(AD73,Varsayımlar!B:R,17,0)),"")</f>
        <v>6</v>
      </c>
      <c r="N73" s="54"/>
      <c r="O73" s="54">
        <v>6</v>
      </c>
      <c r="P73" s="54">
        <f>IF(B73="","",VLOOKUP(AD73,Varsayımlar!$B:$Q,7,0)*K73)</f>
        <v>9072</v>
      </c>
      <c r="Q73" s="54">
        <f>IF(B73="","",VLOOKUP(AD73,Varsayımlar!$B:$Q,8,0))</f>
        <v>25</v>
      </c>
      <c r="R73" s="54" t="str">
        <f>IF(B73="","",VLOOKUP(AD73,Varsayımlar!$B:$Q,9,0))</f>
        <v>IRAK SOFT</v>
      </c>
      <c r="S73" s="54">
        <f>IF(B73="","",VLOOKUP(AD73,Varsayımlar!$B:$Q,10,0))</f>
        <v>6</v>
      </c>
      <c r="T73" s="54">
        <f>IF(B73="","",VLOOKUP(AD73,Varsayımlar!$B:$Q,11,0))</f>
        <v>18</v>
      </c>
      <c r="U73" s="54">
        <f>IF(B73="","",VLOOKUP(AD73,Varsayımlar!$B:$Q,12,0))</f>
        <v>375</v>
      </c>
      <c r="V73" s="54" t="str">
        <f>IF(B73="","",VLOOKUP(AD73,Varsayımlar!$B:$Q,13,0))</f>
        <v>YURTDIŞI</v>
      </c>
      <c r="W73" s="54">
        <f>IF(B73="","",VLOOKUP(AD73,Varsayımlar!$B:$Q,14,0))</f>
        <v>9</v>
      </c>
      <c r="X73" s="56">
        <v>46226</v>
      </c>
      <c r="Y73" s="56">
        <v>46500</v>
      </c>
      <c r="Z73" s="54">
        <v>26072325</v>
      </c>
      <c r="AA73" s="54" t="str">
        <f>IF(B73="","",VLOOKUP(AD73,Varsayımlar!$B:$Q,15,0))</f>
        <v>KIRMIZI - ÜRETİM TARİHLİ ETİKET</v>
      </c>
      <c r="AB73" s="54" t="str">
        <f>IF(B73="","",VLOOKUP(AD73,Varsayımlar!$B:$Q,16,0))</f>
        <v>24-26 CM</v>
      </c>
      <c r="AC73" s="8" t="e">
        <f>IF(B73="","",VLOOKUP(#REF!,#REF!,18,0))</f>
        <v>#REF!</v>
      </c>
      <c r="AD73" s="8" t="str">
        <f>IF(B73="","",CONCATENATE(B73,E73))</f>
        <v>GermesKırmızı Tortillas-Germes-25cm 375g</v>
      </c>
    </row>
    <row r="74" spans="1:30" ht="36" customHeight="1" x14ac:dyDescent="0.25">
      <c r="A74" s="8" t="s">
        <v>93</v>
      </c>
      <c r="B74" s="149" t="s">
        <v>500</v>
      </c>
      <c r="C74" s="149">
        <f>IF(B74="","",VLOOKUP(AD74,Varsayımlar!$B:$Q,3,0))</f>
        <v>8698829380698</v>
      </c>
      <c r="D74" s="149"/>
      <c r="E74" s="149" t="s">
        <v>193</v>
      </c>
      <c r="F74" s="149">
        <v>26062201</v>
      </c>
      <c r="G74" s="149"/>
      <c r="H74" s="149" t="str">
        <f>IF(B74="","",VLOOKUP(AD74,Varsayımlar!$B:$Q,5,0))</f>
        <v>Tortillas 25cm</v>
      </c>
      <c r="I74" s="149">
        <f>IF(B74="","",VLOOKUP(AD74,Varsayımlar!B:T,19,0))</f>
        <v>0</v>
      </c>
      <c r="J74" s="149" t="str">
        <f>IF(B74="","",VLOOKUP(AD74,Varsayımlar!$B:$Q,6,0))</f>
        <v>Sade</v>
      </c>
      <c r="K74" s="149">
        <v>50</v>
      </c>
      <c r="L74" s="149"/>
      <c r="M74" s="149">
        <f>IFERROR(IF(B74="","",K74/VLOOKUP(AD74,Varsayımlar!B:R,17,0)),"")</f>
        <v>1</v>
      </c>
      <c r="N74" s="149"/>
      <c r="O74" s="149">
        <v>1</v>
      </c>
      <c r="P74" s="149">
        <f>IF(B74="","",VLOOKUP(AD74,Varsayımlar!$B:$Q,7,0)*K74)</f>
        <v>600</v>
      </c>
      <c r="Q74" s="149">
        <f>IF(B74="","",VLOOKUP(AD74,Varsayımlar!$B:$Q,8,0))</f>
        <v>25</v>
      </c>
      <c r="R74" s="149" t="str">
        <f>IF(B74="","",VLOOKUP(AD74,Varsayımlar!$B:$Q,9,0))</f>
        <v>Irak Soft</v>
      </c>
      <c r="S74" s="149">
        <f>IF(B74="","",VLOOKUP(AD74,Varsayımlar!$B:$Q,10,0))</f>
        <v>10</v>
      </c>
      <c r="T74" s="149">
        <f>IF(B74="","",VLOOKUP(AD74,Varsayımlar!$B:$Q,11,0))</f>
        <v>12</v>
      </c>
      <c r="U74" s="149">
        <f>IF(B74="","",VLOOKUP(AD74,Varsayımlar!$B:$Q,12,0))</f>
        <v>650</v>
      </c>
      <c r="V74" s="149" t="str">
        <f>IF(B74="","",VLOOKUP(AD74,Varsayımlar!$B:$Q,13,0))</f>
        <v>Yurtdışı</v>
      </c>
      <c r="W74" s="149">
        <f>IF(B74="","",VLOOKUP(AD74,Varsayımlar!$B:$Q,14,0))</f>
        <v>12</v>
      </c>
      <c r="X74" s="151">
        <v>46231</v>
      </c>
      <c r="Y74" s="151">
        <v>46596</v>
      </c>
      <c r="Z74" s="149">
        <v>26072825</v>
      </c>
      <c r="AA74" s="149" t="str">
        <f>IF(B74="","",VLOOKUP(AD74,Varsayımlar!$B:$Q,15,0))</f>
        <v>25cm Kolisi</v>
      </c>
      <c r="AB74" s="149" t="str">
        <f>IF(B74="","",VLOOKUP(AD74,Varsayımlar!$B:$Q,16,0))</f>
        <v>24-26cm</v>
      </c>
      <c r="AC74" s="67"/>
      <c r="AD74" s="57" t="str">
        <f t="shared" ref="AD74" si="5">IF(B74="","",CONCATENATE(B74,E74))</f>
        <v>Fama GroupTortillas 25cm 10pcs 650g</v>
      </c>
    </row>
    <row r="75" spans="1:30" ht="36" customHeight="1" x14ac:dyDescent="0.25">
      <c r="A75" s="8" t="s">
        <v>135</v>
      </c>
      <c r="B75" s="67"/>
      <c r="C75" s="42" t="str">
        <f>IF(B75="","",VLOOKUP(AD75,#REF!,3,0))</f>
        <v/>
      </c>
      <c r="D75" s="42"/>
      <c r="E75" s="42"/>
      <c r="F75" s="67"/>
      <c r="G75" s="67"/>
      <c r="H75" s="67" t="str">
        <f>IF(B75="","",VLOOKUP(AD75,#REF!,5,0))</f>
        <v/>
      </c>
      <c r="I75" s="67" t="str">
        <f>IF(B75="","",VLOOKUP(AD75,#REF!,19,0))</f>
        <v/>
      </c>
      <c r="J75" s="67" t="str">
        <f>IF(B75="","",VLOOKUP(AD75,#REF!,6,0))</f>
        <v/>
      </c>
      <c r="K75" s="67"/>
      <c r="L75" s="67"/>
      <c r="M75" s="42" t="str">
        <f>IFERROR(IF(B75="","",K75/VLOOKUP(AD75,Varsayımlar!B:R,17,0)),"")</f>
        <v/>
      </c>
      <c r="N75" s="67"/>
      <c r="O75" s="67"/>
      <c r="P75" s="67" t="str">
        <f>IF(B75="","",VLOOKUP(AD75,#REF!,7,0)*K75)</f>
        <v/>
      </c>
      <c r="Q75" s="67" t="str">
        <f>IF(B75="","",VLOOKUP(AD75,#REF!,8,0))</f>
        <v/>
      </c>
      <c r="R75" s="67" t="str">
        <f>IF(B75="","",VLOOKUP(AD75,#REF!,9,0))</f>
        <v/>
      </c>
      <c r="S75" s="67" t="str">
        <f>IF(B75="","",VLOOKUP(AD75,#REF!,10,0))</f>
        <v/>
      </c>
      <c r="T75" s="67" t="str">
        <f>IF(B75="","",VLOOKUP(AD75,#REF!,11,0))</f>
        <v/>
      </c>
      <c r="U75" s="67" t="str">
        <f>IF(B75="","",VLOOKUP(AD75,#REF!,12,0))</f>
        <v/>
      </c>
      <c r="V75" s="67" t="str">
        <f>IF(B75="","",VLOOKUP(AD75,#REF!,13,0))</f>
        <v/>
      </c>
      <c r="W75" s="67" t="str">
        <f>IF(B75="","",VLOOKUP(AD75,#REF!,14,0))</f>
        <v/>
      </c>
      <c r="X75" s="69"/>
      <c r="Y75" s="69"/>
      <c r="Z75" s="67"/>
      <c r="AA75" s="67" t="str">
        <f>IF(B75="","",VLOOKUP(AD75,#REF!,15,0))</f>
        <v/>
      </c>
      <c r="AB75" s="67" t="str">
        <f>IF(B75="","",VLOOKUP(AD75,#REF!,16,0))</f>
        <v/>
      </c>
      <c r="AC75" s="145"/>
      <c r="AD75" s="57"/>
    </row>
    <row r="76" spans="1:30" ht="36" customHeight="1" x14ac:dyDescent="0.25">
      <c r="A76" s="8" t="s">
        <v>136</v>
      </c>
      <c r="B76" s="67"/>
      <c r="C76" s="42" t="str">
        <f>IF(B76="","",VLOOKUP(AD76,#REF!,3,0))</f>
        <v/>
      </c>
      <c r="D76" s="42"/>
      <c r="E76" s="42"/>
      <c r="F76" s="67"/>
      <c r="G76" s="67"/>
      <c r="H76" s="67" t="str">
        <f>IF(B76="","",VLOOKUP(AD76,#REF!,5,0))</f>
        <v/>
      </c>
      <c r="I76" s="67" t="str">
        <f>IF(B76="","",VLOOKUP(AD76,#REF!,19,0))</f>
        <v/>
      </c>
      <c r="J76" s="67" t="str">
        <f>IF(B76="","",VLOOKUP(AD76,#REF!,6,0))</f>
        <v/>
      </c>
      <c r="K76" s="67"/>
      <c r="L76" s="67"/>
      <c r="M76" s="42" t="str">
        <f>IFERROR(IF(B76="","",K76/VLOOKUP(AD76,Varsayımlar!B:R,17,0)),"")</f>
        <v/>
      </c>
      <c r="N76" s="67"/>
      <c r="O76" s="67"/>
      <c r="P76" s="67" t="str">
        <f>IF(B76="","",VLOOKUP(AD76,#REF!,7,0)*K76)</f>
        <v/>
      </c>
      <c r="Q76" s="67" t="str">
        <f>IF(B76="","",VLOOKUP(AD76,#REF!,8,0))</f>
        <v/>
      </c>
      <c r="R76" s="67" t="str">
        <f>IF(B76="","",VLOOKUP(AD76,#REF!,9,0))</f>
        <v/>
      </c>
      <c r="S76" s="67" t="str">
        <f>IF(B76="","",VLOOKUP(AD76,#REF!,10,0))</f>
        <v/>
      </c>
      <c r="T76" s="67" t="str">
        <f>IF(B76="","",VLOOKUP(AD76,#REF!,11,0))</f>
        <v/>
      </c>
      <c r="U76" s="67" t="str">
        <f>IF(B76="","",VLOOKUP(AD76,#REF!,12,0))</f>
        <v/>
      </c>
      <c r="V76" s="67" t="str">
        <f>IF(B76="","",VLOOKUP(AD76,#REF!,13,0))</f>
        <v/>
      </c>
      <c r="W76" s="67" t="str">
        <f>IF(B76="","",VLOOKUP(AD76,#REF!,14,0))</f>
        <v/>
      </c>
      <c r="X76" s="69"/>
      <c r="Y76" s="69"/>
      <c r="Z76" s="67"/>
      <c r="AA76" s="67" t="str">
        <f>IF(B76="","",VLOOKUP(AD76,#REF!,15,0))</f>
        <v/>
      </c>
      <c r="AB76" s="67" t="str">
        <f>IF(B76="","",VLOOKUP(AD76,#REF!,16,0))</f>
        <v/>
      </c>
      <c r="AC76" s="145"/>
      <c r="AD76" s="57"/>
    </row>
    <row r="77" spans="1:30" ht="36" customHeight="1" x14ac:dyDescent="0.25">
      <c r="A77" s="8" t="s">
        <v>137</v>
      </c>
      <c r="B77" s="67"/>
      <c r="C77" s="42" t="str">
        <f>IF(B77="","",VLOOKUP(AD77,#REF!,3,0))</f>
        <v/>
      </c>
      <c r="D77" s="42"/>
      <c r="E77" s="42"/>
      <c r="F77" s="67"/>
      <c r="G77" s="67"/>
      <c r="H77" s="67" t="str">
        <f>IF(B77="","",VLOOKUP(AD77,#REF!,5,0))</f>
        <v/>
      </c>
      <c r="I77" s="67" t="str">
        <f>IF(B77="","",VLOOKUP(AD77,#REF!,19,0))</f>
        <v/>
      </c>
      <c r="J77" s="67" t="str">
        <f>IF(B77="","",VLOOKUP(AD77,#REF!,6,0))</f>
        <v/>
      </c>
      <c r="K77" s="67"/>
      <c r="L77" s="67"/>
      <c r="M77" s="42" t="str">
        <f>IFERROR(IF(B77="","",K77/VLOOKUP(AD77,Varsayımlar!B:R,17,0)),"")</f>
        <v/>
      </c>
      <c r="N77" s="67"/>
      <c r="O77" s="67"/>
      <c r="P77" s="67" t="str">
        <f>IF(B77="","",VLOOKUP(AD77,#REF!,7,0)*K77)</f>
        <v/>
      </c>
      <c r="Q77" s="67" t="str">
        <f>IF(B77="","",VLOOKUP(AD77,#REF!,8,0))</f>
        <v/>
      </c>
      <c r="R77" s="67" t="str">
        <f>IF(B77="","",VLOOKUP(AD77,#REF!,9,0))</f>
        <v/>
      </c>
      <c r="S77" s="67" t="str">
        <f>IF(B77="","",VLOOKUP(AD77,#REF!,10,0))</f>
        <v/>
      </c>
      <c r="T77" s="67" t="str">
        <f>IF(B77="","",VLOOKUP(AD77,#REF!,11,0))</f>
        <v/>
      </c>
      <c r="U77" s="67" t="str">
        <f>IF(B77="","",VLOOKUP(AD77,#REF!,12,0))</f>
        <v/>
      </c>
      <c r="V77" s="67" t="str">
        <f>IF(B77="","",VLOOKUP(AD77,#REF!,13,0))</f>
        <v/>
      </c>
      <c r="W77" s="67" t="str">
        <f>IF(B77="","",VLOOKUP(AD77,#REF!,14,0))</f>
        <v/>
      </c>
      <c r="X77" s="69"/>
      <c r="Y77" s="69"/>
      <c r="Z77" s="67"/>
      <c r="AA77" s="67" t="str">
        <f>IF(B77="","",VLOOKUP(AD77,#REF!,15,0))</f>
        <v/>
      </c>
      <c r="AB77" s="67" t="str">
        <f>IF(B77="","",VLOOKUP(AD77,#REF!,16,0))</f>
        <v/>
      </c>
      <c r="AC77" s="145"/>
      <c r="AD77" s="57"/>
    </row>
    <row r="78" spans="1:30" x14ac:dyDescent="0.25">
      <c r="C78" s="141" t="str">
        <f>IF(B78="","",VLOOKUP(AD78,Varsayımlar!$B:$Q,3,0))</f>
        <v/>
      </c>
      <c r="H78" s="140" t="str">
        <f>IF(B78="","",VLOOKUP(AD78,Varsayımlar!$B:$Q,5,0))</f>
        <v/>
      </c>
      <c r="J78" s="140" t="str">
        <f>IF(B78="","",VLOOKUP(AD78,Varsayımlar!$B:$Q,6,0))</f>
        <v/>
      </c>
      <c r="P78" s="140" t="str">
        <f>IF(B78="","",VLOOKUP(AD78,Varsayımlar!$B:$Q,7,0)*K78)</f>
        <v/>
      </c>
      <c r="Q78" s="140" t="str">
        <f>IF(B78="","",VLOOKUP(AD78,Varsayımlar!$B:$Q,8,0))</f>
        <v/>
      </c>
      <c r="R78" s="140" t="str">
        <f>IF(B78="","",VLOOKUP(AD78,Varsayımlar!$B:$Q,9,0))</f>
        <v/>
      </c>
      <c r="S78" s="140" t="str">
        <f>IF(B78="","",VLOOKUP(AD78,Varsayımlar!$B:$Q,10,0))</f>
        <v/>
      </c>
      <c r="T78" s="140" t="str">
        <f>IF(B78="","",VLOOKUP(AD78,Varsayımlar!$B:$Q,11,0))</f>
        <v/>
      </c>
      <c r="U78" s="140" t="str">
        <f>IF(B78="","",VLOOKUP(AD78,Varsayımlar!$B:$Q,12,0))</f>
        <v/>
      </c>
      <c r="V78" s="140" t="str">
        <f>IF(B78="","",VLOOKUP(AD78,Varsayımlar!$B:$Q,13,0))</f>
        <v/>
      </c>
      <c r="W78" s="140" t="str">
        <f>IF(B78="","",VLOOKUP(AD78,Varsayımlar!$B:$Q,14,0))</f>
        <v/>
      </c>
      <c r="AA78" s="140" t="str">
        <f>IF(B78="","",VLOOKUP(AD78,Varsayımlar!$B:$Q,15,0))</f>
        <v/>
      </c>
      <c r="AB78" s="140" t="str">
        <f>IF(B78="","",VLOOKUP(AD78,Varsayımlar!$B:$Q,16,0))</f>
        <v/>
      </c>
      <c r="AD78" s="140" t="str">
        <f t="shared" si="4"/>
        <v/>
      </c>
    </row>
    <row r="79" spans="1:30" ht="31.5" customHeight="1" x14ac:dyDescent="0.25">
      <c r="A79" s="182" t="s">
        <v>345</v>
      </c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4"/>
      <c r="AC79" s="38"/>
    </row>
    <row r="80" spans="1:30" ht="63" x14ac:dyDescent="0.25">
      <c r="A80" s="8" t="s">
        <v>0</v>
      </c>
      <c r="B80" s="8" t="s">
        <v>1</v>
      </c>
      <c r="C80" s="9" t="s">
        <v>31</v>
      </c>
      <c r="D80" s="9" t="s">
        <v>124</v>
      </c>
      <c r="E80" s="9" t="s">
        <v>36</v>
      </c>
      <c r="F80" s="8" t="s">
        <v>37</v>
      </c>
      <c r="G80" s="8" t="s">
        <v>13</v>
      </c>
      <c r="H80" s="8" t="s">
        <v>2</v>
      </c>
      <c r="I80" s="8" t="s">
        <v>49</v>
      </c>
      <c r="J80" s="8" t="s">
        <v>3</v>
      </c>
      <c r="K80" s="8" t="s">
        <v>21</v>
      </c>
      <c r="L80" s="8" t="s">
        <v>94</v>
      </c>
      <c r="M80" s="8" t="s">
        <v>20</v>
      </c>
      <c r="N80" s="8" t="s">
        <v>165</v>
      </c>
      <c r="O80" s="8" t="s">
        <v>123</v>
      </c>
      <c r="P80" s="8" t="s">
        <v>16</v>
      </c>
      <c r="Q80" s="8" t="s">
        <v>4</v>
      </c>
      <c r="R80" s="8" t="s">
        <v>5</v>
      </c>
      <c r="S80" s="8" t="s">
        <v>6</v>
      </c>
      <c r="T80" s="8" t="s">
        <v>28</v>
      </c>
      <c r="U80" s="8" t="s">
        <v>7</v>
      </c>
      <c r="V80" s="8" t="s">
        <v>8</v>
      </c>
      <c r="W80" s="8" t="s">
        <v>9</v>
      </c>
      <c r="X80" s="8" t="s">
        <v>10</v>
      </c>
      <c r="Y80" s="8" t="s">
        <v>11</v>
      </c>
      <c r="Z80" s="8" t="s">
        <v>12</v>
      </c>
      <c r="AA80" s="8" t="s">
        <v>14</v>
      </c>
      <c r="AB80" s="8" t="s">
        <v>15</v>
      </c>
      <c r="AC80" s="8" t="s">
        <v>208</v>
      </c>
      <c r="AD80" s="140" t="s">
        <v>41</v>
      </c>
    </row>
    <row r="81" spans="1:30" ht="39" customHeight="1" x14ac:dyDescent="0.25">
      <c r="A81" s="8" t="s">
        <v>26</v>
      </c>
      <c r="B81" s="67" t="s">
        <v>431</v>
      </c>
      <c r="C81" s="42">
        <f>IF(B81="","",VLOOKUP(AD81,Varsayımlar!$B:$Q,3,0))</f>
        <v>8698829380698</v>
      </c>
      <c r="D81" s="42"/>
      <c r="E81" s="42" t="s">
        <v>435</v>
      </c>
      <c r="F81" s="42">
        <v>20260612</v>
      </c>
      <c r="G81" s="42"/>
      <c r="H81" s="42" t="str">
        <f>IF(B81="","",VLOOKUP(AD81,Varsayımlar!$B:$Q,5,0))</f>
        <v xml:space="preserve">Happylla 500g </v>
      </c>
      <c r="I81" s="42"/>
      <c r="J81" s="42" t="str">
        <f>IF(B81="","",VLOOKUP(AD81,Varsayımlar!$B:$Q,6,0))</f>
        <v>SADE</v>
      </c>
      <c r="K81" s="42">
        <v>1768</v>
      </c>
      <c r="L81" s="42"/>
      <c r="M81" s="42">
        <f>IFERROR(IF(B81="","",K81/VLOOKUP(AD81,Varsayımlar!B:R,17,0)),"")</f>
        <v>17</v>
      </c>
      <c r="N81" s="42">
        <v>104</v>
      </c>
      <c r="O81" s="42">
        <v>10</v>
      </c>
      <c r="P81" s="42">
        <f>IF(B81="","",VLOOKUP(AD81,Varsayımlar!$B:$Q,7,0)*K81)</f>
        <v>21216</v>
      </c>
      <c r="Q81" s="42">
        <f>IF(B81="","",VLOOKUP(AD81,Varsayımlar!$B:$Q,8,0))</f>
        <v>25</v>
      </c>
      <c r="R81" s="42" t="str">
        <f>IF(B81="","",VLOOKUP(AD81,Varsayımlar!$B:$Q,9,0))</f>
        <v>Irak Soft</v>
      </c>
      <c r="S81" s="42">
        <f>IF(B81="","",VLOOKUP(AD81,Varsayımlar!$B:$Q,10,0))</f>
        <v>10</v>
      </c>
      <c r="T81" s="42">
        <f>IF(B81="","",VLOOKUP(AD81,Varsayımlar!$B:$Q,11,0))</f>
        <v>12</v>
      </c>
      <c r="U81" s="42">
        <f>IF(B81="","",VLOOKUP(AD81,Varsayımlar!$B:$Q,12,0))</f>
        <v>500</v>
      </c>
      <c r="V81" s="42" t="str">
        <f>IF(B81="","",VLOOKUP(AD81,Varsayımlar!$B:$Q,13,0))</f>
        <v>Yurtdışı</v>
      </c>
      <c r="W81" s="67">
        <f>IF(B81="","",VLOOKUP(AD81,Varsayımlar!$B:$Q,14,0))</f>
        <v>6</v>
      </c>
      <c r="X81" s="69">
        <v>46196</v>
      </c>
      <c r="Y81" s="69">
        <v>46379</v>
      </c>
      <c r="Z81" s="67">
        <v>26062325</v>
      </c>
      <c r="AA81" s="67" t="str">
        <f>IF(B81="","",VLOOKUP(AD81,Varsayımlar!$B:$Q,15,0))</f>
        <v>Kırmızı Koli 25cm</v>
      </c>
      <c r="AB81" s="67" t="str">
        <f>IF(B81="","",VLOOKUP(AD81,Varsayımlar!$B:$Q,16,0))</f>
        <v>23-26cm</v>
      </c>
      <c r="AC81" s="67"/>
      <c r="AD81" s="57" t="str">
        <f t="shared" ref="AD81:AD93" si="6">IF(B81="","",CONCATENATE(B81,E81))</f>
        <v>Bağ TicaretHappylla 25cm Sade 10pcs 500g</v>
      </c>
    </row>
    <row r="82" spans="1:30" ht="39" customHeight="1" x14ac:dyDescent="0.25">
      <c r="A82" s="8" t="s">
        <v>77</v>
      </c>
      <c r="B82" s="67" t="s">
        <v>431</v>
      </c>
      <c r="C82" s="42">
        <f>IF(B82="","",VLOOKUP(AD82,Varsayımlar!$B:$Q,3,0))</f>
        <v>8698829380698</v>
      </c>
      <c r="D82" s="42"/>
      <c r="E82" s="42" t="s">
        <v>432</v>
      </c>
      <c r="F82" s="42">
        <v>20260612</v>
      </c>
      <c r="G82" s="42"/>
      <c r="H82" s="42" t="str">
        <f>IF(B82="","",VLOOKUP(AD82,Varsayımlar!$B:$Q,5,0))</f>
        <v xml:space="preserve">Happylla 30cm </v>
      </c>
      <c r="I82" s="42"/>
      <c r="J82" s="42" t="str">
        <f>IF(B82="","",VLOOKUP(AD82,Varsayımlar!$B:$Q,6,0))</f>
        <v>SADE</v>
      </c>
      <c r="K82" s="42">
        <v>120</v>
      </c>
      <c r="L82" s="42"/>
      <c r="M82" s="42">
        <f>IFERROR(IF(B82="","",K82/VLOOKUP(AD82,Varsayımlar!B:R,17,0)),"")</f>
        <v>2</v>
      </c>
      <c r="N82" s="42">
        <v>60</v>
      </c>
      <c r="O82" s="42">
        <v>4</v>
      </c>
      <c r="P82" s="42">
        <f>IF(B82="","",VLOOKUP(AD82,Varsayımlar!$B:$Q,7,0)*K82)</f>
        <v>1440</v>
      </c>
      <c r="Q82" s="42">
        <f>IF(B82="","",VLOOKUP(AD82,Varsayımlar!$B:$Q,8,0))</f>
        <v>30</v>
      </c>
      <c r="R82" s="42" t="str">
        <f>IF(B82="","",VLOOKUP(AD82,Varsayımlar!$B:$Q,9,0))</f>
        <v>Standart</v>
      </c>
      <c r="S82" s="42">
        <f>IF(B82="","",VLOOKUP(AD82,Varsayımlar!$B:$Q,10,0))</f>
        <v>10</v>
      </c>
      <c r="T82" s="42">
        <f>IF(B82="","",VLOOKUP(AD82,Varsayımlar!$B:$Q,11,0))</f>
        <v>12</v>
      </c>
      <c r="U82" s="42">
        <f>IF(B82="","",VLOOKUP(AD82,Varsayımlar!$B:$Q,12,0))</f>
        <v>900</v>
      </c>
      <c r="V82" s="42" t="str">
        <f>IF(B82="","",VLOOKUP(AD82,Varsayımlar!$B:$Q,13,0))</f>
        <v>Yurtdışı</v>
      </c>
      <c r="W82" s="67">
        <f>IF(B82="","",VLOOKUP(AD82,Varsayımlar!$B:$Q,14,0))</f>
        <v>6</v>
      </c>
      <c r="X82" s="69">
        <v>46196</v>
      </c>
      <c r="Y82" s="69">
        <v>46379</v>
      </c>
      <c r="Z82" s="67">
        <v>26062330</v>
      </c>
      <c r="AA82" s="67" t="str">
        <f>IF(B82="","",VLOOKUP(AD82,Varsayımlar!$B:$Q,15,0))</f>
        <v>30cm kolisi</v>
      </c>
      <c r="AB82" s="67" t="str">
        <f>IF(B82="","",VLOOKUP(AD82,Varsayımlar!$B:$Q,16,0))</f>
        <v>29-31 cm</v>
      </c>
      <c r="AC82" s="67"/>
      <c r="AD82" s="57" t="str">
        <f t="shared" si="6"/>
        <v>Bağ TicaretHappylla 30cm Sade 10pcs 900g</v>
      </c>
    </row>
    <row r="83" spans="1:30" ht="47.25" x14ac:dyDescent="0.25">
      <c r="A83" s="8" t="s">
        <v>78</v>
      </c>
      <c r="B83" s="62" t="s">
        <v>409</v>
      </c>
      <c r="C83" s="32">
        <f>IF(B83="","",VLOOKUP(AD83,Varsayımlar!$B:$Q,3,0))</f>
        <v>8698829380698</v>
      </c>
      <c r="D83" s="32"/>
      <c r="E83" s="32" t="s">
        <v>410</v>
      </c>
      <c r="F83" s="62"/>
      <c r="G83" s="32"/>
      <c r="H83" s="62" t="str">
        <f>IF(B83="","",VLOOKUP(AD83,Varsayımlar!$B:$Q,5,0))</f>
        <v>Baskısız 30cm</v>
      </c>
      <c r="I83" s="62" t="str">
        <f>IF(B83="","",VLOOKUP(AD83,Varsayımlar!B:T,19,0))</f>
        <v>Donipa 30cm 18pcs 1710g etiketli</v>
      </c>
      <c r="J83" s="62" t="str">
        <f>IF(B83="","",VLOOKUP(AD83,Varsayımlar!$B:$Q,6,0))</f>
        <v>SADE</v>
      </c>
      <c r="K83" s="62">
        <v>100</v>
      </c>
      <c r="L83" s="62"/>
      <c r="M83" s="62" t="str">
        <f>IFERROR(IF(B83="","",K83/VLOOKUP(AD83,Varsayımlar!B:R,17,0)),"")</f>
        <v/>
      </c>
      <c r="N83" s="62"/>
      <c r="O83" s="62">
        <v>3</v>
      </c>
      <c r="P83" s="62">
        <f>IF(B83="","",VLOOKUP(AD83,Varsayımlar!$B:$Q,7,0)*K83)</f>
        <v>600</v>
      </c>
      <c r="Q83" s="62">
        <f>IF(B83="","",VLOOKUP(AD83,Varsayımlar!$B:$Q,8,0))</f>
        <v>30</v>
      </c>
      <c r="R83" s="62" t="str">
        <f>IF(B83="","",VLOOKUP(AD83,Varsayımlar!$B:$Q,9,0))</f>
        <v>Irak soft</v>
      </c>
      <c r="S83" s="62">
        <f>IF(B83="","",VLOOKUP(AD83,Varsayımlar!$B:$Q,10,0))</f>
        <v>18</v>
      </c>
      <c r="T83" s="62">
        <f>IF(B83="","",VLOOKUP(AD83,Varsayımlar!$B:$Q,11,0))</f>
        <v>6</v>
      </c>
      <c r="U83" s="62">
        <f>IF(B83="","",VLOOKUP(AD83,Varsayımlar!$B:$Q,12,0))</f>
        <v>1710</v>
      </c>
      <c r="V83" s="62" t="str">
        <f>IF(B83="","",VLOOKUP(AD83,Varsayımlar!$B:$Q,13,0))</f>
        <v>Yurtiçi</v>
      </c>
      <c r="W83" s="62">
        <f>IF(B83="","",VLOOKUP(AD83,Varsayımlar!$B:$Q,14,0))</f>
        <v>6</v>
      </c>
      <c r="X83" s="63" t="s">
        <v>113</v>
      </c>
      <c r="Y83" s="63" t="s">
        <v>113</v>
      </c>
      <c r="Z83" s="63" t="s">
        <v>113</v>
      </c>
      <c r="AA83" s="62" t="str">
        <f>IF(B83="","",VLOOKUP(AD83,Varsayımlar!$B:$Q,15,0))</f>
        <v>30cm koli-Etiketli</v>
      </c>
      <c r="AB83" s="62" t="str">
        <f>IF(B83="","",VLOOKUP(AD83,Varsayımlar!$B:$Q,16,0))</f>
        <v>29-31 cm</v>
      </c>
      <c r="AC83" s="62">
        <f>IF(B83="","",VLOOKUP(Sayfa1!AD13,Varsayımlar!B:S,18,0))</f>
        <v>0</v>
      </c>
      <c r="AD83" s="57" t="str">
        <f>IF(B83="","",CONCATENATE(B83,E83))</f>
        <v>DonipaDonipa 30cm 18pcs 1710g</v>
      </c>
    </row>
    <row r="84" spans="1:30" ht="45.75" customHeight="1" x14ac:dyDescent="0.25">
      <c r="A84" s="8" t="s">
        <v>79</v>
      </c>
      <c r="B84" s="130" t="s">
        <v>119</v>
      </c>
      <c r="C84" s="131">
        <f>IF(B84="","",VLOOKUP(AD84,Varsayımlar!$B:$Q,3,0))</f>
        <v>8698829380698</v>
      </c>
      <c r="D84" s="131"/>
      <c r="E84" s="132" t="s">
        <v>120</v>
      </c>
      <c r="F84" s="130"/>
      <c r="G84" s="130"/>
      <c r="H84" s="130" t="str">
        <f>IF(B84="","",VLOOKUP(AD84,Varsayımlar!$B:$Q,5,0))</f>
        <v>Nimet 25 cm</v>
      </c>
      <c r="I84" s="130"/>
      <c r="J84" s="130" t="str">
        <f>IF(B84="","",VLOOKUP(AD84,Varsayımlar!$B:$Q,6,0))</f>
        <v>SADE</v>
      </c>
      <c r="K84" s="130">
        <v>1500</v>
      </c>
      <c r="L84" s="130"/>
      <c r="M84" s="130">
        <f>IFERROR(IF(B84="","",K84/VLOOKUP(AD84,Varsayımlar!B:R,17,0)),"")</f>
        <v>30</v>
      </c>
      <c r="N84" s="130"/>
      <c r="O84" s="130">
        <v>30</v>
      </c>
      <c r="P84" s="130">
        <f>IF(B84="","",VLOOKUP(AD84,Varsayımlar!$B:$Q,7,0)*K84)</f>
        <v>18000</v>
      </c>
      <c r="Q84" s="130">
        <f>IF(B84="","",VLOOKUP(AD84,Varsayımlar!$B:$Q,8,0))</f>
        <v>25</v>
      </c>
      <c r="R84" s="130" t="str">
        <f>IF(B84="","",VLOOKUP(AD84,Varsayımlar!$B:$Q,9,0))</f>
        <v>Standart</v>
      </c>
      <c r="S84" s="130">
        <f>IF(B84="","",VLOOKUP(AD84,Varsayımlar!$B:$Q,10,0))</f>
        <v>12</v>
      </c>
      <c r="T84" s="130">
        <f>IF(B84="","",VLOOKUP(AD84,Varsayımlar!$B:$Q,11,0))</f>
        <v>12</v>
      </c>
      <c r="U84" s="130">
        <f>IF(B84="","",VLOOKUP(AD84,Varsayımlar!$B:$Q,12,0))</f>
        <v>840</v>
      </c>
      <c r="V84" s="130" t="str">
        <f>IF(B84="","",VLOOKUP(AD84,Varsayımlar!$B:$Q,13,0))</f>
        <v>YURTİÇİ</v>
      </c>
      <c r="W84" s="130">
        <f>IF(B84="","",VLOOKUP(AD84,Varsayımlar!$B:$Q,14,0))</f>
        <v>5</v>
      </c>
      <c r="X84" s="133" t="s">
        <v>113</v>
      </c>
      <c r="Y84" s="133" t="s">
        <v>113</v>
      </c>
      <c r="Z84" s="130" t="s">
        <v>113</v>
      </c>
      <c r="AA84" s="130" t="str">
        <f>IF(B84="","",VLOOKUP(AD84,Varsayımlar!$B:$Q,15,0))</f>
        <v>Nimet Kolisi</v>
      </c>
      <c r="AB84" s="130" t="str">
        <f>IF(B84="","",VLOOKUP(AD84,Varsayımlar!$B:$Q,16,0))</f>
        <v>24-26 CM</v>
      </c>
      <c r="AC84" s="64" t="s">
        <v>360</v>
      </c>
      <c r="AD84" s="57" t="str">
        <f t="shared" si="6"/>
        <v>A101Nimet 25cm 12 pcs 840g</v>
      </c>
    </row>
    <row r="85" spans="1:30" ht="45.75" customHeight="1" x14ac:dyDescent="0.25">
      <c r="A85" s="8"/>
      <c r="B85" s="190" t="s">
        <v>494</v>
      </c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2"/>
      <c r="AC85" s="64"/>
      <c r="AD85" s="57"/>
    </row>
    <row r="86" spans="1:30" ht="47.25" x14ac:dyDescent="0.25">
      <c r="A86" s="8" t="s">
        <v>80</v>
      </c>
      <c r="B86" s="67" t="s">
        <v>268</v>
      </c>
      <c r="C86" s="42">
        <f>IF(B86="","",VLOOKUP(AD86,Varsayımlar!$B:$Q,3,0))</f>
        <v>8698829380698</v>
      </c>
      <c r="D86" s="42" t="s">
        <v>159</v>
      </c>
      <c r="E86" s="42" t="s">
        <v>244</v>
      </c>
      <c r="F86" s="67">
        <v>20250825</v>
      </c>
      <c r="G86" s="42" t="s">
        <v>68</v>
      </c>
      <c r="H86" s="67" t="str">
        <f>IF(B86="","",VLOOKUP(AD86,Varsayımlar!$B:$Q,5,0))</f>
        <v xml:space="preserve">Tortillas Pizza 26cm </v>
      </c>
      <c r="I86" s="67">
        <f>IF(B86="","",VLOOKUP(AD86,Varsayımlar!B:T,19,0))</f>
        <v>0</v>
      </c>
      <c r="J86" s="67" t="str">
        <f>IF(B86="","",VLOOKUP(AD86,Varsayımlar!$B:$Q,6,0))</f>
        <v>SADE</v>
      </c>
      <c r="K86" s="67">
        <v>960</v>
      </c>
      <c r="L86" s="67"/>
      <c r="M86" s="67">
        <f>IFERROR(IF(B86="","",K86/VLOOKUP(AD86,Varsayımlar!B:R,17,0)),"")</f>
        <v>5</v>
      </c>
      <c r="N86" s="67"/>
      <c r="O86" s="67">
        <v>11</v>
      </c>
      <c r="P86" s="67">
        <f>IF(B86="","",VLOOKUP(AD86,Varsayımlar!$B:$Q,7,0)*K86)</f>
        <v>11520</v>
      </c>
      <c r="Q86" s="67">
        <f>IF(B86="","",VLOOKUP(AD86,Varsayımlar!$B:$Q,8,0))</f>
        <v>26</v>
      </c>
      <c r="R86" s="67" t="str">
        <f>IF(B86="","",VLOOKUP(AD86,Varsayımlar!$B:$Q,9,0))</f>
        <v>Soft-PA3</v>
      </c>
      <c r="S86" s="67">
        <f>IF(B86="","",VLOOKUP(AD86,Varsayımlar!$B:$Q,10,0))</f>
        <v>2</v>
      </c>
      <c r="T86" s="67">
        <f>IF(B86="","",VLOOKUP(AD86,Varsayımlar!$B:$Q,11,0))</f>
        <v>12</v>
      </c>
      <c r="U86" s="67">
        <f>IF(B86="","",VLOOKUP(AD86,Varsayımlar!$B:$Q,12,0))</f>
        <v>240</v>
      </c>
      <c r="V86" s="67" t="str">
        <f>IF(B86="","",VLOOKUP(AD86,Varsayımlar!$B:$Q,13,0))</f>
        <v>Yurtdışı</v>
      </c>
      <c r="W86" s="67">
        <f>IF(B86="","",VLOOKUP(AD86,Varsayımlar!$B:$Q,14,0))</f>
        <v>9</v>
      </c>
      <c r="X86" s="69">
        <v>46199</v>
      </c>
      <c r="Y86" s="69">
        <v>46472</v>
      </c>
      <c r="Z86" s="67">
        <v>26062626</v>
      </c>
      <c r="AA86" s="67" t="str">
        <f>IF(B86="","",VLOOKUP(AD86,Varsayımlar!$B:$Q,15,0))</f>
        <v>26 cm pizza kolisi-Etiketli</v>
      </c>
      <c r="AB86" s="67" t="str">
        <f>IF(B86="","",VLOOKUP(AD86,Varsayımlar!$B:$Q,16,0))</f>
        <v>24-26 cm (Macca Hetto Inkjet Uzun Tarih)</v>
      </c>
      <c r="AC86" s="67" t="e">
        <f>IF(B86="","",VLOOKUP(Sayfa1!AD83,Varsayımlar!B:S,18,0))</f>
        <v>#N/A</v>
      </c>
      <c r="AD86" s="57" t="str">
        <f t="shared" si="6"/>
        <v>LAIKYUZHN-BELARUSTortillas Pizza 26cm 4pcs 480g</v>
      </c>
    </row>
    <row r="87" spans="1:30" ht="94.5" x14ac:dyDescent="0.25">
      <c r="A87" s="8" t="s">
        <v>81</v>
      </c>
      <c r="B87" s="62" t="s">
        <v>181</v>
      </c>
      <c r="C87" s="32">
        <f>IF(B87="","",VLOOKUP(AD87,Varsayımlar!$B:$Q,3,0))</f>
        <v>8698829380698</v>
      </c>
      <c r="D87" s="32"/>
      <c r="E87" s="62" t="s">
        <v>206</v>
      </c>
      <c r="F87" s="62">
        <v>26060101</v>
      </c>
      <c r="G87" s="32"/>
      <c r="H87" s="62" t="str">
        <f>IF(B87="","",VLOOKUP(AD87,Varsayımlar!$B:$Q,5,0))</f>
        <v>Pizza-6 26 cm</v>
      </c>
      <c r="I87" s="62" t="str">
        <f>IF(B87="","",VLOOKUP(AD87,Varsayımlar!B:T,19,0))</f>
        <v>Arka kısma Arnavutça içerik-Pizza 6</v>
      </c>
      <c r="J87" s="62" t="str">
        <f>IF(B87="","",VLOOKUP(AD87,Varsayımlar!$B:$Q,6,0))</f>
        <v>SADE</v>
      </c>
      <c r="K87" s="62">
        <v>120</v>
      </c>
      <c r="L87" s="62"/>
      <c r="M87" s="62">
        <f>IFERROR(IF(B87="","",K87/VLOOKUP(AD87,Varsayımlar!B:R,17,0)),"")</f>
        <v>1</v>
      </c>
      <c r="N87" s="62"/>
      <c r="O87" s="62">
        <v>2</v>
      </c>
      <c r="P87" s="62">
        <f>IF(B87="","",VLOOKUP(AD87,Varsayımlar!$B:$Q,7,0)*K87)</f>
        <v>720</v>
      </c>
      <c r="Q87" s="62">
        <f>IF(B87="","",VLOOKUP(AD87,Varsayımlar!$B:$Q,8,0))</f>
        <v>26</v>
      </c>
      <c r="R87" s="62" t="str">
        <f>IF(B87="","",VLOOKUP(AD87,Varsayımlar!$B:$Q,9,0))</f>
        <v>Irak Soft</v>
      </c>
      <c r="S87" s="62">
        <f>IF(B87="","",VLOOKUP(AD87,Varsayımlar!$B:$Q,10,0))</f>
        <v>4</v>
      </c>
      <c r="T87" s="62">
        <f>IF(B87="","",VLOOKUP(AD87,Varsayımlar!$B:$Q,11,0))</f>
        <v>6</v>
      </c>
      <c r="U87" s="62">
        <f>IF(B87="","",VLOOKUP(AD87,Varsayımlar!$B:$Q,12,0))</f>
        <v>480</v>
      </c>
      <c r="V87" s="62" t="str">
        <f>IF(B87="","",VLOOKUP(AD87,Varsayımlar!$B:$Q,13,0))</f>
        <v>YURTDIŞI</v>
      </c>
      <c r="W87" s="62">
        <f>IF(B87="","",VLOOKUP(AD87,Varsayımlar!$B:$Q,14,0))</f>
        <v>12</v>
      </c>
      <c r="X87" s="63">
        <v>46200</v>
      </c>
      <c r="Y87" s="63">
        <v>46565</v>
      </c>
      <c r="Z87" s="62">
        <v>26062726</v>
      </c>
      <c r="AA87" s="62" t="str">
        <f>IF(B87="","",VLOOKUP(AD87,Varsayımlar!$B:$Q,15,0))</f>
        <v>Pizza kolisi</v>
      </c>
      <c r="AB87" s="62" t="str">
        <f>IF(B87="","",VLOOKUP(AD87,Varsayımlar!$B:$Q,16,0))</f>
        <v>26 cm kesme -Beze 145-150g, Kesilmmeiş çap 27-28cm, Kesilmemiş ağı: 520-540g, Kesilmiş:475-485g</v>
      </c>
      <c r="AC87" s="62">
        <f>IF(B87="","",VLOOKUP(Sayfa1!AD84,Varsayımlar!B:S,18,0))</f>
        <v>0</v>
      </c>
      <c r="AD87" s="57" t="str">
        <f t="shared" si="6"/>
        <v>ALDİ - KOSOVAPizza-6 26cm 4pcs 480g</v>
      </c>
    </row>
    <row r="88" spans="1:30" ht="45.75" customHeight="1" x14ac:dyDescent="0.25">
      <c r="A88" s="8" t="s">
        <v>82</v>
      </c>
      <c r="B88" s="130" t="s">
        <v>119</v>
      </c>
      <c r="C88" s="131">
        <f>IF(B88="","",VLOOKUP(AD88,Varsayımlar!$B:$Q,3,0))</f>
        <v>8698829380698</v>
      </c>
      <c r="D88" s="131"/>
      <c r="E88" s="132" t="s">
        <v>120</v>
      </c>
      <c r="F88" s="130"/>
      <c r="G88" s="130"/>
      <c r="H88" s="130" t="str">
        <f>IF(B88="","",VLOOKUP(AD88,Varsayımlar!$B:$Q,5,0))</f>
        <v>Nimet 25 cm</v>
      </c>
      <c r="I88" s="130"/>
      <c r="J88" s="130" t="str">
        <f>IF(B88="","",VLOOKUP(AD88,Varsayımlar!$B:$Q,6,0))</f>
        <v>SADE</v>
      </c>
      <c r="K88" s="130">
        <v>1500</v>
      </c>
      <c r="L88" s="130"/>
      <c r="M88" s="130">
        <f>IFERROR(IF(B88="","",K88/VLOOKUP(AD88,Varsayımlar!B:R,17,0)),"")</f>
        <v>30</v>
      </c>
      <c r="N88" s="130"/>
      <c r="O88" s="130">
        <v>30</v>
      </c>
      <c r="P88" s="130">
        <f>IF(B88="","",VLOOKUP(AD88,Varsayımlar!$B:$Q,7,0)*K88)</f>
        <v>18000</v>
      </c>
      <c r="Q88" s="130">
        <f>IF(B88="","",VLOOKUP(AD88,Varsayımlar!$B:$Q,8,0))</f>
        <v>25</v>
      </c>
      <c r="R88" s="130" t="str">
        <f>IF(B88="","",VLOOKUP(AD88,Varsayımlar!$B:$Q,9,0))</f>
        <v>Standart</v>
      </c>
      <c r="S88" s="130">
        <f>IF(B88="","",VLOOKUP(AD88,Varsayımlar!$B:$Q,10,0))</f>
        <v>12</v>
      </c>
      <c r="T88" s="130">
        <f>IF(B88="","",VLOOKUP(AD88,Varsayımlar!$B:$Q,11,0))</f>
        <v>12</v>
      </c>
      <c r="U88" s="130">
        <f>IF(B88="","",VLOOKUP(AD88,Varsayımlar!$B:$Q,12,0))</f>
        <v>840</v>
      </c>
      <c r="V88" s="130" t="str">
        <f>IF(B88="","",VLOOKUP(AD88,Varsayımlar!$B:$Q,13,0))</f>
        <v>YURTİÇİ</v>
      </c>
      <c r="W88" s="130">
        <f>IF(B88="","",VLOOKUP(AD88,Varsayımlar!$B:$Q,14,0))</f>
        <v>5</v>
      </c>
      <c r="X88" s="133" t="s">
        <v>113</v>
      </c>
      <c r="Y88" s="133" t="s">
        <v>113</v>
      </c>
      <c r="Z88" s="130" t="s">
        <v>113</v>
      </c>
      <c r="AA88" s="130" t="str">
        <f>IF(B88="","",VLOOKUP(AD88,Varsayımlar!$B:$Q,15,0))</f>
        <v>Nimet Kolisi</v>
      </c>
      <c r="AB88" s="130" t="str">
        <f>IF(B88="","",VLOOKUP(AD88,Varsayımlar!$B:$Q,16,0))</f>
        <v>24-26 CM</v>
      </c>
      <c r="AC88" s="64" t="s">
        <v>360</v>
      </c>
      <c r="AD88" s="57" t="str">
        <f t="shared" si="6"/>
        <v>A101Nimet 25cm 12 pcs 840g</v>
      </c>
    </row>
    <row r="89" spans="1:30" ht="94.5" x14ac:dyDescent="0.25">
      <c r="A89" s="8" t="s">
        <v>83</v>
      </c>
      <c r="B89" s="80" t="s">
        <v>218</v>
      </c>
      <c r="C89" s="44">
        <f>IF(B89="","",VLOOKUP(AD89,Varsayımlar!$B:$Q,3,0))</f>
        <v>8698829380698</v>
      </c>
      <c r="D89" s="44" t="s">
        <v>160</v>
      </c>
      <c r="E89" s="80" t="s">
        <v>244</v>
      </c>
      <c r="F89" s="80">
        <v>26042907</v>
      </c>
      <c r="G89" s="44"/>
      <c r="H89" s="80" t="str">
        <f>IF(B89="","",VLOOKUP(AD89,Varsayımlar!$B:$Q,5,0))</f>
        <v>Tortillas Avrupa Pizza 26cm (742)</v>
      </c>
      <c r="I89" s="80">
        <f>IF(B89="","",VLOOKUP(AD89,Varsayımlar!B:T,19,0))</f>
        <v>0</v>
      </c>
      <c r="J89" s="80" t="str">
        <f>IF(B89="","",VLOOKUP(AD89,Varsayımlar!$B:$Q,6,0))</f>
        <v>SADE</v>
      </c>
      <c r="K89" s="80">
        <v>720</v>
      </c>
      <c r="L89" s="80"/>
      <c r="M89" s="80">
        <f>IFERROR(IF(B89="","",K89/VLOOKUP(AD89,Varsayımlar!B:R,17,0)),"")</f>
        <v>6</v>
      </c>
      <c r="N89" s="80"/>
      <c r="O89" s="80">
        <v>9</v>
      </c>
      <c r="P89" s="80">
        <f>IF(B89="","",VLOOKUP(AD89,Varsayımlar!$B:$Q,7,0)*K89)</f>
        <v>5760</v>
      </c>
      <c r="Q89" s="80">
        <f>IF(B89="","",VLOOKUP(AD89,Varsayımlar!$B:$Q,8,0))</f>
        <v>26</v>
      </c>
      <c r="R89" s="80" t="str">
        <f>IF(B89="","",VLOOKUP(AD89,Varsayımlar!$B:$Q,9,0))</f>
        <v>Irak Soft</v>
      </c>
      <c r="S89" s="80">
        <f>IF(B89="","",VLOOKUP(AD89,Varsayımlar!$B:$Q,10,0))</f>
        <v>4</v>
      </c>
      <c r="T89" s="80">
        <f>IF(B89="","",VLOOKUP(AD89,Varsayımlar!$B:$Q,11,0))</f>
        <v>8</v>
      </c>
      <c r="U89" s="80">
        <f>IF(B89="","",VLOOKUP(AD89,Varsayımlar!$B:$Q,12,0))</f>
        <v>480</v>
      </c>
      <c r="V89" s="80" t="str">
        <f>IF(B89="","",VLOOKUP(AD89,Varsayımlar!$B:$Q,13,0))</f>
        <v>Yurtdışı</v>
      </c>
      <c r="W89" s="80">
        <f>IF(B89="","",VLOOKUP(AD89,Varsayımlar!$B:$Q,14,0))</f>
        <v>9</v>
      </c>
      <c r="X89" s="81">
        <v>46203</v>
      </c>
      <c r="Y89" s="81">
        <v>46476</v>
      </c>
      <c r="Z89" s="80">
        <v>26063026</v>
      </c>
      <c r="AA89" s="80" t="str">
        <f>IF(B89="","",VLOOKUP(AD89,Varsayımlar!$B:$Q,15,0))</f>
        <v>26cm Pizza Perforeli-Bulgarca Etiket</v>
      </c>
      <c r="AB89" s="80" t="str">
        <f>IF(B89="","",VLOOKUP(AD89,Varsayımlar!$B:$Q,16,0))</f>
        <v>26 cm kesme -Beze 145-150g, Kesilmmeiş çap 27-28cm, Kesilmemiş ağı: 520-540g, Kesilmiş:475-485g</v>
      </c>
      <c r="AC89" s="80" t="str">
        <f>IF(B89="","",VLOOKUP(Sayfa1!AD80,Varsayımlar!B:S,18,0))</f>
        <v>80x120cm -Epal+Epal</v>
      </c>
      <c r="AD89" s="57" t="str">
        <f t="shared" si="6"/>
        <v>TASTE LAND-BULGARİSTANTortillas Pizza 26cm 4pcs 480g</v>
      </c>
    </row>
    <row r="90" spans="1:30" ht="47.25" x14ac:dyDescent="0.25">
      <c r="A90" s="8" t="s">
        <v>84</v>
      </c>
      <c r="B90" s="54" t="s">
        <v>268</v>
      </c>
      <c r="C90" s="39">
        <f>IF(B90="","",VLOOKUP(AD90,Varsayımlar!$B:$Q,3,0))</f>
        <v>8698829380698</v>
      </c>
      <c r="D90" s="39" t="s">
        <v>160</v>
      </c>
      <c r="E90" s="39" t="s">
        <v>244</v>
      </c>
      <c r="F90" s="54" t="s">
        <v>343</v>
      </c>
      <c r="G90" s="39" t="s">
        <v>68</v>
      </c>
      <c r="H90" s="54" t="str">
        <f>IF(B90="","",VLOOKUP(AD90,Varsayımlar!$B:$Q,5,0))</f>
        <v xml:space="preserve">Tortillas Pizza 26cm </v>
      </c>
      <c r="I90" s="54">
        <f>IF(B90="","",VLOOKUP(AD90,Varsayımlar!B:T,19,0))</f>
        <v>0</v>
      </c>
      <c r="J90" s="54" t="str">
        <f>IF(B90="","",VLOOKUP(AD90,Varsayımlar!$B:$Q,6,0))</f>
        <v>SADE</v>
      </c>
      <c r="K90" s="54">
        <v>768</v>
      </c>
      <c r="L90" s="54"/>
      <c r="M90" s="54">
        <f>IFERROR(IF(B90="","",K90/VLOOKUP(AD90,Varsayımlar!B:R,17,0)),"")</f>
        <v>4</v>
      </c>
      <c r="N90" s="54"/>
      <c r="O90" s="54">
        <v>9</v>
      </c>
      <c r="P90" s="54">
        <f>IF(B90="","",VLOOKUP(AD90,Varsayımlar!$B:$Q,7,0)*K90)</f>
        <v>9216</v>
      </c>
      <c r="Q90" s="54">
        <f>IF(B90="","",VLOOKUP(AD90,Varsayımlar!$B:$Q,8,0))</f>
        <v>26</v>
      </c>
      <c r="R90" s="54" t="str">
        <f>IF(B90="","",VLOOKUP(AD90,Varsayımlar!$B:$Q,9,0))</f>
        <v>Soft-PA3</v>
      </c>
      <c r="S90" s="54">
        <f>IF(B90="","",VLOOKUP(AD90,Varsayımlar!$B:$Q,10,0))</f>
        <v>2</v>
      </c>
      <c r="T90" s="54">
        <f>IF(B90="","",VLOOKUP(AD90,Varsayımlar!$B:$Q,11,0))</f>
        <v>12</v>
      </c>
      <c r="U90" s="54">
        <f>IF(B90="","",VLOOKUP(AD90,Varsayımlar!$B:$Q,12,0))</f>
        <v>240</v>
      </c>
      <c r="V90" s="54" t="str">
        <f>IF(B90="","",VLOOKUP(AD90,Varsayımlar!$B:$Q,13,0))</f>
        <v>Yurtdışı</v>
      </c>
      <c r="W90" s="54">
        <f>IF(B90="","",VLOOKUP(AD90,Varsayımlar!$B:$Q,14,0))</f>
        <v>9</v>
      </c>
      <c r="X90" s="56">
        <v>46205</v>
      </c>
      <c r="Y90" s="56">
        <v>46479</v>
      </c>
      <c r="Z90" s="54">
        <v>26070226</v>
      </c>
      <c r="AA90" s="54" t="str">
        <f>IF(B90="","",VLOOKUP(AD90,Varsayımlar!$B:$Q,15,0))</f>
        <v>26 cm pizza kolisi-Etiketli</v>
      </c>
      <c r="AB90" s="54" t="str">
        <f>IF(B90="","",VLOOKUP(AD90,Varsayımlar!$B:$Q,16,0))</f>
        <v>24-26 cm (Macca Hetto Inkjet Uzun Tarih)</v>
      </c>
      <c r="AC90" s="54" t="e">
        <f>IF(B90="","",VLOOKUP(Sayfa1!AD83,Varsayımlar!B:S,18,0))</f>
        <v>#N/A</v>
      </c>
      <c r="AD90" s="57" t="str">
        <f>IF(B90="","",CONCATENATE(B90,E90))</f>
        <v>LAIKYUZHN-BELARUSTortillas Pizza 26cm 4pcs 480g</v>
      </c>
    </row>
    <row r="91" spans="1:30" ht="26.25" customHeight="1" x14ac:dyDescent="0.25">
      <c r="A91" s="8" t="s">
        <v>85</v>
      </c>
      <c r="B91" s="67" t="s">
        <v>119</v>
      </c>
      <c r="C91" s="42">
        <v>8698829380698</v>
      </c>
      <c r="D91" s="42"/>
      <c r="E91" s="42" t="s">
        <v>120</v>
      </c>
      <c r="F91" s="67"/>
      <c r="G91" s="42"/>
      <c r="H91" s="67" t="s">
        <v>121</v>
      </c>
      <c r="I91" s="67">
        <v>0</v>
      </c>
      <c r="J91" s="67" t="s">
        <v>19</v>
      </c>
      <c r="K91" s="67">
        <v>2000</v>
      </c>
      <c r="L91" s="67"/>
      <c r="M91" s="67">
        <v>80</v>
      </c>
      <c r="N91" s="67">
        <v>50</v>
      </c>
      <c r="O91" s="67">
        <v>54</v>
      </c>
      <c r="P91" s="67">
        <v>48000</v>
      </c>
      <c r="Q91" s="67">
        <v>25</v>
      </c>
      <c r="R91" s="67" t="s">
        <v>116</v>
      </c>
      <c r="S91" s="67">
        <v>12</v>
      </c>
      <c r="T91" s="67">
        <v>12</v>
      </c>
      <c r="U91" s="67">
        <v>840</v>
      </c>
      <c r="V91" s="67" t="s">
        <v>72</v>
      </c>
      <c r="W91" s="67">
        <v>5</v>
      </c>
      <c r="X91" s="69" t="s">
        <v>113</v>
      </c>
      <c r="Y91" s="69" t="s">
        <v>113</v>
      </c>
      <c r="Z91" s="67" t="s">
        <v>113</v>
      </c>
      <c r="AA91" s="67" t="s">
        <v>122</v>
      </c>
      <c r="AB91" s="67" t="s">
        <v>25</v>
      </c>
      <c r="AC91" s="67">
        <v>0</v>
      </c>
      <c r="AD91" s="57" t="s">
        <v>387</v>
      </c>
    </row>
    <row r="92" spans="1:30" ht="94.5" x14ac:dyDescent="0.25">
      <c r="A92" s="8" t="s">
        <v>86</v>
      </c>
      <c r="B92" s="75" t="s">
        <v>218</v>
      </c>
      <c r="C92" s="43">
        <f>IF(B92="","",VLOOKUP(AD92,Varsayımlar!$B:$Q,3,0))</f>
        <v>8698829380698</v>
      </c>
      <c r="D92" s="43" t="s">
        <v>161</v>
      </c>
      <c r="E92" s="75" t="s">
        <v>244</v>
      </c>
      <c r="F92" s="75" t="s">
        <v>341</v>
      </c>
      <c r="G92" s="43"/>
      <c r="H92" s="75" t="str">
        <f>IF(B92="","",VLOOKUP(AD92,Varsayımlar!$B:$Q,5,0))</f>
        <v>Tortillas Avrupa Pizza 26cm (742)</v>
      </c>
      <c r="I92" s="75">
        <f>IF(B92="","",VLOOKUP(AD92,Varsayımlar!B:T,19,0))</f>
        <v>0</v>
      </c>
      <c r="J92" s="75" t="str">
        <f>IF(B92="","",VLOOKUP(AD92,Varsayımlar!$B:$Q,6,0))</f>
        <v>SADE</v>
      </c>
      <c r="K92" s="75">
        <v>840</v>
      </c>
      <c r="L92" s="75"/>
      <c r="M92" s="75">
        <f>IFERROR(IF(B92="","",K92/VLOOKUP(AD92,Varsayımlar!B:R,17,0)),"")</f>
        <v>7</v>
      </c>
      <c r="N92" s="75"/>
      <c r="O92" s="75">
        <v>11</v>
      </c>
      <c r="P92" s="75">
        <f>IF(B92="","",VLOOKUP(AD92,Varsayımlar!$B:$Q,7,0)*K92)</f>
        <v>6720</v>
      </c>
      <c r="Q92" s="75">
        <f>IF(B92="","",VLOOKUP(AD92,Varsayımlar!$B:$Q,8,0))</f>
        <v>26</v>
      </c>
      <c r="R92" s="75" t="str">
        <f>IF(B92="","",VLOOKUP(AD92,Varsayımlar!$B:$Q,9,0))</f>
        <v>Irak Soft</v>
      </c>
      <c r="S92" s="75">
        <f>IF(B92="","",VLOOKUP(AD92,Varsayımlar!$B:$Q,10,0))</f>
        <v>4</v>
      </c>
      <c r="T92" s="75">
        <f>IF(B92="","",VLOOKUP(AD92,Varsayımlar!$B:$Q,11,0))</f>
        <v>8</v>
      </c>
      <c r="U92" s="75">
        <f>IF(B92="","",VLOOKUP(AD92,Varsayımlar!$B:$Q,12,0))</f>
        <v>480</v>
      </c>
      <c r="V92" s="75" t="str">
        <f>IF(B92="","",VLOOKUP(AD92,Varsayımlar!$B:$Q,13,0))</f>
        <v>Yurtdışı</v>
      </c>
      <c r="W92" s="75">
        <f>IF(B92="","",VLOOKUP(AD92,Varsayımlar!$B:$Q,14,0))</f>
        <v>9</v>
      </c>
      <c r="X92" s="76">
        <v>46213</v>
      </c>
      <c r="Y92" s="76">
        <v>46487</v>
      </c>
      <c r="Z92" s="75">
        <v>26071026</v>
      </c>
      <c r="AA92" s="75" t="str">
        <f>IF(B92="","",VLOOKUP(AD92,Varsayımlar!$B:$Q,15,0))</f>
        <v>26cm Pizza Perforeli-Bulgarca Etiket</v>
      </c>
      <c r="AB92" s="75" t="str">
        <f>IF(B92="","",VLOOKUP(AD92,Varsayımlar!$B:$Q,16,0))</f>
        <v>26 cm kesme -Beze 145-150g, Kesilmmeiş çap 27-28cm, Kesilmemiş ağı: 520-540g, Kesilmiş:475-485g</v>
      </c>
      <c r="AC92" s="75" t="str">
        <f>IF(B92="","",VLOOKUP(Sayfa1!AD81,Varsayımlar!B:S,18,0))</f>
        <v>80x120cm -Epal+Epal</v>
      </c>
      <c r="AD92" s="57" t="str">
        <f t="shared" si="6"/>
        <v>TASTE LAND-BULGARİSTANTortillas Pizza 26cm 4pcs 480g</v>
      </c>
    </row>
    <row r="93" spans="1:30" ht="33.75" customHeight="1" x14ac:dyDescent="0.25">
      <c r="A93" s="8" t="s">
        <v>87</v>
      </c>
      <c r="B93" s="67" t="s">
        <v>460</v>
      </c>
      <c r="C93" s="42">
        <f>IF(B93="","",VLOOKUP(AD93,Varsayımlar!$B:$Q,3,0))</f>
        <v>8698829380698</v>
      </c>
      <c r="D93" s="67" t="s">
        <v>160</v>
      </c>
      <c r="E93" s="67" t="s">
        <v>461</v>
      </c>
      <c r="F93" s="67">
        <v>20260414</v>
      </c>
      <c r="G93" s="67"/>
      <c r="H93" s="67" t="str">
        <f>IF(B93="","",VLOOKUP(AD93,Varsayımlar!$B:$Q,5,0))</f>
        <v xml:space="preserve">Tortillove 15cm </v>
      </c>
      <c r="I93" s="67">
        <f>IF(B93="","",VLOOKUP(AD93,Varsayımlar!B:T,19,0))</f>
        <v>0</v>
      </c>
      <c r="J93" s="67" t="str">
        <f>IF(B93="","",VLOOKUP(AD93,Varsayımlar!$B:$Q,6,0))</f>
        <v>SADE</v>
      </c>
      <c r="K93" s="67">
        <v>300</v>
      </c>
      <c r="L93" s="67" t="s">
        <v>532</v>
      </c>
      <c r="M93" s="67">
        <f>IFERROR(IF(B93="","",K93/VLOOKUP(AD93,Varsayımlar!B:R,17,0)),"")</f>
        <v>3</v>
      </c>
      <c r="N93" s="67"/>
      <c r="O93" s="67">
        <v>9</v>
      </c>
      <c r="P93" s="67">
        <f>IF(B93="","",VLOOKUP(AD93,Varsayımlar!$B:$Q,7,0)*K93)</f>
        <v>3600</v>
      </c>
      <c r="Q93" s="67">
        <f>IF(B93="","",VLOOKUP(AD93,Varsayımlar!$B:$Q,8,0))</f>
        <v>15</v>
      </c>
      <c r="R93" s="67" t="str">
        <f>IF(B93="","",VLOOKUP(AD93,Varsayımlar!$B:$Q,9,0))</f>
        <v>Irak Soft</v>
      </c>
      <c r="S93" s="67">
        <f>IF(B93="","",VLOOKUP(AD93,Varsayımlar!$B:$Q,10,0))</f>
        <v>10</v>
      </c>
      <c r="T93" s="67">
        <f>IF(B93="","",VLOOKUP(AD93,Varsayımlar!$B:$Q,11,0))</f>
        <v>12</v>
      </c>
      <c r="U93" s="67">
        <f>IF(B93="","",VLOOKUP(AD93,Varsayımlar!$B:$Q,12,0))</f>
        <v>250</v>
      </c>
      <c r="V93" s="67" t="str">
        <f>IF(B93="","",VLOOKUP(AD93,Varsayımlar!$B:$Q,13,0))</f>
        <v>Yurtdışı</v>
      </c>
      <c r="W93" s="67">
        <f>IF(B93="","",VLOOKUP(AD93,Varsayımlar!$B:$Q,14,0))</f>
        <v>6</v>
      </c>
      <c r="X93" s="69">
        <v>46216</v>
      </c>
      <c r="Y93" s="69">
        <v>46400</v>
      </c>
      <c r="Z93" s="67">
        <v>26071315</v>
      </c>
      <c r="AA93" s="67" t="str">
        <f>IF(B93="","",VLOOKUP(AD93,Varsayımlar!$B:$Q,15,0))</f>
        <v>15cm koli</v>
      </c>
      <c r="AB93" s="67" t="str">
        <f>IF(B93="","",VLOOKUP(AD93,Varsayımlar!$B:$Q,16,0))</f>
        <v>14-16 cm</v>
      </c>
      <c r="AC93" s="80">
        <f>IF(B93="","",VLOOKUP(Sayfa1!AD85,Varsayımlar!B:S,18,0))</f>
        <v>0</v>
      </c>
      <c r="AD93" s="57" t="str">
        <f t="shared" si="6"/>
        <v>Yüksekbaş GıdaYüksekbaş 15cm 10 pcs 250g</v>
      </c>
    </row>
    <row r="94" spans="1:30" ht="31.5" x14ac:dyDescent="0.25">
      <c r="A94" s="8" t="s">
        <v>88</v>
      </c>
      <c r="B94" s="54" t="s">
        <v>346</v>
      </c>
      <c r="C94" s="39">
        <f>IF(B94="","",VLOOKUP(AD94,Varsayımlar!$B:$Q,3,0))</f>
        <v>8698829380698</v>
      </c>
      <c r="D94" s="39">
        <v>49</v>
      </c>
      <c r="E94" s="55" t="s">
        <v>325</v>
      </c>
      <c r="F94" s="54"/>
      <c r="G94" s="54"/>
      <c r="H94" s="54" t="str">
        <f>IF(B94="","",VLOOKUP(AD94,Varsayımlar!$B:$Q,5,0))</f>
        <v>Hanami Tako 15cm</v>
      </c>
      <c r="I94" s="54" t="str">
        <f>IF(B94="","",VLOOKUP(AD94,Varsayımlar!B:T,19,0))</f>
        <v>Ambalaj kaç aylık kontrol?</v>
      </c>
      <c r="J94" s="54" t="str">
        <f>IF(B94="","",VLOOKUP(AD94,Varsayımlar!$B:$Q,6,0))</f>
        <v>SADE</v>
      </c>
      <c r="K94" s="54">
        <v>1248</v>
      </c>
      <c r="L94" s="54"/>
      <c r="M94" s="54"/>
      <c r="N94" s="54"/>
      <c r="O94" s="54">
        <v>35</v>
      </c>
      <c r="P94" s="54">
        <f>IF(B94="","",VLOOKUP(AD94,Varsayımlar!$B:$Q,7,0)*K94)</f>
        <v>24960</v>
      </c>
      <c r="Q94" s="54">
        <f>IF(B94="","",VLOOKUP(AD94,Varsayımlar!$B:$Q,8,0))</f>
        <v>15</v>
      </c>
      <c r="R94" s="54" t="str">
        <f>IF(B94="","",VLOOKUP(AD94,Varsayımlar!$B:$Q,9,0))</f>
        <v>Irak Soft</v>
      </c>
      <c r="S94" s="54">
        <f>IF(B94="","",VLOOKUP(AD94,Varsayımlar!$B:$Q,10,0))</f>
        <v>6</v>
      </c>
      <c r="T94" s="54">
        <f>IF(B94="","",VLOOKUP(AD94,Varsayımlar!$B:$Q,11,0))</f>
        <v>20</v>
      </c>
      <c r="U94" s="54">
        <f>IF(B94="","",VLOOKUP(AD94,Varsayımlar!$B:$Q,12,0))</f>
        <v>150</v>
      </c>
      <c r="V94" s="54" t="str">
        <f>IF(B94="","",VLOOKUP(AD94,Varsayımlar!$B:$Q,13,0))</f>
        <v>Yurtdışı</v>
      </c>
      <c r="W94" s="54">
        <f>IF(B94="","",VLOOKUP(AD94,Varsayımlar!$B:$Q,14,0))</f>
        <v>9</v>
      </c>
      <c r="X94" s="56">
        <v>46226</v>
      </c>
      <c r="Y94" s="56">
        <v>46500</v>
      </c>
      <c r="Z94" s="54">
        <v>26072315</v>
      </c>
      <c r="AA94" s="54" t="str">
        <f>IF(B94="","",VLOOKUP(AD94,Varsayımlar!$B:$Q,15,0))</f>
        <v>Hanami Tako 15cm-Üretim Tarihi Atılacak</v>
      </c>
      <c r="AB94" s="54" t="str">
        <f>IF(B94="","",VLOOKUP(AD94,Varsayımlar!$B:$Q,16,0))</f>
        <v>14-16 cm</v>
      </c>
      <c r="AC94" s="8" t="e">
        <f>IF(B94="","",VLOOKUP(#REF!,#REF!,18,0))</f>
        <v>#REF!</v>
      </c>
      <c r="AD94" s="8" t="str">
        <f>IF(B94="","",CONCATENATE(B94,E94))</f>
        <v>GermesHanami Germes Tako 15cm 6pcs 150g</v>
      </c>
    </row>
    <row r="95" spans="1:30" ht="49.5" customHeight="1" x14ac:dyDescent="0.25">
      <c r="A95" s="8" t="s">
        <v>89</v>
      </c>
      <c r="B95" s="152" t="s">
        <v>518</v>
      </c>
      <c r="C95" s="153">
        <f>IF(B95="","",VLOOKUP(AD95,Varsayımlar!$B:$Q,3,0))</f>
        <v>8698829380698</v>
      </c>
      <c r="D95" s="154"/>
      <c r="E95" s="154" t="s">
        <v>515</v>
      </c>
      <c r="F95" s="152">
        <v>26062302</v>
      </c>
      <c r="G95" s="152"/>
      <c r="H95" s="152" t="str">
        <f>IF(B95="","",VLOOKUP(AD95,Varsayımlar!$B:$Q,5,0))</f>
        <v>Tortillas 15cm</v>
      </c>
      <c r="I95" s="152">
        <f>IF(B95="","",VLOOKUP(AD95,Varsayımlar!B:T,19,0))</f>
        <v>0</v>
      </c>
      <c r="J95" s="152" t="str">
        <f>IF(B95="","",VLOOKUP(AD95,Varsayımlar!$B:$Q,6,0))</f>
        <v>Sade</v>
      </c>
      <c r="K95" s="152">
        <v>10</v>
      </c>
      <c r="L95" s="152"/>
      <c r="M95" s="152">
        <f>IFERROR(IF(B95="","",K95/VLOOKUP(AD95,Varsayımlar!B:R,17,0)),"")</f>
        <v>0.11904761904761904</v>
      </c>
      <c r="N95" s="152"/>
      <c r="O95" s="152">
        <v>0</v>
      </c>
      <c r="P95" s="152">
        <f>IF(B95="","",VLOOKUP(AD95,Varsayımlar!$B:$Q,7,0)*K95)</f>
        <v>120</v>
      </c>
      <c r="Q95" s="152">
        <f>IF(B95="","",VLOOKUP(AD95,Varsayımlar!$B:$Q,8,0))</f>
        <v>15</v>
      </c>
      <c r="R95" s="152" t="str">
        <f>IF(B95="","",VLOOKUP(AD95,Varsayımlar!$B:$Q,9,0))</f>
        <v>Irak Soft</v>
      </c>
      <c r="S95" s="152">
        <f>IF(B95="","",VLOOKUP(AD95,Varsayımlar!$B:$Q,10,0))</f>
        <v>10</v>
      </c>
      <c r="T95" s="152">
        <f>IF(B95="","",VLOOKUP(AD95,Varsayımlar!$B:$Q,11,0))</f>
        <v>12</v>
      </c>
      <c r="U95" s="152">
        <f>IF(B95="","",VLOOKUP(AD95,Varsayımlar!$B:$Q,12,0))</f>
        <v>250</v>
      </c>
      <c r="V95" s="152" t="str">
        <f>IF(B95="","",VLOOKUP(AD95,Varsayımlar!$B:$Q,13,0))</f>
        <v>Yurtiçi</v>
      </c>
      <c r="W95" s="152">
        <f>IF(B95="","",VLOOKUP(AD95,Varsayımlar!$B:$Q,14,0))</f>
        <v>6</v>
      </c>
      <c r="X95" s="155">
        <v>46231</v>
      </c>
      <c r="Y95" s="155">
        <v>46415</v>
      </c>
      <c r="Z95" s="152">
        <v>26072815</v>
      </c>
      <c r="AA95" s="152" t="str">
        <f>IF(B95="","",VLOOKUP(AD95,Varsayımlar!$B:$Q,15,0))</f>
        <v>15cm koli</v>
      </c>
      <c r="AB95" s="152" t="str">
        <f>IF(B95="","",VLOOKUP(AD95,Varsayımlar!$B:$Q,16,0))</f>
        <v>14-16cm</v>
      </c>
      <c r="AC95" s="8" t="e">
        <f>IF(B95="","",VLOOKUP(#REF!,#REF!,18,0))</f>
        <v>#REF!</v>
      </c>
      <c r="AD95" s="8" t="str">
        <f t="shared" ref="AD95:AD96" si="7">IF(B95="","",CONCATENATE(B95,E95))</f>
        <v>Yusuf KöseTortillas 15cm 10pcs 250g</v>
      </c>
    </row>
    <row r="96" spans="1:30" ht="54" customHeight="1" x14ac:dyDescent="0.25">
      <c r="A96" s="8" t="s">
        <v>90</v>
      </c>
      <c r="B96" s="148" t="s">
        <v>500</v>
      </c>
      <c r="C96" s="149">
        <f>IF(B96="","",VLOOKUP(AD96,Varsayımlar!$B:$Q,3,0))</f>
        <v>8698829380698</v>
      </c>
      <c r="D96" s="149"/>
      <c r="E96" s="150" t="s">
        <v>515</v>
      </c>
      <c r="F96" s="148">
        <v>26062201</v>
      </c>
      <c r="G96" s="148"/>
      <c r="H96" s="148" t="str">
        <f>IF(B96="","",VLOOKUP(AD96,Varsayımlar!$B:$Q,5,0))</f>
        <v>Tortillas 15cm</v>
      </c>
      <c r="I96" s="148">
        <f>IF(B96="","",VLOOKUP(AD96,Varsayımlar!B:T,19,0))</f>
        <v>0</v>
      </c>
      <c r="J96" s="148" t="str">
        <f>IF(B96="","",VLOOKUP(AD96,Varsayımlar!$B:$Q,6,0))</f>
        <v>Sade</v>
      </c>
      <c r="K96" s="148">
        <v>50</v>
      </c>
      <c r="L96" s="148"/>
      <c r="M96" s="148" t="str">
        <f>IFERROR(IF(B96="","",K96/VLOOKUP(AD96,#REF!,17,0)),"")</f>
        <v/>
      </c>
      <c r="N96" s="148"/>
      <c r="O96" s="148">
        <v>2</v>
      </c>
      <c r="P96" s="148">
        <f>IF(B96="","",VLOOKUP(AD96,Varsayımlar!$B:$Q,7,0)*K96)</f>
        <v>600</v>
      </c>
      <c r="Q96" s="148">
        <f>IF(B96="","",VLOOKUP(AD96,Varsayımlar!$B:$Q,8,0))</f>
        <v>15</v>
      </c>
      <c r="R96" s="148" t="str">
        <f>IF(B96="","",VLOOKUP(AD96,Varsayımlar!$B:$Q,9,0))</f>
        <v>Irak Soft</v>
      </c>
      <c r="S96" s="148">
        <f>IF(B96="","",VLOOKUP(AD96,Varsayımlar!$B:$Q,10,0))</f>
        <v>10</v>
      </c>
      <c r="T96" s="148">
        <f>IF(B96="","",VLOOKUP(AD96,Varsayımlar!$B:$Q,11,0))</f>
        <v>12</v>
      </c>
      <c r="U96" s="148">
        <f>IF(B96="","",VLOOKUP(AD96,Varsayımlar!$B:$Q,12,0))</f>
        <v>250</v>
      </c>
      <c r="V96" s="148" t="str">
        <f>IF(B96="","",VLOOKUP(AD96,Varsayımlar!$B:$Q,13,0))</f>
        <v>Yurtdışı</v>
      </c>
      <c r="W96" s="148">
        <f>IF(B96="","",VLOOKUP(AD96,Varsayımlar!$B:$Q,14,0))</f>
        <v>12</v>
      </c>
      <c r="X96" s="151">
        <v>46231</v>
      </c>
      <c r="Y96" s="151">
        <v>46596</v>
      </c>
      <c r="Z96" s="148">
        <v>26072815</v>
      </c>
      <c r="AA96" s="148" t="str">
        <f>IF(B96="","",VLOOKUP(AD96,Varsayımlar!$B:$Q,15,0))</f>
        <v>15cm koli</v>
      </c>
      <c r="AB96" s="148" t="str">
        <f>IF(B96="","",VLOOKUP(AD96,Varsayımlar!$B:$Q,16,0))</f>
        <v>14-16cm</v>
      </c>
      <c r="AC96" s="67"/>
      <c r="AD96" s="57" t="str">
        <f t="shared" si="7"/>
        <v>Fama GroupTortillas 15cm 10pcs 250g</v>
      </c>
    </row>
    <row r="97" spans="1:30" ht="48" customHeight="1" x14ac:dyDescent="0.25">
      <c r="A97" s="8" t="s">
        <v>91</v>
      </c>
      <c r="B97" s="149" t="s">
        <v>500</v>
      </c>
      <c r="C97" s="149">
        <f>IF(B97="","",VLOOKUP(AD97,Varsayımlar!$B:$Q,3,0))</f>
        <v>8698829380698</v>
      </c>
      <c r="D97" s="149"/>
      <c r="E97" s="149" t="s">
        <v>244</v>
      </c>
      <c r="F97" s="149">
        <v>26062201</v>
      </c>
      <c r="G97" s="149"/>
      <c r="H97" s="148" t="str">
        <f>IF(B97="","",VLOOKUP(AD97,Varsayımlar!$B:$Q,5,0))</f>
        <v xml:space="preserve">Tortillas Pizza 26cm </v>
      </c>
      <c r="I97" s="148">
        <f>IF(B97="","",VLOOKUP(AD97,Varsayımlar!B:T,19,0))</f>
        <v>0</v>
      </c>
      <c r="J97" s="148" t="str">
        <f>IF(B97="","",VLOOKUP(AD97,Varsayımlar!$B:$Q,6,0))</f>
        <v>Sade</v>
      </c>
      <c r="K97" s="149">
        <v>50</v>
      </c>
      <c r="L97" s="149"/>
      <c r="M97" s="149" t="str">
        <f>IFERROR(IF(B97="","",K97/VLOOKUP(AD97,#REF!,17,0)),"")</f>
        <v/>
      </c>
      <c r="N97" s="149"/>
      <c r="O97" s="149">
        <v>1</v>
      </c>
      <c r="P97" s="148">
        <f>IF(B97="","",VLOOKUP(AD97,Varsayımlar!$B:$Q,7,0)*K97)</f>
        <v>300</v>
      </c>
      <c r="Q97" s="148">
        <f>IF(B97="","",VLOOKUP(AD97,Varsayımlar!$B:$Q,8,0))</f>
        <v>26</v>
      </c>
      <c r="R97" s="148" t="str">
        <f>IF(B97="","",VLOOKUP(AD97,Varsayımlar!$B:$Q,9,0))</f>
        <v>Irak Soft</v>
      </c>
      <c r="S97" s="148">
        <f>IF(B97="","",VLOOKUP(AD97,Varsayımlar!$B:$Q,10,0))</f>
        <v>4</v>
      </c>
      <c r="T97" s="148">
        <f>IF(B97="","",VLOOKUP(AD97,Varsayımlar!$B:$Q,11,0))</f>
        <v>6</v>
      </c>
      <c r="U97" s="148">
        <f>IF(B97="","",VLOOKUP(AD97,Varsayımlar!$B:$Q,12,0))</f>
        <v>480</v>
      </c>
      <c r="V97" s="148" t="str">
        <f>IF(B97="","",VLOOKUP(AD97,Varsayımlar!$B:$Q,13,0))</f>
        <v>Yurtdışı</v>
      </c>
      <c r="W97" s="148">
        <f>IF(B97="","",VLOOKUP(AD97,Varsayımlar!$B:$Q,14,0))</f>
        <v>12</v>
      </c>
      <c r="X97" s="151">
        <v>46231</v>
      </c>
      <c r="Y97" s="151">
        <v>46596</v>
      </c>
      <c r="Z97" s="149">
        <v>26072826</v>
      </c>
      <c r="AA97" s="148" t="str">
        <f>IF(B97="","",VLOOKUP(AD97,Varsayımlar!$B:$Q,15,0))</f>
        <v>Pizza Kolisi-ETİKETLİ</v>
      </c>
      <c r="AB97" s="148" t="str">
        <f>IF(B97="","",VLOOKUP(AD97,Varsayımlar!$B:$Q,16,0))</f>
        <v>25-27 cm</v>
      </c>
      <c r="AC97" s="140">
        <f>IF(B97="","",VLOOKUP(Sayfa1!AD94,Varsayımlar!B:S,18,0))</f>
        <v>0</v>
      </c>
      <c r="AD97" s="140" t="str">
        <f>IF(B97="","",CONCATENATE(B97,E97))</f>
        <v>Fama GroupTortillas Pizza 26cm 4pcs 480g</v>
      </c>
    </row>
    <row r="98" spans="1:30" ht="94.5" x14ac:dyDescent="0.25">
      <c r="A98" s="8" t="s">
        <v>92</v>
      </c>
      <c r="B98" s="62" t="s">
        <v>456</v>
      </c>
      <c r="C98" s="32">
        <f>IF(B98="","",VLOOKUP(AD98,Varsayımlar!$B:$Q,3,0))</f>
        <v>8698829380698</v>
      </c>
      <c r="D98" s="32"/>
      <c r="E98" s="61" t="s">
        <v>484</v>
      </c>
      <c r="F98" s="62" t="s">
        <v>524</v>
      </c>
      <c r="G98" s="62"/>
      <c r="H98" s="62" t="str">
        <f>IF(B98="","",VLOOKUP(AD98,Varsayımlar!$B:$Q,5,0))</f>
        <v>Willifood 26 cm Pizza</v>
      </c>
      <c r="I98" s="62">
        <f>IF(B98="","",VLOOKUP(AD98,Varsayımlar!B:T,19,0))</f>
        <v>0</v>
      </c>
      <c r="J98" s="62" t="str">
        <f>IF(B98="","",VLOOKUP(AD98,Varsayımlar!$B:$Q,6,0))</f>
        <v>Pizza</v>
      </c>
      <c r="K98" s="62">
        <v>2250</v>
      </c>
      <c r="L98" s="62"/>
      <c r="M98" s="62" t="str">
        <f>IFERROR(IF(B98="","",K98/VLOOKUP(AD98,#REF!,17,0)),"")</f>
        <v/>
      </c>
      <c r="N98" s="62"/>
      <c r="O98" s="62">
        <v>16</v>
      </c>
      <c r="P98" s="62">
        <f>IF(B98="","",VLOOKUP(AD98,Varsayımlar!$B:$Q,7,0)*K98)</f>
        <v>27000</v>
      </c>
      <c r="Q98" s="62">
        <f>IF(B98="","",VLOOKUP(AD98,Varsayımlar!$B:$Q,8,0))</f>
        <v>26</v>
      </c>
      <c r="R98" s="62" t="str">
        <f>IF(B98="","",VLOOKUP(AD98,Varsayımlar!$B:$Q,9,0))</f>
        <v>Irak Soft</v>
      </c>
      <c r="S98" s="62">
        <f>IF(B98="","",VLOOKUP(AD98,Varsayımlar!$B:$Q,10,0))</f>
        <v>4</v>
      </c>
      <c r="T98" s="62">
        <f>IF(B98="","",VLOOKUP(AD98,Varsayımlar!$B:$Q,11,0))</f>
        <v>12</v>
      </c>
      <c r="U98" s="62">
        <f>IF(B98="","",VLOOKUP(AD98,Varsayımlar!$B:$Q,12,0))</f>
        <v>480</v>
      </c>
      <c r="V98" s="62" t="str">
        <f>IF(B98="","",VLOOKUP(AD98,Varsayımlar!$B:$Q,13,0))</f>
        <v>Yurtdışı</v>
      </c>
      <c r="W98" s="62">
        <f>IF(B98="","",VLOOKUP(AD98,Varsayımlar!$B:$Q,14,0))</f>
        <v>18</v>
      </c>
      <c r="X98" s="63"/>
      <c r="Y98" s="146" t="s">
        <v>523</v>
      </c>
      <c r="Z98" s="146" t="s">
        <v>522</v>
      </c>
      <c r="AA98" s="63" t="str">
        <f>IF(B98="","",VLOOKUP(AD98,Varsayımlar!$B:$Q,15,0))</f>
        <v>Dürümek Kolisi-Çift Etiket</v>
      </c>
      <c r="AB98" s="63" t="str">
        <f>IF(B98="","",VLOOKUP(AD98,Varsayımlar!$B:$Q,16,0))</f>
        <v>Kesme.Bezeler 145-150 g.Kesilmemiş 27-28 cm. Kesilmemiş ağ 520-540g. Kesilmiş ağ 475-485 g</v>
      </c>
      <c r="AC98" s="73" t="e">
        <f>IF(B98="","",VLOOKUP(#REF!,#REF!,18,0))</f>
        <v>#REF!</v>
      </c>
      <c r="AD98" s="73" t="str">
        <f>IF(B98="","",CONCATENATE(B98,E98))</f>
        <v>WillifoodWillifood Pizza 26cm 4 pcs 480g</v>
      </c>
    </row>
    <row r="99" spans="1:30" x14ac:dyDescent="0.25">
      <c r="A99" s="8" t="s">
        <v>93</v>
      </c>
      <c r="B99" s="67"/>
      <c r="C99" s="42" t="str">
        <f>IF(B99="","",VLOOKUP(AD99,#REF!,3,0))</f>
        <v/>
      </c>
      <c r="D99" s="42"/>
      <c r="E99" s="42"/>
      <c r="F99" s="67"/>
      <c r="G99" s="67"/>
      <c r="H99" s="67" t="str">
        <f>IF(B99="","",VLOOKUP(AD99,#REF!,5,0))</f>
        <v/>
      </c>
      <c r="I99" s="67" t="str">
        <f>IF(B99="","",VLOOKUP(AD99,#REF!,19,0))</f>
        <v/>
      </c>
      <c r="J99" s="67" t="str">
        <f>IF(B99="","",VLOOKUP(AD99,#REF!,6,0))</f>
        <v/>
      </c>
      <c r="K99" s="67"/>
      <c r="L99" s="67"/>
      <c r="M99" s="67" t="str">
        <f>IFERROR(IF(B99="","",K99/VLOOKUP(AD99,#REF!,17,0)),"")</f>
        <v/>
      </c>
      <c r="N99" s="67"/>
      <c r="O99" s="67"/>
      <c r="P99" s="67" t="str">
        <f>IF(B99="","",VLOOKUP(AD99,#REF!,7,0)*K99)</f>
        <v/>
      </c>
      <c r="Q99" s="67" t="str">
        <f>IF(B99="","",VLOOKUP(AD99,#REF!,8,0))</f>
        <v/>
      </c>
      <c r="R99" s="67" t="str">
        <f>IF(B99="","",VLOOKUP(AD99,#REF!,9,0))</f>
        <v/>
      </c>
      <c r="S99" s="67" t="str">
        <f>IF(B99="","",VLOOKUP(AD99,#REF!,10,0))</f>
        <v/>
      </c>
      <c r="T99" s="67" t="str">
        <f>IF(B99="","",VLOOKUP(AD99,#REF!,11,0))</f>
        <v/>
      </c>
      <c r="U99" s="67" t="str">
        <f>IF(B99="","",VLOOKUP(AD99,#REF!,12,0))</f>
        <v/>
      </c>
      <c r="V99" s="67" t="str">
        <f>IF(B99="","",VLOOKUP(AD99,#REF!,13,0))</f>
        <v/>
      </c>
      <c r="W99" s="67" t="str">
        <f>IF(B99="","",VLOOKUP(AD99,#REF!,14,0))</f>
        <v/>
      </c>
      <c r="X99" s="69"/>
      <c r="Y99" s="69"/>
      <c r="Z99" s="67"/>
      <c r="AA99" s="67" t="str">
        <f>IF(B99="","",VLOOKUP(AD99,#REF!,15,0))</f>
        <v/>
      </c>
      <c r="AB99" s="67" t="str">
        <f>IF(B99="","",VLOOKUP(AD99,#REF!,16,0))</f>
        <v/>
      </c>
    </row>
    <row r="100" spans="1:30" x14ac:dyDescent="0.25">
      <c r="A100" s="8" t="s">
        <v>135</v>
      </c>
      <c r="B100" s="67"/>
      <c r="C100" s="42" t="str">
        <f>IF(B100="","",VLOOKUP(AD100,#REF!,3,0))</f>
        <v/>
      </c>
      <c r="D100" s="42"/>
      <c r="E100" s="42"/>
      <c r="F100" s="67"/>
      <c r="G100" s="67"/>
      <c r="H100" s="67" t="str">
        <f>IF(B100="","",VLOOKUP(AD100,#REF!,5,0))</f>
        <v/>
      </c>
      <c r="I100" s="67" t="str">
        <f>IF(B100="","",VLOOKUP(AD100,#REF!,19,0))</f>
        <v/>
      </c>
      <c r="J100" s="67" t="str">
        <f>IF(B100="","",VLOOKUP(AD100,#REF!,6,0))</f>
        <v/>
      </c>
      <c r="K100" s="67"/>
      <c r="L100" s="67"/>
      <c r="M100" s="67" t="str">
        <f>IFERROR(IF(B100="","",K100/VLOOKUP(AD100,#REF!,17,0)),"")</f>
        <v/>
      </c>
      <c r="N100" s="67"/>
      <c r="O100" s="67"/>
      <c r="P100" s="67" t="str">
        <f>IF(B100="","",VLOOKUP(AD100,#REF!,7,0)*K100)</f>
        <v/>
      </c>
      <c r="Q100" s="67" t="str">
        <f>IF(B100="","",VLOOKUP(AD100,#REF!,8,0))</f>
        <v/>
      </c>
      <c r="R100" s="67" t="str">
        <f>IF(B100="","",VLOOKUP(AD100,#REF!,9,0))</f>
        <v/>
      </c>
      <c r="S100" s="67" t="str">
        <f>IF(B100="","",VLOOKUP(AD100,#REF!,10,0))</f>
        <v/>
      </c>
      <c r="T100" s="67" t="str">
        <f>IF(B100="","",VLOOKUP(AD100,#REF!,11,0))</f>
        <v/>
      </c>
      <c r="U100" s="67" t="str">
        <f>IF(B100="","",VLOOKUP(AD100,#REF!,12,0))</f>
        <v/>
      </c>
      <c r="V100" s="67" t="str">
        <f>IF(B100="","",VLOOKUP(AD100,#REF!,13,0))</f>
        <v/>
      </c>
      <c r="W100" s="67" t="str">
        <f>IF(B100="","",VLOOKUP(AD100,#REF!,14,0))</f>
        <v/>
      </c>
      <c r="X100" s="69"/>
      <c r="Y100" s="69"/>
      <c r="Z100" s="67"/>
      <c r="AA100" s="67" t="str">
        <f>IF(B100="","",VLOOKUP(AD100,#REF!,15,0))</f>
        <v/>
      </c>
      <c r="AB100" s="67" t="str">
        <f>IF(B100="","",VLOOKUP(AD100,#REF!,16,0))</f>
        <v/>
      </c>
    </row>
    <row r="101" spans="1:30" x14ac:dyDescent="0.25">
      <c r="A101" s="8" t="s">
        <v>136</v>
      </c>
      <c r="B101" s="67"/>
      <c r="C101" s="42" t="str">
        <f>IF(B101="","",VLOOKUP(AD101,#REF!,3,0))</f>
        <v/>
      </c>
      <c r="D101" s="42"/>
      <c r="E101" s="42"/>
      <c r="F101" s="67"/>
      <c r="G101" s="67"/>
      <c r="H101" s="67" t="str">
        <f>IF(B101="","",VLOOKUP(AD101,#REF!,5,0))</f>
        <v/>
      </c>
      <c r="I101" s="67" t="str">
        <f>IF(B101="","",VLOOKUP(AD101,#REF!,19,0))</f>
        <v/>
      </c>
      <c r="J101" s="67" t="str">
        <f>IF(B101="","",VLOOKUP(AD101,#REF!,6,0))</f>
        <v/>
      </c>
      <c r="K101" s="67"/>
      <c r="L101" s="67"/>
      <c r="M101" s="67" t="str">
        <f>IFERROR(IF(B101="","",K101/VLOOKUP(AD101,#REF!,17,0)),"")</f>
        <v/>
      </c>
      <c r="N101" s="67"/>
      <c r="O101" s="67"/>
      <c r="P101" s="67" t="str">
        <f>IF(B101="","",VLOOKUP(AD101,#REF!,7,0)*K101)</f>
        <v/>
      </c>
      <c r="Q101" s="67" t="str">
        <f>IF(B101="","",VLOOKUP(AD101,#REF!,8,0))</f>
        <v/>
      </c>
      <c r="R101" s="67" t="str">
        <f>IF(B101="","",VLOOKUP(AD101,#REF!,9,0))</f>
        <v/>
      </c>
      <c r="S101" s="67" t="str">
        <f>IF(B101="","",VLOOKUP(AD101,#REF!,10,0))</f>
        <v/>
      </c>
      <c r="T101" s="67" t="str">
        <f>IF(B101="","",VLOOKUP(AD101,#REF!,11,0))</f>
        <v/>
      </c>
      <c r="U101" s="67" t="str">
        <f>IF(B101="","",VLOOKUP(AD101,#REF!,12,0))</f>
        <v/>
      </c>
      <c r="V101" s="67" t="str">
        <f>IF(B101="","",VLOOKUP(AD101,#REF!,13,0))</f>
        <v/>
      </c>
      <c r="W101" s="67" t="str">
        <f>IF(B101="","",VLOOKUP(AD101,#REF!,14,0))</f>
        <v/>
      </c>
      <c r="X101" s="69"/>
      <c r="Y101" s="69"/>
      <c r="Z101" s="67"/>
      <c r="AA101" s="67" t="str">
        <f>IF(B101="","",VLOOKUP(AD101,#REF!,15,0))</f>
        <v/>
      </c>
      <c r="AB101" s="67" t="str">
        <f>IF(B101="","",VLOOKUP(AD101,#REF!,16,0))</f>
        <v/>
      </c>
    </row>
    <row r="102" spans="1:30" x14ac:dyDescent="0.25">
      <c r="A102" s="8" t="s">
        <v>137</v>
      </c>
      <c r="B102" s="67"/>
      <c r="C102" s="42" t="str">
        <f>IF(B102="","",VLOOKUP(AD102,#REF!,3,0))</f>
        <v/>
      </c>
      <c r="D102" s="42"/>
      <c r="E102" s="42"/>
      <c r="F102" s="67"/>
      <c r="G102" s="67"/>
      <c r="H102" s="67" t="str">
        <f>IF(B102="","",VLOOKUP(AD102,#REF!,5,0))</f>
        <v/>
      </c>
      <c r="I102" s="67" t="str">
        <f>IF(B102="","",VLOOKUP(AD102,#REF!,19,0))</f>
        <v/>
      </c>
      <c r="J102" s="67" t="str">
        <f>IF(B102="","",VLOOKUP(AD102,#REF!,6,0))</f>
        <v/>
      </c>
      <c r="K102" s="67"/>
      <c r="L102" s="67"/>
      <c r="M102" s="67" t="str">
        <f>IFERROR(IF(B102="","",K102/VLOOKUP(AD102,#REF!,17,0)),"")</f>
        <v/>
      </c>
      <c r="N102" s="67"/>
      <c r="O102" s="67"/>
      <c r="P102" s="67" t="str">
        <f>IF(B102="","",VLOOKUP(AD102,#REF!,7,0)*K102)</f>
        <v/>
      </c>
      <c r="Q102" s="67" t="str">
        <f>IF(B102="","",VLOOKUP(AD102,#REF!,8,0))</f>
        <v/>
      </c>
      <c r="R102" s="67" t="str">
        <f>IF(B102="","",VLOOKUP(AD102,#REF!,9,0))</f>
        <v/>
      </c>
      <c r="S102" s="67" t="str">
        <f>IF(B102="","",VLOOKUP(AD102,#REF!,10,0))</f>
        <v/>
      </c>
      <c r="T102" s="67" t="str">
        <f>IF(B102="","",VLOOKUP(AD102,#REF!,11,0))</f>
        <v/>
      </c>
      <c r="U102" s="67" t="str">
        <f>IF(B102="","",VLOOKUP(AD102,#REF!,12,0))</f>
        <v/>
      </c>
      <c r="V102" s="67" t="str">
        <f>IF(B102="","",VLOOKUP(AD102,#REF!,13,0))</f>
        <v/>
      </c>
      <c r="W102" s="67" t="str">
        <f>IF(B102="","",VLOOKUP(AD102,#REF!,14,0))</f>
        <v/>
      </c>
      <c r="X102" s="69"/>
      <c r="Y102" s="69"/>
      <c r="Z102" s="67"/>
      <c r="AA102" s="67" t="str">
        <f>IF(B102="","",VLOOKUP(AD102,#REF!,15,0))</f>
        <v/>
      </c>
      <c r="AB102" s="67" t="str">
        <f>IF(B102="","",VLOOKUP(AD102,#REF!,16,0))</f>
        <v/>
      </c>
    </row>
    <row r="103" spans="1:30" x14ac:dyDescent="0.25">
      <c r="A103" s="8" t="s">
        <v>138</v>
      </c>
      <c r="B103" s="67"/>
      <c r="C103" s="42" t="str">
        <f>IF(B103="","",VLOOKUP(AD103,#REF!,3,0))</f>
        <v/>
      </c>
      <c r="D103" s="42"/>
      <c r="E103" s="42"/>
      <c r="F103" s="67"/>
      <c r="G103" s="67"/>
      <c r="H103" s="67" t="str">
        <f>IF(B103="","",VLOOKUP(AD103,#REF!,5,0))</f>
        <v/>
      </c>
      <c r="I103" s="67" t="str">
        <f>IF(B103="","",VLOOKUP(AD103,#REF!,19,0))</f>
        <v/>
      </c>
      <c r="J103" s="67" t="str">
        <f>IF(B103="","",VLOOKUP(AD103,#REF!,6,0))</f>
        <v/>
      </c>
      <c r="K103" s="67"/>
      <c r="L103" s="67"/>
      <c r="M103" s="67" t="str">
        <f>IFERROR(IF(B103="","",K103/VLOOKUP(AD103,#REF!,17,0)),"")</f>
        <v/>
      </c>
      <c r="N103" s="67"/>
      <c r="O103" s="67"/>
      <c r="P103" s="67" t="str">
        <f>IF(B103="","",VLOOKUP(AD103,#REF!,7,0)*K103)</f>
        <v/>
      </c>
      <c r="Q103" s="67" t="str">
        <f>IF(B103="","",VLOOKUP(AD103,#REF!,8,0))</f>
        <v/>
      </c>
      <c r="R103" s="67" t="str">
        <f>IF(B103="","",VLOOKUP(AD103,#REF!,9,0))</f>
        <v/>
      </c>
      <c r="S103" s="67" t="str">
        <f>IF(B103="","",VLOOKUP(AD103,#REF!,10,0))</f>
        <v/>
      </c>
      <c r="T103" s="67" t="str">
        <f>IF(B103="","",VLOOKUP(AD103,#REF!,11,0))</f>
        <v/>
      </c>
      <c r="U103" s="67" t="str">
        <f>IF(B103="","",VLOOKUP(AD103,#REF!,12,0))</f>
        <v/>
      </c>
      <c r="V103" s="67" t="str">
        <f>IF(B103="","",VLOOKUP(AD103,#REF!,13,0))</f>
        <v/>
      </c>
      <c r="W103" s="67" t="str">
        <f>IF(B103="","",VLOOKUP(AD103,#REF!,14,0))</f>
        <v/>
      </c>
      <c r="X103" s="69"/>
      <c r="Y103" s="69"/>
      <c r="Z103" s="67"/>
      <c r="AA103" s="67" t="str">
        <f>IF(B103="","",VLOOKUP(AD103,#REF!,15,0))</f>
        <v/>
      </c>
      <c r="AB103" s="67" t="str">
        <f>IF(B103="","",VLOOKUP(AD103,#REF!,16,0))</f>
        <v/>
      </c>
    </row>
    <row r="104" spans="1:30" x14ac:dyDescent="0.25">
      <c r="A104" s="8" t="s">
        <v>139</v>
      </c>
      <c r="B104" s="67"/>
      <c r="C104" s="42" t="str">
        <f>IF(B104="","",VLOOKUP(AD104,#REF!,3,0))</f>
        <v/>
      </c>
      <c r="D104" s="42"/>
      <c r="E104" s="42"/>
      <c r="F104" s="67"/>
      <c r="G104" s="67"/>
      <c r="H104" s="67" t="str">
        <f>IF(B104="","",VLOOKUP(AD104,#REF!,5,0))</f>
        <v/>
      </c>
      <c r="I104" s="67" t="str">
        <f>IF(B104="","",VLOOKUP(AD104,#REF!,19,0))</f>
        <v/>
      </c>
      <c r="J104" s="67" t="str">
        <f>IF(B104="","",VLOOKUP(AD104,#REF!,6,0))</f>
        <v/>
      </c>
      <c r="K104" s="67"/>
      <c r="L104" s="67"/>
      <c r="M104" s="67" t="str">
        <f>IFERROR(IF(B104="","",K104/VLOOKUP(AD104,#REF!,17,0)),"")</f>
        <v/>
      </c>
      <c r="N104" s="67"/>
      <c r="O104" s="67"/>
      <c r="P104" s="67" t="str">
        <f>IF(B104="","",VLOOKUP(AD104,#REF!,7,0)*K104)</f>
        <v/>
      </c>
      <c r="Q104" s="67" t="str">
        <f>IF(B104="","",VLOOKUP(AD104,#REF!,8,0))</f>
        <v/>
      </c>
      <c r="R104" s="67" t="str">
        <f>IF(B104="","",VLOOKUP(AD104,#REF!,9,0))</f>
        <v/>
      </c>
      <c r="S104" s="67" t="str">
        <f>IF(B104="","",VLOOKUP(AD104,#REF!,10,0))</f>
        <v/>
      </c>
      <c r="T104" s="67" t="str">
        <f>IF(B104="","",VLOOKUP(AD104,#REF!,11,0))</f>
        <v/>
      </c>
      <c r="U104" s="67" t="str">
        <f>IF(B104="","",VLOOKUP(AD104,#REF!,12,0))</f>
        <v/>
      </c>
      <c r="V104" s="67" t="str">
        <f>IF(B104="","",VLOOKUP(AD104,#REF!,13,0))</f>
        <v/>
      </c>
      <c r="W104" s="67" t="str">
        <f>IF(B104="","",VLOOKUP(AD104,#REF!,14,0))</f>
        <v/>
      </c>
      <c r="X104" s="69"/>
      <c r="Y104" s="69"/>
      <c r="Z104" s="67"/>
      <c r="AA104" s="67" t="str">
        <f>IF(B104="","",VLOOKUP(AD104,#REF!,15,0))</f>
        <v/>
      </c>
      <c r="AB104" s="67" t="str">
        <f>IF(B104="","",VLOOKUP(AD104,#REF!,16,0))</f>
        <v/>
      </c>
    </row>
    <row r="105" spans="1:30" x14ac:dyDescent="0.25">
      <c r="A105" s="8" t="s">
        <v>140</v>
      </c>
      <c r="B105" s="67"/>
      <c r="C105" s="42" t="str">
        <f>IF(B105="","",VLOOKUP(AD105,#REF!,3,0))</f>
        <v/>
      </c>
      <c r="D105" s="42"/>
      <c r="E105" s="42"/>
      <c r="F105" s="67"/>
      <c r="G105" s="67"/>
      <c r="H105" s="67" t="str">
        <f>IF(B105="","",VLOOKUP(AD105,#REF!,5,0))</f>
        <v/>
      </c>
      <c r="I105" s="67" t="str">
        <f>IF(B105="","",VLOOKUP(AD105,#REF!,19,0))</f>
        <v/>
      </c>
      <c r="J105" s="67" t="str">
        <f>IF(B105="","",VLOOKUP(AD105,#REF!,6,0))</f>
        <v/>
      </c>
      <c r="K105" s="67"/>
      <c r="L105" s="67"/>
      <c r="M105" s="67" t="str">
        <f>IFERROR(IF(B105="","",K105/VLOOKUP(AD105,#REF!,17,0)),"")</f>
        <v/>
      </c>
      <c r="N105" s="67"/>
      <c r="O105" s="67"/>
      <c r="P105" s="67" t="str">
        <f>IF(B105="","",VLOOKUP(AD105,#REF!,7,0)*K105)</f>
        <v/>
      </c>
      <c r="Q105" s="67" t="str">
        <f>IF(B105="","",VLOOKUP(AD105,#REF!,8,0))</f>
        <v/>
      </c>
      <c r="R105" s="67" t="str">
        <f>IF(B105="","",VLOOKUP(AD105,#REF!,9,0))</f>
        <v/>
      </c>
      <c r="S105" s="67" t="str">
        <f>IF(B105="","",VLOOKUP(AD105,#REF!,10,0))</f>
        <v/>
      </c>
      <c r="T105" s="67" t="str">
        <f>IF(B105="","",VLOOKUP(AD105,#REF!,11,0))</f>
        <v/>
      </c>
      <c r="U105" s="67" t="str">
        <f>IF(B105="","",VLOOKUP(AD105,#REF!,12,0))</f>
        <v/>
      </c>
      <c r="V105" s="67" t="str">
        <f>IF(B105="","",VLOOKUP(AD105,#REF!,13,0))</f>
        <v/>
      </c>
      <c r="W105" s="67" t="str">
        <f>IF(B105="","",VLOOKUP(AD105,#REF!,14,0))</f>
        <v/>
      </c>
      <c r="X105" s="69"/>
      <c r="Y105" s="69"/>
      <c r="Z105" s="67"/>
      <c r="AA105" s="67" t="str">
        <f>IF(B105="","",VLOOKUP(AD105,#REF!,15,0))</f>
        <v/>
      </c>
      <c r="AB105" s="67" t="str">
        <f>IF(B105="","",VLOOKUP(AD105,#REF!,16,0))</f>
        <v/>
      </c>
    </row>
  </sheetData>
  <mergeCells count="6">
    <mergeCell ref="B85:AB85"/>
    <mergeCell ref="A1:AC1"/>
    <mergeCell ref="A2:Z2"/>
    <mergeCell ref="AB2:AC2"/>
    <mergeCell ref="A54:AB54"/>
    <mergeCell ref="A79:AB79"/>
  </mergeCells>
  <phoneticPr fontId="5" type="noConversion"/>
  <pageMargins left="0.31496062992125984" right="0.31496062992125984" top="0.35433070866141736" bottom="0.35433070866141736" header="0.31496062992125984" footer="0.31496062992125984"/>
  <pageSetup paperSize="9" scale="44" fitToHeight="4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0"/>
  <sheetViews>
    <sheetView zoomScale="70" zoomScaleNormal="70" workbookViewId="0">
      <selection activeCell="I26" sqref="I26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hidden="1" customWidth="1"/>
    <col min="6" max="6" width="14" style="140" customWidth="1"/>
    <col min="7" max="7" width="14.140625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1.28515625" style="140" customWidth="1"/>
    <col min="13" max="13" width="10.42578125" style="140" customWidth="1"/>
    <col min="14" max="14" width="13.28515625" style="140" hidden="1" customWidth="1"/>
    <col min="15" max="15" width="6.28515625" style="140" hidden="1" customWidth="1"/>
    <col min="16" max="16" width="11.5703125" style="140" hidden="1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1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1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46199</v>
      </c>
      <c r="AB2" s="185">
        <v>0.625</v>
      </c>
      <c r="AC2" s="186"/>
    </row>
    <row r="3" spans="1:31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1" ht="47.25" x14ac:dyDescent="0.25">
      <c r="A4" s="8" t="s">
        <v>26</v>
      </c>
      <c r="B4" s="67" t="s">
        <v>268</v>
      </c>
      <c r="C4" s="42">
        <f>IF(B4="","",VLOOKUP(AD4,Varsayımlar!$B:$Q,3,0))</f>
        <v>8698829380698</v>
      </c>
      <c r="D4" s="42" t="s">
        <v>159</v>
      </c>
      <c r="E4" s="67" t="s">
        <v>278</v>
      </c>
      <c r="F4" s="67">
        <v>20250825</v>
      </c>
      <c r="G4" s="42" t="s">
        <v>68</v>
      </c>
      <c r="H4" s="67" t="str">
        <f>IF(B4="","",VLOOKUP(AD4,Varsayımlar!$B:$Q,5,0))</f>
        <v>Magnit Tortillas 25cm Peynirli</v>
      </c>
      <c r="I4" s="67" t="str">
        <f>IF(B4="","",VLOOKUP(AD4,Varsayımlar!B:T,19,0))</f>
        <v>Etiketli</v>
      </c>
      <c r="J4" s="67" t="str">
        <f>IF(B4="","",VLOOKUP(AD4,Varsayımlar!$B:$Q,6,0))</f>
        <v>Peynirli</v>
      </c>
      <c r="K4" s="67">
        <v>420</v>
      </c>
      <c r="L4" s="67"/>
      <c r="M4" s="67">
        <f>IFERROR(IF(B4="","",K4/VLOOKUP(AD4,Varsayımlar!B:R,17,0)),"")</f>
        <v>5</v>
      </c>
      <c r="N4" s="67"/>
      <c r="O4" s="67">
        <v>3</v>
      </c>
      <c r="P4" s="67">
        <f>IF(B4="","",VLOOKUP(AD4,Varsayımlar!$B:$Q,7,0)*K4)</f>
        <v>12600</v>
      </c>
      <c r="Q4" s="67">
        <f>IF(B4="","",VLOOKUP(AD4,Varsayımlar!$B:$Q,8,0))</f>
        <v>25</v>
      </c>
      <c r="R4" s="67" t="str">
        <f>IF(B4="","",VLOOKUP(AD4,Varsayımlar!$B:$Q,9,0))</f>
        <v>Soft-PA3-AT</v>
      </c>
      <c r="S4" s="67">
        <f>IF(B4="","",VLOOKUP(AD4,Varsayımlar!$B:$Q,10,0))</f>
        <v>4</v>
      </c>
      <c r="T4" s="67">
        <f>IF(B4="","",VLOOKUP(AD4,Varsayımlar!$B:$Q,11,0))</f>
        <v>30</v>
      </c>
      <c r="U4" s="67">
        <f>IF(B4="","",VLOOKUP(AD4,Varsayımlar!$B:$Q,12,0))</f>
        <v>250</v>
      </c>
      <c r="V4" s="67" t="str">
        <f>IF(B4="","",VLOOKUP(AD4,Varsayımlar!$B:$Q,13,0))</f>
        <v>Yurtdışı</v>
      </c>
      <c r="W4" s="67">
        <f>IF(B4="","",VLOOKUP(AD4,Varsayımlar!$B:$Q,14,0))</f>
        <v>9</v>
      </c>
      <c r="X4" s="69">
        <v>46199</v>
      </c>
      <c r="Y4" s="69">
        <v>46472</v>
      </c>
      <c r="Z4" s="67" t="s">
        <v>377</v>
      </c>
      <c r="AA4" s="67" t="str">
        <f>IF(B4="","",VLOOKUP(AD4,Varsayımlar!$B:$Q,15,0))</f>
        <v>25cm Kolisi-Etiketli</v>
      </c>
      <c r="AB4" s="67" t="str">
        <f>IF(B4="","",VLOOKUP(AD4,Varsayımlar!$B:$Q,16,0))</f>
        <v>24-26 cm (Macca Hetto Inkjet Uzun Tarih)</v>
      </c>
      <c r="AC4" s="67" t="str">
        <f>IF(B4="","",VLOOKUP(Sayfa1!AD26,Varsayımlar!B:S,18,0))</f>
        <v>80x120cm</v>
      </c>
      <c r="AD4" s="57" t="str">
        <f t="shared" ref="AD4:AD32" si="0">IF(B4="","",CONCATENATE(B4,E4))</f>
        <v>LAIKYUZHN-BELARUSMagnit Tortillas 25cm Peynirli 4pcs 240g</v>
      </c>
    </row>
    <row r="5" spans="1:31" ht="63" x14ac:dyDescent="0.25">
      <c r="A5" s="8" t="s">
        <v>77</v>
      </c>
      <c r="B5" s="62" t="s">
        <v>181</v>
      </c>
      <c r="C5" s="32">
        <f>IF(B5="","",VLOOKUP(AD5,Varsayımlar!$B:$Q,3,0))</f>
        <v>8698829380698</v>
      </c>
      <c r="D5" s="32"/>
      <c r="E5" s="32" t="s">
        <v>372</v>
      </c>
      <c r="F5" s="62">
        <v>26060101</v>
      </c>
      <c r="G5" s="32"/>
      <c r="H5" s="62" t="str">
        <f>IF(B5="","",VLOOKUP(AD5,Varsayımlar!$B:$Q,5,0))</f>
        <v>Tortillove Tam Buğday 25cm</v>
      </c>
      <c r="I5" s="62" t="str">
        <f>IF(B5="","",VLOOKUP(AD5,Varsayımlar!B:T,19,0))</f>
        <v>Barkod üzerine Arnavutça TB içerik+Barkod-Tortillove</v>
      </c>
      <c r="J5" s="62" t="str">
        <f>IF(B5="","",VLOOKUP(AD5,Varsayımlar!$B:$Q,6,0))</f>
        <v>Tam Buğdaylı</v>
      </c>
      <c r="K5" s="62">
        <v>84</v>
      </c>
      <c r="L5" s="62"/>
      <c r="M5" s="62">
        <f>IFERROR(IF(B5="","",K5/VLOOKUP(AD5,Varsayımlar!B:R,17,0)),"")</f>
        <v>1</v>
      </c>
      <c r="N5" s="62"/>
      <c r="O5" s="62">
        <v>2</v>
      </c>
      <c r="P5" s="62">
        <f>IF(B5="","",VLOOKUP(AD5,Varsayımlar!$B:$Q,7,0)*K5)</f>
        <v>1512</v>
      </c>
      <c r="Q5" s="62">
        <f>IF(B5="","",VLOOKUP(AD5,Varsayımlar!$B:$Q,8,0))</f>
        <v>25</v>
      </c>
      <c r="R5" s="62" t="str">
        <f>IF(B5="","",VLOOKUP(AD5,Varsayımlar!$B:$Q,9,0))</f>
        <v>Irak Soft</v>
      </c>
      <c r="S5" s="62">
        <f>IF(B5="","",VLOOKUP(AD5,Varsayımlar!$B:$Q,10,0))</f>
        <v>6</v>
      </c>
      <c r="T5" s="62">
        <f>IF(B5="","",VLOOKUP(AD5,Varsayımlar!$B:$Q,11,0))</f>
        <v>18</v>
      </c>
      <c r="U5" s="62">
        <f>IF(B5="","",VLOOKUP(AD5,Varsayımlar!$B:$Q,12,0))</f>
        <v>390</v>
      </c>
      <c r="V5" s="62" t="str">
        <f>IF(B5="","",VLOOKUP(AD5,Varsayımlar!$B:$Q,13,0))</f>
        <v>Yurtdışı</v>
      </c>
      <c r="W5" s="62">
        <f>IF(B5="","",VLOOKUP(AD5,Varsayımlar!$B:$Q,14,0))</f>
        <v>12</v>
      </c>
      <c r="X5" s="63">
        <v>46200</v>
      </c>
      <c r="Y5" s="63">
        <v>46565</v>
      </c>
      <c r="Z5" s="62">
        <v>26062725</v>
      </c>
      <c r="AA5" s="62" t="str">
        <f>IF(B5="","",VLOOKUP(AD5,Varsayımlar!$B:$Q,15,0))</f>
        <v>25cm Koli - Tortillove 390g TB Etiketli</v>
      </c>
      <c r="AB5" s="62" t="str">
        <f>IF(B5="","",VLOOKUP(AD5,Varsayımlar!$B:$Q,16,0))</f>
        <v>24-26 cm</v>
      </c>
      <c r="AC5" s="62">
        <f>IF(B5="","",VLOOKUP(Sayfa1!AD29,Varsayımlar!B:S,18,0))</f>
        <v>0</v>
      </c>
      <c r="AD5" s="57" t="str">
        <f>IF(B5="","",CONCATENATE(B5,E5))</f>
        <v>ALDİ - KOSOVATortillove 25cm TB 6pcs 390g</v>
      </c>
    </row>
    <row r="6" spans="1:31" ht="63" x14ac:dyDescent="0.25">
      <c r="A6" s="8" t="s">
        <v>78</v>
      </c>
      <c r="B6" s="62" t="s">
        <v>181</v>
      </c>
      <c r="C6" s="32">
        <f>IF(B6="","",VLOOKUP(AD6,Varsayımlar!$B:$Q,3,0))</f>
        <v>8698829380698</v>
      </c>
      <c r="D6" s="32"/>
      <c r="E6" s="32" t="s">
        <v>251</v>
      </c>
      <c r="F6" s="62">
        <v>26060101</v>
      </c>
      <c r="G6" s="32"/>
      <c r="H6" s="62" t="str">
        <f>IF(B6="","",VLOOKUP(AD6,Varsayımlar!$B:$Q,5,0))</f>
        <v>Tortillas Tam Buğday 25cm</v>
      </c>
      <c r="I6" s="62" t="str">
        <f>IF(B6="","",VLOOKUP(AD6,Varsayımlar!B:T,19,0))</f>
        <v>Barkod üzerine Arnavutça TB içerik+Barkod-Tortillas</v>
      </c>
      <c r="J6" s="62" t="str">
        <f>IF(B6="","",VLOOKUP(AD6,Varsayımlar!$B:$Q,6,0))</f>
        <v>Tam Buğdaylı</v>
      </c>
      <c r="K6" s="62">
        <v>84</v>
      </c>
      <c r="L6" s="62"/>
      <c r="M6" s="62">
        <f>IFERROR(IF(B6="","",K6/VLOOKUP(AD6,Varsayımlar!B:R,17,0)),"")</f>
        <v>1</v>
      </c>
      <c r="N6" s="62"/>
      <c r="O6" s="62">
        <v>2</v>
      </c>
      <c r="P6" s="62">
        <f>IF(B6="","",VLOOKUP(AD6,Varsayımlar!$B:$Q,7,0)*K6)</f>
        <v>1512</v>
      </c>
      <c r="Q6" s="62">
        <f>IF(B6="","",VLOOKUP(AD6,Varsayımlar!$B:$Q,8,0))</f>
        <v>25</v>
      </c>
      <c r="R6" s="62" t="str">
        <f>IF(B6="","",VLOOKUP(AD6,Varsayımlar!$B:$Q,9,0))</f>
        <v>Irak Soft</v>
      </c>
      <c r="S6" s="62">
        <f>IF(B6="","",VLOOKUP(AD6,Varsayımlar!$B:$Q,10,0))</f>
        <v>6</v>
      </c>
      <c r="T6" s="62">
        <f>IF(B6="","",VLOOKUP(AD6,Varsayımlar!$B:$Q,11,0))</f>
        <v>18</v>
      </c>
      <c r="U6" s="62">
        <f>IF(B6="","",VLOOKUP(AD6,Varsayımlar!$B:$Q,12,0))</f>
        <v>390</v>
      </c>
      <c r="V6" s="62" t="str">
        <f>IF(B6="","",VLOOKUP(AD6,Varsayımlar!$B:$Q,13,0))</f>
        <v>Yurtdışı</v>
      </c>
      <c r="W6" s="62">
        <f>IF(B6="","",VLOOKUP(AD6,Varsayımlar!$B:$Q,14,0))</f>
        <v>12</v>
      </c>
      <c r="X6" s="63">
        <v>46200</v>
      </c>
      <c r="Y6" s="63">
        <v>46565</v>
      </c>
      <c r="Z6" s="62">
        <v>26062725</v>
      </c>
      <c r="AA6" s="62" t="str">
        <f>IF(B6="","",VLOOKUP(AD6,Varsayımlar!$B:$Q,15,0))</f>
        <v>25cm Koli - Tortillas 390g TB Etiketli</v>
      </c>
      <c r="AB6" s="62" t="str">
        <f>IF(B6="","",VLOOKUP(AD6,Varsayımlar!$B:$Q,16,0))</f>
        <v>24-26 cm</v>
      </c>
      <c r="AC6" s="62">
        <f>IF(B6="","",VLOOKUP(Sayfa1!AD30,Varsayımlar!B:S,18,0))</f>
        <v>0</v>
      </c>
      <c r="AD6" s="57" t="str">
        <f>IF(B6="","",CONCATENATE(B6,E6))</f>
        <v>ALDİ - KOSOVATortillas 25cm TB 6pcs 390g</v>
      </c>
    </row>
    <row r="7" spans="1:31" ht="45" customHeight="1" x14ac:dyDescent="0.25">
      <c r="A7" s="8" t="s">
        <v>79</v>
      </c>
      <c r="B7" s="54" t="s">
        <v>130</v>
      </c>
      <c r="C7" s="39">
        <f>IF(B7="","",VLOOKUP(AD7,Varsayımlar!$B:$Q,3,0))</f>
        <v>8698829380698</v>
      </c>
      <c r="D7" s="39"/>
      <c r="E7" s="39" t="s">
        <v>501</v>
      </c>
      <c r="F7" s="54"/>
      <c r="G7" s="39"/>
      <c r="H7" s="54" t="str">
        <f>IF(B7="","",VLOOKUP(AD7,Varsayımlar!$B:$Q,5,0))</f>
        <v>Tortillas 33cm</v>
      </c>
      <c r="I7" s="54">
        <f>IF(B7="","",VLOOKUP(AD7,Varsayımlar!B:T,19,0))</f>
        <v>0</v>
      </c>
      <c r="J7" s="54" t="str">
        <f>IF(B7="","",VLOOKUP(AD7,Varsayımlar!$B:$Q,6,0))</f>
        <v>Sade</v>
      </c>
      <c r="K7" s="54">
        <v>50</v>
      </c>
      <c r="L7" s="54" t="s">
        <v>529</v>
      </c>
      <c r="M7" s="54" t="str">
        <f>IFERROR(IF(B7="","",K7/VLOOKUP(AD7,Varsayımlar!B:R,17,0)),"")</f>
        <v/>
      </c>
      <c r="N7" s="54"/>
      <c r="O7" s="54">
        <v>6</v>
      </c>
      <c r="P7" s="54">
        <f>IF(B7="","",VLOOKUP(AD7,Varsayımlar!$B:$Q,7,0)*K7)</f>
        <v>600</v>
      </c>
      <c r="Q7" s="54">
        <f>IF(B7="","",VLOOKUP(AD7,Varsayımlar!$B:$Q,8,0))</f>
        <v>33</v>
      </c>
      <c r="R7" s="54" t="str">
        <f>IF(B7="","",VLOOKUP(AD7,Varsayımlar!$B:$Q,9,0))</f>
        <v>Irak Soft</v>
      </c>
      <c r="S7" s="54">
        <f>IF(B7="","",VLOOKUP(AD7,Varsayımlar!$B:$Q,10,0))</f>
        <v>10</v>
      </c>
      <c r="T7" s="54">
        <f>IF(B7="","",VLOOKUP(AD7,Varsayımlar!$B:$Q,11,0))</f>
        <v>12</v>
      </c>
      <c r="U7" s="54">
        <f>IF(B7="","",VLOOKUP(AD7,Varsayımlar!$B:$Q,12,0))</f>
        <v>1000</v>
      </c>
      <c r="V7" s="54" t="str">
        <f>IF(B7="","",VLOOKUP(AD7,Varsayımlar!$B:$Q,13,0))</f>
        <v>Yurtiçi</v>
      </c>
      <c r="W7" s="54">
        <f>IF(B7="","",VLOOKUP(AD7,Varsayımlar!$B:$Q,14,0))</f>
        <v>6</v>
      </c>
      <c r="X7" s="56" t="s">
        <v>113</v>
      </c>
      <c r="Y7" s="56" t="s">
        <v>113</v>
      </c>
      <c r="Z7" s="54" t="s">
        <v>113</v>
      </c>
      <c r="AA7" s="54" t="str">
        <f>IF(B7="","",VLOOKUP(AD7,Varsayımlar!$B:$Q,15,0))</f>
        <v>33cm Kolisi</v>
      </c>
      <c r="AB7" s="54" t="str">
        <f>IF(B7="","",VLOOKUP(AD7,Varsayımlar!$B:$Q,16,0))</f>
        <v>32-34cm</v>
      </c>
      <c r="AC7" s="54" t="str">
        <f>IF(B7="","",VLOOKUP(Sayfa1!AD24,Varsayımlar!B:S,18,0))</f>
        <v>80x120cm</v>
      </c>
      <c r="AD7" s="57" t="str">
        <f>IF(B7="","",CONCATENATE(B7,E7))</f>
        <v>KopuzTortillas 33cm 10pcs 1000g</v>
      </c>
    </row>
    <row r="8" spans="1:31" ht="47.25" x14ac:dyDescent="0.25">
      <c r="A8" s="8" t="s">
        <v>80</v>
      </c>
      <c r="B8" s="62" t="s">
        <v>181</v>
      </c>
      <c r="C8" s="32">
        <f>IF(B8="","",VLOOKUP(AD8,Varsayımlar!$B:$Q,3,0))</f>
        <v>8698829380698</v>
      </c>
      <c r="D8" s="32"/>
      <c r="E8" s="62" t="s">
        <v>182</v>
      </c>
      <c r="F8" s="62">
        <v>26060101</v>
      </c>
      <c r="G8" s="32"/>
      <c r="H8" s="62" t="str">
        <f>IF(B8="","",VLOOKUP(AD8,Varsayımlar!$B:$Q,5,0))</f>
        <v>Tortillove 30cm</v>
      </c>
      <c r="I8" s="62" t="str">
        <f>IF(B8="","",VLOOKUP(AD8,Varsayımlar!B:T,19,0))</f>
        <v>Arka kısma Arnavutça içerik-Tortillove</v>
      </c>
      <c r="J8" s="62" t="str">
        <f>IF(B8="","",VLOOKUP(AD8,Varsayımlar!$B:$Q,6,0))</f>
        <v>SADE</v>
      </c>
      <c r="K8" s="62">
        <v>100</v>
      </c>
      <c r="L8" s="62"/>
      <c r="M8" s="62">
        <f>IFERROR(IF(B8="","",K8/VLOOKUP(AD8,Varsayımlar!B:R,17,0)),"")</f>
        <v>2</v>
      </c>
      <c r="N8" s="62"/>
      <c r="O8" s="62">
        <v>2</v>
      </c>
      <c r="P8" s="62">
        <f>IF(B8="","",VLOOKUP(AD8,Varsayımlar!$B:$Q,7,0)*K8)</f>
        <v>1200</v>
      </c>
      <c r="Q8" s="62">
        <f>IF(B8="","",VLOOKUP(AD8,Varsayımlar!$B:$Q,8,0))</f>
        <v>30</v>
      </c>
      <c r="R8" s="62" t="str">
        <f>IF(B8="","",VLOOKUP(AD8,Varsayımlar!$B:$Q,9,0))</f>
        <v>Irak Soft</v>
      </c>
      <c r="S8" s="62">
        <f>IF(B8="","",VLOOKUP(AD8,Varsayımlar!$B:$Q,10,0))</f>
        <v>10</v>
      </c>
      <c r="T8" s="62">
        <f>IF(B8="","",VLOOKUP(AD8,Varsayımlar!$B:$Q,11,0))</f>
        <v>12</v>
      </c>
      <c r="U8" s="62">
        <f>IF(B8="","",VLOOKUP(AD8,Varsayımlar!$B:$Q,12,0))</f>
        <v>900</v>
      </c>
      <c r="V8" s="62" t="str">
        <f>IF(B8="","",VLOOKUP(AD8,Varsayımlar!$B:$Q,13,0))</f>
        <v>Yurtdışı</v>
      </c>
      <c r="W8" s="62">
        <f>IF(B8="","",VLOOKUP(AD8,Varsayımlar!$B:$Q,14,0))</f>
        <v>12</v>
      </c>
      <c r="X8" s="63">
        <v>46200</v>
      </c>
      <c r="Y8" s="63">
        <v>46565</v>
      </c>
      <c r="Z8" s="62">
        <v>26062730</v>
      </c>
      <c r="AA8" s="62" t="str">
        <f>IF(B8="","",VLOOKUP(AD8,Varsayımlar!$B:$Q,15,0))</f>
        <v>30cm Koli - Tortillove 900g Etiketli</v>
      </c>
      <c r="AB8" s="62" t="str">
        <f>IF(B8="","",VLOOKUP(AD8,Varsayımlar!$B:$Q,16,0))</f>
        <v>29-31 cm</v>
      </c>
      <c r="AC8" s="62">
        <f>IF(B8="","",VLOOKUP(Sayfa1!AD27,Varsayımlar!B:S,18,0))</f>
        <v>0</v>
      </c>
      <c r="AD8" s="57" t="str">
        <f>IF(B8="","",CONCATENATE(B8,E8))</f>
        <v>ALDİ - KOSOVATortillove 30cm 10pcs 900g</v>
      </c>
    </row>
    <row r="9" spans="1:31" ht="47.25" x14ac:dyDescent="0.25">
      <c r="A9" s="8" t="s">
        <v>81</v>
      </c>
      <c r="B9" s="62" t="s">
        <v>181</v>
      </c>
      <c r="C9" s="32">
        <f>IF(B9="","",VLOOKUP(AD9,Varsayımlar!$B:$Q,3,0))</f>
        <v>8698829380698</v>
      </c>
      <c r="D9" s="32"/>
      <c r="E9" s="62" t="s">
        <v>185</v>
      </c>
      <c r="F9" s="62">
        <v>26060101</v>
      </c>
      <c r="G9" s="32"/>
      <c r="H9" s="62" t="str">
        <f>IF(B9="","",VLOOKUP(AD9,Varsayımlar!$B:$Q,5,0))</f>
        <v>Tortillas 30cm</v>
      </c>
      <c r="I9" s="62" t="str">
        <f>IF(B9="","",VLOOKUP(AD9,Varsayımlar!B:T,19,0))</f>
        <v>Arka kısma Arnavutça içerik-Tortillas</v>
      </c>
      <c r="J9" s="62" t="str">
        <f>IF(B9="","",VLOOKUP(AD9,Varsayımlar!$B:$Q,6,0))</f>
        <v>SADE</v>
      </c>
      <c r="K9" s="62">
        <v>50</v>
      </c>
      <c r="L9" s="62"/>
      <c r="M9" s="62">
        <f>IFERROR(IF(B9="","",K9/VLOOKUP(AD9,Varsayımlar!B:R,17,0)),"")</f>
        <v>1</v>
      </c>
      <c r="N9" s="62"/>
      <c r="O9" s="62">
        <v>1</v>
      </c>
      <c r="P9" s="62">
        <f>IF(B9="","",VLOOKUP(AD9,Varsayımlar!$B:$Q,7,0)*K9)</f>
        <v>600</v>
      </c>
      <c r="Q9" s="62">
        <f>IF(B9="","",VLOOKUP(AD9,Varsayımlar!$B:$Q,8,0))</f>
        <v>30</v>
      </c>
      <c r="R9" s="62" t="str">
        <f>IF(B9="","",VLOOKUP(AD9,Varsayımlar!$B:$Q,9,0))</f>
        <v>Irak Soft</v>
      </c>
      <c r="S9" s="62">
        <f>IF(B9="","",VLOOKUP(AD9,Varsayımlar!$B:$Q,10,0))</f>
        <v>10</v>
      </c>
      <c r="T9" s="62">
        <f>IF(B9="","",VLOOKUP(AD9,Varsayımlar!$B:$Q,11,0))</f>
        <v>12</v>
      </c>
      <c r="U9" s="62">
        <f>IF(B9="","",VLOOKUP(AD9,Varsayımlar!$B:$Q,12,0))</f>
        <v>900</v>
      </c>
      <c r="V9" s="62" t="str">
        <f>IF(B9="","",VLOOKUP(AD9,Varsayımlar!$B:$Q,13,0))</f>
        <v>Yurtdışı</v>
      </c>
      <c r="W9" s="62">
        <f>IF(B9="","",VLOOKUP(AD9,Varsayımlar!$B:$Q,14,0))</f>
        <v>12</v>
      </c>
      <c r="X9" s="63">
        <v>46200</v>
      </c>
      <c r="Y9" s="63">
        <v>46565</v>
      </c>
      <c r="Z9" s="62">
        <v>26062730</v>
      </c>
      <c r="AA9" s="62" t="str">
        <f>IF(B9="","",VLOOKUP(AD9,Varsayımlar!$B:$Q,15,0))</f>
        <v>30cm Koli - Tortillas 900g Etiketli</v>
      </c>
      <c r="AB9" s="62" t="str">
        <f>IF(B9="","",VLOOKUP(AD9,Varsayımlar!$B:$Q,16,0))</f>
        <v>29-31 cm</v>
      </c>
      <c r="AC9" s="62">
        <f>IF(B9="","",VLOOKUP(Sayfa1!AD28,Varsayımlar!B:S,18,0))</f>
        <v>0</v>
      </c>
      <c r="AD9" s="57" t="str">
        <f>IF(B9="","",CONCATENATE(B9,E9))</f>
        <v>ALDİ - KOSOVATortillas 30cm 10pcs 900g</v>
      </c>
    </row>
    <row r="10" spans="1:31" ht="54.75" customHeight="1" x14ac:dyDescent="0.25">
      <c r="A10" s="8" t="s">
        <v>82</v>
      </c>
      <c r="B10" s="73" t="s">
        <v>95</v>
      </c>
      <c r="C10" s="71">
        <f>IF(B10="","",VLOOKUP(AD10,Varsayımlar!$B:$Q,3,0))</f>
        <v>8698829380698</v>
      </c>
      <c r="D10" s="71"/>
      <c r="E10" s="157" t="s">
        <v>114</v>
      </c>
      <c r="F10" s="73"/>
      <c r="G10" s="73"/>
      <c r="H10" s="73" t="str">
        <f>IF(B10="","",VLOOKUP(AD10,Varsayımlar!$B:$Q,5,0))</f>
        <v>Bisto 25 cm</v>
      </c>
      <c r="I10" s="73"/>
      <c r="J10" s="73" t="str">
        <f>IF(B10="","",VLOOKUP(AD10,Varsayımlar!$B:$Q,6,0))</f>
        <v>SADE</v>
      </c>
      <c r="K10" s="73">
        <v>720</v>
      </c>
      <c r="L10" s="73"/>
      <c r="M10" s="73">
        <f>IFERROR(IF(B10="","",K10/VLOOKUP(AD10,Varsayımlar!B:R,17,0)),"")</f>
        <v>15</v>
      </c>
      <c r="N10" s="73"/>
      <c r="O10" s="73">
        <v>6</v>
      </c>
      <c r="P10" s="73">
        <f>IF(B10="","",VLOOKUP(AD10,Varsayımlar!$B:$Q,7,0)*K10)</f>
        <v>8640</v>
      </c>
      <c r="Q10" s="73">
        <f>IF(B10="","",VLOOKUP(AD10,Varsayımlar!$B:$Q,8,0))</f>
        <v>25</v>
      </c>
      <c r="R10" s="73" t="str">
        <f>IF(B10="","",VLOOKUP(AD10,Varsayımlar!$B:$Q,9,0))</f>
        <v>Standart</v>
      </c>
      <c r="S10" s="73">
        <f>IF(B10="","",VLOOKUP(AD10,Varsayımlar!$B:$Q,10,0))</f>
        <v>12</v>
      </c>
      <c r="T10" s="73">
        <f>IF(B10="","",VLOOKUP(AD10,Varsayımlar!$B:$Q,11,0))</f>
        <v>12</v>
      </c>
      <c r="U10" s="73">
        <f>IF(B10="","",VLOOKUP(AD10,Varsayımlar!$B:$Q,12,0))</f>
        <v>840</v>
      </c>
      <c r="V10" s="73" t="str">
        <f>IF(B10="","",VLOOKUP(AD10,Varsayımlar!$B:$Q,13,0))</f>
        <v>Yurtiçi</v>
      </c>
      <c r="W10" s="73">
        <f>IF(B10="","",VLOOKUP(AD10,Varsayımlar!$B:$Q,14,0))</f>
        <v>6</v>
      </c>
      <c r="X10" s="158" t="s">
        <v>113</v>
      </c>
      <c r="Y10" s="158" t="s">
        <v>113</v>
      </c>
      <c r="Z10" s="73" t="s">
        <v>113</v>
      </c>
      <c r="AA10" s="73" t="str">
        <f>IF(B10="","",VLOOKUP(AD10,Varsayımlar!$B:$Q,15,0))</f>
        <v>Bisto Kolisi</v>
      </c>
      <c r="AB10" s="73" t="str">
        <f>IF(B10="","",VLOOKUP(AD10,Varsayımlar!$B:$Q,16,0))</f>
        <v>24-26 Cm</v>
      </c>
      <c r="AC10" s="64"/>
      <c r="AD10" s="57" t="str">
        <f t="shared" ref="AD10" si="1">IF(B10="","",CONCATENATE(B10,E10))</f>
        <v>Şok MarketBisto 25 cm 12 pcs 840g</v>
      </c>
      <c r="AE10" s="140" t="s">
        <v>543</v>
      </c>
    </row>
    <row r="11" spans="1:31" ht="45.75" customHeight="1" x14ac:dyDescent="0.25">
      <c r="A11" s="8" t="s">
        <v>83</v>
      </c>
      <c r="B11" s="130" t="s">
        <v>119</v>
      </c>
      <c r="C11" s="131">
        <f>IF(B11="","",VLOOKUP(AD11,Varsayımlar!$B:$Q,3,0))</f>
        <v>8698829380698</v>
      </c>
      <c r="D11" s="131"/>
      <c r="E11" s="132" t="s">
        <v>120</v>
      </c>
      <c r="F11" s="130"/>
      <c r="G11" s="130"/>
      <c r="H11" s="130" t="str">
        <f>IF(B11="","",VLOOKUP(AD11,Varsayımlar!$B:$Q,5,0))</f>
        <v>Nimet 25 cm</v>
      </c>
      <c r="I11" s="130"/>
      <c r="J11" s="130" t="str">
        <f>IF(B11="","",VLOOKUP(AD11,Varsayımlar!$B:$Q,6,0))</f>
        <v>SADE</v>
      </c>
      <c r="K11" s="130">
        <v>4000</v>
      </c>
      <c r="L11" s="130"/>
      <c r="M11" s="130">
        <f>IFERROR(IF(B11="","",K11/VLOOKUP(AD11,Varsayımlar!B:R,17,0)),"")</f>
        <v>80</v>
      </c>
      <c r="N11" s="130"/>
      <c r="O11" s="130">
        <v>34</v>
      </c>
      <c r="P11" s="130">
        <f>IF(B11="","",VLOOKUP(AD11,Varsayımlar!$B:$Q,7,0)*K11)</f>
        <v>48000</v>
      </c>
      <c r="Q11" s="130">
        <f>IF(B11="","",VLOOKUP(AD11,Varsayımlar!$B:$Q,8,0))</f>
        <v>25</v>
      </c>
      <c r="R11" s="130" t="str">
        <f>IF(B11="","",VLOOKUP(AD11,Varsayımlar!$B:$Q,9,0))</f>
        <v>Standart</v>
      </c>
      <c r="S11" s="130">
        <f>IF(B11="","",VLOOKUP(AD11,Varsayımlar!$B:$Q,10,0))</f>
        <v>12</v>
      </c>
      <c r="T11" s="130">
        <f>IF(B11="","",VLOOKUP(AD11,Varsayımlar!$B:$Q,11,0))</f>
        <v>12</v>
      </c>
      <c r="U11" s="130">
        <f>IF(B11="","",VLOOKUP(AD11,Varsayımlar!$B:$Q,12,0))</f>
        <v>840</v>
      </c>
      <c r="V11" s="130" t="str">
        <f>IF(B11="","",VLOOKUP(AD11,Varsayımlar!$B:$Q,13,0))</f>
        <v>YURTİÇİ</v>
      </c>
      <c r="W11" s="130">
        <f>IF(B11="","",VLOOKUP(AD11,Varsayımlar!$B:$Q,14,0))</f>
        <v>5</v>
      </c>
      <c r="X11" s="133" t="s">
        <v>113</v>
      </c>
      <c r="Y11" s="133" t="s">
        <v>113</v>
      </c>
      <c r="Z11" s="130" t="s">
        <v>113</v>
      </c>
      <c r="AA11" s="130" t="str">
        <f>IF(B11="","",VLOOKUP(AD11,Varsayımlar!$B:$Q,15,0))</f>
        <v>Nimet Kolisi</v>
      </c>
      <c r="AB11" s="130" t="str">
        <f>IF(B11="","",VLOOKUP(AD11,Varsayımlar!$B:$Q,16,0))</f>
        <v>24-26 CM</v>
      </c>
      <c r="AC11" s="64" t="s">
        <v>360</v>
      </c>
      <c r="AD11" s="57" t="str">
        <f>IF(B11="","",CONCATENATE(B11,E11))</f>
        <v>A101Nimet 25cm 12 pcs 840g</v>
      </c>
      <c r="AE11" s="140" t="s">
        <v>543</v>
      </c>
    </row>
    <row r="12" spans="1:31" ht="47.25" x14ac:dyDescent="0.25">
      <c r="A12" s="8" t="s">
        <v>84</v>
      </c>
      <c r="B12" s="64" t="s">
        <v>288</v>
      </c>
      <c r="C12" s="3">
        <f>IF(B12="","",VLOOKUP(AD12,Varsayımlar!$B:$Q,3,0))</f>
        <v>8698829380698</v>
      </c>
      <c r="D12" s="3"/>
      <c r="E12" s="64" t="s">
        <v>289</v>
      </c>
      <c r="F12" s="64">
        <v>20201016</v>
      </c>
      <c r="G12" s="3" t="s">
        <v>68</v>
      </c>
      <c r="H12" s="64" t="str">
        <f>IF(B12="","",VLOOKUP(AD12,Varsayımlar!$B:$Q,5,0))</f>
        <v>Tortillas 25cm Tam Buğday</v>
      </c>
      <c r="I12" s="64" t="str">
        <f>IF(B12="","",VLOOKUP(AD12,Varsayımlar!B:T,19,0))</f>
        <v>Arka kısma İçerik</v>
      </c>
      <c r="J12" s="64" t="str">
        <f>IF(B12="","",VLOOKUP(AD12,Varsayımlar!$B:$Q,6,0))</f>
        <v>Tam Buğdaylı</v>
      </c>
      <c r="K12" s="64">
        <v>250</v>
      </c>
      <c r="L12" s="64"/>
      <c r="M12" s="64">
        <f>IFERROR(IF(B12="","",K12/VLOOKUP(AD12,Varsayımlar!B:R,17,0)),"")</f>
        <v>5</v>
      </c>
      <c r="N12" s="64"/>
      <c r="O12" s="64">
        <v>4</v>
      </c>
      <c r="P12" s="64">
        <f>IF(B12="","",VLOOKUP(AD12,Varsayımlar!$B:$Q,7,0)*K12)</f>
        <v>4500</v>
      </c>
      <c r="Q12" s="64">
        <f>IF(B12="","",VLOOKUP(AD12,Varsayımlar!$B:$Q,8,0))</f>
        <v>25</v>
      </c>
      <c r="R12" s="64" t="str">
        <f>IF(B12="","",VLOOKUP(AD12,Varsayımlar!$B:$Q,9,0))</f>
        <v>Irak Soft</v>
      </c>
      <c r="S12" s="64">
        <f>IF(B12="","",VLOOKUP(AD12,Varsayımlar!$B:$Q,10,0))</f>
        <v>6</v>
      </c>
      <c r="T12" s="64">
        <f>IF(B12="","",VLOOKUP(AD12,Varsayımlar!$B:$Q,11,0))</f>
        <v>18</v>
      </c>
      <c r="U12" s="64">
        <f>IF(B12="","",VLOOKUP(AD12,Varsayımlar!$B:$Q,12,0))</f>
        <v>390</v>
      </c>
      <c r="V12" s="64" t="str">
        <f>IF(B12="","",VLOOKUP(AD12,Varsayımlar!$B:$Q,13,0))</f>
        <v>YURTDIŞI</v>
      </c>
      <c r="W12" s="64">
        <f>IF(B12="","",VLOOKUP(AD12,Varsayımlar!$B:$Q,14,0))</f>
        <v>9</v>
      </c>
      <c r="X12" s="66">
        <v>46202</v>
      </c>
      <c r="Y12" s="66">
        <v>46475</v>
      </c>
      <c r="Z12" s="64" t="s">
        <v>378</v>
      </c>
      <c r="AA12" s="64" t="str">
        <f>IF(B12="","",VLOOKUP(AD12,Varsayımlar!$B:$Q,15,0))</f>
        <v>25cm Koli-Kazakça Etiketli</v>
      </c>
      <c r="AB12" s="64" t="str">
        <f>IF(B12="","",VLOOKUP(AD12,Varsayımlar!$B:$Q,16,0))</f>
        <v>24-26 cm</v>
      </c>
      <c r="AC12" s="64" t="str">
        <f>IF(B12="","",VLOOKUP(Sayfa1!AD40,Varsayımlar!B:S,18,0))</f>
        <v>80x120cm</v>
      </c>
      <c r="AD12" s="57" t="str">
        <f t="shared" si="0"/>
        <v>UNITERA-KAZAKİSTANTortillas 25cm Tam Buğday 6pcs 390g</v>
      </c>
    </row>
    <row r="13" spans="1:31" ht="47.25" x14ac:dyDescent="0.25">
      <c r="A13" s="8" t="s">
        <v>85</v>
      </c>
      <c r="B13" s="64" t="s">
        <v>288</v>
      </c>
      <c r="C13" s="3">
        <f>IF(B13="","",VLOOKUP(AD13,Varsayımlar!$B:$Q,3,0))</f>
        <v>8698829380698</v>
      </c>
      <c r="D13" s="3"/>
      <c r="E13" s="64" t="s">
        <v>252</v>
      </c>
      <c r="F13" s="64">
        <v>20201016</v>
      </c>
      <c r="G13" s="3" t="s">
        <v>68</v>
      </c>
      <c r="H13" s="64" t="str">
        <f>IF(B13="","",VLOOKUP(AD13,Varsayımlar!$B:$Q,5,0))</f>
        <v>Tortillas 20cm Sade</v>
      </c>
      <c r="I13" s="64" t="str">
        <f>IF(B13="","",VLOOKUP(AD13,Varsayımlar!B:T,19,0))</f>
        <v>Arka kısma İçerik</v>
      </c>
      <c r="J13" s="64" t="str">
        <f>IF(B13="","",VLOOKUP(AD13,Varsayımlar!$B:$Q,6,0))</f>
        <v>SADE</v>
      </c>
      <c r="K13" s="64">
        <v>300</v>
      </c>
      <c r="L13" s="64"/>
      <c r="M13" s="64">
        <f>IFERROR(IF(B13="","",K13/VLOOKUP(AD13,Varsayımlar!B:R,17,0)),"")</f>
        <v>3</v>
      </c>
      <c r="N13" s="64"/>
      <c r="O13" s="64">
        <v>5</v>
      </c>
      <c r="P13" s="64">
        <f>IF(B13="","",VLOOKUP(AD13,Varsayımlar!$B:$Q,7,0)*K13)</f>
        <v>5400</v>
      </c>
      <c r="Q13" s="64">
        <f>IF(B13="","",VLOOKUP(AD13,Varsayımlar!$B:$Q,8,0))</f>
        <v>20</v>
      </c>
      <c r="R13" s="64" t="str">
        <f>IF(B13="","",VLOOKUP(AD13,Varsayımlar!$B:$Q,9,0))</f>
        <v>Irak Soft</v>
      </c>
      <c r="S13" s="64">
        <f>IF(B13="","",VLOOKUP(AD13,Varsayımlar!$B:$Q,10,0))</f>
        <v>6</v>
      </c>
      <c r="T13" s="64">
        <f>IF(B13="","",VLOOKUP(AD13,Varsayımlar!$B:$Q,11,0))</f>
        <v>18</v>
      </c>
      <c r="U13" s="64">
        <f>IF(B13="","",VLOOKUP(AD13,Varsayımlar!$B:$Q,12,0))</f>
        <v>270</v>
      </c>
      <c r="V13" s="64" t="str">
        <f>IF(B13="","",VLOOKUP(AD13,Varsayımlar!$B:$Q,13,0))</f>
        <v>YURTDIŞI</v>
      </c>
      <c r="W13" s="64">
        <f>IF(B13="","",VLOOKUP(AD13,Varsayımlar!$B:$Q,14,0))</f>
        <v>9</v>
      </c>
      <c r="X13" s="66">
        <v>46202</v>
      </c>
      <c r="Y13" s="66">
        <v>46475</v>
      </c>
      <c r="Z13" s="64">
        <v>26062920</v>
      </c>
      <c r="AA13" s="64" t="str">
        <f>IF(B13="","",VLOOKUP(AD13,Varsayımlar!$B:$Q,15,0))</f>
        <v>20cm Koli</v>
      </c>
      <c r="AB13" s="64" t="str">
        <f>IF(B13="","",VLOOKUP(AD13,Varsayımlar!$B:$Q,16,0))</f>
        <v>19-21cm</v>
      </c>
      <c r="AC13" s="64" t="str">
        <f>IF(B13="","",VLOOKUP(Sayfa1!AD41,Varsayımlar!B:S,18,0))</f>
        <v>80x120cm</v>
      </c>
      <c r="AD13" s="57" t="str">
        <f t="shared" si="0"/>
        <v>UNITERA-KAZAKİSTANTortillas 20cm Sade 6pcs 270g</v>
      </c>
    </row>
    <row r="14" spans="1:31" ht="31.5" x14ac:dyDescent="0.25">
      <c r="A14" s="8" t="s">
        <v>86</v>
      </c>
      <c r="B14" s="80" t="s">
        <v>218</v>
      </c>
      <c r="C14" s="44">
        <f>IF(B14="","",VLOOKUP(AD14,Varsayımlar!$B:$Q,3,0))</f>
        <v>8698829380698</v>
      </c>
      <c r="D14" s="44" t="s">
        <v>160</v>
      </c>
      <c r="E14" s="80" t="s">
        <v>229</v>
      </c>
      <c r="F14" s="80">
        <v>26042907</v>
      </c>
      <c r="G14" s="44"/>
      <c r="H14" s="80" t="str">
        <f>IF(B14="","",VLOOKUP(AD14,Varsayımlar!$B:$Q,5,0))</f>
        <v>Tortillas Avrupa 25cm Tam Buğday (711)</v>
      </c>
      <c r="I14" s="80">
        <f>IF(B14="","",VLOOKUP(AD14,Varsayımlar!B:T,19,0))</f>
        <v>0</v>
      </c>
      <c r="J14" s="80" t="str">
        <f>IF(B14="","",VLOOKUP(AD14,Varsayımlar!$B:$Q,6,0))</f>
        <v>Tam Buğdaylı</v>
      </c>
      <c r="K14" s="80">
        <v>840</v>
      </c>
      <c r="L14" s="80"/>
      <c r="M14" s="80">
        <f>IFERROR(IF(B14="","",K14/VLOOKUP(AD14,Varsayımlar!B:R,17,0)),"")</f>
        <v>7</v>
      </c>
      <c r="N14" s="80"/>
      <c r="O14" s="80">
        <v>9</v>
      </c>
      <c r="P14" s="80">
        <f>IF(B14="","",VLOOKUP(AD14,Varsayımlar!$B:$Q,7,0)*K14)</f>
        <v>6720</v>
      </c>
      <c r="Q14" s="80">
        <f>IF(B14="","",VLOOKUP(AD14,Varsayımlar!$B:$Q,8,0))</f>
        <v>25</v>
      </c>
      <c r="R14" s="80" t="str">
        <f>IF(B14="","",VLOOKUP(AD14,Varsayımlar!$B:$Q,9,0))</f>
        <v>Irak Soft</v>
      </c>
      <c r="S14" s="80">
        <f>IF(B14="","",VLOOKUP(AD14,Varsayımlar!$B:$Q,10,0))</f>
        <v>10</v>
      </c>
      <c r="T14" s="80">
        <f>IF(B14="","",VLOOKUP(AD14,Varsayımlar!$B:$Q,11,0))</f>
        <v>8</v>
      </c>
      <c r="U14" s="80">
        <f>IF(B14="","",VLOOKUP(AD14,Varsayımlar!$B:$Q,12,0))</f>
        <v>650</v>
      </c>
      <c r="V14" s="80" t="str">
        <f>IF(B14="","",VLOOKUP(AD14,Varsayımlar!$B:$Q,13,0))</f>
        <v>Yurtdışı</v>
      </c>
      <c r="W14" s="80">
        <f>IF(B14="","",VLOOKUP(AD14,Varsayımlar!$B:$Q,14,0))</f>
        <v>9</v>
      </c>
      <c r="X14" s="81">
        <v>46203</v>
      </c>
      <c r="Y14" s="81">
        <v>46476</v>
      </c>
      <c r="Z14" s="80" t="s">
        <v>379</v>
      </c>
      <c r="AA14" s="80" t="str">
        <f>IF(B14="","",VLOOKUP(AD14,Varsayımlar!$B:$Q,15,0))</f>
        <v>25cm Perforeli-Bulgarca TB etiket</v>
      </c>
      <c r="AB14" s="80" t="str">
        <f>IF(B14="","",VLOOKUP(AD14,Varsayımlar!$B:$Q,16,0))</f>
        <v>24-26 cm</v>
      </c>
      <c r="AC14" s="80" t="str">
        <f>IF(B14="","",VLOOKUP(Sayfa1!AD57,Varsayımlar!B:S,18,0))</f>
        <v>80x120cm -Epal+Epal</v>
      </c>
      <c r="AD14" s="57" t="str">
        <f t="shared" si="0"/>
        <v>TASTE LAND-BULGARİSTANTortillas 25cm Tam Buğday 10pcs 650g</v>
      </c>
    </row>
    <row r="15" spans="1:31" ht="47.25" x14ac:dyDescent="0.25">
      <c r="A15" s="8" t="s">
        <v>87</v>
      </c>
      <c r="B15" s="80" t="s">
        <v>218</v>
      </c>
      <c r="C15" s="44">
        <f>IF(B15="","",VLOOKUP(AD15,Varsayımlar!$B:$Q,3,0))</f>
        <v>8698829380698</v>
      </c>
      <c r="D15" s="44" t="s">
        <v>160</v>
      </c>
      <c r="E15" s="80" t="s">
        <v>232</v>
      </c>
      <c r="F15" s="80">
        <v>26042907</v>
      </c>
      <c r="G15" s="44"/>
      <c r="H15" s="80" t="str">
        <f>IF(B15="","",VLOOKUP(AD15,Varsayımlar!$B:$Q,5,0))</f>
        <v>Tortillas Avrupa 25cm Domatesli (074)</v>
      </c>
      <c r="I15" s="80">
        <f>IF(B15="","",VLOOKUP(AD15,Varsayımlar!B:T,19,0))</f>
        <v>0</v>
      </c>
      <c r="J15" s="80" t="str">
        <f>IF(B15="","",VLOOKUP(AD15,Varsayımlar!$B:$Q,6,0))</f>
        <v>Domatesli</v>
      </c>
      <c r="K15" s="80">
        <v>480</v>
      </c>
      <c r="L15" s="80" t="s">
        <v>533</v>
      </c>
      <c r="M15" s="80">
        <f>IFERROR(IF(B15="","",K15/VLOOKUP(AD15,Varsayımlar!B:R,17,0)),"")</f>
        <v>4</v>
      </c>
      <c r="N15" s="80"/>
      <c r="O15" s="80">
        <v>5</v>
      </c>
      <c r="P15" s="80">
        <f>IF(B15="","",VLOOKUP(AD15,Varsayımlar!$B:$Q,7,0)*K15)</f>
        <v>5760</v>
      </c>
      <c r="Q15" s="80">
        <f>IF(B15="","",VLOOKUP(AD15,Varsayımlar!$B:$Q,8,0))</f>
        <v>25</v>
      </c>
      <c r="R15" s="80" t="str">
        <f>IF(B15="","",VLOOKUP(AD15,Varsayımlar!$B:$Q,9,0))</f>
        <v>Irak Soft</v>
      </c>
      <c r="S15" s="80">
        <f>IF(B15="","",VLOOKUP(AD15,Varsayımlar!$B:$Q,10,0))</f>
        <v>6</v>
      </c>
      <c r="T15" s="80">
        <f>IF(B15="","",VLOOKUP(AD15,Varsayımlar!$B:$Q,11,0))</f>
        <v>12</v>
      </c>
      <c r="U15" s="80">
        <f>IF(B15="","",VLOOKUP(AD15,Varsayımlar!$B:$Q,12,0))</f>
        <v>390</v>
      </c>
      <c r="V15" s="80" t="str">
        <f>IF(B15="","",VLOOKUP(AD15,Varsayımlar!$B:$Q,13,0))</f>
        <v>Yurtdışı</v>
      </c>
      <c r="W15" s="80">
        <f>IF(B15="","",VLOOKUP(AD15,Varsayımlar!$B:$Q,14,0))</f>
        <v>9</v>
      </c>
      <c r="X15" s="81">
        <v>46203</v>
      </c>
      <c r="Y15" s="81">
        <v>46476</v>
      </c>
      <c r="Z15" s="80" t="s">
        <v>380</v>
      </c>
      <c r="AA15" s="80" t="str">
        <f>IF(B15="","",VLOOKUP(AD15,Varsayımlar!$B:$Q,15,0))</f>
        <v>25cm Perforeli-Bulgarca Domatesli etiket</v>
      </c>
      <c r="AB15" s="80" t="str">
        <f>IF(B15="","",VLOOKUP(AD15,Varsayımlar!$B:$Q,16,0))</f>
        <v>24-26 cm</v>
      </c>
      <c r="AC15" s="80" t="str">
        <f>IF(B15="","",VLOOKUP(Sayfa1!AD58,Varsayımlar!B:S,18,0))</f>
        <v>80x120cm -Epal+Epal</v>
      </c>
      <c r="AD15" s="57" t="str">
        <f t="shared" si="0"/>
        <v>TASTE LAND-BULGARİSTANTortillas 25cm Domatesli 6pcs 390g</v>
      </c>
    </row>
    <row r="16" spans="1:31" ht="47.25" x14ac:dyDescent="0.25">
      <c r="A16" s="8" t="s">
        <v>88</v>
      </c>
      <c r="B16" s="80" t="s">
        <v>218</v>
      </c>
      <c r="C16" s="44">
        <f>IF(B16="","",VLOOKUP(AD16,Varsayımlar!$B:$Q,3,0))</f>
        <v>8698829380698</v>
      </c>
      <c r="D16" s="44" t="s">
        <v>160</v>
      </c>
      <c r="E16" s="80" t="s">
        <v>235</v>
      </c>
      <c r="F16" s="80">
        <v>26042907</v>
      </c>
      <c r="G16" s="44"/>
      <c r="H16" s="80" t="str">
        <f>IF(B16="","",VLOOKUP(AD16,Varsayımlar!$B:$Q,5,0))</f>
        <v>Tortillas Avrupa 25cm Ispanaklı (081)</v>
      </c>
      <c r="I16" s="80">
        <f>IF(B16="","",VLOOKUP(AD16,Varsayımlar!B:T,19,0))</f>
        <v>0</v>
      </c>
      <c r="J16" s="80" t="str">
        <f>IF(B16="","",VLOOKUP(AD16,Varsayımlar!$B:$Q,6,0))</f>
        <v>Ispanaklı</v>
      </c>
      <c r="K16" s="80">
        <v>480</v>
      </c>
      <c r="L16" s="80" t="s">
        <v>528</v>
      </c>
      <c r="M16" s="80">
        <f>IFERROR(IF(B16="","",K16/VLOOKUP(AD16,Varsayımlar!B:R,17,0)),"")</f>
        <v>4</v>
      </c>
      <c r="N16" s="80"/>
      <c r="O16" s="80">
        <v>5</v>
      </c>
      <c r="P16" s="80">
        <f>IF(B16="","",VLOOKUP(AD16,Varsayımlar!$B:$Q,7,0)*K16)</f>
        <v>5760</v>
      </c>
      <c r="Q16" s="80">
        <f>IF(B16="","",VLOOKUP(AD16,Varsayımlar!$B:$Q,8,0))</f>
        <v>25</v>
      </c>
      <c r="R16" s="80" t="str">
        <f>IF(B16="","",VLOOKUP(AD16,Varsayımlar!$B:$Q,9,0))</f>
        <v>Irak Soft</v>
      </c>
      <c r="S16" s="80">
        <f>IF(B16="","",VLOOKUP(AD16,Varsayımlar!$B:$Q,10,0))</f>
        <v>6</v>
      </c>
      <c r="T16" s="80">
        <f>IF(B16="","",VLOOKUP(AD16,Varsayımlar!$B:$Q,11,0))</f>
        <v>12</v>
      </c>
      <c r="U16" s="80">
        <f>IF(B16="","",VLOOKUP(AD16,Varsayımlar!$B:$Q,12,0))</f>
        <v>390</v>
      </c>
      <c r="V16" s="80" t="str">
        <f>IF(B16="","",VLOOKUP(AD16,Varsayımlar!$B:$Q,13,0))</f>
        <v>Yurtdışı</v>
      </c>
      <c r="W16" s="80">
        <f>IF(B16="","",VLOOKUP(AD16,Varsayımlar!$B:$Q,14,0))</f>
        <v>9</v>
      </c>
      <c r="X16" s="81">
        <v>46203</v>
      </c>
      <c r="Y16" s="81">
        <v>46476</v>
      </c>
      <c r="Z16" s="80" t="s">
        <v>381</v>
      </c>
      <c r="AA16" s="80" t="str">
        <f>IF(B16="","",VLOOKUP(AD16,Varsayımlar!$B:$Q,15,0))</f>
        <v>25cm Perforeli-Bulgarca Ispanaklı etiket</v>
      </c>
      <c r="AB16" s="80" t="str">
        <f>IF(B16="","",VLOOKUP(AD16,Varsayımlar!$B:$Q,16,0))</f>
        <v>24-26 cm</v>
      </c>
      <c r="AC16" s="80" t="str">
        <f>IF(B16="","",VLOOKUP(Sayfa1!AD59,Varsayımlar!B:S,18,0))</f>
        <v>80x120cm -Epal+Epal</v>
      </c>
      <c r="AD16" s="57" t="str">
        <f t="shared" si="0"/>
        <v>TASTE LAND-BULGARİSTANTortillas 25cm Ispanaklı 6pcs 390g</v>
      </c>
    </row>
    <row r="17" spans="1:31" ht="47.25" x14ac:dyDescent="0.25">
      <c r="A17" s="8" t="s">
        <v>89</v>
      </c>
      <c r="B17" s="80" t="s">
        <v>218</v>
      </c>
      <c r="C17" s="44">
        <f>IF(B17="","",VLOOKUP(AD17,Varsayımlar!$B:$Q,3,0))</f>
        <v>8698829380698</v>
      </c>
      <c r="D17" s="44" t="s">
        <v>160</v>
      </c>
      <c r="E17" s="80" t="s">
        <v>240</v>
      </c>
      <c r="F17" s="80">
        <v>26042907</v>
      </c>
      <c r="G17" s="44"/>
      <c r="H17" s="80" t="str">
        <f>IF(B17="","",VLOOKUP(AD17,Varsayımlar!$B:$Q,5,0))</f>
        <v>Tortillas Avrupa 25cm Peynirli (098)</v>
      </c>
      <c r="I17" s="80">
        <f>IF(B17="","",VLOOKUP(AD17,Varsayımlar!B:T,19,0))</f>
        <v>0</v>
      </c>
      <c r="J17" s="80" t="str">
        <f>IF(B17="","",VLOOKUP(AD17,Varsayımlar!$B:$Q,6,0))</f>
        <v>Peynirli</v>
      </c>
      <c r="K17" s="80">
        <v>360</v>
      </c>
      <c r="L17" s="80" t="s">
        <v>528</v>
      </c>
      <c r="M17" s="80">
        <f>IFERROR(IF(B17="","",K17/VLOOKUP(AD17,Varsayımlar!B:R,17,0)),"")</f>
        <v>3</v>
      </c>
      <c r="N17" s="80"/>
      <c r="O17" s="80">
        <v>4</v>
      </c>
      <c r="P17" s="80">
        <f>IF(B17="","",VLOOKUP(AD17,Varsayımlar!$B:$Q,7,0)*K17)</f>
        <v>4320</v>
      </c>
      <c r="Q17" s="80">
        <f>IF(B17="","",VLOOKUP(AD17,Varsayımlar!$B:$Q,8,0))</f>
        <v>25</v>
      </c>
      <c r="R17" s="80" t="str">
        <f>IF(B17="","",VLOOKUP(AD17,Varsayımlar!$B:$Q,9,0))</f>
        <v>Irak Soft-AT</v>
      </c>
      <c r="S17" s="80">
        <f>IF(B17="","",VLOOKUP(AD17,Varsayımlar!$B:$Q,10,0))</f>
        <v>6</v>
      </c>
      <c r="T17" s="80">
        <f>IF(B17="","",VLOOKUP(AD17,Varsayımlar!$B:$Q,11,0))</f>
        <v>12</v>
      </c>
      <c r="U17" s="80">
        <f>IF(B17="","",VLOOKUP(AD17,Varsayımlar!$B:$Q,12,0))</f>
        <v>390</v>
      </c>
      <c r="V17" s="80" t="str">
        <f>IF(B17="","",VLOOKUP(AD17,Varsayımlar!$B:$Q,13,0))</f>
        <v>Yurtdışı</v>
      </c>
      <c r="W17" s="80">
        <f>IF(B17="","",VLOOKUP(AD17,Varsayımlar!$B:$Q,14,0))</f>
        <v>9</v>
      </c>
      <c r="X17" s="81">
        <v>46203</v>
      </c>
      <c r="Y17" s="81">
        <v>46476</v>
      </c>
      <c r="Z17" s="80" t="s">
        <v>382</v>
      </c>
      <c r="AA17" s="80" t="str">
        <f>IF(B17="","",VLOOKUP(AD17,Varsayımlar!$B:$Q,15,0))</f>
        <v>25cm Perforeli-Bulgarca Peynirli etiket</v>
      </c>
      <c r="AB17" s="80" t="str">
        <f>IF(B17="","",VLOOKUP(AD17,Varsayımlar!$B:$Q,16,0))</f>
        <v>24-26 cm</v>
      </c>
      <c r="AC17" s="80" t="str">
        <f>IF(B17="","",VLOOKUP(Sayfa1!AD60,Varsayımlar!B:S,18,0))</f>
        <v>80x120cm -Epal+Epal</v>
      </c>
      <c r="AD17" s="57" t="str">
        <f t="shared" si="0"/>
        <v>TASTE LAND-BULGARİSTANTortillas 25cm Peynirli 6pcs 390g</v>
      </c>
    </row>
    <row r="18" spans="1:31" ht="47.25" x14ac:dyDescent="0.25">
      <c r="A18" s="8" t="s">
        <v>90</v>
      </c>
      <c r="B18" s="54" t="s">
        <v>268</v>
      </c>
      <c r="C18" s="39">
        <f>IF(B18="","",VLOOKUP(AD18,Varsayımlar!$B:$Q,3,0))</f>
        <v>8698829380698</v>
      </c>
      <c r="D18" s="39" t="s">
        <v>160</v>
      </c>
      <c r="E18" s="54" t="s">
        <v>269</v>
      </c>
      <c r="F18" s="54" t="s">
        <v>343</v>
      </c>
      <c r="G18" s="39" t="s">
        <v>68</v>
      </c>
      <c r="H18" s="54" t="str">
        <f>IF(B18="","",VLOOKUP(AD18,Varsayımlar!$B:$Q,5,0))</f>
        <v>Tortillas 25cm Tam Buğday</v>
      </c>
      <c r="I18" s="54">
        <f>IF(B18="","",VLOOKUP(AD18,Varsayımlar!B:T,19,0))</f>
        <v>0</v>
      </c>
      <c r="J18" s="54" t="str">
        <f>IF(B18="","",VLOOKUP(AD18,Varsayımlar!$B:$Q,6,0))</f>
        <v>Tam Buğdaylı</v>
      </c>
      <c r="K18" s="54">
        <v>336</v>
      </c>
      <c r="L18" s="54"/>
      <c r="M18" s="54">
        <f>IFERROR(IF(B18="","",K18/VLOOKUP(AD18,Varsayımlar!B:R,17,0)),"")</f>
        <v>4</v>
      </c>
      <c r="N18" s="54"/>
      <c r="O18" s="54">
        <v>6</v>
      </c>
      <c r="P18" s="54">
        <f>IF(B18="","",VLOOKUP(AD18,Varsayımlar!$B:$Q,7,0)*K18)</f>
        <v>10080</v>
      </c>
      <c r="Q18" s="54">
        <f>IF(B18="","",VLOOKUP(AD18,Varsayımlar!$B:$Q,8,0))</f>
        <v>25</v>
      </c>
      <c r="R18" s="54" t="str">
        <f>IF(B18="","",VLOOKUP(AD18,Varsayımlar!$B:$Q,9,0))</f>
        <v>Soft-PA3</v>
      </c>
      <c r="S18" s="54">
        <f>IF(B18="","",VLOOKUP(AD18,Varsayımlar!$B:$Q,10,0))</f>
        <v>4</v>
      </c>
      <c r="T18" s="54">
        <f>IF(B18="","",VLOOKUP(AD18,Varsayımlar!$B:$Q,11,0))</f>
        <v>30</v>
      </c>
      <c r="U18" s="54">
        <f>IF(B18="","",VLOOKUP(AD18,Varsayımlar!$B:$Q,12,0))</f>
        <v>240</v>
      </c>
      <c r="V18" s="54" t="str">
        <f>IF(B18="","",VLOOKUP(AD18,Varsayımlar!$B:$Q,13,0))</f>
        <v>Yurtdışı</v>
      </c>
      <c r="W18" s="54">
        <f>IF(B18="","",VLOOKUP(AD18,Varsayımlar!$B:$Q,14,0))</f>
        <v>12</v>
      </c>
      <c r="X18" s="56">
        <v>46205</v>
      </c>
      <c r="Y18" s="56">
        <v>46570</v>
      </c>
      <c r="Z18" s="54" t="s">
        <v>383</v>
      </c>
      <c r="AA18" s="54" t="str">
        <f>IF(B18="","",VLOOKUP(AD18,Varsayımlar!$B:$Q,15,0))</f>
        <v>25cm Kolisi-Etiketli</v>
      </c>
      <c r="AB18" s="54" t="str">
        <f>IF(B18="","",VLOOKUP(AD18,Varsayımlar!$B:$Q,16,0))</f>
        <v>24-26 cm (Macca Hetto Inkjet Uzun Tarih)</v>
      </c>
      <c r="AC18" s="54" t="str">
        <f>IF(B18="","",VLOOKUP(Sayfa1!AD36,Varsayımlar!B:S,18,0))</f>
        <v>80x120cm</v>
      </c>
      <c r="AD18" s="57" t="str">
        <f t="shared" si="0"/>
        <v>LAIKYUZHN-BELARUSTortillas 25cm Tam buğday 4pcs 240g</v>
      </c>
    </row>
    <row r="19" spans="1:31" ht="47.25" x14ac:dyDescent="0.25">
      <c r="A19" s="8" t="s">
        <v>91</v>
      </c>
      <c r="B19" s="54" t="s">
        <v>268</v>
      </c>
      <c r="C19" s="39">
        <f>IF(B19="","",VLOOKUP(AD19,Varsayımlar!$B:$Q,3,0))</f>
        <v>8698829380698</v>
      </c>
      <c r="D19" s="39" t="s">
        <v>160</v>
      </c>
      <c r="E19" s="54" t="s">
        <v>274</v>
      </c>
      <c r="F19" s="54" t="s">
        <v>343</v>
      </c>
      <c r="G19" s="39" t="s">
        <v>68</v>
      </c>
      <c r="H19" s="54" t="str">
        <f>IF(B19="","",VLOOKUP(AD19,Varsayımlar!$B:$Q,5,0))</f>
        <v>Tortillas 25cm Domatesli</v>
      </c>
      <c r="I19" s="54">
        <f>IF(B19="","",VLOOKUP(AD19,Varsayımlar!B:T,19,0))</f>
        <v>0</v>
      </c>
      <c r="J19" s="54" t="str">
        <f>IF(B19="","",VLOOKUP(AD19,Varsayımlar!$B:$Q,6,0))</f>
        <v>Domatesli</v>
      </c>
      <c r="K19" s="54">
        <v>420</v>
      </c>
      <c r="L19" s="54"/>
      <c r="M19" s="54">
        <f>IFERROR(IF(B19="","",K19/VLOOKUP(AD19,Varsayımlar!B:R,17,0)),"")</f>
        <v>5</v>
      </c>
      <c r="N19" s="54"/>
      <c r="O19" s="54">
        <v>7</v>
      </c>
      <c r="P19" s="54">
        <f>IF(B19="","",VLOOKUP(AD19,Varsayımlar!$B:$Q,7,0)*K19)</f>
        <v>12600</v>
      </c>
      <c r="Q19" s="54">
        <f>IF(B19="","",VLOOKUP(AD19,Varsayımlar!$B:$Q,8,0))</f>
        <v>25</v>
      </c>
      <c r="R19" s="54" t="str">
        <f>IF(B19="","",VLOOKUP(AD19,Varsayımlar!$B:$Q,9,0))</f>
        <v>Soft-PA3</v>
      </c>
      <c r="S19" s="54">
        <f>IF(B19="","",VLOOKUP(AD19,Varsayımlar!$B:$Q,10,0))</f>
        <v>4</v>
      </c>
      <c r="T19" s="54">
        <f>IF(B19="","",VLOOKUP(AD19,Varsayımlar!$B:$Q,11,0))</f>
        <v>30</v>
      </c>
      <c r="U19" s="54">
        <f>IF(B19="","",VLOOKUP(AD19,Varsayımlar!$B:$Q,12,0))</f>
        <v>240</v>
      </c>
      <c r="V19" s="54" t="str">
        <f>IF(B19="","",VLOOKUP(AD19,Varsayımlar!$B:$Q,13,0))</f>
        <v>Yurtdışı</v>
      </c>
      <c r="W19" s="54">
        <f>IF(B19="","",VLOOKUP(AD19,Varsayımlar!$B:$Q,14,0))</f>
        <v>12</v>
      </c>
      <c r="X19" s="56">
        <v>46205</v>
      </c>
      <c r="Y19" s="56">
        <v>46570</v>
      </c>
      <c r="Z19" s="54" t="s">
        <v>384</v>
      </c>
      <c r="AA19" s="54" t="str">
        <f>IF(B19="","",VLOOKUP(AD19,Varsayımlar!$B:$Q,15,0))</f>
        <v>25cm Kolisi-Etiketli</v>
      </c>
      <c r="AB19" s="54" t="str">
        <f>IF(B19="","",VLOOKUP(AD19,Varsayımlar!$B:$Q,16,0))</f>
        <v>24-26 cm (Macca Hetto Inkjet Uzun Tarih)</v>
      </c>
      <c r="AC19" s="54" t="str">
        <f>IF(B19="","",VLOOKUP(Sayfa1!AD37,Varsayımlar!B:S,18,0))</f>
        <v>80x120cm</v>
      </c>
      <c r="AD19" s="57" t="str">
        <f t="shared" si="0"/>
        <v>LAIKYUZHN-BELARUSTortillas 25cm Domatesli 4pcs 240g</v>
      </c>
    </row>
    <row r="20" spans="1:31" ht="47.25" x14ac:dyDescent="0.25">
      <c r="A20" s="8" t="s">
        <v>92</v>
      </c>
      <c r="B20" s="54" t="s">
        <v>268</v>
      </c>
      <c r="C20" s="39">
        <f>IF(B20="","",VLOOKUP(AD20,Varsayımlar!$B:$Q,3,0))</f>
        <v>8698829380698</v>
      </c>
      <c r="D20" s="39" t="s">
        <v>160</v>
      </c>
      <c r="E20" s="54" t="s">
        <v>276</v>
      </c>
      <c r="F20" s="54" t="s">
        <v>343</v>
      </c>
      <c r="G20" s="39" t="s">
        <v>68</v>
      </c>
      <c r="H20" s="54" t="str">
        <f>IF(B20="","",VLOOKUP(AD20,Varsayımlar!$B:$Q,5,0))</f>
        <v>Tortillas 25cm Ispanaklı</v>
      </c>
      <c r="I20" s="54">
        <f>IF(B20="","",VLOOKUP(AD20,Varsayımlar!B:T,19,0))</f>
        <v>0</v>
      </c>
      <c r="J20" s="54" t="str">
        <f>IF(B20="","",VLOOKUP(AD20,Varsayımlar!$B:$Q,6,0))</f>
        <v>Ispanaklı</v>
      </c>
      <c r="K20" s="54">
        <v>336</v>
      </c>
      <c r="L20" s="54"/>
      <c r="M20" s="54">
        <f>IFERROR(IF(B20="","",K20/VLOOKUP(AD20,Varsayımlar!B:R,17,0)),"")</f>
        <v>4</v>
      </c>
      <c r="N20" s="54"/>
      <c r="O20" s="54">
        <v>6</v>
      </c>
      <c r="P20" s="54">
        <f>IF(B20="","",VLOOKUP(AD20,Varsayımlar!$B:$Q,7,0)*K20)</f>
        <v>10080</v>
      </c>
      <c r="Q20" s="54">
        <f>IF(B20="","",VLOOKUP(AD20,Varsayımlar!$B:$Q,8,0))</f>
        <v>25</v>
      </c>
      <c r="R20" s="54" t="str">
        <f>IF(B20="","",VLOOKUP(AD20,Varsayımlar!$B:$Q,9,0))</f>
        <v>Soft-PA3</v>
      </c>
      <c r="S20" s="54">
        <f>IF(B20="","",VLOOKUP(AD20,Varsayımlar!$B:$Q,10,0))</f>
        <v>4</v>
      </c>
      <c r="T20" s="54">
        <f>IF(B20="","",VLOOKUP(AD20,Varsayımlar!$B:$Q,11,0))</f>
        <v>30</v>
      </c>
      <c r="U20" s="54">
        <f>IF(B20="","",VLOOKUP(AD20,Varsayımlar!$B:$Q,12,0))</f>
        <v>240</v>
      </c>
      <c r="V20" s="54" t="str">
        <f>IF(B20="","",VLOOKUP(AD20,Varsayımlar!$B:$Q,13,0))</f>
        <v>Yurtdışı</v>
      </c>
      <c r="W20" s="54">
        <f>IF(B20="","",VLOOKUP(AD20,Varsayımlar!$B:$Q,14,0))</f>
        <v>12</v>
      </c>
      <c r="X20" s="56">
        <v>46205</v>
      </c>
      <c r="Y20" s="56">
        <v>46570</v>
      </c>
      <c r="Z20" s="54" t="s">
        <v>385</v>
      </c>
      <c r="AA20" s="54" t="str">
        <f>IF(B20="","",VLOOKUP(AD20,Varsayımlar!$B:$Q,15,0))</f>
        <v>25cm Kolisi-Etiketli</v>
      </c>
      <c r="AB20" s="54" t="str">
        <f>IF(B20="","",VLOOKUP(AD20,Varsayımlar!$B:$Q,16,0))</f>
        <v>24-26 cm (Macca Hetto Inkjet Uzun Tarih)</v>
      </c>
      <c r="AC20" s="54" t="str">
        <f>IF(B20="","",VLOOKUP(Sayfa1!AD38,Varsayımlar!B:S,18,0))</f>
        <v>80x120cm</v>
      </c>
      <c r="AD20" s="57" t="str">
        <f t="shared" si="0"/>
        <v>LAIKYUZHN-BELARUSTortillas 25cm Ispanaklı 4pcs 240g</v>
      </c>
    </row>
    <row r="21" spans="1:31" ht="47.25" x14ac:dyDescent="0.25">
      <c r="A21" s="8" t="s">
        <v>93</v>
      </c>
      <c r="B21" s="54" t="s">
        <v>268</v>
      </c>
      <c r="C21" s="39">
        <f>IF(B21="","",VLOOKUP(AD21,Varsayımlar!$B:$Q,3,0))</f>
        <v>8698829380698</v>
      </c>
      <c r="D21" s="39" t="s">
        <v>160</v>
      </c>
      <c r="E21" s="54" t="s">
        <v>278</v>
      </c>
      <c r="F21" s="54" t="s">
        <v>343</v>
      </c>
      <c r="G21" s="39" t="s">
        <v>68</v>
      </c>
      <c r="H21" s="54" t="str">
        <f>IF(B21="","",VLOOKUP(AD21,Varsayımlar!$B:$Q,5,0))</f>
        <v>Magnit Tortillas 25cm Peynirli</v>
      </c>
      <c r="I21" s="54" t="str">
        <f>IF(B21="","",VLOOKUP(AD21,Varsayımlar!B:T,19,0))</f>
        <v>Etiketli</v>
      </c>
      <c r="J21" s="54" t="str">
        <f>IF(B21="","",VLOOKUP(AD21,Varsayımlar!$B:$Q,6,0))</f>
        <v>Peynirli</v>
      </c>
      <c r="K21" s="54">
        <v>504</v>
      </c>
      <c r="L21" s="54"/>
      <c r="M21" s="54">
        <f>IFERROR(IF(B21="","",K21/VLOOKUP(AD21,Varsayımlar!B:R,17,0)),"")</f>
        <v>6</v>
      </c>
      <c r="N21" s="54"/>
      <c r="O21" s="54">
        <v>9</v>
      </c>
      <c r="P21" s="54">
        <f>IF(B21="","",VLOOKUP(AD21,Varsayımlar!$B:$Q,7,0)*K21)</f>
        <v>15120</v>
      </c>
      <c r="Q21" s="54">
        <f>IF(B21="","",VLOOKUP(AD21,Varsayımlar!$B:$Q,8,0))</f>
        <v>25</v>
      </c>
      <c r="R21" s="54" t="str">
        <f>IF(B21="","",VLOOKUP(AD21,Varsayımlar!$B:$Q,9,0))</f>
        <v>Soft-PA3-AT</v>
      </c>
      <c r="S21" s="54">
        <f>IF(B21="","",VLOOKUP(AD21,Varsayımlar!$B:$Q,10,0))</f>
        <v>4</v>
      </c>
      <c r="T21" s="54">
        <f>IF(B21="","",VLOOKUP(AD21,Varsayımlar!$B:$Q,11,0))</f>
        <v>30</v>
      </c>
      <c r="U21" s="54">
        <f>IF(B21="","",VLOOKUP(AD21,Varsayımlar!$B:$Q,12,0))</f>
        <v>250</v>
      </c>
      <c r="V21" s="54" t="str">
        <f>IF(B21="","",VLOOKUP(AD21,Varsayımlar!$B:$Q,13,0))</f>
        <v>Yurtdışı</v>
      </c>
      <c r="W21" s="54">
        <f>IF(B21="","",VLOOKUP(AD21,Varsayımlar!$B:$Q,14,0))</f>
        <v>9</v>
      </c>
      <c r="X21" s="56">
        <v>46205</v>
      </c>
      <c r="Y21" s="56">
        <v>46479</v>
      </c>
      <c r="Z21" s="54" t="s">
        <v>386</v>
      </c>
      <c r="AA21" s="54" t="str">
        <f>IF(B21="","",VLOOKUP(AD21,Varsayımlar!$B:$Q,15,0))</f>
        <v>25cm Kolisi-Etiketli</v>
      </c>
      <c r="AB21" s="54" t="str">
        <f>IF(B21="","",VLOOKUP(AD21,Varsayımlar!$B:$Q,16,0))</f>
        <v>24-26 cm (Macca Hetto Inkjet Uzun Tarih)</v>
      </c>
      <c r="AC21" s="54" t="str">
        <f>IF(B21="","",VLOOKUP(Sayfa1!AD39,Varsayımlar!B:S,18,0))</f>
        <v>80x120cm</v>
      </c>
      <c r="AD21" s="57" t="str">
        <f t="shared" si="0"/>
        <v>LAIKYUZHN-BELARUSMagnit Tortillas 25cm Peynirli 4pcs 240g</v>
      </c>
    </row>
    <row r="22" spans="1:31" ht="45.75" customHeight="1" x14ac:dyDescent="0.25">
      <c r="A22" s="8" t="s">
        <v>135</v>
      </c>
      <c r="B22" s="130" t="s">
        <v>119</v>
      </c>
      <c r="C22" s="131">
        <f>IF(B22="","",VLOOKUP(AD22,Varsayımlar!$B:$Q,3,0))</f>
        <v>8698829380698</v>
      </c>
      <c r="D22" s="131"/>
      <c r="E22" s="132" t="s">
        <v>120</v>
      </c>
      <c r="F22" s="130"/>
      <c r="G22" s="130"/>
      <c r="H22" s="130" t="str">
        <f>IF(B22="","",VLOOKUP(AD22,Varsayımlar!$B:$Q,5,0))</f>
        <v>Nimet 25 cm</v>
      </c>
      <c r="I22" s="130"/>
      <c r="J22" s="130" t="str">
        <f>IF(B22="","",VLOOKUP(AD22,Varsayımlar!$B:$Q,6,0))</f>
        <v>SADE</v>
      </c>
      <c r="K22" s="130">
        <v>5000</v>
      </c>
      <c r="L22" s="130"/>
      <c r="M22" s="130">
        <f>IFERROR(IF(B22="","",K22/VLOOKUP(AD22,Varsayımlar!B:R,17,0)),"")</f>
        <v>100</v>
      </c>
      <c r="N22" s="130"/>
      <c r="O22" s="130">
        <v>100</v>
      </c>
      <c r="P22" s="130">
        <f>IF(B22="","",VLOOKUP(AD22,Varsayımlar!$B:$Q,7,0)*K22)</f>
        <v>60000</v>
      </c>
      <c r="Q22" s="130">
        <f>IF(B22="","",VLOOKUP(AD22,Varsayımlar!$B:$Q,8,0))</f>
        <v>25</v>
      </c>
      <c r="R22" s="130" t="str">
        <f>IF(B22="","",VLOOKUP(AD22,Varsayımlar!$B:$Q,9,0))</f>
        <v>Standart</v>
      </c>
      <c r="S22" s="130">
        <f>IF(B22="","",VLOOKUP(AD22,Varsayımlar!$B:$Q,10,0))</f>
        <v>12</v>
      </c>
      <c r="T22" s="130">
        <f>IF(B22="","",VLOOKUP(AD22,Varsayımlar!$B:$Q,11,0))</f>
        <v>12</v>
      </c>
      <c r="U22" s="130">
        <f>IF(B22="","",VLOOKUP(AD22,Varsayımlar!$B:$Q,12,0))</f>
        <v>840</v>
      </c>
      <c r="V22" s="130" t="str">
        <f>IF(B22="","",VLOOKUP(AD22,Varsayımlar!$B:$Q,13,0))</f>
        <v>YURTİÇİ</v>
      </c>
      <c r="W22" s="130">
        <f>IF(B22="","",VLOOKUP(AD22,Varsayımlar!$B:$Q,14,0))</f>
        <v>5</v>
      </c>
      <c r="X22" s="133" t="s">
        <v>113</v>
      </c>
      <c r="Y22" s="133" t="s">
        <v>113</v>
      </c>
      <c r="Z22" s="130" t="s">
        <v>113</v>
      </c>
      <c r="AA22" s="130" t="str">
        <f>IF(B22="","",VLOOKUP(AD22,Varsayımlar!$B:$Q,15,0))</f>
        <v>Nimet Kolisi</v>
      </c>
      <c r="AB22" s="130" t="str">
        <f>IF(B22="","",VLOOKUP(AD22,Varsayımlar!$B:$Q,16,0))</f>
        <v>24-26 CM</v>
      </c>
      <c r="AC22" s="64" t="s">
        <v>360</v>
      </c>
      <c r="AD22" s="57" t="str">
        <f>IF(B22="","",CONCATENATE(B22,E22))</f>
        <v>A101Nimet 25cm 12 pcs 840g</v>
      </c>
    </row>
    <row r="23" spans="1:31" ht="47.25" x14ac:dyDescent="0.25">
      <c r="A23" s="8" t="s">
        <v>136</v>
      </c>
      <c r="B23" s="75" t="s">
        <v>218</v>
      </c>
      <c r="C23" s="43">
        <f>IF(B23="","",VLOOKUP(AD23,Varsayımlar!$B:$Q,3,0))</f>
        <v>8698829380698</v>
      </c>
      <c r="D23" s="43" t="s">
        <v>161</v>
      </c>
      <c r="E23" s="75" t="s">
        <v>252</v>
      </c>
      <c r="F23" s="75" t="s">
        <v>341</v>
      </c>
      <c r="G23" s="43"/>
      <c r="H23" s="75" t="str">
        <f>IF(B23="","",VLOOKUP(AD23,Varsayımlar!$B:$Q,5,0))</f>
        <v xml:space="preserve">Tortillas 20cm Sade </v>
      </c>
      <c r="I23" s="75" t="str">
        <f>IF(B23="","",VLOOKUP(AD23,Varsayımlar!B:T,19,0))</f>
        <v>Barkod üzerine Barkod Etiketi (104)</v>
      </c>
      <c r="J23" s="75" t="str">
        <f>IF(B23="","",VLOOKUP(AD23,Varsayımlar!$B:$Q,6,0))</f>
        <v>SADE</v>
      </c>
      <c r="K23" s="75">
        <v>120</v>
      </c>
      <c r="L23" s="75"/>
      <c r="M23" s="75">
        <f>IFERROR(IF(B23="","",K23/VLOOKUP(AD23,Varsayımlar!B:R,17,0)),"")</f>
        <v>1</v>
      </c>
      <c r="N23" s="75"/>
      <c r="O23" s="75">
        <v>2</v>
      </c>
      <c r="P23" s="75">
        <f>IF(B23="","",VLOOKUP(AD23,Varsayımlar!$B:$Q,7,0)*K23)</f>
        <v>2160</v>
      </c>
      <c r="Q23" s="75">
        <f>IF(B23="","",VLOOKUP(AD23,Varsayımlar!$B:$Q,8,0))</f>
        <v>20</v>
      </c>
      <c r="R23" s="75" t="str">
        <f>IF(B23="","",VLOOKUP(AD23,Varsayımlar!$B:$Q,9,0))</f>
        <v>Irak Soft</v>
      </c>
      <c r="S23" s="75">
        <f>IF(B23="","",VLOOKUP(AD23,Varsayımlar!$B:$Q,10,0))</f>
        <v>6</v>
      </c>
      <c r="T23" s="75">
        <f>IF(B23="","",VLOOKUP(AD23,Varsayımlar!$B:$Q,11,0))</f>
        <v>18</v>
      </c>
      <c r="U23" s="75">
        <f>IF(B23="","",VLOOKUP(AD23,Varsayımlar!$B:$Q,12,0))</f>
        <v>270</v>
      </c>
      <c r="V23" s="75" t="str">
        <f>IF(B23="","",VLOOKUP(AD23,Varsayımlar!$B:$Q,13,0))</f>
        <v>Yurtdışı</v>
      </c>
      <c r="W23" s="75">
        <f>IF(B23="","",VLOOKUP(AD23,Varsayımlar!$B:$Q,14,0))</f>
        <v>9</v>
      </c>
      <c r="X23" s="76">
        <v>46213</v>
      </c>
      <c r="Y23" s="76">
        <v>46487</v>
      </c>
      <c r="Z23" s="75">
        <v>26071020</v>
      </c>
      <c r="AA23" s="75" t="str">
        <f>IF(B23="","",VLOOKUP(AD23,Varsayımlar!$B:$Q,15,0))</f>
        <v>20cm Lacivert-Bulgarca Etiket</v>
      </c>
      <c r="AB23" s="75" t="str">
        <f>IF(B23="","",VLOOKUP(AD23,Varsayımlar!$B:$Q,16,0))</f>
        <v>19-21 cm</v>
      </c>
      <c r="AC23" s="75" t="str">
        <f>IF(B23="","",VLOOKUP(Sayfa1!AD21,Varsayımlar!B:S,18,0))</f>
        <v>100x120cm-Epal+Epal</v>
      </c>
      <c r="AD23" s="57" t="str">
        <f t="shared" si="0"/>
        <v>TASTE LAND-BULGARİSTANTortillas 20cm Sade 6pcs 270g</v>
      </c>
    </row>
    <row r="24" spans="1:31" ht="78.75" x14ac:dyDescent="0.25">
      <c r="A24" s="8" t="s">
        <v>137</v>
      </c>
      <c r="B24" s="75" t="s">
        <v>218</v>
      </c>
      <c r="C24" s="43">
        <f>IF(B24="","",VLOOKUP(AD24,Varsayımlar!$B:$Q,3,0))</f>
        <v>8698829380698</v>
      </c>
      <c r="D24" s="43" t="s">
        <v>161</v>
      </c>
      <c r="E24" s="75" t="s">
        <v>222</v>
      </c>
      <c r="F24" s="75" t="s">
        <v>341</v>
      </c>
      <c r="G24" s="43"/>
      <c r="H24" s="75" t="str">
        <f>IF(B24="","",VLOOKUP(AD24,Varsayımlar!$B:$Q,5,0))</f>
        <v xml:space="preserve">Tortillas 30cm Tam Buğday </v>
      </c>
      <c r="I24" s="75" t="str">
        <f>IF(B24="","",VLOOKUP(AD24,Varsayımlar!B:T,19,0))</f>
        <v>Barkod üzerine-Bulgarca Barkodlu TB içerik etiketi (029)</v>
      </c>
      <c r="J24" s="75" t="str">
        <f>IF(B24="","",VLOOKUP(AD24,Varsayımlar!$B:$Q,6,0))</f>
        <v>Tam Buğdaylı</v>
      </c>
      <c r="K24" s="75">
        <v>60</v>
      </c>
      <c r="L24" s="75"/>
      <c r="M24" s="75">
        <f>IFERROR(IF(B24="","",K24/VLOOKUP(AD24,Varsayımlar!B:R,17,0)),"")</f>
        <v>1</v>
      </c>
      <c r="N24" s="75"/>
      <c r="O24" s="75">
        <v>1</v>
      </c>
      <c r="P24" s="75">
        <f>IF(B24="","",VLOOKUP(AD24,Varsayımlar!$B:$Q,7,0)*K24)</f>
        <v>360</v>
      </c>
      <c r="Q24" s="75">
        <f>IF(B24="","",VLOOKUP(AD24,Varsayımlar!$B:$Q,8,0))</f>
        <v>30</v>
      </c>
      <c r="R24" s="75" t="str">
        <f>IF(B24="","",VLOOKUP(AD24,Varsayımlar!$B:$Q,9,0))</f>
        <v>Irak Soft</v>
      </c>
      <c r="S24" s="75">
        <f>IF(B24="","",VLOOKUP(AD24,Varsayımlar!$B:$Q,10,0))</f>
        <v>18</v>
      </c>
      <c r="T24" s="75">
        <f>IF(B24="","",VLOOKUP(AD24,Varsayımlar!$B:$Q,11,0))</f>
        <v>6</v>
      </c>
      <c r="U24" s="75">
        <f>IF(B24="","",VLOOKUP(AD24,Varsayımlar!$B:$Q,12,0))</f>
        <v>1620</v>
      </c>
      <c r="V24" s="75" t="str">
        <f>IF(B24="","",VLOOKUP(AD24,Varsayımlar!$B:$Q,13,0))</f>
        <v>Yurtdışı</v>
      </c>
      <c r="W24" s="75">
        <f>IF(B24="","",VLOOKUP(AD24,Varsayımlar!$B:$Q,14,0))</f>
        <v>9</v>
      </c>
      <c r="X24" s="76">
        <v>46213</v>
      </c>
      <c r="Y24" s="76">
        <v>46487</v>
      </c>
      <c r="Z24" s="75" t="s">
        <v>442</v>
      </c>
      <c r="AA24" s="75" t="str">
        <f>IF(B24="","",VLOOKUP(AD24,Varsayımlar!$B:$Q,15,0))</f>
        <v>30cm Lacivert Koli- Bulgarca TB Etiket</v>
      </c>
      <c r="AB24" s="75" t="str">
        <f>IF(B24="","",VLOOKUP(AD24,Varsayımlar!$B:$Q,16,0))</f>
        <v>29-31 cm</v>
      </c>
      <c r="AC24" s="75" t="str">
        <f>IF(B24="","",VLOOKUP(Sayfa1!AD20,Varsayımlar!B:S,18,0))</f>
        <v>95x130cm</v>
      </c>
      <c r="AD24" s="57" t="str">
        <f t="shared" si="0"/>
        <v>TASTE LAND-BULGARİSTANTortillas 30cm Tam Buğday 18pcs 1620g</v>
      </c>
    </row>
    <row r="25" spans="1:31" ht="31.5" x14ac:dyDescent="0.25">
      <c r="A25" s="8" t="s">
        <v>138</v>
      </c>
      <c r="B25" s="75" t="s">
        <v>218</v>
      </c>
      <c r="C25" s="43">
        <f>IF(B25="","",VLOOKUP(AD25,Varsayımlar!$B:$Q,3,0))</f>
        <v>8698829380698</v>
      </c>
      <c r="D25" s="43" t="s">
        <v>161</v>
      </c>
      <c r="E25" s="75" t="s">
        <v>229</v>
      </c>
      <c r="F25" s="75" t="s">
        <v>341</v>
      </c>
      <c r="G25" s="43"/>
      <c r="H25" s="75" t="str">
        <f>IF(B25="","",VLOOKUP(AD25,Varsayımlar!$B:$Q,5,0))</f>
        <v>Tortillas Avrupa 25cm Tam Buğday (711)</v>
      </c>
      <c r="I25" s="75">
        <f>IF(B25="","",VLOOKUP(AD25,Varsayımlar!B:T,19,0))</f>
        <v>0</v>
      </c>
      <c r="J25" s="75" t="str">
        <f>IF(B25="","",VLOOKUP(AD25,Varsayımlar!$B:$Q,6,0))</f>
        <v>Tam Buğdaylı</v>
      </c>
      <c r="K25" s="75">
        <v>840</v>
      </c>
      <c r="L25" s="75"/>
      <c r="M25" s="75">
        <f>IFERROR(IF(B25="","",K25/VLOOKUP(AD25,Varsayımlar!B:R,17,0)),"")</f>
        <v>7</v>
      </c>
      <c r="N25" s="75"/>
      <c r="O25" s="75">
        <v>9</v>
      </c>
      <c r="P25" s="75">
        <f>IF(B25="","",VLOOKUP(AD25,Varsayımlar!$B:$Q,7,0)*K25)</f>
        <v>6720</v>
      </c>
      <c r="Q25" s="75">
        <f>IF(B25="","",VLOOKUP(AD25,Varsayımlar!$B:$Q,8,0))</f>
        <v>25</v>
      </c>
      <c r="R25" s="75" t="str">
        <f>IF(B25="","",VLOOKUP(AD25,Varsayımlar!$B:$Q,9,0))</f>
        <v>Irak Soft</v>
      </c>
      <c r="S25" s="75">
        <f>IF(B25="","",VLOOKUP(AD25,Varsayımlar!$B:$Q,10,0))</f>
        <v>10</v>
      </c>
      <c r="T25" s="75">
        <f>IF(B25="","",VLOOKUP(AD25,Varsayımlar!$B:$Q,11,0))</f>
        <v>8</v>
      </c>
      <c r="U25" s="75">
        <f>IF(B25="","",VLOOKUP(AD25,Varsayımlar!$B:$Q,12,0))</f>
        <v>650</v>
      </c>
      <c r="V25" s="75" t="str">
        <f>IF(B25="","",VLOOKUP(AD25,Varsayımlar!$B:$Q,13,0))</f>
        <v>Yurtdışı</v>
      </c>
      <c r="W25" s="75">
        <f>IF(B25="","",VLOOKUP(AD25,Varsayımlar!$B:$Q,14,0))</f>
        <v>9</v>
      </c>
      <c r="X25" s="76">
        <v>46213</v>
      </c>
      <c r="Y25" s="76">
        <v>46487</v>
      </c>
      <c r="Z25" s="75" t="s">
        <v>442</v>
      </c>
      <c r="AA25" s="75" t="str">
        <f>IF(B25="","",VLOOKUP(AD25,Varsayımlar!$B:$Q,15,0))</f>
        <v>25cm Perforeli-Bulgarca TB etiket</v>
      </c>
      <c r="AB25" s="75" t="str">
        <f>IF(B25="","",VLOOKUP(AD25,Varsayımlar!$B:$Q,16,0))</f>
        <v>24-26 cm</v>
      </c>
      <c r="AC25" s="75" t="str">
        <f>IF(B25="","",VLOOKUP(Sayfa1!AD63,Varsayımlar!B:S,18,0))</f>
        <v>80x120cm -Epal+Epal</v>
      </c>
      <c r="AD25" s="57" t="str">
        <f t="shared" si="0"/>
        <v>TASTE LAND-BULGARİSTANTortillas 25cm Tam Buğday 10pcs 650g</v>
      </c>
    </row>
    <row r="26" spans="1:31" ht="47.25" x14ac:dyDescent="0.25">
      <c r="A26" s="8" t="s">
        <v>139</v>
      </c>
      <c r="B26" s="75" t="s">
        <v>218</v>
      </c>
      <c r="C26" s="43">
        <f>IF(B26="","",VLOOKUP(AD26,Varsayımlar!$B:$Q,3,0))</f>
        <v>8698829380698</v>
      </c>
      <c r="D26" s="43" t="s">
        <v>161</v>
      </c>
      <c r="E26" s="75" t="s">
        <v>251</v>
      </c>
      <c r="F26" s="75" t="s">
        <v>341</v>
      </c>
      <c r="G26" s="43"/>
      <c r="H26" s="75" t="str">
        <f>IF(B26="","",VLOOKUP(AD26,Varsayımlar!$B:$Q,5,0))</f>
        <v>Tortillas Avrupa 25cm TB (711)</v>
      </c>
      <c r="I26" s="75" t="str">
        <f>IF(B26="","",VLOOKUP(AD26,Varsayımlar!B:T,19,0))</f>
        <v>Barkod üzerine Barkod Etiketi (067)</v>
      </c>
      <c r="J26" s="75" t="str">
        <f>IF(B26="","",VLOOKUP(AD26,Varsayımlar!$B:$Q,6,0))</f>
        <v>Tam Buğdaylı</v>
      </c>
      <c r="K26" s="75">
        <v>84</v>
      </c>
      <c r="L26" s="75"/>
      <c r="M26" s="75">
        <f>IFERROR(IF(B26="","",K26/VLOOKUP(AD26,Varsayımlar!B:R,17,0)),"")</f>
        <v>1</v>
      </c>
      <c r="N26" s="75"/>
      <c r="O26" s="75">
        <v>2</v>
      </c>
      <c r="P26" s="75">
        <f>IF(B26="","",VLOOKUP(AD26,Varsayımlar!$B:$Q,7,0)*K26)</f>
        <v>1512</v>
      </c>
      <c r="Q26" s="75">
        <f>IF(B26="","",VLOOKUP(AD26,Varsayımlar!$B:$Q,8,0))</f>
        <v>25</v>
      </c>
      <c r="R26" s="75" t="str">
        <f>IF(B26="","",VLOOKUP(AD26,Varsayımlar!$B:$Q,9,0))</f>
        <v>Irak Soft</v>
      </c>
      <c r="S26" s="75">
        <f>IF(B26="","",VLOOKUP(AD26,Varsayımlar!$B:$Q,10,0))</f>
        <v>6</v>
      </c>
      <c r="T26" s="75">
        <f>IF(B26="","",VLOOKUP(AD26,Varsayımlar!$B:$Q,11,0))</f>
        <v>18</v>
      </c>
      <c r="U26" s="75">
        <f>IF(B26="","",VLOOKUP(AD26,Varsayımlar!$B:$Q,12,0))</f>
        <v>390</v>
      </c>
      <c r="V26" s="75" t="str">
        <f>IF(B26="","",VLOOKUP(AD26,Varsayımlar!$B:$Q,13,0))</f>
        <v>Yurtdışı</v>
      </c>
      <c r="W26" s="75">
        <f>IF(B26="","",VLOOKUP(AD26,Varsayımlar!$B:$Q,14,0))</f>
        <v>9</v>
      </c>
      <c r="X26" s="76">
        <v>46213</v>
      </c>
      <c r="Y26" s="76">
        <v>46487</v>
      </c>
      <c r="Z26" s="75" t="s">
        <v>442</v>
      </c>
      <c r="AA26" s="75" t="str">
        <f>IF(B26="","",VLOOKUP(AD26,Varsayımlar!$B:$Q,15,0))</f>
        <v>25cm Kırmızı koli-Bulgarca TB Etiket</v>
      </c>
      <c r="AB26" s="75" t="str">
        <f>IF(B26="","",VLOOKUP(AD26,Varsayımlar!$B:$Q,16,0))</f>
        <v>24-26 cm</v>
      </c>
      <c r="AC26" s="75" t="str">
        <f>IF(B26="","",VLOOKUP(Sayfa1!AD64,Varsayımlar!B:S,18,0))</f>
        <v>80x120cm -Epal+Epal</v>
      </c>
      <c r="AD26" s="57" t="str">
        <f t="shared" si="0"/>
        <v>TASTE LAND-BULGARİSTANTortillas 25cm TB 6pcs 390g</v>
      </c>
    </row>
    <row r="27" spans="1:31" ht="47.25" x14ac:dyDescent="0.25">
      <c r="A27" s="8" t="s">
        <v>140</v>
      </c>
      <c r="B27" s="75" t="s">
        <v>218</v>
      </c>
      <c r="C27" s="43">
        <f>IF(B27="","",VLOOKUP(AD27,Varsayımlar!$B:$Q,3,0))</f>
        <v>8698829380698</v>
      </c>
      <c r="D27" s="43" t="s">
        <v>161</v>
      </c>
      <c r="E27" s="75" t="s">
        <v>232</v>
      </c>
      <c r="F27" s="75" t="s">
        <v>341</v>
      </c>
      <c r="G27" s="43"/>
      <c r="H27" s="75" t="str">
        <f>IF(B27="","",VLOOKUP(AD27,Varsayımlar!$B:$Q,5,0))</f>
        <v>Tortillas Avrupa 25cm Domatesli (074)</v>
      </c>
      <c r="I27" s="75">
        <f>IF(B27="","",VLOOKUP(AD27,Varsayımlar!B:T,19,0))</f>
        <v>0</v>
      </c>
      <c r="J27" s="75" t="str">
        <f>IF(B27="","",VLOOKUP(AD27,Varsayımlar!$B:$Q,6,0))</f>
        <v>Domatesli</v>
      </c>
      <c r="K27" s="75">
        <v>240</v>
      </c>
      <c r="L27" s="75"/>
      <c r="M27" s="75">
        <f>IFERROR(IF(B27="","",K27/VLOOKUP(AD27,Varsayımlar!B:R,17,0)),"")</f>
        <v>2</v>
      </c>
      <c r="N27" s="75"/>
      <c r="O27" s="75">
        <v>3</v>
      </c>
      <c r="P27" s="75">
        <f>IF(B27="","",VLOOKUP(AD27,Varsayımlar!$B:$Q,7,0)*K27)</f>
        <v>2880</v>
      </c>
      <c r="Q27" s="75">
        <f>IF(B27="","",VLOOKUP(AD27,Varsayımlar!$B:$Q,8,0))</f>
        <v>25</v>
      </c>
      <c r="R27" s="75" t="str">
        <f>IF(B27="","",VLOOKUP(AD27,Varsayımlar!$B:$Q,9,0))</f>
        <v>Irak Soft</v>
      </c>
      <c r="S27" s="75">
        <f>IF(B27="","",VLOOKUP(AD27,Varsayımlar!$B:$Q,10,0))</f>
        <v>6</v>
      </c>
      <c r="T27" s="75">
        <f>IF(B27="","",VLOOKUP(AD27,Varsayımlar!$B:$Q,11,0))</f>
        <v>12</v>
      </c>
      <c r="U27" s="75">
        <f>IF(B27="","",VLOOKUP(AD27,Varsayımlar!$B:$Q,12,0))</f>
        <v>390</v>
      </c>
      <c r="V27" s="75" t="str">
        <f>IF(B27="","",VLOOKUP(AD27,Varsayımlar!$B:$Q,13,0))</f>
        <v>Yurtdışı</v>
      </c>
      <c r="W27" s="75">
        <f>IF(B27="","",VLOOKUP(AD27,Varsayımlar!$B:$Q,14,0))</f>
        <v>9</v>
      </c>
      <c r="X27" s="76">
        <v>46213</v>
      </c>
      <c r="Y27" s="76">
        <v>46487</v>
      </c>
      <c r="Z27" s="75" t="s">
        <v>443</v>
      </c>
      <c r="AA27" s="75" t="str">
        <f>IF(B27="","",VLOOKUP(AD27,Varsayımlar!$B:$Q,15,0))</f>
        <v>25cm Perforeli-Bulgarca Domatesli etiket</v>
      </c>
      <c r="AB27" s="75" t="str">
        <f>IF(B27="","",VLOOKUP(AD27,Varsayımlar!$B:$Q,16,0))</f>
        <v>24-26 cm</v>
      </c>
      <c r="AC27" s="75" t="str">
        <f>IF(B27="","",VLOOKUP(Sayfa1!AD65,Varsayımlar!B:S,18,0))</f>
        <v>80x120cm -Epal+Epal</v>
      </c>
      <c r="AD27" s="57" t="str">
        <f t="shared" si="0"/>
        <v>TASTE LAND-BULGARİSTANTortillas 25cm Domatesli 6pcs 390g</v>
      </c>
    </row>
    <row r="28" spans="1:31" ht="47.25" x14ac:dyDescent="0.25">
      <c r="A28" s="8" t="s">
        <v>141</v>
      </c>
      <c r="B28" s="75" t="s">
        <v>218</v>
      </c>
      <c r="C28" s="43">
        <f>IF(B28="","",VLOOKUP(AD28,Varsayımlar!$B:$Q,3,0))</f>
        <v>8698829380698</v>
      </c>
      <c r="D28" s="43" t="s">
        <v>161</v>
      </c>
      <c r="E28" s="75" t="s">
        <v>235</v>
      </c>
      <c r="F28" s="75" t="s">
        <v>341</v>
      </c>
      <c r="G28" s="43"/>
      <c r="H28" s="75" t="str">
        <f>IF(B28="","",VLOOKUP(AD28,Varsayımlar!$B:$Q,5,0))</f>
        <v>Tortillas Avrupa 25cm Ispanaklı (081)</v>
      </c>
      <c r="I28" s="75">
        <f>IF(B28="","",VLOOKUP(AD28,Varsayımlar!B:T,19,0))</f>
        <v>0</v>
      </c>
      <c r="J28" s="75" t="str">
        <f>IF(B28="","",VLOOKUP(AD28,Varsayımlar!$B:$Q,6,0))</f>
        <v>Ispanaklı</v>
      </c>
      <c r="K28" s="75">
        <v>240</v>
      </c>
      <c r="L28" s="75"/>
      <c r="M28" s="75">
        <f>IFERROR(IF(B28="","",K28/VLOOKUP(AD28,Varsayımlar!B:R,17,0)),"")</f>
        <v>2</v>
      </c>
      <c r="N28" s="75"/>
      <c r="O28" s="75">
        <v>3</v>
      </c>
      <c r="P28" s="75">
        <f>IF(B28="","",VLOOKUP(AD28,Varsayımlar!$B:$Q,7,0)*K28)</f>
        <v>2880</v>
      </c>
      <c r="Q28" s="75">
        <f>IF(B28="","",VLOOKUP(AD28,Varsayımlar!$B:$Q,8,0))</f>
        <v>25</v>
      </c>
      <c r="R28" s="75" t="str">
        <f>IF(B28="","",VLOOKUP(AD28,Varsayımlar!$B:$Q,9,0))</f>
        <v>Irak Soft</v>
      </c>
      <c r="S28" s="75">
        <f>IF(B28="","",VLOOKUP(AD28,Varsayımlar!$B:$Q,10,0))</f>
        <v>6</v>
      </c>
      <c r="T28" s="75">
        <f>IF(B28="","",VLOOKUP(AD28,Varsayımlar!$B:$Q,11,0))</f>
        <v>12</v>
      </c>
      <c r="U28" s="75">
        <f>IF(B28="","",VLOOKUP(AD28,Varsayımlar!$B:$Q,12,0))</f>
        <v>390</v>
      </c>
      <c r="V28" s="75" t="str">
        <f>IF(B28="","",VLOOKUP(AD28,Varsayımlar!$B:$Q,13,0))</f>
        <v>Yurtdışı</v>
      </c>
      <c r="W28" s="75">
        <f>IF(B28="","",VLOOKUP(AD28,Varsayımlar!$B:$Q,14,0))</f>
        <v>9</v>
      </c>
      <c r="X28" s="76">
        <v>46213</v>
      </c>
      <c r="Y28" s="76">
        <v>46487</v>
      </c>
      <c r="Z28" s="75" t="s">
        <v>444</v>
      </c>
      <c r="AA28" s="75" t="str">
        <f>IF(B28="","",VLOOKUP(AD28,Varsayımlar!$B:$Q,15,0))</f>
        <v>25cm Perforeli-Bulgarca Ispanaklı etiket</v>
      </c>
      <c r="AB28" s="75" t="str">
        <f>IF(B28="","",VLOOKUP(AD28,Varsayımlar!$B:$Q,16,0))</f>
        <v>24-26 cm</v>
      </c>
      <c r="AC28" s="75" t="str">
        <f>IF(B28="","",VLOOKUP(Sayfa1!AD66,Varsayımlar!B:S,18,0))</f>
        <v>80x120cm -Epal+Epal</v>
      </c>
      <c r="AD28" s="57" t="str">
        <f t="shared" si="0"/>
        <v>TASTE LAND-BULGARİSTANTortillas 25cm Ispanaklı 6pcs 390g</v>
      </c>
    </row>
    <row r="29" spans="1:31" ht="47.25" x14ac:dyDescent="0.25">
      <c r="A29" s="8" t="s">
        <v>142</v>
      </c>
      <c r="B29" s="75" t="s">
        <v>218</v>
      </c>
      <c r="C29" s="43">
        <f>IF(B29="","",VLOOKUP(AD29,Varsayımlar!$B:$Q,3,0))</f>
        <v>8698829380698</v>
      </c>
      <c r="D29" s="43" t="s">
        <v>161</v>
      </c>
      <c r="E29" s="75" t="s">
        <v>240</v>
      </c>
      <c r="F29" s="75" t="s">
        <v>341</v>
      </c>
      <c r="G29" s="43"/>
      <c r="H29" s="75" t="str">
        <f>IF(B29="","",VLOOKUP(AD29,Varsayımlar!$B:$Q,5,0))</f>
        <v>Tortillas Avrupa 25cm Peynirli (098)</v>
      </c>
      <c r="I29" s="75">
        <f>IF(B29="","",VLOOKUP(AD29,Varsayımlar!B:T,19,0))</f>
        <v>0</v>
      </c>
      <c r="J29" s="75" t="str">
        <f>IF(B29="","",VLOOKUP(AD29,Varsayımlar!$B:$Q,6,0))</f>
        <v>Peynirli</v>
      </c>
      <c r="K29" s="75">
        <v>120</v>
      </c>
      <c r="L29" s="75"/>
      <c r="M29" s="75">
        <f>IFERROR(IF(B29="","",K29/VLOOKUP(AD29,Varsayımlar!B:R,17,0)),"")</f>
        <v>1</v>
      </c>
      <c r="N29" s="75"/>
      <c r="O29" s="75">
        <v>2</v>
      </c>
      <c r="P29" s="75">
        <f>IF(B29="","",VLOOKUP(AD29,Varsayımlar!$B:$Q,7,0)*K29)</f>
        <v>1440</v>
      </c>
      <c r="Q29" s="75">
        <f>IF(B29="","",VLOOKUP(AD29,Varsayımlar!$B:$Q,8,0))</f>
        <v>25</v>
      </c>
      <c r="R29" s="75" t="str">
        <f>IF(B29="","",VLOOKUP(AD29,Varsayımlar!$B:$Q,9,0))</f>
        <v>Irak Soft-AT</v>
      </c>
      <c r="S29" s="75">
        <f>IF(B29="","",VLOOKUP(AD29,Varsayımlar!$B:$Q,10,0))</f>
        <v>6</v>
      </c>
      <c r="T29" s="75">
        <f>IF(B29="","",VLOOKUP(AD29,Varsayımlar!$B:$Q,11,0))</f>
        <v>12</v>
      </c>
      <c r="U29" s="75">
        <f>IF(B29="","",VLOOKUP(AD29,Varsayımlar!$B:$Q,12,0))</f>
        <v>390</v>
      </c>
      <c r="V29" s="75" t="str">
        <f>IF(B29="","",VLOOKUP(AD29,Varsayımlar!$B:$Q,13,0))</f>
        <v>Yurtdışı</v>
      </c>
      <c r="W29" s="75">
        <f>IF(B29="","",VLOOKUP(AD29,Varsayımlar!$B:$Q,14,0))</f>
        <v>9</v>
      </c>
      <c r="X29" s="76">
        <v>46213</v>
      </c>
      <c r="Y29" s="76">
        <v>46487</v>
      </c>
      <c r="Z29" s="75" t="s">
        <v>445</v>
      </c>
      <c r="AA29" s="75" t="str">
        <f>IF(B29="","",VLOOKUP(AD29,Varsayımlar!$B:$Q,15,0))</f>
        <v>25cm Perforeli-Bulgarca Peynirli etiket</v>
      </c>
      <c r="AB29" s="75" t="str">
        <f>IF(B29="","",VLOOKUP(AD29,Varsayımlar!$B:$Q,16,0))</f>
        <v>24-26 cm</v>
      </c>
      <c r="AC29" s="75" t="str">
        <f>IF(B29="","",VLOOKUP(Sayfa1!AD67,Varsayımlar!B:S,18,0))</f>
        <v>80x120cm -Epal+Epal</v>
      </c>
      <c r="AD29" s="57" t="str">
        <f t="shared" si="0"/>
        <v>TASTE LAND-BULGARİSTANTortillas 25cm Peynirli 6pcs 390g</v>
      </c>
    </row>
    <row r="30" spans="1:31" ht="32.25" customHeight="1" x14ac:dyDescent="0.25">
      <c r="A30" s="8" t="s">
        <v>143</v>
      </c>
      <c r="B30" s="67" t="s">
        <v>460</v>
      </c>
      <c r="C30" s="42">
        <f>IF(B30="","",VLOOKUP(AD30,Varsayımlar!$B:$Q,3,0))</f>
        <v>8698829380698</v>
      </c>
      <c r="D30" s="67" t="s">
        <v>540</v>
      </c>
      <c r="E30" s="67" t="s">
        <v>464</v>
      </c>
      <c r="F30" s="67">
        <v>20260414</v>
      </c>
      <c r="G30" s="67"/>
      <c r="H30" s="67" t="str">
        <f>IF(B30="","",VLOOKUP(AD30,Varsayımlar!$B:$Q,5,0))</f>
        <v>Tortillove 20cm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300</v>
      </c>
      <c r="L30" s="67"/>
      <c r="M30" s="67">
        <f>IFERROR(IF(B30="","",K30/VLOOKUP(AD30,Varsayımlar!B:R,17,0)),"")</f>
        <v>3</v>
      </c>
      <c r="N30" s="67"/>
      <c r="O30" s="67">
        <v>5</v>
      </c>
      <c r="P30" s="67">
        <f>IF(B30="","",VLOOKUP(AD30,Varsayımlar!$B:$Q,7,0)*K30)</f>
        <v>3600</v>
      </c>
      <c r="Q30" s="67">
        <f>IF(B30="","",VLOOKUP(AD30,Varsayımlar!$B:$Q,8,0))</f>
        <v>20</v>
      </c>
      <c r="R30" s="67" t="str">
        <f>IF(B30="","",VLOOKUP(AD30,Varsayımlar!$B:$Q,9,0))</f>
        <v>Irak Soft</v>
      </c>
      <c r="S30" s="67">
        <f>IF(B30="","",VLOOKUP(AD30,Varsayımlar!$B:$Q,10,0))</f>
        <v>10</v>
      </c>
      <c r="T30" s="67">
        <f>IF(B30="","",VLOOKUP(AD30,Varsayımlar!$B:$Q,11,0))</f>
        <v>12</v>
      </c>
      <c r="U30" s="67">
        <f>IF(B30="","",VLOOKUP(AD30,Varsayımlar!$B:$Q,12,0))</f>
        <v>450</v>
      </c>
      <c r="V30" s="67" t="str">
        <f>IF(B30="","",VLOOKUP(AD30,Varsayımlar!$B:$Q,13,0))</f>
        <v>Yurtdışı</v>
      </c>
      <c r="W30" s="67">
        <f>IF(B30="","",VLOOKUP(AD30,Varsayımlar!$B:$Q,14,0))</f>
        <v>6</v>
      </c>
      <c r="X30" s="69">
        <v>46216</v>
      </c>
      <c r="Y30" s="69">
        <v>46400</v>
      </c>
      <c r="Z30" s="67">
        <v>26071320</v>
      </c>
      <c r="AA30" s="67" t="str">
        <f>IF(B30="","",VLOOKUP(AD30,Varsayımlar!$B:$Q,15,0))</f>
        <v>20cm kolisi</v>
      </c>
      <c r="AB30" s="67" t="str">
        <f>IF(B30="","",VLOOKUP(AD30,Varsayımlar!$B:$Q,16,0))</f>
        <v>19-21 cm</v>
      </c>
      <c r="AC30" s="75">
        <f>IF(B30="","",VLOOKUP(Sayfa1!AD69,Varsayımlar!B:S,18,0))</f>
        <v>0</v>
      </c>
      <c r="AD30" s="57" t="str">
        <f t="shared" si="0"/>
        <v>Yüksekbaş GıdaYüksekbaş 20cm 10pcs 450g</v>
      </c>
    </row>
    <row r="31" spans="1:31" ht="51" customHeight="1" x14ac:dyDescent="0.25">
      <c r="A31" s="8" t="s">
        <v>144</v>
      </c>
      <c r="B31" s="67" t="s">
        <v>460</v>
      </c>
      <c r="C31" s="42">
        <f>IF(B31="","",VLOOKUP(AD31,Varsayımlar!$B:$Q,3,0))</f>
        <v>8698829380698</v>
      </c>
      <c r="D31" s="67" t="s">
        <v>540</v>
      </c>
      <c r="E31" s="67" t="s">
        <v>470</v>
      </c>
      <c r="F31" s="67">
        <v>20260414</v>
      </c>
      <c r="G31" s="67"/>
      <c r="H31" s="67" t="str">
        <f>IF(B31="","",VLOOKUP(AD31,Varsayımlar!$B:$Q,5,0))</f>
        <v>Tortillove 30cm</v>
      </c>
      <c r="I31" s="67">
        <f>IF(B31="","",VLOOKUP(AD31,Varsayımlar!B:T,19,0))</f>
        <v>0</v>
      </c>
      <c r="J31" s="67" t="str">
        <f>IF(B31="","",VLOOKUP(AD31,Varsayımlar!$B:$Q,6,0))</f>
        <v>SADE</v>
      </c>
      <c r="K31" s="67">
        <v>792</v>
      </c>
      <c r="L31" s="67" t="s">
        <v>530</v>
      </c>
      <c r="M31" s="67">
        <f>IFERROR(IF(B31="","",K31/VLOOKUP(AD31,Varsayımlar!B:R,17,0)),"")</f>
        <v>12</v>
      </c>
      <c r="N31" s="67"/>
      <c r="O31" s="67">
        <v>14</v>
      </c>
      <c r="P31" s="67">
        <f>IF(B31="","",VLOOKUP(AD31,Varsayımlar!$B:$Q,7,0)*K31)</f>
        <v>9504</v>
      </c>
      <c r="Q31" s="67">
        <f>IF(B31="","",VLOOKUP(AD31,Varsayımlar!$B:$Q,8,0))</f>
        <v>30</v>
      </c>
      <c r="R31" s="67" t="str">
        <f>IF(B31="","",VLOOKUP(AD31,Varsayımlar!$B:$Q,9,0))</f>
        <v>Irak Soft</v>
      </c>
      <c r="S31" s="67">
        <f>IF(B31="","",VLOOKUP(AD31,Varsayımlar!$B:$Q,10,0))</f>
        <v>10</v>
      </c>
      <c r="T31" s="67">
        <f>IF(B31="","",VLOOKUP(AD31,Varsayımlar!$B:$Q,11,0))</f>
        <v>12</v>
      </c>
      <c r="U31" s="67">
        <f>IF(B31="","",VLOOKUP(AD31,Varsayımlar!$B:$Q,12,0))</f>
        <v>950</v>
      </c>
      <c r="V31" s="67" t="str">
        <f>IF(B31="","",VLOOKUP(AD31,Varsayımlar!$B:$Q,13,0))</f>
        <v>Yurtdışı</v>
      </c>
      <c r="W31" s="67">
        <f>IF(B31="","",VLOOKUP(AD31,Varsayımlar!$B:$Q,14,0))</f>
        <v>6</v>
      </c>
      <c r="X31" s="69">
        <v>46216</v>
      </c>
      <c r="Y31" s="69">
        <v>46400</v>
      </c>
      <c r="Z31" s="67">
        <v>26071330</v>
      </c>
      <c r="AA31" s="67" t="str">
        <f>IF(B31="","",VLOOKUP(AD31,Varsayımlar!$B:$Q,15,0))</f>
        <v>30cm Kolisi</v>
      </c>
      <c r="AB31" s="67" t="str">
        <f>IF(B31="","",VLOOKUP(AD31,Varsayımlar!$B:$Q,16,0))</f>
        <v>29-31 cm</v>
      </c>
      <c r="AC31" s="75">
        <f>IF(B31="","",VLOOKUP(Sayfa1!AD69,Varsayımlar!B:S,18,0))</f>
        <v>0</v>
      </c>
      <c r="AD31" s="57" t="str">
        <f t="shared" si="0"/>
        <v>Yüksekbaş GıdaYüksekbaş 30cm 10pcs 950g</v>
      </c>
      <c r="AE31" s="140" t="s">
        <v>541</v>
      </c>
    </row>
    <row r="32" spans="1:31" ht="47.25" x14ac:dyDescent="0.25">
      <c r="A32" s="8" t="s">
        <v>145</v>
      </c>
      <c r="B32" s="58" t="s">
        <v>346</v>
      </c>
      <c r="C32" s="147">
        <f>IF(B32="","",VLOOKUP(AD32,Varsayımlar!$B:$Q,3,0))</f>
        <v>8698829380698</v>
      </c>
      <c r="D32" s="40">
        <v>48</v>
      </c>
      <c r="E32" s="59" t="s">
        <v>162</v>
      </c>
      <c r="F32" s="58"/>
      <c r="G32" s="58"/>
      <c r="H32" s="58" t="str">
        <f>IF(B32="","",VLOOKUP(AD32,Varsayımlar!$B:$Q,5,0))</f>
        <v>Hanami 20cm Sade 4 pcs 166g (067)</v>
      </c>
      <c r="I32" s="58" t="str">
        <f>IF(B32="","",VLOOKUP(AD32,Varsayımlar!B:T,19,0))</f>
        <v>Ambalaj kaç aylık kontrol?</v>
      </c>
      <c r="J32" s="58" t="str">
        <f>IF(B32="","",VLOOKUP(AD32,Varsayımlar!$B:$Q,6,0))</f>
        <v>SADE</v>
      </c>
      <c r="K32" s="58">
        <v>3080</v>
      </c>
      <c r="L32" s="58"/>
      <c r="M32" s="58">
        <f>IFERROR(IF(B32="","",K32/VLOOKUP(AD32,Varsayımlar!B:R,17,0)),"")</f>
        <v>22</v>
      </c>
      <c r="N32" s="58"/>
      <c r="O32" s="58">
        <v>52</v>
      </c>
      <c r="P32" s="58">
        <f>IF(B32="","",VLOOKUP(AD32,Varsayımlar!$B:$Q,7,0)*K32)</f>
        <v>92400</v>
      </c>
      <c r="Q32" s="58">
        <f>IF(B32="","",VLOOKUP(AD32,Varsayımlar!$B:$Q,8,0))</f>
        <v>20</v>
      </c>
      <c r="R32" s="58" t="str">
        <f>IF(B32="","",VLOOKUP(AD32,Varsayımlar!$B:$Q,9,0))</f>
        <v>Irak Soft</v>
      </c>
      <c r="S32" s="58">
        <f>IF(B32="","",VLOOKUP(AD32,Varsayımlar!$B:$Q,10,0))</f>
        <v>4</v>
      </c>
      <c r="T32" s="58">
        <f>IF(B32="","",VLOOKUP(AD32,Varsayımlar!$B:$Q,11,0))</f>
        <v>30</v>
      </c>
      <c r="U32" s="58">
        <f>IF(B32="","",VLOOKUP(AD32,Varsayımlar!$B:$Q,12,0))</f>
        <v>166</v>
      </c>
      <c r="V32" s="58" t="str">
        <f>IF(B32="","",VLOOKUP(AD32,Varsayımlar!$B:$Q,13,0))</f>
        <v>Yurtdışı</v>
      </c>
      <c r="W32" s="58">
        <f>IF(B32="","",VLOOKUP(AD32,Varsayımlar!$B:$Q,14,0))</f>
        <v>9</v>
      </c>
      <c r="X32" s="60">
        <v>46218</v>
      </c>
      <c r="Y32" s="60">
        <v>46492</v>
      </c>
      <c r="Z32" s="58">
        <v>26071520</v>
      </c>
      <c r="AA32" s="58" t="str">
        <f>IF(B32="","",VLOOKUP(AD32,Varsayımlar!$B:$Q,15,0))</f>
        <v>Hanami Mavi Koli -Üretim Tarihi+9 AYI KAPATACAK ETİKETLİ</v>
      </c>
      <c r="AB32" s="58" t="str">
        <f>IF(B32="","",VLOOKUP(AD32,Varsayımlar!$B:$Q,16,0))</f>
        <v>19-21 cm</v>
      </c>
      <c r="AC32" s="8" t="e">
        <f>IF(B32="","",VLOOKUP(#REF!,#REF!,18,0))</f>
        <v>#REF!</v>
      </c>
      <c r="AD32" s="8" t="str">
        <f t="shared" si="0"/>
        <v xml:space="preserve">GermesHanami 20cm sade 4pcs 166g </v>
      </c>
    </row>
    <row r="33" spans="1:30" ht="31.5" x14ac:dyDescent="0.25">
      <c r="A33" s="8" t="s">
        <v>146</v>
      </c>
      <c r="B33" s="58" t="s">
        <v>346</v>
      </c>
      <c r="C33" s="147">
        <f>IF(B33="","",VLOOKUP(AD33,Varsayımlar!$B:$Q,3,0))</f>
        <v>8698829380698</v>
      </c>
      <c r="D33" s="40">
        <v>48</v>
      </c>
      <c r="E33" s="59" t="s">
        <v>166</v>
      </c>
      <c r="F33" s="58"/>
      <c r="G33" s="58"/>
      <c r="H33" s="58" t="str">
        <f>IF(B33="","",VLOOKUP(AD33,Varsayımlar!$B:$Q,5,0))</f>
        <v>Tortillas 20cm (Etiketli)</v>
      </c>
      <c r="I33" s="58" t="str">
        <f>IF(B33="","",VLOOKUP(AD33,Varsayımlar!B:T,19,0))</f>
        <v>Etiketli</v>
      </c>
      <c r="J33" s="58" t="str">
        <f>IF(B33="","",VLOOKUP(AD33,Varsayımlar!$B:$Q,6,0))</f>
        <v>SADE</v>
      </c>
      <c r="K33" s="58">
        <v>280</v>
      </c>
      <c r="L33" s="58"/>
      <c r="M33" s="58">
        <f>IFERROR(IF(B33="","",K33/VLOOKUP(AD33,Varsayımlar!B:R,17,0)),"")</f>
        <v>2</v>
      </c>
      <c r="N33" s="58"/>
      <c r="O33" s="58">
        <v>5</v>
      </c>
      <c r="P33" s="58">
        <f>IF(B33="","",VLOOKUP(AD33,Varsayımlar!$B:$Q,7,0)*K33)</f>
        <v>8400</v>
      </c>
      <c r="Q33" s="58">
        <f>IF(B33="","",VLOOKUP(AD33,Varsayımlar!$B:$Q,8,0))</f>
        <v>20</v>
      </c>
      <c r="R33" s="58" t="str">
        <f>IF(B33="","",VLOOKUP(AD33,Varsayımlar!$B:$Q,9,0))</f>
        <v>Irak soft</v>
      </c>
      <c r="S33" s="58">
        <f>IF(B33="","",VLOOKUP(AD33,Varsayımlar!$B:$Q,10,0))</f>
        <v>4</v>
      </c>
      <c r="T33" s="58">
        <f>IF(B33="","",VLOOKUP(AD33,Varsayımlar!$B:$Q,11,0))</f>
        <v>30</v>
      </c>
      <c r="U33" s="58">
        <f>IF(B33="","",VLOOKUP(AD33,Varsayımlar!$B:$Q,12,0))</f>
        <v>166</v>
      </c>
      <c r="V33" s="58" t="str">
        <f>IF(B33="","",VLOOKUP(AD33,Varsayımlar!$B:$Q,13,0))</f>
        <v>Yurtdışı</v>
      </c>
      <c r="W33" s="58">
        <f>IF(B33="","",VLOOKUP(AD33,Varsayımlar!$B:$Q,14,0))</f>
        <v>9</v>
      </c>
      <c r="X33" s="60">
        <v>46218</v>
      </c>
      <c r="Y33" s="60">
        <v>46492</v>
      </c>
      <c r="Z33" s="58">
        <v>26071520</v>
      </c>
      <c r="AA33" s="58" t="str">
        <f>IF(B33="","",VLOOKUP(AD33,Varsayımlar!$B:$Q,15,0))</f>
        <v>20cm Koli-Üretim Tarihli Etiket</v>
      </c>
      <c r="AB33" s="58" t="str">
        <f>IF(B33="","",VLOOKUP(AD33,Varsayımlar!$B:$Q,16,0))</f>
        <v>19-21 cm</v>
      </c>
      <c r="AC33" s="8" t="e">
        <f>IF(B33="","",VLOOKUP(#REF!,#REF!,18,0))</f>
        <v>#REF!</v>
      </c>
      <c r="AD33" s="8" t="str">
        <f>IF(B33="","",CONCATENATE(B33,E33))</f>
        <v>GermesTortillas 20cm 4 lü 166g</v>
      </c>
    </row>
    <row r="34" spans="1:30" ht="31.5" customHeight="1" x14ac:dyDescent="0.25">
      <c r="A34" s="8" t="s">
        <v>147</v>
      </c>
      <c r="B34" s="58" t="s">
        <v>346</v>
      </c>
      <c r="C34" s="147">
        <f>IF(B34="","",VLOOKUP(AD34,Varsayımlar!$B:$Q,3,0))</f>
        <v>8698829380698</v>
      </c>
      <c r="D34" s="40">
        <v>48</v>
      </c>
      <c r="E34" s="59" t="s">
        <v>168</v>
      </c>
      <c r="F34" s="58"/>
      <c r="G34" s="58"/>
      <c r="H34" s="58" t="str">
        <f>IF(B34="","",VLOOKUP(AD34,Varsayımlar!$B:$Q,5,0))</f>
        <v>Hanami Peynirli 20cm (050)</v>
      </c>
      <c r="I34" s="58" t="str">
        <f>IF(B34="","",VLOOKUP(AD34,Varsayımlar!B:T,19,0))</f>
        <v>Ambalaj kaç aylık kontrol?</v>
      </c>
      <c r="J34" s="58" t="str">
        <f>IF(B34="","",VLOOKUP(AD34,Varsayımlar!$B:$Q,6,0))</f>
        <v>PEYNİRLİ</v>
      </c>
      <c r="K34" s="58">
        <v>280</v>
      </c>
      <c r="L34" s="58" t="s">
        <v>531</v>
      </c>
      <c r="M34" s="58">
        <f>IFERROR(IF(B34="","",K34/VLOOKUP(AD34,Varsayımlar!B:R,17,0)),"")</f>
        <v>2</v>
      </c>
      <c r="N34" s="58"/>
      <c r="O34" s="58">
        <v>6</v>
      </c>
      <c r="P34" s="58">
        <f>IF(B34="","",VLOOKUP(AD34,Varsayımlar!$B:$Q,7,0)*K34)</f>
        <v>8400</v>
      </c>
      <c r="Q34" s="58">
        <f>IF(B34="","",VLOOKUP(AD34,Varsayımlar!$B:$Q,8,0))</f>
        <v>20</v>
      </c>
      <c r="R34" s="58" t="str">
        <f>IF(B34="","",VLOOKUP(AD34,Varsayımlar!$B:$Q,9,0))</f>
        <v>Irak Soft-AT</v>
      </c>
      <c r="S34" s="58">
        <f>IF(B34="","",VLOOKUP(AD34,Varsayımlar!$B:$Q,10,0))</f>
        <v>4</v>
      </c>
      <c r="T34" s="58">
        <f>IF(B34="","",VLOOKUP(AD34,Varsayımlar!$B:$Q,11,0))</f>
        <v>30</v>
      </c>
      <c r="U34" s="58">
        <f>IF(B34="","",VLOOKUP(AD34,Varsayımlar!$B:$Q,12,0))</f>
        <v>166</v>
      </c>
      <c r="V34" s="58" t="str">
        <f>IF(B34="","",VLOOKUP(AD34,Varsayımlar!$B:$Q,13,0))</f>
        <v>YURTDIŞI</v>
      </c>
      <c r="W34" s="58">
        <f>IF(B34="","",VLOOKUP(AD34,Varsayımlar!$B:$Q,14,0))</f>
        <v>9</v>
      </c>
      <c r="X34" s="60">
        <v>46218</v>
      </c>
      <c r="Y34" s="60">
        <v>46492</v>
      </c>
      <c r="Z34" s="58" t="s">
        <v>495</v>
      </c>
      <c r="AA34" s="58" t="str">
        <f>IF(B34="","",VLOOKUP(AD34,Varsayımlar!$B:$Q,15,0))</f>
        <v>HANAMİ SARI KOLİ-ÜRETİM TARİHİ BASILACAK</v>
      </c>
      <c r="AB34" s="58" t="str">
        <f>IF(B34="","",VLOOKUP(AD34,Varsayımlar!$B:$Q,16,0))</f>
        <v>19-21 CM</v>
      </c>
      <c r="AC34" s="8" t="e">
        <f>IF(B34="","",VLOOKUP(#REF!,#REF!,18,0))</f>
        <v>#REF!</v>
      </c>
      <c r="AD34" s="8" t="str">
        <f t="shared" ref="AD34:AD46" si="2">IF(B34="","",CONCATENATE(B34,E34))</f>
        <v>GermesHanami Peynirli 20cm 4 lü 166g</v>
      </c>
    </row>
    <row r="35" spans="1:30" ht="47.25" x14ac:dyDescent="0.25">
      <c r="A35" s="8" t="s">
        <v>148</v>
      </c>
      <c r="B35" s="54" t="s">
        <v>346</v>
      </c>
      <c r="C35" s="139">
        <f>IF(B35="","",VLOOKUP(AD35,Varsayımlar!$B:$Q,3,0))</f>
        <v>8698829380698</v>
      </c>
      <c r="D35" s="39">
        <v>49</v>
      </c>
      <c r="E35" s="55" t="s">
        <v>162</v>
      </c>
      <c r="F35" s="54"/>
      <c r="G35" s="54"/>
      <c r="H35" s="54" t="str">
        <f>IF(B35="","",VLOOKUP(AD35,Varsayımlar!$B:$Q,5,0))</f>
        <v>Hanami 20cm Sade 4 pcs 166g (067)</v>
      </c>
      <c r="I35" s="54" t="str">
        <f>IF(B35="","",VLOOKUP(AD35,Varsayımlar!B:T,19,0))</f>
        <v>Ambalaj kaç aylık kontrol?</v>
      </c>
      <c r="J35" s="54" t="str">
        <f>IF(B35="","",VLOOKUP(AD35,Varsayımlar!$B:$Q,6,0))</f>
        <v>SADE</v>
      </c>
      <c r="K35" s="54">
        <v>700</v>
      </c>
      <c r="L35" s="54"/>
      <c r="M35" s="54">
        <f>IFERROR(IF(B35="","",K35/VLOOKUP(AD35,Varsayımlar!B:R,17,0)),"")</f>
        <v>5</v>
      </c>
      <c r="N35" s="54"/>
      <c r="O35" s="54">
        <v>12</v>
      </c>
      <c r="P35" s="54">
        <f>IF(B35="","",VLOOKUP(AD35,Varsayımlar!$B:$Q,7,0)*K35)</f>
        <v>21000</v>
      </c>
      <c r="Q35" s="54">
        <f>IF(B35="","",VLOOKUP(AD35,Varsayımlar!$B:$Q,8,0))</f>
        <v>20</v>
      </c>
      <c r="R35" s="54" t="str">
        <f>IF(B35="","",VLOOKUP(AD35,Varsayımlar!$B:$Q,9,0))</f>
        <v>Irak Soft</v>
      </c>
      <c r="S35" s="54">
        <f>IF(B35="","",VLOOKUP(AD35,Varsayımlar!$B:$Q,10,0))</f>
        <v>4</v>
      </c>
      <c r="T35" s="54">
        <f>IF(B35="","",VLOOKUP(AD35,Varsayımlar!$B:$Q,11,0))</f>
        <v>30</v>
      </c>
      <c r="U35" s="54">
        <f>IF(B35="","",VLOOKUP(AD35,Varsayımlar!$B:$Q,12,0))</f>
        <v>166</v>
      </c>
      <c r="V35" s="54" t="str">
        <f>IF(B35="","",VLOOKUP(AD35,Varsayımlar!$B:$Q,13,0))</f>
        <v>Yurtdışı</v>
      </c>
      <c r="W35" s="54">
        <f>IF(B35="","",VLOOKUP(AD35,Varsayımlar!$B:$Q,14,0))</f>
        <v>9</v>
      </c>
      <c r="X35" s="56">
        <v>46226</v>
      </c>
      <c r="Y35" s="56">
        <v>46500</v>
      </c>
      <c r="Z35" s="54">
        <v>26072320</v>
      </c>
      <c r="AA35" s="54" t="str">
        <f>IF(B35="","",VLOOKUP(AD35,Varsayımlar!$B:$Q,15,0))</f>
        <v>Hanami Mavi Koli -Üretim Tarihi+9 AYI KAPATACAK ETİKETLİ</v>
      </c>
      <c r="AB35" s="54" t="str">
        <f>IF(B35="","",VLOOKUP(AD35,Varsayımlar!$B:$Q,16,0))</f>
        <v>19-21 cm</v>
      </c>
      <c r="AC35" s="8" t="e">
        <f>IF(B35="","",VLOOKUP(#REF!,#REF!,18,0))</f>
        <v>#REF!</v>
      </c>
      <c r="AD35" s="8" t="str">
        <f t="shared" si="2"/>
        <v xml:space="preserve">GermesHanami 20cm sade 4pcs 166g </v>
      </c>
    </row>
    <row r="36" spans="1:30" ht="31.5" x14ac:dyDescent="0.25">
      <c r="A36" s="8" t="s">
        <v>149</v>
      </c>
      <c r="B36" s="54" t="s">
        <v>346</v>
      </c>
      <c r="C36" s="139">
        <f>IF(B36="","",VLOOKUP(AD36,Varsayımlar!$B:$Q,3,0))</f>
        <v>8698829380698</v>
      </c>
      <c r="D36" s="39">
        <v>49</v>
      </c>
      <c r="E36" s="55" t="s">
        <v>490</v>
      </c>
      <c r="F36" s="54"/>
      <c r="G36" s="54"/>
      <c r="H36" s="54" t="str">
        <f>IF(B36="","",VLOOKUP(AD36,Varsayımlar!$B:$Q,5,0))</f>
        <v>Tortillas Domatesli 25cm (Germes Bilgileri Ekli)</v>
      </c>
      <c r="I36" s="54">
        <f>IF(B36="","",VLOOKUP(AD36,Varsayımlar!B:T,19,0))</f>
        <v>0</v>
      </c>
      <c r="J36" s="54" t="str">
        <f>IF(B36="","",VLOOKUP(AD36,Varsayımlar!$B:$Q,6,0))</f>
        <v>Domatesli</v>
      </c>
      <c r="K36" s="54">
        <v>420</v>
      </c>
      <c r="L36" s="54"/>
      <c r="M36" s="54" t="str">
        <f>IFERROR(IF(B36="","",K36/VLOOKUP(AD36,Varsayımlar!B:R,17,0)),"")</f>
        <v/>
      </c>
      <c r="N36" s="54"/>
      <c r="O36" s="54">
        <v>8</v>
      </c>
      <c r="P36" s="54">
        <f>IF(B36="","",VLOOKUP(AD36,Varsayımlar!$B:$Q,7,0)*K36)</f>
        <v>12600</v>
      </c>
      <c r="Q36" s="54">
        <f>IF(B36="","",VLOOKUP(AD36,Varsayımlar!$B:$Q,8,0))</f>
        <v>25</v>
      </c>
      <c r="R36" s="54" t="str">
        <f>IF(B36="","",VLOOKUP(AD36,Varsayımlar!$B:$Q,9,0))</f>
        <v>Irak Soft</v>
      </c>
      <c r="S36" s="54">
        <f>IF(B36="","",VLOOKUP(AD36,Varsayımlar!$B:$Q,10,0))</f>
        <v>4</v>
      </c>
      <c r="T36" s="54">
        <f>IF(B36="","",VLOOKUP(AD36,Varsayımlar!$B:$Q,11,0))</f>
        <v>30</v>
      </c>
      <c r="U36" s="54">
        <f>IF(B36="","",VLOOKUP(AD36,Varsayımlar!$B:$Q,12,0))</f>
        <v>250</v>
      </c>
      <c r="V36" s="54" t="str">
        <f>IF(B36="","",VLOOKUP(AD36,Varsayımlar!$B:$Q,13,0))</f>
        <v>Yurtdışı</v>
      </c>
      <c r="W36" s="54">
        <f>IF(B36="","",VLOOKUP(AD36,Varsayımlar!$B:$Q,14,0))</f>
        <v>9</v>
      </c>
      <c r="X36" s="56">
        <v>46226</v>
      </c>
      <c r="Y36" s="56">
        <v>46135</v>
      </c>
      <c r="Z36" s="54" t="s">
        <v>496</v>
      </c>
      <c r="AA36" s="54" t="str">
        <f>IF(B36="","",VLOOKUP(AD36,Varsayımlar!$B:$Q,15,0))</f>
        <v>25cm Kırmızı Koli-Üretim Tarihli Etiketli</v>
      </c>
      <c r="AB36" s="54">
        <f>IF(B36="","",VLOOKUP(AD36,Varsayımlar!$B:$Q,16,0))</f>
        <v>0</v>
      </c>
      <c r="AC36" s="8" t="e">
        <f>IF(B36="","",VLOOKUP(#REF!,#REF!,18,0))</f>
        <v>#REF!</v>
      </c>
      <c r="AD36" s="8" t="str">
        <f t="shared" si="2"/>
        <v xml:space="preserve">GermesTortillas Domatesli 25cm 4pcs 250g </v>
      </c>
    </row>
    <row r="37" spans="1:30" ht="31.5" x14ac:dyDescent="0.25">
      <c r="A37" s="8" t="s">
        <v>150</v>
      </c>
      <c r="B37" s="54" t="s">
        <v>346</v>
      </c>
      <c r="C37" s="139">
        <f>IF(B37="","",VLOOKUP(AD37,Varsayımlar!$B:$Q,3,0))</f>
        <v>8698829380698</v>
      </c>
      <c r="D37" s="39">
        <v>49</v>
      </c>
      <c r="E37" s="55" t="s">
        <v>492</v>
      </c>
      <c r="F37" s="54"/>
      <c r="G37" s="54"/>
      <c r="H37" s="54" t="str">
        <f>IF(B37="","",VLOOKUP(AD37,Varsayımlar!$B:$Q,5,0))</f>
        <v>Tortillas Ispanaklı 25cm (Germes Bilgileri Ekli)</v>
      </c>
      <c r="I37" s="54">
        <f>IF(B37="","",VLOOKUP(AD37,Varsayımlar!B:T,19,0))</f>
        <v>0</v>
      </c>
      <c r="J37" s="54" t="str">
        <f>IF(B37="","",VLOOKUP(AD37,Varsayımlar!$B:$Q,6,0))</f>
        <v>Ispanaklı</v>
      </c>
      <c r="K37" s="54">
        <v>420</v>
      </c>
      <c r="L37" s="54"/>
      <c r="M37" s="54" t="str">
        <f>IFERROR(IF(B37="","",K37/VLOOKUP(AD37,Varsayımlar!B:R,17,0)),"")</f>
        <v/>
      </c>
      <c r="N37" s="54"/>
      <c r="O37" s="54">
        <v>8</v>
      </c>
      <c r="P37" s="54">
        <f>IF(B37="","",VLOOKUP(AD37,Varsayımlar!$B:$Q,7,0)*K37)</f>
        <v>12600</v>
      </c>
      <c r="Q37" s="54">
        <f>IF(B37="","",VLOOKUP(AD37,Varsayımlar!$B:$Q,8,0))</f>
        <v>25</v>
      </c>
      <c r="R37" s="54" t="str">
        <f>IF(B37="","",VLOOKUP(AD37,Varsayımlar!$B:$Q,9,0))</f>
        <v>Irak Soft</v>
      </c>
      <c r="S37" s="54">
        <f>IF(B37="","",VLOOKUP(AD37,Varsayımlar!$B:$Q,10,0))</f>
        <v>4</v>
      </c>
      <c r="T37" s="54">
        <f>IF(B37="","",VLOOKUP(AD37,Varsayımlar!$B:$Q,11,0))</f>
        <v>30</v>
      </c>
      <c r="U37" s="54">
        <f>IF(B37="","",VLOOKUP(AD37,Varsayımlar!$B:$Q,12,0))</f>
        <v>250</v>
      </c>
      <c r="V37" s="54" t="str">
        <f>IF(B37="","",VLOOKUP(AD37,Varsayımlar!$B:$Q,13,0))</f>
        <v>Yurtdışı</v>
      </c>
      <c r="W37" s="54">
        <f>IF(B37="","",VLOOKUP(AD37,Varsayımlar!$B:$Q,14,0))</f>
        <v>9</v>
      </c>
      <c r="X37" s="56">
        <v>46226</v>
      </c>
      <c r="Y37" s="56">
        <v>46500</v>
      </c>
      <c r="Z37" s="54" t="s">
        <v>497</v>
      </c>
      <c r="AA37" s="54" t="str">
        <f>IF(B37="","",VLOOKUP(AD37,Varsayımlar!$B:$Q,15,0))</f>
        <v>25cm Kırmızı Koli-Üretim Tarihli Etiketli</v>
      </c>
      <c r="AB37" s="54">
        <f>IF(B37="","",VLOOKUP(AD37,Varsayımlar!$B:$Q,16,0))</f>
        <v>0</v>
      </c>
      <c r="AC37" s="8" t="e">
        <f>IF(B37="","",VLOOKUP(#REF!,#REF!,18,0))</f>
        <v>#REF!</v>
      </c>
      <c r="AD37" s="8" t="str">
        <f t="shared" si="2"/>
        <v xml:space="preserve">GermesTortillas Ispanaklı 25cm 4pcs 250g </v>
      </c>
    </row>
    <row r="38" spans="1:30" ht="45.75" customHeight="1" x14ac:dyDescent="0.25">
      <c r="A38" s="8" t="s">
        <v>151</v>
      </c>
      <c r="B38" s="130" t="s">
        <v>119</v>
      </c>
      <c r="C38" s="131">
        <f>IF(B38="","",VLOOKUP(AD38,Varsayımlar!$B:$Q,3,0))</f>
        <v>8698829380698</v>
      </c>
      <c r="D38" s="131"/>
      <c r="E38" s="132" t="s">
        <v>120</v>
      </c>
      <c r="F38" s="130"/>
      <c r="G38" s="130"/>
      <c r="H38" s="130" t="str">
        <f>IF(B38="","",VLOOKUP(AD38,Varsayımlar!$B:$Q,5,0))</f>
        <v>Nimet 25 cm</v>
      </c>
      <c r="I38" s="130">
        <f>IF(B38="","",VLOOKUP(AD38,Varsayımlar!B:T,19,0))</f>
        <v>0</v>
      </c>
      <c r="J38" s="130" t="str">
        <f>IF(B38="","",VLOOKUP(AD38,Varsayımlar!$B:$Q,6,0))</f>
        <v>SADE</v>
      </c>
      <c r="K38" s="130">
        <v>5000</v>
      </c>
      <c r="L38" s="130"/>
      <c r="M38" s="130">
        <f>IFERROR(IF(B38="","",K38/VLOOKUP(AD38,Varsayımlar!B:R,17,0)),"")</f>
        <v>100</v>
      </c>
      <c r="N38" s="130"/>
      <c r="O38" s="130">
        <v>100</v>
      </c>
      <c r="P38" s="130">
        <f>IF(B38="","",VLOOKUP(AD38,Varsayımlar!$B:$Q,7,0)*K38)</f>
        <v>60000</v>
      </c>
      <c r="Q38" s="130">
        <f>IF(B38="","",VLOOKUP(AD38,Varsayımlar!$B:$Q,8,0))</f>
        <v>25</v>
      </c>
      <c r="R38" s="130" t="str">
        <f>IF(B38="","",VLOOKUP(AD38,Varsayımlar!$B:$Q,9,0))</f>
        <v>Standart</v>
      </c>
      <c r="S38" s="130">
        <f>IF(B38="","",VLOOKUP(AD38,Varsayımlar!$B:$Q,10,0))</f>
        <v>12</v>
      </c>
      <c r="T38" s="130">
        <f>IF(B38="","",VLOOKUP(AD38,Varsayımlar!$B:$Q,11,0))</f>
        <v>12</v>
      </c>
      <c r="U38" s="130">
        <f>IF(B38="","",VLOOKUP(AD38,Varsayımlar!$B:$Q,12,0))</f>
        <v>840</v>
      </c>
      <c r="V38" s="130" t="str">
        <f>IF(B38="","",VLOOKUP(AD38,Varsayımlar!$B:$Q,13,0))</f>
        <v>YURTİÇİ</v>
      </c>
      <c r="W38" s="130">
        <f>IF(B38="","",VLOOKUP(AD38,Varsayımlar!$B:$Q,14,0))</f>
        <v>5</v>
      </c>
      <c r="X38" s="133" t="s">
        <v>113</v>
      </c>
      <c r="Y38" s="133" t="s">
        <v>113</v>
      </c>
      <c r="Z38" s="130" t="s">
        <v>113</v>
      </c>
      <c r="AA38" s="130" t="str">
        <f>IF(B38="","",VLOOKUP(AD38,Varsayımlar!$B:$Q,15,0))</f>
        <v>Nimet Kolisi</v>
      </c>
      <c r="AB38" s="130" t="str">
        <f>IF(B38="","",VLOOKUP(AD38,Varsayımlar!$B:$Q,16,0))</f>
        <v>24-26 CM</v>
      </c>
      <c r="AC38" s="64" t="s">
        <v>360</v>
      </c>
      <c r="AD38" s="57" t="str">
        <f>IF(B38="","",CONCATENATE(B38,E38))</f>
        <v>A101Nimet 25cm 12 pcs 840g</v>
      </c>
    </row>
    <row r="39" spans="1:30" ht="36" customHeight="1" x14ac:dyDescent="0.25">
      <c r="A39" s="8" t="s">
        <v>152</v>
      </c>
      <c r="B39" s="149" t="s">
        <v>500</v>
      </c>
      <c r="C39" s="149">
        <f>IF(B39="","",VLOOKUP(AD39,Varsayımlar!$B:$Q,3,0))</f>
        <v>8698829380698</v>
      </c>
      <c r="D39" s="149"/>
      <c r="E39" s="149" t="s">
        <v>501</v>
      </c>
      <c r="F39" s="149">
        <v>26062201</v>
      </c>
      <c r="G39" s="149"/>
      <c r="H39" s="149" t="str">
        <f>IF(B39="","",VLOOKUP(AD39,Varsayımlar!$B:$Q,5,0))</f>
        <v>Tortillas 33cm</v>
      </c>
      <c r="I39" s="149">
        <f>IF(B39="","",VLOOKUP(AD39,Varsayımlar!B:T,19,0))</f>
        <v>0</v>
      </c>
      <c r="J39" s="149" t="str">
        <f>IF(B39="","",VLOOKUP(AD39,Varsayımlar!$B:$Q,6,0))</f>
        <v>Sade</v>
      </c>
      <c r="K39" s="149">
        <v>100</v>
      </c>
      <c r="L39" s="149"/>
      <c r="M39" s="149">
        <f>IFERROR(IF(B39="","",K39/VLOOKUP(AD39,Varsayımlar!B:R,17,0)),"")</f>
        <v>2</v>
      </c>
      <c r="N39" s="149"/>
      <c r="O39" s="149">
        <v>2</v>
      </c>
      <c r="P39" s="149">
        <f>IF(B39="","",VLOOKUP(AD39,Varsayımlar!$B:$Q,7,0)*K39)</f>
        <v>1200</v>
      </c>
      <c r="Q39" s="149">
        <f>IF(B39="","",VLOOKUP(AD39,Varsayımlar!$B:$Q,8,0))</f>
        <v>33</v>
      </c>
      <c r="R39" s="149" t="str">
        <f>IF(B39="","",VLOOKUP(AD39,Varsayımlar!$B:$Q,9,0))</f>
        <v>Irak Soft</v>
      </c>
      <c r="S39" s="149">
        <f>IF(B39="","",VLOOKUP(AD39,Varsayımlar!$B:$Q,10,0))</f>
        <v>10</v>
      </c>
      <c r="T39" s="149">
        <f>IF(B39="","",VLOOKUP(AD39,Varsayımlar!$B:$Q,11,0))</f>
        <v>12</v>
      </c>
      <c r="U39" s="149">
        <f>IF(B39="","",VLOOKUP(AD39,Varsayımlar!$B:$Q,12,0))</f>
        <v>1000</v>
      </c>
      <c r="V39" s="149" t="str">
        <f>IF(B39="","",VLOOKUP(AD39,Varsayımlar!$B:$Q,13,0))</f>
        <v>Yurtdışı</v>
      </c>
      <c r="W39" s="149">
        <f>IF(B39="","",VLOOKUP(AD39,Varsayımlar!$B:$Q,14,0))</f>
        <v>12</v>
      </c>
      <c r="X39" s="151">
        <v>46231</v>
      </c>
      <c r="Y39" s="151">
        <v>46596</v>
      </c>
      <c r="Z39" s="149">
        <v>26072833</v>
      </c>
      <c r="AA39" s="149" t="str">
        <f>IF(B39="","",VLOOKUP(AD39,Varsayımlar!$B:$Q,15,0))</f>
        <v>33cm Kolisi</v>
      </c>
      <c r="AB39" s="149" t="str">
        <f>IF(B39="","",VLOOKUP(AD39,Varsayımlar!$B:$Q,16,0))</f>
        <v>32-34 cm</v>
      </c>
      <c r="AC39" s="67" t="e">
        <f>IF(B39="","",VLOOKUP(#REF!,#REF!,18,0))</f>
        <v>#REF!</v>
      </c>
      <c r="AD39" s="57" t="str">
        <f t="shared" si="2"/>
        <v>Fama GroupTortillas 33cm 10pcs 1000g</v>
      </c>
    </row>
    <row r="40" spans="1:30" ht="49.5" customHeight="1" x14ac:dyDescent="0.25">
      <c r="A40" s="8" t="s">
        <v>153</v>
      </c>
      <c r="B40" s="152" t="s">
        <v>518</v>
      </c>
      <c r="C40" s="153">
        <f>IF(B40="","",VLOOKUP(AD40,Varsayımlar!$B:$Q,3,0))</f>
        <v>8698829380698</v>
      </c>
      <c r="D40" s="154"/>
      <c r="E40" s="156" t="s">
        <v>501</v>
      </c>
      <c r="F40" s="152">
        <v>26062302</v>
      </c>
      <c r="G40" s="152"/>
      <c r="H40" s="152" t="str">
        <f>IF(B40="","",VLOOKUP(AD40,Varsayımlar!$B:$Q,5,0))</f>
        <v>Tortillas 33cm</v>
      </c>
      <c r="I40" s="152">
        <f>IF(B40="","",VLOOKUP(AD40,Varsayımlar!B:T,19,0))</f>
        <v>0</v>
      </c>
      <c r="J40" s="152" t="str">
        <f>IF(B40="","",VLOOKUP(AD40,Varsayımlar!$B:$Q,6,0))</f>
        <v>Sade</v>
      </c>
      <c r="K40" s="152">
        <v>25</v>
      </c>
      <c r="L40" s="152"/>
      <c r="M40" s="152">
        <f>IFERROR(IF(B40="","",K40/VLOOKUP(AD40,Varsayımlar!B:R,17,0)),"")</f>
        <v>0.5</v>
      </c>
      <c r="N40" s="152"/>
      <c r="O40" s="152">
        <v>1</v>
      </c>
      <c r="P40" s="152">
        <f>IF(B40="","",VLOOKUP(AD40,Varsayımlar!$B:$Q,7,0)*K40)</f>
        <v>300</v>
      </c>
      <c r="Q40" s="152">
        <f>IF(B40="","",VLOOKUP(AD40,Varsayımlar!$B:$Q,8,0))</f>
        <v>33</v>
      </c>
      <c r="R40" s="152" t="str">
        <f>IF(B40="","",VLOOKUP(AD40,Varsayımlar!$B:$Q,9,0))</f>
        <v>Irak Soft</v>
      </c>
      <c r="S40" s="152">
        <f>IF(B40="","",VLOOKUP(AD40,Varsayımlar!$B:$Q,10,0))</f>
        <v>10</v>
      </c>
      <c r="T40" s="152">
        <f>IF(B40="","",VLOOKUP(AD40,Varsayımlar!$B:$Q,11,0))</f>
        <v>12</v>
      </c>
      <c r="U40" s="152">
        <f>IF(B40="","",VLOOKUP(AD40,Varsayımlar!$B:$Q,12,0))</f>
        <v>1000</v>
      </c>
      <c r="V40" s="152" t="str">
        <f>IF(B40="","",VLOOKUP(AD40,Varsayımlar!$B:$Q,13,0))</f>
        <v>Yurtiçi</v>
      </c>
      <c r="W40" s="152">
        <f>IF(B40="","",VLOOKUP(AD40,Varsayımlar!$B:$Q,14,0))</f>
        <v>6</v>
      </c>
      <c r="X40" s="155">
        <v>46231</v>
      </c>
      <c r="Y40" s="155">
        <v>46415</v>
      </c>
      <c r="Z40" s="152">
        <v>26072833</v>
      </c>
      <c r="AA40" s="152" t="str">
        <f>IF(B40="","",VLOOKUP(AD40,Varsayımlar!$B:$Q,15,0))</f>
        <v>33cm Kolisi</v>
      </c>
      <c r="AB40" s="152" t="str">
        <f>IF(B40="","",VLOOKUP(AD40,Varsayımlar!$B:$Q,16,0))</f>
        <v>32-34cm</v>
      </c>
      <c r="AC40" s="8" t="e">
        <f>IF(B40="","",VLOOKUP(#REF!,#REF!,18,0))</f>
        <v>#REF!</v>
      </c>
      <c r="AD40" s="8" t="str">
        <f t="shared" si="2"/>
        <v>Yusuf KöseTortillas 33cm 10pcs 1000g</v>
      </c>
    </row>
    <row r="41" spans="1:30" ht="49.5" customHeight="1" x14ac:dyDescent="0.25">
      <c r="A41" s="8" t="s">
        <v>154</v>
      </c>
      <c r="B41" s="152" t="s">
        <v>518</v>
      </c>
      <c r="C41" s="153">
        <f>IF(B41="","",VLOOKUP(AD41,Varsayımlar!$B:$Q,3,0))</f>
        <v>8698829380698</v>
      </c>
      <c r="D41" s="154"/>
      <c r="E41" s="152" t="s">
        <v>520</v>
      </c>
      <c r="F41" s="152">
        <v>26062302</v>
      </c>
      <c r="G41" s="152"/>
      <c r="H41" s="152" t="str">
        <f>IF(B41="","",VLOOKUP(AD41,Varsayımlar!$B:$Q,5,0))</f>
        <v>Tortillas 30cm</v>
      </c>
      <c r="I41" s="152">
        <f>IF(B41="","",VLOOKUP(AD41,Varsayımlar!B:T,19,0))</f>
        <v>0</v>
      </c>
      <c r="J41" s="152" t="str">
        <f>IF(B41="","",VLOOKUP(AD41,Varsayımlar!$B:$Q,6,0))</f>
        <v>Sade</v>
      </c>
      <c r="K41" s="152">
        <v>15</v>
      </c>
      <c r="L41" s="152"/>
      <c r="M41" s="152">
        <f>IFERROR(IF(B41="","",K41/VLOOKUP(AD41,Varsayımlar!B:R,17,0)),"")</f>
        <v>0.3</v>
      </c>
      <c r="N41" s="152"/>
      <c r="O41" s="152">
        <v>0</v>
      </c>
      <c r="P41" s="152">
        <f>IF(B41="","",VLOOKUP(AD41,Varsayımlar!$B:$Q,7,0)*K41)</f>
        <v>180</v>
      </c>
      <c r="Q41" s="152">
        <f>IF(B41="","",VLOOKUP(AD41,Varsayımlar!$B:$Q,8,0))</f>
        <v>30</v>
      </c>
      <c r="R41" s="152" t="str">
        <f>IF(B41="","",VLOOKUP(AD41,Varsayımlar!$B:$Q,9,0))</f>
        <v>Irak Soft</v>
      </c>
      <c r="S41" s="152">
        <f>IF(B41="","",VLOOKUP(AD41,Varsayımlar!$B:$Q,10,0))</f>
        <v>10</v>
      </c>
      <c r="T41" s="152">
        <f>IF(B41="","",VLOOKUP(AD41,Varsayımlar!$B:$Q,11,0))</f>
        <v>12</v>
      </c>
      <c r="U41" s="152">
        <f>IF(B41="","",VLOOKUP(AD41,Varsayımlar!$B:$Q,12,0))</f>
        <v>950</v>
      </c>
      <c r="V41" s="152" t="str">
        <f>IF(B41="","",VLOOKUP(AD41,Varsayımlar!$B:$Q,13,0))</f>
        <v>Yurtiçi</v>
      </c>
      <c r="W41" s="152">
        <f>IF(B41="","",VLOOKUP(AD41,Varsayımlar!$B:$Q,14,0))</f>
        <v>6</v>
      </c>
      <c r="X41" s="155">
        <v>46231</v>
      </c>
      <c r="Y41" s="155">
        <v>46415</v>
      </c>
      <c r="Z41" s="152">
        <v>26072830</v>
      </c>
      <c r="AA41" s="152" t="str">
        <f>IF(B41="","",VLOOKUP(AD41,Varsayımlar!$B:$Q,15,0))</f>
        <v>30cm Kolisi</v>
      </c>
      <c r="AB41" s="152" t="str">
        <f>IF(B41="","",VLOOKUP(AD41,Varsayımlar!$B:$Q,16,0))</f>
        <v>29-31cm</v>
      </c>
      <c r="AC41" s="8" t="e">
        <f>IF(B41="","",VLOOKUP(#REF!,#REF!,18,0))</f>
        <v>#REF!</v>
      </c>
      <c r="AD41" s="8" t="str">
        <f t="shared" si="2"/>
        <v>Yusuf KöseTortillas 30cm 10pcs 950g</v>
      </c>
    </row>
    <row r="42" spans="1:30" ht="36" customHeight="1" x14ac:dyDescent="0.25">
      <c r="A42" s="8" t="s">
        <v>155</v>
      </c>
      <c r="B42" s="149" t="s">
        <v>500</v>
      </c>
      <c r="C42" s="149">
        <f>IF(B42="","",VLOOKUP(AD42,Varsayımlar!$B:$Q,3,0))</f>
        <v>8698829380698</v>
      </c>
      <c r="D42" s="149"/>
      <c r="E42" s="149" t="s">
        <v>509</v>
      </c>
      <c r="F42" s="149">
        <v>26062201</v>
      </c>
      <c r="G42" s="149"/>
      <c r="H42" s="149" t="str">
        <f>IF(B42="","",VLOOKUP(AD42,Varsayımlar!$B:$Q,5,0))</f>
        <v xml:space="preserve">Tortillas 30cm </v>
      </c>
      <c r="I42" s="149">
        <f>IF(B42="","",VLOOKUP(AD42,Varsayımlar!B:T,19,0))</f>
        <v>0</v>
      </c>
      <c r="J42" s="149" t="str">
        <f>IF(B42="","",VLOOKUP(AD42,Varsayımlar!$B:$Q,6,0))</f>
        <v>Sade</v>
      </c>
      <c r="K42" s="149">
        <v>250</v>
      </c>
      <c r="L42" s="149"/>
      <c r="M42" s="149">
        <f>IFERROR(IF(B42="","",K42/VLOOKUP(AD42,Varsayımlar!B:R,17,0)),"")</f>
        <v>5</v>
      </c>
      <c r="N42" s="149"/>
      <c r="O42" s="149">
        <v>5</v>
      </c>
      <c r="P42" s="149">
        <f>IF(B42="","",VLOOKUP(AD42,Varsayımlar!$B:$Q,7,0)*K42)</f>
        <v>3000</v>
      </c>
      <c r="Q42" s="149">
        <f>IF(B42="","",VLOOKUP(AD42,Varsayımlar!$B:$Q,8,0))</f>
        <v>30</v>
      </c>
      <c r="R42" s="149" t="str">
        <f>IF(B42="","",VLOOKUP(AD42,Varsayımlar!$B:$Q,9,0))</f>
        <v>Irak Soft</v>
      </c>
      <c r="S42" s="149">
        <f>IF(B42="","",VLOOKUP(AD42,Varsayımlar!$B:$Q,10,0))</f>
        <v>10</v>
      </c>
      <c r="T42" s="149">
        <f>IF(B42="","",VLOOKUP(AD42,Varsayımlar!$B:$Q,11,0))</f>
        <v>12</v>
      </c>
      <c r="U42" s="149">
        <f>IF(B42="","",VLOOKUP(AD42,Varsayımlar!$B:$Q,12,0))</f>
        <v>850</v>
      </c>
      <c r="V42" s="149" t="str">
        <f>IF(B42="","",VLOOKUP(AD42,Varsayımlar!$B:$Q,13,0))</f>
        <v>Yurtdışı</v>
      </c>
      <c r="W42" s="149">
        <f>IF(B42="","",VLOOKUP(AD42,Varsayımlar!$B:$Q,14,0))</f>
        <v>12</v>
      </c>
      <c r="X42" s="151">
        <v>46231</v>
      </c>
      <c r="Y42" s="151">
        <v>46596</v>
      </c>
      <c r="Z42" s="149">
        <v>26072830</v>
      </c>
      <c r="AA42" s="151" t="str">
        <f>IF(B42="","",VLOOKUP(AD42,Varsayımlar!$B:$Q,15,0))</f>
        <v>30 cm Kolisi</v>
      </c>
      <c r="AB42" s="151" t="str">
        <f>IF(B42="","",VLOOKUP(AD42,Varsayımlar!$B:$Q,16,0))</f>
        <v>29-31 cm</v>
      </c>
      <c r="AC42" s="67" t="e">
        <f>IF(B42="","",VLOOKUP(#REF!,#REF!,18,0))</f>
        <v>#REF!</v>
      </c>
      <c r="AD42" s="57" t="str">
        <f t="shared" si="2"/>
        <v>Fama GroupTortillas 30cm 10pcs 850g</v>
      </c>
    </row>
    <row r="43" spans="1:30" ht="36" customHeight="1" x14ac:dyDescent="0.25">
      <c r="A43" s="8" t="s">
        <v>156</v>
      </c>
      <c r="B43" s="149" t="s">
        <v>500</v>
      </c>
      <c r="C43" s="149">
        <f>IF(B43="","",VLOOKUP(AD43,Varsayımlar!$B:$Q,3,0))</f>
        <v>8698829380698</v>
      </c>
      <c r="D43" s="149"/>
      <c r="E43" s="149" t="s">
        <v>512</v>
      </c>
      <c r="F43" s="149">
        <v>26062201</v>
      </c>
      <c r="G43" s="149"/>
      <c r="H43" s="149" t="str">
        <f>IF(B43="","",VLOOKUP(AD43,Varsayımlar!$B:$Q,5,0))</f>
        <v>Tortillas 20cm</v>
      </c>
      <c r="I43" s="149">
        <f>IF(B43="","",VLOOKUP(AD43,Varsayımlar!B:T,19,0))</f>
        <v>0</v>
      </c>
      <c r="J43" s="149" t="str">
        <f>IF(B43="","",VLOOKUP(AD43,Varsayımlar!$B:$Q,6,0))</f>
        <v>Sade</v>
      </c>
      <c r="K43" s="149">
        <v>50</v>
      </c>
      <c r="L43" s="149"/>
      <c r="M43" s="149">
        <f>IFERROR(IF(B43="","",K43/VLOOKUP(AD43,Varsayımlar!B:R,17,0)),"")</f>
        <v>1</v>
      </c>
      <c r="N43" s="149"/>
      <c r="O43" s="149">
        <v>1</v>
      </c>
      <c r="P43" s="149">
        <f>IF(B43="","",VLOOKUP(AD43,Varsayımlar!$B:$Q,7,0)*K43)</f>
        <v>600</v>
      </c>
      <c r="Q43" s="149">
        <f>IF(B43="","",VLOOKUP(AD43,Varsayımlar!$B:$Q,8,0))</f>
        <v>20</v>
      </c>
      <c r="R43" s="149" t="str">
        <f>IF(B43="","",VLOOKUP(AD43,Varsayımlar!$B:$Q,9,0))</f>
        <v>Irak Soft</v>
      </c>
      <c r="S43" s="149">
        <f>IF(B43="","",VLOOKUP(AD43,Varsayımlar!$B:$Q,10,0))</f>
        <v>10</v>
      </c>
      <c r="T43" s="149">
        <f>IF(B43="","",VLOOKUP(AD43,Varsayımlar!$B:$Q,11,0))</f>
        <v>12</v>
      </c>
      <c r="U43" s="149">
        <f>IF(B43="","",VLOOKUP(AD43,Varsayımlar!$B:$Q,12,0))</f>
        <v>450</v>
      </c>
      <c r="V43" s="149" t="str">
        <f>IF(B43="","",VLOOKUP(AD43,Varsayımlar!$B:$Q,13,0))</f>
        <v>Yurtdışı</v>
      </c>
      <c r="W43" s="149">
        <f>IF(B43="","",VLOOKUP(AD43,Varsayımlar!$B:$Q,14,0))</f>
        <v>12</v>
      </c>
      <c r="X43" s="151">
        <v>46231</v>
      </c>
      <c r="Y43" s="151">
        <v>46596</v>
      </c>
      <c r="Z43" s="149">
        <v>26072820</v>
      </c>
      <c r="AA43" s="151" t="str">
        <f>IF(B43="","",VLOOKUP(AD43,Varsayımlar!$B:$Q,15,0))</f>
        <v>20cm Siyah Koli</v>
      </c>
      <c r="AB43" s="151" t="str">
        <f>IF(B43="","",VLOOKUP(AD43,Varsayımlar!$B:$Q,16,0))</f>
        <v>19-21cm</v>
      </c>
      <c r="AC43" s="67" t="e">
        <f>IF(B43="","",VLOOKUP(#REF!,#REF!,18,0))</f>
        <v>#REF!</v>
      </c>
      <c r="AD43" s="57" t="str">
        <f t="shared" si="2"/>
        <v>Fama GroupTortillas 20cm 10pcs 450g</v>
      </c>
    </row>
    <row r="44" spans="1:30" ht="36" customHeight="1" x14ac:dyDescent="0.25">
      <c r="A44" s="8" t="s">
        <v>157</v>
      </c>
      <c r="B44" s="149" t="s">
        <v>500</v>
      </c>
      <c r="C44" s="149">
        <f>IF(B44="","",VLOOKUP(AD44,Varsayımlar!$B:$Q,3,0))</f>
        <v>8698829380698</v>
      </c>
      <c r="D44" s="149"/>
      <c r="E44" s="149" t="s">
        <v>229</v>
      </c>
      <c r="F44" s="149">
        <v>26062201</v>
      </c>
      <c r="G44" s="149"/>
      <c r="H44" s="149" t="str">
        <f>IF(B44="","",VLOOKUP(AD44,Varsayımlar!$B:$Q,5,0))</f>
        <v>Tortillas 25cm Tam Buğday</v>
      </c>
      <c r="I44" s="149">
        <f>IF(B44="","",VLOOKUP(AD44,Varsayımlar!B:T,19,0))</f>
        <v>0</v>
      </c>
      <c r="J44" s="149" t="str">
        <f>IF(B44="","",VLOOKUP(AD44,Varsayımlar!$B:$Q,6,0))</f>
        <v>Tam Buğdaylı</v>
      </c>
      <c r="K44" s="149">
        <v>50</v>
      </c>
      <c r="L44" s="149"/>
      <c r="M44" s="149">
        <f>IFERROR(IF(B44="","",K44/VLOOKUP(AD44,Varsayımlar!B:R,17,0)),"")</f>
        <v>1</v>
      </c>
      <c r="N44" s="149"/>
      <c r="O44" s="149">
        <v>1</v>
      </c>
      <c r="P44" s="149">
        <f>IF(B44="","",VLOOKUP(AD44,Varsayımlar!$B:$Q,7,0)*K44)</f>
        <v>600</v>
      </c>
      <c r="Q44" s="149">
        <f>IF(B44="","",VLOOKUP(AD44,Varsayımlar!$B:$Q,8,0))</f>
        <v>25</v>
      </c>
      <c r="R44" s="149" t="str">
        <f>IF(B44="","",VLOOKUP(AD44,Varsayımlar!$B:$Q,9,0))</f>
        <v>Irak Soft</v>
      </c>
      <c r="S44" s="149">
        <f>IF(B44="","",VLOOKUP(AD44,Varsayımlar!$B:$Q,10,0))</f>
        <v>10</v>
      </c>
      <c r="T44" s="149">
        <f>IF(B44="","",VLOOKUP(AD44,Varsayımlar!$B:$Q,11,0))</f>
        <v>12</v>
      </c>
      <c r="U44" s="149">
        <f>IF(B44="","",VLOOKUP(AD44,Varsayımlar!$B:$Q,12,0))</f>
        <v>650</v>
      </c>
      <c r="V44" s="149" t="str">
        <f>IF(B44="","",VLOOKUP(AD44,Varsayımlar!$B:$Q,13,0))</f>
        <v>Yurtdışı</v>
      </c>
      <c r="W44" s="149">
        <f>IF(B44="","",VLOOKUP(AD44,Varsayımlar!$B:$Q,14,0))</f>
        <v>12</v>
      </c>
      <c r="X44" s="151">
        <v>46231</v>
      </c>
      <c r="Y44" s="151">
        <v>46596</v>
      </c>
      <c r="Z44" s="149" t="s">
        <v>525</v>
      </c>
      <c r="AA44" s="151" t="str">
        <f>IF(B44="","",VLOOKUP(AD44,Varsayımlar!$B:$Q,15,0))</f>
        <v>25cm Kolisi-Etiketli</v>
      </c>
      <c r="AB44" s="151" t="str">
        <f>IF(B44="","",VLOOKUP(AD44,Varsayımlar!$B:$Q,16,0))</f>
        <v>24-26 cm</v>
      </c>
      <c r="AC44" s="67" t="e">
        <f>IF(B44="","",VLOOKUP(#REF!,#REF!,18,0))</f>
        <v>#REF!</v>
      </c>
      <c r="AD44" s="57" t="str">
        <f t="shared" si="2"/>
        <v>Fama GroupTortillas 25cm Tam Buğday 10pcs 650g</v>
      </c>
    </row>
    <row r="45" spans="1:30" ht="32.25" customHeight="1" x14ac:dyDescent="0.25">
      <c r="A45" s="8" t="s">
        <v>158</v>
      </c>
      <c r="B45" s="67" t="s">
        <v>460</v>
      </c>
      <c r="C45" s="42">
        <f>IF(B45="","",VLOOKUP(AD45,Varsayımlar!$B:$Q,3,0))</f>
        <v>8698829380698</v>
      </c>
      <c r="D45" s="67" t="s">
        <v>539</v>
      </c>
      <c r="E45" s="67" t="s">
        <v>464</v>
      </c>
      <c r="F45" s="67">
        <v>20260626</v>
      </c>
      <c r="G45" s="67"/>
      <c r="H45" s="67" t="str">
        <f>IF(B45="","",VLOOKUP(AD45,Varsayımlar!$B:$Q,5,0))</f>
        <v>Tortillove 20cm</v>
      </c>
      <c r="I45" s="67">
        <f>IF(B45="","",VLOOKUP(AD45,Varsayımlar!B:T,19,0))</f>
        <v>0</v>
      </c>
      <c r="J45" s="67" t="str">
        <f>IF(B45="","",VLOOKUP(AD45,Varsayımlar!$B:$Q,6,0))</f>
        <v>SADE</v>
      </c>
      <c r="K45" s="67">
        <v>400</v>
      </c>
      <c r="L45" s="67"/>
      <c r="M45" s="67">
        <f>IFERROR(IF(B45="","",K45/VLOOKUP(AD45,Varsayımlar!B:R,17,0)),"")</f>
        <v>4</v>
      </c>
      <c r="N45" s="67"/>
      <c r="O45" s="67"/>
      <c r="P45" s="67">
        <f>IF(B45="","",VLOOKUP(AD45,Varsayımlar!$B:$Q,7,0)*K45)</f>
        <v>4800</v>
      </c>
      <c r="Q45" s="67">
        <f>IF(B45="","",VLOOKUP(AD45,Varsayımlar!$B:$Q,8,0))</f>
        <v>20</v>
      </c>
      <c r="R45" s="67" t="str">
        <f>IF(B45="","",VLOOKUP(AD45,Varsayımlar!$B:$Q,9,0))</f>
        <v>Irak Soft</v>
      </c>
      <c r="S45" s="67">
        <f>IF(B45="","",VLOOKUP(AD45,Varsayımlar!$B:$Q,10,0))</f>
        <v>10</v>
      </c>
      <c r="T45" s="67">
        <f>IF(B45="","",VLOOKUP(AD45,Varsayımlar!$B:$Q,11,0))</f>
        <v>12</v>
      </c>
      <c r="U45" s="67">
        <f>IF(B45="","",VLOOKUP(AD45,Varsayımlar!$B:$Q,12,0))</f>
        <v>450</v>
      </c>
      <c r="V45" s="67" t="str">
        <f>IF(B45="","",VLOOKUP(AD45,Varsayımlar!$B:$Q,13,0))</f>
        <v>Yurtdışı</v>
      </c>
      <c r="W45" s="67">
        <f>IF(B45="","",VLOOKUP(AD45,Varsayımlar!$B:$Q,14,0))</f>
        <v>6</v>
      </c>
      <c r="X45" s="69"/>
      <c r="Y45" s="69"/>
      <c r="Z45" s="67"/>
      <c r="AA45" s="67" t="str">
        <f>IF(B45="","",VLOOKUP(AD45,Varsayımlar!$B:$Q,15,0))</f>
        <v>20cm kolisi</v>
      </c>
      <c r="AB45" s="67" t="str">
        <f>IF(B45="","",VLOOKUP(AD45,Varsayımlar!$B:$Q,16,0))</f>
        <v>19-21 cm</v>
      </c>
      <c r="AC45" s="75">
        <f>IF(B45="","",VLOOKUP(Sayfa1!AD84,Varsayımlar!B:S,18,0))</f>
        <v>0</v>
      </c>
      <c r="AD45" s="57" t="str">
        <f t="shared" si="2"/>
        <v>Yüksekbaş GıdaYüksekbaş 20cm 10pcs 450g</v>
      </c>
    </row>
    <row r="46" spans="1:30" ht="32.25" customHeight="1" x14ac:dyDescent="0.25">
      <c r="A46" s="8" t="s">
        <v>388</v>
      </c>
      <c r="B46" s="67" t="s">
        <v>460</v>
      </c>
      <c r="C46" s="42">
        <f>IF(B46="","",VLOOKUP(AD46,Varsayımlar!$B:$Q,3,0))</f>
        <v>8698829380698</v>
      </c>
      <c r="D46" s="67" t="s">
        <v>539</v>
      </c>
      <c r="E46" s="67" t="s">
        <v>470</v>
      </c>
      <c r="F46" s="67">
        <v>20260626</v>
      </c>
      <c r="G46" s="67"/>
      <c r="H46" s="67" t="str">
        <f>IF(B46="","",VLOOKUP(AD46,Varsayımlar!$B:$Q,5,0))</f>
        <v>Tortillove 30cm</v>
      </c>
      <c r="I46" s="67">
        <f>IF(B46="","",VLOOKUP(AD46,Varsayımlar!B:T,19,0))</f>
        <v>0</v>
      </c>
      <c r="J46" s="67" t="str">
        <f>IF(B46="","",VLOOKUP(AD46,Varsayımlar!$B:$Q,6,0))</f>
        <v>SADE</v>
      </c>
      <c r="K46" s="67">
        <v>660</v>
      </c>
      <c r="L46" s="67"/>
      <c r="M46" s="67">
        <f>IFERROR(IF(B46="","",K46/VLOOKUP(AD46,Varsayımlar!B:R,17,0)),"")</f>
        <v>10</v>
      </c>
      <c r="N46" s="67"/>
      <c r="O46" s="67"/>
      <c r="P46" s="67">
        <f>IF(B46="","",VLOOKUP(AD46,Varsayımlar!$B:$Q,7,0)*K46)</f>
        <v>7920</v>
      </c>
      <c r="Q46" s="67">
        <f>IF(B46="","",VLOOKUP(AD46,Varsayımlar!$B:$Q,8,0))</f>
        <v>30</v>
      </c>
      <c r="R46" s="67" t="str">
        <f>IF(B46="","",VLOOKUP(AD46,Varsayımlar!$B:$Q,9,0))</f>
        <v>Irak Soft</v>
      </c>
      <c r="S46" s="67">
        <f>IF(B46="","",VLOOKUP(AD46,Varsayımlar!$B:$Q,10,0))</f>
        <v>10</v>
      </c>
      <c r="T46" s="67">
        <f>IF(B46="","",VLOOKUP(AD46,Varsayımlar!$B:$Q,11,0))</f>
        <v>12</v>
      </c>
      <c r="U46" s="67">
        <f>IF(B46="","",VLOOKUP(AD46,Varsayımlar!$B:$Q,12,0))</f>
        <v>950</v>
      </c>
      <c r="V46" s="67" t="str">
        <f>IF(B46="","",VLOOKUP(AD46,Varsayımlar!$B:$Q,13,0))</f>
        <v>Yurtdışı</v>
      </c>
      <c r="W46" s="67">
        <f>IF(B46="","",VLOOKUP(AD46,Varsayımlar!$B:$Q,14,0))</f>
        <v>6</v>
      </c>
      <c r="X46" s="69"/>
      <c r="Y46" s="69"/>
      <c r="Z46" s="67"/>
      <c r="AA46" s="67" t="str">
        <f>IF(B46="","",VLOOKUP(AD46,Varsayımlar!$B:$Q,15,0))</f>
        <v>30cm Kolisi</v>
      </c>
      <c r="AB46" s="67" t="str">
        <f>IF(B46="","",VLOOKUP(AD46,Varsayımlar!$B:$Q,16,0))</f>
        <v>29-31 cm</v>
      </c>
      <c r="AC46" s="75">
        <f>IF(B46="","",VLOOKUP(Sayfa1!AD84,Varsayımlar!B:S,18,0))</f>
        <v>0</v>
      </c>
      <c r="AD46" s="57" t="str">
        <f t="shared" si="2"/>
        <v>Yüksekbaş GıdaYüksekbaş 30cm 10pcs 950g</v>
      </c>
    </row>
    <row r="47" spans="1:30" ht="36" customHeight="1" x14ac:dyDescent="0.25">
      <c r="A47" s="8" t="s">
        <v>389</v>
      </c>
      <c r="B47" s="67"/>
      <c r="C47" s="42" t="str">
        <f>IF(B47="","",VLOOKUP(AD47,#REF!,3,0))</f>
        <v/>
      </c>
      <c r="D47" s="42"/>
      <c r="E47" s="42"/>
      <c r="F47" s="67"/>
      <c r="G47" s="67"/>
      <c r="H47" s="67" t="str">
        <f>IF(B47="","",VLOOKUP(AD47,#REF!,5,0))</f>
        <v/>
      </c>
      <c r="I47" s="67" t="str">
        <f>IF(B47="","",VLOOKUP(AD47,#REF!,19,0))</f>
        <v/>
      </c>
      <c r="J47" s="67" t="str">
        <f>IF(B47="","",VLOOKUP(AD47,#REF!,6,0))</f>
        <v/>
      </c>
      <c r="K47" s="67"/>
      <c r="L47" s="67"/>
      <c r="M47" s="67" t="str">
        <f>IFERROR(IF(B47="","",K47/VLOOKUP(AD47,Varsayımlar!B:R,17,0)),"")</f>
        <v/>
      </c>
      <c r="N47" s="67"/>
      <c r="O47" s="67"/>
      <c r="P47" s="67" t="str">
        <f>IF(B47="","",VLOOKUP(AD47,#REF!,7,0)*K47)</f>
        <v/>
      </c>
      <c r="Q47" s="67" t="str">
        <f>IF(B47="","",VLOOKUP(AD47,#REF!,8,0))</f>
        <v/>
      </c>
      <c r="R47" s="67" t="str">
        <f>IF(B47="","",VLOOKUP(AD47,#REF!,9,0))</f>
        <v/>
      </c>
      <c r="S47" s="67" t="str">
        <f>IF(B47="","",VLOOKUP(AD47,#REF!,10,0))</f>
        <v/>
      </c>
      <c r="T47" s="67" t="str">
        <f>IF(B47="","",VLOOKUP(AD47,#REF!,11,0))</f>
        <v/>
      </c>
      <c r="U47" s="67" t="str">
        <f>IF(B47="","",VLOOKUP(AD47,#REF!,12,0))</f>
        <v/>
      </c>
      <c r="V47" s="67" t="str">
        <f>IF(B47="","",VLOOKUP(AD47,#REF!,13,0))</f>
        <v/>
      </c>
      <c r="W47" s="67" t="str">
        <f>IF(B47="","",VLOOKUP(AD47,#REF!,14,0))</f>
        <v/>
      </c>
      <c r="X47" s="69"/>
      <c r="Y47" s="69"/>
      <c r="Z47" s="67"/>
      <c r="AA47" s="67" t="str">
        <f>IF(B47="","",VLOOKUP(AD47,#REF!,15,0))</f>
        <v/>
      </c>
      <c r="AB47" s="67" t="str">
        <f>IF(B47="","",VLOOKUP(AD47,#REF!,16,0))</f>
        <v/>
      </c>
      <c r="AC47" s="145"/>
      <c r="AD47" s="57"/>
    </row>
    <row r="48" spans="1:30" ht="36" customHeight="1" x14ac:dyDescent="0.25">
      <c r="A48" s="8" t="s">
        <v>390</v>
      </c>
      <c r="B48" s="67"/>
      <c r="C48" s="42" t="str">
        <f>IF(B48="","",VLOOKUP(AD48,#REF!,3,0))</f>
        <v/>
      </c>
      <c r="D48" s="42"/>
      <c r="E48" s="42"/>
      <c r="F48" s="67"/>
      <c r="G48" s="67"/>
      <c r="H48" s="67" t="str">
        <f>IF(B48="","",VLOOKUP(AD48,#REF!,5,0))</f>
        <v/>
      </c>
      <c r="I48" s="67" t="str">
        <f>IF(B48="","",VLOOKUP(AD48,#REF!,19,0))</f>
        <v/>
      </c>
      <c r="J48" s="67" t="str">
        <f>IF(B48="","",VLOOKUP(AD48,#REF!,6,0))</f>
        <v/>
      </c>
      <c r="K48" s="67"/>
      <c r="L48" s="67"/>
      <c r="M48" s="67" t="str">
        <f>IFERROR(IF(B48="","",K48/VLOOKUP(AD48,Varsayımlar!B:R,17,0)),"")</f>
        <v/>
      </c>
      <c r="N48" s="67"/>
      <c r="O48" s="67"/>
      <c r="P48" s="67" t="str">
        <f>IF(B48="","",VLOOKUP(AD48,#REF!,7,0)*K48)</f>
        <v/>
      </c>
      <c r="Q48" s="67" t="str">
        <f>IF(B48="","",VLOOKUP(AD48,#REF!,8,0))</f>
        <v/>
      </c>
      <c r="R48" s="67" t="str">
        <f>IF(B48="","",VLOOKUP(AD48,#REF!,9,0))</f>
        <v/>
      </c>
      <c r="S48" s="67" t="str">
        <f>IF(B48="","",VLOOKUP(AD48,#REF!,10,0))</f>
        <v/>
      </c>
      <c r="T48" s="67" t="str">
        <f>IF(B48="","",VLOOKUP(AD48,#REF!,11,0))</f>
        <v/>
      </c>
      <c r="U48" s="67" t="str">
        <f>IF(B48="","",VLOOKUP(AD48,#REF!,12,0))</f>
        <v/>
      </c>
      <c r="V48" s="67" t="str">
        <f>IF(B48="","",VLOOKUP(AD48,#REF!,13,0))</f>
        <v/>
      </c>
      <c r="W48" s="67" t="str">
        <f>IF(B48="","",VLOOKUP(AD48,#REF!,14,0))</f>
        <v/>
      </c>
      <c r="X48" s="69"/>
      <c r="Y48" s="69"/>
      <c r="Z48" s="67"/>
      <c r="AA48" s="67" t="str">
        <f>IF(B48="","",VLOOKUP(AD48,#REF!,15,0))</f>
        <v/>
      </c>
      <c r="AB48" s="67" t="str">
        <f>IF(B48="","",VLOOKUP(AD48,#REF!,16,0))</f>
        <v/>
      </c>
      <c r="AC48" s="145"/>
      <c r="AD48" s="57"/>
    </row>
    <row r="49" spans="1:30" ht="36" customHeight="1" x14ac:dyDescent="0.25">
      <c r="A49" s="8" t="s">
        <v>391</v>
      </c>
      <c r="B49" s="67"/>
      <c r="C49" s="42" t="str">
        <f>IF(B49="","",VLOOKUP(AD49,#REF!,3,0))</f>
        <v/>
      </c>
      <c r="D49" s="42"/>
      <c r="E49" s="42"/>
      <c r="F49" s="67"/>
      <c r="G49" s="67"/>
      <c r="H49" s="67" t="str">
        <f>IF(B49="","",VLOOKUP(AD49,#REF!,5,0))</f>
        <v/>
      </c>
      <c r="I49" s="67" t="str">
        <f>IF(B49="","",VLOOKUP(AD49,#REF!,19,0))</f>
        <v/>
      </c>
      <c r="J49" s="67" t="str">
        <f>IF(B49="","",VLOOKUP(AD49,#REF!,6,0))</f>
        <v/>
      </c>
      <c r="K49" s="67"/>
      <c r="L49" s="67"/>
      <c r="M49" s="67" t="str">
        <f>IFERROR(IF(B49="","",K49/VLOOKUP(AD49,Varsayımlar!B:R,17,0)),"")</f>
        <v/>
      </c>
      <c r="N49" s="67"/>
      <c r="O49" s="67"/>
      <c r="P49" s="67" t="str">
        <f>IF(B49="","",VLOOKUP(AD49,#REF!,7,0)*K49)</f>
        <v/>
      </c>
      <c r="Q49" s="67" t="str">
        <f>IF(B49="","",VLOOKUP(AD49,#REF!,8,0))</f>
        <v/>
      </c>
      <c r="R49" s="67" t="str">
        <f>IF(B49="","",VLOOKUP(AD49,#REF!,9,0))</f>
        <v/>
      </c>
      <c r="S49" s="67" t="str">
        <f>IF(B49="","",VLOOKUP(AD49,#REF!,10,0))</f>
        <v/>
      </c>
      <c r="T49" s="67" t="str">
        <f>IF(B49="","",VLOOKUP(AD49,#REF!,11,0))</f>
        <v/>
      </c>
      <c r="U49" s="67" t="str">
        <f>IF(B49="","",VLOOKUP(AD49,#REF!,12,0))</f>
        <v/>
      </c>
      <c r="V49" s="67" t="str">
        <f>IF(B49="","",VLOOKUP(AD49,#REF!,13,0))</f>
        <v/>
      </c>
      <c r="W49" s="67" t="str">
        <f>IF(B49="","",VLOOKUP(AD49,#REF!,14,0))</f>
        <v/>
      </c>
      <c r="X49" s="69"/>
      <c r="Y49" s="69"/>
      <c r="Z49" s="67"/>
      <c r="AA49" s="67" t="str">
        <f>IF(B49="","",VLOOKUP(AD49,#REF!,15,0))</f>
        <v/>
      </c>
      <c r="AB49" s="67" t="str">
        <f>IF(B49="","",VLOOKUP(AD49,#REF!,16,0))</f>
        <v/>
      </c>
      <c r="AC49" s="145"/>
      <c r="AD49" s="57"/>
    </row>
    <row r="50" spans="1:30" ht="36" customHeight="1" x14ac:dyDescent="0.25">
      <c r="A50" s="8" t="s">
        <v>392</v>
      </c>
      <c r="B50" s="67"/>
      <c r="C50" s="42" t="str">
        <f>IF(B50="","",VLOOKUP(AD50,#REF!,3,0))</f>
        <v/>
      </c>
      <c r="D50" s="42"/>
      <c r="E50" s="42"/>
      <c r="F50" s="67"/>
      <c r="G50" s="67"/>
      <c r="H50" s="67" t="str">
        <f>IF(B50="","",VLOOKUP(AD50,#REF!,5,0))</f>
        <v/>
      </c>
      <c r="I50" s="67" t="str">
        <f>IF(B50="","",VLOOKUP(AD50,#REF!,19,0))</f>
        <v/>
      </c>
      <c r="J50" s="67" t="str">
        <f>IF(B50="","",VLOOKUP(AD50,#REF!,6,0))</f>
        <v/>
      </c>
      <c r="K50" s="67"/>
      <c r="L50" s="67"/>
      <c r="M50" s="67" t="str">
        <f>IFERROR(IF(B50="","",K50/VLOOKUP(AD50,Varsayımlar!B:R,17,0)),"")</f>
        <v/>
      </c>
      <c r="N50" s="67"/>
      <c r="O50" s="67"/>
      <c r="P50" s="67" t="str">
        <f>IF(B50="","",VLOOKUP(AD50,#REF!,7,0)*K50)</f>
        <v/>
      </c>
      <c r="Q50" s="67" t="str">
        <f>IF(B50="","",VLOOKUP(AD50,#REF!,8,0))</f>
        <v/>
      </c>
      <c r="R50" s="67" t="str">
        <f>IF(B50="","",VLOOKUP(AD50,#REF!,9,0))</f>
        <v/>
      </c>
      <c r="S50" s="67" t="str">
        <f>IF(B50="","",VLOOKUP(AD50,#REF!,10,0))</f>
        <v/>
      </c>
      <c r="T50" s="67" t="str">
        <f>IF(B50="","",VLOOKUP(AD50,#REF!,11,0))</f>
        <v/>
      </c>
      <c r="U50" s="67" t="str">
        <f>IF(B50="","",VLOOKUP(AD50,#REF!,12,0))</f>
        <v/>
      </c>
      <c r="V50" s="67" t="str">
        <f>IF(B50="","",VLOOKUP(AD50,#REF!,13,0))</f>
        <v/>
      </c>
      <c r="W50" s="67" t="str">
        <f>IF(B50="","",VLOOKUP(AD50,#REF!,14,0))</f>
        <v/>
      </c>
      <c r="X50" s="69"/>
      <c r="Y50" s="69"/>
      <c r="Z50" s="67"/>
      <c r="AA50" s="67" t="str">
        <f>IF(B50="","",VLOOKUP(AD50,#REF!,15,0))</f>
        <v/>
      </c>
      <c r="AB50" s="67" t="str">
        <f>IF(B50="","",VLOOKUP(AD50,#REF!,16,0))</f>
        <v/>
      </c>
      <c r="AC50" s="145"/>
      <c r="AD50" s="57"/>
    </row>
    <row r="51" spans="1:30" x14ac:dyDescent="0.25">
      <c r="A51" s="134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6"/>
      <c r="Y51" s="136"/>
      <c r="Z51" s="135"/>
      <c r="AA51" s="135"/>
      <c r="AB51" s="137"/>
      <c r="AC51" s="138"/>
      <c r="AD51" s="57"/>
    </row>
    <row r="52" spans="1:30" ht="31.5" customHeight="1" x14ac:dyDescent="0.25">
      <c r="A52" s="182" t="s">
        <v>344</v>
      </c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4"/>
      <c r="AC52" s="38"/>
    </row>
    <row r="53" spans="1:30" ht="63" x14ac:dyDescent="0.25">
      <c r="A53" s="8" t="s">
        <v>0</v>
      </c>
      <c r="B53" s="8" t="s">
        <v>1</v>
      </c>
      <c r="C53" s="9" t="s">
        <v>31</v>
      </c>
      <c r="D53" s="9" t="s">
        <v>124</v>
      </c>
      <c r="E53" s="9" t="s">
        <v>36</v>
      </c>
      <c r="F53" s="8" t="s">
        <v>37</v>
      </c>
      <c r="G53" s="8" t="s">
        <v>13</v>
      </c>
      <c r="H53" s="8" t="s">
        <v>2</v>
      </c>
      <c r="I53" s="8" t="s">
        <v>49</v>
      </c>
      <c r="J53" s="8" t="s">
        <v>3</v>
      </c>
      <c r="K53" s="8" t="s">
        <v>21</v>
      </c>
      <c r="L53" s="8" t="s">
        <v>94</v>
      </c>
      <c r="M53" s="8" t="s">
        <v>20</v>
      </c>
      <c r="N53" s="8" t="s">
        <v>165</v>
      </c>
      <c r="O53" s="8" t="s">
        <v>123</v>
      </c>
      <c r="P53" s="8" t="s">
        <v>16</v>
      </c>
      <c r="Q53" s="8" t="s">
        <v>4</v>
      </c>
      <c r="R53" s="8" t="s">
        <v>5</v>
      </c>
      <c r="S53" s="8" t="s">
        <v>6</v>
      </c>
      <c r="T53" s="8" t="s">
        <v>28</v>
      </c>
      <c r="U53" s="8" t="s">
        <v>7</v>
      </c>
      <c r="V53" s="8" t="s">
        <v>8</v>
      </c>
      <c r="W53" s="8" t="s">
        <v>267</v>
      </c>
      <c r="X53" s="8" t="s">
        <v>10</v>
      </c>
      <c r="Y53" s="8" t="s">
        <v>11</v>
      </c>
      <c r="Z53" s="8" t="s">
        <v>12</v>
      </c>
      <c r="AA53" s="8" t="s">
        <v>14</v>
      </c>
      <c r="AB53" s="8" t="s">
        <v>15</v>
      </c>
      <c r="AC53" s="8" t="s">
        <v>208</v>
      </c>
      <c r="AD53" s="140" t="s">
        <v>41</v>
      </c>
    </row>
    <row r="54" spans="1:30" ht="47.25" x14ac:dyDescent="0.25">
      <c r="A54" s="8" t="s">
        <v>26</v>
      </c>
      <c r="B54" s="62" t="s">
        <v>181</v>
      </c>
      <c r="C54" s="32">
        <f>IF(B54="","",VLOOKUP(AD54,Varsayımlar!$B:$Q,3,0))</f>
        <v>8698829380698</v>
      </c>
      <c r="D54" s="32"/>
      <c r="E54" s="62" t="s">
        <v>192</v>
      </c>
      <c r="F54" s="62">
        <v>26060101</v>
      </c>
      <c r="G54" s="32"/>
      <c r="H54" s="62" t="str">
        <f>IF(B54="","",VLOOKUP(AD54,Varsayımlar!$B:$Q,5,0))</f>
        <v>Tortillove 25cm</v>
      </c>
      <c r="I54" s="62" t="str">
        <f>IF(B54="","",VLOOKUP(AD54,Varsayımlar!B:T,19,0))</f>
        <v>Arka kısma Arnavutça içerik-Tortillove</v>
      </c>
      <c r="J54" s="62" t="str">
        <f>IF(B54="","",VLOOKUP(AD54,Varsayımlar!$B:$Q,6,0))</f>
        <v>SADE</v>
      </c>
      <c r="K54" s="62">
        <v>168</v>
      </c>
      <c r="L54" s="62"/>
      <c r="M54" s="62">
        <f>IFERROR(IF(B54="","",K54/VLOOKUP(AD54,Varsayımlar!B:R,17,0)),"")</f>
        <v>2</v>
      </c>
      <c r="N54" s="62"/>
      <c r="O54" s="62">
        <v>2</v>
      </c>
      <c r="P54" s="62">
        <f>IF(B54="","",VLOOKUP(AD54,Varsayımlar!$B:$Q,7,0)*K54)</f>
        <v>2016</v>
      </c>
      <c r="Q54" s="62">
        <f>IF(B54="","",VLOOKUP(AD54,Varsayımlar!$B:$Q,8,0))</f>
        <v>25</v>
      </c>
      <c r="R54" s="62" t="str">
        <f>IF(B54="","",VLOOKUP(AD54,Varsayımlar!$B:$Q,9,0))</f>
        <v>Irak Soft</v>
      </c>
      <c r="S54" s="62">
        <f>IF(B54="","",VLOOKUP(AD54,Varsayımlar!$B:$Q,10,0))</f>
        <v>10</v>
      </c>
      <c r="T54" s="62">
        <f>IF(B54="","",VLOOKUP(AD54,Varsayımlar!$B:$Q,11,0))</f>
        <v>12</v>
      </c>
      <c r="U54" s="62">
        <f>IF(B54="","",VLOOKUP(AD54,Varsayımlar!$B:$Q,12,0))</f>
        <v>650</v>
      </c>
      <c r="V54" s="62" t="str">
        <f>IF(B54="","",VLOOKUP(AD54,Varsayımlar!$B:$Q,13,0))</f>
        <v>Yurtdışı</v>
      </c>
      <c r="W54" s="62">
        <f>IF(B54="","",VLOOKUP(AD54,Varsayımlar!$B:$Q,14,0))</f>
        <v>12</v>
      </c>
      <c r="X54" s="63">
        <v>46200</v>
      </c>
      <c r="Y54" s="63">
        <v>46565</v>
      </c>
      <c r="Z54" s="62">
        <v>26062725</v>
      </c>
      <c r="AA54" s="62" t="str">
        <f>IF(B54="","",VLOOKUP(AD54,Varsayımlar!$B:$Q,15,0))</f>
        <v>25cm Koli - Tortillove 650g Etiketli</v>
      </c>
      <c r="AB54" s="62" t="str">
        <f>IF(B54="","",VLOOKUP(AD54,Varsayımlar!$B:$Q,16,0))</f>
        <v>24-26 cm</v>
      </c>
      <c r="AC54" s="62">
        <f>IF(B54="","",VLOOKUP(Sayfa1!AD33,Varsayımlar!B:S,18,0))</f>
        <v>0</v>
      </c>
      <c r="AD54" s="57" t="str">
        <f t="shared" ref="AD54:AD60" si="3">IF(B54="","",CONCATENATE(B54,E54))</f>
        <v>ALDİ - KOSOVATortillove 25cm 10pcs 650g</v>
      </c>
    </row>
    <row r="55" spans="1:30" ht="47.25" x14ac:dyDescent="0.25">
      <c r="A55" s="8" t="s">
        <v>77</v>
      </c>
      <c r="B55" s="62" t="s">
        <v>181</v>
      </c>
      <c r="C55" s="32">
        <f>IF(B55="","",VLOOKUP(AD55,Varsayımlar!$B:$Q,3,0))</f>
        <v>8698829380698</v>
      </c>
      <c r="D55" s="32"/>
      <c r="E55" s="62" t="s">
        <v>193</v>
      </c>
      <c r="F55" s="62">
        <v>26060101</v>
      </c>
      <c r="G55" s="32"/>
      <c r="H55" s="62" t="str">
        <f>IF(B55="","",VLOOKUP(AD55,Varsayımlar!$B:$Q,5,0))</f>
        <v>Tortillas 25cm</v>
      </c>
      <c r="I55" s="62" t="str">
        <f>IF(B55="","",VLOOKUP(AD55,Varsayımlar!B:T,19,0))</f>
        <v>Arka kısma Arnavutça içerik-Tortillas</v>
      </c>
      <c r="J55" s="62" t="str">
        <f>IF(B55="","",VLOOKUP(AD55,Varsayımlar!$B:$Q,6,0))</f>
        <v>SADE</v>
      </c>
      <c r="K55" s="62">
        <v>84</v>
      </c>
      <c r="L55" s="62"/>
      <c r="M55" s="62">
        <f>IFERROR(IF(B55="","",K55/VLOOKUP(AD55,Varsayımlar!B:R,17,0)),"")</f>
        <v>1</v>
      </c>
      <c r="N55" s="62"/>
      <c r="O55" s="62">
        <v>2</v>
      </c>
      <c r="P55" s="62">
        <f>IF(B55="","",VLOOKUP(AD55,Varsayımlar!$B:$Q,7,0)*K55)</f>
        <v>1008</v>
      </c>
      <c r="Q55" s="62">
        <f>IF(B55="","",VLOOKUP(AD55,Varsayımlar!$B:$Q,8,0))</f>
        <v>25</v>
      </c>
      <c r="R55" s="62" t="str">
        <f>IF(B55="","",VLOOKUP(AD55,Varsayımlar!$B:$Q,9,0))</f>
        <v>Irak Soft</v>
      </c>
      <c r="S55" s="62">
        <f>IF(B55="","",VLOOKUP(AD55,Varsayımlar!$B:$Q,10,0))</f>
        <v>10</v>
      </c>
      <c r="T55" s="62">
        <f>IF(B55="","",VLOOKUP(AD55,Varsayımlar!$B:$Q,11,0))</f>
        <v>12</v>
      </c>
      <c r="U55" s="62">
        <f>IF(B55="","",VLOOKUP(AD55,Varsayımlar!$B:$Q,12,0))</f>
        <v>650</v>
      </c>
      <c r="V55" s="62" t="str">
        <f>IF(B55="","",VLOOKUP(AD55,Varsayımlar!$B:$Q,13,0))</f>
        <v>Yurtdışı</v>
      </c>
      <c r="W55" s="62">
        <f>IF(B55="","",VLOOKUP(AD55,Varsayımlar!$B:$Q,14,0))</f>
        <v>12</v>
      </c>
      <c r="X55" s="63">
        <v>46200</v>
      </c>
      <c r="Y55" s="63">
        <v>46565</v>
      </c>
      <c r="Z55" s="62">
        <v>26062725</v>
      </c>
      <c r="AA55" s="62" t="str">
        <f>IF(B55="","",VLOOKUP(AD55,Varsayımlar!$B:$Q,15,0))</f>
        <v>25cm Koli - Tortillas 650g Etiketli</v>
      </c>
      <c r="AB55" s="62" t="str">
        <f>IF(B55="","",VLOOKUP(AD55,Varsayımlar!$B:$Q,16,0))</f>
        <v>24-26 cm</v>
      </c>
      <c r="AC55" s="62">
        <f>IF(B55="","",VLOOKUP(Sayfa1!AD34,Varsayımlar!B:S,18,0))</f>
        <v>0</v>
      </c>
      <c r="AD55" s="57" t="str">
        <f t="shared" si="3"/>
        <v>ALDİ - KOSOVATortillas 25cm 10pcs 650g</v>
      </c>
    </row>
    <row r="56" spans="1:30" ht="47.25" x14ac:dyDescent="0.25">
      <c r="A56" s="8" t="s">
        <v>78</v>
      </c>
      <c r="B56" s="42" t="s">
        <v>268</v>
      </c>
      <c r="C56" s="42">
        <f>IF(B56="","",VLOOKUP(AD56,Varsayımlar!$B:$Q,3,0))</f>
        <v>8698829380698</v>
      </c>
      <c r="D56" s="42" t="s">
        <v>540</v>
      </c>
      <c r="E56" s="42" t="s">
        <v>284</v>
      </c>
      <c r="F56" s="42">
        <v>20252825</v>
      </c>
      <c r="G56" s="42" t="s">
        <v>68</v>
      </c>
      <c r="H56" s="42" t="str">
        <f>IF(B56="","",VLOOKUP(AD56,Varsayımlar!$B:$Q,5,0))</f>
        <v>Kırmızı Tortillas 25cm</v>
      </c>
      <c r="I56" s="42">
        <f>IF(B56="","",VLOOKUP(AD56,Varsayımlar!B:T,19,0))</f>
        <v>0</v>
      </c>
      <c r="J56" s="42" t="str">
        <f>IF(B56="","",VLOOKUP(AD56,Varsayımlar!$B:$Q,6,0))</f>
        <v>SADE</v>
      </c>
      <c r="K56" s="42">
        <v>672</v>
      </c>
      <c r="L56" s="42"/>
      <c r="M56" s="42">
        <f>IFERROR(IF(B56="","",K56/VLOOKUP(AD56,Varsayımlar!B:R,17,0)),"")</f>
        <v>8</v>
      </c>
      <c r="N56" s="42"/>
      <c r="O56" s="42">
        <v>9</v>
      </c>
      <c r="P56" s="42">
        <f>IF(B56="","",VLOOKUP(AD56,Varsayımlar!$B:$Q,7,0)*K56)</f>
        <v>20160</v>
      </c>
      <c r="Q56" s="42">
        <f>IF(B56="","",VLOOKUP(AD56,Varsayımlar!$B:$Q,8,0))</f>
        <v>25</v>
      </c>
      <c r="R56" s="42" t="str">
        <f>IF(B56="","",VLOOKUP(AD56,Varsayımlar!$B:$Q,9,0))</f>
        <v>Soft-PA3</v>
      </c>
      <c r="S56" s="42">
        <f>IF(B56="","",VLOOKUP(AD56,Varsayımlar!$B:$Q,10,0))</f>
        <v>4</v>
      </c>
      <c r="T56" s="42">
        <f>IF(B56="","",VLOOKUP(AD56,Varsayımlar!$B:$Q,11,0))</f>
        <v>30</v>
      </c>
      <c r="U56" s="42">
        <f>IF(B56="","",VLOOKUP(AD56,Varsayımlar!$B:$Q,12,0))</f>
        <v>240</v>
      </c>
      <c r="V56" s="42" t="str">
        <f>IF(B56="","",VLOOKUP(AD56,Varsayımlar!$B:$Q,13,0))</f>
        <v>Yurtdışı</v>
      </c>
      <c r="W56" s="42">
        <f>IF(B56="","",VLOOKUP(AD56,Varsayımlar!$B:$Q,14,0))</f>
        <v>12</v>
      </c>
      <c r="X56" s="69">
        <v>46199</v>
      </c>
      <c r="Y56" s="69">
        <v>46564</v>
      </c>
      <c r="Z56" s="42">
        <v>26062625</v>
      </c>
      <c r="AA56" s="42" t="str">
        <f>IF(B56="","",VLOOKUP(AD56,Varsayımlar!$B:$Q,15,0))</f>
        <v>25cm Kolisi-Etiketli</v>
      </c>
      <c r="AB56" s="42" t="str">
        <f>IF(B56="","",VLOOKUP(AD56,Varsayımlar!$B:$Q,16,0))</f>
        <v>24-26 cm (Macca Hetto Inkjet Uzun Tarih)</v>
      </c>
      <c r="AC56" s="54">
        <f>IF(B56="","",VLOOKUP(Sayfa1!AD28,Varsayımlar!B:S,18,0))</f>
        <v>0</v>
      </c>
      <c r="AD56" s="57" t="str">
        <f>IF(B56="","",CONCATENATE(B56,E56))</f>
        <v>LAIKYUZHN-BELARUSKırmızı Tortillas 25cm 4ps 240g</v>
      </c>
    </row>
    <row r="57" spans="1:30" ht="54.75" customHeight="1" x14ac:dyDescent="0.25">
      <c r="A57" s="8" t="s">
        <v>79</v>
      </c>
      <c r="B57" s="73" t="s">
        <v>95</v>
      </c>
      <c r="C57" s="71">
        <f>IF(B57="","",VLOOKUP(AD57,Varsayımlar!$B:$Q,3,0))</f>
        <v>8698829380698</v>
      </c>
      <c r="D57" s="71"/>
      <c r="E57" s="157" t="s">
        <v>114</v>
      </c>
      <c r="F57" s="73"/>
      <c r="G57" s="73"/>
      <c r="H57" s="73" t="str">
        <f>IF(B57="","",VLOOKUP(AD57,Varsayımlar!$B:$Q,5,0))</f>
        <v>Bisto 25 cm</v>
      </c>
      <c r="I57" s="73"/>
      <c r="J57" s="73" t="str">
        <f>IF(B57="","",VLOOKUP(AD57,Varsayımlar!$B:$Q,6,0))</f>
        <v>SADE</v>
      </c>
      <c r="K57" s="73">
        <v>720</v>
      </c>
      <c r="L57" s="73"/>
      <c r="M57" s="73">
        <f>IFERROR(IF(B57="","",K57/VLOOKUP(AD57,Varsayımlar!B:R,17,0)),"")</f>
        <v>15</v>
      </c>
      <c r="N57" s="73"/>
      <c r="O57" s="73">
        <v>6</v>
      </c>
      <c r="P57" s="73">
        <f>IF(B57="","",VLOOKUP(AD57,Varsayımlar!$B:$Q,7,0)*K57)</f>
        <v>8640</v>
      </c>
      <c r="Q57" s="73">
        <f>IF(B57="","",VLOOKUP(AD57,Varsayımlar!$B:$Q,8,0))</f>
        <v>25</v>
      </c>
      <c r="R57" s="73" t="str">
        <f>IF(B57="","",VLOOKUP(AD57,Varsayımlar!$B:$Q,9,0))</f>
        <v>Standart</v>
      </c>
      <c r="S57" s="73">
        <f>IF(B57="","",VLOOKUP(AD57,Varsayımlar!$B:$Q,10,0))</f>
        <v>12</v>
      </c>
      <c r="T57" s="73">
        <f>IF(B57="","",VLOOKUP(AD57,Varsayımlar!$B:$Q,11,0))</f>
        <v>12</v>
      </c>
      <c r="U57" s="73">
        <f>IF(B57="","",VLOOKUP(AD57,Varsayımlar!$B:$Q,12,0))</f>
        <v>840</v>
      </c>
      <c r="V57" s="73" t="str">
        <f>IF(B57="","",VLOOKUP(AD57,Varsayımlar!$B:$Q,13,0))</f>
        <v>Yurtiçi</v>
      </c>
      <c r="W57" s="73">
        <f>IF(B57="","",VLOOKUP(AD57,Varsayımlar!$B:$Q,14,0))</f>
        <v>6</v>
      </c>
      <c r="X57" s="158" t="s">
        <v>113</v>
      </c>
      <c r="Y57" s="158" t="s">
        <v>113</v>
      </c>
      <c r="Z57" s="73" t="s">
        <v>113</v>
      </c>
      <c r="AA57" s="73" t="str">
        <f>IF(B57="","",VLOOKUP(AD57,Varsayımlar!$B:$Q,15,0))</f>
        <v>Bisto Kolisi</v>
      </c>
      <c r="AB57" s="73" t="str">
        <f>IF(B57="","",VLOOKUP(AD57,Varsayımlar!$B:$Q,16,0))</f>
        <v>24-26 Cm</v>
      </c>
      <c r="AC57" s="64" t="s">
        <v>362</v>
      </c>
      <c r="AD57" s="57" t="str">
        <f t="shared" si="3"/>
        <v>Şok MarketBisto 25 cm 12 pcs 840g</v>
      </c>
    </row>
    <row r="58" spans="1:30" ht="45.75" customHeight="1" x14ac:dyDescent="0.25">
      <c r="A58" s="8" t="s">
        <v>80</v>
      </c>
      <c r="B58" s="130" t="s">
        <v>119</v>
      </c>
      <c r="C58" s="131">
        <f>IF(B58="","",VLOOKUP(AD58,Varsayımlar!$B:$Q,3,0))</f>
        <v>8698829380698</v>
      </c>
      <c r="D58" s="131"/>
      <c r="E58" s="132" t="s">
        <v>120</v>
      </c>
      <c r="F58" s="130"/>
      <c r="G58" s="130"/>
      <c r="H58" s="130" t="str">
        <f>IF(B58="","",VLOOKUP(AD58,Varsayımlar!$B:$Q,5,0))</f>
        <v>Nimet 25 cm</v>
      </c>
      <c r="I58" s="130"/>
      <c r="J58" s="130" t="str">
        <f>IF(B58="","",VLOOKUP(AD58,Varsayımlar!$B:$Q,6,0))</f>
        <v>SADE</v>
      </c>
      <c r="K58" s="130">
        <v>4000</v>
      </c>
      <c r="L58" s="130"/>
      <c r="M58" s="130">
        <f>IFERROR(IF(B58="","",K58/VLOOKUP(AD58,Varsayımlar!B:R,17,0)),"")</f>
        <v>80</v>
      </c>
      <c r="N58" s="130"/>
      <c r="O58" s="130">
        <v>34</v>
      </c>
      <c r="P58" s="130">
        <f>IF(B58="","",VLOOKUP(AD58,Varsayımlar!$B:$Q,7,0)*K58)</f>
        <v>48000</v>
      </c>
      <c r="Q58" s="130">
        <f>IF(B58="","",VLOOKUP(AD58,Varsayımlar!$B:$Q,8,0))</f>
        <v>25</v>
      </c>
      <c r="R58" s="130" t="str">
        <f>IF(B58="","",VLOOKUP(AD58,Varsayımlar!$B:$Q,9,0))</f>
        <v>Standart</v>
      </c>
      <c r="S58" s="130">
        <f>IF(B58="","",VLOOKUP(AD58,Varsayımlar!$B:$Q,10,0))</f>
        <v>12</v>
      </c>
      <c r="T58" s="130">
        <f>IF(B58="","",VLOOKUP(AD58,Varsayımlar!$B:$Q,11,0))</f>
        <v>12</v>
      </c>
      <c r="U58" s="130">
        <f>IF(B58="","",VLOOKUP(AD58,Varsayımlar!$B:$Q,12,0))</f>
        <v>840</v>
      </c>
      <c r="V58" s="130" t="str">
        <f>IF(B58="","",VLOOKUP(AD58,Varsayımlar!$B:$Q,13,0))</f>
        <v>YURTİÇİ</v>
      </c>
      <c r="W58" s="130">
        <f>IF(B58="","",VLOOKUP(AD58,Varsayımlar!$B:$Q,14,0))</f>
        <v>5</v>
      </c>
      <c r="X58" s="133" t="s">
        <v>113</v>
      </c>
      <c r="Y58" s="133" t="s">
        <v>113</v>
      </c>
      <c r="Z58" s="130" t="s">
        <v>113</v>
      </c>
      <c r="AA58" s="130" t="str">
        <f>IF(B58="","",VLOOKUP(AD58,Varsayımlar!$B:$Q,15,0))</f>
        <v>Nimet Kolisi</v>
      </c>
      <c r="AB58" s="130" t="str">
        <f>IF(B58="","",VLOOKUP(AD58,Varsayımlar!$B:$Q,16,0))</f>
        <v>24-26 CM</v>
      </c>
      <c r="AC58" s="64" t="s">
        <v>360</v>
      </c>
      <c r="AD58" s="57" t="str">
        <f>IF(B58="","",CONCATENATE(B58,E58))</f>
        <v>A101Nimet 25cm 12 pcs 840g</v>
      </c>
    </row>
    <row r="59" spans="1:30" ht="47.25" x14ac:dyDescent="0.25">
      <c r="A59" s="8" t="s">
        <v>81</v>
      </c>
      <c r="B59" s="64" t="s">
        <v>288</v>
      </c>
      <c r="C59" s="3">
        <f>IF(B59="","",VLOOKUP(AD59,Varsayımlar!$B:$Q,3,0))</f>
        <v>8698829380698</v>
      </c>
      <c r="D59" s="3"/>
      <c r="E59" s="64" t="s">
        <v>292</v>
      </c>
      <c r="F59" s="64">
        <v>20201016</v>
      </c>
      <c r="G59" s="3" t="s">
        <v>68</v>
      </c>
      <c r="H59" s="64" t="str">
        <f>IF(B59="","",VLOOKUP(AD59,Varsayımlar!$B:$Q,5,0))</f>
        <v>Kırmızı Tortillas 25cm Sade</v>
      </c>
      <c r="I59" s="64" t="str">
        <f>IF(B59="","",VLOOKUP(AD59,Varsayımlar!B:T,19,0))</f>
        <v>Arka kısma İçerik</v>
      </c>
      <c r="J59" s="64" t="str">
        <f>IF(B59="","",VLOOKUP(AD59,Varsayımlar!$B:$Q,6,0))</f>
        <v>SADE</v>
      </c>
      <c r="K59" s="64">
        <v>250</v>
      </c>
      <c r="L59" s="64"/>
      <c r="M59" s="64">
        <f>IFERROR(IF(B59="","",K59/VLOOKUP(AD59,Varsayımlar!B:R,17,0)),"")</f>
        <v>5</v>
      </c>
      <c r="N59" s="64"/>
      <c r="O59" s="64">
        <v>4</v>
      </c>
      <c r="P59" s="64">
        <f>IF(B59="","",VLOOKUP(AD59,Varsayımlar!$B:$Q,7,0)*K59)</f>
        <v>4500</v>
      </c>
      <c r="Q59" s="64">
        <f>IF(B59="","",VLOOKUP(AD59,Varsayımlar!$B:$Q,8,0))</f>
        <v>25</v>
      </c>
      <c r="R59" s="64" t="str">
        <f>IF(B59="","",VLOOKUP(AD59,Varsayımlar!$B:$Q,9,0))</f>
        <v>Irak Soft</v>
      </c>
      <c r="S59" s="64">
        <f>IF(B59="","",VLOOKUP(AD59,Varsayımlar!$B:$Q,10,0))</f>
        <v>6</v>
      </c>
      <c r="T59" s="64">
        <f>IF(B59="","",VLOOKUP(AD59,Varsayımlar!$B:$Q,11,0))</f>
        <v>18</v>
      </c>
      <c r="U59" s="64">
        <f>IF(B59="","",VLOOKUP(AD59,Varsayımlar!$B:$Q,12,0))</f>
        <v>390</v>
      </c>
      <c r="V59" s="64" t="str">
        <f>IF(B59="","",VLOOKUP(AD59,Varsayımlar!$B:$Q,13,0))</f>
        <v>YURTDIŞI</v>
      </c>
      <c r="W59" s="64">
        <f>IF(B59="","",VLOOKUP(AD59,Varsayımlar!$B:$Q,14,0))</f>
        <v>9</v>
      </c>
      <c r="X59" s="66">
        <v>46202</v>
      </c>
      <c r="Y59" s="66">
        <v>46475</v>
      </c>
      <c r="Z59" s="64">
        <v>26062925</v>
      </c>
      <c r="AA59" s="64" t="str">
        <f>IF(B59="","",VLOOKUP(AD59,Varsayımlar!$B:$Q,15,0))</f>
        <v>25cm Koli</v>
      </c>
      <c r="AB59" s="64" t="str">
        <f>IF(B59="","",VLOOKUP(AD59,Varsayımlar!$B:$Q,16,0))</f>
        <v>24-26 cm</v>
      </c>
      <c r="AC59" s="64" t="str">
        <f>IF(B59="","",VLOOKUP(Sayfa1!AD42,Varsayımlar!B:S,18,0))</f>
        <v>80x120cm</v>
      </c>
      <c r="AD59" s="57" t="str">
        <f t="shared" si="3"/>
        <v>UNITERA-KAZAKİSTANKırmızı Tortillas 25cm Sade 6pcs 390g</v>
      </c>
    </row>
    <row r="60" spans="1:30" ht="31.5" x14ac:dyDescent="0.25">
      <c r="A60" s="8" t="s">
        <v>82</v>
      </c>
      <c r="B60" s="80" t="s">
        <v>218</v>
      </c>
      <c r="C60" s="44">
        <f>IF(B60="","",VLOOKUP(AD60,Varsayımlar!$B:$Q,3,0))</f>
        <v>8698829380698</v>
      </c>
      <c r="D60" s="44" t="s">
        <v>160</v>
      </c>
      <c r="E60" s="80" t="s">
        <v>228</v>
      </c>
      <c r="F60" s="80">
        <v>26042907</v>
      </c>
      <c r="G60" s="44"/>
      <c r="H60" s="80" t="str">
        <f>IF(B60="","",VLOOKUP(AD60,Varsayımlar!$B:$Q,5,0))</f>
        <v>Tortillas Avrupa 25cm (698)</v>
      </c>
      <c r="I60" s="80">
        <f>IF(B60="","",VLOOKUP(AD60,Varsayımlar!B:T,19,0))</f>
        <v>0</v>
      </c>
      <c r="J60" s="80" t="str">
        <f>IF(B60="","",VLOOKUP(AD60,Varsayımlar!$B:$Q,6,0))</f>
        <v>SADE</v>
      </c>
      <c r="K60" s="80">
        <v>720</v>
      </c>
      <c r="L60" s="80"/>
      <c r="M60" s="80">
        <f>IFERROR(IF(B60="","",K60/VLOOKUP(AD60,Varsayımlar!B:R,17,0)),"")</f>
        <v>6</v>
      </c>
      <c r="N60" s="80"/>
      <c r="O60" s="80">
        <v>7</v>
      </c>
      <c r="P60" s="80">
        <f>IF(B60="","",VLOOKUP(AD60,Varsayımlar!$B:$Q,7,0)*K60)</f>
        <v>5760</v>
      </c>
      <c r="Q60" s="80">
        <f>IF(B60="","",VLOOKUP(AD60,Varsayımlar!$B:$Q,8,0))</f>
        <v>25</v>
      </c>
      <c r="R60" s="80" t="str">
        <f>IF(B60="","",VLOOKUP(AD60,Varsayımlar!$B:$Q,9,0))</f>
        <v>Irak Soft</v>
      </c>
      <c r="S60" s="80">
        <f>IF(B60="","",VLOOKUP(AD60,Varsayımlar!$B:$Q,10,0))</f>
        <v>10</v>
      </c>
      <c r="T60" s="80">
        <f>IF(B60="","",VLOOKUP(AD60,Varsayımlar!$B:$Q,11,0))</f>
        <v>8</v>
      </c>
      <c r="U60" s="80">
        <f>IF(B60="","",VLOOKUP(AD60,Varsayımlar!$B:$Q,12,0))</f>
        <v>650</v>
      </c>
      <c r="V60" s="80" t="str">
        <f>IF(B60="","",VLOOKUP(AD60,Varsayımlar!$B:$Q,13,0))</f>
        <v>Yurtdışı</v>
      </c>
      <c r="W60" s="80">
        <f>IF(B60="","",VLOOKUP(AD60,Varsayımlar!$B:$Q,14,0))</f>
        <v>9</v>
      </c>
      <c r="X60" s="81">
        <v>46203</v>
      </c>
      <c r="Y60" s="81">
        <v>46476</v>
      </c>
      <c r="Z60" s="80">
        <v>26063025</v>
      </c>
      <c r="AA60" s="80" t="str">
        <f>IF(B60="","",VLOOKUP(AD60,Varsayımlar!$B:$Q,15,0))</f>
        <v>25cm Perforeli-Bulgarca etiket</v>
      </c>
      <c r="AB60" s="80" t="str">
        <f>IF(B60="","",VLOOKUP(AD60,Varsayımlar!$B:$Q,16,0))</f>
        <v>24-26 cm</v>
      </c>
      <c r="AC60" s="80" t="str">
        <f>IF(B60="","",VLOOKUP(Sayfa1!AD56,Varsayımlar!B:S,18,0))</f>
        <v>80x120cm -Epal+Epal</v>
      </c>
      <c r="AD60" s="57" t="str">
        <f t="shared" si="3"/>
        <v>TASTE LAND-BULGARİSTANTortillas 25cm Sade 10pcs 650g</v>
      </c>
    </row>
    <row r="61" spans="1:30" ht="47.25" hidden="1" x14ac:dyDescent="0.25">
      <c r="A61" s="8" t="s">
        <v>83</v>
      </c>
      <c r="B61" s="54" t="s">
        <v>268</v>
      </c>
      <c r="C61" s="39">
        <f>IF(B61="","",VLOOKUP(AD61,Varsayımlar!$B:$Q,3,0))</f>
        <v>8698829380698</v>
      </c>
      <c r="D61" s="39" t="s">
        <v>160</v>
      </c>
      <c r="E61" s="39" t="s">
        <v>284</v>
      </c>
      <c r="F61" s="54" t="s">
        <v>343</v>
      </c>
      <c r="G61" s="39" t="s">
        <v>68</v>
      </c>
      <c r="H61" s="54" t="str">
        <f>IF(B61="","",VLOOKUP(AD61,Varsayımlar!$B:$Q,5,0))</f>
        <v>Kırmızı Tortillas 25cm</v>
      </c>
      <c r="I61" s="54">
        <f>IF(B61="","",VLOOKUP(AD61,Varsayımlar!B:T,19,0))</f>
        <v>0</v>
      </c>
      <c r="J61" s="54" t="str">
        <f>IF(B61="","",VLOOKUP(AD61,Varsayımlar!$B:$Q,6,0))</f>
        <v>SADE</v>
      </c>
      <c r="K61" s="54">
        <v>420</v>
      </c>
      <c r="L61" s="54"/>
      <c r="M61" s="54">
        <f>IFERROR(IF(B61="","",K61/VLOOKUP(AD61,Varsayımlar!B:R,17,0)),"")</f>
        <v>5</v>
      </c>
      <c r="N61" s="54"/>
      <c r="O61" s="54">
        <v>7</v>
      </c>
      <c r="P61" s="54">
        <f>IF(B61="","",VLOOKUP(AD61,Varsayımlar!$B:$Q,7,0)*K61)</f>
        <v>12600</v>
      </c>
      <c r="Q61" s="54">
        <f>IF(B61="","",VLOOKUP(AD61,Varsayımlar!$B:$Q,8,0))</f>
        <v>25</v>
      </c>
      <c r="R61" s="54" t="str">
        <f>IF(B61="","",VLOOKUP(AD61,Varsayımlar!$B:$Q,9,0))</f>
        <v>Soft-PA3</v>
      </c>
      <c r="S61" s="54">
        <f>IF(B61="","",VLOOKUP(AD61,Varsayımlar!$B:$Q,10,0))</f>
        <v>4</v>
      </c>
      <c r="T61" s="54">
        <f>IF(B61="","",VLOOKUP(AD61,Varsayımlar!$B:$Q,11,0))</f>
        <v>30</v>
      </c>
      <c r="U61" s="54">
        <f>IF(B61="","",VLOOKUP(AD61,Varsayımlar!$B:$Q,12,0))</f>
        <v>240</v>
      </c>
      <c r="V61" s="54" t="str">
        <f>IF(B61="","",VLOOKUP(AD61,Varsayımlar!$B:$Q,13,0))</f>
        <v>Yurtdışı</v>
      </c>
      <c r="W61" s="54">
        <f>IF(B61="","",VLOOKUP(AD61,Varsayımlar!$B:$Q,14,0))</f>
        <v>12</v>
      </c>
      <c r="X61" s="56">
        <v>46205</v>
      </c>
      <c r="Y61" s="56">
        <v>46570</v>
      </c>
      <c r="Z61" s="54">
        <v>26070225</v>
      </c>
      <c r="AA61" s="54" t="str">
        <f>IF(B61="","",VLOOKUP(AD61,Varsayımlar!$B:$Q,15,0))</f>
        <v>25cm Kolisi-Etiketli</v>
      </c>
      <c r="AB61" s="54" t="str">
        <f>IF(B61="","",VLOOKUP(AD61,Varsayımlar!$B:$Q,16,0))</f>
        <v>24-26 cm (Macca Hetto Inkjet Uzun Tarih)</v>
      </c>
      <c r="AC61" s="54" t="str">
        <f>IF(B61="","",VLOOKUP(Sayfa1!AD35,Varsayımlar!B:S,18,0))</f>
        <v>80x120cm</v>
      </c>
      <c r="AD61" s="57" t="str">
        <f>IF(B61="","",CONCATENATE(B61,E61))</f>
        <v>LAIKYUZHN-BELARUSKırmızı Tortillas 25cm 4ps 240g</v>
      </c>
    </row>
    <row r="62" spans="1:30" ht="47.25" hidden="1" x14ac:dyDescent="0.25">
      <c r="A62" s="8" t="s">
        <v>84</v>
      </c>
      <c r="B62" s="130" t="s">
        <v>119</v>
      </c>
      <c r="C62" s="130">
        <f>IF(B62="","",VLOOKUP(AD62,Varsayımlar!$B:$Q,3,0))</f>
        <v>8698829380698</v>
      </c>
      <c r="D62" s="130"/>
      <c r="E62" s="130" t="s">
        <v>120</v>
      </c>
      <c r="F62" s="130"/>
      <c r="G62" s="130"/>
      <c r="H62" s="130" t="str">
        <f>IF(B62="","",VLOOKUP(AD62,Varsayımlar!$B:$Q,5,0))</f>
        <v>Nimet 25 cm</v>
      </c>
      <c r="I62" s="130"/>
      <c r="J62" s="130" t="str">
        <f>IF(B62="","",VLOOKUP(AD62,Varsayımlar!$B:$Q,6,0))</f>
        <v>SADE</v>
      </c>
      <c r="K62" s="130">
        <v>4000</v>
      </c>
      <c r="L62" s="130"/>
      <c r="M62" s="130">
        <f>IFERROR(IF(B62="","",K62/VLOOKUP(AD62,Varsayımlar!B:R,17,0)),"")</f>
        <v>80</v>
      </c>
      <c r="N62" s="130"/>
      <c r="O62" s="130">
        <v>60</v>
      </c>
      <c r="P62" s="130">
        <f>IF(B62="","",VLOOKUP(AD62,Varsayımlar!$B:$Q,7,0)*K62)</f>
        <v>48000</v>
      </c>
      <c r="Q62" s="130">
        <f>IF(B62="","",VLOOKUP(AD62,Varsayımlar!$B:$Q,8,0))</f>
        <v>25</v>
      </c>
      <c r="R62" s="130" t="str">
        <f>IF(B62="","",VLOOKUP(AD62,Varsayımlar!$B:$Q,9,0))</f>
        <v>Standart</v>
      </c>
      <c r="S62" s="130">
        <f>IF(B62="","",VLOOKUP(AD62,Varsayımlar!$B:$Q,10,0))</f>
        <v>12</v>
      </c>
      <c r="T62" s="130">
        <f>IF(B62="","",VLOOKUP(AD62,Varsayımlar!$B:$Q,11,0))</f>
        <v>12</v>
      </c>
      <c r="U62" s="130">
        <f>IF(B62="","",VLOOKUP(AD62,Varsayımlar!$B:$Q,12,0))</f>
        <v>840</v>
      </c>
      <c r="V62" s="130" t="str">
        <f>IF(B62="","",VLOOKUP(AD62,Varsayımlar!$B:$Q,13,0))</f>
        <v>YURTİÇİ</v>
      </c>
      <c r="W62" s="130">
        <f>IF(B62="","",VLOOKUP(AD62,Varsayımlar!$B:$Q,14,0))</f>
        <v>5</v>
      </c>
      <c r="X62" s="130" t="s">
        <v>113</v>
      </c>
      <c r="Y62" s="130" t="s">
        <v>113</v>
      </c>
      <c r="Z62" s="130" t="s">
        <v>113</v>
      </c>
      <c r="AA62" s="130" t="str">
        <f>IF(B62="","",VLOOKUP(AD62,Varsayımlar!$B:$Q,15,0))</f>
        <v>Nimet Kolisi</v>
      </c>
      <c r="AB62" s="130" t="str">
        <f>IF(B62="","",VLOOKUP(AD62,Varsayımlar!$B:$Q,16,0))</f>
        <v>24-26 CM</v>
      </c>
      <c r="AC62" s="64" t="s">
        <v>360</v>
      </c>
      <c r="AD62" s="57" t="str">
        <f t="shared" ref="AD62:AD75" si="4">IF(B62="","",CONCATENATE(B62,E62))</f>
        <v>A101Nimet 25cm 12 pcs 840g</v>
      </c>
    </row>
    <row r="63" spans="1:30" ht="31.5" hidden="1" x14ac:dyDescent="0.25">
      <c r="A63" s="8" t="s">
        <v>85</v>
      </c>
      <c r="B63" s="75" t="s">
        <v>218</v>
      </c>
      <c r="C63" s="43">
        <f>IF(B63="","",VLOOKUP(AD63,Varsayımlar!$B:$Q,3,0))</f>
        <v>8698829380698</v>
      </c>
      <c r="D63" s="43" t="s">
        <v>161</v>
      </c>
      <c r="E63" s="75" t="s">
        <v>228</v>
      </c>
      <c r="F63" s="75" t="s">
        <v>341</v>
      </c>
      <c r="G63" s="43"/>
      <c r="H63" s="75" t="str">
        <f>IF(B63="","",VLOOKUP(AD63,Varsayımlar!$B:$Q,5,0))</f>
        <v>Tortillas Avrupa 25cm (698)</v>
      </c>
      <c r="I63" s="75">
        <f>IF(B63="","",VLOOKUP(AD63,Varsayımlar!B:T,19,0))</f>
        <v>0</v>
      </c>
      <c r="J63" s="75" t="str">
        <f>IF(B63="","",VLOOKUP(AD63,Varsayımlar!$B:$Q,6,0))</f>
        <v>SADE</v>
      </c>
      <c r="K63" s="75">
        <v>720</v>
      </c>
      <c r="L63" s="75"/>
      <c r="M63" s="75">
        <f>IFERROR(IF(B63="","",K63/VLOOKUP(AD63,Varsayımlar!B:R,17,0)),"")</f>
        <v>6</v>
      </c>
      <c r="N63" s="75"/>
      <c r="O63" s="75">
        <v>7</v>
      </c>
      <c r="P63" s="75">
        <f>IF(B63="","",VLOOKUP(AD63,Varsayımlar!$B:$Q,7,0)*K63)</f>
        <v>5760</v>
      </c>
      <c r="Q63" s="75">
        <f>IF(B63="","",VLOOKUP(AD63,Varsayımlar!$B:$Q,8,0))</f>
        <v>25</v>
      </c>
      <c r="R63" s="75" t="str">
        <f>IF(B63="","",VLOOKUP(AD63,Varsayımlar!$B:$Q,9,0))</f>
        <v>Irak Soft</v>
      </c>
      <c r="S63" s="75">
        <f>IF(B63="","",VLOOKUP(AD63,Varsayımlar!$B:$Q,10,0))</f>
        <v>10</v>
      </c>
      <c r="T63" s="75">
        <f>IF(B63="","",VLOOKUP(AD63,Varsayımlar!$B:$Q,11,0))</f>
        <v>8</v>
      </c>
      <c r="U63" s="75">
        <f>IF(B63="","",VLOOKUP(AD63,Varsayımlar!$B:$Q,12,0))</f>
        <v>650</v>
      </c>
      <c r="V63" s="75" t="str">
        <f>IF(B63="","",VLOOKUP(AD63,Varsayımlar!$B:$Q,13,0))</f>
        <v>Yurtdışı</v>
      </c>
      <c r="W63" s="75">
        <f>IF(B63="","",VLOOKUP(AD63,Varsayımlar!$B:$Q,14,0))</f>
        <v>9</v>
      </c>
      <c r="X63" s="76">
        <v>46213</v>
      </c>
      <c r="Y63" s="76">
        <v>46487</v>
      </c>
      <c r="Z63" s="75">
        <v>26071025</v>
      </c>
      <c r="AA63" s="75" t="str">
        <f>IF(B63="","",VLOOKUP(AD63,Varsayımlar!$B:$Q,15,0))</f>
        <v>25cm Perforeli-Bulgarca etiket</v>
      </c>
      <c r="AB63" s="75" t="str">
        <f>IF(B63="","",VLOOKUP(AD63,Varsayımlar!$B:$Q,16,0))</f>
        <v>24-26 cm</v>
      </c>
      <c r="AC63" s="75" t="str">
        <f>IF(B63="","",VLOOKUP(Sayfa1!AD61,Varsayımlar!B:S,18,0))</f>
        <v>80x120cm -Epal+Epal</v>
      </c>
      <c r="AD63" s="57" t="str">
        <f t="shared" si="4"/>
        <v>TASTE LAND-BULGARİSTANTortillas 25cm Sade 10pcs 650g</v>
      </c>
    </row>
    <row r="64" spans="1:30" ht="47.25" hidden="1" x14ac:dyDescent="0.25">
      <c r="A64" s="8" t="s">
        <v>86</v>
      </c>
      <c r="B64" s="75" t="s">
        <v>218</v>
      </c>
      <c r="C64" s="43">
        <f>IF(B64="","",VLOOKUP(AD64,Varsayımlar!$B:$Q,3,0))</f>
        <v>8698829380698</v>
      </c>
      <c r="D64" s="43" t="s">
        <v>161</v>
      </c>
      <c r="E64" s="75" t="s">
        <v>250</v>
      </c>
      <c r="F64" s="75" t="s">
        <v>341</v>
      </c>
      <c r="G64" s="43"/>
      <c r="H64" s="75" t="str">
        <f>IF(B64="","",VLOOKUP(AD64,Varsayımlar!$B:$Q,5,0))</f>
        <v>Tortillas Avrupa 25cm (698)</v>
      </c>
      <c r="I64" s="75" t="str">
        <f>IF(B64="","",VLOOKUP(AD64,Varsayımlar!B:T,19,0))</f>
        <v>Barkod üzerine Barkod Etiketi (050)</v>
      </c>
      <c r="J64" s="75" t="str">
        <f>IF(B64="","",VLOOKUP(AD64,Varsayımlar!$B:$Q,6,0))</f>
        <v>SADE</v>
      </c>
      <c r="K64" s="75">
        <v>168</v>
      </c>
      <c r="L64" s="75"/>
      <c r="M64" s="75">
        <f>IFERROR(IF(B64="","",K64/VLOOKUP(AD64,Varsayımlar!B:R,17,0)),"")</f>
        <v>2</v>
      </c>
      <c r="N64" s="75"/>
      <c r="O64" s="75">
        <v>3</v>
      </c>
      <c r="P64" s="75">
        <f>IF(B64="","",VLOOKUP(AD64,Varsayımlar!$B:$Q,7,0)*K64)</f>
        <v>3024</v>
      </c>
      <c r="Q64" s="75">
        <f>IF(B64="","",VLOOKUP(AD64,Varsayımlar!$B:$Q,8,0))</f>
        <v>25</v>
      </c>
      <c r="R64" s="75" t="str">
        <f>IF(B64="","",VLOOKUP(AD64,Varsayımlar!$B:$Q,9,0))</f>
        <v>Irak Soft</v>
      </c>
      <c r="S64" s="75">
        <f>IF(B64="","",VLOOKUP(AD64,Varsayımlar!$B:$Q,10,0))</f>
        <v>6</v>
      </c>
      <c r="T64" s="75">
        <f>IF(B64="","",VLOOKUP(AD64,Varsayımlar!$B:$Q,11,0))</f>
        <v>18</v>
      </c>
      <c r="U64" s="75">
        <f>IF(B64="","",VLOOKUP(AD64,Varsayımlar!$B:$Q,12,0))</f>
        <v>390</v>
      </c>
      <c r="V64" s="75" t="str">
        <f>IF(B64="","",VLOOKUP(AD64,Varsayımlar!$B:$Q,13,0))</f>
        <v>Yurtdışı</v>
      </c>
      <c r="W64" s="75">
        <f>IF(B64="","",VLOOKUP(AD64,Varsayımlar!$B:$Q,14,0))</f>
        <v>9</v>
      </c>
      <c r="X64" s="76">
        <v>46213</v>
      </c>
      <c r="Y64" s="76">
        <v>46487</v>
      </c>
      <c r="Z64" s="75">
        <v>26071025</v>
      </c>
      <c r="AA64" s="75" t="str">
        <f>IF(B64="","",VLOOKUP(AD64,Varsayımlar!$B:$Q,15,0))</f>
        <v>25cm Kırmızı koli-Bulgarca Etiket</v>
      </c>
      <c r="AB64" s="75" t="str">
        <f>IF(B64="","",VLOOKUP(AD64,Varsayımlar!$B:$Q,16,0))</f>
        <v>24-26 cm</v>
      </c>
      <c r="AC64" s="75" t="str">
        <f>IF(B64="","",VLOOKUP(Sayfa1!AD62,Varsayımlar!B:S,18,0))</f>
        <v>80x120cm -Epal+Epal</v>
      </c>
      <c r="AD64" s="57" t="str">
        <f t="shared" si="4"/>
        <v>TASTE LAND-BULGARİSTANTortillas 25cm Sade 6pcs 390g</v>
      </c>
    </row>
    <row r="65" spans="1:30" ht="33.75" hidden="1" customHeight="1" x14ac:dyDescent="0.25">
      <c r="A65" s="8" t="s">
        <v>87</v>
      </c>
      <c r="B65" s="67" t="s">
        <v>460</v>
      </c>
      <c r="C65" s="42">
        <f>IF(B65="","",VLOOKUP(AD65,Varsayımlar!$B:$Q,3,0))</f>
        <v>8698829380698</v>
      </c>
      <c r="D65" s="67" t="s">
        <v>540</v>
      </c>
      <c r="E65" s="67" t="s">
        <v>468</v>
      </c>
      <c r="F65" s="67">
        <v>20260414</v>
      </c>
      <c r="G65" s="67"/>
      <c r="H65" s="67" t="str">
        <f>IF(B65="","",VLOOKUP(AD65,Varsayımlar!$B:$Q,5,0))</f>
        <v>Tortillove 25cm</v>
      </c>
      <c r="I65" s="67">
        <f>IF(B65="","",VLOOKUP(AD65,Varsayımlar!B:T,19,0))</f>
        <v>0</v>
      </c>
      <c r="J65" s="67" t="str">
        <f>IF(B65="","",VLOOKUP(AD65,Varsayımlar!$B:$Q,6,0))</f>
        <v>SADE</v>
      </c>
      <c r="K65" s="67">
        <v>100</v>
      </c>
      <c r="L65" s="67"/>
      <c r="M65" s="67">
        <f>IFERROR(IF(B65="","",K65/VLOOKUP(AD65,Varsayımlar!B:R,17,0)),"")</f>
        <v>1</v>
      </c>
      <c r="N65" s="67"/>
      <c r="O65" s="67">
        <v>2</v>
      </c>
      <c r="P65" s="67">
        <f>IF(B65="","",VLOOKUP(AD65,Varsayımlar!$B:$Q,7,0)*K65)</f>
        <v>1200</v>
      </c>
      <c r="Q65" s="67">
        <f>IF(B65="","",VLOOKUP(AD65,Varsayımlar!$B:$Q,8,0))</f>
        <v>25</v>
      </c>
      <c r="R65" s="67" t="str">
        <f>IF(B65="","",VLOOKUP(AD65,Varsayımlar!$B:$Q,9,0))</f>
        <v>Irak Soft</v>
      </c>
      <c r="S65" s="67">
        <f>IF(B65="","",VLOOKUP(AD65,Varsayımlar!$B:$Q,10,0))</f>
        <v>10</v>
      </c>
      <c r="T65" s="67">
        <f>IF(B65="","",VLOOKUP(AD65,Varsayımlar!$B:$Q,11,0))</f>
        <v>12</v>
      </c>
      <c r="U65" s="67">
        <f>IF(B65="","",VLOOKUP(AD65,Varsayımlar!$B:$Q,12,0))</f>
        <v>650</v>
      </c>
      <c r="V65" s="67" t="str">
        <f>IF(B65="","",VLOOKUP(AD65,Varsayımlar!$B:$Q,13,0))</f>
        <v>Yurtdışı</v>
      </c>
      <c r="W65" s="67">
        <f>IF(B65="","",VLOOKUP(AD65,Varsayımlar!$B:$Q,14,0))</f>
        <v>6</v>
      </c>
      <c r="X65" s="69">
        <v>46216</v>
      </c>
      <c r="Y65" s="69">
        <v>46400</v>
      </c>
      <c r="Z65" s="67">
        <v>26071325</v>
      </c>
      <c r="AA65" s="67" t="str">
        <f>IF(B65="","",VLOOKUP(AD65,Varsayımlar!$B:$Q,15,0))</f>
        <v>25cm Kırmızı Koli</v>
      </c>
      <c r="AB65" s="67" t="str">
        <f>IF(B65="","",VLOOKUP(AD65,Varsayımlar!$B:$Q,16,0))</f>
        <v>24-26 cm</v>
      </c>
      <c r="AC65" s="75" t="str">
        <f>IF(B65="","",VLOOKUP(Sayfa1!AD64,Varsayımlar!B:S,18,0))</f>
        <v>80x120cm -Epal+Epal</v>
      </c>
      <c r="AD65" s="57" t="str">
        <f t="shared" si="4"/>
        <v>Yüksekbaş GıdaYüksekbaş 25cm 10pcs 650g</v>
      </c>
    </row>
    <row r="66" spans="1:30" ht="31.5" hidden="1" x14ac:dyDescent="0.25">
      <c r="A66" s="8" t="s">
        <v>88</v>
      </c>
      <c r="B66" s="42" t="s">
        <v>460</v>
      </c>
      <c r="C66" s="42">
        <f>IF(B66="","",VLOOKUP(AD66,Varsayımlar!$B:$Q,3,0))</f>
        <v>8698829380698</v>
      </c>
      <c r="D66" s="42" t="s">
        <v>540</v>
      </c>
      <c r="E66" s="42" t="s">
        <v>471</v>
      </c>
      <c r="F66" s="42">
        <v>20260414</v>
      </c>
      <c r="G66" s="42"/>
      <c r="H66" s="42" t="str">
        <f>IF(B66="","",VLOOKUP(AD66,Varsayımlar!$B:$Q,5,0))</f>
        <v>Tortillove Tam Buğday 25cm</v>
      </c>
      <c r="I66" s="42">
        <f>IF(B66="","",VLOOKUP(AD66,Varsayımlar!B:T,19,0))</f>
        <v>0</v>
      </c>
      <c r="J66" s="42" t="str">
        <f>IF(B66="","",VLOOKUP(AD66,Varsayımlar!$B:$Q,6,0))</f>
        <v>Tam Buğdaylı</v>
      </c>
      <c r="K66" s="42">
        <v>500</v>
      </c>
      <c r="L66" s="42"/>
      <c r="M66" s="42">
        <f>IFERROR(IF(B66="","",K66/VLOOKUP(AD66,Varsayımlar!B:R,17,0)),"")</f>
        <v>5</v>
      </c>
      <c r="N66" s="42"/>
      <c r="O66" s="42">
        <v>7</v>
      </c>
      <c r="P66" s="42">
        <f>IF(B66="","",VLOOKUP(AD66,Varsayımlar!$B:$Q,7,0)*K66)</f>
        <v>6000</v>
      </c>
      <c r="Q66" s="42">
        <f>IF(B66="","",VLOOKUP(AD66,Varsayımlar!$B:$Q,8,0))</f>
        <v>25</v>
      </c>
      <c r="R66" s="42" t="str">
        <f>IF(B66="","",VLOOKUP(AD66,Varsayımlar!$B:$Q,9,0))</f>
        <v>Irak Soft</v>
      </c>
      <c r="S66" s="42">
        <f>IF(B66="","",VLOOKUP(AD66,Varsayımlar!$B:$Q,10,0))</f>
        <v>10</v>
      </c>
      <c r="T66" s="42">
        <f>IF(B66="","",VLOOKUP(AD66,Varsayımlar!$B:$Q,11,0))</f>
        <v>12</v>
      </c>
      <c r="U66" s="42">
        <f>IF(B66="","",VLOOKUP(AD66,Varsayımlar!$B:$Q,12,0))</f>
        <v>650</v>
      </c>
      <c r="V66" s="42" t="str">
        <f>IF(B66="","",VLOOKUP(AD66,Varsayımlar!$B:$Q,13,0))</f>
        <v>Yurtdışı</v>
      </c>
      <c r="W66" s="42">
        <f>IF(B66="","",VLOOKUP(AD66,Varsayımlar!$B:$Q,14,0))</f>
        <v>6</v>
      </c>
      <c r="X66" s="69">
        <v>46216</v>
      </c>
      <c r="Y66" s="69">
        <v>46400</v>
      </c>
      <c r="Z66" s="42" t="s">
        <v>475</v>
      </c>
      <c r="AA66" s="42" t="str">
        <f>IF(B66="","",VLOOKUP(AD66,Varsayımlar!$B:$Q,15,0))</f>
        <v>25cm Kırmızı Koli-Etiketli</v>
      </c>
      <c r="AB66" s="42" t="str">
        <f>IF(B66="","",VLOOKUP(AD66,Varsayımlar!$B:$Q,16,0))</f>
        <v>24-26 cm</v>
      </c>
      <c r="AC66" s="75" t="str">
        <f>IF(B66="","",VLOOKUP(Sayfa1!AD64,Varsayımlar!B:S,18,0))</f>
        <v>80x120cm -Epal+Epal</v>
      </c>
      <c r="AD66" s="57" t="str">
        <f t="shared" si="4"/>
        <v>Yüksekbaş GıdaYüksekbaş TB 25cm 10pcs 650g</v>
      </c>
    </row>
    <row r="67" spans="1:30" ht="45.75" hidden="1" customHeight="1" x14ac:dyDescent="0.25">
      <c r="A67" s="8" t="s">
        <v>89</v>
      </c>
      <c r="B67" s="130" t="s">
        <v>119</v>
      </c>
      <c r="C67" s="131">
        <f>IF(B67="","",VLOOKUP(AD67,Varsayımlar!$B:$Q,3,0))</f>
        <v>8698829380698</v>
      </c>
      <c r="D67" s="131"/>
      <c r="E67" s="132" t="s">
        <v>120</v>
      </c>
      <c r="F67" s="130"/>
      <c r="G67" s="130"/>
      <c r="H67" s="130" t="str">
        <f>IF(B67="","",VLOOKUP(AD67,Varsayımlar!$B:$Q,5,0))</f>
        <v>Nimet 25 cm</v>
      </c>
      <c r="I67" s="130"/>
      <c r="J67" s="130" t="str">
        <f>IF(B67="","",VLOOKUP(AD67,Varsayımlar!$B:$Q,6,0))</f>
        <v>SADE</v>
      </c>
      <c r="K67" s="130">
        <v>4000</v>
      </c>
      <c r="L67" s="130"/>
      <c r="M67" s="130">
        <f>IFERROR(IF(B67="","",K67/VLOOKUP(AD67,Varsayımlar!B:R,17,0)),"")</f>
        <v>80</v>
      </c>
      <c r="N67" s="130"/>
      <c r="O67" s="130">
        <v>60</v>
      </c>
      <c r="P67" s="130">
        <f>IF(B67="","",VLOOKUP(AD67,Varsayımlar!$B:$Q,7,0)*K67)</f>
        <v>48000</v>
      </c>
      <c r="Q67" s="130">
        <f>IF(B67="","",VLOOKUP(AD67,Varsayımlar!$B:$Q,8,0))</f>
        <v>25</v>
      </c>
      <c r="R67" s="130" t="str">
        <f>IF(B67="","",VLOOKUP(AD67,Varsayımlar!$B:$Q,9,0))</f>
        <v>Standart</v>
      </c>
      <c r="S67" s="130">
        <f>IF(B67="","",VLOOKUP(AD67,Varsayımlar!$B:$Q,10,0))</f>
        <v>12</v>
      </c>
      <c r="T67" s="130">
        <f>IF(B67="","",VLOOKUP(AD67,Varsayımlar!$B:$Q,11,0))</f>
        <v>12</v>
      </c>
      <c r="U67" s="130">
        <f>IF(B67="","",VLOOKUP(AD67,Varsayımlar!$B:$Q,12,0))</f>
        <v>840</v>
      </c>
      <c r="V67" s="130" t="str">
        <f>IF(B67="","",VLOOKUP(AD67,Varsayımlar!$B:$Q,13,0))</f>
        <v>YURTİÇİ</v>
      </c>
      <c r="W67" s="130">
        <f>IF(B67="","",VLOOKUP(AD67,Varsayımlar!$B:$Q,14,0))</f>
        <v>5</v>
      </c>
      <c r="X67" s="133" t="s">
        <v>113</v>
      </c>
      <c r="Y67" s="133" t="s">
        <v>113</v>
      </c>
      <c r="Z67" s="130" t="s">
        <v>113</v>
      </c>
      <c r="AA67" s="130" t="str">
        <f>IF(B67="","",VLOOKUP(AD67,Varsayımlar!$B:$Q,15,0))</f>
        <v>Nimet Kolisi</v>
      </c>
      <c r="AB67" s="130" t="str">
        <f>IF(B67="","",VLOOKUP(AD67,Varsayımlar!$B:$Q,16,0))</f>
        <v>24-26 CM</v>
      </c>
      <c r="AC67" s="64" t="s">
        <v>360</v>
      </c>
      <c r="AD67" s="57" t="str">
        <f>IF(B67="","",CONCATENATE(B67,E67))</f>
        <v>A101Nimet 25cm 12 pcs 840g</v>
      </c>
    </row>
    <row r="68" spans="1:30" ht="31.5" hidden="1" x14ac:dyDescent="0.25">
      <c r="A68" s="8" t="s">
        <v>90</v>
      </c>
      <c r="B68" s="54" t="s">
        <v>346</v>
      </c>
      <c r="C68" s="39">
        <f>IF(B68="","",VLOOKUP(AD68,Varsayımlar!$B:$Q,3,0))</f>
        <v>8698829380698</v>
      </c>
      <c r="D68" s="39">
        <v>49</v>
      </c>
      <c r="E68" s="139" t="s">
        <v>58</v>
      </c>
      <c r="F68" s="54"/>
      <c r="G68" s="54"/>
      <c r="H68" s="54" t="str">
        <f>IF(B68="","",VLOOKUP(AD68,Varsayımlar!$B:$Q,5,0))</f>
        <v>KIRMIZI TORTİLLAS 25 CM</v>
      </c>
      <c r="I68" s="54" t="str">
        <f>IF(B68="","",VLOOKUP(AD68,Varsayımlar!B:T,19,0))</f>
        <v>BARKOD ETİKETİ</v>
      </c>
      <c r="J68" s="54" t="str">
        <f>IF(B68="","",VLOOKUP(AD68,Varsayımlar!$B:$Q,6,0))</f>
        <v>SADE</v>
      </c>
      <c r="K68" s="54">
        <v>504</v>
      </c>
      <c r="L68" s="54"/>
      <c r="M68" s="54">
        <f>IFERROR(IF(B68="","",K68/VLOOKUP(AD68,Varsayımlar!B:R,17,0)),"")</f>
        <v>6</v>
      </c>
      <c r="N68" s="54"/>
      <c r="O68" s="54">
        <v>6</v>
      </c>
      <c r="P68" s="54">
        <f>IF(B68="","",VLOOKUP(AD68,Varsayımlar!$B:$Q,7,0)*K68)</f>
        <v>9072</v>
      </c>
      <c r="Q68" s="54">
        <f>IF(B68="","",VLOOKUP(AD68,Varsayımlar!$B:$Q,8,0))</f>
        <v>25</v>
      </c>
      <c r="R68" s="54" t="str">
        <f>IF(B68="","",VLOOKUP(AD68,Varsayımlar!$B:$Q,9,0))</f>
        <v>IRAK SOFT</v>
      </c>
      <c r="S68" s="54">
        <f>IF(B68="","",VLOOKUP(AD68,Varsayımlar!$B:$Q,10,0))</f>
        <v>6</v>
      </c>
      <c r="T68" s="54">
        <f>IF(B68="","",VLOOKUP(AD68,Varsayımlar!$B:$Q,11,0))</f>
        <v>18</v>
      </c>
      <c r="U68" s="54">
        <f>IF(B68="","",VLOOKUP(AD68,Varsayımlar!$B:$Q,12,0))</f>
        <v>375</v>
      </c>
      <c r="V68" s="54" t="str">
        <f>IF(B68="","",VLOOKUP(AD68,Varsayımlar!$B:$Q,13,0))</f>
        <v>YURTDIŞI</v>
      </c>
      <c r="W68" s="54">
        <f>IF(B68="","",VLOOKUP(AD68,Varsayımlar!$B:$Q,14,0))</f>
        <v>9</v>
      </c>
      <c r="X68" s="56">
        <v>46226</v>
      </c>
      <c r="Y68" s="56">
        <v>46500</v>
      </c>
      <c r="Z68" s="54">
        <v>26072325</v>
      </c>
      <c r="AA68" s="54" t="str">
        <f>IF(B68="","",VLOOKUP(AD68,Varsayımlar!$B:$Q,15,0))</f>
        <v>KIRMIZI - ÜRETİM TARİHLİ ETİKET</v>
      </c>
      <c r="AB68" s="54" t="str">
        <f>IF(B68="","",VLOOKUP(AD68,Varsayımlar!$B:$Q,16,0))</f>
        <v>24-26 CM</v>
      </c>
      <c r="AC68" s="8" t="e">
        <f>IF(B68="","",VLOOKUP(#REF!,#REF!,18,0))</f>
        <v>#REF!</v>
      </c>
      <c r="AD68" s="8" t="str">
        <f>IF(B68="","",CONCATENATE(B68,E68))</f>
        <v>GermesKırmızı Tortillas-Germes-25cm 375g</v>
      </c>
    </row>
    <row r="69" spans="1:30" ht="36" hidden="1" customHeight="1" x14ac:dyDescent="0.25">
      <c r="A69" s="8" t="s">
        <v>91</v>
      </c>
      <c r="B69" s="149" t="s">
        <v>500</v>
      </c>
      <c r="C69" s="149">
        <f>IF(B69="","",VLOOKUP(AD69,Varsayımlar!$B:$Q,3,0))</f>
        <v>8698829380698</v>
      </c>
      <c r="D69" s="149"/>
      <c r="E69" s="149" t="s">
        <v>193</v>
      </c>
      <c r="F69" s="149">
        <v>26062201</v>
      </c>
      <c r="G69" s="149"/>
      <c r="H69" s="149" t="str">
        <f>IF(B69="","",VLOOKUP(AD69,Varsayımlar!$B:$Q,5,0))</f>
        <v>Tortillas 25cm</v>
      </c>
      <c r="I69" s="149">
        <f>IF(B69="","",VLOOKUP(AD69,Varsayımlar!B:T,19,0))</f>
        <v>0</v>
      </c>
      <c r="J69" s="149" t="str">
        <f>IF(B69="","",VLOOKUP(AD69,Varsayımlar!$B:$Q,6,0))</f>
        <v>Sade</v>
      </c>
      <c r="K69" s="149">
        <v>50</v>
      </c>
      <c r="L69" s="149"/>
      <c r="M69" s="149">
        <f>IFERROR(IF(B69="","",K69/VLOOKUP(AD69,Varsayımlar!B:R,17,0)),"")</f>
        <v>1</v>
      </c>
      <c r="N69" s="149"/>
      <c r="O69" s="149">
        <v>1</v>
      </c>
      <c r="P69" s="149">
        <f>IF(B69="","",VLOOKUP(AD69,Varsayımlar!$B:$Q,7,0)*K69)</f>
        <v>600</v>
      </c>
      <c r="Q69" s="149">
        <f>IF(B69="","",VLOOKUP(AD69,Varsayımlar!$B:$Q,8,0))</f>
        <v>25</v>
      </c>
      <c r="R69" s="149" t="str">
        <f>IF(B69="","",VLOOKUP(AD69,Varsayımlar!$B:$Q,9,0))</f>
        <v>Irak Soft</v>
      </c>
      <c r="S69" s="149">
        <f>IF(B69="","",VLOOKUP(AD69,Varsayımlar!$B:$Q,10,0))</f>
        <v>10</v>
      </c>
      <c r="T69" s="149">
        <f>IF(B69="","",VLOOKUP(AD69,Varsayımlar!$B:$Q,11,0))</f>
        <v>12</v>
      </c>
      <c r="U69" s="149">
        <f>IF(B69="","",VLOOKUP(AD69,Varsayımlar!$B:$Q,12,0))</f>
        <v>650</v>
      </c>
      <c r="V69" s="149" t="str">
        <f>IF(B69="","",VLOOKUP(AD69,Varsayımlar!$B:$Q,13,0))</f>
        <v>Yurtdışı</v>
      </c>
      <c r="W69" s="149">
        <f>IF(B69="","",VLOOKUP(AD69,Varsayımlar!$B:$Q,14,0))</f>
        <v>12</v>
      </c>
      <c r="X69" s="151">
        <v>46231</v>
      </c>
      <c r="Y69" s="151">
        <v>46596</v>
      </c>
      <c r="Z69" s="149">
        <v>26072825</v>
      </c>
      <c r="AA69" s="149" t="str">
        <f>IF(B69="","",VLOOKUP(AD69,Varsayımlar!$B:$Q,15,0))</f>
        <v>25cm Kolisi</v>
      </c>
      <c r="AB69" s="149" t="str">
        <f>IF(B69="","",VLOOKUP(AD69,Varsayımlar!$B:$Q,16,0))</f>
        <v>24-26cm</v>
      </c>
      <c r="AC69" s="67"/>
      <c r="AD69" s="57" t="str">
        <f t="shared" ref="AD69:AD71" si="5">IF(B69="","",CONCATENATE(B69,E69))</f>
        <v>Fama GroupTortillas 25cm 10pcs 650g</v>
      </c>
    </row>
    <row r="70" spans="1:30" ht="33.75" hidden="1" customHeight="1" x14ac:dyDescent="0.25">
      <c r="A70" s="8" t="s">
        <v>92</v>
      </c>
      <c r="B70" s="67" t="s">
        <v>460</v>
      </c>
      <c r="C70" s="42">
        <f>IF(B70="","",VLOOKUP(AD70,Varsayımlar!$B:$Q,3,0))</f>
        <v>8698829380698</v>
      </c>
      <c r="D70" s="67" t="s">
        <v>539</v>
      </c>
      <c r="E70" s="67" t="s">
        <v>468</v>
      </c>
      <c r="F70" s="67">
        <v>20260626</v>
      </c>
      <c r="G70" s="67"/>
      <c r="H70" s="67" t="str">
        <f>IF(B70="","",VLOOKUP(AD70,Varsayımlar!$B:$Q,5,0))</f>
        <v>Tortillove 25cm</v>
      </c>
      <c r="I70" s="67">
        <f>IF(B70="","",VLOOKUP(AD70,Varsayımlar!B:T,19,0))</f>
        <v>0</v>
      </c>
      <c r="J70" s="67" t="str">
        <f>IF(B70="","",VLOOKUP(AD70,Varsayımlar!$B:$Q,6,0))</f>
        <v>SADE</v>
      </c>
      <c r="K70" s="67">
        <v>100</v>
      </c>
      <c r="L70" s="67"/>
      <c r="M70" s="67">
        <f>IFERROR(IF(B70="","",K70/VLOOKUP(AD70,Varsayımlar!B:R,17,0)),"")</f>
        <v>1</v>
      </c>
      <c r="N70" s="67"/>
      <c r="O70" s="67">
        <v>2</v>
      </c>
      <c r="P70" s="67">
        <f>IF(B70="","",VLOOKUP(AD70,Varsayımlar!$B:$Q,7,0)*K70)</f>
        <v>1200</v>
      </c>
      <c r="Q70" s="67">
        <f>IF(B70="","",VLOOKUP(AD70,Varsayımlar!$B:$Q,8,0))</f>
        <v>25</v>
      </c>
      <c r="R70" s="67" t="str">
        <f>IF(B70="","",VLOOKUP(AD70,Varsayımlar!$B:$Q,9,0))</f>
        <v>Irak Soft</v>
      </c>
      <c r="S70" s="67">
        <f>IF(B70="","",VLOOKUP(AD70,Varsayımlar!$B:$Q,10,0))</f>
        <v>10</v>
      </c>
      <c r="T70" s="67">
        <f>IF(B70="","",VLOOKUP(AD70,Varsayımlar!$B:$Q,11,0))</f>
        <v>12</v>
      </c>
      <c r="U70" s="67">
        <f>IF(B70="","",VLOOKUP(AD70,Varsayımlar!$B:$Q,12,0))</f>
        <v>650</v>
      </c>
      <c r="V70" s="67" t="str">
        <f>IF(B70="","",VLOOKUP(AD70,Varsayımlar!$B:$Q,13,0))</f>
        <v>Yurtdışı</v>
      </c>
      <c r="W70" s="67">
        <f>IF(B70="","",VLOOKUP(AD70,Varsayımlar!$B:$Q,14,0))</f>
        <v>6</v>
      </c>
      <c r="X70" s="69"/>
      <c r="Y70" s="69"/>
      <c r="Z70" s="67"/>
      <c r="AA70" s="67" t="str">
        <f>IF(B70="","",VLOOKUP(AD70,Varsayımlar!$B:$Q,15,0))</f>
        <v>25cm Kırmızı Koli</v>
      </c>
      <c r="AB70" s="67" t="str">
        <f>IF(B70="","",VLOOKUP(AD70,Varsayımlar!$B:$Q,16,0))</f>
        <v>24-26 cm</v>
      </c>
      <c r="AC70" s="75">
        <f>IF(B70="","",VLOOKUP(Sayfa1!AD69,Varsayımlar!B:S,18,0))</f>
        <v>0</v>
      </c>
      <c r="AD70" s="57" t="str">
        <f t="shared" si="5"/>
        <v>Yüksekbaş GıdaYüksekbaş 25cm 10pcs 650g</v>
      </c>
    </row>
    <row r="71" spans="1:30" ht="31.5" hidden="1" x14ac:dyDescent="0.25">
      <c r="A71" s="8" t="s">
        <v>93</v>
      </c>
      <c r="B71" s="42" t="s">
        <v>460</v>
      </c>
      <c r="C71" s="42">
        <f>IF(B71="","",VLOOKUP(AD71,Varsayımlar!$B:$Q,3,0))</f>
        <v>8698829380698</v>
      </c>
      <c r="D71" s="42" t="s">
        <v>539</v>
      </c>
      <c r="E71" s="42" t="s">
        <v>471</v>
      </c>
      <c r="F71" s="42">
        <v>20260626</v>
      </c>
      <c r="G71" s="42"/>
      <c r="H71" s="42" t="str">
        <f>IF(B71="","",VLOOKUP(AD71,Varsayımlar!$B:$Q,5,0))</f>
        <v>Tortillove Tam Buğday 25cm</v>
      </c>
      <c r="I71" s="42">
        <f>IF(B71="","",VLOOKUP(AD71,Varsayımlar!B:T,19,0))</f>
        <v>0</v>
      </c>
      <c r="J71" s="42" t="str">
        <f>IF(B71="","",VLOOKUP(AD71,Varsayımlar!$B:$Q,6,0))</f>
        <v>Tam Buğdaylı</v>
      </c>
      <c r="K71" s="42">
        <v>500</v>
      </c>
      <c r="L71" s="42"/>
      <c r="M71" s="42">
        <f>IFERROR(IF(B71="","",K71/VLOOKUP(AD71,Varsayımlar!B:R,17,0)),"")</f>
        <v>5</v>
      </c>
      <c r="N71" s="42"/>
      <c r="O71" s="42">
        <v>7</v>
      </c>
      <c r="P71" s="42">
        <f>IF(B71="","",VLOOKUP(AD71,Varsayımlar!$B:$Q,7,0)*K71)</f>
        <v>6000</v>
      </c>
      <c r="Q71" s="42">
        <f>IF(B71="","",VLOOKUP(AD71,Varsayımlar!$B:$Q,8,0))</f>
        <v>25</v>
      </c>
      <c r="R71" s="42" t="str">
        <f>IF(B71="","",VLOOKUP(AD71,Varsayımlar!$B:$Q,9,0))</f>
        <v>Irak Soft</v>
      </c>
      <c r="S71" s="42">
        <f>IF(B71="","",VLOOKUP(AD71,Varsayımlar!$B:$Q,10,0))</f>
        <v>10</v>
      </c>
      <c r="T71" s="42">
        <f>IF(B71="","",VLOOKUP(AD71,Varsayımlar!$B:$Q,11,0))</f>
        <v>12</v>
      </c>
      <c r="U71" s="42">
        <f>IF(B71="","",VLOOKUP(AD71,Varsayımlar!$B:$Q,12,0))</f>
        <v>650</v>
      </c>
      <c r="V71" s="42" t="str">
        <f>IF(B71="","",VLOOKUP(AD71,Varsayımlar!$B:$Q,13,0))</f>
        <v>Yurtdışı</v>
      </c>
      <c r="W71" s="42">
        <f>IF(B71="","",VLOOKUP(AD71,Varsayımlar!$B:$Q,14,0))</f>
        <v>6</v>
      </c>
      <c r="X71" s="69"/>
      <c r="Y71" s="69"/>
      <c r="Z71" s="42"/>
      <c r="AA71" s="42" t="str">
        <f>IF(B71="","",VLOOKUP(AD71,Varsayımlar!$B:$Q,15,0))</f>
        <v>25cm Kırmızı Koli-Etiketli</v>
      </c>
      <c r="AB71" s="42" t="str">
        <f>IF(B71="","",VLOOKUP(AD71,Varsayımlar!$B:$Q,16,0))</f>
        <v>24-26 cm</v>
      </c>
      <c r="AC71" s="75">
        <f>IF(B71="","",VLOOKUP(Sayfa1!AD69,Varsayımlar!B:S,18,0))</f>
        <v>0</v>
      </c>
      <c r="AD71" s="57" t="str">
        <f t="shared" si="5"/>
        <v>Yüksekbaş GıdaYüksekbaş TB 25cm 10pcs 650g</v>
      </c>
    </row>
    <row r="72" spans="1:30" ht="36" hidden="1" customHeight="1" x14ac:dyDescent="0.25">
      <c r="A72" s="8" t="s">
        <v>135</v>
      </c>
      <c r="B72" s="67"/>
      <c r="C72" s="42" t="str">
        <f>IF(B72="","",VLOOKUP(AD72,#REF!,3,0))</f>
        <v/>
      </c>
      <c r="D72" s="42"/>
      <c r="E72" s="42"/>
      <c r="F72" s="67"/>
      <c r="G72" s="67"/>
      <c r="H72" s="67" t="str">
        <f>IF(B72="","",VLOOKUP(AD72,#REF!,5,0))</f>
        <v/>
      </c>
      <c r="I72" s="67" t="str">
        <f>IF(B72="","",VLOOKUP(AD72,#REF!,19,0))</f>
        <v/>
      </c>
      <c r="J72" s="67" t="str">
        <f>IF(B72="","",VLOOKUP(AD72,#REF!,6,0))</f>
        <v/>
      </c>
      <c r="K72" s="67"/>
      <c r="L72" s="67"/>
      <c r="M72" s="42" t="str">
        <f>IFERROR(IF(B72="","",K72/VLOOKUP(AD72,Varsayımlar!B:R,17,0)),"")</f>
        <v/>
      </c>
      <c r="N72" s="67"/>
      <c r="O72" s="67"/>
      <c r="P72" s="67" t="str">
        <f>IF(B72="","",VLOOKUP(AD72,#REF!,7,0)*K72)</f>
        <v/>
      </c>
      <c r="Q72" s="67" t="str">
        <f>IF(B72="","",VLOOKUP(AD72,#REF!,8,0))</f>
        <v/>
      </c>
      <c r="R72" s="67" t="str">
        <f>IF(B72="","",VLOOKUP(AD72,#REF!,9,0))</f>
        <v/>
      </c>
      <c r="S72" s="67" t="str">
        <f>IF(B72="","",VLOOKUP(AD72,#REF!,10,0))</f>
        <v/>
      </c>
      <c r="T72" s="67" t="str">
        <f>IF(B72="","",VLOOKUP(AD72,#REF!,11,0))</f>
        <v/>
      </c>
      <c r="U72" s="67" t="str">
        <f>IF(B72="","",VLOOKUP(AD72,#REF!,12,0))</f>
        <v/>
      </c>
      <c r="V72" s="67" t="str">
        <f>IF(B72="","",VLOOKUP(AD72,#REF!,13,0))</f>
        <v/>
      </c>
      <c r="W72" s="67" t="str">
        <f>IF(B72="","",VLOOKUP(AD72,#REF!,14,0))</f>
        <v/>
      </c>
      <c r="X72" s="69"/>
      <c r="Y72" s="69"/>
      <c r="Z72" s="67"/>
      <c r="AA72" s="67" t="str">
        <f>IF(B72="","",VLOOKUP(AD72,#REF!,15,0))</f>
        <v/>
      </c>
      <c r="AB72" s="67" t="str">
        <f>IF(B72="","",VLOOKUP(AD72,#REF!,16,0))</f>
        <v/>
      </c>
      <c r="AC72" s="145"/>
      <c r="AD72" s="57"/>
    </row>
    <row r="73" spans="1:30" ht="36" hidden="1" customHeight="1" x14ac:dyDescent="0.25">
      <c r="A73" s="8" t="s">
        <v>136</v>
      </c>
      <c r="B73" s="67"/>
      <c r="C73" s="42" t="str">
        <f>IF(B73="","",VLOOKUP(AD73,#REF!,3,0))</f>
        <v/>
      </c>
      <c r="D73" s="42"/>
      <c r="E73" s="42"/>
      <c r="F73" s="67"/>
      <c r="G73" s="67"/>
      <c r="H73" s="67" t="str">
        <f>IF(B73="","",VLOOKUP(AD73,#REF!,5,0))</f>
        <v/>
      </c>
      <c r="I73" s="67" t="str">
        <f>IF(B73="","",VLOOKUP(AD73,#REF!,19,0))</f>
        <v/>
      </c>
      <c r="J73" s="67" t="str">
        <f>IF(B73="","",VLOOKUP(AD73,#REF!,6,0))</f>
        <v/>
      </c>
      <c r="K73" s="67"/>
      <c r="L73" s="67"/>
      <c r="M73" s="42" t="str">
        <f>IFERROR(IF(B73="","",K73/VLOOKUP(AD73,Varsayımlar!B:R,17,0)),"")</f>
        <v/>
      </c>
      <c r="N73" s="67"/>
      <c r="O73" s="67"/>
      <c r="P73" s="67" t="str">
        <f>IF(B73="","",VLOOKUP(AD73,#REF!,7,0)*K73)</f>
        <v/>
      </c>
      <c r="Q73" s="67" t="str">
        <f>IF(B73="","",VLOOKUP(AD73,#REF!,8,0))</f>
        <v/>
      </c>
      <c r="R73" s="67" t="str">
        <f>IF(B73="","",VLOOKUP(AD73,#REF!,9,0))</f>
        <v/>
      </c>
      <c r="S73" s="67" t="str">
        <f>IF(B73="","",VLOOKUP(AD73,#REF!,10,0))</f>
        <v/>
      </c>
      <c r="T73" s="67" t="str">
        <f>IF(B73="","",VLOOKUP(AD73,#REF!,11,0))</f>
        <v/>
      </c>
      <c r="U73" s="67" t="str">
        <f>IF(B73="","",VLOOKUP(AD73,#REF!,12,0))</f>
        <v/>
      </c>
      <c r="V73" s="67" t="str">
        <f>IF(B73="","",VLOOKUP(AD73,#REF!,13,0))</f>
        <v/>
      </c>
      <c r="W73" s="67" t="str">
        <f>IF(B73="","",VLOOKUP(AD73,#REF!,14,0))</f>
        <v/>
      </c>
      <c r="X73" s="69"/>
      <c r="Y73" s="69"/>
      <c r="Z73" s="67"/>
      <c r="AA73" s="67" t="str">
        <f>IF(B73="","",VLOOKUP(AD73,#REF!,15,0))</f>
        <v/>
      </c>
      <c r="AB73" s="67" t="str">
        <f>IF(B73="","",VLOOKUP(AD73,#REF!,16,0))</f>
        <v/>
      </c>
      <c r="AC73" s="145"/>
      <c r="AD73" s="57"/>
    </row>
    <row r="74" spans="1:30" ht="36" hidden="1" customHeight="1" x14ac:dyDescent="0.25">
      <c r="A74" s="8" t="s">
        <v>137</v>
      </c>
      <c r="B74" s="67"/>
      <c r="C74" s="42" t="str">
        <f>IF(B74="","",VLOOKUP(AD74,#REF!,3,0))</f>
        <v/>
      </c>
      <c r="D74" s="42"/>
      <c r="E74" s="42"/>
      <c r="F74" s="67"/>
      <c r="G74" s="67"/>
      <c r="H74" s="67" t="str">
        <f>IF(B74="","",VLOOKUP(AD74,#REF!,5,0))</f>
        <v/>
      </c>
      <c r="I74" s="67" t="str">
        <f>IF(B74="","",VLOOKUP(AD74,#REF!,19,0))</f>
        <v/>
      </c>
      <c r="J74" s="67" t="str">
        <f>IF(B74="","",VLOOKUP(AD74,#REF!,6,0))</f>
        <v/>
      </c>
      <c r="K74" s="67"/>
      <c r="L74" s="67"/>
      <c r="M74" s="42" t="str">
        <f>IFERROR(IF(B74="","",K74/VLOOKUP(AD74,Varsayımlar!B:R,17,0)),"")</f>
        <v/>
      </c>
      <c r="N74" s="67"/>
      <c r="O74" s="67"/>
      <c r="P74" s="67" t="str">
        <f>IF(B74="","",VLOOKUP(AD74,#REF!,7,0)*K74)</f>
        <v/>
      </c>
      <c r="Q74" s="67" t="str">
        <f>IF(B74="","",VLOOKUP(AD74,#REF!,8,0))</f>
        <v/>
      </c>
      <c r="R74" s="67" t="str">
        <f>IF(B74="","",VLOOKUP(AD74,#REF!,9,0))</f>
        <v/>
      </c>
      <c r="S74" s="67" t="str">
        <f>IF(B74="","",VLOOKUP(AD74,#REF!,10,0))</f>
        <v/>
      </c>
      <c r="T74" s="67" t="str">
        <f>IF(B74="","",VLOOKUP(AD74,#REF!,11,0))</f>
        <v/>
      </c>
      <c r="U74" s="67" t="str">
        <f>IF(B74="","",VLOOKUP(AD74,#REF!,12,0))</f>
        <v/>
      </c>
      <c r="V74" s="67" t="str">
        <f>IF(B74="","",VLOOKUP(AD74,#REF!,13,0))</f>
        <v/>
      </c>
      <c r="W74" s="67" t="str">
        <f>IF(B74="","",VLOOKUP(AD74,#REF!,14,0))</f>
        <v/>
      </c>
      <c r="X74" s="69"/>
      <c r="Y74" s="69"/>
      <c r="Z74" s="67"/>
      <c r="AA74" s="67" t="str">
        <f>IF(B74="","",VLOOKUP(AD74,#REF!,15,0))</f>
        <v/>
      </c>
      <c r="AB74" s="67" t="str">
        <f>IF(B74="","",VLOOKUP(AD74,#REF!,16,0))</f>
        <v/>
      </c>
      <c r="AC74" s="145"/>
      <c r="AD74" s="57"/>
    </row>
    <row r="75" spans="1:30" x14ac:dyDescent="0.25">
      <c r="C75" s="141" t="str">
        <f>IF(B75="","",VLOOKUP(AD75,Varsayımlar!$B:$Q,3,0))</f>
        <v/>
      </c>
      <c r="H75" s="140" t="str">
        <f>IF(B75="","",VLOOKUP(AD75,Varsayımlar!$B:$Q,5,0))</f>
        <v/>
      </c>
      <c r="J75" s="140" t="str">
        <f>IF(B75="","",VLOOKUP(AD75,Varsayımlar!$B:$Q,6,0))</f>
        <v/>
      </c>
      <c r="P75" s="140" t="str">
        <f>IF(B75="","",VLOOKUP(AD75,Varsayımlar!$B:$Q,7,0)*K75)</f>
        <v/>
      </c>
      <c r="Q75" s="140" t="str">
        <f>IF(B75="","",VLOOKUP(AD75,Varsayımlar!$B:$Q,8,0))</f>
        <v/>
      </c>
      <c r="R75" s="140" t="str">
        <f>IF(B75="","",VLOOKUP(AD75,Varsayımlar!$B:$Q,9,0))</f>
        <v/>
      </c>
      <c r="S75" s="140" t="str">
        <f>IF(B75="","",VLOOKUP(AD75,Varsayımlar!$B:$Q,10,0))</f>
        <v/>
      </c>
      <c r="T75" s="140" t="str">
        <f>IF(B75="","",VLOOKUP(AD75,Varsayımlar!$B:$Q,11,0))</f>
        <v/>
      </c>
      <c r="U75" s="140" t="str">
        <f>IF(B75="","",VLOOKUP(AD75,Varsayımlar!$B:$Q,12,0))</f>
        <v/>
      </c>
      <c r="V75" s="140" t="str">
        <f>IF(B75="","",VLOOKUP(AD75,Varsayımlar!$B:$Q,13,0))</f>
        <v/>
      </c>
      <c r="W75" s="140" t="str">
        <f>IF(B75="","",VLOOKUP(AD75,Varsayımlar!$B:$Q,14,0))</f>
        <v/>
      </c>
      <c r="AA75" s="140" t="str">
        <f>IF(B75="","",VLOOKUP(AD75,Varsayımlar!$B:$Q,15,0))</f>
        <v/>
      </c>
      <c r="AB75" s="140" t="str">
        <f>IF(B75="","",VLOOKUP(AD75,Varsayımlar!$B:$Q,16,0))</f>
        <v/>
      </c>
      <c r="AD75" s="140" t="str">
        <f t="shared" si="4"/>
        <v/>
      </c>
    </row>
    <row r="76" spans="1:30" ht="31.5" customHeight="1" x14ac:dyDescent="0.25">
      <c r="A76" s="182" t="s">
        <v>345</v>
      </c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4"/>
      <c r="AC76" s="38"/>
    </row>
    <row r="77" spans="1:30" ht="63" x14ac:dyDescent="0.25">
      <c r="A77" s="8" t="s">
        <v>0</v>
      </c>
      <c r="B77" s="8" t="s">
        <v>1</v>
      </c>
      <c r="C77" s="9" t="s">
        <v>31</v>
      </c>
      <c r="D77" s="9" t="s">
        <v>124</v>
      </c>
      <c r="E77" s="9" t="s">
        <v>36</v>
      </c>
      <c r="F77" s="8" t="s">
        <v>37</v>
      </c>
      <c r="G77" s="8" t="s">
        <v>13</v>
      </c>
      <c r="H77" s="8" t="s">
        <v>2</v>
      </c>
      <c r="I77" s="8" t="s">
        <v>49</v>
      </c>
      <c r="J77" s="8" t="s">
        <v>3</v>
      </c>
      <c r="K77" s="8" t="s">
        <v>21</v>
      </c>
      <c r="L77" s="8" t="s">
        <v>94</v>
      </c>
      <c r="M77" s="8" t="s">
        <v>20</v>
      </c>
      <c r="N77" s="8" t="s">
        <v>165</v>
      </c>
      <c r="O77" s="8" t="s">
        <v>123</v>
      </c>
      <c r="P77" s="8" t="s">
        <v>16</v>
      </c>
      <c r="Q77" s="8" t="s">
        <v>4</v>
      </c>
      <c r="R77" s="8" t="s">
        <v>5</v>
      </c>
      <c r="S77" s="8" t="s">
        <v>6</v>
      </c>
      <c r="T77" s="8" t="s">
        <v>28</v>
      </c>
      <c r="U77" s="8" t="s">
        <v>7</v>
      </c>
      <c r="V77" s="8" t="s">
        <v>8</v>
      </c>
      <c r="W77" s="8" t="s">
        <v>9</v>
      </c>
      <c r="X77" s="8" t="s">
        <v>10</v>
      </c>
      <c r="Y77" s="8" t="s">
        <v>11</v>
      </c>
      <c r="Z77" s="8" t="s">
        <v>12</v>
      </c>
      <c r="AA77" s="8" t="s">
        <v>14</v>
      </c>
      <c r="AB77" s="8" t="s">
        <v>15</v>
      </c>
      <c r="AC77" s="8" t="s">
        <v>208</v>
      </c>
      <c r="AD77" s="140" t="s">
        <v>41</v>
      </c>
    </row>
    <row r="78" spans="1:30" ht="45.75" customHeight="1" x14ac:dyDescent="0.25">
      <c r="A78" s="8" t="s">
        <v>26</v>
      </c>
      <c r="B78" s="130" t="s">
        <v>119</v>
      </c>
      <c r="C78" s="131">
        <f>IF(B78="","",VLOOKUP(AD78,Varsayımlar!$B:$Q,3,0))</f>
        <v>8698829380698</v>
      </c>
      <c r="D78" s="131"/>
      <c r="E78" s="132" t="s">
        <v>120</v>
      </c>
      <c r="F78" s="130"/>
      <c r="G78" s="130"/>
      <c r="H78" s="130" t="str">
        <f>IF(B78="","",VLOOKUP(AD78,Varsayımlar!$B:$Q,5,0))</f>
        <v>Nimet 25 cm</v>
      </c>
      <c r="I78" s="130"/>
      <c r="J78" s="130" t="str">
        <f>IF(B78="","",VLOOKUP(AD78,Varsayımlar!$B:$Q,6,0))</f>
        <v>SADE</v>
      </c>
      <c r="K78" s="130">
        <v>1500</v>
      </c>
      <c r="L78" s="130"/>
      <c r="M78" s="130">
        <f>IFERROR(IF(B78="","",K78/VLOOKUP(AD78,Varsayımlar!B:R,17,0)),"")</f>
        <v>30</v>
      </c>
      <c r="N78" s="130"/>
      <c r="O78" s="130">
        <v>30</v>
      </c>
      <c r="P78" s="130">
        <f>IF(B78="","",VLOOKUP(AD78,Varsayımlar!$B:$Q,7,0)*K78)</f>
        <v>18000</v>
      </c>
      <c r="Q78" s="130">
        <f>IF(B78="","",VLOOKUP(AD78,Varsayımlar!$B:$Q,8,0))</f>
        <v>25</v>
      </c>
      <c r="R78" s="130" t="str">
        <f>IF(B78="","",VLOOKUP(AD78,Varsayımlar!$B:$Q,9,0))</f>
        <v>Standart</v>
      </c>
      <c r="S78" s="130">
        <f>IF(B78="","",VLOOKUP(AD78,Varsayımlar!$B:$Q,10,0))</f>
        <v>12</v>
      </c>
      <c r="T78" s="130">
        <f>IF(B78="","",VLOOKUP(AD78,Varsayımlar!$B:$Q,11,0))</f>
        <v>12</v>
      </c>
      <c r="U78" s="130">
        <f>IF(B78="","",VLOOKUP(AD78,Varsayımlar!$B:$Q,12,0))</f>
        <v>840</v>
      </c>
      <c r="V78" s="130" t="str">
        <f>IF(B78="","",VLOOKUP(AD78,Varsayımlar!$B:$Q,13,0))</f>
        <v>YURTİÇİ</v>
      </c>
      <c r="W78" s="130">
        <f>IF(B78="","",VLOOKUP(AD78,Varsayımlar!$B:$Q,14,0))</f>
        <v>5</v>
      </c>
      <c r="X78" s="133" t="s">
        <v>113</v>
      </c>
      <c r="Y78" s="133" t="s">
        <v>113</v>
      </c>
      <c r="Z78" s="130" t="s">
        <v>113</v>
      </c>
      <c r="AA78" s="130" t="str">
        <f>IF(B78="","",VLOOKUP(AD78,Varsayımlar!$B:$Q,15,0))</f>
        <v>Nimet Kolisi</v>
      </c>
      <c r="AB78" s="130" t="str">
        <f>IF(B78="","",VLOOKUP(AD78,Varsayımlar!$B:$Q,16,0))</f>
        <v>24-26 CM</v>
      </c>
      <c r="AC78" s="64" t="s">
        <v>360</v>
      </c>
      <c r="AD78" s="57" t="str">
        <f t="shared" ref="AD78:AD87" si="6">IF(B78="","",CONCATENATE(B78,E78))</f>
        <v>A101Nimet 25cm 12 pcs 840g</v>
      </c>
    </row>
    <row r="79" spans="1:30" ht="45.75" customHeight="1" x14ac:dyDescent="0.25">
      <c r="A79" s="8"/>
      <c r="B79" s="190" t="s">
        <v>542</v>
      </c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2"/>
      <c r="AC79" s="64"/>
      <c r="AD79" s="57"/>
    </row>
    <row r="80" spans="1:30" ht="47.25" x14ac:dyDescent="0.25">
      <c r="A80" s="8" t="s">
        <v>77</v>
      </c>
      <c r="B80" s="67" t="s">
        <v>268</v>
      </c>
      <c r="C80" s="42">
        <f>IF(B80="","",VLOOKUP(AD80,Varsayımlar!$B:$Q,3,0))</f>
        <v>8698829380698</v>
      </c>
      <c r="D80" s="42" t="s">
        <v>159</v>
      </c>
      <c r="E80" s="42" t="s">
        <v>244</v>
      </c>
      <c r="F80" s="67">
        <v>20250825</v>
      </c>
      <c r="G80" s="42" t="s">
        <v>68</v>
      </c>
      <c r="H80" s="67" t="str">
        <f>IF(B80="","",VLOOKUP(AD80,Varsayımlar!$B:$Q,5,0))</f>
        <v xml:space="preserve">Tortillas Pizza 26cm </v>
      </c>
      <c r="I80" s="67">
        <f>IF(B80="","",VLOOKUP(AD80,Varsayımlar!B:T,19,0))</f>
        <v>0</v>
      </c>
      <c r="J80" s="67" t="str">
        <f>IF(B80="","",VLOOKUP(AD80,Varsayımlar!$B:$Q,6,0))</f>
        <v>SADE</v>
      </c>
      <c r="K80" s="67">
        <v>960</v>
      </c>
      <c r="L80" s="67"/>
      <c r="M80" s="67">
        <f>IFERROR(IF(B80="","",K80/VLOOKUP(AD80,Varsayımlar!B:R,17,0)),"")</f>
        <v>5</v>
      </c>
      <c r="N80" s="67"/>
      <c r="O80" s="67">
        <v>11</v>
      </c>
      <c r="P80" s="67">
        <f>IF(B80="","",VLOOKUP(AD80,Varsayımlar!$B:$Q,7,0)*K80)</f>
        <v>11520</v>
      </c>
      <c r="Q80" s="67">
        <f>IF(B80="","",VLOOKUP(AD80,Varsayımlar!$B:$Q,8,0))</f>
        <v>26</v>
      </c>
      <c r="R80" s="67" t="str">
        <f>IF(B80="","",VLOOKUP(AD80,Varsayımlar!$B:$Q,9,0))</f>
        <v>Soft-PA3</v>
      </c>
      <c r="S80" s="67">
        <f>IF(B80="","",VLOOKUP(AD80,Varsayımlar!$B:$Q,10,0))</f>
        <v>2</v>
      </c>
      <c r="T80" s="67">
        <f>IF(B80="","",VLOOKUP(AD80,Varsayımlar!$B:$Q,11,0))</f>
        <v>12</v>
      </c>
      <c r="U80" s="67">
        <f>IF(B80="","",VLOOKUP(AD80,Varsayımlar!$B:$Q,12,0))</f>
        <v>240</v>
      </c>
      <c r="V80" s="67" t="str">
        <f>IF(B80="","",VLOOKUP(AD80,Varsayımlar!$B:$Q,13,0))</f>
        <v>Yurtdışı</v>
      </c>
      <c r="W80" s="67">
        <f>IF(B80="","",VLOOKUP(AD80,Varsayımlar!$B:$Q,14,0))</f>
        <v>9</v>
      </c>
      <c r="X80" s="69">
        <v>46199</v>
      </c>
      <c r="Y80" s="69">
        <v>46472</v>
      </c>
      <c r="Z80" s="67">
        <v>26062626</v>
      </c>
      <c r="AA80" s="67" t="str">
        <f>IF(B80="","",VLOOKUP(AD80,Varsayımlar!$B:$Q,15,0))</f>
        <v>26 cm pizza kolisi-Etiketli</v>
      </c>
      <c r="AB80" s="67" t="str">
        <f>IF(B80="","",VLOOKUP(AD80,Varsayımlar!$B:$Q,16,0))</f>
        <v>24-26 cm (Macca Hetto Inkjet Uzun Tarih)</v>
      </c>
      <c r="AC80" s="67" t="e">
        <f>IF(B80="","",VLOOKUP(Sayfa1!AD83,Varsayımlar!B:S,18,0))</f>
        <v>#N/A</v>
      </c>
      <c r="AD80" s="57" t="str">
        <f t="shared" si="6"/>
        <v>LAIKYUZHN-BELARUSTortillas Pizza 26cm 4pcs 480g</v>
      </c>
    </row>
    <row r="81" spans="1:30" ht="94.5" x14ac:dyDescent="0.25">
      <c r="A81" s="8" t="s">
        <v>78</v>
      </c>
      <c r="B81" s="62" t="s">
        <v>181</v>
      </c>
      <c r="C81" s="32">
        <f>IF(B81="","",VLOOKUP(AD81,Varsayımlar!$B:$Q,3,0))</f>
        <v>8698829380698</v>
      </c>
      <c r="D81" s="32"/>
      <c r="E81" s="62" t="s">
        <v>206</v>
      </c>
      <c r="F81" s="62">
        <v>26060101</v>
      </c>
      <c r="G81" s="32"/>
      <c r="H81" s="62" t="str">
        <f>IF(B81="","",VLOOKUP(AD81,Varsayımlar!$B:$Q,5,0))</f>
        <v>Pizza-6 26 cm</v>
      </c>
      <c r="I81" s="62" t="str">
        <f>IF(B81="","",VLOOKUP(AD81,Varsayımlar!B:T,19,0))</f>
        <v>Arka kısma Arnavutça içerik-Pizza 6</v>
      </c>
      <c r="J81" s="62" t="str">
        <f>IF(B81="","",VLOOKUP(AD81,Varsayımlar!$B:$Q,6,0))</f>
        <v>SADE</v>
      </c>
      <c r="K81" s="62">
        <v>120</v>
      </c>
      <c r="L81" s="62"/>
      <c r="M81" s="62">
        <f>IFERROR(IF(B81="","",K81/VLOOKUP(AD81,Varsayımlar!B:R,17,0)),"")</f>
        <v>1</v>
      </c>
      <c r="N81" s="62"/>
      <c r="O81" s="62">
        <v>2</v>
      </c>
      <c r="P81" s="62">
        <f>IF(B81="","",VLOOKUP(AD81,Varsayımlar!$B:$Q,7,0)*K81)</f>
        <v>720</v>
      </c>
      <c r="Q81" s="62">
        <f>IF(B81="","",VLOOKUP(AD81,Varsayımlar!$B:$Q,8,0))</f>
        <v>26</v>
      </c>
      <c r="R81" s="62" t="str">
        <f>IF(B81="","",VLOOKUP(AD81,Varsayımlar!$B:$Q,9,0))</f>
        <v>Irak Soft</v>
      </c>
      <c r="S81" s="62">
        <f>IF(B81="","",VLOOKUP(AD81,Varsayımlar!$B:$Q,10,0))</f>
        <v>4</v>
      </c>
      <c r="T81" s="62">
        <f>IF(B81="","",VLOOKUP(AD81,Varsayımlar!$B:$Q,11,0))</f>
        <v>6</v>
      </c>
      <c r="U81" s="62">
        <f>IF(B81="","",VLOOKUP(AD81,Varsayımlar!$B:$Q,12,0))</f>
        <v>480</v>
      </c>
      <c r="V81" s="62" t="str">
        <f>IF(B81="","",VLOOKUP(AD81,Varsayımlar!$B:$Q,13,0))</f>
        <v>YURTDIŞI</v>
      </c>
      <c r="W81" s="62">
        <f>IF(B81="","",VLOOKUP(AD81,Varsayımlar!$B:$Q,14,0))</f>
        <v>12</v>
      </c>
      <c r="X81" s="63">
        <v>46200</v>
      </c>
      <c r="Y81" s="63">
        <v>46565</v>
      </c>
      <c r="Z81" s="62">
        <v>26062726</v>
      </c>
      <c r="AA81" s="62" t="str">
        <f>IF(B81="","",VLOOKUP(AD81,Varsayımlar!$B:$Q,15,0))</f>
        <v>Pizza kolisi</v>
      </c>
      <c r="AB81" s="62" t="str">
        <f>IF(B81="","",VLOOKUP(AD81,Varsayımlar!$B:$Q,16,0))</f>
        <v>26 cm kesme -Beze 145-150g, Kesilmmeiş çap 27-28cm, Kesilmemiş ağı: 520-540g, Kesilmiş:475-485g</v>
      </c>
      <c r="AC81" s="62">
        <f>IF(B81="","",VLOOKUP(Sayfa1!AD84,Varsayımlar!B:S,18,0))</f>
        <v>0</v>
      </c>
      <c r="AD81" s="57" t="str">
        <f t="shared" si="6"/>
        <v>ALDİ - KOSOVAPizza-6 26cm 4pcs 480g</v>
      </c>
    </row>
    <row r="82" spans="1:30" ht="45.75" customHeight="1" x14ac:dyDescent="0.25">
      <c r="A82" s="8" t="s">
        <v>79</v>
      </c>
      <c r="B82" s="130" t="s">
        <v>119</v>
      </c>
      <c r="C82" s="131">
        <f>IF(B82="","",VLOOKUP(AD82,Varsayımlar!$B:$Q,3,0))</f>
        <v>8698829380698</v>
      </c>
      <c r="D82" s="131"/>
      <c r="E82" s="132" t="s">
        <v>120</v>
      </c>
      <c r="F82" s="130"/>
      <c r="G82" s="130"/>
      <c r="H82" s="130" t="str">
        <f>IF(B82="","",VLOOKUP(AD82,Varsayımlar!$B:$Q,5,0))</f>
        <v>Nimet 25 cm</v>
      </c>
      <c r="I82" s="130"/>
      <c r="J82" s="130" t="str">
        <f>IF(B82="","",VLOOKUP(AD82,Varsayımlar!$B:$Q,6,0))</f>
        <v>SADE</v>
      </c>
      <c r="K82" s="130">
        <v>1500</v>
      </c>
      <c r="L82" s="130"/>
      <c r="M82" s="130">
        <f>IFERROR(IF(B82="","",K82/VLOOKUP(AD82,Varsayımlar!B:R,17,0)),"")</f>
        <v>30</v>
      </c>
      <c r="N82" s="130"/>
      <c r="O82" s="130">
        <v>30</v>
      </c>
      <c r="P82" s="130">
        <f>IF(B82="","",VLOOKUP(AD82,Varsayımlar!$B:$Q,7,0)*K82)</f>
        <v>18000</v>
      </c>
      <c r="Q82" s="130">
        <f>IF(B82="","",VLOOKUP(AD82,Varsayımlar!$B:$Q,8,0))</f>
        <v>25</v>
      </c>
      <c r="R82" s="130" t="str">
        <f>IF(B82="","",VLOOKUP(AD82,Varsayımlar!$B:$Q,9,0))</f>
        <v>Standart</v>
      </c>
      <c r="S82" s="130">
        <f>IF(B82="","",VLOOKUP(AD82,Varsayımlar!$B:$Q,10,0))</f>
        <v>12</v>
      </c>
      <c r="T82" s="130">
        <f>IF(B82="","",VLOOKUP(AD82,Varsayımlar!$B:$Q,11,0))</f>
        <v>12</v>
      </c>
      <c r="U82" s="130">
        <f>IF(B82="","",VLOOKUP(AD82,Varsayımlar!$B:$Q,12,0))</f>
        <v>840</v>
      </c>
      <c r="V82" s="130" t="str">
        <f>IF(B82="","",VLOOKUP(AD82,Varsayımlar!$B:$Q,13,0))</f>
        <v>YURTİÇİ</v>
      </c>
      <c r="W82" s="130">
        <f>IF(B82="","",VLOOKUP(AD82,Varsayımlar!$B:$Q,14,0))</f>
        <v>5</v>
      </c>
      <c r="X82" s="133" t="s">
        <v>113</v>
      </c>
      <c r="Y82" s="133" t="s">
        <v>113</v>
      </c>
      <c r="Z82" s="130" t="s">
        <v>113</v>
      </c>
      <c r="AA82" s="130" t="str">
        <f>IF(B82="","",VLOOKUP(AD82,Varsayımlar!$B:$Q,15,0))</f>
        <v>Nimet Kolisi</v>
      </c>
      <c r="AB82" s="130" t="str">
        <f>IF(B82="","",VLOOKUP(AD82,Varsayımlar!$B:$Q,16,0))</f>
        <v>24-26 CM</v>
      </c>
      <c r="AC82" s="64" t="s">
        <v>360</v>
      </c>
      <c r="AD82" s="57" t="str">
        <f t="shared" si="6"/>
        <v>A101Nimet 25cm 12 pcs 840g</v>
      </c>
    </row>
    <row r="83" spans="1:30" ht="94.5" x14ac:dyDescent="0.25">
      <c r="A83" s="8" t="s">
        <v>80</v>
      </c>
      <c r="B83" s="80" t="s">
        <v>218</v>
      </c>
      <c r="C83" s="44">
        <f>IF(B83="","",VLOOKUP(AD83,Varsayımlar!$B:$Q,3,0))</f>
        <v>8698829380698</v>
      </c>
      <c r="D83" s="44" t="s">
        <v>160</v>
      </c>
      <c r="E83" s="80" t="s">
        <v>244</v>
      </c>
      <c r="F83" s="80">
        <v>26042907</v>
      </c>
      <c r="G83" s="44"/>
      <c r="H83" s="80" t="str">
        <f>IF(B83="","",VLOOKUP(AD83,Varsayımlar!$B:$Q,5,0))</f>
        <v>Tortillas Avrupa Pizza 26cm (742)</v>
      </c>
      <c r="I83" s="80">
        <f>IF(B83="","",VLOOKUP(AD83,Varsayımlar!B:T,19,0))</f>
        <v>0</v>
      </c>
      <c r="J83" s="80" t="str">
        <f>IF(B83="","",VLOOKUP(AD83,Varsayımlar!$B:$Q,6,0))</f>
        <v>SADE</v>
      </c>
      <c r="K83" s="80">
        <v>720</v>
      </c>
      <c r="L83" s="80"/>
      <c r="M83" s="80">
        <f>IFERROR(IF(B83="","",K83/VLOOKUP(AD83,Varsayımlar!B:R,17,0)),"")</f>
        <v>6</v>
      </c>
      <c r="N83" s="80"/>
      <c r="O83" s="80">
        <v>9</v>
      </c>
      <c r="P83" s="80">
        <f>IF(B83="","",VLOOKUP(AD83,Varsayımlar!$B:$Q,7,0)*K83)</f>
        <v>5760</v>
      </c>
      <c r="Q83" s="80">
        <f>IF(B83="","",VLOOKUP(AD83,Varsayımlar!$B:$Q,8,0))</f>
        <v>26</v>
      </c>
      <c r="R83" s="80" t="str">
        <f>IF(B83="","",VLOOKUP(AD83,Varsayımlar!$B:$Q,9,0))</f>
        <v>Irak Soft</v>
      </c>
      <c r="S83" s="80">
        <f>IF(B83="","",VLOOKUP(AD83,Varsayımlar!$B:$Q,10,0))</f>
        <v>4</v>
      </c>
      <c r="T83" s="80">
        <f>IF(B83="","",VLOOKUP(AD83,Varsayımlar!$B:$Q,11,0))</f>
        <v>8</v>
      </c>
      <c r="U83" s="80">
        <f>IF(B83="","",VLOOKUP(AD83,Varsayımlar!$B:$Q,12,0))</f>
        <v>480</v>
      </c>
      <c r="V83" s="80" t="str">
        <f>IF(B83="","",VLOOKUP(AD83,Varsayımlar!$B:$Q,13,0))</f>
        <v>Yurtdışı</v>
      </c>
      <c r="W83" s="80">
        <f>IF(B83="","",VLOOKUP(AD83,Varsayımlar!$B:$Q,14,0))</f>
        <v>9</v>
      </c>
      <c r="X83" s="81">
        <v>46203</v>
      </c>
      <c r="Y83" s="81">
        <v>46476</v>
      </c>
      <c r="Z83" s="80">
        <v>26063026</v>
      </c>
      <c r="AA83" s="80" t="str">
        <f>IF(B83="","",VLOOKUP(AD83,Varsayımlar!$B:$Q,15,0))</f>
        <v>26cm Pizza Perforeli-Bulgarca Etiket</v>
      </c>
      <c r="AB83" s="80" t="str">
        <f>IF(B83="","",VLOOKUP(AD83,Varsayımlar!$B:$Q,16,0))</f>
        <v>26 cm kesme -Beze 145-150g, Kesilmmeiş çap 27-28cm, Kesilmemiş ağı: 520-540g, Kesilmiş:475-485g</v>
      </c>
      <c r="AC83" s="80" t="str">
        <f>IF(B83="","",VLOOKUP(Sayfa1!AD80,Varsayımlar!B:S,18,0))</f>
        <v>80x120cm -Epal+Epal</v>
      </c>
      <c r="AD83" s="57" t="str">
        <f t="shared" si="6"/>
        <v>TASTE LAND-BULGARİSTANTortillas Pizza 26cm 4pcs 480g</v>
      </c>
    </row>
    <row r="84" spans="1:30" ht="47.25" hidden="1" x14ac:dyDescent="0.25">
      <c r="A84" s="8" t="s">
        <v>81</v>
      </c>
      <c r="B84" s="54" t="s">
        <v>268</v>
      </c>
      <c r="C84" s="39">
        <f>IF(B84="","",VLOOKUP(AD84,Varsayımlar!$B:$Q,3,0))</f>
        <v>8698829380698</v>
      </c>
      <c r="D84" s="39" t="s">
        <v>160</v>
      </c>
      <c r="E84" s="39" t="s">
        <v>244</v>
      </c>
      <c r="F84" s="54" t="s">
        <v>343</v>
      </c>
      <c r="G84" s="39" t="s">
        <v>68</v>
      </c>
      <c r="H84" s="54" t="str">
        <f>IF(B84="","",VLOOKUP(AD84,Varsayımlar!$B:$Q,5,0))</f>
        <v xml:space="preserve">Tortillas Pizza 26cm </v>
      </c>
      <c r="I84" s="54">
        <f>IF(B84="","",VLOOKUP(AD84,Varsayımlar!B:T,19,0))</f>
        <v>0</v>
      </c>
      <c r="J84" s="54" t="str">
        <f>IF(B84="","",VLOOKUP(AD84,Varsayımlar!$B:$Q,6,0))</f>
        <v>SADE</v>
      </c>
      <c r="K84" s="54">
        <v>768</v>
      </c>
      <c r="L84" s="54"/>
      <c r="M84" s="54">
        <f>IFERROR(IF(B84="","",K84/VLOOKUP(AD84,Varsayımlar!B:R,17,0)),"")</f>
        <v>4</v>
      </c>
      <c r="N84" s="54"/>
      <c r="O84" s="54">
        <v>9</v>
      </c>
      <c r="P84" s="54">
        <f>IF(B84="","",VLOOKUP(AD84,Varsayımlar!$B:$Q,7,0)*K84)</f>
        <v>9216</v>
      </c>
      <c r="Q84" s="54">
        <f>IF(B84="","",VLOOKUP(AD84,Varsayımlar!$B:$Q,8,0))</f>
        <v>26</v>
      </c>
      <c r="R84" s="54" t="str">
        <f>IF(B84="","",VLOOKUP(AD84,Varsayımlar!$B:$Q,9,0))</f>
        <v>Soft-PA3</v>
      </c>
      <c r="S84" s="54">
        <f>IF(B84="","",VLOOKUP(AD84,Varsayımlar!$B:$Q,10,0))</f>
        <v>2</v>
      </c>
      <c r="T84" s="54">
        <f>IF(B84="","",VLOOKUP(AD84,Varsayımlar!$B:$Q,11,0))</f>
        <v>12</v>
      </c>
      <c r="U84" s="54">
        <f>IF(B84="","",VLOOKUP(AD84,Varsayımlar!$B:$Q,12,0))</f>
        <v>240</v>
      </c>
      <c r="V84" s="54" t="str">
        <f>IF(B84="","",VLOOKUP(AD84,Varsayımlar!$B:$Q,13,0))</f>
        <v>Yurtdışı</v>
      </c>
      <c r="W84" s="54">
        <f>IF(B84="","",VLOOKUP(AD84,Varsayımlar!$B:$Q,14,0))</f>
        <v>9</v>
      </c>
      <c r="X84" s="56">
        <v>46205</v>
      </c>
      <c r="Y84" s="56">
        <v>46479</v>
      </c>
      <c r="Z84" s="54">
        <v>26070226</v>
      </c>
      <c r="AA84" s="54" t="str">
        <f>IF(B84="","",VLOOKUP(AD84,Varsayımlar!$B:$Q,15,0))</f>
        <v>26 cm pizza kolisi-Etiketli</v>
      </c>
      <c r="AB84" s="54" t="str">
        <f>IF(B84="","",VLOOKUP(AD84,Varsayımlar!$B:$Q,16,0))</f>
        <v>24-26 cm (Macca Hetto Inkjet Uzun Tarih)</v>
      </c>
      <c r="AC84" s="54" t="e">
        <f>IF(B84="","",VLOOKUP(Sayfa1!AD83,Varsayımlar!B:S,18,0))</f>
        <v>#N/A</v>
      </c>
      <c r="AD84" s="57" t="str">
        <f>IF(B84="","",CONCATENATE(B84,E84))</f>
        <v>LAIKYUZHN-BELARUSTortillas Pizza 26cm 4pcs 480g</v>
      </c>
    </row>
    <row r="85" spans="1:30" ht="26.25" hidden="1" customHeight="1" x14ac:dyDescent="0.25">
      <c r="A85" s="8" t="s">
        <v>82</v>
      </c>
      <c r="B85" s="67" t="s">
        <v>119</v>
      </c>
      <c r="C85" s="42">
        <v>8698829380698</v>
      </c>
      <c r="D85" s="42"/>
      <c r="E85" s="42" t="s">
        <v>120</v>
      </c>
      <c r="F85" s="67"/>
      <c r="G85" s="42"/>
      <c r="H85" s="67" t="s">
        <v>121</v>
      </c>
      <c r="I85" s="67">
        <v>0</v>
      </c>
      <c r="J85" s="67" t="s">
        <v>19</v>
      </c>
      <c r="K85" s="67">
        <v>2000</v>
      </c>
      <c r="L85" s="67"/>
      <c r="M85" s="67">
        <v>80</v>
      </c>
      <c r="N85" s="67">
        <v>50</v>
      </c>
      <c r="O85" s="67">
        <v>54</v>
      </c>
      <c r="P85" s="67">
        <v>48000</v>
      </c>
      <c r="Q85" s="67">
        <v>25</v>
      </c>
      <c r="R85" s="67" t="s">
        <v>116</v>
      </c>
      <c r="S85" s="67">
        <v>12</v>
      </c>
      <c r="T85" s="67">
        <v>12</v>
      </c>
      <c r="U85" s="67">
        <v>840</v>
      </c>
      <c r="V85" s="67" t="s">
        <v>72</v>
      </c>
      <c r="W85" s="67">
        <v>5</v>
      </c>
      <c r="X85" s="69" t="s">
        <v>113</v>
      </c>
      <c r="Y85" s="69" t="s">
        <v>113</v>
      </c>
      <c r="Z85" s="67" t="s">
        <v>113</v>
      </c>
      <c r="AA85" s="67" t="s">
        <v>122</v>
      </c>
      <c r="AB85" s="67" t="s">
        <v>25</v>
      </c>
      <c r="AC85" s="67">
        <v>0</v>
      </c>
      <c r="AD85" s="57" t="s">
        <v>387</v>
      </c>
    </row>
    <row r="86" spans="1:30" ht="94.5" hidden="1" x14ac:dyDescent="0.25">
      <c r="A86" s="8" t="s">
        <v>83</v>
      </c>
      <c r="B86" s="75" t="s">
        <v>218</v>
      </c>
      <c r="C86" s="43">
        <f>IF(B86="","",VLOOKUP(AD86,Varsayımlar!$B:$Q,3,0))</f>
        <v>8698829380698</v>
      </c>
      <c r="D86" s="43" t="s">
        <v>161</v>
      </c>
      <c r="E86" s="75" t="s">
        <v>244</v>
      </c>
      <c r="F86" s="75" t="s">
        <v>341</v>
      </c>
      <c r="G86" s="43"/>
      <c r="H86" s="75" t="str">
        <f>IF(B86="","",VLOOKUP(AD86,Varsayımlar!$B:$Q,5,0))</f>
        <v>Tortillas Avrupa Pizza 26cm (742)</v>
      </c>
      <c r="I86" s="75">
        <f>IF(B86="","",VLOOKUP(AD86,Varsayımlar!B:T,19,0))</f>
        <v>0</v>
      </c>
      <c r="J86" s="75" t="str">
        <f>IF(B86="","",VLOOKUP(AD86,Varsayımlar!$B:$Q,6,0))</f>
        <v>SADE</v>
      </c>
      <c r="K86" s="75">
        <v>840</v>
      </c>
      <c r="L86" s="75"/>
      <c r="M86" s="75">
        <f>IFERROR(IF(B86="","",K86/VLOOKUP(AD86,Varsayımlar!B:R,17,0)),"")</f>
        <v>7</v>
      </c>
      <c r="N86" s="75"/>
      <c r="O86" s="75">
        <v>11</v>
      </c>
      <c r="P86" s="75">
        <f>IF(B86="","",VLOOKUP(AD86,Varsayımlar!$B:$Q,7,0)*K86)</f>
        <v>6720</v>
      </c>
      <c r="Q86" s="75">
        <f>IF(B86="","",VLOOKUP(AD86,Varsayımlar!$B:$Q,8,0))</f>
        <v>26</v>
      </c>
      <c r="R86" s="75" t="str">
        <f>IF(B86="","",VLOOKUP(AD86,Varsayımlar!$B:$Q,9,0))</f>
        <v>Irak Soft</v>
      </c>
      <c r="S86" s="75">
        <f>IF(B86="","",VLOOKUP(AD86,Varsayımlar!$B:$Q,10,0))</f>
        <v>4</v>
      </c>
      <c r="T86" s="75">
        <f>IF(B86="","",VLOOKUP(AD86,Varsayımlar!$B:$Q,11,0))</f>
        <v>8</v>
      </c>
      <c r="U86" s="75">
        <f>IF(B86="","",VLOOKUP(AD86,Varsayımlar!$B:$Q,12,0))</f>
        <v>480</v>
      </c>
      <c r="V86" s="75" t="str">
        <f>IF(B86="","",VLOOKUP(AD86,Varsayımlar!$B:$Q,13,0))</f>
        <v>Yurtdışı</v>
      </c>
      <c r="W86" s="75">
        <f>IF(B86="","",VLOOKUP(AD86,Varsayımlar!$B:$Q,14,0))</f>
        <v>9</v>
      </c>
      <c r="X86" s="76">
        <v>46213</v>
      </c>
      <c r="Y86" s="76">
        <v>46487</v>
      </c>
      <c r="Z86" s="75">
        <v>26071026</v>
      </c>
      <c r="AA86" s="75" t="str">
        <f>IF(B86="","",VLOOKUP(AD86,Varsayımlar!$B:$Q,15,0))</f>
        <v>26cm Pizza Perforeli-Bulgarca Etiket</v>
      </c>
      <c r="AB86" s="75" t="str">
        <f>IF(B86="","",VLOOKUP(AD86,Varsayımlar!$B:$Q,16,0))</f>
        <v>26 cm kesme -Beze 145-150g, Kesilmmeiş çap 27-28cm, Kesilmemiş ağı: 520-540g, Kesilmiş:475-485g</v>
      </c>
      <c r="AC86" s="75" t="str">
        <f>IF(B86="","",VLOOKUP(Sayfa1!AD81,Varsayımlar!B:S,18,0))</f>
        <v>80x120cm -Epal+Epal</v>
      </c>
      <c r="AD86" s="57" t="str">
        <f t="shared" si="6"/>
        <v>TASTE LAND-BULGARİSTANTortillas Pizza 26cm 4pcs 480g</v>
      </c>
    </row>
    <row r="87" spans="1:30" ht="46.5" hidden="1" customHeight="1" x14ac:dyDescent="0.25">
      <c r="A87" s="8" t="s">
        <v>84</v>
      </c>
      <c r="B87" s="67" t="s">
        <v>460</v>
      </c>
      <c r="C87" s="42">
        <f>IF(B87="","",VLOOKUP(AD87,Varsayımlar!$B:$Q,3,0))</f>
        <v>8698829380698</v>
      </c>
      <c r="D87" s="67" t="s">
        <v>540</v>
      </c>
      <c r="E87" s="67" t="s">
        <v>461</v>
      </c>
      <c r="F87" s="67">
        <v>20260414</v>
      </c>
      <c r="G87" s="67"/>
      <c r="H87" s="67" t="str">
        <f>IF(B87="","",VLOOKUP(AD87,Varsayımlar!$B:$Q,5,0))</f>
        <v xml:space="preserve">Tortillove 15cm </v>
      </c>
      <c r="I87" s="67">
        <f>IF(B87="","",VLOOKUP(AD87,Varsayımlar!B:T,19,0))</f>
        <v>0</v>
      </c>
      <c r="J87" s="67" t="str">
        <f>IF(B87="","",VLOOKUP(AD87,Varsayımlar!$B:$Q,6,0))</f>
        <v>SADE</v>
      </c>
      <c r="K87" s="67">
        <v>300</v>
      </c>
      <c r="L87" s="67" t="s">
        <v>532</v>
      </c>
      <c r="M87" s="67">
        <f>IFERROR(IF(B87="","",K87/VLOOKUP(AD87,Varsayımlar!B:R,17,0)),"")</f>
        <v>3</v>
      </c>
      <c r="N87" s="67"/>
      <c r="O87" s="67">
        <v>9</v>
      </c>
      <c r="P87" s="67">
        <f>IF(B87="","",VLOOKUP(AD87,Varsayımlar!$B:$Q,7,0)*K87)</f>
        <v>3600</v>
      </c>
      <c r="Q87" s="67">
        <f>IF(B87="","",VLOOKUP(AD87,Varsayımlar!$B:$Q,8,0))</f>
        <v>15</v>
      </c>
      <c r="R87" s="67" t="str">
        <f>IF(B87="","",VLOOKUP(AD87,Varsayımlar!$B:$Q,9,0))</f>
        <v>Irak Soft</v>
      </c>
      <c r="S87" s="67">
        <f>IF(B87="","",VLOOKUP(AD87,Varsayımlar!$B:$Q,10,0))</f>
        <v>10</v>
      </c>
      <c r="T87" s="67">
        <f>IF(B87="","",VLOOKUP(AD87,Varsayımlar!$B:$Q,11,0))</f>
        <v>12</v>
      </c>
      <c r="U87" s="67">
        <f>IF(B87="","",VLOOKUP(AD87,Varsayımlar!$B:$Q,12,0))</f>
        <v>250</v>
      </c>
      <c r="V87" s="67" t="str">
        <f>IF(B87="","",VLOOKUP(AD87,Varsayımlar!$B:$Q,13,0))</f>
        <v>Yurtdışı</v>
      </c>
      <c r="W87" s="67">
        <f>IF(B87="","",VLOOKUP(AD87,Varsayımlar!$B:$Q,14,0))</f>
        <v>6</v>
      </c>
      <c r="X87" s="69">
        <v>46216</v>
      </c>
      <c r="Y87" s="69">
        <v>46400</v>
      </c>
      <c r="Z87" s="67">
        <v>26071315</v>
      </c>
      <c r="AA87" s="67" t="str">
        <f>IF(B87="","",VLOOKUP(AD87,Varsayımlar!$B:$Q,15,0))</f>
        <v>15cm koli</v>
      </c>
      <c r="AB87" s="67" t="str">
        <f>IF(B87="","",VLOOKUP(AD87,Varsayımlar!$B:$Q,16,0))</f>
        <v>14-16 cm</v>
      </c>
      <c r="AC87" s="80">
        <f>IF(B87="","",VLOOKUP(Sayfa1!AD85,Varsayımlar!B:S,18,0))</f>
        <v>0</v>
      </c>
      <c r="AD87" s="57" t="str">
        <f t="shared" si="6"/>
        <v>Yüksekbaş GıdaYüksekbaş 15cm 10 pcs 250g</v>
      </c>
    </row>
    <row r="88" spans="1:30" ht="31.5" hidden="1" x14ac:dyDescent="0.25">
      <c r="A88" s="8" t="s">
        <v>85</v>
      </c>
      <c r="B88" s="54" t="s">
        <v>346</v>
      </c>
      <c r="C88" s="39">
        <f>IF(B88="","",VLOOKUP(AD88,Varsayımlar!$B:$Q,3,0))</f>
        <v>8698829380698</v>
      </c>
      <c r="D88" s="39">
        <v>49</v>
      </c>
      <c r="E88" s="55" t="s">
        <v>325</v>
      </c>
      <c r="F88" s="54"/>
      <c r="G88" s="54"/>
      <c r="H88" s="54" t="str">
        <f>IF(B88="","",VLOOKUP(AD88,Varsayımlar!$B:$Q,5,0))</f>
        <v>Hanami Tako 15cm</v>
      </c>
      <c r="I88" s="54" t="str">
        <f>IF(B88="","",VLOOKUP(AD88,Varsayımlar!B:T,19,0))</f>
        <v>Ambalaj kaç aylık kontrol?</v>
      </c>
      <c r="J88" s="54" t="str">
        <f>IF(B88="","",VLOOKUP(AD88,Varsayımlar!$B:$Q,6,0))</f>
        <v>SADE</v>
      </c>
      <c r="K88" s="54">
        <v>1248</v>
      </c>
      <c r="L88" s="54"/>
      <c r="M88" s="54"/>
      <c r="N88" s="54"/>
      <c r="O88" s="54">
        <v>35</v>
      </c>
      <c r="P88" s="54">
        <f>IF(B88="","",VLOOKUP(AD88,Varsayımlar!$B:$Q,7,0)*K88)</f>
        <v>24960</v>
      </c>
      <c r="Q88" s="54">
        <f>IF(B88="","",VLOOKUP(AD88,Varsayımlar!$B:$Q,8,0))</f>
        <v>15</v>
      </c>
      <c r="R88" s="54" t="str">
        <f>IF(B88="","",VLOOKUP(AD88,Varsayımlar!$B:$Q,9,0))</f>
        <v>Irak Soft</v>
      </c>
      <c r="S88" s="54">
        <f>IF(B88="","",VLOOKUP(AD88,Varsayımlar!$B:$Q,10,0))</f>
        <v>6</v>
      </c>
      <c r="T88" s="54">
        <f>IF(B88="","",VLOOKUP(AD88,Varsayımlar!$B:$Q,11,0))</f>
        <v>20</v>
      </c>
      <c r="U88" s="54">
        <f>IF(B88="","",VLOOKUP(AD88,Varsayımlar!$B:$Q,12,0))</f>
        <v>150</v>
      </c>
      <c r="V88" s="54" t="str">
        <f>IF(B88="","",VLOOKUP(AD88,Varsayımlar!$B:$Q,13,0))</f>
        <v>Yurtdışı</v>
      </c>
      <c r="W88" s="54">
        <f>IF(B88="","",VLOOKUP(AD88,Varsayımlar!$B:$Q,14,0))</f>
        <v>9</v>
      </c>
      <c r="X88" s="56">
        <v>46226</v>
      </c>
      <c r="Y88" s="56">
        <v>46500</v>
      </c>
      <c r="Z88" s="54">
        <v>26072315</v>
      </c>
      <c r="AA88" s="54" t="str">
        <f>IF(B88="","",VLOOKUP(AD88,Varsayımlar!$B:$Q,15,0))</f>
        <v>Hanami Tako 15cm-Üretim Tarihi Atılacak</v>
      </c>
      <c r="AB88" s="54" t="str">
        <f>IF(B88="","",VLOOKUP(AD88,Varsayımlar!$B:$Q,16,0))</f>
        <v>14-16 cm</v>
      </c>
      <c r="AC88" s="8" t="e">
        <f>IF(B88="","",VLOOKUP(#REF!,#REF!,18,0))</f>
        <v>#REF!</v>
      </c>
      <c r="AD88" s="8" t="str">
        <f>IF(B88="","",CONCATENATE(B88,E88))</f>
        <v>GermesHanami Germes Tako 15cm 6pcs 150g</v>
      </c>
    </row>
    <row r="89" spans="1:30" ht="49.5" hidden="1" customHeight="1" x14ac:dyDescent="0.25">
      <c r="A89" s="8" t="s">
        <v>86</v>
      </c>
      <c r="B89" s="152" t="s">
        <v>518</v>
      </c>
      <c r="C89" s="153">
        <f>IF(B89="","",VLOOKUP(AD89,Varsayımlar!$B:$Q,3,0))</f>
        <v>8698829380698</v>
      </c>
      <c r="D89" s="154"/>
      <c r="E89" s="154" t="s">
        <v>515</v>
      </c>
      <c r="F89" s="152">
        <v>26062302</v>
      </c>
      <c r="G89" s="152"/>
      <c r="H89" s="152" t="str">
        <f>IF(B89="","",VLOOKUP(AD89,Varsayımlar!$B:$Q,5,0))</f>
        <v>Tortillas 15cm</v>
      </c>
      <c r="I89" s="152">
        <f>IF(B89="","",VLOOKUP(AD89,Varsayımlar!B:T,19,0))</f>
        <v>0</v>
      </c>
      <c r="J89" s="152" t="str">
        <f>IF(B89="","",VLOOKUP(AD89,Varsayımlar!$B:$Q,6,0))</f>
        <v>Sade</v>
      </c>
      <c r="K89" s="152">
        <v>10</v>
      </c>
      <c r="L89" s="152"/>
      <c r="M89" s="152">
        <f>IFERROR(IF(B89="","",K89/VLOOKUP(AD89,Varsayımlar!B:R,17,0)),"")</f>
        <v>0.11904761904761904</v>
      </c>
      <c r="N89" s="152"/>
      <c r="O89" s="152">
        <v>0</v>
      </c>
      <c r="P89" s="152">
        <f>IF(B89="","",VLOOKUP(AD89,Varsayımlar!$B:$Q,7,0)*K89)</f>
        <v>120</v>
      </c>
      <c r="Q89" s="152">
        <f>IF(B89="","",VLOOKUP(AD89,Varsayımlar!$B:$Q,8,0))</f>
        <v>15</v>
      </c>
      <c r="R89" s="152" t="str">
        <f>IF(B89="","",VLOOKUP(AD89,Varsayımlar!$B:$Q,9,0))</f>
        <v>Irak Soft</v>
      </c>
      <c r="S89" s="152">
        <f>IF(B89="","",VLOOKUP(AD89,Varsayımlar!$B:$Q,10,0))</f>
        <v>10</v>
      </c>
      <c r="T89" s="152">
        <f>IF(B89="","",VLOOKUP(AD89,Varsayımlar!$B:$Q,11,0))</f>
        <v>12</v>
      </c>
      <c r="U89" s="152">
        <f>IF(B89="","",VLOOKUP(AD89,Varsayımlar!$B:$Q,12,0))</f>
        <v>250</v>
      </c>
      <c r="V89" s="152" t="str">
        <f>IF(B89="","",VLOOKUP(AD89,Varsayımlar!$B:$Q,13,0))</f>
        <v>Yurtiçi</v>
      </c>
      <c r="W89" s="152">
        <f>IF(B89="","",VLOOKUP(AD89,Varsayımlar!$B:$Q,14,0))</f>
        <v>6</v>
      </c>
      <c r="X89" s="155">
        <v>46231</v>
      </c>
      <c r="Y89" s="155">
        <v>46415</v>
      </c>
      <c r="Z89" s="152">
        <v>26072815</v>
      </c>
      <c r="AA89" s="152" t="str">
        <f>IF(B89="","",VLOOKUP(AD89,Varsayımlar!$B:$Q,15,0))</f>
        <v>15cm koli</v>
      </c>
      <c r="AB89" s="152" t="str">
        <f>IF(B89="","",VLOOKUP(AD89,Varsayımlar!$B:$Q,16,0))</f>
        <v>14-16cm</v>
      </c>
      <c r="AC89" s="8" t="e">
        <f>IF(B89="","",VLOOKUP(#REF!,#REF!,18,0))</f>
        <v>#REF!</v>
      </c>
      <c r="AD89" s="8" t="str">
        <f t="shared" ref="AD89:AD90" si="7">IF(B89="","",CONCATENATE(B89,E89))</f>
        <v>Yusuf KöseTortillas 15cm 10pcs 250g</v>
      </c>
    </row>
    <row r="90" spans="1:30" ht="54" hidden="1" customHeight="1" x14ac:dyDescent="0.25">
      <c r="A90" s="8" t="s">
        <v>87</v>
      </c>
      <c r="B90" s="148" t="s">
        <v>500</v>
      </c>
      <c r="C90" s="149">
        <f>IF(B90="","",VLOOKUP(AD90,Varsayımlar!$B:$Q,3,0))</f>
        <v>8698829380698</v>
      </c>
      <c r="D90" s="149"/>
      <c r="E90" s="150" t="s">
        <v>515</v>
      </c>
      <c r="F90" s="148">
        <v>26062201</v>
      </c>
      <c r="G90" s="148"/>
      <c r="H90" s="148" t="str">
        <f>IF(B90="","",VLOOKUP(AD90,Varsayımlar!$B:$Q,5,0))</f>
        <v>Tortillas 15cm</v>
      </c>
      <c r="I90" s="148">
        <f>IF(B90="","",VLOOKUP(AD90,Varsayımlar!B:T,19,0))</f>
        <v>0</v>
      </c>
      <c r="J90" s="148" t="str">
        <f>IF(B90="","",VLOOKUP(AD90,Varsayımlar!$B:$Q,6,0))</f>
        <v>Sade</v>
      </c>
      <c r="K90" s="148">
        <v>50</v>
      </c>
      <c r="L90" s="148"/>
      <c r="M90" s="148" t="str">
        <f>IFERROR(IF(B90="","",K90/VLOOKUP(AD90,#REF!,17,0)),"")</f>
        <v/>
      </c>
      <c r="N90" s="148"/>
      <c r="O90" s="148">
        <v>2</v>
      </c>
      <c r="P90" s="148">
        <f>IF(B90="","",VLOOKUP(AD90,Varsayımlar!$B:$Q,7,0)*K90)</f>
        <v>600</v>
      </c>
      <c r="Q90" s="148">
        <f>IF(B90="","",VLOOKUP(AD90,Varsayımlar!$B:$Q,8,0))</f>
        <v>15</v>
      </c>
      <c r="R90" s="148" t="str">
        <f>IF(B90="","",VLOOKUP(AD90,Varsayımlar!$B:$Q,9,0))</f>
        <v>Irak Soft</v>
      </c>
      <c r="S90" s="148">
        <f>IF(B90="","",VLOOKUP(AD90,Varsayımlar!$B:$Q,10,0))</f>
        <v>10</v>
      </c>
      <c r="T90" s="148">
        <f>IF(B90="","",VLOOKUP(AD90,Varsayımlar!$B:$Q,11,0))</f>
        <v>12</v>
      </c>
      <c r="U90" s="148">
        <f>IF(B90="","",VLOOKUP(AD90,Varsayımlar!$B:$Q,12,0))</f>
        <v>250</v>
      </c>
      <c r="V90" s="148" t="str">
        <f>IF(B90="","",VLOOKUP(AD90,Varsayımlar!$B:$Q,13,0))</f>
        <v>Yurtdışı</v>
      </c>
      <c r="W90" s="148">
        <f>IF(B90="","",VLOOKUP(AD90,Varsayımlar!$B:$Q,14,0))</f>
        <v>12</v>
      </c>
      <c r="X90" s="151">
        <v>46231</v>
      </c>
      <c r="Y90" s="151">
        <v>46596</v>
      </c>
      <c r="Z90" s="148">
        <v>26072815</v>
      </c>
      <c r="AA90" s="148" t="str">
        <f>IF(B90="","",VLOOKUP(AD90,Varsayımlar!$B:$Q,15,0))</f>
        <v>15cm koli</v>
      </c>
      <c r="AB90" s="148" t="str">
        <f>IF(B90="","",VLOOKUP(AD90,Varsayımlar!$B:$Q,16,0))</f>
        <v>14-16cm</v>
      </c>
      <c r="AC90" s="67"/>
      <c r="AD90" s="57" t="str">
        <f t="shared" si="7"/>
        <v>Fama GroupTortillas 15cm 10pcs 250g</v>
      </c>
    </row>
    <row r="91" spans="1:30" ht="48" hidden="1" customHeight="1" x14ac:dyDescent="0.25">
      <c r="A91" s="8" t="s">
        <v>88</v>
      </c>
      <c r="B91" s="149" t="s">
        <v>500</v>
      </c>
      <c r="C91" s="149">
        <f>IF(B91="","",VLOOKUP(AD91,Varsayımlar!$B:$Q,3,0))</f>
        <v>8698829380698</v>
      </c>
      <c r="D91" s="149"/>
      <c r="E91" s="149" t="s">
        <v>244</v>
      </c>
      <c r="F91" s="149">
        <v>26062201</v>
      </c>
      <c r="G91" s="149"/>
      <c r="H91" s="148" t="str">
        <f>IF(B91="","",VLOOKUP(AD91,Varsayımlar!$B:$Q,5,0))</f>
        <v xml:space="preserve">Tortillas Pizza 26cm </v>
      </c>
      <c r="I91" s="148">
        <f>IF(B91="","",VLOOKUP(AD91,Varsayımlar!B:T,19,0))</f>
        <v>0</v>
      </c>
      <c r="J91" s="148" t="str">
        <f>IF(B91="","",VLOOKUP(AD91,Varsayımlar!$B:$Q,6,0))</f>
        <v>Sade</v>
      </c>
      <c r="K91" s="149">
        <v>50</v>
      </c>
      <c r="L91" s="149"/>
      <c r="M91" s="149" t="str">
        <f>IFERROR(IF(B91="","",K91/VLOOKUP(AD91,#REF!,17,0)),"")</f>
        <v/>
      </c>
      <c r="N91" s="149"/>
      <c r="O91" s="149">
        <v>1</v>
      </c>
      <c r="P91" s="148">
        <f>IF(B91="","",VLOOKUP(AD91,Varsayımlar!$B:$Q,7,0)*K91)</f>
        <v>300</v>
      </c>
      <c r="Q91" s="148">
        <f>IF(B91="","",VLOOKUP(AD91,Varsayımlar!$B:$Q,8,0))</f>
        <v>26</v>
      </c>
      <c r="R91" s="148" t="str">
        <f>IF(B91="","",VLOOKUP(AD91,Varsayımlar!$B:$Q,9,0))</f>
        <v>Irak Soft</v>
      </c>
      <c r="S91" s="148">
        <f>IF(B91="","",VLOOKUP(AD91,Varsayımlar!$B:$Q,10,0))</f>
        <v>4</v>
      </c>
      <c r="T91" s="148">
        <f>IF(B91="","",VLOOKUP(AD91,Varsayımlar!$B:$Q,11,0))</f>
        <v>6</v>
      </c>
      <c r="U91" s="148">
        <f>IF(B91="","",VLOOKUP(AD91,Varsayımlar!$B:$Q,12,0))</f>
        <v>480</v>
      </c>
      <c r="V91" s="148" t="str">
        <f>IF(B91="","",VLOOKUP(AD91,Varsayımlar!$B:$Q,13,0))</f>
        <v>Yurtdışı</v>
      </c>
      <c r="W91" s="148">
        <f>IF(B91="","",VLOOKUP(AD91,Varsayımlar!$B:$Q,14,0))</f>
        <v>12</v>
      </c>
      <c r="X91" s="151">
        <v>46231</v>
      </c>
      <c r="Y91" s="151">
        <v>46596</v>
      </c>
      <c r="Z91" s="149">
        <v>26072826</v>
      </c>
      <c r="AA91" s="148" t="str">
        <f>IF(B91="","",VLOOKUP(AD91,Varsayımlar!$B:$Q,15,0))</f>
        <v>Pizza Kolisi-ETİKETLİ</v>
      </c>
      <c r="AB91" s="148" t="str">
        <f>IF(B91="","",VLOOKUP(AD91,Varsayımlar!$B:$Q,16,0))</f>
        <v>25-27 cm</v>
      </c>
      <c r="AC91" s="140">
        <f>IF(B91="","",VLOOKUP(Sayfa1!AD94,Varsayımlar!B:S,18,0))</f>
        <v>0</v>
      </c>
      <c r="AD91" s="140" t="str">
        <f>IF(B91="","",CONCATENATE(B91,E91))</f>
        <v>Fama GroupTortillas Pizza 26cm 4pcs 480g</v>
      </c>
    </row>
    <row r="92" spans="1:30" ht="94.5" hidden="1" x14ac:dyDescent="0.25">
      <c r="A92" s="8" t="s">
        <v>89</v>
      </c>
      <c r="B92" s="62" t="s">
        <v>456</v>
      </c>
      <c r="C92" s="32">
        <f>IF(B92="","",VLOOKUP(AD92,Varsayımlar!$B:$Q,3,0))</f>
        <v>8698829380698</v>
      </c>
      <c r="D92" s="32"/>
      <c r="E92" s="61" t="s">
        <v>484</v>
      </c>
      <c r="F92" s="62" t="s">
        <v>524</v>
      </c>
      <c r="G92" s="62"/>
      <c r="H92" s="62" t="str">
        <f>IF(B92="","",VLOOKUP(AD92,Varsayımlar!$B:$Q,5,0))</f>
        <v>Willifood 26 cm Pizza</v>
      </c>
      <c r="I92" s="62">
        <f>IF(B92="","",VLOOKUP(AD92,Varsayımlar!B:T,19,0))</f>
        <v>0</v>
      </c>
      <c r="J92" s="62" t="str">
        <f>IF(B92="","",VLOOKUP(AD92,Varsayımlar!$B:$Q,6,0))</f>
        <v>Pizza</v>
      </c>
      <c r="K92" s="62">
        <v>2250</v>
      </c>
      <c r="L92" s="62"/>
      <c r="M92" s="62" t="str">
        <f>IFERROR(IF(B92="","",K92/VLOOKUP(AD92,#REF!,17,0)),"")</f>
        <v/>
      </c>
      <c r="N92" s="62"/>
      <c r="O92" s="62">
        <v>16</v>
      </c>
      <c r="P92" s="62">
        <f>IF(B92="","",VLOOKUP(AD92,Varsayımlar!$B:$Q,7,0)*K92)</f>
        <v>27000</v>
      </c>
      <c r="Q92" s="62">
        <f>IF(B92="","",VLOOKUP(AD92,Varsayımlar!$B:$Q,8,0))</f>
        <v>26</v>
      </c>
      <c r="R92" s="62" t="str">
        <f>IF(B92="","",VLOOKUP(AD92,Varsayımlar!$B:$Q,9,0))</f>
        <v>Irak Soft</v>
      </c>
      <c r="S92" s="62">
        <f>IF(B92="","",VLOOKUP(AD92,Varsayımlar!$B:$Q,10,0))</f>
        <v>4</v>
      </c>
      <c r="T92" s="62">
        <f>IF(B92="","",VLOOKUP(AD92,Varsayımlar!$B:$Q,11,0))</f>
        <v>12</v>
      </c>
      <c r="U92" s="62">
        <f>IF(B92="","",VLOOKUP(AD92,Varsayımlar!$B:$Q,12,0))</f>
        <v>480</v>
      </c>
      <c r="V92" s="62" t="str">
        <f>IF(B92="","",VLOOKUP(AD92,Varsayımlar!$B:$Q,13,0))</f>
        <v>Yurtdışı</v>
      </c>
      <c r="W92" s="62">
        <f>IF(B92="","",VLOOKUP(AD92,Varsayımlar!$B:$Q,14,0))</f>
        <v>18</v>
      </c>
      <c r="X92" s="63"/>
      <c r="Y92" s="146" t="s">
        <v>523</v>
      </c>
      <c r="Z92" s="146" t="s">
        <v>522</v>
      </c>
      <c r="AA92" s="63" t="str">
        <f>IF(B92="","",VLOOKUP(AD92,Varsayımlar!$B:$Q,15,0))</f>
        <v>Dürümek Kolisi-Çift Etiket</v>
      </c>
      <c r="AB92" s="63" t="str">
        <f>IF(B92="","",VLOOKUP(AD92,Varsayımlar!$B:$Q,16,0))</f>
        <v>Kesme.Bezeler 145-150 g.Kesilmemiş 27-28 cm. Kesilmemiş ağ 520-540g. Kesilmiş ağ 475-485 g</v>
      </c>
      <c r="AC92" s="73" t="e">
        <f>IF(B92="","",VLOOKUP(#REF!,#REF!,18,0))</f>
        <v>#REF!</v>
      </c>
      <c r="AD92" s="73" t="str">
        <f>IF(B92="","",CONCATENATE(B92,E92))</f>
        <v>WillifoodWillifood Pizza 26cm 4 pcs 480g</v>
      </c>
    </row>
    <row r="93" spans="1:30" ht="33.75" hidden="1" customHeight="1" x14ac:dyDescent="0.25">
      <c r="A93" s="8" t="s">
        <v>90</v>
      </c>
      <c r="B93" s="67" t="s">
        <v>460</v>
      </c>
      <c r="C93" s="42">
        <f>IF(B93="","",VLOOKUP(AD93,Varsayımlar!$B:$Q,3,0))</f>
        <v>8698829380698</v>
      </c>
      <c r="D93" s="67" t="s">
        <v>539</v>
      </c>
      <c r="E93" s="67" t="s">
        <v>461</v>
      </c>
      <c r="F93" s="67">
        <v>20260626</v>
      </c>
      <c r="G93" s="67"/>
      <c r="H93" s="67" t="str">
        <f>IF(B93="","",VLOOKUP(AD93,Varsayımlar!$B:$Q,5,0))</f>
        <v xml:space="preserve">Tortillove 15cm </v>
      </c>
      <c r="I93" s="67">
        <f>IF(B93="","",VLOOKUP(AD93,Varsayımlar!B:T,19,0))</f>
        <v>0</v>
      </c>
      <c r="J93" s="67" t="str">
        <f>IF(B93="","",VLOOKUP(AD93,Varsayımlar!$B:$Q,6,0))</f>
        <v>SADE</v>
      </c>
      <c r="K93" s="67">
        <v>400</v>
      </c>
      <c r="L93" s="67"/>
      <c r="M93" s="67">
        <f>IFERROR(IF(B93="","",K93/VLOOKUP(AD93,Varsayımlar!B:R,17,0)),"")</f>
        <v>4</v>
      </c>
      <c r="N93" s="67"/>
      <c r="O93" s="67"/>
      <c r="P93" s="67">
        <f>IF(B93="","",VLOOKUP(AD93,Varsayımlar!$B:$Q,7,0)*K93)</f>
        <v>4800</v>
      </c>
      <c r="Q93" s="67">
        <f>IF(B93="","",VLOOKUP(AD93,Varsayımlar!$B:$Q,8,0))</f>
        <v>15</v>
      </c>
      <c r="R93" s="67" t="str">
        <f>IF(B93="","",VLOOKUP(AD93,Varsayımlar!$B:$Q,9,0))</f>
        <v>Irak Soft</v>
      </c>
      <c r="S93" s="67">
        <f>IF(B93="","",VLOOKUP(AD93,Varsayımlar!$B:$Q,10,0))</f>
        <v>10</v>
      </c>
      <c r="T93" s="67">
        <f>IF(B93="","",VLOOKUP(AD93,Varsayımlar!$B:$Q,11,0))</f>
        <v>12</v>
      </c>
      <c r="U93" s="67">
        <f>IF(B93="","",VLOOKUP(AD93,Varsayımlar!$B:$Q,12,0))</f>
        <v>250</v>
      </c>
      <c r="V93" s="67" t="str">
        <f>IF(B93="","",VLOOKUP(AD93,Varsayımlar!$B:$Q,13,0))</f>
        <v>Yurtdışı</v>
      </c>
      <c r="W93" s="67">
        <f>IF(B93="","",VLOOKUP(AD93,Varsayımlar!$B:$Q,14,0))</f>
        <v>6</v>
      </c>
      <c r="X93" s="69"/>
      <c r="Y93" s="69"/>
      <c r="Z93" s="67"/>
      <c r="AA93" s="67" t="str">
        <f>IF(B93="","",VLOOKUP(AD93,Varsayımlar!$B:$Q,15,0))</f>
        <v>15cm koli</v>
      </c>
      <c r="AB93" s="67" t="str">
        <f>IF(B93="","",VLOOKUP(AD93,Varsayımlar!$B:$Q,16,0))</f>
        <v>14-16 cm</v>
      </c>
      <c r="AC93" s="80">
        <f>IF(B93="","",VLOOKUP(Sayfa1!AD91,Varsayımlar!B:S,18,0))</f>
        <v>0</v>
      </c>
      <c r="AD93" s="57" t="str">
        <f t="shared" ref="AD93" si="8">IF(B93="","",CONCATENATE(B93,E93))</f>
        <v>Yüksekbaş GıdaYüksekbaş 15cm 10 pcs 250g</v>
      </c>
    </row>
    <row r="94" spans="1:30" hidden="1" x14ac:dyDescent="0.25">
      <c r="A94" s="8" t="s">
        <v>91</v>
      </c>
      <c r="B94" s="67"/>
      <c r="C94" s="42" t="str">
        <f>IF(B94="","",VLOOKUP(AD94,#REF!,3,0))</f>
        <v/>
      </c>
      <c r="D94" s="42"/>
      <c r="E94" s="42"/>
      <c r="F94" s="67"/>
      <c r="G94" s="67"/>
      <c r="H94" s="67" t="str">
        <f>IF(B94="","",VLOOKUP(AD94,#REF!,5,0))</f>
        <v/>
      </c>
      <c r="I94" s="67" t="str">
        <f>IF(B94="","",VLOOKUP(AD94,#REF!,19,0))</f>
        <v/>
      </c>
      <c r="J94" s="67" t="str">
        <f>IF(B94="","",VLOOKUP(AD94,#REF!,6,0))</f>
        <v/>
      </c>
      <c r="K94" s="67"/>
      <c r="L94" s="67"/>
      <c r="M94" s="67" t="str">
        <f>IFERROR(IF(B94="","",K94/VLOOKUP(AD94,#REF!,17,0)),"")</f>
        <v/>
      </c>
      <c r="N94" s="67"/>
      <c r="O94" s="67"/>
      <c r="P94" s="67" t="str">
        <f>IF(B94="","",VLOOKUP(AD94,#REF!,7,0)*K94)</f>
        <v/>
      </c>
      <c r="Q94" s="67" t="str">
        <f>IF(B94="","",VLOOKUP(AD94,#REF!,8,0))</f>
        <v/>
      </c>
      <c r="R94" s="67" t="str">
        <f>IF(B94="","",VLOOKUP(AD94,#REF!,9,0))</f>
        <v/>
      </c>
      <c r="S94" s="67" t="str">
        <f>IF(B94="","",VLOOKUP(AD94,#REF!,10,0))</f>
        <v/>
      </c>
      <c r="T94" s="67" t="str">
        <f>IF(B94="","",VLOOKUP(AD94,#REF!,11,0))</f>
        <v/>
      </c>
      <c r="U94" s="67" t="str">
        <f>IF(B94="","",VLOOKUP(AD94,#REF!,12,0))</f>
        <v/>
      </c>
      <c r="V94" s="67" t="str">
        <f>IF(B94="","",VLOOKUP(AD94,#REF!,13,0))</f>
        <v/>
      </c>
      <c r="W94" s="67" t="str">
        <f>IF(B94="","",VLOOKUP(AD94,#REF!,14,0))</f>
        <v/>
      </c>
      <c r="X94" s="69"/>
      <c r="Y94" s="69"/>
      <c r="Z94" s="67"/>
      <c r="AA94" s="67" t="str">
        <f>IF(B94="","",VLOOKUP(AD94,#REF!,15,0))</f>
        <v/>
      </c>
      <c r="AB94" s="67" t="str">
        <f>IF(B94="","",VLOOKUP(AD94,#REF!,16,0))</f>
        <v/>
      </c>
    </row>
    <row r="95" spans="1:30" hidden="1" x14ac:dyDescent="0.25">
      <c r="A95" s="8" t="s">
        <v>92</v>
      </c>
      <c r="B95" s="67"/>
      <c r="C95" s="42" t="str">
        <f>IF(B95="","",VLOOKUP(AD95,#REF!,3,0))</f>
        <v/>
      </c>
      <c r="D95" s="42"/>
      <c r="E95" s="42"/>
      <c r="F95" s="67"/>
      <c r="G95" s="67"/>
      <c r="H95" s="67" t="str">
        <f>IF(B95="","",VLOOKUP(AD95,#REF!,5,0))</f>
        <v/>
      </c>
      <c r="I95" s="67" t="str">
        <f>IF(B95="","",VLOOKUP(AD95,#REF!,19,0))</f>
        <v/>
      </c>
      <c r="J95" s="67" t="str">
        <f>IF(B95="","",VLOOKUP(AD95,#REF!,6,0))</f>
        <v/>
      </c>
      <c r="K95" s="67"/>
      <c r="L95" s="67"/>
      <c r="M95" s="67" t="str">
        <f>IFERROR(IF(B95="","",K95/VLOOKUP(AD95,#REF!,17,0)),"")</f>
        <v/>
      </c>
      <c r="N95" s="67"/>
      <c r="O95" s="67"/>
      <c r="P95" s="67" t="str">
        <f>IF(B95="","",VLOOKUP(AD95,#REF!,7,0)*K95)</f>
        <v/>
      </c>
      <c r="Q95" s="67" t="str">
        <f>IF(B95="","",VLOOKUP(AD95,#REF!,8,0))</f>
        <v/>
      </c>
      <c r="R95" s="67" t="str">
        <f>IF(B95="","",VLOOKUP(AD95,#REF!,9,0))</f>
        <v/>
      </c>
      <c r="S95" s="67" t="str">
        <f>IF(B95="","",VLOOKUP(AD95,#REF!,10,0))</f>
        <v/>
      </c>
      <c r="T95" s="67" t="str">
        <f>IF(B95="","",VLOOKUP(AD95,#REF!,11,0))</f>
        <v/>
      </c>
      <c r="U95" s="67" t="str">
        <f>IF(B95="","",VLOOKUP(AD95,#REF!,12,0))</f>
        <v/>
      </c>
      <c r="V95" s="67" t="str">
        <f>IF(B95="","",VLOOKUP(AD95,#REF!,13,0))</f>
        <v/>
      </c>
      <c r="W95" s="67" t="str">
        <f>IF(B95="","",VLOOKUP(AD95,#REF!,14,0))</f>
        <v/>
      </c>
      <c r="X95" s="69"/>
      <c r="Y95" s="69"/>
      <c r="Z95" s="67"/>
      <c r="AA95" s="67" t="str">
        <f>IF(B95="","",VLOOKUP(AD95,#REF!,15,0))</f>
        <v/>
      </c>
      <c r="AB95" s="67" t="str">
        <f>IF(B95="","",VLOOKUP(AD95,#REF!,16,0))</f>
        <v/>
      </c>
    </row>
    <row r="96" spans="1:30" hidden="1" x14ac:dyDescent="0.25">
      <c r="A96" s="8" t="s">
        <v>93</v>
      </c>
      <c r="B96" s="67"/>
      <c r="C96" s="42" t="str">
        <f>IF(B96="","",VLOOKUP(AD96,#REF!,3,0))</f>
        <v/>
      </c>
      <c r="D96" s="42"/>
      <c r="E96" s="42"/>
      <c r="F96" s="67"/>
      <c r="G96" s="67"/>
      <c r="H96" s="67" t="str">
        <f>IF(B96="","",VLOOKUP(AD96,#REF!,5,0))</f>
        <v/>
      </c>
      <c r="I96" s="67" t="str">
        <f>IF(B96="","",VLOOKUP(AD96,#REF!,19,0))</f>
        <v/>
      </c>
      <c r="J96" s="67" t="str">
        <f>IF(B96="","",VLOOKUP(AD96,#REF!,6,0))</f>
        <v/>
      </c>
      <c r="K96" s="67"/>
      <c r="L96" s="67"/>
      <c r="M96" s="67" t="str">
        <f>IFERROR(IF(B96="","",K96/VLOOKUP(AD96,#REF!,17,0)),"")</f>
        <v/>
      </c>
      <c r="N96" s="67"/>
      <c r="O96" s="67"/>
      <c r="P96" s="67" t="str">
        <f>IF(B96="","",VLOOKUP(AD96,#REF!,7,0)*K96)</f>
        <v/>
      </c>
      <c r="Q96" s="67" t="str">
        <f>IF(B96="","",VLOOKUP(AD96,#REF!,8,0))</f>
        <v/>
      </c>
      <c r="R96" s="67" t="str">
        <f>IF(B96="","",VLOOKUP(AD96,#REF!,9,0))</f>
        <v/>
      </c>
      <c r="S96" s="67" t="str">
        <f>IF(B96="","",VLOOKUP(AD96,#REF!,10,0))</f>
        <v/>
      </c>
      <c r="T96" s="67" t="str">
        <f>IF(B96="","",VLOOKUP(AD96,#REF!,11,0))</f>
        <v/>
      </c>
      <c r="U96" s="67" t="str">
        <f>IF(B96="","",VLOOKUP(AD96,#REF!,12,0))</f>
        <v/>
      </c>
      <c r="V96" s="67" t="str">
        <f>IF(B96="","",VLOOKUP(AD96,#REF!,13,0))</f>
        <v/>
      </c>
      <c r="W96" s="67" t="str">
        <f>IF(B96="","",VLOOKUP(AD96,#REF!,14,0))</f>
        <v/>
      </c>
      <c r="X96" s="69"/>
      <c r="Y96" s="69"/>
      <c r="Z96" s="67"/>
      <c r="AA96" s="67" t="str">
        <f>IF(B96="","",VLOOKUP(AD96,#REF!,15,0))</f>
        <v/>
      </c>
      <c r="AB96" s="67" t="str">
        <f>IF(B96="","",VLOOKUP(AD96,#REF!,16,0))</f>
        <v/>
      </c>
    </row>
    <row r="97" spans="1:28" hidden="1" x14ac:dyDescent="0.25">
      <c r="A97" s="8" t="s">
        <v>135</v>
      </c>
      <c r="B97" s="67"/>
      <c r="C97" s="42" t="str">
        <f>IF(B97="","",VLOOKUP(AD97,#REF!,3,0))</f>
        <v/>
      </c>
      <c r="D97" s="42"/>
      <c r="E97" s="42"/>
      <c r="F97" s="67"/>
      <c r="G97" s="67"/>
      <c r="H97" s="67" t="str">
        <f>IF(B97="","",VLOOKUP(AD97,#REF!,5,0))</f>
        <v/>
      </c>
      <c r="I97" s="67" t="str">
        <f>IF(B97="","",VLOOKUP(AD97,#REF!,19,0))</f>
        <v/>
      </c>
      <c r="J97" s="67" t="str">
        <f>IF(B97="","",VLOOKUP(AD97,#REF!,6,0))</f>
        <v/>
      </c>
      <c r="K97" s="67"/>
      <c r="L97" s="67"/>
      <c r="M97" s="67" t="str">
        <f>IFERROR(IF(B97="","",K97/VLOOKUP(AD97,#REF!,17,0)),"")</f>
        <v/>
      </c>
      <c r="N97" s="67"/>
      <c r="O97" s="67"/>
      <c r="P97" s="67" t="str">
        <f>IF(B97="","",VLOOKUP(AD97,#REF!,7,0)*K97)</f>
        <v/>
      </c>
      <c r="Q97" s="67" t="str">
        <f>IF(B97="","",VLOOKUP(AD97,#REF!,8,0))</f>
        <v/>
      </c>
      <c r="R97" s="67" t="str">
        <f>IF(B97="","",VLOOKUP(AD97,#REF!,9,0))</f>
        <v/>
      </c>
      <c r="S97" s="67" t="str">
        <f>IF(B97="","",VLOOKUP(AD97,#REF!,10,0))</f>
        <v/>
      </c>
      <c r="T97" s="67" t="str">
        <f>IF(B97="","",VLOOKUP(AD97,#REF!,11,0))</f>
        <v/>
      </c>
      <c r="U97" s="67" t="str">
        <f>IF(B97="","",VLOOKUP(AD97,#REF!,12,0))</f>
        <v/>
      </c>
      <c r="V97" s="67" t="str">
        <f>IF(B97="","",VLOOKUP(AD97,#REF!,13,0))</f>
        <v/>
      </c>
      <c r="W97" s="67" t="str">
        <f>IF(B97="","",VLOOKUP(AD97,#REF!,14,0))</f>
        <v/>
      </c>
      <c r="X97" s="69"/>
      <c r="Y97" s="69"/>
      <c r="Z97" s="67"/>
      <c r="AA97" s="67" t="str">
        <f>IF(B97="","",VLOOKUP(AD97,#REF!,15,0))</f>
        <v/>
      </c>
      <c r="AB97" s="67" t="str">
        <f>IF(B97="","",VLOOKUP(AD97,#REF!,16,0))</f>
        <v/>
      </c>
    </row>
    <row r="98" spans="1:28" hidden="1" x14ac:dyDescent="0.25">
      <c r="A98" s="8" t="s">
        <v>136</v>
      </c>
      <c r="B98" s="67"/>
      <c r="C98" s="42" t="str">
        <f>IF(B98="","",VLOOKUP(AD98,#REF!,3,0))</f>
        <v/>
      </c>
      <c r="D98" s="42"/>
      <c r="E98" s="42"/>
      <c r="F98" s="67"/>
      <c r="G98" s="67"/>
      <c r="H98" s="67" t="str">
        <f>IF(B98="","",VLOOKUP(AD98,#REF!,5,0))</f>
        <v/>
      </c>
      <c r="I98" s="67" t="str">
        <f>IF(B98="","",VLOOKUP(AD98,#REF!,19,0))</f>
        <v/>
      </c>
      <c r="J98" s="67" t="str">
        <f>IF(B98="","",VLOOKUP(AD98,#REF!,6,0))</f>
        <v/>
      </c>
      <c r="K98" s="67"/>
      <c r="L98" s="67"/>
      <c r="M98" s="67" t="str">
        <f>IFERROR(IF(B98="","",K98/VLOOKUP(AD98,#REF!,17,0)),"")</f>
        <v/>
      </c>
      <c r="N98" s="67"/>
      <c r="O98" s="67"/>
      <c r="P98" s="67" t="str">
        <f>IF(B98="","",VLOOKUP(AD98,#REF!,7,0)*K98)</f>
        <v/>
      </c>
      <c r="Q98" s="67" t="str">
        <f>IF(B98="","",VLOOKUP(AD98,#REF!,8,0))</f>
        <v/>
      </c>
      <c r="R98" s="67" t="str">
        <f>IF(B98="","",VLOOKUP(AD98,#REF!,9,0))</f>
        <v/>
      </c>
      <c r="S98" s="67" t="str">
        <f>IF(B98="","",VLOOKUP(AD98,#REF!,10,0))</f>
        <v/>
      </c>
      <c r="T98" s="67" t="str">
        <f>IF(B98="","",VLOOKUP(AD98,#REF!,11,0))</f>
        <v/>
      </c>
      <c r="U98" s="67" t="str">
        <f>IF(B98="","",VLOOKUP(AD98,#REF!,12,0))</f>
        <v/>
      </c>
      <c r="V98" s="67" t="str">
        <f>IF(B98="","",VLOOKUP(AD98,#REF!,13,0))</f>
        <v/>
      </c>
      <c r="W98" s="67" t="str">
        <f>IF(B98="","",VLOOKUP(AD98,#REF!,14,0))</f>
        <v/>
      </c>
      <c r="X98" s="69"/>
      <c r="Y98" s="69"/>
      <c r="Z98" s="67"/>
      <c r="AA98" s="67" t="str">
        <f>IF(B98="","",VLOOKUP(AD98,#REF!,15,0))</f>
        <v/>
      </c>
      <c r="AB98" s="67" t="str">
        <f>IF(B98="","",VLOOKUP(AD98,#REF!,16,0))</f>
        <v/>
      </c>
    </row>
    <row r="99" spans="1:28" hidden="1" x14ac:dyDescent="0.25">
      <c r="A99" s="8" t="s">
        <v>137</v>
      </c>
      <c r="B99" s="67"/>
      <c r="C99" s="42" t="str">
        <f>IF(B99="","",VLOOKUP(AD99,#REF!,3,0))</f>
        <v/>
      </c>
      <c r="D99" s="42"/>
      <c r="E99" s="42"/>
      <c r="F99" s="67"/>
      <c r="G99" s="67"/>
      <c r="H99" s="67" t="str">
        <f>IF(B99="","",VLOOKUP(AD99,#REF!,5,0))</f>
        <v/>
      </c>
      <c r="I99" s="67" t="str">
        <f>IF(B99="","",VLOOKUP(AD99,#REF!,19,0))</f>
        <v/>
      </c>
      <c r="J99" s="67" t="str">
        <f>IF(B99="","",VLOOKUP(AD99,#REF!,6,0))</f>
        <v/>
      </c>
      <c r="K99" s="67"/>
      <c r="L99" s="67"/>
      <c r="M99" s="67" t="str">
        <f>IFERROR(IF(B99="","",K99/VLOOKUP(AD99,#REF!,17,0)),"")</f>
        <v/>
      </c>
      <c r="N99" s="67"/>
      <c r="O99" s="67"/>
      <c r="P99" s="67" t="str">
        <f>IF(B99="","",VLOOKUP(AD99,#REF!,7,0)*K99)</f>
        <v/>
      </c>
      <c r="Q99" s="67" t="str">
        <f>IF(B99="","",VLOOKUP(AD99,#REF!,8,0))</f>
        <v/>
      </c>
      <c r="R99" s="67" t="str">
        <f>IF(B99="","",VLOOKUP(AD99,#REF!,9,0))</f>
        <v/>
      </c>
      <c r="S99" s="67" t="str">
        <f>IF(B99="","",VLOOKUP(AD99,#REF!,10,0))</f>
        <v/>
      </c>
      <c r="T99" s="67" t="str">
        <f>IF(B99="","",VLOOKUP(AD99,#REF!,11,0))</f>
        <v/>
      </c>
      <c r="U99" s="67" t="str">
        <f>IF(B99="","",VLOOKUP(AD99,#REF!,12,0))</f>
        <v/>
      </c>
      <c r="V99" s="67" t="str">
        <f>IF(B99="","",VLOOKUP(AD99,#REF!,13,0))</f>
        <v/>
      </c>
      <c r="W99" s="67" t="str">
        <f>IF(B99="","",VLOOKUP(AD99,#REF!,14,0))</f>
        <v/>
      </c>
      <c r="X99" s="69"/>
      <c r="Y99" s="69"/>
      <c r="Z99" s="67"/>
      <c r="AA99" s="67" t="str">
        <f>IF(B99="","",VLOOKUP(AD99,#REF!,15,0))</f>
        <v/>
      </c>
      <c r="AB99" s="67" t="str">
        <f>IF(B99="","",VLOOKUP(AD99,#REF!,16,0))</f>
        <v/>
      </c>
    </row>
    <row r="100" spans="1:28" hidden="1" x14ac:dyDescent="0.25">
      <c r="A100" s="8" t="s">
        <v>138</v>
      </c>
      <c r="B100" s="67"/>
      <c r="C100" s="42" t="str">
        <f>IF(B100="","",VLOOKUP(AD100,#REF!,3,0))</f>
        <v/>
      </c>
      <c r="D100" s="42"/>
      <c r="E100" s="42"/>
      <c r="F100" s="67"/>
      <c r="G100" s="67"/>
      <c r="H100" s="67" t="str">
        <f>IF(B100="","",VLOOKUP(AD100,#REF!,5,0))</f>
        <v/>
      </c>
      <c r="I100" s="67" t="str">
        <f>IF(B100="","",VLOOKUP(AD100,#REF!,19,0))</f>
        <v/>
      </c>
      <c r="J100" s="67" t="str">
        <f>IF(B100="","",VLOOKUP(AD100,#REF!,6,0))</f>
        <v/>
      </c>
      <c r="K100" s="67"/>
      <c r="L100" s="67"/>
      <c r="M100" s="67" t="str">
        <f>IFERROR(IF(B100="","",K100/VLOOKUP(AD100,#REF!,17,0)),"")</f>
        <v/>
      </c>
      <c r="N100" s="67"/>
      <c r="O100" s="67"/>
      <c r="P100" s="67" t="str">
        <f>IF(B100="","",VLOOKUP(AD100,#REF!,7,0)*K100)</f>
        <v/>
      </c>
      <c r="Q100" s="67" t="str">
        <f>IF(B100="","",VLOOKUP(AD100,#REF!,8,0))</f>
        <v/>
      </c>
      <c r="R100" s="67" t="str">
        <f>IF(B100="","",VLOOKUP(AD100,#REF!,9,0))</f>
        <v/>
      </c>
      <c r="S100" s="67" t="str">
        <f>IF(B100="","",VLOOKUP(AD100,#REF!,10,0))</f>
        <v/>
      </c>
      <c r="T100" s="67" t="str">
        <f>IF(B100="","",VLOOKUP(AD100,#REF!,11,0))</f>
        <v/>
      </c>
      <c r="U100" s="67" t="str">
        <f>IF(B100="","",VLOOKUP(AD100,#REF!,12,0))</f>
        <v/>
      </c>
      <c r="V100" s="67" t="str">
        <f>IF(B100="","",VLOOKUP(AD100,#REF!,13,0))</f>
        <v/>
      </c>
      <c r="W100" s="67" t="str">
        <f>IF(B100="","",VLOOKUP(AD100,#REF!,14,0))</f>
        <v/>
      </c>
      <c r="X100" s="69"/>
      <c r="Y100" s="69"/>
      <c r="Z100" s="67"/>
      <c r="AA100" s="67" t="str">
        <f>IF(B100="","",VLOOKUP(AD100,#REF!,15,0))</f>
        <v/>
      </c>
      <c r="AB100" s="67" t="str">
        <f>IF(B100="","",VLOOKUP(AD100,#REF!,16,0))</f>
        <v/>
      </c>
    </row>
  </sheetData>
  <mergeCells count="6">
    <mergeCell ref="B79:AB79"/>
    <mergeCell ref="A1:AC1"/>
    <mergeCell ref="A2:Z2"/>
    <mergeCell ref="AB2:AC2"/>
    <mergeCell ref="A52:AB52"/>
    <mergeCell ref="A76:AB76"/>
  </mergeCells>
  <phoneticPr fontId="5" type="noConversion"/>
  <pageMargins left="0.31496062992125984" right="0.31496062992125984" top="0.35433070866141736" bottom="0.35433070866141736" header="0.31496062992125984" footer="0.31496062992125984"/>
  <pageSetup paperSize="9" scale="42" fitToHeight="2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zoomScale="70" zoomScaleNormal="70" workbookViewId="0">
      <selection sqref="A1:XFD1048576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hidden="1" customWidth="1"/>
    <col min="6" max="6" width="14" style="140" customWidth="1"/>
    <col min="7" max="7" width="14.140625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1.285156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1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1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46202</v>
      </c>
      <c r="AB2" s="185">
        <v>0.35069444444444442</v>
      </c>
      <c r="AC2" s="186"/>
    </row>
    <row r="3" spans="1:31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1" ht="47.25" x14ac:dyDescent="0.25">
      <c r="A4" s="8" t="s">
        <v>26</v>
      </c>
      <c r="B4" s="64" t="s">
        <v>288</v>
      </c>
      <c r="C4" s="3">
        <f>IF(B4="","",VLOOKUP(AD4,Varsayımlar!$B:$Q,3,0))</f>
        <v>8698829380698</v>
      </c>
      <c r="D4" s="3"/>
      <c r="E4" s="64" t="s">
        <v>252</v>
      </c>
      <c r="F4" s="64">
        <v>20201016</v>
      </c>
      <c r="G4" s="3" t="s">
        <v>68</v>
      </c>
      <c r="H4" s="64" t="str">
        <f>IF(B4="","",VLOOKUP(AD4,Varsayımlar!$B:$Q,5,0))</f>
        <v>Tortillas 20cm Sade</v>
      </c>
      <c r="I4" s="64" t="str">
        <f>IF(B4="","",VLOOKUP(AD4,Varsayımlar!B:T,19,0))</f>
        <v>Arka kısma İçerik</v>
      </c>
      <c r="J4" s="64" t="str">
        <f>IF(B4="","",VLOOKUP(AD4,Varsayımlar!$B:$Q,6,0))</f>
        <v>SADE</v>
      </c>
      <c r="K4" s="64">
        <v>300</v>
      </c>
      <c r="L4" s="64"/>
      <c r="M4" s="64">
        <f>IFERROR(IF(B4="","",K4/VLOOKUP(AD4,Varsayımlar!B:R,17,0)),"")</f>
        <v>3</v>
      </c>
      <c r="N4" s="64"/>
      <c r="O4" s="64">
        <v>5</v>
      </c>
      <c r="P4" s="64">
        <f>IF(B4="","",VLOOKUP(AD4,Varsayımlar!$B:$Q,7,0)*K4)</f>
        <v>5400</v>
      </c>
      <c r="Q4" s="64">
        <f>IF(B4="","",VLOOKUP(AD4,Varsayımlar!$B:$Q,8,0))</f>
        <v>20</v>
      </c>
      <c r="R4" s="64" t="str">
        <f>IF(B4="","",VLOOKUP(AD4,Varsayımlar!$B:$Q,9,0))</f>
        <v>Irak Soft</v>
      </c>
      <c r="S4" s="64">
        <f>IF(B4="","",VLOOKUP(AD4,Varsayımlar!$B:$Q,10,0))</f>
        <v>6</v>
      </c>
      <c r="T4" s="64">
        <f>IF(B4="","",VLOOKUP(AD4,Varsayımlar!$B:$Q,11,0))</f>
        <v>18</v>
      </c>
      <c r="U4" s="64">
        <f>IF(B4="","",VLOOKUP(AD4,Varsayımlar!$B:$Q,12,0))</f>
        <v>270</v>
      </c>
      <c r="V4" s="64" t="str">
        <f>IF(B4="","",VLOOKUP(AD4,Varsayımlar!$B:$Q,13,0))</f>
        <v>YURTDIŞI</v>
      </c>
      <c r="W4" s="64">
        <f>IF(B4="","",VLOOKUP(AD4,Varsayımlar!$B:$Q,14,0))</f>
        <v>9</v>
      </c>
      <c r="X4" s="66">
        <v>46202</v>
      </c>
      <c r="Y4" s="66">
        <v>46475</v>
      </c>
      <c r="Z4" s="64">
        <v>26062920</v>
      </c>
      <c r="AA4" s="64" t="str">
        <f>IF(B4="","",VLOOKUP(AD4,Varsayımlar!$B:$Q,15,0))</f>
        <v>20cm Koli</v>
      </c>
      <c r="AB4" s="64" t="str">
        <f>IF(B4="","",VLOOKUP(AD4,Varsayımlar!$B:$Q,16,0))</f>
        <v>19-21cm</v>
      </c>
      <c r="AC4" s="64" t="str">
        <f>IF(B4="","",VLOOKUP(Sayfa1!AD41,Varsayımlar!B:S,18,0))</f>
        <v>80x120cm</v>
      </c>
      <c r="AD4" s="57" t="str">
        <f>IF(B4="","",CONCATENATE(B4,E4))</f>
        <v>UNITERA-KAZAKİSTANTortillas 20cm Sade 6pcs 270g</v>
      </c>
    </row>
    <row r="5" spans="1:31" ht="47.25" x14ac:dyDescent="0.25">
      <c r="A5" s="8" t="s">
        <v>77</v>
      </c>
      <c r="B5" s="64" t="s">
        <v>288</v>
      </c>
      <c r="C5" s="3">
        <f>IF(B5="","",VLOOKUP(AD5,Varsayımlar!$B:$Q,3,0))</f>
        <v>8698829380698</v>
      </c>
      <c r="D5" s="3"/>
      <c r="E5" s="64" t="s">
        <v>289</v>
      </c>
      <c r="F5" s="64">
        <v>20201016</v>
      </c>
      <c r="G5" s="3" t="s">
        <v>68</v>
      </c>
      <c r="H5" s="64" t="str">
        <f>IF(B5="","",VLOOKUP(AD5,Varsayımlar!$B:$Q,5,0))</f>
        <v>Tortillas 25cm Tam Buğday</v>
      </c>
      <c r="I5" s="64" t="str">
        <f>IF(B5="","",VLOOKUP(AD5,Varsayımlar!B:T,19,0))</f>
        <v>Arka kısma İçerik</v>
      </c>
      <c r="J5" s="64" t="str">
        <f>IF(B5="","",VLOOKUP(AD5,Varsayımlar!$B:$Q,6,0))</f>
        <v>Tam Buğdaylı</v>
      </c>
      <c r="K5" s="64">
        <v>250</v>
      </c>
      <c r="L5" s="64"/>
      <c r="M5" s="64">
        <f>IFERROR(IF(B5="","",K5/VLOOKUP(AD5,Varsayımlar!B:R,17,0)),"")</f>
        <v>5</v>
      </c>
      <c r="N5" s="64"/>
      <c r="O5" s="64">
        <v>4</v>
      </c>
      <c r="P5" s="64">
        <f>IF(B5="","",VLOOKUP(AD5,Varsayımlar!$B:$Q,7,0)*K5)</f>
        <v>4500</v>
      </c>
      <c r="Q5" s="64">
        <f>IF(B5="","",VLOOKUP(AD5,Varsayımlar!$B:$Q,8,0))</f>
        <v>25</v>
      </c>
      <c r="R5" s="64" t="str">
        <f>IF(B5="","",VLOOKUP(AD5,Varsayımlar!$B:$Q,9,0))</f>
        <v>Irak Soft</v>
      </c>
      <c r="S5" s="64">
        <f>IF(B5="","",VLOOKUP(AD5,Varsayımlar!$B:$Q,10,0))</f>
        <v>6</v>
      </c>
      <c r="T5" s="64">
        <f>IF(B5="","",VLOOKUP(AD5,Varsayımlar!$B:$Q,11,0))</f>
        <v>18</v>
      </c>
      <c r="U5" s="64">
        <f>IF(B5="","",VLOOKUP(AD5,Varsayımlar!$B:$Q,12,0))</f>
        <v>390</v>
      </c>
      <c r="V5" s="64" t="str">
        <f>IF(B5="","",VLOOKUP(AD5,Varsayımlar!$B:$Q,13,0))</f>
        <v>YURTDIŞI</v>
      </c>
      <c r="W5" s="64">
        <f>IF(B5="","",VLOOKUP(AD5,Varsayımlar!$B:$Q,14,0))</f>
        <v>9</v>
      </c>
      <c r="X5" s="66">
        <v>46202</v>
      </c>
      <c r="Y5" s="66">
        <v>46475</v>
      </c>
      <c r="Z5" s="64" t="s">
        <v>378</v>
      </c>
      <c r="AA5" s="64" t="str">
        <f>IF(B5="","",VLOOKUP(AD5,Varsayımlar!$B:$Q,15,0))</f>
        <v>25cm Koli-Kazakça Etiketli</v>
      </c>
      <c r="AB5" s="64" t="str">
        <f>IF(B5="","",VLOOKUP(AD5,Varsayımlar!$B:$Q,16,0))</f>
        <v>24-26 cm</v>
      </c>
      <c r="AC5" s="64" t="str">
        <f>IF(B5="","",VLOOKUP(Sayfa1!AD40,Varsayımlar!B:S,18,0))</f>
        <v>80x120cm</v>
      </c>
      <c r="AD5" s="57" t="str">
        <f t="shared" ref="AD5:AD25" si="0">IF(B5="","",CONCATENATE(B5,E5))</f>
        <v>UNITERA-KAZAKİSTANTortillas 25cm Tam Buğday 6pcs 390g</v>
      </c>
    </row>
    <row r="6" spans="1:31" ht="31.5" x14ac:dyDescent="0.25">
      <c r="A6" s="8" t="s">
        <v>78</v>
      </c>
      <c r="B6" s="80" t="s">
        <v>218</v>
      </c>
      <c r="C6" s="44">
        <f>IF(B6="","",VLOOKUP(AD6,Varsayımlar!$B:$Q,3,0))</f>
        <v>8698829380698</v>
      </c>
      <c r="D6" s="44" t="s">
        <v>160</v>
      </c>
      <c r="E6" s="80" t="s">
        <v>229</v>
      </c>
      <c r="F6" s="80">
        <v>26042907</v>
      </c>
      <c r="G6" s="44"/>
      <c r="H6" s="80" t="str">
        <f>IF(B6="","",VLOOKUP(AD6,Varsayımlar!$B:$Q,5,0))</f>
        <v>Tortillas Avrupa 25cm Tam Buğday (711)</v>
      </c>
      <c r="I6" s="80">
        <f>IF(B6="","",VLOOKUP(AD6,Varsayımlar!B:T,19,0))</f>
        <v>0</v>
      </c>
      <c r="J6" s="80" t="str">
        <f>IF(B6="","",VLOOKUP(AD6,Varsayımlar!$B:$Q,6,0))</f>
        <v>Tam Buğdaylı</v>
      </c>
      <c r="K6" s="80">
        <v>840</v>
      </c>
      <c r="L6" s="80"/>
      <c r="M6" s="80">
        <f>IFERROR(IF(B6="","",K6/VLOOKUP(AD6,Varsayımlar!B:R,17,0)),"")</f>
        <v>7</v>
      </c>
      <c r="N6" s="80"/>
      <c r="O6" s="80">
        <v>9</v>
      </c>
      <c r="P6" s="80">
        <f>IF(B6="","",VLOOKUP(AD6,Varsayımlar!$B:$Q,7,0)*K6)</f>
        <v>6720</v>
      </c>
      <c r="Q6" s="80">
        <f>IF(B6="","",VLOOKUP(AD6,Varsayımlar!$B:$Q,8,0))</f>
        <v>25</v>
      </c>
      <c r="R6" s="80" t="str">
        <f>IF(B6="","",VLOOKUP(AD6,Varsayımlar!$B:$Q,9,0))</f>
        <v>Irak Soft</v>
      </c>
      <c r="S6" s="80">
        <f>IF(B6="","",VLOOKUP(AD6,Varsayımlar!$B:$Q,10,0))</f>
        <v>10</v>
      </c>
      <c r="T6" s="80">
        <f>IF(B6="","",VLOOKUP(AD6,Varsayımlar!$B:$Q,11,0))</f>
        <v>8</v>
      </c>
      <c r="U6" s="80">
        <f>IF(B6="","",VLOOKUP(AD6,Varsayımlar!$B:$Q,12,0))</f>
        <v>650</v>
      </c>
      <c r="V6" s="80" t="str">
        <f>IF(B6="","",VLOOKUP(AD6,Varsayımlar!$B:$Q,13,0))</f>
        <v>Yurtdışı</v>
      </c>
      <c r="W6" s="80">
        <f>IF(B6="","",VLOOKUP(AD6,Varsayımlar!$B:$Q,14,0))</f>
        <v>9</v>
      </c>
      <c r="X6" s="81">
        <v>46203</v>
      </c>
      <c r="Y6" s="81">
        <v>46476</v>
      </c>
      <c r="Z6" s="80" t="s">
        <v>379</v>
      </c>
      <c r="AA6" s="80" t="str">
        <f>IF(B6="","",VLOOKUP(AD6,Varsayımlar!$B:$Q,15,0))</f>
        <v>25cm Perforeli-Bulgarca TB etiket</v>
      </c>
      <c r="AB6" s="80" t="str">
        <f>IF(B6="","",VLOOKUP(AD6,Varsayımlar!$B:$Q,16,0))</f>
        <v>24-26 cm</v>
      </c>
      <c r="AC6" s="80" t="str">
        <f>IF(B6="","",VLOOKUP(Sayfa1!AD57,Varsayımlar!B:S,18,0))</f>
        <v>80x120cm -Epal+Epal</v>
      </c>
      <c r="AD6" s="57" t="str">
        <f>IF(B6="","",CONCATENATE(B6,E6))</f>
        <v>TASTE LAND-BULGARİSTANTortillas 25cm Tam Buğday 10pcs 650g</v>
      </c>
    </row>
    <row r="7" spans="1:31" ht="47.25" x14ac:dyDescent="0.25">
      <c r="A7" s="8" t="s">
        <v>79</v>
      </c>
      <c r="B7" s="80" t="s">
        <v>218</v>
      </c>
      <c r="C7" s="44">
        <f>IF(B7="","",VLOOKUP(AD7,Varsayımlar!$B:$Q,3,0))</f>
        <v>8698829380698</v>
      </c>
      <c r="D7" s="44" t="s">
        <v>160</v>
      </c>
      <c r="E7" s="80" t="s">
        <v>232</v>
      </c>
      <c r="F7" s="80">
        <v>26042907</v>
      </c>
      <c r="G7" s="44"/>
      <c r="H7" s="80" t="str">
        <f>IF(B7="","",VLOOKUP(AD7,Varsayımlar!$B:$Q,5,0))</f>
        <v>Tortillas Avrupa 25cm Domatesli (074)</v>
      </c>
      <c r="I7" s="80">
        <f>IF(B7="","",VLOOKUP(AD7,Varsayımlar!B:T,19,0))</f>
        <v>0</v>
      </c>
      <c r="J7" s="80" t="str">
        <f>IF(B7="","",VLOOKUP(AD7,Varsayımlar!$B:$Q,6,0))</f>
        <v>Domatesli</v>
      </c>
      <c r="K7" s="80">
        <v>480</v>
      </c>
      <c r="L7" s="80" t="s">
        <v>533</v>
      </c>
      <c r="M7" s="80">
        <f>IFERROR(IF(B7="","",K7/VLOOKUP(AD7,Varsayımlar!B:R,17,0)),"")</f>
        <v>4</v>
      </c>
      <c r="N7" s="80"/>
      <c r="O7" s="80">
        <v>5</v>
      </c>
      <c r="P7" s="80">
        <f>IF(B7="","",VLOOKUP(AD7,Varsayımlar!$B:$Q,7,0)*K7)</f>
        <v>5760</v>
      </c>
      <c r="Q7" s="80">
        <f>IF(B7="","",VLOOKUP(AD7,Varsayımlar!$B:$Q,8,0))</f>
        <v>25</v>
      </c>
      <c r="R7" s="80" t="str">
        <f>IF(B7="","",VLOOKUP(AD7,Varsayımlar!$B:$Q,9,0))</f>
        <v>Irak Soft</v>
      </c>
      <c r="S7" s="80">
        <f>IF(B7="","",VLOOKUP(AD7,Varsayımlar!$B:$Q,10,0))</f>
        <v>6</v>
      </c>
      <c r="T7" s="80">
        <f>IF(B7="","",VLOOKUP(AD7,Varsayımlar!$B:$Q,11,0))</f>
        <v>12</v>
      </c>
      <c r="U7" s="80">
        <f>IF(B7="","",VLOOKUP(AD7,Varsayımlar!$B:$Q,12,0))</f>
        <v>390</v>
      </c>
      <c r="V7" s="80" t="str">
        <f>IF(B7="","",VLOOKUP(AD7,Varsayımlar!$B:$Q,13,0))</f>
        <v>Yurtdışı</v>
      </c>
      <c r="W7" s="80">
        <f>IF(B7="","",VLOOKUP(AD7,Varsayımlar!$B:$Q,14,0))</f>
        <v>9</v>
      </c>
      <c r="X7" s="81">
        <v>46203</v>
      </c>
      <c r="Y7" s="81">
        <v>46476</v>
      </c>
      <c r="Z7" s="80" t="s">
        <v>380</v>
      </c>
      <c r="AA7" s="80" t="str">
        <f>IF(B7="","",VLOOKUP(AD7,Varsayımlar!$B:$Q,15,0))</f>
        <v>25cm Perforeli-Bulgarca Domatesli etiket</v>
      </c>
      <c r="AB7" s="80" t="str">
        <f>IF(B7="","",VLOOKUP(AD7,Varsayımlar!$B:$Q,16,0))</f>
        <v>24-26 cm</v>
      </c>
      <c r="AC7" s="80" t="str">
        <f>IF(B7="","",VLOOKUP(Sayfa1!AD58,Varsayımlar!B:S,18,0))</f>
        <v>80x120cm -Epal+Epal</v>
      </c>
      <c r="AD7" s="57" t="str">
        <f t="shared" si="0"/>
        <v>TASTE LAND-BULGARİSTANTortillas 25cm Domatesli 6pcs 390g</v>
      </c>
    </row>
    <row r="8" spans="1:31" ht="47.25" x14ac:dyDescent="0.25">
      <c r="A8" s="8" t="s">
        <v>80</v>
      </c>
      <c r="B8" s="80" t="s">
        <v>218</v>
      </c>
      <c r="C8" s="44">
        <f>IF(B8="","",VLOOKUP(AD8,Varsayımlar!$B:$Q,3,0))</f>
        <v>8698829380698</v>
      </c>
      <c r="D8" s="44" t="s">
        <v>160</v>
      </c>
      <c r="E8" s="80" t="s">
        <v>235</v>
      </c>
      <c r="F8" s="80">
        <v>26042907</v>
      </c>
      <c r="G8" s="44"/>
      <c r="H8" s="80" t="str">
        <f>IF(B8="","",VLOOKUP(AD8,Varsayımlar!$B:$Q,5,0))</f>
        <v>Tortillas Avrupa 25cm Ispanaklı (081)</v>
      </c>
      <c r="I8" s="80">
        <f>IF(B8="","",VLOOKUP(AD8,Varsayımlar!B:T,19,0))</f>
        <v>0</v>
      </c>
      <c r="J8" s="80" t="str">
        <f>IF(B8="","",VLOOKUP(AD8,Varsayımlar!$B:$Q,6,0))</f>
        <v>Ispanaklı</v>
      </c>
      <c r="K8" s="80">
        <v>480</v>
      </c>
      <c r="L8" s="80" t="s">
        <v>528</v>
      </c>
      <c r="M8" s="80">
        <f>IFERROR(IF(B8="","",K8/VLOOKUP(AD8,Varsayımlar!B:R,17,0)),"")</f>
        <v>4</v>
      </c>
      <c r="N8" s="80"/>
      <c r="O8" s="80">
        <v>5</v>
      </c>
      <c r="P8" s="80">
        <f>IF(B8="","",VLOOKUP(AD8,Varsayımlar!$B:$Q,7,0)*K8)</f>
        <v>5760</v>
      </c>
      <c r="Q8" s="80">
        <f>IF(B8="","",VLOOKUP(AD8,Varsayımlar!$B:$Q,8,0))</f>
        <v>25</v>
      </c>
      <c r="R8" s="80" t="str">
        <f>IF(B8="","",VLOOKUP(AD8,Varsayımlar!$B:$Q,9,0))</f>
        <v>Irak Soft</v>
      </c>
      <c r="S8" s="80">
        <f>IF(B8="","",VLOOKUP(AD8,Varsayımlar!$B:$Q,10,0))</f>
        <v>6</v>
      </c>
      <c r="T8" s="80">
        <f>IF(B8="","",VLOOKUP(AD8,Varsayımlar!$B:$Q,11,0))</f>
        <v>12</v>
      </c>
      <c r="U8" s="80">
        <f>IF(B8="","",VLOOKUP(AD8,Varsayımlar!$B:$Q,12,0))</f>
        <v>390</v>
      </c>
      <c r="V8" s="80" t="str">
        <f>IF(B8="","",VLOOKUP(AD8,Varsayımlar!$B:$Q,13,0))</f>
        <v>Yurtdışı</v>
      </c>
      <c r="W8" s="80">
        <f>IF(B8="","",VLOOKUP(AD8,Varsayımlar!$B:$Q,14,0))</f>
        <v>9</v>
      </c>
      <c r="X8" s="81">
        <v>46203</v>
      </c>
      <c r="Y8" s="81">
        <v>46476</v>
      </c>
      <c r="Z8" s="80" t="s">
        <v>381</v>
      </c>
      <c r="AA8" s="80" t="str">
        <f>IF(B8="","",VLOOKUP(AD8,Varsayımlar!$B:$Q,15,0))</f>
        <v>25cm Perforeli-Bulgarca Ispanaklı etiket</v>
      </c>
      <c r="AB8" s="80" t="str">
        <f>IF(B8="","",VLOOKUP(AD8,Varsayımlar!$B:$Q,16,0))</f>
        <v>24-26 cm</v>
      </c>
      <c r="AC8" s="80" t="str">
        <f>IF(B8="","",VLOOKUP(Sayfa1!AD59,Varsayımlar!B:S,18,0))</f>
        <v>80x120cm -Epal+Epal</v>
      </c>
      <c r="AD8" s="57" t="str">
        <f t="shared" si="0"/>
        <v>TASTE LAND-BULGARİSTANTortillas 25cm Ispanaklı 6pcs 390g</v>
      </c>
    </row>
    <row r="9" spans="1:31" ht="47.25" x14ac:dyDescent="0.25">
      <c r="A9" s="8" t="s">
        <v>81</v>
      </c>
      <c r="B9" s="80" t="s">
        <v>218</v>
      </c>
      <c r="C9" s="44">
        <f>IF(B9="","",VLOOKUP(AD9,Varsayımlar!$B:$Q,3,0))</f>
        <v>8698829380698</v>
      </c>
      <c r="D9" s="44" t="s">
        <v>160</v>
      </c>
      <c r="E9" s="80" t="s">
        <v>240</v>
      </c>
      <c r="F9" s="80">
        <v>26042907</v>
      </c>
      <c r="G9" s="44"/>
      <c r="H9" s="80" t="str">
        <f>IF(B9="","",VLOOKUP(AD9,Varsayımlar!$B:$Q,5,0))</f>
        <v>Tortillas Avrupa 25cm Peynirli (098)</v>
      </c>
      <c r="I9" s="80">
        <f>IF(B9="","",VLOOKUP(AD9,Varsayımlar!B:T,19,0))</f>
        <v>0</v>
      </c>
      <c r="J9" s="80" t="str">
        <f>IF(B9="","",VLOOKUP(AD9,Varsayımlar!$B:$Q,6,0))</f>
        <v>Peynirli</v>
      </c>
      <c r="K9" s="80">
        <v>360</v>
      </c>
      <c r="L9" s="80" t="s">
        <v>528</v>
      </c>
      <c r="M9" s="80">
        <f>IFERROR(IF(B9="","",K9/VLOOKUP(AD9,Varsayımlar!B:R,17,0)),"")</f>
        <v>3</v>
      </c>
      <c r="N9" s="80"/>
      <c r="O9" s="80">
        <v>4</v>
      </c>
      <c r="P9" s="80">
        <f>IF(B9="","",VLOOKUP(AD9,Varsayımlar!$B:$Q,7,0)*K9)</f>
        <v>4320</v>
      </c>
      <c r="Q9" s="80">
        <f>IF(B9="","",VLOOKUP(AD9,Varsayımlar!$B:$Q,8,0))</f>
        <v>25</v>
      </c>
      <c r="R9" s="80" t="str">
        <f>IF(B9="","",VLOOKUP(AD9,Varsayımlar!$B:$Q,9,0))</f>
        <v>Irak Soft-AT</v>
      </c>
      <c r="S9" s="80">
        <f>IF(B9="","",VLOOKUP(AD9,Varsayımlar!$B:$Q,10,0))</f>
        <v>6</v>
      </c>
      <c r="T9" s="80">
        <f>IF(B9="","",VLOOKUP(AD9,Varsayımlar!$B:$Q,11,0))</f>
        <v>12</v>
      </c>
      <c r="U9" s="80">
        <f>IF(B9="","",VLOOKUP(AD9,Varsayımlar!$B:$Q,12,0))</f>
        <v>390</v>
      </c>
      <c r="V9" s="80" t="str">
        <f>IF(B9="","",VLOOKUP(AD9,Varsayımlar!$B:$Q,13,0))</f>
        <v>Yurtdışı</v>
      </c>
      <c r="W9" s="80">
        <f>IF(B9="","",VLOOKUP(AD9,Varsayımlar!$B:$Q,14,0))</f>
        <v>9</v>
      </c>
      <c r="X9" s="81">
        <v>46203</v>
      </c>
      <c r="Y9" s="81">
        <v>46476</v>
      </c>
      <c r="Z9" s="80" t="s">
        <v>382</v>
      </c>
      <c r="AA9" s="80" t="str">
        <f>IF(B9="","",VLOOKUP(AD9,Varsayımlar!$B:$Q,15,0))</f>
        <v>25cm Perforeli-Bulgarca Peynirli etiket</v>
      </c>
      <c r="AB9" s="80" t="str">
        <f>IF(B9="","",VLOOKUP(AD9,Varsayımlar!$B:$Q,16,0))</f>
        <v>24-26 cm</v>
      </c>
      <c r="AC9" s="80" t="str">
        <f>IF(B9="","",VLOOKUP(Sayfa1!AD60,Varsayımlar!B:S,18,0))</f>
        <v>80x120cm -Epal+Epal</v>
      </c>
      <c r="AD9" s="57" t="str">
        <f t="shared" si="0"/>
        <v>TASTE LAND-BULGARİSTANTortillas 25cm Peynirli 6pcs 390g</v>
      </c>
    </row>
    <row r="10" spans="1:31" ht="45.75" customHeight="1" x14ac:dyDescent="0.25">
      <c r="A10" s="8" t="s">
        <v>86</v>
      </c>
      <c r="B10" s="130" t="s">
        <v>119</v>
      </c>
      <c r="C10" s="131">
        <f>IF(B10="","",VLOOKUP(AD10,Varsayımlar!$B:$Q,3,0))</f>
        <v>8698829380698</v>
      </c>
      <c r="D10" s="131"/>
      <c r="E10" s="132" t="s">
        <v>120</v>
      </c>
      <c r="F10" s="130"/>
      <c r="G10" s="130"/>
      <c r="H10" s="130" t="str">
        <f>IF(B10="","",VLOOKUP(AD10,Varsayımlar!$B:$Q,5,0))</f>
        <v>Nimet 25 cm</v>
      </c>
      <c r="I10" s="130"/>
      <c r="J10" s="130" t="str">
        <f>IF(B10="","",VLOOKUP(AD10,Varsayımlar!$B:$Q,6,0))</f>
        <v>SADE</v>
      </c>
      <c r="K10" s="130">
        <v>5000</v>
      </c>
      <c r="L10" s="130"/>
      <c r="M10" s="130">
        <f>IFERROR(IF(B10="","",K10/VLOOKUP(AD10,Varsayımlar!B:R,17,0)),"")</f>
        <v>100</v>
      </c>
      <c r="N10" s="130"/>
      <c r="O10" s="130">
        <v>100</v>
      </c>
      <c r="P10" s="130">
        <f>IF(B10="","",VLOOKUP(AD10,Varsayımlar!$B:$Q,7,0)*K10)</f>
        <v>60000</v>
      </c>
      <c r="Q10" s="130">
        <f>IF(B10="","",VLOOKUP(AD10,Varsayımlar!$B:$Q,8,0))</f>
        <v>25</v>
      </c>
      <c r="R10" s="130" t="str">
        <f>IF(B10="","",VLOOKUP(AD10,Varsayımlar!$B:$Q,9,0))</f>
        <v>Standart</v>
      </c>
      <c r="S10" s="130">
        <f>IF(B10="","",VLOOKUP(AD10,Varsayımlar!$B:$Q,10,0))</f>
        <v>12</v>
      </c>
      <c r="T10" s="130">
        <f>IF(B10="","",VLOOKUP(AD10,Varsayımlar!$B:$Q,11,0))</f>
        <v>12</v>
      </c>
      <c r="U10" s="130">
        <f>IF(B10="","",VLOOKUP(AD10,Varsayımlar!$B:$Q,12,0))</f>
        <v>840</v>
      </c>
      <c r="V10" s="130" t="str">
        <f>IF(B10="","",VLOOKUP(AD10,Varsayımlar!$B:$Q,13,0))</f>
        <v>YURTİÇİ</v>
      </c>
      <c r="W10" s="130">
        <f>IF(B10="","",VLOOKUP(AD10,Varsayımlar!$B:$Q,14,0))</f>
        <v>5</v>
      </c>
      <c r="X10" s="133" t="s">
        <v>113</v>
      </c>
      <c r="Y10" s="133" t="s">
        <v>113</v>
      </c>
      <c r="Z10" s="130" t="s">
        <v>113</v>
      </c>
      <c r="AA10" s="130" t="str">
        <f>IF(B10="","",VLOOKUP(AD10,Varsayımlar!$B:$Q,15,0))</f>
        <v>Nimet Kolisi</v>
      </c>
      <c r="AB10" s="130" t="str">
        <f>IF(B10="","",VLOOKUP(AD10,Varsayımlar!$B:$Q,16,0))</f>
        <v>24-26 CM</v>
      </c>
      <c r="AC10" s="64" t="s">
        <v>360</v>
      </c>
      <c r="AD10" s="57" t="str">
        <f>IF(B10="","",CONCATENATE(B10,E10))</f>
        <v>A101Nimet 25cm 12 pcs 840g</v>
      </c>
      <c r="AE10" s="140" t="s">
        <v>545</v>
      </c>
    </row>
    <row r="11" spans="1:31" ht="47.25" x14ac:dyDescent="0.25">
      <c r="A11" s="8" t="s">
        <v>82</v>
      </c>
      <c r="B11" s="54" t="s">
        <v>268</v>
      </c>
      <c r="C11" s="39">
        <f>IF(B11="","",VLOOKUP(AD11,Varsayımlar!$B:$Q,3,0))</f>
        <v>8698829380698</v>
      </c>
      <c r="D11" s="39" t="s">
        <v>160</v>
      </c>
      <c r="E11" s="54" t="s">
        <v>269</v>
      </c>
      <c r="F11" s="54" t="s">
        <v>343</v>
      </c>
      <c r="G11" s="39" t="s">
        <v>68</v>
      </c>
      <c r="H11" s="54" t="str">
        <f>IF(B11="","",VLOOKUP(AD11,Varsayımlar!$B:$Q,5,0))</f>
        <v>Tortillas 25cm Tam Buğday</v>
      </c>
      <c r="I11" s="54">
        <f>IF(B11="","",VLOOKUP(AD11,Varsayımlar!B:T,19,0))</f>
        <v>0</v>
      </c>
      <c r="J11" s="54" t="str">
        <f>IF(B11="","",VLOOKUP(AD11,Varsayımlar!$B:$Q,6,0))</f>
        <v>Tam Buğdaylı</v>
      </c>
      <c r="K11" s="54">
        <v>336</v>
      </c>
      <c r="L11" s="54"/>
      <c r="M11" s="54">
        <f>IFERROR(IF(B11="","",K11/VLOOKUP(AD11,Varsayımlar!B:R,17,0)),"")</f>
        <v>4</v>
      </c>
      <c r="N11" s="54"/>
      <c r="O11" s="54">
        <v>6</v>
      </c>
      <c r="P11" s="54">
        <f>IF(B11="","",VLOOKUP(AD11,Varsayımlar!$B:$Q,7,0)*K11)</f>
        <v>10080</v>
      </c>
      <c r="Q11" s="54">
        <f>IF(B11="","",VLOOKUP(AD11,Varsayımlar!$B:$Q,8,0))</f>
        <v>25</v>
      </c>
      <c r="R11" s="54" t="str">
        <f>IF(B11="","",VLOOKUP(AD11,Varsayımlar!$B:$Q,9,0))</f>
        <v>Soft-PA3</v>
      </c>
      <c r="S11" s="54">
        <f>IF(B11="","",VLOOKUP(AD11,Varsayımlar!$B:$Q,10,0))</f>
        <v>4</v>
      </c>
      <c r="T11" s="54">
        <f>IF(B11="","",VLOOKUP(AD11,Varsayımlar!$B:$Q,11,0))</f>
        <v>30</v>
      </c>
      <c r="U11" s="54">
        <f>IF(B11="","",VLOOKUP(AD11,Varsayımlar!$B:$Q,12,0))</f>
        <v>240</v>
      </c>
      <c r="V11" s="54" t="str">
        <f>IF(B11="","",VLOOKUP(AD11,Varsayımlar!$B:$Q,13,0))</f>
        <v>Yurtdışı</v>
      </c>
      <c r="W11" s="54">
        <f>IF(B11="","",VLOOKUP(AD11,Varsayımlar!$B:$Q,14,0))</f>
        <v>12</v>
      </c>
      <c r="X11" s="56">
        <v>46205</v>
      </c>
      <c r="Y11" s="56">
        <v>46570</v>
      </c>
      <c r="Z11" s="54" t="s">
        <v>383</v>
      </c>
      <c r="AA11" s="54" t="str">
        <f>IF(B11="","",VLOOKUP(AD11,Varsayımlar!$B:$Q,15,0))</f>
        <v>25cm Kolisi-Etiketli</v>
      </c>
      <c r="AB11" s="54" t="str">
        <f>IF(B11="","",VLOOKUP(AD11,Varsayımlar!$B:$Q,16,0))</f>
        <v>24-26 cm (Macca Hetto Inkjet Uzun Tarih)</v>
      </c>
      <c r="AC11" s="54" t="str">
        <f>IF(B11="","",VLOOKUP(Sayfa1!AD36,Varsayımlar!B:S,18,0))</f>
        <v>80x120cm</v>
      </c>
      <c r="AD11" s="57" t="str">
        <f t="shared" si="0"/>
        <v>LAIKYUZHN-BELARUSTortillas 25cm Tam buğday 4pcs 240g</v>
      </c>
    </row>
    <row r="12" spans="1:31" ht="47.25" x14ac:dyDescent="0.25">
      <c r="A12" s="8" t="s">
        <v>83</v>
      </c>
      <c r="B12" s="54" t="s">
        <v>268</v>
      </c>
      <c r="C12" s="39">
        <f>IF(B12="","",VLOOKUP(AD12,Varsayımlar!$B:$Q,3,0))</f>
        <v>8698829380698</v>
      </c>
      <c r="D12" s="39" t="s">
        <v>160</v>
      </c>
      <c r="E12" s="54" t="s">
        <v>274</v>
      </c>
      <c r="F12" s="54" t="s">
        <v>343</v>
      </c>
      <c r="G12" s="39" t="s">
        <v>68</v>
      </c>
      <c r="H12" s="54" t="str">
        <f>IF(B12="","",VLOOKUP(AD12,Varsayımlar!$B:$Q,5,0))</f>
        <v>Tortillas 25cm Domatesli</v>
      </c>
      <c r="I12" s="54">
        <f>IF(B12="","",VLOOKUP(AD12,Varsayımlar!B:T,19,0))</f>
        <v>0</v>
      </c>
      <c r="J12" s="54" t="str">
        <f>IF(B12="","",VLOOKUP(AD12,Varsayımlar!$B:$Q,6,0))</f>
        <v>Domatesli</v>
      </c>
      <c r="K12" s="54">
        <v>420</v>
      </c>
      <c r="L12" s="54"/>
      <c r="M12" s="54">
        <f>IFERROR(IF(B12="","",K12/VLOOKUP(AD12,Varsayımlar!B:R,17,0)),"")</f>
        <v>5</v>
      </c>
      <c r="N12" s="54"/>
      <c r="O12" s="54">
        <v>7</v>
      </c>
      <c r="P12" s="54">
        <f>IF(B12="","",VLOOKUP(AD12,Varsayımlar!$B:$Q,7,0)*K12)</f>
        <v>12600</v>
      </c>
      <c r="Q12" s="54">
        <f>IF(B12="","",VLOOKUP(AD12,Varsayımlar!$B:$Q,8,0))</f>
        <v>25</v>
      </c>
      <c r="R12" s="54" t="str">
        <f>IF(B12="","",VLOOKUP(AD12,Varsayımlar!$B:$Q,9,0))</f>
        <v>Soft-PA3</v>
      </c>
      <c r="S12" s="54">
        <f>IF(B12="","",VLOOKUP(AD12,Varsayımlar!$B:$Q,10,0))</f>
        <v>4</v>
      </c>
      <c r="T12" s="54">
        <f>IF(B12="","",VLOOKUP(AD12,Varsayımlar!$B:$Q,11,0))</f>
        <v>30</v>
      </c>
      <c r="U12" s="54">
        <f>IF(B12="","",VLOOKUP(AD12,Varsayımlar!$B:$Q,12,0))</f>
        <v>240</v>
      </c>
      <c r="V12" s="54" t="str">
        <f>IF(B12="","",VLOOKUP(AD12,Varsayımlar!$B:$Q,13,0))</f>
        <v>Yurtdışı</v>
      </c>
      <c r="W12" s="54">
        <f>IF(B12="","",VLOOKUP(AD12,Varsayımlar!$B:$Q,14,0))</f>
        <v>12</v>
      </c>
      <c r="X12" s="56">
        <v>46205</v>
      </c>
      <c r="Y12" s="56">
        <v>46570</v>
      </c>
      <c r="Z12" s="54" t="s">
        <v>384</v>
      </c>
      <c r="AA12" s="54" t="str">
        <f>IF(B12="","",VLOOKUP(AD12,Varsayımlar!$B:$Q,15,0))</f>
        <v>25cm Kolisi-Etiketli</v>
      </c>
      <c r="AB12" s="54" t="str">
        <f>IF(B12="","",VLOOKUP(AD12,Varsayımlar!$B:$Q,16,0))</f>
        <v>24-26 cm (Macca Hetto Inkjet Uzun Tarih)</v>
      </c>
      <c r="AC12" s="54" t="str">
        <f>IF(B12="","",VLOOKUP(Sayfa1!AD37,Varsayımlar!B:S,18,0))</f>
        <v>80x120cm</v>
      </c>
      <c r="AD12" s="57" t="str">
        <f t="shared" si="0"/>
        <v>LAIKYUZHN-BELARUSTortillas 25cm Domatesli 4pcs 240g</v>
      </c>
    </row>
    <row r="13" spans="1:31" ht="47.25" x14ac:dyDescent="0.25">
      <c r="A13" s="8" t="s">
        <v>84</v>
      </c>
      <c r="B13" s="54" t="s">
        <v>268</v>
      </c>
      <c r="C13" s="39">
        <f>IF(B13="","",VLOOKUP(AD13,Varsayımlar!$B:$Q,3,0))</f>
        <v>8698829380698</v>
      </c>
      <c r="D13" s="39" t="s">
        <v>160</v>
      </c>
      <c r="E13" s="54" t="s">
        <v>276</v>
      </c>
      <c r="F13" s="54" t="s">
        <v>343</v>
      </c>
      <c r="G13" s="39" t="s">
        <v>68</v>
      </c>
      <c r="H13" s="54" t="str">
        <f>IF(B13="","",VLOOKUP(AD13,Varsayımlar!$B:$Q,5,0))</f>
        <v>Tortillas 25cm Ispanaklı</v>
      </c>
      <c r="I13" s="54">
        <f>IF(B13="","",VLOOKUP(AD13,Varsayımlar!B:T,19,0))</f>
        <v>0</v>
      </c>
      <c r="J13" s="54" t="str">
        <f>IF(B13="","",VLOOKUP(AD13,Varsayımlar!$B:$Q,6,0))</f>
        <v>Ispanaklı</v>
      </c>
      <c r="K13" s="54">
        <v>336</v>
      </c>
      <c r="L13" s="54"/>
      <c r="M13" s="54">
        <f>IFERROR(IF(B13="","",K13/VLOOKUP(AD13,Varsayımlar!B:R,17,0)),"")</f>
        <v>4</v>
      </c>
      <c r="N13" s="54"/>
      <c r="O13" s="54">
        <v>6</v>
      </c>
      <c r="P13" s="54">
        <f>IF(B13="","",VLOOKUP(AD13,Varsayımlar!$B:$Q,7,0)*K13)</f>
        <v>10080</v>
      </c>
      <c r="Q13" s="54">
        <f>IF(B13="","",VLOOKUP(AD13,Varsayımlar!$B:$Q,8,0))</f>
        <v>25</v>
      </c>
      <c r="R13" s="54" t="str">
        <f>IF(B13="","",VLOOKUP(AD13,Varsayımlar!$B:$Q,9,0))</f>
        <v>Soft-PA3</v>
      </c>
      <c r="S13" s="54">
        <f>IF(B13="","",VLOOKUP(AD13,Varsayımlar!$B:$Q,10,0))</f>
        <v>4</v>
      </c>
      <c r="T13" s="54">
        <f>IF(B13="","",VLOOKUP(AD13,Varsayımlar!$B:$Q,11,0))</f>
        <v>30</v>
      </c>
      <c r="U13" s="54">
        <f>IF(B13="","",VLOOKUP(AD13,Varsayımlar!$B:$Q,12,0))</f>
        <v>240</v>
      </c>
      <c r="V13" s="54" t="str">
        <f>IF(B13="","",VLOOKUP(AD13,Varsayımlar!$B:$Q,13,0))</f>
        <v>Yurtdışı</v>
      </c>
      <c r="W13" s="54">
        <f>IF(B13="","",VLOOKUP(AD13,Varsayımlar!$B:$Q,14,0))</f>
        <v>12</v>
      </c>
      <c r="X13" s="56">
        <v>46205</v>
      </c>
      <c r="Y13" s="56">
        <v>46570</v>
      </c>
      <c r="Z13" s="54" t="s">
        <v>385</v>
      </c>
      <c r="AA13" s="54" t="str">
        <f>IF(B13="","",VLOOKUP(AD13,Varsayımlar!$B:$Q,15,0))</f>
        <v>25cm Kolisi-Etiketli</v>
      </c>
      <c r="AB13" s="54" t="str">
        <f>IF(B13="","",VLOOKUP(AD13,Varsayımlar!$B:$Q,16,0))</f>
        <v>24-26 cm (Macca Hetto Inkjet Uzun Tarih)</v>
      </c>
      <c r="AC13" s="54" t="str">
        <f>IF(B13="","",VLOOKUP(Sayfa1!AD38,Varsayımlar!B:S,18,0))</f>
        <v>80x120cm</v>
      </c>
      <c r="AD13" s="57" t="str">
        <f t="shared" si="0"/>
        <v>LAIKYUZHN-BELARUSTortillas 25cm Ispanaklı 4pcs 240g</v>
      </c>
    </row>
    <row r="14" spans="1:31" ht="47.25" x14ac:dyDescent="0.25">
      <c r="A14" s="8" t="s">
        <v>85</v>
      </c>
      <c r="B14" s="54" t="s">
        <v>268</v>
      </c>
      <c r="C14" s="39">
        <f>IF(B14="","",VLOOKUP(AD14,Varsayımlar!$B:$Q,3,0))</f>
        <v>8698829380698</v>
      </c>
      <c r="D14" s="39" t="s">
        <v>160</v>
      </c>
      <c r="E14" s="54" t="s">
        <v>278</v>
      </c>
      <c r="F14" s="54" t="s">
        <v>343</v>
      </c>
      <c r="G14" s="39" t="s">
        <v>68</v>
      </c>
      <c r="H14" s="54" t="str">
        <f>IF(B14="","",VLOOKUP(AD14,Varsayımlar!$B:$Q,5,0))</f>
        <v>Magnit Tortillas 25cm Peynirli</v>
      </c>
      <c r="I14" s="54" t="str">
        <f>IF(B14="","",VLOOKUP(AD14,Varsayımlar!B:T,19,0))</f>
        <v>Etiketli</v>
      </c>
      <c r="J14" s="54" t="str">
        <f>IF(B14="","",VLOOKUP(AD14,Varsayımlar!$B:$Q,6,0))</f>
        <v>Peynirli</v>
      </c>
      <c r="K14" s="54">
        <v>504</v>
      </c>
      <c r="L14" s="54"/>
      <c r="M14" s="54">
        <f>IFERROR(IF(B14="","",K14/VLOOKUP(AD14,Varsayımlar!B:R,17,0)),"")</f>
        <v>6</v>
      </c>
      <c r="N14" s="54"/>
      <c r="O14" s="54">
        <v>9</v>
      </c>
      <c r="P14" s="54">
        <f>IF(B14="","",VLOOKUP(AD14,Varsayımlar!$B:$Q,7,0)*K14)</f>
        <v>15120</v>
      </c>
      <c r="Q14" s="54">
        <f>IF(B14="","",VLOOKUP(AD14,Varsayımlar!$B:$Q,8,0))</f>
        <v>25</v>
      </c>
      <c r="R14" s="54" t="str">
        <f>IF(B14="","",VLOOKUP(AD14,Varsayımlar!$B:$Q,9,0))</f>
        <v>Soft-PA3-AT</v>
      </c>
      <c r="S14" s="54">
        <f>IF(B14="","",VLOOKUP(AD14,Varsayımlar!$B:$Q,10,0))</f>
        <v>4</v>
      </c>
      <c r="T14" s="54">
        <f>IF(B14="","",VLOOKUP(AD14,Varsayımlar!$B:$Q,11,0))</f>
        <v>30</v>
      </c>
      <c r="U14" s="54">
        <f>IF(B14="","",VLOOKUP(AD14,Varsayımlar!$B:$Q,12,0))</f>
        <v>250</v>
      </c>
      <c r="V14" s="54" t="str">
        <f>IF(B14="","",VLOOKUP(AD14,Varsayımlar!$B:$Q,13,0))</f>
        <v>Yurtdışı</v>
      </c>
      <c r="W14" s="54">
        <f>IF(B14="","",VLOOKUP(AD14,Varsayımlar!$B:$Q,14,0))</f>
        <v>9</v>
      </c>
      <c r="X14" s="56">
        <v>46205</v>
      </c>
      <c r="Y14" s="56">
        <v>46479</v>
      </c>
      <c r="Z14" s="54" t="s">
        <v>386</v>
      </c>
      <c r="AA14" s="54" t="str">
        <f>IF(B14="","",VLOOKUP(AD14,Varsayımlar!$B:$Q,15,0))</f>
        <v>25cm Kolisi-Etiketli</v>
      </c>
      <c r="AB14" s="54" t="str">
        <f>IF(B14="","",VLOOKUP(AD14,Varsayımlar!$B:$Q,16,0))</f>
        <v>24-26 cm (Macca Hetto Inkjet Uzun Tarih)</v>
      </c>
      <c r="AC14" s="54" t="str">
        <f>IF(B14="","",VLOOKUP(Sayfa1!AD39,Varsayımlar!B:S,18,0))</f>
        <v>80x120cm</v>
      </c>
      <c r="AD14" s="57" t="str">
        <f t="shared" si="0"/>
        <v>LAIKYUZHN-BELARUSMagnit Tortillas 25cm Peynirli 4pcs 240g</v>
      </c>
    </row>
    <row r="15" spans="1:31" ht="45.75" customHeight="1" x14ac:dyDescent="0.25">
      <c r="A15" s="8" t="s">
        <v>86</v>
      </c>
      <c r="B15" s="130" t="s">
        <v>119</v>
      </c>
      <c r="C15" s="131">
        <f>IF(B15="","",VLOOKUP(AD15,Varsayımlar!$B:$Q,3,0))</f>
        <v>8698829380698</v>
      </c>
      <c r="D15" s="131"/>
      <c r="E15" s="132" t="s">
        <v>120</v>
      </c>
      <c r="F15" s="130"/>
      <c r="G15" s="130"/>
      <c r="H15" s="130" t="str">
        <f>IF(B15="","",VLOOKUP(AD15,Varsayımlar!$B:$Q,5,0))</f>
        <v>Nimet 25 cm</v>
      </c>
      <c r="I15" s="130"/>
      <c r="J15" s="130" t="str">
        <f>IF(B15="","",VLOOKUP(AD15,Varsayımlar!$B:$Q,6,0))</f>
        <v>SADE</v>
      </c>
      <c r="K15" s="130">
        <v>5000</v>
      </c>
      <c r="L15" s="130"/>
      <c r="M15" s="130">
        <f>IFERROR(IF(B15="","",K15/VLOOKUP(AD15,Varsayımlar!B:R,17,0)),"")</f>
        <v>100</v>
      </c>
      <c r="N15" s="130"/>
      <c r="O15" s="130">
        <v>100</v>
      </c>
      <c r="P15" s="130">
        <f>IF(B15="","",VLOOKUP(AD15,Varsayımlar!$B:$Q,7,0)*K15)</f>
        <v>60000</v>
      </c>
      <c r="Q15" s="130">
        <f>IF(B15="","",VLOOKUP(AD15,Varsayımlar!$B:$Q,8,0))</f>
        <v>25</v>
      </c>
      <c r="R15" s="130" t="str">
        <f>IF(B15="","",VLOOKUP(AD15,Varsayımlar!$B:$Q,9,0))</f>
        <v>Standart</v>
      </c>
      <c r="S15" s="130">
        <f>IF(B15="","",VLOOKUP(AD15,Varsayımlar!$B:$Q,10,0))</f>
        <v>12</v>
      </c>
      <c r="T15" s="130">
        <f>IF(B15="","",VLOOKUP(AD15,Varsayımlar!$B:$Q,11,0))</f>
        <v>12</v>
      </c>
      <c r="U15" s="130">
        <f>IF(B15="","",VLOOKUP(AD15,Varsayımlar!$B:$Q,12,0))</f>
        <v>840</v>
      </c>
      <c r="V15" s="130" t="str">
        <f>IF(B15="","",VLOOKUP(AD15,Varsayımlar!$B:$Q,13,0))</f>
        <v>YURTİÇİ</v>
      </c>
      <c r="W15" s="130">
        <f>IF(B15="","",VLOOKUP(AD15,Varsayımlar!$B:$Q,14,0))</f>
        <v>5</v>
      </c>
      <c r="X15" s="133" t="s">
        <v>113</v>
      </c>
      <c r="Y15" s="133" t="s">
        <v>113</v>
      </c>
      <c r="Z15" s="130" t="s">
        <v>113</v>
      </c>
      <c r="AA15" s="130" t="str">
        <f>IF(B15="","",VLOOKUP(AD15,Varsayımlar!$B:$Q,15,0))</f>
        <v>Nimet Kolisi</v>
      </c>
      <c r="AB15" s="130" t="str">
        <f>IF(B15="","",VLOOKUP(AD15,Varsayımlar!$B:$Q,16,0))</f>
        <v>24-26 CM</v>
      </c>
      <c r="AC15" s="64" t="s">
        <v>360</v>
      </c>
      <c r="AD15" s="57" t="str">
        <f>IF(B15="","",CONCATENATE(B15,E15))</f>
        <v>A101Nimet 25cm 12 pcs 840g</v>
      </c>
    </row>
    <row r="16" spans="1:31" ht="47.25" x14ac:dyDescent="0.25">
      <c r="A16" s="8" t="s">
        <v>87</v>
      </c>
      <c r="B16" s="75" t="s">
        <v>218</v>
      </c>
      <c r="C16" s="43">
        <f>IF(B16="","",VLOOKUP(AD16,Varsayımlar!$B:$Q,3,0))</f>
        <v>8698829380698</v>
      </c>
      <c r="D16" s="43" t="s">
        <v>161</v>
      </c>
      <c r="E16" s="75" t="s">
        <v>252</v>
      </c>
      <c r="F16" s="75" t="s">
        <v>341</v>
      </c>
      <c r="G16" s="43"/>
      <c r="H16" s="75" t="str">
        <f>IF(B16="","",VLOOKUP(AD16,Varsayımlar!$B:$Q,5,0))</f>
        <v xml:space="preserve">Tortillas 20cm Sade </v>
      </c>
      <c r="I16" s="75" t="str">
        <f>IF(B16="","",VLOOKUP(AD16,Varsayımlar!B:T,19,0))</f>
        <v>Barkod üzerine Barkod Etiketi (104)</v>
      </c>
      <c r="J16" s="75" t="str">
        <f>IF(B16="","",VLOOKUP(AD16,Varsayımlar!$B:$Q,6,0))</f>
        <v>SADE</v>
      </c>
      <c r="K16" s="75">
        <v>120</v>
      </c>
      <c r="L16" s="75"/>
      <c r="M16" s="75">
        <f>IFERROR(IF(B16="","",K16/VLOOKUP(AD16,Varsayımlar!B:R,17,0)),"")</f>
        <v>1</v>
      </c>
      <c r="N16" s="75"/>
      <c r="O16" s="75">
        <v>2</v>
      </c>
      <c r="P16" s="75">
        <f>IF(B16="","",VLOOKUP(AD16,Varsayımlar!$B:$Q,7,0)*K16)</f>
        <v>2160</v>
      </c>
      <c r="Q16" s="75">
        <f>IF(B16="","",VLOOKUP(AD16,Varsayımlar!$B:$Q,8,0))</f>
        <v>20</v>
      </c>
      <c r="R16" s="75" t="str">
        <f>IF(B16="","",VLOOKUP(AD16,Varsayımlar!$B:$Q,9,0))</f>
        <v>Irak Soft</v>
      </c>
      <c r="S16" s="75">
        <f>IF(B16="","",VLOOKUP(AD16,Varsayımlar!$B:$Q,10,0))</f>
        <v>6</v>
      </c>
      <c r="T16" s="75">
        <f>IF(B16="","",VLOOKUP(AD16,Varsayımlar!$B:$Q,11,0))</f>
        <v>18</v>
      </c>
      <c r="U16" s="75">
        <f>IF(B16="","",VLOOKUP(AD16,Varsayımlar!$B:$Q,12,0))</f>
        <v>270</v>
      </c>
      <c r="V16" s="75" t="str">
        <f>IF(B16="","",VLOOKUP(AD16,Varsayımlar!$B:$Q,13,0))</f>
        <v>Yurtdışı</v>
      </c>
      <c r="W16" s="75">
        <f>IF(B16="","",VLOOKUP(AD16,Varsayımlar!$B:$Q,14,0))</f>
        <v>9</v>
      </c>
      <c r="X16" s="76">
        <v>46213</v>
      </c>
      <c r="Y16" s="76">
        <v>46487</v>
      </c>
      <c r="Z16" s="75">
        <v>26071020</v>
      </c>
      <c r="AA16" s="75" t="str">
        <f>IF(B16="","",VLOOKUP(AD16,Varsayımlar!$B:$Q,15,0))</f>
        <v>20cm Lacivert-Bulgarca Etiket</v>
      </c>
      <c r="AB16" s="75" t="str">
        <f>IF(B16="","",VLOOKUP(AD16,Varsayımlar!$B:$Q,16,0))</f>
        <v>19-21 cm</v>
      </c>
      <c r="AC16" s="75" t="str">
        <f>IF(B16="","",VLOOKUP(Sayfa1!AD21,Varsayımlar!B:S,18,0))</f>
        <v>100x120cm-Epal+Epal</v>
      </c>
      <c r="AD16" s="57" t="str">
        <f t="shared" si="0"/>
        <v>TASTE LAND-BULGARİSTANTortillas 20cm Sade 6pcs 270g</v>
      </c>
    </row>
    <row r="17" spans="1:31" ht="78.75" x14ac:dyDescent="0.25">
      <c r="A17" s="8" t="s">
        <v>88</v>
      </c>
      <c r="B17" s="75" t="s">
        <v>218</v>
      </c>
      <c r="C17" s="43">
        <f>IF(B17="","",VLOOKUP(AD17,Varsayımlar!$B:$Q,3,0))</f>
        <v>8698829380698</v>
      </c>
      <c r="D17" s="43" t="s">
        <v>161</v>
      </c>
      <c r="E17" s="75" t="s">
        <v>222</v>
      </c>
      <c r="F17" s="75" t="s">
        <v>341</v>
      </c>
      <c r="G17" s="43"/>
      <c r="H17" s="75" t="str">
        <f>IF(B17="","",VLOOKUP(AD17,Varsayımlar!$B:$Q,5,0))</f>
        <v xml:space="preserve">Tortillas 30cm Tam Buğday </v>
      </c>
      <c r="I17" s="75" t="str">
        <f>IF(B17="","",VLOOKUP(AD17,Varsayımlar!B:T,19,0))</f>
        <v>Barkod üzerine-Bulgarca Barkodlu TB içerik etiketi (029)</v>
      </c>
      <c r="J17" s="75" t="str">
        <f>IF(B17="","",VLOOKUP(AD17,Varsayımlar!$B:$Q,6,0))</f>
        <v>Tam Buğdaylı</v>
      </c>
      <c r="K17" s="75">
        <v>60</v>
      </c>
      <c r="L17" s="75"/>
      <c r="M17" s="75">
        <f>IFERROR(IF(B17="","",K17/VLOOKUP(AD17,Varsayımlar!B:R,17,0)),"")</f>
        <v>1</v>
      </c>
      <c r="N17" s="75"/>
      <c r="O17" s="75">
        <v>1</v>
      </c>
      <c r="P17" s="75">
        <f>IF(B17="","",VLOOKUP(AD17,Varsayımlar!$B:$Q,7,0)*K17)</f>
        <v>360</v>
      </c>
      <c r="Q17" s="75">
        <f>IF(B17="","",VLOOKUP(AD17,Varsayımlar!$B:$Q,8,0))</f>
        <v>30</v>
      </c>
      <c r="R17" s="75" t="str">
        <f>IF(B17="","",VLOOKUP(AD17,Varsayımlar!$B:$Q,9,0))</f>
        <v>Irak Soft</v>
      </c>
      <c r="S17" s="75">
        <f>IF(B17="","",VLOOKUP(AD17,Varsayımlar!$B:$Q,10,0))</f>
        <v>18</v>
      </c>
      <c r="T17" s="75">
        <f>IF(B17="","",VLOOKUP(AD17,Varsayımlar!$B:$Q,11,0))</f>
        <v>6</v>
      </c>
      <c r="U17" s="75">
        <f>IF(B17="","",VLOOKUP(AD17,Varsayımlar!$B:$Q,12,0))</f>
        <v>1620</v>
      </c>
      <c r="V17" s="75" t="str">
        <f>IF(B17="","",VLOOKUP(AD17,Varsayımlar!$B:$Q,13,0))</f>
        <v>Yurtdışı</v>
      </c>
      <c r="W17" s="75">
        <f>IF(B17="","",VLOOKUP(AD17,Varsayımlar!$B:$Q,14,0))</f>
        <v>9</v>
      </c>
      <c r="X17" s="76">
        <v>46213</v>
      </c>
      <c r="Y17" s="76">
        <v>46487</v>
      </c>
      <c r="Z17" s="75" t="s">
        <v>442</v>
      </c>
      <c r="AA17" s="75" t="str">
        <f>IF(B17="","",VLOOKUP(AD17,Varsayımlar!$B:$Q,15,0))</f>
        <v>30cm Lacivert Koli- Bulgarca TB Etiket</v>
      </c>
      <c r="AB17" s="75" t="str">
        <f>IF(B17="","",VLOOKUP(AD17,Varsayımlar!$B:$Q,16,0))</f>
        <v>29-31 cm</v>
      </c>
      <c r="AC17" s="75" t="str">
        <f>IF(B17="","",VLOOKUP(Sayfa1!AD20,Varsayımlar!B:S,18,0))</f>
        <v>95x130cm</v>
      </c>
      <c r="AD17" s="57" t="str">
        <f t="shared" si="0"/>
        <v>TASTE LAND-BULGARİSTANTortillas 30cm Tam Buğday 18pcs 1620g</v>
      </c>
    </row>
    <row r="18" spans="1:31" ht="31.5" x14ac:dyDescent="0.25">
      <c r="A18" s="8" t="s">
        <v>89</v>
      </c>
      <c r="B18" s="75" t="s">
        <v>218</v>
      </c>
      <c r="C18" s="43">
        <f>IF(B18="","",VLOOKUP(AD18,Varsayımlar!$B:$Q,3,0))</f>
        <v>8698829380698</v>
      </c>
      <c r="D18" s="43" t="s">
        <v>161</v>
      </c>
      <c r="E18" s="75" t="s">
        <v>229</v>
      </c>
      <c r="F18" s="75" t="s">
        <v>341</v>
      </c>
      <c r="G18" s="43"/>
      <c r="H18" s="75" t="str">
        <f>IF(B18="","",VLOOKUP(AD18,Varsayımlar!$B:$Q,5,0))</f>
        <v>Tortillas Avrupa 25cm Tam Buğday (711)</v>
      </c>
      <c r="I18" s="75">
        <f>IF(B18="","",VLOOKUP(AD18,Varsayımlar!B:T,19,0))</f>
        <v>0</v>
      </c>
      <c r="J18" s="75" t="str">
        <f>IF(B18="","",VLOOKUP(AD18,Varsayımlar!$B:$Q,6,0))</f>
        <v>Tam Buğdaylı</v>
      </c>
      <c r="K18" s="75">
        <v>840</v>
      </c>
      <c r="L18" s="75"/>
      <c r="M18" s="75">
        <f>IFERROR(IF(B18="","",K18/VLOOKUP(AD18,Varsayımlar!B:R,17,0)),"")</f>
        <v>7</v>
      </c>
      <c r="N18" s="75"/>
      <c r="O18" s="75">
        <v>9</v>
      </c>
      <c r="P18" s="75">
        <f>IF(B18="","",VLOOKUP(AD18,Varsayımlar!$B:$Q,7,0)*K18)</f>
        <v>6720</v>
      </c>
      <c r="Q18" s="75">
        <f>IF(B18="","",VLOOKUP(AD18,Varsayımlar!$B:$Q,8,0))</f>
        <v>25</v>
      </c>
      <c r="R18" s="75" t="str">
        <f>IF(B18="","",VLOOKUP(AD18,Varsayımlar!$B:$Q,9,0))</f>
        <v>Irak Soft</v>
      </c>
      <c r="S18" s="75">
        <f>IF(B18="","",VLOOKUP(AD18,Varsayımlar!$B:$Q,10,0))</f>
        <v>10</v>
      </c>
      <c r="T18" s="75">
        <f>IF(B18="","",VLOOKUP(AD18,Varsayımlar!$B:$Q,11,0))</f>
        <v>8</v>
      </c>
      <c r="U18" s="75">
        <f>IF(B18="","",VLOOKUP(AD18,Varsayımlar!$B:$Q,12,0))</f>
        <v>650</v>
      </c>
      <c r="V18" s="75" t="str">
        <f>IF(B18="","",VLOOKUP(AD18,Varsayımlar!$B:$Q,13,0))</f>
        <v>Yurtdışı</v>
      </c>
      <c r="W18" s="75">
        <f>IF(B18="","",VLOOKUP(AD18,Varsayımlar!$B:$Q,14,0))</f>
        <v>9</v>
      </c>
      <c r="X18" s="76">
        <v>46213</v>
      </c>
      <c r="Y18" s="76">
        <v>46487</v>
      </c>
      <c r="Z18" s="75" t="s">
        <v>442</v>
      </c>
      <c r="AA18" s="75" t="str">
        <f>IF(B18="","",VLOOKUP(AD18,Varsayımlar!$B:$Q,15,0))</f>
        <v>25cm Perforeli-Bulgarca TB etiket</v>
      </c>
      <c r="AB18" s="75" t="str">
        <f>IF(B18="","",VLOOKUP(AD18,Varsayımlar!$B:$Q,16,0))</f>
        <v>24-26 cm</v>
      </c>
      <c r="AC18" s="75" t="str">
        <f>IF(B18="","",VLOOKUP(Sayfa1!AD63,Varsayımlar!B:S,18,0))</f>
        <v>80x120cm -Epal+Epal</v>
      </c>
      <c r="AD18" s="57" t="str">
        <f t="shared" si="0"/>
        <v>TASTE LAND-BULGARİSTANTortillas 25cm Tam Buğday 10pcs 650g</v>
      </c>
    </row>
    <row r="19" spans="1:31" ht="47.25" x14ac:dyDescent="0.25">
      <c r="A19" s="8" t="s">
        <v>90</v>
      </c>
      <c r="B19" s="75" t="s">
        <v>218</v>
      </c>
      <c r="C19" s="43">
        <f>IF(B19="","",VLOOKUP(AD19,Varsayımlar!$B:$Q,3,0))</f>
        <v>8698829380698</v>
      </c>
      <c r="D19" s="43" t="s">
        <v>161</v>
      </c>
      <c r="E19" s="75" t="s">
        <v>251</v>
      </c>
      <c r="F19" s="75" t="s">
        <v>341</v>
      </c>
      <c r="G19" s="43"/>
      <c r="H19" s="75" t="str">
        <f>IF(B19="","",VLOOKUP(AD19,Varsayımlar!$B:$Q,5,0))</f>
        <v>Tortillas Avrupa 25cm TB (711)</v>
      </c>
      <c r="I19" s="75" t="str">
        <f>IF(B19="","",VLOOKUP(AD19,Varsayımlar!B:T,19,0))</f>
        <v>Barkod üzerine Barkod Etiketi (067)</v>
      </c>
      <c r="J19" s="75" t="str">
        <f>IF(B19="","",VLOOKUP(AD19,Varsayımlar!$B:$Q,6,0))</f>
        <v>Tam Buğdaylı</v>
      </c>
      <c r="K19" s="75">
        <v>84</v>
      </c>
      <c r="L19" s="75"/>
      <c r="M19" s="75">
        <f>IFERROR(IF(B19="","",K19/VLOOKUP(AD19,Varsayımlar!B:R,17,0)),"")</f>
        <v>1</v>
      </c>
      <c r="N19" s="75"/>
      <c r="O19" s="75">
        <v>2</v>
      </c>
      <c r="P19" s="75">
        <f>IF(B19="","",VLOOKUP(AD19,Varsayımlar!$B:$Q,7,0)*K19)</f>
        <v>1512</v>
      </c>
      <c r="Q19" s="75">
        <f>IF(B19="","",VLOOKUP(AD19,Varsayımlar!$B:$Q,8,0))</f>
        <v>25</v>
      </c>
      <c r="R19" s="75" t="str">
        <f>IF(B19="","",VLOOKUP(AD19,Varsayımlar!$B:$Q,9,0))</f>
        <v>Irak Soft</v>
      </c>
      <c r="S19" s="75">
        <f>IF(B19="","",VLOOKUP(AD19,Varsayımlar!$B:$Q,10,0))</f>
        <v>6</v>
      </c>
      <c r="T19" s="75">
        <f>IF(B19="","",VLOOKUP(AD19,Varsayımlar!$B:$Q,11,0))</f>
        <v>18</v>
      </c>
      <c r="U19" s="75">
        <f>IF(B19="","",VLOOKUP(AD19,Varsayımlar!$B:$Q,12,0))</f>
        <v>390</v>
      </c>
      <c r="V19" s="75" t="str">
        <f>IF(B19="","",VLOOKUP(AD19,Varsayımlar!$B:$Q,13,0))</f>
        <v>Yurtdışı</v>
      </c>
      <c r="W19" s="75">
        <f>IF(B19="","",VLOOKUP(AD19,Varsayımlar!$B:$Q,14,0))</f>
        <v>9</v>
      </c>
      <c r="X19" s="76">
        <v>46213</v>
      </c>
      <c r="Y19" s="76">
        <v>46487</v>
      </c>
      <c r="Z19" s="75" t="s">
        <v>442</v>
      </c>
      <c r="AA19" s="75" t="str">
        <f>IF(B19="","",VLOOKUP(AD19,Varsayımlar!$B:$Q,15,0))</f>
        <v>25cm Kırmızı koli-Bulgarca TB Etiket</v>
      </c>
      <c r="AB19" s="75" t="str">
        <f>IF(B19="","",VLOOKUP(AD19,Varsayımlar!$B:$Q,16,0))</f>
        <v>24-26 cm</v>
      </c>
      <c r="AC19" s="75" t="str">
        <f>IF(B19="","",VLOOKUP(Sayfa1!AD64,Varsayımlar!B:S,18,0))</f>
        <v>80x120cm -Epal+Epal</v>
      </c>
      <c r="AD19" s="57" t="str">
        <f t="shared" si="0"/>
        <v>TASTE LAND-BULGARİSTANTortillas 25cm TB 6pcs 390g</v>
      </c>
    </row>
    <row r="20" spans="1:31" ht="47.25" x14ac:dyDescent="0.25">
      <c r="A20" s="8" t="s">
        <v>91</v>
      </c>
      <c r="B20" s="75" t="s">
        <v>218</v>
      </c>
      <c r="C20" s="43">
        <f>IF(B20="","",VLOOKUP(AD20,Varsayımlar!$B:$Q,3,0))</f>
        <v>8698829380698</v>
      </c>
      <c r="D20" s="43" t="s">
        <v>161</v>
      </c>
      <c r="E20" s="75" t="s">
        <v>232</v>
      </c>
      <c r="F20" s="75" t="s">
        <v>341</v>
      </c>
      <c r="G20" s="43"/>
      <c r="H20" s="75" t="str">
        <f>IF(B20="","",VLOOKUP(AD20,Varsayımlar!$B:$Q,5,0))</f>
        <v>Tortillas Avrupa 25cm Domatesli (074)</v>
      </c>
      <c r="I20" s="75">
        <f>IF(B20="","",VLOOKUP(AD20,Varsayımlar!B:T,19,0))</f>
        <v>0</v>
      </c>
      <c r="J20" s="75" t="str">
        <f>IF(B20="","",VLOOKUP(AD20,Varsayımlar!$B:$Q,6,0))</f>
        <v>Domatesli</v>
      </c>
      <c r="K20" s="75">
        <v>240</v>
      </c>
      <c r="L20" s="75"/>
      <c r="M20" s="75">
        <f>IFERROR(IF(B20="","",K20/VLOOKUP(AD20,Varsayımlar!B:R,17,0)),"")</f>
        <v>2</v>
      </c>
      <c r="N20" s="75"/>
      <c r="O20" s="75">
        <v>3</v>
      </c>
      <c r="P20" s="75">
        <f>IF(B20="","",VLOOKUP(AD20,Varsayımlar!$B:$Q,7,0)*K20)</f>
        <v>2880</v>
      </c>
      <c r="Q20" s="75">
        <f>IF(B20="","",VLOOKUP(AD20,Varsayımlar!$B:$Q,8,0))</f>
        <v>25</v>
      </c>
      <c r="R20" s="75" t="str">
        <f>IF(B20="","",VLOOKUP(AD20,Varsayımlar!$B:$Q,9,0))</f>
        <v>Irak Soft</v>
      </c>
      <c r="S20" s="75">
        <f>IF(B20="","",VLOOKUP(AD20,Varsayımlar!$B:$Q,10,0))</f>
        <v>6</v>
      </c>
      <c r="T20" s="75">
        <f>IF(B20="","",VLOOKUP(AD20,Varsayımlar!$B:$Q,11,0))</f>
        <v>12</v>
      </c>
      <c r="U20" s="75">
        <f>IF(B20="","",VLOOKUP(AD20,Varsayımlar!$B:$Q,12,0))</f>
        <v>390</v>
      </c>
      <c r="V20" s="75" t="str">
        <f>IF(B20="","",VLOOKUP(AD20,Varsayımlar!$B:$Q,13,0))</f>
        <v>Yurtdışı</v>
      </c>
      <c r="W20" s="75">
        <f>IF(B20="","",VLOOKUP(AD20,Varsayımlar!$B:$Q,14,0))</f>
        <v>9</v>
      </c>
      <c r="X20" s="76">
        <v>46213</v>
      </c>
      <c r="Y20" s="76">
        <v>46487</v>
      </c>
      <c r="Z20" s="75" t="s">
        <v>443</v>
      </c>
      <c r="AA20" s="75" t="str">
        <f>IF(B20="","",VLOOKUP(AD20,Varsayımlar!$B:$Q,15,0))</f>
        <v>25cm Perforeli-Bulgarca Domatesli etiket</v>
      </c>
      <c r="AB20" s="75" t="str">
        <f>IF(B20="","",VLOOKUP(AD20,Varsayımlar!$B:$Q,16,0))</f>
        <v>24-26 cm</v>
      </c>
      <c r="AC20" s="75" t="str">
        <f>IF(B20="","",VLOOKUP(Sayfa1!AD65,Varsayımlar!B:S,18,0))</f>
        <v>80x120cm -Epal+Epal</v>
      </c>
      <c r="AD20" s="57" t="str">
        <f t="shared" si="0"/>
        <v>TASTE LAND-BULGARİSTANTortillas 25cm Domatesli 6pcs 390g</v>
      </c>
    </row>
    <row r="21" spans="1:31" ht="47.25" x14ac:dyDescent="0.25">
      <c r="A21" s="8" t="s">
        <v>92</v>
      </c>
      <c r="B21" s="75" t="s">
        <v>218</v>
      </c>
      <c r="C21" s="43">
        <f>IF(B21="","",VLOOKUP(AD21,Varsayımlar!$B:$Q,3,0))</f>
        <v>8698829380698</v>
      </c>
      <c r="D21" s="43" t="s">
        <v>161</v>
      </c>
      <c r="E21" s="75" t="s">
        <v>235</v>
      </c>
      <c r="F21" s="75" t="s">
        <v>341</v>
      </c>
      <c r="G21" s="43"/>
      <c r="H21" s="75" t="str">
        <f>IF(B21="","",VLOOKUP(AD21,Varsayımlar!$B:$Q,5,0))</f>
        <v>Tortillas Avrupa 25cm Ispanaklı (081)</v>
      </c>
      <c r="I21" s="75">
        <f>IF(B21="","",VLOOKUP(AD21,Varsayımlar!B:T,19,0))</f>
        <v>0</v>
      </c>
      <c r="J21" s="75" t="str">
        <f>IF(B21="","",VLOOKUP(AD21,Varsayımlar!$B:$Q,6,0))</f>
        <v>Ispanaklı</v>
      </c>
      <c r="K21" s="75">
        <v>240</v>
      </c>
      <c r="L21" s="75"/>
      <c r="M21" s="75">
        <f>IFERROR(IF(B21="","",K21/VLOOKUP(AD21,Varsayımlar!B:R,17,0)),"")</f>
        <v>2</v>
      </c>
      <c r="N21" s="75"/>
      <c r="O21" s="75">
        <v>3</v>
      </c>
      <c r="P21" s="75">
        <f>IF(B21="","",VLOOKUP(AD21,Varsayımlar!$B:$Q,7,0)*K21)</f>
        <v>2880</v>
      </c>
      <c r="Q21" s="75">
        <f>IF(B21="","",VLOOKUP(AD21,Varsayımlar!$B:$Q,8,0))</f>
        <v>25</v>
      </c>
      <c r="R21" s="75" t="str">
        <f>IF(B21="","",VLOOKUP(AD21,Varsayımlar!$B:$Q,9,0))</f>
        <v>Irak Soft</v>
      </c>
      <c r="S21" s="75">
        <f>IF(B21="","",VLOOKUP(AD21,Varsayımlar!$B:$Q,10,0))</f>
        <v>6</v>
      </c>
      <c r="T21" s="75">
        <f>IF(B21="","",VLOOKUP(AD21,Varsayımlar!$B:$Q,11,0))</f>
        <v>12</v>
      </c>
      <c r="U21" s="75">
        <f>IF(B21="","",VLOOKUP(AD21,Varsayımlar!$B:$Q,12,0))</f>
        <v>390</v>
      </c>
      <c r="V21" s="75" t="str">
        <f>IF(B21="","",VLOOKUP(AD21,Varsayımlar!$B:$Q,13,0))</f>
        <v>Yurtdışı</v>
      </c>
      <c r="W21" s="75">
        <f>IF(B21="","",VLOOKUP(AD21,Varsayımlar!$B:$Q,14,0))</f>
        <v>9</v>
      </c>
      <c r="X21" s="76">
        <v>46213</v>
      </c>
      <c r="Y21" s="76">
        <v>46487</v>
      </c>
      <c r="Z21" s="75" t="s">
        <v>444</v>
      </c>
      <c r="AA21" s="75" t="str">
        <f>IF(B21="","",VLOOKUP(AD21,Varsayımlar!$B:$Q,15,0))</f>
        <v>25cm Perforeli-Bulgarca Ispanaklı etiket</v>
      </c>
      <c r="AB21" s="75" t="str">
        <f>IF(B21="","",VLOOKUP(AD21,Varsayımlar!$B:$Q,16,0))</f>
        <v>24-26 cm</v>
      </c>
      <c r="AC21" s="75" t="str">
        <f>IF(B21="","",VLOOKUP(Sayfa1!AD66,Varsayımlar!B:S,18,0))</f>
        <v>80x120cm -Epal+Epal</v>
      </c>
      <c r="AD21" s="57" t="str">
        <f t="shared" si="0"/>
        <v>TASTE LAND-BULGARİSTANTortillas 25cm Ispanaklı 6pcs 390g</v>
      </c>
    </row>
    <row r="22" spans="1:31" ht="47.25" x14ac:dyDescent="0.25">
      <c r="A22" s="8" t="s">
        <v>93</v>
      </c>
      <c r="B22" s="75" t="s">
        <v>218</v>
      </c>
      <c r="C22" s="43">
        <f>IF(B22="","",VLOOKUP(AD22,Varsayımlar!$B:$Q,3,0))</f>
        <v>8698829380698</v>
      </c>
      <c r="D22" s="43" t="s">
        <v>161</v>
      </c>
      <c r="E22" s="75" t="s">
        <v>240</v>
      </c>
      <c r="F22" s="75" t="s">
        <v>341</v>
      </c>
      <c r="G22" s="43"/>
      <c r="H22" s="75" t="str">
        <f>IF(B22="","",VLOOKUP(AD22,Varsayımlar!$B:$Q,5,0))</f>
        <v>Tortillas Avrupa 25cm Peynirli (098)</v>
      </c>
      <c r="I22" s="75">
        <f>IF(B22="","",VLOOKUP(AD22,Varsayımlar!B:T,19,0))</f>
        <v>0</v>
      </c>
      <c r="J22" s="75" t="str">
        <f>IF(B22="","",VLOOKUP(AD22,Varsayımlar!$B:$Q,6,0))</f>
        <v>Peynirli</v>
      </c>
      <c r="K22" s="75">
        <v>120</v>
      </c>
      <c r="L22" s="75"/>
      <c r="M22" s="75">
        <f>IFERROR(IF(B22="","",K22/VLOOKUP(AD22,Varsayımlar!B:R,17,0)),"")</f>
        <v>1</v>
      </c>
      <c r="N22" s="75"/>
      <c r="O22" s="75">
        <v>2</v>
      </c>
      <c r="P22" s="75">
        <f>IF(B22="","",VLOOKUP(AD22,Varsayımlar!$B:$Q,7,0)*K22)</f>
        <v>1440</v>
      </c>
      <c r="Q22" s="75">
        <f>IF(B22="","",VLOOKUP(AD22,Varsayımlar!$B:$Q,8,0))</f>
        <v>25</v>
      </c>
      <c r="R22" s="75" t="str">
        <f>IF(B22="","",VLOOKUP(AD22,Varsayımlar!$B:$Q,9,0))</f>
        <v>Irak Soft-AT</v>
      </c>
      <c r="S22" s="75">
        <f>IF(B22="","",VLOOKUP(AD22,Varsayımlar!$B:$Q,10,0))</f>
        <v>6</v>
      </c>
      <c r="T22" s="75">
        <f>IF(B22="","",VLOOKUP(AD22,Varsayımlar!$B:$Q,11,0))</f>
        <v>12</v>
      </c>
      <c r="U22" s="75">
        <f>IF(B22="","",VLOOKUP(AD22,Varsayımlar!$B:$Q,12,0))</f>
        <v>390</v>
      </c>
      <c r="V22" s="75" t="str">
        <f>IF(B22="","",VLOOKUP(AD22,Varsayımlar!$B:$Q,13,0))</f>
        <v>Yurtdışı</v>
      </c>
      <c r="W22" s="75">
        <f>IF(B22="","",VLOOKUP(AD22,Varsayımlar!$B:$Q,14,0))</f>
        <v>9</v>
      </c>
      <c r="X22" s="76">
        <v>46213</v>
      </c>
      <c r="Y22" s="76">
        <v>46487</v>
      </c>
      <c r="Z22" s="75" t="s">
        <v>445</v>
      </c>
      <c r="AA22" s="75" t="str">
        <f>IF(B22="","",VLOOKUP(AD22,Varsayımlar!$B:$Q,15,0))</f>
        <v>25cm Perforeli-Bulgarca Peynirli etiket</v>
      </c>
      <c r="AB22" s="75" t="str">
        <f>IF(B22="","",VLOOKUP(AD22,Varsayımlar!$B:$Q,16,0))</f>
        <v>24-26 cm</v>
      </c>
      <c r="AC22" s="75" t="str">
        <f>IF(B22="","",VLOOKUP(Sayfa1!AD67,Varsayımlar!B:S,18,0))</f>
        <v>80x120cm -Epal+Epal</v>
      </c>
      <c r="AD22" s="57" t="str">
        <f t="shared" si="0"/>
        <v>TASTE LAND-BULGARİSTANTortillas 25cm Peynirli 6pcs 390g</v>
      </c>
    </row>
    <row r="23" spans="1:31" ht="32.25" customHeight="1" x14ac:dyDescent="0.25">
      <c r="A23" s="8" t="s">
        <v>135</v>
      </c>
      <c r="B23" s="67" t="s">
        <v>460</v>
      </c>
      <c r="C23" s="42">
        <f>IF(B23="","",VLOOKUP(AD23,Varsayımlar!$B:$Q,3,0))</f>
        <v>8698829380698</v>
      </c>
      <c r="D23" s="67" t="s">
        <v>540</v>
      </c>
      <c r="E23" s="67" t="s">
        <v>464</v>
      </c>
      <c r="F23" s="67">
        <v>20260414</v>
      </c>
      <c r="G23" s="67"/>
      <c r="H23" s="67" t="str">
        <f>IF(B23="","",VLOOKUP(AD23,Varsayımlar!$B:$Q,5,0))</f>
        <v>Tortillove 20cm</v>
      </c>
      <c r="I23" s="67">
        <f>IF(B23="","",VLOOKUP(AD23,Varsayımlar!B:T,19,0))</f>
        <v>0</v>
      </c>
      <c r="J23" s="67" t="str">
        <f>IF(B23="","",VLOOKUP(AD23,Varsayımlar!$B:$Q,6,0))</f>
        <v>SADE</v>
      </c>
      <c r="K23" s="67">
        <v>300</v>
      </c>
      <c r="L23" s="67"/>
      <c r="M23" s="67">
        <f>IFERROR(IF(B23="","",K23/VLOOKUP(AD23,Varsayımlar!B:R,17,0)),"")</f>
        <v>3</v>
      </c>
      <c r="N23" s="67"/>
      <c r="O23" s="67">
        <v>5</v>
      </c>
      <c r="P23" s="67">
        <f>IF(B23="","",VLOOKUP(AD23,Varsayımlar!$B:$Q,7,0)*K23)</f>
        <v>3600</v>
      </c>
      <c r="Q23" s="67">
        <f>IF(B23="","",VLOOKUP(AD23,Varsayımlar!$B:$Q,8,0))</f>
        <v>20</v>
      </c>
      <c r="R23" s="67" t="str">
        <f>IF(B23="","",VLOOKUP(AD23,Varsayımlar!$B:$Q,9,0))</f>
        <v>Irak Soft</v>
      </c>
      <c r="S23" s="67">
        <f>IF(B23="","",VLOOKUP(AD23,Varsayımlar!$B:$Q,10,0))</f>
        <v>10</v>
      </c>
      <c r="T23" s="67">
        <f>IF(B23="","",VLOOKUP(AD23,Varsayımlar!$B:$Q,11,0))</f>
        <v>12</v>
      </c>
      <c r="U23" s="67">
        <f>IF(B23="","",VLOOKUP(AD23,Varsayımlar!$B:$Q,12,0))</f>
        <v>450</v>
      </c>
      <c r="V23" s="67" t="str">
        <f>IF(B23="","",VLOOKUP(AD23,Varsayımlar!$B:$Q,13,0))</f>
        <v>Yurtdışı</v>
      </c>
      <c r="W23" s="67">
        <f>IF(B23="","",VLOOKUP(AD23,Varsayımlar!$B:$Q,14,0))</f>
        <v>6</v>
      </c>
      <c r="X23" s="69">
        <v>46216</v>
      </c>
      <c r="Y23" s="69">
        <v>46400</v>
      </c>
      <c r="Z23" s="67">
        <v>26071320</v>
      </c>
      <c r="AA23" s="67" t="str">
        <f>IF(B23="","",VLOOKUP(AD23,Varsayımlar!$B:$Q,15,0))</f>
        <v>20cm kolisi</v>
      </c>
      <c r="AB23" s="67" t="str">
        <f>IF(B23="","",VLOOKUP(AD23,Varsayımlar!$B:$Q,16,0))</f>
        <v>19-21 cm</v>
      </c>
      <c r="AC23" s="75">
        <f>IF(B23="","",VLOOKUP(Sayfa1!AD69,Varsayımlar!B:S,18,0))</f>
        <v>0</v>
      </c>
      <c r="AD23" s="57" t="str">
        <f t="shared" si="0"/>
        <v>Yüksekbaş GıdaYüksekbaş 20cm 10pcs 450g</v>
      </c>
    </row>
    <row r="24" spans="1:31" ht="51" customHeight="1" x14ac:dyDescent="0.25">
      <c r="A24" s="8" t="s">
        <v>136</v>
      </c>
      <c r="B24" s="67" t="s">
        <v>460</v>
      </c>
      <c r="C24" s="42">
        <f>IF(B24="","",VLOOKUP(AD24,Varsayımlar!$B:$Q,3,0))</f>
        <v>8698829380698</v>
      </c>
      <c r="D24" s="67" t="s">
        <v>540</v>
      </c>
      <c r="E24" s="67" t="s">
        <v>470</v>
      </c>
      <c r="F24" s="67">
        <v>20260414</v>
      </c>
      <c r="G24" s="67"/>
      <c r="H24" s="67" t="str">
        <f>IF(B24="","",VLOOKUP(AD24,Varsayımlar!$B:$Q,5,0))</f>
        <v>Tortillove 30cm</v>
      </c>
      <c r="I24" s="67">
        <f>IF(B24="","",VLOOKUP(AD24,Varsayımlar!B:T,19,0))</f>
        <v>0</v>
      </c>
      <c r="J24" s="67" t="str">
        <f>IF(B24="","",VLOOKUP(AD24,Varsayımlar!$B:$Q,6,0))</f>
        <v>SADE</v>
      </c>
      <c r="K24" s="67">
        <v>792</v>
      </c>
      <c r="L24" s="67" t="s">
        <v>530</v>
      </c>
      <c r="M24" s="67">
        <f>IFERROR(IF(B24="","",K24/VLOOKUP(AD24,Varsayımlar!B:R,17,0)),"")</f>
        <v>12</v>
      </c>
      <c r="N24" s="67"/>
      <c r="O24" s="67">
        <v>14</v>
      </c>
      <c r="P24" s="67">
        <f>IF(B24="","",VLOOKUP(AD24,Varsayımlar!$B:$Q,7,0)*K24)</f>
        <v>9504</v>
      </c>
      <c r="Q24" s="67">
        <f>IF(B24="","",VLOOKUP(AD24,Varsayımlar!$B:$Q,8,0))</f>
        <v>30</v>
      </c>
      <c r="R24" s="67" t="str">
        <f>IF(B24="","",VLOOKUP(AD24,Varsayımlar!$B:$Q,9,0))</f>
        <v>Irak Soft</v>
      </c>
      <c r="S24" s="67">
        <f>IF(B24="","",VLOOKUP(AD24,Varsayımlar!$B:$Q,10,0))</f>
        <v>10</v>
      </c>
      <c r="T24" s="67">
        <f>IF(B24="","",VLOOKUP(AD24,Varsayımlar!$B:$Q,11,0))</f>
        <v>12</v>
      </c>
      <c r="U24" s="67">
        <f>IF(B24="","",VLOOKUP(AD24,Varsayımlar!$B:$Q,12,0))</f>
        <v>950</v>
      </c>
      <c r="V24" s="67" t="str">
        <f>IF(B24="","",VLOOKUP(AD24,Varsayımlar!$B:$Q,13,0))</f>
        <v>Yurtdışı</v>
      </c>
      <c r="W24" s="67">
        <f>IF(B24="","",VLOOKUP(AD24,Varsayımlar!$B:$Q,14,0))</f>
        <v>6</v>
      </c>
      <c r="X24" s="69">
        <v>46216</v>
      </c>
      <c r="Y24" s="69">
        <v>46400</v>
      </c>
      <c r="Z24" s="67">
        <v>26071330</v>
      </c>
      <c r="AA24" s="67" t="str">
        <f>IF(B24="","",VLOOKUP(AD24,Varsayımlar!$B:$Q,15,0))</f>
        <v>30cm Kolisi</v>
      </c>
      <c r="AB24" s="67" t="str">
        <f>IF(B24="","",VLOOKUP(AD24,Varsayımlar!$B:$Q,16,0))</f>
        <v>29-31 cm</v>
      </c>
      <c r="AC24" s="75">
        <f>IF(B24="","",VLOOKUP(Sayfa1!AD69,Varsayımlar!B:S,18,0))</f>
        <v>0</v>
      </c>
      <c r="AD24" s="57" t="str">
        <f t="shared" si="0"/>
        <v>Yüksekbaş GıdaYüksekbaş 30cm 10pcs 950g</v>
      </c>
      <c r="AE24" s="140" t="s">
        <v>541</v>
      </c>
    </row>
    <row r="25" spans="1:31" ht="47.25" x14ac:dyDescent="0.25">
      <c r="A25" s="8" t="s">
        <v>137</v>
      </c>
      <c r="B25" s="58" t="s">
        <v>346</v>
      </c>
      <c r="C25" s="147">
        <f>IF(B25="","",VLOOKUP(AD25,Varsayımlar!$B:$Q,3,0))</f>
        <v>8698829380698</v>
      </c>
      <c r="D25" s="40">
        <v>48</v>
      </c>
      <c r="E25" s="59" t="s">
        <v>162</v>
      </c>
      <c r="F25" s="58"/>
      <c r="G25" s="58"/>
      <c r="H25" s="58" t="str">
        <f>IF(B25="","",VLOOKUP(AD25,Varsayımlar!$B:$Q,5,0))</f>
        <v>Hanami 20cm Sade 4 pcs 166g (067)</v>
      </c>
      <c r="I25" s="58" t="str">
        <f>IF(B25="","",VLOOKUP(AD25,Varsayımlar!B:T,19,0))</f>
        <v>Ambalaj kaç aylık kontrol?</v>
      </c>
      <c r="J25" s="58" t="str">
        <f>IF(B25="","",VLOOKUP(AD25,Varsayımlar!$B:$Q,6,0))</f>
        <v>SADE</v>
      </c>
      <c r="K25" s="58">
        <v>3080</v>
      </c>
      <c r="L25" s="58"/>
      <c r="M25" s="58">
        <f>IFERROR(IF(B25="","",K25/VLOOKUP(AD25,Varsayımlar!B:R,17,0)),"")</f>
        <v>22</v>
      </c>
      <c r="N25" s="58"/>
      <c r="O25" s="58">
        <v>52</v>
      </c>
      <c r="P25" s="58">
        <f>IF(B25="","",VLOOKUP(AD25,Varsayımlar!$B:$Q,7,0)*K25)</f>
        <v>92400</v>
      </c>
      <c r="Q25" s="58">
        <f>IF(B25="","",VLOOKUP(AD25,Varsayımlar!$B:$Q,8,0))</f>
        <v>20</v>
      </c>
      <c r="R25" s="58" t="str">
        <f>IF(B25="","",VLOOKUP(AD25,Varsayımlar!$B:$Q,9,0))</f>
        <v>Irak Soft</v>
      </c>
      <c r="S25" s="58">
        <f>IF(B25="","",VLOOKUP(AD25,Varsayımlar!$B:$Q,10,0))</f>
        <v>4</v>
      </c>
      <c r="T25" s="58">
        <f>IF(B25="","",VLOOKUP(AD25,Varsayımlar!$B:$Q,11,0))</f>
        <v>30</v>
      </c>
      <c r="U25" s="58">
        <f>IF(B25="","",VLOOKUP(AD25,Varsayımlar!$B:$Q,12,0))</f>
        <v>166</v>
      </c>
      <c r="V25" s="58" t="str">
        <f>IF(B25="","",VLOOKUP(AD25,Varsayımlar!$B:$Q,13,0))</f>
        <v>Yurtdışı</v>
      </c>
      <c r="W25" s="58">
        <f>IF(B25="","",VLOOKUP(AD25,Varsayımlar!$B:$Q,14,0))</f>
        <v>9</v>
      </c>
      <c r="X25" s="60">
        <v>46218</v>
      </c>
      <c r="Y25" s="60">
        <v>46492</v>
      </c>
      <c r="Z25" s="58">
        <v>26071520</v>
      </c>
      <c r="AA25" s="58" t="str">
        <f>IF(B25="","",VLOOKUP(AD25,Varsayımlar!$B:$Q,15,0))</f>
        <v>Hanami Mavi Koli -Üretim Tarihi+9 AYI KAPATACAK ETİKETLİ</v>
      </c>
      <c r="AB25" s="58" t="str">
        <f>IF(B25="","",VLOOKUP(AD25,Varsayımlar!$B:$Q,16,0))</f>
        <v>19-21 cm</v>
      </c>
      <c r="AC25" s="8" t="e">
        <f>IF(B25="","",VLOOKUP(#REF!,#REF!,18,0))</f>
        <v>#REF!</v>
      </c>
      <c r="AD25" s="8" t="str">
        <f t="shared" si="0"/>
        <v xml:space="preserve">GermesHanami 20cm sade 4pcs 166g </v>
      </c>
    </row>
    <row r="26" spans="1:31" ht="31.5" x14ac:dyDescent="0.25">
      <c r="A26" s="8" t="s">
        <v>138</v>
      </c>
      <c r="B26" s="58" t="s">
        <v>346</v>
      </c>
      <c r="C26" s="147">
        <f>IF(B26="","",VLOOKUP(AD26,Varsayımlar!$B:$Q,3,0))</f>
        <v>8698829380698</v>
      </c>
      <c r="D26" s="40">
        <v>48</v>
      </c>
      <c r="E26" s="59" t="s">
        <v>166</v>
      </c>
      <c r="F26" s="58"/>
      <c r="G26" s="58"/>
      <c r="H26" s="58" t="str">
        <f>IF(B26="","",VLOOKUP(AD26,Varsayımlar!$B:$Q,5,0))</f>
        <v>Tortillas 20cm (Etiketli)</v>
      </c>
      <c r="I26" s="58" t="str">
        <f>IF(B26="","",VLOOKUP(AD26,Varsayımlar!B:T,19,0))</f>
        <v>Etiketli</v>
      </c>
      <c r="J26" s="58" t="str">
        <f>IF(B26="","",VLOOKUP(AD26,Varsayımlar!$B:$Q,6,0))</f>
        <v>SADE</v>
      </c>
      <c r="K26" s="58">
        <v>280</v>
      </c>
      <c r="L26" s="58"/>
      <c r="M26" s="58">
        <f>IFERROR(IF(B26="","",K26/VLOOKUP(AD26,Varsayımlar!B:R,17,0)),"")</f>
        <v>2</v>
      </c>
      <c r="N26" s="58"/>
      <c r="O26" s="58">
        <v>5</v>
      </c>
      <c r="P26" s="58">
        <f>IF(B26="","",VLOOKUP(AD26,Varsayımlar!$B:$Q,7,0)*K26)</f>
        <v>8400</v>
      </c>
      <c r="Q26" s="58">
        <f>IF(B26="","",VLOOKUP(AD26,Varsayımlar!$B:$Q,8,0))</f>
        <v>20</v>
      </c>
      <c r="R26" s="58" t="str">
        <f>IF(B26="","",VLOOKUP(AD26,Varsayımlar!$B:$Q,9,0))</f>
        <v>Irak soft</v>
      </c>
      <c r="S26" s="58">
        <f>IF(B26="","",VLOOKUP(AD26,Varsayımlar!$B:$Q,10,0))</f>
        <v>4</v>
      </c>
      <c r="T26" s="58">
        <f>IF(B26="","",VLOOKUP(AD26,Varsayımlar!$B:$Q,11,0))</f>
        <v>30</v>
      </c>
      <c r="U26" s="58">
        <f>IF(B26="","",VLOOKUP(AD26,Varsayımlar!$B:$Q,12,0))</f>
        <v>166</v>
      </c>
      <c r="V26" s="58" t="str">
        <f>IF(B26="","",VLOOKUP(AD26,Varsayımlar!$B:$Q,13,0))</f>
        <v>Yurtdışı</v>
      </c>
      <c r="W26" s="58">
        <f>IF(B26="","",VLOOKUP(AD26,Varsayımlar!$B:$Q,14,0))</f>
        <v>9</v>
      </c>
      <c r="X26" s="60">
        <v>46218</v>
      </c>
      <c r="Y26" s="60">
        <v>46492</v>
      </c>
      <c r="Z26" s="58">
        <v>26071520</v>
      </c>
      <c r="AA26" s="58" t="str">
        <f>IF(B26="","",VLOOKUP(AD26,Varsayımlar!$B:$Q,15,0))</f>
        <v>20cm Koli-Üretim Tarihli Etiket</v>
      </c>
      <c r="AB26" s="58" t="str">
        <f>IF(B26="","",VLOOKUP(AD26,Varsayımlar!$B:$Q,16,0))</f>
        <v>19-21 cm</v>
      </c>
      <c r="AC26" s="8" t="e">
        <f>IF(B26="","",VLOOKUP(#REF!,#REF!,18,0))</f>
        <v>#REF!</v>
      </c>
      <c r="AD26" s="8" t="str">
        <f>IF(B26="","",CONCATENATE(B26,E26))</f>
        <v>GermesTortillas 20cm 4 lü 166g</v>
      </c>
    </row>
    <row r="27" spans="1:31" ht="31.5" customHeight="1" x14ac:dyDescent="0.25">
      <c r="A27" s="8" t="s">
        <v>139</v>
      </c>
      <c r="B27" s="58" t="s">
        <v>346</v>
      </c>
      <c r="C27" s="147">
        <f>IF(B27="","",VLOOKUP(AD27,Varsayımlar!$B:$Q,3,0))</f>
        <v>8698829380698</v>
      </c>
      <c r="D27" s="40">
        <v>48</v>
      </c>
      <c r="E27" s="59" t="s">
        <v>168</v>
      </c>
      <c r="F27" s="58"/>
      <c r="G27" s="58"/>
      <c r="H27" s="58" t="str">
        <f>IF(B27="","",VLOOKUP(AD27,Varsayımlar!$B:$Q,5,0))</f>
        <v>Hanami Peynirli 20cm (050)</v>
      </c>
      <c r="I27" s="58" t="str">
        <f>IF(B27="","",VLOOKUP(AD27,Varsayımlar!B:T,19,0))</f>
        <v>Ambalaj kaç aylık kontrol?</v>
      </c>
      <c r="J27" s="58" t="str">
        <f>IF(B27="","",VLOOKUP(AD27,Varsayımlar!$B:$Q,6,0))</f>
        <v>PEYNİRLİ</v>
      </c>
      <c r="K27" s="58">
        <v>280</v>
      </c>
      <c r="L27" s="58" t="s">
        <v>531</v>
      </c>
      <c r="M27" s="58">
        <f>IFERROR(IF(B27="","",K27/VLOOKUP(AD27,Varsayımlar!B:R,17,0)),"")</f>
        <v>2</v>
      </c>
      <c r="N27" s="58"/>
      <c r="O27" s="58">
        <v>6</v>
      </c>
      <c r="P27" s="58">
        <f>IF(B27="","",VLOOKUP(AD27,Varsayımlar!$B:$Q,7,0)*K27)</f>
        <v>8400</v>
      </c>
      <c r="Q27" s="58">
        <f>IF(B27="","",VLOOKUP(AD27,Varsayımlar!$B:$Q,8,0))</f>
        <v>20</v>
      </c>
      <c r="R27" s="58" t="str">
        <f>IF(B27="","",VLOOKUP(AD27,Varsayımlar!$B:$Q,9,0))</f>
        <v>Irak Soft-AT</v>
      </c>
      <c r="S27" s="58">
        <f>IF(B27="","",VLOOKUP(AD27,Varsayımlar!$B:$Q,10,0))</f>
        <v>4</v>
      </c>
      <c r="T27" s="58">
        <f>IF(B27="","",VLOOKUP(AD27,Varsayımlar!$B:$Q,11,0))</f>
        <v>30</v>
      </c>
      <c r="U27" s="58">
        <f>IF(B27="","",VLOOKUP(AD27,Varsayımlar!$B:$Q,12,0))</f>
        <v>166</v>
      </c>
      <c r="V27" s="58" t="str">
        <f>IF(B27="","",VLOOKUP(AD27,Varsayımlar!$B:$Q,13,0))</f>
        <v>YURTDIŞI</v>
      </c>
      <c r="W27" s="58">
        <f>IF(B27="","",VLOOKUP(AD27,Varsayımlar!$B:$Q,14,0))</f>
        <v>9</v>
      </c>
      <c r="X27" s="60">
        <v>46218</v>
      </c>
      <c r="Y27" s="60">
        <v>46492</v>
      </c>
      <c r="Z27" s="58" t="s">
        <v>495</v>
      </c>
      <c r="AA27" s="58" t="str">
        <f>IF(B27="","",VLOOKUP(AD27,Varsayımlar!$B:$Q,15,0))</f>
        <v>HANAMİ SARI KOLİ-ÜRETİM TARİHİ BASILACAK</v>
      </c>
      <c r="AB27" s="58" t="str">
        <f>IF(B27="","",VLOOKUP(AD27,Varsayımlar!$B:$Q,16,0))</f>
        <v>19-21 CM</v>
      </c>
      <c r="AC27" s="8" t="e">
        <f>IF(B27="","",VLOOKUP(#REF!,#REF!,18,0))</f>
        <v>#REF!</v>
      </c>
      <c r="AD27" s="8" t="str">
        <f t="shared" ref="AD27:AD39" si="1">IF(B27="","",CONCATENATE(B27,E27))</f>
        <v>GermesHanami Peynirli 20cm 4 lü 166g</v>
      </c>
    </row>
    <row r="28" spans="1:31" ht="47.25" x14ac:dyDescent="0.25">
      <c r="A28" s="8" t="s">
        <v>140</v>
      </c>
      <c r="B28" s="54" t="s">
        <v>346</v>
      </c>
      <c r="C28" s="139">
        <f>IF(B28="","",VLOOKUP(AD28,Varsayımlar!$B:$Q,3,0))</f>
        <v>8698829380698</v>
      </c>
      <c r="D28" s="39">
        <v>49</v>
      </c>
      <c r="E28" s="55" t="s">
        <v>162</v>
      </c>
      <c r="F28" s="54"/>
      <c r="G28" s="54"/>
      <c r="H28" s="54" t="str">
        <f>IF(B28="","",VLOOKUP(AD28,Varsayımlar!$B:$Q,5,0))</f>
        <v>Hanami 20cm Sade 4 pcs 166g (067)</v>
      </c>
      <c r="I28" s="54" t="str">
        <f>IF(B28="","",VLOOKUP(AD28,Varsayımlar!B:T,19,0))</f>
        <v>Ambalaj kaç aylık kontrol?</v>
      </c>
      <c r="J28" s="54" t="str">
        <f>IF(B28="","",VLOOKUP(AD28,Varsayımlar!$B:$Q,6,0))</f>
        <v>SADE</v>
      </c>
      <c r="K28" s="54">
        <v>700</v>
      </c>
      <c r="L28" s="54"/>
      <c r="M28" s="54">
        <f>IFERROR(IF(B28="","",K28/VLOOKUP(AD28,Varsayımlar!B:R,17,0)),"")</f>
        <v>5</v>
      </c>
      <c r="N28" s="54"/>
      <c r="O28" s="54">
        <v>12</v>
      </c>
      <c r="P28" s="54">
        <f>IF(B28="","",VLOOKUP(AD28,Varsayımlar!$B:$Q,7,0)*K28)</f>
        <v>21000</v>
      </c>
      <c r="Q28" s="54">
        <f>IF(B28="","",VLOOKUP(AD28,Varsayımlar!$B:$Q,8,0))</f>
        <v>20</v>
      </c>
      <c r="R28" s="54" t="str">
        <f>IF(B28="","",VLOOKUP(AD28,Varsayımlar!$B:$Q,9,0))</f>
        <v>Irak Soft</v>
      </c>
      <c r="S28" s="54">
        <f>IF(B28="","",VLOOKUP(AD28,Varsayımlar!$B:$Q,10,0))</f>
        <v>4</v>
      </c>
      <c r="T28" s="54">
        <f>IF(B28="","",VLOOKUP(AD28,Varsayımlar!$B:$Q,11,0))</f>
        <v>30</v>
      </c>
      <c r="U28" s="54">
        <f>IF(B28="","",VLOOKUP(AD28,Varsayımlar!$B:$Q,12,0))</f>
        <v>166</v>
      </c>
      <c r="V28" s="54" t="str">
        <f>IF(B28="","",VLOOKUP(AD28,Varsayımlar!$B:$Q,13,0))</f>
        <v>Yurtdışı</v>
      </c>
      <c r="W28" s="54">
        <f>IF(B28="","",VLOOKUP(AD28,Varsayımlar!$B:$Q,14,0))</f>
        <v>9</v>
      </c>
      <c r="X28" s="56">
        <v>46226</v>
      </c>
      <c r="Y28" s="56">
        <v>46500</v>
      </c>
      <c r="Z28" s="54">
        <v>26072320</v>
      </c>
      <c r="AA28" s="54" t="str">
        <f>IF(B28="","",VLOOKUP(AD28,Varsayımlar!$B:$Q,15,0))</f>
        <v>Hanami Mavi Koli -Üretim Tarihi+9 AYI KAPATACAK ETİKETLİ</v>
      </c>
      <c r="AB28" s="54" t="str">
        <f>IF(B28="","",VLOOKUP(AD28,Varsayımlar!$B:$Q,16,0))</f>
        <v>19-21 cm</v>
      </c>
      <c r="AC28" s="8" t="e">
        <f>IF(B28="","",VLOOKUP(#REF!,#REF!,18,0))</f>
        <v>#REF!</v>
      </c>
      <c r="AD28" s="8" t="str">
        <f t="shared" si="1"/>
        <v xml:space="preserve">GermesHanami 20cm sade 4pcs 166g </v>
      </c>
    </row>
    <row r="29" spans="1:31" ht="31.5" x14ac:dyDescent="0.25">
      <c r="A29" s="8" t="s">
        <v>141</v>
      </c>
      <c r="B29" s="54" t="s">
        <v>346</v>
      </c>
      <c r="C29" s="139">
        <f>IF(B29="","",VLOOKUP(AD29,Varsayımlar!$B:$Q,3,0))</f>
        <v>8698829380698</v>
      </c>
      <c r="D29" s="39">
        <v>49</v>
      </c>
      <c r="E29" s="55" t="s">
        <v>490</v>
      </c>
      <c r="F29" s="54"/>
      <c r="G29" s="54"/>
      <c r="H29" s="54" t="str">
        <f>IF(B29="","",VLOOKUP(AD29,Varsayımlar!$B:$Q,5,0))</f>
        <v>Tortillas Domatesli 25cm (Germes Bilgileri Ekli)</v>
      </c>
      <c r="I29" s="54">
        <f>IF(B29="","",VLOOKUP(AD29,Varsayımlar!B:T,19,0))</f>
        <v>0</v>
      </c>
      <c r="J29" s="54" t="str">
        <f>IF(B29="","",VLOOKUP(AD29,Varsayımlar!$B:$Q,6,0))</f>
        <v>Domatesli</v>
      </c>
      <c r="K29" s="54">
        <v>420</v>
      </c>
      <c r="L29" s="54"/>
      <c r="M29" s="54" t="str">
        <f>IFERROR(IF(B29="","",K29/VLOOKUP(AD29,Varsayımlar!B:R,17,0)),"")</f>
        <v/>
      </c>
      <c r="N29" s="54"/>
      <c r="O29" s="54">
        <v>8</v>
      </c>
      <c r="P29" s="54">
        <f>IF(B29="","",VLOOKUP(AD29,Varsayımlar!$B:$Q,7,0)*K29)</f>
        <v>12600</v>
      </c>
      <c r="Q29" s="54">
        <f>IF(B29="","",VLOOKUP(AD29,Varsayımlar!$B:$Q,8,0))</f>
        <v>25</v>
      </c>
      <c r="R29" s="54" t="str">
        <f>IF(B29="","",VLOOKUP(AD29,Varsayımlar!$B:$Q,9,0))</f>
        <v>Irak Soft</v>
      </c>
      <c r="S29" s="54">
        <f>IF(B29="","",VLOOKUP(AD29,Varsayımlar!$B:$Q,10,0))</f>
        <v>4</v>
      </c>
      <c r="T29" s="54">
        <f>IF(B29="","",VLOOKUP(AD29,Varsayımlar!$B:$Q,11,0))</f>
        <v>30</v>
      </c>
      <c r="U29" s="54">
        <f>IF(B29="","",VLOOKUP(AD29,Varsayımlar!$B:$Q,12,0))</f>
        <v>250</v>
      </c>
      <c r="V29" s="54" t="str">
        <f>IF(B29="","",VLOOKUP(AD29,Varsayımlar!$B:$Q,13,0))</f>
        <v>Yurtdışı</v>
      </c>
      <c r="W29" s="54">
        <f>IF(B29="","",VLOOKUP(AD29,Varsayımlar!$B:$Q,14,0))</f>
        <v>9</v>
      </c>
      <c r="X29" s="56">
        <v>46226</v>
      </c>
      <c r="Y29" s="56">
        <v>46135</v>
      </c>
      <c r="Z29" s="54" t="s">
        <v>496</v>
      </c>
      <c r="AA29" s="54" t="str">
        <f>IF(B29="","",VLOOKUP(AD29,Varsayımlar!$B:$Q,15,0))</f>
        <v>25cm Kırmızı Koli-Üretim Tarihli Etiketli</v>
      </c>
      <c r="AB29" s="54">
        <f>IF(B29="","",VLOOKUP(AD29,Varsayımlar!$B:$Q,16,0))</f>
        <v>0</v>
      </c>
      <c r="AC29" s="8" t="e">
        <f>IF(B29="","",VLOOKUP(#REF!,#REF!,18,0))</f>
        <v>#REF!</v>
      </c>
      <c r="AD29" s="8" t="str">
        <f t="shared" si="1"/>
        <v xml:space="preserve">GermesTortillas Domatesli 25cm 4pcs 250g </v>
      </c>
    </row>
    <row r="30" spans="1:31" ht="31.5" x14ac:dyDescent="0.25">
      <c r="A30" s="8" t="s">
        <v>142</v>
      </c>
      <c r="B30" s="54" t="s">
        <v>346</v>
      </c>
      <c r="C30" s="139">
        <f>IF(B30="","",VLOOKUP(AD30,Varsayımlar!$B:$Q,3,0))</f>
        <v>8698829380698</v>
      </c>
      <c r="D30" s="39">
        <v>49</v>
      </c>
      <c r="E30" s="55" t="s">
        <v>492</v>
      </c>
      <c r="F30" s="54"/>
      <c r="G30" s="54"/>
      <c r="H30" s="54" t="str">
        <f>IF(B30="","",VLOOKUP(AD30,Varsayımlar!$B:$Q,5,0))</f>
        <v>Tortillas Ispanaklı 25cm (Germes Bilgileri Ekli)</v>
      </c>
      <c r="I30" s="54">
        <f>IF(B30="","",VLOOKUP(AD30,Varsayımlar!B:T,19,0))</f>
        <v>0</v>
      </c>
      <c r="J30" s="54" t="str">
        <f>IF(B30="","",VLOOKUP(AD30,Varsayımlar!$B:$Q,6,0))</f>
        <v>Ispanaklı</v>
      </c>
      <c r="K30" s="54">
        <v>420</v>
      </c>
      <c r="L30" s="54"/>
      <c r="M30" s="54" t="str">
        <f>IFERROR(IF(B30="","",K30/VLOOKUP(AD30,Varsayımlar!B:R,17,0)),"")</f>
        <v/>
      </c>
      <c r="N30" s="54"/>
      <c r="O30" s="54">
        <v>8</v>
      </c>
      <c r="P30" s="54">
        <f>IF(B30="","",VLOOKUP(AD30,Varsayımlar!$B:$Q,7,0)*K30)</f>
        <v>12600</v>
      </c>
      <c r="Q30" s="54">
        <f>IF(B30="","",VLOOKUP(AD30,Varsayımlar!$B:$Q,8,0))</f>
        <v>25</v>
      </c>
      <c r="R30" s="54" t="str">
        <f>IF(B30="","",VLOOKUP(AD30,Varsayımlar!$B:$Q,9,0))</f>
        <v>Irak Soft</v>
      </c>
      <c r="S30" s="54">
        <f>IF(B30="","",VLOOKUP(AD30,Varsayımlar!$B:$Q,10,0))</f>
        <v>4</v>
      </c>
      <c r="T30" s="54">
        <f>IF(B30="","",VLOOKUP(AD30,Varsayımlar!$B:$Q,11,0))</f>
        <v>30</v>
      </c>
      <c r="U30" s="54">
        <f>IF(B30="","",VLOOKUP(AD30,Varsayımlar!$B:$Q,12,0))</f>
        <v>250</v>
      </c>
      <c r="V30" s="54" t="str">
        <f>IF(B30="","",VLOOKUP(AD30,Varsayımlar!$B:$Q,13,0))</f>
        <v>Yurtdışı</v>
      </c>
      <c r="W30" s="54">
        <f>IF(B30="","",VLOOKUP(AD30,Varsayımlar!$B:$Q,14,0))</f>
        <v>9</v>
      </c>
      <c r="X30" s="56">
        <v>46226</v>
      </c>
      <c r="Y30" s="56">
        <v>46500</v>
      </c>
      <c r="Z30" s="54" t="s">
        <v>497</v>
      </c>
      <c r="AA30" s="54" t="str">
        <f>IF(B30="","",VLOOKUP(AD30,Varsayımlar!$B:$Q,15,0))</f>
        <v>25cm Kırmızı Koli-Üretim Tarihli Etiketli</v>
      </c>
      <c r="AB30" s="54">
        <f>IF(B30="","",VLOOKUP(AD30,Varsayımlar!$B:$Q,16,0))</f>
        <v>0</v>
      </c>
      <c r="AC30" s="8" t="e">
        <f>IF(B30="","",VLOOKUP(#REF!,#REF!,18,0))</f>
        <v>#REF!</v>
      </c>
      <c r="AD30" s="8" t="str">
        <f t="shared" si="1"/>
        <v xml:space="preserve">GermesTortillas Ispanaklı 25cm 4pcs 250g </v>
      </c>
    </row>
    <row r="31" spans="1:31" ht="45.75" customHeight="1" x14ac:dyDescent="0.25">
      <c r="A31" s="8" t="s">
        <v>143</v>
      </c>
      <c r="B31" s="130" t="s">
        <v>119</v>
      </c>
      <c r="C31" s="131">
        <f>IF(B31="","",VLOOKUP(AD31,Varsayımlar!$B:$Q,3,0))</f>
        <v>8698829380698</v>
      </c>
      <c r="D31" s="131"/>
      <c r="E31" s="132" t="s">
        <v>120</v>
      </c>
      <c r="F31" s="130"/>
      <c r="G31" s="130"/>
      <c r="H31" s="130" t="str">
        <f>IF(B31="","",VLOOKUP(AD31,Varsayımlar!$B:$Q,5,0))</f>
        <v>Nimet 25 cm</v>
      </c>
      <c r="I31" s="130">
        <f>IF(B31="","",VLOOKUP(AD31,Varsayımlar!B:T,19,0))</f>
        <v>0</v>
      </c>
      <c r="J31" s="130" t="str">
        <f>IF(B31="","",VLOOKUP(AD31,Varsayımlar!$B:$Q,6,0))</f>
        <v>SADE</v>
      </c>
      <c r="K31" s="130">
        <v>5000</v>
      </c>
      <c r="L31" s="130"/>
      <c r="M31" s="130">
        <f>IFERROR(IF(B31="","",K31/VLOOKUP(AD31,Varsayımlar!B:R,17,0)),"")</f>
        <v>100</v>
      </c>
      <c r="N31" s="130"/>
      <c r="O31" s="130">
        <v>100</v>
      </c>
      <c r="P31" s="130">
        <f>IF(B31="","",VLOOKUP(AD31,Varsayımlar!$B:$Q,7,0)*K31)</f>
        <v>60000</v>
      </c>
      <c r="Q31" s="130">
        <f>IF(B31="","",VLOOKUP(AD31,Varsayımlar!$B:$Q,8,0))</f>
        <v>25</v>
      </c>
      <c r="R31" s="130" t="str">
        <f>IF(B31="","",VLOOKUP(AD31,Varsayımlar!$B:$Q,9,0))</f>
        <v>Standart</v>
      </c>
      <c r="S31" s="130">
        <f>IF(B31="","",VLOOKUP(AD31,Varsayımlar!$B:$Q,10,0))</f>
        <v>12</v>
      </c>
      <c r="T31" s="130">
        <f>IF(B31="","",VLOOKUP(AD31,Varsayımlar!$B:$Q,11,0))</f>
        <v>12</v>
      </c>
      <c r="U31" s="130">
        <f>IF(B31="","",VLOOKUP(AD31,Varsayımlar!$B:$Q,12,0))</f>
        <v>840</v>
      </c>
      <c r="V31" s="130" t="str">
        <f>IF(B31="","",VLOOKUP(AD31,Varsayımlar!$B:$Q,13,0))</f>
        <v>YURTİÇİ</v>
      </c>
      <c r="W31" s="130">
        <f>IF(B31="","",VLOOKUP(AD31,Varsayımlar!$B:$Q,14,0))</f>
        <v>5</v>
      </c>
      <c r="X31" s="133" t="s">
        <v>113</v>
      </c>
      <c r="Y31" s="133" t="s">
        <v>113</v>
      </c>
      <c r="Z31" s="130" t="s">
        <v>113</v>
      </c>
      <c r="AA31" s="130" t="str">
        <f>IF(B31="","",VLOOKUP(AD31,Varsayımlar!$B:$Q,15,0))</f>
        <v>Nimet Kolisi</v>
      </c>
      <c r="AB31" s="130" t="str">
        <f>IF(B31="","",VLOOKUP(AD31,Varsayımlar!$B:$Q,16,0))</f>
        <v>24-26 CM</v>
      </c>
      <c r="AC31" s="64" t="s">
        <v>360</v>
      </c>
      <c r="AD31" s="57" t="str">
        <f>IF(B31="","",CONCATENATE(B31,E31))</f>
        <v>A101Nimet 25cm 12 pcs 840g</v>
      </c>
    </row>
    <row r="32" spans="1:31" ht="36" customHeight="1" x14ac:dyDescent="0.25">
      <c r="A32" s="8" t="s">
        <v>144</v>
      </c>
      <c r="B32" s="149" t="s">
        <v>500</v>
      </c>
      <c r="C32" s="149">
        <f>IF(B32="","",VLOOKUP(AD32,Varsayımlar!$B:$Q,3,0))</f>
        <v>8698829380698</v>
      </c>
      <c r="D32" s="149"/>
      <c r="E32" s="149" t="s">
        <v>501</v>
      </c>
      <c r="F32" s="149">
        <v>26062201</v>
      </c>
      <c r="G32" s="149"/>
      <c r="H32" s="149" t="str">
        <f>IF(B32="","",VLOOKUP(AD32,Varsayımlar!$B:$Q,5,0))</f>
        <v>Tortillas 33cm</v>
      </c>
      <c r="I32" s="149">
        <f>IF(B32="","",VLOOKUP(AD32,Varsayımlar!B:T,19,0))</f>
        <v>0</v>
      </c>
      <c r="J32" s="149" t="str">
        <f>IF(B32="","",VLOOKUP(AD32,Varsayımlar!$B:$Q,6,0))</f>
        <v>Sade</v>
      </c>
      <c r="K32" s="149">
        <v>100</v>
      </c>
      <c r="L32" s="149" t="s">
        <v>528</v>
      </c>
      <c r="M32" s="149">
        <f>IFERROR(IF(B32="","",K32/VLOOKUP(AD32,Varsayımlar!B:R,17,0)),"")</f>
        <v>2</v>
      </c>
      <c r="N32" s="149"/>
      <c r="O32" s="149">
        <v>2</v>
      </c>
      <c r="P32" s="149">
        <f>IF(B32="","",VLOOKUP(AD32,Varsayımlar!$B:$Q,7,0)*K32)</f>
        <v>1200</v>
      </c>
      <c r="Q32" s="149">
        <f>IF(B32="","",VLOOKUP(AD32,Varsayımlar!$B:$Q,8,0))</f>
        <v>33</v>
      </c>
      <c r="R32" s="149" t="str">
        <f>IF(B32="","",VLOOKUP(AD32,Varsayımlar!$B:$Q,9,0))</f>
        <v>Irak Soft</v>
      </c>
      <c r="S32" s="149">
        <f>IF(B32="","",VLOOKUP(AD32,Varsayımlar!$B:$Q,10,0))</f>
        <v>10</v>
      </c>
      <c r="T32" s="149">
        <f>IF(B32="","",VLOOKUP(AD32,Varsayımlar!$B:$Q,11,0))</f>
        <v>12</v>
      </c>
      <c r="U32" s="149">
        <f>IF(B32="","",VLOOKUP(AD32,Varsayımlar!$B:$Q,12,0))</f>
        <v>1000</v>
      </c>
      <c r="V32" s="149" t="str">
        <f>IF(B32="","",VLOOKUP(AD32,Varsayımlar!$B:$Q,13,0))</f>
        <v>Yurtdışı</v>
      </c>
      <c r="W32" s="149">
        <f>IF(B32="","",VLOOKUP(AD32,Varsayımlar!$B:$Q,14,0))</f>
        <v>12</v>
      </c>
      <c r="X32" s="151">
        <v>46231</v>
      </c>
      <c r="Y32" s="151">
        <v>46596</v>
      </c>
      <c r="Z32" s="149">
        <v>26072833</v>
      </c>
      <c r="AA32" s="149" t="str">
        <f>IF(B32="","",VLOOKUP(AD32,Varsayımlar!$B:$Q,15,0))</f>
        <v>33cm Kolisi</v>
      </c>
      <c r="AB32" s="149" t="str">
        <f>IF(B32="","",VLOOKUP(AD32,Varsayımlar!$B:$Q,16,0))</f>
        <v>32-34 cm</v>
      </c>
      <c r="AC32" s="67" t="e">
        <f>IF(B32="","",VLOOKUP(#REF!,#REF!,18,0))</f>
        <v>#REF!</v>
      </c>
      <c r="AD32" s="57" t="str">
        <f t="shared" si="1"/>
        <v>Fama GroupTortillas 33cm 10pcs 1000g</v>
      </c>
    </row>
    <row r="33" spans="1:30" ht="49.5" customHeight="1" x14ac:dyDescent="0.25">
      <c r="A33" s="8" t="s">
        <v>145</v>
      </c>
      <c r="B33" s="152" t="s">
        <v>518</v>
      </c>
      <c r="C33" s="153">
        <f>IF(B33="","",VLOOKUP(AD33,Varsayımlar!$B:$Q,3,0))</f>
        <v>8698829380698</v>
      </c>
      <c r="D33" s="154"/>
      <c r="E33" s="156" t="s">
        <v>501</v>
      </c>
      <c r="F33" s="152">
        <v>26062302</v>
      </c>
      <c r="G33" s="152"/>
      <c r="H33" s="152" t="str">
        <f>IF(B33="","",VLOOKUP(AD33,Varsayımlar!$B:$Q,5,0))</f>
        <v>Tortillas 33cm</v>
      </c>
      <c r="I33" s="152">
        <f>IF(B33="","",VLOOKUP(AD33,Varsayımlar!B:T,19,0))</f>
        <v>0</v>
      </c>
      <c r="J33" s="152" t="str">
        <f>IF(B33="","",VLOOKUP(AD33,Varsayımlar!$B:$Q,6,0))</f>
        <v>Sade</v>
      </c>
      <c r="K33" s="152">
        <v>25</v>
      </c>
      <c r="L33" s="152"/>
      <c r="M33" s="152">
        <f>IFERROR(IF(B33="","",K33/VLOOKUP(AD33,Varsayımlar!B:R,17,0)),"")</f>
        <v>0.5</v>
      </c>
      <c r="N33" s="152"/>
      <c r="O33" s="152">
        <v>1</v>
      </c>
      <c r="P33" s="152">
        <f>IF(B33="","",VLOOKUP(AD33,Varsayımlar!$B:$Q,7,0)*K33)</f>
        <v>300</v>
      </c>
      <c r="Q33" s="152">
        <f>IF(B33="","",VLOOKUP(AD33,Varsayımlar!$B:$Q,8,0))</f>
        <v>33</v>
      </c>
      <c r="R33" s="152" t="str">
        <f>IF(B33="","",VLOOKUP(AD33,Varsayımlar!$B:$Q,9,0))</f>
        <v>Irak Soft</v>
      </c>
      <c r="S33" s="152">
        <f>IF(B33="","",VLOOKUP(AD33,Varsayımlar!$B:$Q,10,0))</f>
        <v>10</v>
      </c>
      <c r="T33" s="152">
        <f>IF(B33="","",VLOOKUP(AD33,Varsayımlar!$B:$Q,11,0))</f>
        <v>12</v>
      </c>
      <c r="U33" s="152">
        <f>IF(B33="","",VLOOKUP(AD33,Varsayımlar!$B:$Q,12,0))</f>
        <v>1000</v>
      </c>
      <c r="V33" s="152" t="str">
        <f>IF(B33="","",VLOOKUP(AD33,Varsayımlar!$B:$Q,13,0))</f>
        <v>Yurtiçi</v>
      </c>
      <c r="W33" s="152">
        <f>IF(B33="","",VLOOKUP(AD33,Varsayımlar!$B:$Q,14,0))</f>
        <v>6</v>
      </c>
      <c r="X33" s="155">
        <v>46231</v>
      </c>
      <c r="Y33" s="155">
        <v>46415</v>
      </c>
      <c r="Z33" s="152">
        <v>26072833</v>
      </c>
      <c r="AA33" s="152" t="str">
        <f>IF(B33="","",VLOOKUP(AD33,Varsayımlar!$B:$Q,15,0))</f>
        <v>33cm Kolisi</v>
      </c>
      <c r="AB33" s="152" t="str">
        <f>IF(B33="","",VLOOKUP(AD33,Varsayımlar!$B:$Q,16,0))</f>
        <v>32-34cm</v>
      </c>
      <c r="AC33" s="8" t="e">
        <f>IF(B33="","",VLOOKUP(#REF!,#REF!,18,0))</f>
        <v>#REF!</v>
      </c>
      <c r="AD33" s="8" t="str">
        <f t="shared" si="1"/>
        <v>Yusuf KöseTortillas 33cm 10pcs 1000g</v>
      </c>
    </row>
    <row r="34" spans="1:30" ht="49.5" customHeight="1" x14ac:dyDescent="0.25">
      <c r="A34" s="8" t="s">
        <v>146</v>
      </c>
      <c r="B34" s="152" t="s">
        <v>518</v>
      </c>
      <c r="C34" s="153">
        <f>IF(B34="","",VLOOKUP(AD34,Varsayımlar!$B:$Q,3,0))</f>
        <v>8698829380698</v>
      </c>
      <c r="D34" s="154"/>
      <c r="E34" s="152" t="s">
        <v>520</v>
      </c>
      <c r="F34" s="152">
        <v>26062302</v>
      </c>
      <c r="G34" s="152"/>
      <c r="H34" s="152" t="str">
        <f>IF(B34="","",VLOOKUP(AD34,Varsayımlar!$B:$Q,5,0))</f>
        <v>Tortillas 30cm</v>
      </c>
      <c r="I34" s="152">
        <f>IF(B34="","",VLOOKUP(AD34,Varsayımlar!B:T,19,0))</f>
        <v>0</v>
      </c>
      <c r="J34" s="152" t="str">
        <f>IF(B34="","",VLOOKUP(AD34,Varsayımlar!$B:$Q,6,0))</f>
        <v>Sade</v>
      </c>
      <c r="K34" s="152">
        <v>15</v>
      </c>
      <c r="L34" s="152"/>
      <c r="M34" s="152">
        <f>IFERROR(IF(B34="","",K34/VLOOKUP(AD34,Varsayımlar!B:R,17,0)),"")</f>
        <v>0.3</v>
      </c>
      <c r="N34" s="152"/>
      <c r="O34" s="152">
        <v>0</v>
      </c>
      <c r="P34" s="152">
        <f>IF(B34="","",VLOOKUP(AD34,Varsayımlar!$B:$Q,7,0)*K34)</f>
        <v>180</v>
      </c>
      <c r="Q34" s="152">
        <f>IF(B34="","",VLOOKUP(AD34,Varsayımlar!$B:$Q,8,0))</f>
        <v>30</v>
      </c>
      <c r="R34" s="152" t="str">
        <f>IF(B34="","",VLOOKUP(AD34,Varsayımlar!$B:$Q,9,0))</f>
        <v>Irak Soft</v>
      </c>
      <c r="S34" s="152">
        <f>IF(B34="","",VLOOKUP(AD34,Varsayımlar!$B:$Q,10,0))</f>
        <v>10</v>
      </c>
      <c r="T34" s="152">
        <f>IF(B34="","",VLOOKUP(AD34,Varsayımlar!$B:$Q,11,0))</f>
        <v>12</v>
      </c>
      <c r="U34" s="152">
        <f>IF(B34="","",VLOOKUP(AD34,Varsayımlar!$B:$Q,12,0))</f>
        <v>950</v>
      </c>
      <c r="V34" s="152" t="str">
        <f>IF(B34="","",VLOOKUP(AD34,Varsayımlar!$B:$Q,13,0))</f>
        <v>Yurtiçi</v>
      </c>
      <c r="W34" s="152">
        <f>IF(B34="","",VLOOKUP(AD34,Varsayımlar!$B:$Q,14,0))</f>
        <v>6</v>
      </c>
      <c r="X34" s="155">
        <v>46231</v>
      </c>
      <c r="Y34" s="155">
        <v>46415</v>
      </c>
      <c r="Z34" s="152">
        <v>26072830</v>
      </c>
      <c r="AA34" s="152" t="str">
        <f>IF(B34="","",VLOOKUP(AD34,Varsayımlar!$B:$Q,15,0))</f>
        <v>30cm Kolisi</v>
      </c>
      <c r="AB34" s="152" t="str">
        <f>IF(B34="","",VLOOKUP(AD34,Varsayımlar!$B:$Q,16,0))</f>
        <v>29-31cm</v>
      </c>
      <c r="AC34" s="8" t="e">
        <f>IF(B34="","",VLOOKUP(#REF!,#REF!,18,0))</f>
        <v>#REF!</v>
      </c>
      <c r="AD34" s="8" t="str">
        <f t="shared" si="1"/>
        <v>Yusuf KöseTortillas 30cm 10pcs 950g</v>
      </c>
    </row>
    <row r="35" spans="1:30" ht="36" customHeight="1" x14ac:dyDescent="0.25">
      <c r="A35" s="8" t="s">
        <v>147</v>
      </c>
      <c r="B35" s="149" t="s">
        <v>500</v>
      </c>
      <c r="C35" s="149">
        <f>IF(B35="","",VLOOKUP(AD35,Varsayımlar!$B:$Q,3,0))</f>
        <v>8698829380698</v>
      </c>
      <c r="D35" s="149"/>
      <c r="E35" s="149" t="s">
        <v>509</v>
      </c>
      <c r="F35" s="149">
        <v>26062201</v>
      </c>
      <c r="G35" s="149"/>
      <c r="H35" s="149" t="str">
        <f>IF(B35="","",VLOOKUP(AD35,Varsayımlar!$B:$Q,5,0))</f>
        <v xml:space="preserve">Tortillas 30cm </v>
      </c>
      <c r="I35" s="149">
        <f>IF(B35="","",VLOOKUP(AD35,Varsayımlar!B:T,19,0))</f>
        <v>0</v>
      </c>
      <c r="J35" s="149" t="str">
        <f>IF(B35="","",VLOOKUP(AD35,Varsayımlar!$B:$Q,6,0))</f>
        <v>Sade</v>
      </c>
      <c r="K35" s="149">
        <v>250</v>
      </c>
      <c r="L35" s="149"/>
      <c r="M35" s="149">
        <f>IFERROR(IF(B35="","",K35/VLOOKUP(AD35,Varsayımlar!B:R,17,0)),"")</f>
        <v>5</v>
      </c>
      <c r="N35" s="149"/>
      <c r="O35" s="149">
        <v>5</v>
      </c>
      <c r="P35" s="149">
        <f>IF(B35="","",VLOOKUP(AD35,Varsayımlar!$B:$Q,7,0)*K35)</f>
        <v>3000</v>
      </c>
      <c r="Q35" s="149">
        <f>IF(B35="","",VLOOKUP(AD35,Varsayımlar!$B:$Q,8,0))</f>
        <v>30</v>
      </c>
      <c r="R35" s="149" t="str">
        <f>IF(B35="","",VLOOKUP(AD35,Varsayımlar!$B:$Q,9,0))</f>
        <v>Irak Soft</v>
      </c>
      <c r="S35" s="149">
        <f>IF(B35="","",VLOOKUP(AD35,Varsayımlar!$B:$Q,10,0))</f>
        <v>10</v>
      </c>
      <c r="T35" s="149">
        <f>IF(B35="","",VLOOKUP(AD35,Varsayımlar!$B:$Q,11,0))</f>
        <v>12</v>
      </c>
      <c r="U35" s="149">
        <f>IF(B35="","",VLOOKUP(AD35,Varsayımlar!$B:$Q,12,0))</f>
        <v>850</v>
      </c>
      <c r="V35" s="149" t="str">
        <f>IF(B35="","",VLOOKUP(AD35,Varsayımlar!$B:$Q,13,0))</f>
        <v>Yurtdışı</v>
      </c>
      <c r="W35" s="149">
        <f>IF(B35="","",VLOOKUP(AD35,Varsayımlar!$B:$Q,14,0))</f>
        <v>12</v>
      </c>
      <c r="X35" s="151">
        <v>46231</v>
      </c>
      <c r="Y35" s="151">
        <v>46596</v>
      </c>
      <c r="Z35" s="149">
        <v>26072830</v>
      </c>
      <c r="AA35" s="151" t="str">
        <f>IF(B35="","",VLOOKUP(AD35,Varsayımlar!$B:$Q,15,0))</f>
        <v>30 cm Kolisi</v>
      </c>
      <c r="AB35" s="151" t="str">
        <f>IF(B35="","",VLOOKUP(AD35,Varsayımlar!$B:$Q,16,0))</f>
        <v>29-31 cm</v>
      </c>
      <c r="AC35" s="67" t="e">
        <f>IF(B35="","",VLOOKUP(#REF!,#REF!,18,0))</f>
        <v>#REF!</v>
      </c>
      <c r="AD35" s="57" t="str">
        <f t="shared" si="1"/>
        <v>Fama GroupTortillas 30cm 10pcs 850g</v>
      </c>
    </row>
    <row r="36" spans="1:30" ht="36" customHeight="1" x14ac:dyDescent="0.25">
      <c r="A36" s="8" t="s">
        <v>148</v>
      </c>
      <c r="B36" s="149" t="s">
        <v>500</v>
      </c>
      <c r="C36" s="149">
        <f>IF(B36="","",VLOOKUP(AD36,Varsayımlar!$B:$Q,3,0))</f>
        <v>8698829380698</v>
      </c>
      <c r="D36" s="149"/>
      <c r="E36" s="149" t="s">
        <v>512</v>
      </c>
      <c r="F36" s="149">
        <v>26062201</v>
      </c>
      <c r="G36" s="149"/>
      <c r="H36" s="149" t="str">
        <f>IF(B36="","",VLOOKUP(AD36,Varsayımlar!$B:$Q,5,0))</f>
        <v>Tortillas 20cm</v>
      </c>
      <c r="I36" s="149">
        <f>IF(B36="","",VLOOKUP(AD36,Varsayımlar!B:T,19,0))</f>
        <v>0</v>
      </c>
      <c r="J36" s="149" t="str">
        <f>IF(B36="","",VLOOKUP(AD36,Varsayımlar!$B:$Q,6,0))</f>
        <v>Sade</v>
      </c>
      <c r="K36" s="149">
        <v>50</v>
      </c>
      <c r="L36" s="149"/>
      <c r="M36" s="149">
        <f>IFERROR(IF(B36="","",K36/VLOOKUP(AD36,Varsayımlar!B:R,17,0)),"")</f>
        <v>1</v>
      </c>
      <c r="N36" s="149"/>
      <c r="O36" s="149">
        <v>1</v>
      </c>
      <c r="P36" s="149">
        <f>IF(B36="","",VLOOKUP(AD36,Varsayımlar!$B:$Q,7,0)*K36)</f>
        <v>600</v>
      </c>
      <c r="Q36" s="149">
        <f>IF(B36="","",VLOOKUP(AD36,Varsayımlar!$B:$Q,8,0))</f>
        <v>20</v>
      </c>
      <c r="R36" s="149" t="str">
        <f>IF(B36="","",VLOOKUP(AD36,Varsayımlar!$B:$Q,9,0))</f>
        <v>Irak Soft</v>
      </c>
      <c r="S36" s="149">
        <f>IF(B36="","",VLOOKUP(AD36,Varsayımlar!$B:$Q,10,0))</f>
        <v>10</v>
      </c>
      <c r="T36" s="149">
        <f>IF(B36="","",VLOOKUP(AD36,Varsayımlar!$B:$Q,11,0))</f>
        <v>12</v>
      </c>
      <c r="U36" s="149">
        <f>IF(B36="","",VLOOKUP(AD36,Varsayımlar!$B:$Q,12,0))</f>
        <v>450</v>
      </c>
      <c r="V36" s="149" t="str">
        <f>IF(B36="","",VLOOKUP(AD36,Varsayımlar!$B:$Q,13,0))</f>
        <v>Yurtdışı</v>
      </c>
      <c r="W36" s="149">
        <f>IF(B36="","",VLOOKUP(AD36,Varsayımlar!$B:$Q,14,0))</f>
        <v>12</v>
      </c>
      <c r="X36" s="151">
        <v>46231</v>
      </c>
      <c r="Y36" s="151">
        <v>46596</v>
      </c>
      <c r="Z36" s="149">
        <v>26072820</v>
      </c>
      <c r="AA36" s="151" t="str">
        <f>IF(B36="","",VLOOKUP(AD36,Varsayımlar!$B:$Q,15,0))</f>
        <v>20cm Siyah Koli</v>
      </c>
      <c r="AB36" s="151" t="str">
        <f>IF(B36="","",VLOOKUP(AD36,Varsayımlar!$B:$Q,16,0))</f>
        <v>19-21cm</v>
      </c>
      <c r="AC36" s="67" t="e">
        <f>IF(B36="","",VLOOKUP(#REF!,#REF!,18,0))</f>
        <v>#REF!</v>
      </c>
      <c r="AD36" s="57" t="str">
        <f t="shared" si="1"/>
        <v>Fama GroupTortillas 20cm 10pcs 450g</v>
      </c>
    </row>
    <row r="37" spans="1:30" ht="36" customHeight="1" x14ac:dyDescent="0.25">
      <c r="A37" s="8" t="s">
        <v>149</v>
      </c>
      <c r="B37" s="149" t="s">
        <v>500</v>
      </c>
      <c r="C37" s="149">
        <f>IF(B37="","",VLOOKUP(AD37,Varsayımlar!$B:$Q,3,0))</f>
        <v>8698829380698</v>
      </c>
      <c r="D37" s="149"/>
      <c r="E37" s="149" t="s">
        <v>229</v>
      </c>
      <c r="F37" s="149">
        <v>26062201</v>
      </c>
      <c r="G37" s="149"/>
      <c r="H37" s="149" t="str">
        <f>IF(B37="","",VLOOKUP(AD37,Varsayımlar!$B:$Q,5,0))</f>
        <v>Tortillas 25cm Tam Buğday</v>
      </c>
      <c r="I37" s="149">
        <f>IF(B37="","",VLOOKUP(AD37,Varsayımlar!B:T,19,0))</f>
        <v>0</v>
      </c>
      <c r="J37" s="149" t="str">
        <f>IF(B37="","",VLOOKUP(AD37,Varsayımlar!$B:$Q,6,0))</f>
        <v>Tam Buğdaylı</v>
      </c>
      <c r="K37" s="149">
        <v>50</v>
      </c>
      <c r="L37" s="149"/>
      <c r="M37" s="149">
        <f>IFERROR(IF(B37="","",K37/VLOOKUP(AD37,Varsayımlar!B:R,17,0)),"")</f>
        <v>1</v>
      </c>
      <c r="N37" s="149"/>
      <c r="O37" s="149">
        <v>1</v>
      </c>
      <c r="P37" s="149">
        <f>IF(B37="","",VLOOKUP(AD37,Varsayımlar!$B:$Q,7,0)*K37)</f>
        <v>600</v>
      </c>
      <c r="Q37" s="149">
        <f>IF(B37="","",VLOOKUP(AD37,Varsayımlar!$B:$Q,8,0))</f>
        <v>25</v>
      </c>
      <c r="R37" s="149" t="str">
        <f>IF(B37="","",VLOOKUP(AD37,Varsayımlar!$B:$Q,9,0))</f>
        <v>Irak Soft</v>
      </c>
      <c r="S37" s="149">
        <f>IF(B37="","",VLOOKUP(AD37,Varsayımlar!$B:$Q,10,0))</f>
        <v>10</v>
      </c>
      <c r="T37" s="149">
        <f>IF(B37="","",VLOOKUP(AD37,Varsayımlar!$B:$Q,11,0))</f>
        <v>12</v>
      </c>
      <c r="U37" s="149">
        <f>IF(B37="","",VLOOKUP(AD37,Varsayımlar!$B:$Q,12,0))</f>
        <v>650</v>
      </c>
      <c r="V37" s="149" t="str">
        <f>IF(B37="","",VLOOKUP(AD37,Varsayımlar!$B:$Q,13,0))</f>
        <v>Yurtdışı</v>
      </c>
      <c r="W37" s="149">
        <f>IF(B37="","",VLOOKUP(AD37,Varsayımlar!$B:$Q,14,0))</f>
        <v>12</v>
      </c>
      <c r="X37" s="151">
        <v>46231</v>
      </c>
      <c r="Y37" s="151">
        <v>46596</v>
      </c>
      <c r="Z37" s="149" t="s">
        <v>525</v>
      </c>
      <c r="AA37" s="151" t="str">
        <f>IF(B37="","",VLOOKUP(AD37,Varsayımlar!$B:$Q,15,0))</f>
        <v>25cm Kolisi-Etiketli</v>
      </c>
      <c r="AB37" s="151" t="str">
        <f>IF(B37="","",VLOOKUP(AD37,Varsayımlar!$B:$Q,16,0))</f>
        <v>24-26 cm</v>
      </c>
      <c r="AC37" s="67" t="e">
        <f>IF(B37="","",VLOOKUP(#REF!,#REF!,18,0))</f>
        <v>#REF!</v>
      </c>
      <c r="AD37" s="57" t="str">
        <f t="shared" si="1"/>
        <v>Fama GroupTortillas 25cm Tam Buğday 10pcs 650g</v>
      </c>
    </row>
    <row r="38" spans="1:30" ht="32.25" customHeight="1" x14ac:dyDescent="0.25">
      <c r="A38" s="8" t="s">
        <v>150</v>
      </c>
      <c r="B38" s="67" t="s">
        <v>460</v>
      </c>
      <c r="C38" s="42">
        <f>IF(B38="","",VLOOKUP(AD38,Varsayımlar!$B:$Q,3,0))</f>
        <v>8698829380698</v>
      </c>
      <c r="D38" s="67" t="s">
        <v>539</v>
      </c>
      <c r="E38" s="67" t="s">
        <v>464</v>
      </c>
      <c r="F38" s="67">
        <v>20260626</v>
      </c>
      <c r="G38" s="67"/>
      <c r="H38" s="67" t="str">
        <f>IF(B38="","",VLOOKUP(AD38,Varsayımlar!$B:$Q,5,0))</f>
        <v>Tortillove 20cm</v>
      </c>
      <c r="I38" s="67">
        <f>IF(B38="","",VLOOKUP(AD38,Varsayımlar!B:T,19,0))</f>
        <v>0</v>
      </c>
      <c r="J38" s="67" t="str">
        <f>IF(B38="","",VLOOKUP(AD38,Varsayımlar!$B:$Q,6,0))</f>
        <v>SADE</v>
      </c>
      <c r="K38" s="67">
        <v>400</v>
      </c>
      <c r="L38" s="67"/>
      <c r="M38" s="67">
        <f>IFERROR(IF(B38="","",K38/VLOOKUP(AD38,Varsayımlar!B:R,17,0)),"")</f>
        <v>4</v>
      </c>
      <c r="N38" s="67"/>
      <c r="O38" s="67"/>
      <c r="P38" s="67">
        <f>IF(B38="","",VLOOKUP(AD38,Varsayımlar!$B:$Q,7,0)*K38)</f>
        <v>4800</v>
      </c>
      <c r="Q38" s="67">
        <f>IF(B38="","",VLOOKUP(AD38,Varsayımlar!$B:$Q,8,0))</f>
        <v>20</v>
      </c>
      <c r="R38" s="67" t="str">
        <f>IF(B38="","",VLOOKUP(AD38,Varsayımlar!$B:$Q,9,0))</f>
        <v>Irak Soft</v>
      </c>
      <c r="S38" s="67">
        <f>IF(B38="","",VLOOKUP(AD38,Varsayımlar!$B:$Q,10,0))</f>
        <v>10</v>
      </c>
      <c r="T38" s="67">
        <f>IF(B38="","",VLOOKUP(AD38,Varsayımlar!$B:$Q,11,0))</f>
        <v>12</v>
      </c>
      <c r="U38" s="67">
        <f>IF(B38="","",VLOOKUP(AD38,Varsayımlar!$B:$Q,12,0))</f>
        <v>450</v>
      </c>
      <c r="V38" s="67" t="str">
        <f>IF(B38="","",VLOOKUP(AD38,Varsayımlar!$B:$Q,13,0))</f>
        <v>Yurtdışı</v>
      </c>
      <c r="W38" s="67">
        <f>IF(B38="","",VLOOKUP(AD38,Varsayımlar!$B:$Q,14,0))</f>
        <v>6</v>
      </c>
      <c r="X38" s="69"/>
      <c r="Y38" s="69"/>
      <c r="Z38" s="67"/>
      <c r="AA38" s="67" t="str">
        <f>IF(B38="","",VLOOKUP(AD38,Varsayımlar!$B:$Q,15,0))</f>
        <v>20cm kolisi</v>
      </c>
      <c r="AB38" s="67" t="str">
        <f>IF(B38="","",VLOOKUP(AD38,Varsayımlar!$B:$Q,16,0))</f>
        <v>19-21 cm</v>
      </c>
      <c r="AC38" s="75">
        <f>IF(B38="","",VLOOKUP(Sayfa1!AD84,Varsayımlar!B:S,18,0))</f>
        <v>0</v>
      </c>
      <c r="AD38" s="57" t="str">
        <f t="shared" si="1"/>
        <v>Yüksekbaş GıdaYüksekbaş 20cm 10pcs 450g</v>
      </c>
    </row>
    <row r="39" spans="1:30" ht="32.25" customHeight="1" x14ac:dyDescent="0.25">
      <c r="A39" s="8" t="s">
        <v>151</v>
      </c>
      <c r="B39" s="67" t="s">
        <v>460</v>
      </c>
      <c r="C39" s="42">
        <f>IF(B39="","",VLOOKUP(AD39,Varsayımlar!$B:$Q,3,0))</f>
        <v>8698829380698</v>
      </c>
      <c r="D39" s="67" t="s">
        <v>539</v>
      </c>
      <c r="E39" s="67" t="s">
        <v>470</v>
      </c>
      <c r="F39" s="67">
        <v>20260626</v>
      </c>
      <c r="G39" s="67"/>
      <c r="H39" s="67" t="str">
        <f>IF(B39="","",VLOOKUP(AD39,Varsayımlar!$B:$Q,5,0))</f>
        <v>Tortillove 30cm</v>
      </c>
      <c r="I39" s="67">
        <f>IF(B39="","",VLOOKUP(AD39,Varsayımlar!B:T,19,0))</f>
        <v>0</v>
      </c>
      <c r="J39" s="67" t="str">
        <f>IF(B39="","",VLOOKUP(AD39,Varsayımlar!$B:$Q,6,0))</f>
        <v>SADE</v>
      </c>
      <c r="K39" s="67">
        <v>660</v>
      </c>
      <c r="L39" s="67"/>
      <c r="M39" s="67">
        <f>IFERROR(IF(B39="","",K39/VLOOKUP(AD39,Varsayımlar!B:R,17,0)),"")</f>
        <v>10</v>
      </c>
      <c r="N39" s="67"/>
      <c r="O39" s="67"/>
      <c r="P39" s="67">
        <f>IF(B39="","",VLOOKUP(AD39,Varsayımlar!$B:$Q,7,0)*K39)</f>
        <v>7920</v>
      </c>
      <c r="Q39" s="67">
        <f>IF(B39="","",VLOOKUP(AD39,Varsayımlar!$B:$Q,8,0))</f>
        <v>30</v>
      </c>
      <c r="R39" s="67" t="str">
        <f>IF(B39="","",VLOOKUP(AD39,Varsayımlar!$B:$Q,9,0))</f>
        <v>Irak Soft</v>
      </c>
      <c r="S39" s="67">
        <f>IF(B39="","",VLOOKUP(AD39,Varsayımlar!$B:$Q,10,0))</f>
        <v>10</v>
      </c>
      <c r="T39" s="67">
        <f>IF(B39="","",VLOOKUP(AD39,Varsayımlar!$B:$Q,11,0))</f>
        <v>12</v>
      </c>
      <c r="U39" s="67">
        <f>IF(B39="","",VLOOKUP(AD39,Varsayımlar!$B:$Q,12,0))</f>
        <v>950</v>
      </c>
      <c r="V39" s="67" t="str">
        <f>IF(B39="","",VLOOKUP(AD39,Varsayımlar!$B:$Q,13,0))</f>
        <v>Yurtdışı</v>
      </c>
      <c r="W39" s="67">
        <f>IF(B39="","",VLOOKUP(AD39,Varsayımlar!$B:$Q,14,0))</f>
        <v>6</v>
      </c>
      <c r="X39" s="69"/>
      <c r="Y39" s="69"/>
      <c r="Z39" s="67"/>
      <c r="AA39" s="67" t="str">
        <f>IF(B39="","",VLOOKUP(AD39,Varsayımlar!$B:$Q,15,0))</f>
        <v>30cm Kolisi</v>
      </c>
      <c r="AB39" s="67" t="str">
        <f>IF(B39="","",VLOOKUP(AD39,Varsayımlar!$B:$Q,16,0))</f>
        <v>29-31 cm</v>
      </c>
      <c r="AC39" s="75">
        <f>IF(B39="","",VLOOKUP(Sayfa1!AD84,Varsayımlar!B:S,18,0))</f>
        <v>0</v>
      </c>
      <c r="AD39" s="57" t="str">
        <f t="shared" si="1"/>
        <v>Yüksekbaş GıdaYüksekbaş 30cm 10pcs 950g</v>
      </c>
    </row>
    <row r="40" spans="1:30" ht="36" customHeight="1" x14ac:dyDescent="0.25">
      <c r="A40" s="8" t="s">
        <v>152</v>
      </c>
      <c r="B40" s="67"/>
      <c r="C40" s="42" t="str">
        <f>IF(B40="","",VLOOKUP(AD40,#REF!,3,0))</f>
        <v/>
      </c>
      <c r="D40" s="42"/>
      <c r="E40" s="42"/>
      <c r="F40" s="67"/>
      <c r="G40" s="67"/>
      <c r="H40" s="67" t="str">
        <f>IF(B40="","",VLOOKUP(AD40,#REF!,5,0))</f>
        <v/>
      </c>
      <c r="I40" s="67" t="str">
        <f>IF(B40="","",VLOOKUP(AD40,#REF!,19,0))</f>
        <v/>
      </c>
      <c r="J40" s="67" t="str">
        <f>IF(B40="","",VLOOKUP(AD40,#REF!,6,0))</f>
        <v/>
      </c>
      <c r="K40" s="67"/>
      <c r="L40" s="67"/>
      <c r="M40" s="67" t="str">
        <f>IFERROR(IF(B40="","",K40/VLOOKUP(AD40,Varsayımlar!B:R,17,0)),"")</f>
        <v/>
      </c>
      <c r="N40" s="67"/>
      <c r="O40" s="67"/>
      <c r="P40" s="67" t="str">
        <f>IF(B40="","",VLOOKUP(AD40,#REF!,7,0)*K40)</f>
        <v/>
      </c>
      <c r="Q40" s="67" t="str">
        <f>IF(B40="","",VLOOKUP(AD40,#REF!,8,0))</f>
        <v/>
      </c>
      <c r="R40" s="67" t="str">
        <f>IF(B40="","",VLOOKUP(AD40,#REF!,9,0))</f>
        <v/>
      </c>
      <c r="S40" s="67" t="str">
        <f>IF(B40="","",VLOOKUP(AD40,#REF!,10,0))</f>
        <v/>
      </c>
      <c r="T40" s="67" t="str">
        <f>IF(B40="","",VLOOKUP(AD40,#REF!,11,0))</f>
        <v/>
      </c>
      <c r="U40" s="67" t="str">
        <f>IF(B40="","",VLOOKUP(AD40,#REF!,12,0))</f>
        <v/>
      </c>
      <c r="V40" s="67" t="str">
        <f>IF(B40="","",VLOOKUP(AD40,#REF!,13,0))</f>
        <v/>
      </c>
      <c r="W40" s="67" t="str">
        <f>IF(B40="","",VLOOKUP(AD40,#REF!,14,0))</f>
        <v/>
      </c>
      <c r="X40" s="69"/>
      <c r="Y40" s="69"/>
      <c r="Z40" s="67"/>
      <c r="AA40" s="67" t="str">
        <f>IF(B40="","",VLOOKUP(AD40,#REF!,15,0))</f>
        <v/>
      </c>
      <c r="AB40" s="67" t="str">
        <f>IF(B40="","",VLOOKUP(AD40,#REF!,16,0))</f>
        <v/>
      </c>
      <c r="AC40" s="145"/>
      <c r="AD40" s="57"/>
    </row>
    <row r="41" spans="1:30" ht="36" customHeight="1" x14ac:dyDescent="0.25">
      <c r="A41" s="8" t="s">
        <v>153</v>
      </c>
      <c r="B41" s="67"/>
      <c r="C41" s="42" t="str">
        <f>IF(B41="","",VLOOKUP(AD41,#REF!,3,0))</f>
        <v/>
      </c>
      <c r="D41" s="42"/>
      <c r="E41" s="42"/>
      <c r="F41" s="67"/>
      <c r="G41" s="67"/>
      <c r="H41" s="67" t="str">
        <f>IF(B41="","",VLOOKUP(AD41,#REF!,5,0))</f>
        <v/>
      </c>
      <c r="I41" s="67" t="str">
        <f>IF(B41="","",VLOOKUP(AD41,#REF!,19,0))</f>
        <v/>
      </c>
      <c r="J41" s="67" t="str">
        <f>IF(B41="","",VLOOKUP(AD41,#REF!,6,0))</f>
        <v/>
      </c>
      <c r="K41" s="67"/>
      <c r="L41" s="67"/>
      <c r="M41" s="67" t="str">
        <f>IFERROR(IF(B41="","",K41/VLOOKUP(AD41,Varsayımlar!B:R,17,0)),"")</f>
        <v/>
      </c>
      <c r="N41" s="67"/>
      <c r="O41" s="67"/>
      <c r="P41" s="67" t="str">
        <f>IF(B41="","",VLOOKUP(AD41,#REF!,7,0)*K41)</f>
        <v/>
      </c>
      <c r="Q41" s="67" t="str">
        <f>IF(B41="","",VLOOKUP(AD41,#REF!,8,0))</f>
        <v/>
      </c>
      <c r="R41" s="67" t="str">
        <f>IF(B41="","",VLOOKUP(AD41,#REF!,9,0))</f>
        <v/>
      </c>
      <c r="S41" s="67" t="str">
        <f>IF(B41="","",VLOOKUP(AD41,#REF!,10,0))</f>
        <v/>
      </c>
      <c r="T41" s="67" t="str">
        <f>IF(B41="","",VLOOKUP(AD41,#REF!,11,0))</f>
        <v/>
      </c>
      <c r="U41" s="67" t="str">
        <f>IF(B41="","",VLOOKUP(AD41,#REF!,12,0))</f>
        <v/>
      </c>
      <c r="V41" s="67" t="str">
        <f>IF(B41="","",VLOOKUP(AD41,#REF!,13,0))</f>
        <v/>
      </c>
      <c r="W41" s="67" t="str">
        <f>IF(B41="","",VLOOKUP(AD41,#REF!,14,0))</f>
        <v/>
      </c>
      <c r="X41" s="69"/>
      <c r="Y41" s="69"/>
      <c r="Z41" s="67"/>
      <c r="AA41" s="67" t="str">
        <f>IF(B41="","",VLOOKUP(AD41,#REF!,15,0))</f>
        <v/>
      </c>
      <c r="AB41" s="67" t="str">
        <f>IF(B41="","",VLOOKUP(AD41,#REF!,16,0))</f>
        <v/>
      </c>
      <c r="AC41" s="145"/>
      <c r="AD41" s="57"/>
    </row>
    <row r="42" spans="1:30" ht="36" customHeight="1" x14ac:dyDescent="0.25">
      <c r="A42" s="8" t="s">
        <v>154</v>
      </c>
      <c r="B42" s="67"/>
      <c r="C42" s="42" t="str">
        <f>IF(B42="","",VLOOKUP(AD42,#REF!,3,0))</f>
        <v/>
      </c>
      <c r="D42" s="42"/>
      <c r="E42" s="42"/>
      <c r="F42" s="67"/>
      <c r="G42" s="67"/>
      <c r="H42" s="67" t="str">
        <f>IF(B42="","",VLOOKUP(AD42,#REF!,5,0))</f>
        <v/>
      </c>
      <c r="I42" s="67" t="str">
        <f>IF(B42="","",VLOOKUP(AD42,#REF!,19,0))</f>
        <v/>
      </c>
      <c r="J42" s="67" t="str">
        <f>IF(B42="","",VLOOKUP(AD42,#REF!,6,0))</f>
        <v/>
      </c>
      <c r="K42" s="67"/>
      <c r="L42" s="67"/>
      <c r="M42" s="67" t="str">
        <f>IFERROR(IF(B42="","",K42/VLOOKUP(AD42,Varsayımlar!B:R,17,0)),"")</f>
        <v/>
      </c>
      <c r="N42" s="67"/>
      <c r="O42" s="67"/>
      <c r="P42" s="67" t="str">
        <f>IF(B42="","",VLOOKUP(AD42,#REF!,7,0)*K42)</f>
        <v/>
      </c>
      <c r="Q42" s="67" t="str">
        <f>IF(B42="","",VLOOKUP(AD42,#REF!,8,0))</f>
        <v/>
      </c>
      <c r="R42" s="67" t="str">
        <f>IF(B42="","",VLOOKUP(AD42,#REF!,9,0))</f>
        <v/>
      </c>
      <c r="S42" s="67" t="str">
        <f>IF(B42="","",VLOOKUP(AD42,#REF!,10,0))</f>
        <v/>
      </c>
      <c r="T42" s="67" t="str">
        <f>IF(B42="","",VLOOKUP(AD42,#REF!,11,0))</f>
        <v/>
      </c>
      <c r="U42" s="67" t="str">
        <f>IF(B42="","",VLOOKUP(AD42,#REF!,12,0))</f>
        <v/>
      </c>
      <c r="V42" s="67" t="str">
        <f>IF(B42="","",VLOOKUP(AD42,#REF!,13,0))</f>
        <v/>
      </c>
      <c r="W42" s="67" t="str">
        <f>IF(B42="","",VLOOKUP(AD42,#REF!,14,0))</f>
        <v/>
      </c>
      <c r="X42" s="69"/>
      <c r="Y42" s="69"/>
      <c r="Z42" s="67"/>
      <c r="AA42" s="67" t="str">
        <f>IF(B42="","",VLOOKUP(AD42,#REF!,15,0))</f>
        <v/>
      </c>
      <c r="AB42" s="67" t="str">
        <f>IF(B42="","",VLOOKUP(AD42,#REF!,16,0))</f>
        <v/>
      </c>
      <c r="AC42" s="145"/>
      <c r="AD42" s="57"/>
    </row>
    <row r="43" spans="1:30" ht="36" customHeight="1" x14ac:dyDescent="0.25">
      <c r="A43" s="8" t="s">
        <v>155</v>
      </c>
      <c r="B43" s="67"/>
      <c r="C43" s="42" t="str">
        <f>IF(B43="","",VLOOKUP(AD43,#REF!,3,0))</f>
        <v/>
      </c>
      <c r="D43" s="42"/>
      <c r="E43" s="42"/>
      <c r="F43" s="67"/>
      <c r="G43" s="67"/>
      <c r="H43" s="67" t="str">
        <f>IF(B43="","",VLOOKUP(AD43,#REF!,5,0))</f>
        <v/>
      </c>
      <c r="I43" s="67" t="str">
        <f>IF(B43="","",VLOOKUP(AD43,#REF!,19,0))</f>
        <v/>
      </c>
      <c r="J43" s="67" t="str">
        <f>IF(B43="","",VLOOKUP(AD43,#REF!,6,0))</f>
        <v/>
      </c>
      <c r="K43" s="67"/>
      <c r="L43" s="67"/>
      <c r="M43" s="67" t="str">
        <f>IFERROR(IF(B43="","",K43/VLOOKUP(AD43,Varsayımlar!B:R,17,0)),"")</f>
        <v/>
      </c>
      <c r="N43" s="67"/>
      <c r="O43" s="67"/>
      <c r="P43" s="67" t="str">
        <f>IF(B43="","",VLOOKUP(AD43,#REF!,7,0)*K43)</f>
        <v/>
      </c>
      <c r="Q43" s="67" t="str">
        <f>IF(B43="","",VLOOKUP(AD43,#REF!,8,0))</f>
        <v/>
      </c>
      <c r="R43" s="67" t="str">
        <f>IF(B43="","",VLOOKUP(AD43,#REF!,9,0))</f>
        <v/>
      </c>
      <c r="S43" s="67" t="str">
        <f>IF(B43="","",VLOOKUP(AD43,#REF!,10,0))</f>
        <v/>
      </c>
      <c r="T43" s="67" t="str">
        <f>IF(B43="","",VLOOKUP(AD43,#REF!,11,0))</f>
        <v/>
      </c>
      <c r="U43" s="67" t="str">
        <f>IF(B43="","",VLOOKUP(AD43,#REF!,12,0))</f>
        <v/>
      </c>
      <c r="V43" s="67" t="str">
        <f>IF(B43="","",VLOOKUP(AD43,#REF!,13,0))</f>
        <v/>
      </c>
      <c r="W43" s="67" t="str">
        <f>IF(B43="","",VLOOKUP(AD43,#REF!,14,0))</f>
        <v/>
      </c>
      <c r="X43" s="69"/>
      <c r="Y43" s="69"/>
      <c r="Z43" s="67"/>
      <c r="AA43" s="67" t="str">
        <f>IF(B43="","",VLOOKUP(AD43,#REF!,15,0))</f>
        <v/>
      </c>
      <c r="AB43" s="67" t="str">
        <f>IF(B43="","",VLOOKUP(AD43,#REF!,16,0))</f>
        <v/>
      </c>
      <c r="AC43" s="145"/>
      <c r="AD43" s="57"/>
    </row>
    <row r="44" spans="1:30" x14ac:dyDescent="0.25">
      <c r="A44" s="134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6"/>
      <c r="Y44" s="136"/>
      <c r="Z44" s="135"/>
      <c r="AA44" s="135"/>
      <c r="AB44" s="137"/>
      <c r="AC44" s="138"/>
      <c r="AD44" s="57"/>
    </row>
    <row r="45" spans="1:30" ht="31.5" customHeight="1" x14ac:dyDescent="0.25">
      <c r="A45" s="182" t="s">
        <v>344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4"/>
      <c r="AC45" s="38"/>
    </row>
    <row r="46" spans="1:30" ht="63" x14ac:dyDescent="0.25">
      <c r="A46" s="8" t="s">
        <v>0</v>
      </c>
      <c r="B46" s="8" t="s">
        <v>1</v>
      </c>
      <c r="C46" s="9" t="s">
        <v>31</v>
      </c>
      <c r="D46" s="9" t="s">
        <v>124</v>
      </c>
      <c r="E46" s="9" t="s">
        <v>36</v>
      </c>
      <c r="F46" s="8" t="s">
        <v>37</v>
      </c>
      <c r="G46" s="8" t="s">
        <v>13</v>
      </c>
      <c r="H46" s="8" t="s">
        <v>2</v>
      </c>
      <c r="I46" s="8" t="s">
        <v>49</v>
      </c>
      <c r="J46" s="8" t="s">
        <v>3</v>
      </c>
      <c r="K46" s="8" t="s">
        <v>21</v>
      </c>
      <c r="L46" s="8" t="s">
        <v>94</v>
      </c>
      <c r="M46" s="8" t="s">
        <v>20</v>
      </c>
      <c r="N46" s="8" t="s">
        <v>165</v>
      </c>
      <c r="O46" s="8" t="s">
        <v>123</v>
      </c>
      <c r="P46" s="8" t="s">
        <v>16</v>
      </c>
      <c r="Q46" s="8" t="s">
        <v>4</v>
      </c>
      <c r="R46" s="8" t="s">
        <v>5</v>
      </c>
      <c r="S46" s="8" t="s">
        <v>6</v>
      </c>
      <c r="T46" s="8" t="s">
        <v>28</v>
      </c>
      <c r="U46" s="8" t="s">
        <v>7</v>
      </c>
      <c r="V46" s="8" t="s">
        <v>8</v>
      </c>
      <c r="W46" s="8" t="s">
        <v>267</v>
      </c>
      <c r="X46" s="8" t="s">
        <v>10</v>
      </c>
      <c r="Y46" s="8" t="s">
        <v>11</v>
      </c>
      <c r="Z46" s="8" t="s">
        <v>12</v>
      </c>
      <c r="AA46" s="8" t="s">
        <v>14</v>
      </c>
      <c r="AB46" s="8" t="s">
        <v>15</v>
      </c>
      <c r="AC46" s="8" t="s">
        <v>208</v>
      </c>
      <c r="AD46" s="140" t="s">
        <v>41</v>
      </c>
    </row>
    <row r="47" spans="1:30" ht="47.25" x14ac:dyDescent="0.25">
      <c r="A47" s="8" t="s">
        <v>26</v>
      </c>
      <c r="B47" s="64" t="s">
        <v>288</v>
      </c>
      <c r="C47" s="3">
        <f>IF(B47="","",VLOOKUP(AD47,Varsayımlar!$B:$Q,3,0))</f>
        <v>8698829380698</v>
      </c>
      <c r="D47" s="3"/>
      <c r="E47" s="64" t="s">
        <v>292</v>
      </c>
      <c r="F47" s="64">
        <v>20201016</v>
      </c>
      <c r="G47" s="3" t="s">
        <v>68</v>
      </c>
      <c r="H47" s="64" t="str">
        <f>IF(B47="","",VLOOKUP(AD47,Varsayımlar!$B:$Q,5,0))</f>
        <v>Kırmızı Tortillas 25cm Sade</v>
      </c>
      <c r="I47" s="64" t="str">
        <f>IF(B47="","",VLOOKUP(AD47,Varsayımlar!B:T,19,0))</f>
        <v>Arka kısma İçerik</v>
      </c>
      <c r="J47" s="64" t="str">
        <f>IF(B47="","",VLOOKUP(AD47,Varsayımlar!$B:$Q,6,0))</f>
        <v>SADE</v>
      </c>
      <c r="K47" s="64">
        <v>250</v>
      </c>
      <c r="L47" s="64"/>
      <c r="M47" s="64">
        <f>IFERROR(IF(B47="","",K47/VLOOKUP(AD47,Varsayımlar!B:R,17,0)),"")</f>
        <v>5</v>
      </c>
      <c r="N47" s="64"/>
      <c r="O47" s="64">
        <v>4</v>
      </c>
      <c r="P47" s="64">
        <f>IF(B47="","",VLOOKUP(AD47,Varsayımlar!$B:$Q,7,0)*K47)</f>
        <v>4500</v>
      </c>
      <c r="Q47" s="64">
        <f>IF(B47="","",VLOOKUP(AD47,Varsayımlar!$B:$Q,8,0))</f>
        <v>25</v>
      </c>
      <c r="R47" s="64" t="str">
        <f>IF(B47="","",VLOOKUP(AD47,Varsayımlar!$B:$Q,9,0))</f>
        <v>Irak Soft</v>
      </c>
      <c r="S47" s="64">
        <f>IF(B47="","",VLOOKUP(AD47,Varsayımlar!$B:$Q,10,0))</f>
        <v>6</v>
      </c>
      <c r="T47" s="64">
        <f>IF(B47="","",VLOOKUP(AD47,Varsayımlar!$B:$Q,11,0))</f>
        <v>18</v>
      </c>
      <c r="U47" s="64">
        <f>IF(B47="","",VLOOKUP(AD47,Varsayımlar!$B:$Q,12,0))</f>
        <v>390</v>
      </c>
      <c r="V47" s="64" t="str">
        <f>IF(B47="","",VLOOKUP(AD47,Varsayımlar!$B:$Q,13,0))</f>
        <v>YURTDIŞI</v>
      </c>
      <c r="W47" s="64">
        <f>IF(B47="","",VLOOKUP(AD47,Varsayımlar!$B:$Q,14,0))</f>
        <v>9</v>
      </c>
      <c r="X47" s="66">
        <v>46202</v>
      </c>
      <c r="Y47" s="66">
        <v>46475</v>
      </c>
      <c r="Z47" s="64">
        <v>26062925</v>
      </c>
      <c r="AA47" s="64" t="str">
        <f>IF(B47="","",VLOOKUP(AD47,Varsayımlar!$B:$Q,15,0))</f>
        <v>25cm Koli</v>
      </c>
      <c r="AB47" s="64" t="str">
        <f>IF(B47="","",VLOOKUP(AD47,Varsayımlar!$B:$Q,16,0))</f>
        <v>24-26 cm</v>
      </c>
      <c r="AC47" s="64" t="str">
        <f>IF(B47="","",VLOOKUP(Sayfa1!AD42,Varsayımlar!B:S,18,0))</f>
        <v>80x120cm</v>
      </c>
      <c r="AD47" s="57" t="str">
        <f t="shared" ref="AD47:AD48" si="2">IF(B47="","",CONCATENATE(B47,E47))</f>
        <v>UNITERA-KAZAKİSTANKırmızı Tortillas 25cm Sade 6pcs 390g</v>
      </c>
    </row>
    <row r="48" spans="1:30" ht="31.5" x14ac:dyDescent="0.25">
      <c r="A48" s="8" t="s">
        <v>77</v>
      </c>
      <c r="B48" s="80" t="s">
        <v>218</v>
      </c>
      <c r="C48" s="44">
        <f>IF(B48="","",VLOOKUP(AD48,Varsayımlar!$B:$Q,3,0))</f>
        <v>8698829380698</v>
      </c>
      <c r="D48" s="44" t="s">
        <v>160</v>
      </c>
      <c r="E48" s="80" t="s">
        <v>228</v>
      </c>
      <c r="F48" s="80">
        <v>26042907</v>
      </c>
      <c r="G48" s="44"/>
      <c r="H48" s="80" t="str">
        <f>IF(B48="","",VLOOKUP(AD48,Varsayımlar!$B:$Q,5,0))</f>
        <v>Tortillas Avrupa 25cm (698)</v>
      </c>
      <c r="I48" s="80">
        <f>IF(B48="","",VLOOKUP(AD48,Varsayımlar!B:T,19,0))</f>
        <v>0</v>
      </c>
      <c r="J48" s="80" t="str">
        <f>IF(B48="","",VLOOKUP(AD48,Varsayımlar!$B:$Q,6,0))</f>
        <v>SADE</v>
      </c>
      <c r="K48" s="80">
        <v>720</v>
      </c>
      <c r="L48" s="80"/>
      <c r="M48" s="80">
        <f>IFERROR(IF(B48="","",K48/VLOOKUP(AD48,Varsayımlar!B:R,17,0)),"")</f>
        <v>6</v>
      </c>
      <c r="N48" s="80"/>
      <c r="O48" s="80">
        <v>7</v>
      </c>
      <c r="P48" s="80">
        <f>IF(B48="","",VLOOKUP(AD48,Varsayımlar!$B:$Q,7,0)*K48)</f>
        <v>5760</v>
      </c>
      <c r="Q48" s="80">
        <f>IF(B48="","",VLOOKUP(AD48,Varsayımlar!$B:$Q,8,0))</f>
        <v>25</v>
      </c>
      <c r="R48" s="80" t="str">
        <f>IF(B48="","",VLOOKUP(AD48,Varsayımlar!$B:$Q,9,0))</f>
        <v>Irak Soft</v>
      </c>
      <c r="S48" s="80">
        <f>IF(B48="","",VLOOKUP(AD48,Varsayımlar!$B:$Q,10,0))</f>
        <v>10</v>
      </c>
      <c r="T48" s="80">
        <f>IF(B48="","",VLOOKUP(AD48,Varsayımlar!$B:$Q,11,0))</f>
        <v>8</v>
      </c>
      <c r="U48" s="80">
        <f>IF(B48="","",VLOOKUP(AD48,Varsayımlar!$B:$Q,12,0))</f>
        <v>650</v>
      </c>
      <c r="V48" s="80" t="str">
        <f>IF(B48="","",VLOOKUP(AD48,Varsayımlar!$B:$Q,13,0))</f>
        <v>Yurtdışı</v>
      </c>
      <c r="W48" s="80">
        <f>IF(B48="","",VLOOKUP(AD48,Varsayımlar!$B:$Q,14,0))</f>
        <v>9</v>
      </c>
      <c r="X48" s="81">
        <v>46203</v>
      </c>
      <c r="Y48" s="81">
        <v>46476</v>
      </c>
      <c r="Z48" s="80">
        <v>26063025</v>
      </c>
      <c r="AA48" s="80" t="str">
        <f>IF(B48="","",VLOOKUP(AD48,Varsayımlar!$B:$Q,15,0))</f>
        <v>25cm Perforeli-Bulgarca etiket</v>
      </c>
      <c r="AB48" s="80" t="str">
        <f>IF(B48="","",VLOOKUP(AD48,Varsayımlar!$B:$Q,16,0))</f>
        <v>24-26 cm</v>
      </c>
      <c r="AC48" s="80" t="str">
        <f>IF(B48="","",VLOOKUP(Sayfa1!AD56,Varsayımlar!B:S,18,0))</f>
        <v>80x120cm -Epal+Epal</v>
      </c>
      <c r="AD48" s="57" t="str">
        <f t="shared" si="2"/>
        <v>TASTE LAND-BULGARİSTANTortillas 25cm Sade 10pcs 650g</v>
      </c>
    </row>
    <row r="49" spans="1:30" ht="47.25" x14ac:dyDescent="0.25">
      <c r="A49" s="8" t="s">
        <v>78</v>
      </c>
      <c r="B49" s="54" t="s">
        <v>268</v>
      </c>
      <c r="C49" s="39">
        <f>IF(B49="","",VLOOKUP(AD49,Varsayımlar!$B:$Q,3,0))</f>
        <v>8698829380698</v>
      </c>
      <c r="D49" s="39" t="s">
        <v>160</v>
      </c>
      <c r="E49" s="39" t="s">
        <v>284</v>
      </c>
      <c r="F49" s="54" t="s">
        <v>343</v>
      </c>
      <c r="G49" s="39" t="s">
        <v>68</v>
      </c>
      <c r="H49" s="54" t="str">
        <f>IF(B49="","",VLOOKUP(AD49,Varsayımlar!$B:$Q,5,0))</f>
        <v>Kırmızı Tortillas 25cm</v>
      </c>
      <c r="I49" s="54">
        <f>IF(B49="","",VLOOKUP(AD49,Varsayımlar!B:T,19,0))</f>
        <v>0</v>
      </c>
      <c r="J49" s="54" t="str">
        <f>IF(B49="","",VLOOKUP(AD49,Varsayımlar!$B:$Q,6,0))</f>
        <v>SADE</v>
      </c>
      <c r="K49" s="54">
        <v>420</v>
      </c>
      <c r="L49" s="54"/>
      <c r="M49" s="54">
        <f>IFERROR(IF(B49="","",K49/VLOOKUP(AD49,Varsayımlar!B:R,17,0)),"")</f>
        <v>5</v>
      </c>
      <c r="N49" s="54"/>
      <c r="O49" s="54">
        <v>7</v>
      </c>
      <c r="P49" s="54">
        <f>IF(B49="","",VLOOKUP(AD49,Varsayımlar!$B:$Q,7,0)*K49)</f>
        <v>12600</v>
      </c>
      <c r="Q49" s="54">
        <f>IF(B49="","",VLOOKUP(AD49,Varsayımlar!$B:$Q,8,0))</f>
        <v>25</v>
      </c>
      <c r="R49" s="54" t="str">
        <f>IF(B49="","",VLOOKUP(AD49,Varsayımlar!$B:$Q,9,0))</f>
        <v>Soft-PA3</v>
      </c>
      <c r="S49" s="54">
        <f>IF(B49="","",VLOOKUP(AD49,Varsayımlar!$B:$Q,10,0))</f>
        <v>4</v>
      </c>
      <c r="T49" s="54">
        <f>IF(B49="","",VLOOKUP(AD49,Varsayımlar!$B:$Q,11,0))</f>
        <v>30</v>
      </c>
      <c r="U49" s="54">
        <f>IF(B49="","",VLOOKUP(AD49,Varsayımlar!$B:$Q,12,0))</f>
        <v>240</v>
      </c>
      <c r="V49" s="54" t="str">
        <f>IF(B49="","",VLOOKUP(AD49,Varsayımlar!$B:$Q,13,0))</f>
        <v>Yurtdışı</v>
      </c>
      <c r="W49" s="54">
        <f>IF(B49="","",VLOOKUP(AD49,Varsayımlar!$B:$Q,14,0))</f>
        <v>12</v>
      </c>
      <c r="X49" s="56">
        <v>46205</v>
      </c>
      <c r="Y49" s="56">
        <v>46570</v>
      </c>
      <c r="Z49" s="54">
        <v>26070225</v>
      </c>
      <c r="AA49" s="54" t="str">
        <f>IF(B49="","",VLOOKUP(AD49,Varsayımlar!$B:$Q,15,0))</f>
        <v>25cm Kolisi-Etiketli</v>
      </c>
      <c r="AB49" s="54" t="str">
        <f>IF(B49="","",VLOOKUP(AD49,Varsayımlar!$B:$Q,16,0))</f>
        <v>24-26 cm (Macca Hetto Inkjet Uzun Tarih)</v>
      </c>
      <c r="AC49" s="54" t="str">
        <f>IF(B49="","",VLOOKUP(Sayfa1!AD35,Varsayımlar!B:S,18,0))</f>
        <v>80x120cm</v>
      </c>
      <c r="AD49" s="57" t="str">
        <f>IF(B49="","",CONCATENATE(B49,E49))</f>
        <v>LAIKYUZHN-BELARUSKırmızı Tortillas 25cm 4ps 240g</v>
      </c>
    </row>
    <row r="50" spans="1:30" ht="47.25" x14ac:dyDescent="0.25">
      <c r="A50" s="8" t="s">
        <v>79</v>
      </c>
      <c r="B50" s="130" t="s">
        <v>119</v>
      </c>
      <c r="C50" s="130">
        <f>IF(B50="","",VLOOKUP(AD50,Varsayımlar!$B:$Q,3,0))</f>
        <v>8698829380698</v>
      </c>
      <c r="D50" s="130"/>
      <c r="E50" s="130" t="s">
        <v>120</v>
      </c>
      <c r="F50" s="130"/>
      <c r="G50" s="130"/>
      <c r="H50" s="130" t="str">
        <f>IF(B50="","",VLOOKUP(AD50,Varsayımlar!$B:$Q,5,0))</f>
        <v>Nimet 25 cm</v>
      </c>
      <c r="I50" s="130"/>
      <c r="J50" s="130" t="str">
        <f>IF(B50="","",VLOOKUP(AD50,Varsayımlar!$B:$Q,6,0))</f>
        <v>SADE</v>
      </c>
      <c r="K50" s="130">
        <v>4000</v>
      </c>
      <c r="L50" s="130"/>
      <c r="M50" s="130">
        <f>IFERROR(IF(B50="","",K50/VLOOKUP(AD50,Varsayımlar!B:R,17,0)),"")</f>
        <v>80</v>
      </c>
      <c r="N50" s="130"/>
      <c r="O50" s="130">
        <v>60</v>
      </c>
      <c r="P50" s="130">
        <f>IF(B50="","",VLOOKUP(AD50,Varsayımlar!$B:$Q,7,0)*K50)</f>
        <v>48000</v>
      </c>
      <c r="Q50" s="130">
        <f>IF(B50="","",VLOOKUP(AD50,Varsayımlar!$B:$Q,8,0))</f>
        <v>25</v>
      </c>
      <c r="R50" s="130" t="str">
        <f>IF(B50="","",VLOOKUP(AD50,Varsayımlar!$B:$Q,9,0))</f>
        <v>Standart</v>
      </c>
      <c r="S50" s="130">
        <f>IF(B50="","",VLOOKUP(AD50,Varsayımlar!$B:$Q,10,0))</f>
        <v>12</v>
      </c>
      <c r="T50" s="130">
        <f>IF(B50="","",VLOOKUP(AD50,Varsayımlar!$B:$Q,11,0))</f>
        <v>12</v>
      </c>
      <c r="U50" s="130">
        <f>IF(B50="","",VLOOKUP(AD50,Varsayımlar!$B:$Q,12,0))</f>
        <v>840</v>
      </c>
      <c r="V50" s="130" t="str">
        <f>IF(B50="","",VLOOKUP(AD50,Varsayımlar!$B:$Q,13,0))</f>
        <v>YURTİÇİ</v>
      </c>
      <c r="W50" s="130">
        <f>IF(B50="","",VLOOKUP(AD50,Varsayımlar!$B:$Q,14,0))</f>
        <v>5</v>
      </c>
      <c r="X50" s="130" t="s">
        <v>113</v>
      </c>
      <c r="Y50" s="130" t="s">
        <v>113</v>
      </c>
      <c r="Z50" s="130" t="s">
        <v>113</v>
      </c>
      <c r="AA50" s="130" t="str">
        <f>IF(B50="","",VLOOKUP(AD50,Varsayımlar!$B:$Q,15,0))</f>
        <v>Nimet Kolisi</v>
      </c>
      <c r="AB50" s="130" t="str">
        <f>IF(B50="","",VLOOKUP(AD50,Varsayımlar!$B:$Q,16,0))</f>
        <v>24-26 CM</v>
      </c>
      <c r="AC50" s="64" t="s">
        <v>360</v>
      </c>
      <c r="AD50" s="57" t="str">
        <f t="shared" ref="AD50:AD63" si="3">IF(B50="","",CONCATENATE(B50,E50))</f>
        <v>A101Nimet 25cm 12 pcs 840g</v>
      </c>
    </row>
    <row r="51" spans="1:30" ht="31.5" x14ac:dyDescent="0.25">
      <c r="A51" s="8" t="s">
        <v>80</v>
      </c>
      <c r="B51" s="75" t="s">
        <v>218</v>
      </c>
      <c r="C51" s="43">
        <f>IF(B51="","",VLOOKUP(AD51,Varsayımlar!$B:$Q,3,0))</f>
        <v>8698829380698</v>
      </c>
      <c r="D51" s="43" t="s">
        <v>161</v>
      </c>
      <c r="E51" s="75" t="s">
        <v>228</v>
      </c>
      <c r="F51" s="75" t="s">
        <v>341</v>
      </c>
      <c r="G51" s="43"/>
      <c r="H51" s="75" t="str">
        <f>IF(B51="","",VLOOKUP(AD51,Varsayımlar!$B:$Q,5,0))</f>
        <v>Tortillas Avrupa 25cm (698)</v>
      </c>
      <c r="I51" s="75">
        <f>IF(B51="","",VLOOKUP(AD51,Varsayımlar!B:T,19,0))</f>
        <v>0</v>
      </c>
      <c r="J51" s="75" t="str">
        <f>IF(B51="","",VLOOKUP(AD51,Varsayımlar!$B:$Q,6,0))</f>
        <v>SADE</v>
      </c>
      <c r="K51" s="75">
        <v>720</v>
      </c>
      <c r="L51" s="75"/>
      <c r="M51" s="75">
        <f>IFERROR(IF(B51="","",K51/VLOOKUP(AD51,Varsayımlar!B:R,17,0)),"")</f>
        <v>6</v>
      </c>
      <c r="N51" s="75"/>
      <c r="O51" s="75">
        <v>7</v>
      </c>
      <c r="P51" s="75">
        <f>IF(B51="","",VLOOKUP(AD51,Varsayımlar!$B:$Q,7,0)*K51)</f>
        <v>5760</v>
      </c>
      <c r="Q51" s="75">
        <f>IF(B51="","",VLOOKUP(AD51,Varsayımlar!$B:$Q,8,0))</f>
        <v>25</v>
      </c>
      <c r="R51" s="75" t="str">
        <f>IF(B51="","",VLOOKUP(AD51,Varsayımlar!$B:$Q,9,0))</f>
        <v>Irak Soft</v>
      </c>
      <c r="S51" s="75">
        <f>IF(B51="","",VLOOKUP(AD51,Varsayımlar!$B:$Q,10,0))</f>
        <v>10</v>
      </c>
      <c r="T51" s="75">
        <f>IF(B51="","",VLOOKUP(AD51,Varsayımlar!$B:$Q,11,0))</f>
        <v>8</v>
      </c>
      <c r="U51" s="75">
        <f>IF(B51="","",VLOOKUP(AD51,Varsayımlar!$B:$Q,12,0))</f>
        <v>650</v>
      </c>
      <c r="V51" s="75" t="str">
        <f>IF(B51="","",VLOOKUP(AD51,Varsayımlar!$B:$Q,13,0))</f>
        <v>Yurtdışı</v>
      </c>
      <c r="W51" s="75">
        <f>IF(B51="","",VLOOKUP(AD51,Varsayımlar!$B:$Q,14,0))</f>
        <v>9</v>
      </c>
      <c r="X51" s="76">
        <v>46213</v>
      </c>
      <c r="Y51" s="76">
        <v>46487</v>
      </c>
      <c r="Z51" s="75">
        <v>26071025</v>
      </c>
      <c r="AA51" s="75" t="str">
        <f>IF(B51="","",VLOOKUP(AD51,Varsayımlar!$B:$Q,15,0))</f>
        <v>25cm Perforeli-Bulgarca etiket</v>
      </c>
      <c r="AB51" s="75" t="str">
        <f>IF(B51="","",VLOOKUP(AD51,Varsayımlar!$B:$Q,16,0))</f>
        <v>24-26 cm</v>
      </c>
      <c r="AC51" s="75" t="str">
        <f>IF(B51="","",VLOOKUP(Sayfa1!AD61,Varsayımlar!B:S,18,0))</f>
        <v>80x120cm -Epal+Epal</v>
      </c>
      <c r="AD51" s="57" t="str">
        <f t="shared" si="3"/>
        <v>TASTE LAND-BULGARİSTANTortillas 25cm Sade 10pcs 650g</v>
      </c>
    </row>
    <row r="52" spans="1:30" ht="47.25" x14ac:dyDescent="0.25">
      <c r="A52" s="8" t="s">
        <v>81</v>
      </c>
      <c r="B52" s="75" t="s">
        <v>218</v>
      </c>
      <c r="C52" s="43">
        <f>IF(B52="","",VLOOKUP(AD52,Varsayımlar!$B:$Q,3,0))</f>
        <v>8698829380698</v>
      </c>
      <c r="D52" s="43" t="s">
        <v>161</v>
      </c>
      <c r="E52" s="75" t="s">
        <v>250</v>
      </c>
      <c r="F52" s="75" t="s">
        <v>341</v>
      </c>
      <c r="G52" s="43"/>
      <c r="H52" s="75" t="str">
        <f>IF(B52="","",VLOOKUP(AD52,Varsayımlar!$B:$Q,5,0))</f>
        <v>Tortillas Avrupa 25cm (698)</v>
      </c>
      <c r="I52" s="75" t="str">
        <f>IF(B52="","",VLOOKUP(AD52,Varsayımlar!B:T,19,0))</f>
        <v>Barkod üzerine Barkod Etiketi (050)</v>
      </c>
      <c r="J52" s="75" t="str">
        <f>IF(B52="","",VLOOKUP(AD52,Varsayımlar!$B:$Q,6,0))</f>
        <v>SADE</v>
      </c>
      <c r="K52" s="75">
        <v>168</v>
      </c>
      <c r="L52" s="75"/>
      <c r="M52" s="75">
        <f>IFERROR(IF(B52="","",K52/VLOOKUP(AD52,Varsayımlar!B:R,17,0)),"")</f>
        <v>2</v>
      </c>
      <c r="N52" s="75"/>
      <c r="O52" s="75">
        <v>3</v>
      </c>
      <c r="P52" s="75">
        <f>IF(B52="","",VLOOKUP(AD52,Varsayımlar!$B:$Q,7,0)*K52)</f>
        <v>3024</v>
      </c>
      <c r="Q52" s="75">
        <f>IF(B52="","",VLOOKUP(AD52,Varsayımlar!$B:$Q,8,0))</f>
        <v>25</v>
      </c>
      <c r="R52" s="75" t="str">
        <f>IF(B52="","",VLOOKUP(AD52,Varsayımlar!$B:$Q,9,0))</f>
        <v>Irak Soft</v>
      </c>
      <c r="S52" s="75">
        <f>IF(B52="","",VLOOKUP(AD52,Varsayımlar!$B:$Q,10,0))</f>
        <v>6</v>
      </c>
      <c r="T52" s="75">
        <f>IF(B52="","",VLOOKUP(AD52,Varsayımlar!$B:$Q,11,0))</f>
        <v>18</v>
      </c>
      <c r="U52" s="75">
        <f>IF(B52="","",VLOOKUP(AD52,Varsayımlar!$B:$Q,12,0))</f>
        <v>390</v>
      </c>
      <c r="V52" s="75" t="str">
        <f>IF(B52="","",VLOOKUP(AD52,Varsayımlar!$B:$Q,13,0))</f>
        <v>Yurtdışı</v>
      </c>
      <c r="W52" s="75">
        <f>IF(B52="","",VLOOKUP(AD52,Varsayımlar!$B:$Q,14,0))</f>
        <v>9</v>
      </c>
      <c r="X52" s="76">
        <v>46213</v>
      </c>
      <c r="Y52" s="76">
        <v>46487</v>
      </c>
      <c r="Z52" s="75">
        <v>26071025</v>
      </c>
      <c r="AA52" s="75" t="str">
        <f>IF(B52="","",VLOOKUP(AD52,Varsayımlar!$B:$Q,15,0))</f>
        <v>25cm Kırmızı koli-Bulgarca Etiket</v>
      </c>
      <c r="AB52" s="75" t="str">
        <f>IF(B52="","",VLOOKUP(AD52,Varsayımlar!$B:$Q,16,0))</f>
        <v>24-26 cm</v>
      </c>
      <c r="AC52" s="75" t="str">
        <f>IF(B52="","",VLOOKUP(Sayfa1!AD62,Varsayımlar!B:S,18,0))</f>
        <v>80x120cm -Epal+Epal</v>
      </c>
      <c r="AD52" s="57" t="str">
        <f t="shared" si="3"/>
        <v>TASTE LAND-BULGARİSTANTortillas 25cm Sade 6pcs 390g</v>
      </c>
    </row>
    <row r="53" spans="1:30" ht="33.75" customHeight="1" x14ac:dyDescent="0.25">
      <c r="A53" s="8" t="s">
        <v>82</v>
      </c>
      <c r="B53" s="67" t="s">
        <v>460</v>
      </c>
      <c r="C53" s="42">
        <f>IF(B53="","",VLOOKUP(AD53,Varsayımlar!$B:$Q,3,0))</f>
        <v>8698829380698</v>
      </c>
      <c r="D53" s="67" t="s">
        <v>540</v>
      </c>
      <c r="E53" s="67" t="s">
        <v>468</v>
      </c>
      <c r="F53" s="67">
        <v>20260414</v>
      </c>
      <c r="G53" s="67"/>
      <c r="H53" s="67" t="str">
        <f>IF(B53="","",VLOOKUP(AD53,Varsayımlar!$B:$Q,5,0))</f>
        <v>Tortillove 25cm</v>
      </c>
      <c r="I53" s="67">
        <f>IF(B53="","",VLOOKUP(AD53,Varsayımlar!B:T,19,0))</f>
        <v>0</v>
      </c>
      <c r="J53" s="67" t="str">
        <f>IF(B53="","",VLOOKUP(AD53,Varsayımlar!$B:$Q,6,0))</f>
        <v>SADE</v>
      </c>
      <c r="K53" s="67">
        <v>100</v>
      </c>
      <c r="L53" s="67"/>
      <c r="M53" s="67">
        <f>IFERROR(IF(B53="","",K53/VLOOKUP(AD53,Varsayımlar!B:R,17,0)),"")</f>
        <v>1</v>
      </c>
      <c r="N53" s="67"/>
      <c r="O53" s="67">
        <v>2</v>
      </c>
      <c r="P53" s="67">
        <f>IF(B53="","",VLOOKUP(AD53,Varsayımlar!$B:$Q,7,0)*K53)</f>
        <v>1200</v>
      </c>
      <c r="Q53" s="67">
        <f>IF(B53="","",VLOOKUP(AD53,Varsayımlar!$B:$Q,8,0))</f>
        <v>25</v>
      </c>
      <c r="R53" s="67" t="str">
        <f>IF(B53="","",VLOOKUP(AD53,Varsayımlar!$B:$Q,9,0))</f>
        <v>Irak Soft</v>
      </c>
      <c r="S53" s="67">
        <f>IF(B53="","",VLOOKUP(AD53,Varsayımlar!$B:$Q,10,0))</f>
        <v>10</v>
      </c>
      <c r="T53" s="67">
        <f>IF(B53="","",VLOOKUP(AD53,Varsayımlar!$B:$Q,11,0))</f>
        <v>12</v>
      </c>
      <c r="U53" s="67">
        <f>IF(B53="","",VLOOKUP(AD53,Varsayımlar!$B:$Q,12,0))</f>
        <v>650</v>
      </c>
      <c r="V53" s="67" t="str">
        <f>IF(B53="","",VLOOKUP(AD53,Varsayımlar!$B:$Q,13,0))</f>
        <v>Yurtdışı</v>
      </c>
      <c r="W53" s="67">
        <f>IF(B53="","",VLOOKUP(AD53,Varsayımlar!$B:$Q,14,0))</f>
        <v>6</v>
      </c>
      <c r="X53" s="69">
        <v>46216</v>
      </c>
      <c r="Y53" s="69">
        <v>46400</v>
      </c>
      <c r="Z53" s="67">
        <v>26071325</v>
      </c>
      <c r="AA53" s="67" t="str">
        <f>IF(B53="","",VLOOKUP(AD53,Varsayımlar!$B:$Q,15,0))</f>
        <v>25cm Kırmızı Koli</v>
      </c>
      <c r="AB53" s="67" t="str">
        <f>IF(B53="","",VLOOKUP(AD53,Varsayımlar!$B:$Q,16,0))</f>
        <v>24-26 cm</v>
      </c>
      <c r="AC53" s="75" t="str">
        <f>IF(B53="","",VLOOKUP(Sayfa1!AD64,Varsayımlar!B:S,18,0))</f>
        <v>80x120cm -Epal+Epal</v>
      </c>
      <c r="AD53" s="57" t="str">
        <f t="shared" si="3"/>
        <v>Yüksekbaş GıdaYüksekbaş 25cm 10pcs 650g</v>
      </c>
    </row>
    <row r="54" spans="1:30" ht="31.5" x14ac:dyDescent="0.25">
      <c r="A54" s="8" t="s">
        <v>83</v>
      </c>
      <c r="B54" s="42" t="s">
        <v>460</v>
      </c>
      <c r="C54" s="42">
        <f>IF(B54="","",VLOOKUP(AD54,Varsayımlar!$B:$Q,3,0))</f>
        <v>8698829380698</v>
      </c>
      <c r="D54" s="42" t="s">
        <v>540</v>
      </c>
      <c r="E54" s="42" t="s">
        <v>471</v>
      </c>
      <c r="F54" s="42">
        <v>20260414</v>
      </c>
      <c r="G54" s="42"/>
      <c r="H54" s="42" t="str">
        <f>IF(B54="","",VLOOKUP(AD54,Varsayımlar!$B:$Q,5,0))</f>
        <v>Tortillove Tam Buğday 25cm</v>
      </c>
      <c r="I54" s="42">
        <f>IF(B54="","",VLOOKUP(AD54,Varsayımlar!B:T,19,0))</f>
        <v>0</v>
      </c>
      <c r="J54" s="42" t="str">
        <f>IF(B54="","",VLOOKUP(AD54,Varsayımlar!$B:$Q,6,0))</f>
        <v>Tam Buğdaylı</v>
      </c>
      <c r="K54" s="42">
        <v>500</v>
      </c>
      <c r="L54" s="42"/>
      <c r="M54" s="42">
        <f>IFERROR(IF(B54="","",K54/VLOOKUP(AD54,Varsayımlar!B:R,17,0)),"")</f>
        <v>5</v>
      </c>
      <c r="N54" s="42"/>
      <c r="O54" s="42">
        <v>7</v>
      </c>
      <c r="P54" s="42">
        <f>IF(B54="","",VLOOKUP(AD54,Varsayımlar!$B:$Q,7,0)*K54)</f>
        <v>6000</v>
      </c>
      <c r="Q54" s="42">
        <f>IF(B54="","",VLOOKUP(AD54,Varsayımlar!$B:$Q,8,0))</f>
        <v>25</v>
      </c>
      <c r="R54" s="42" t="str">
        <f>IF(B54="","",VLOOKUP(AD54,Varsayımlar!$B:$Q,9,0))</f>
        <v>Irak Soft</v>
      </c>
      <c r="S54" s="42">
        <f>IF(B54="","",VLOOKUP(AD54,Varsayımlar!$B:$Q,10,0))</f>
        <v>10</v>
      </c>
      <c r="T54" s="42">
        <f>IF(B54="","",VLOOKUP(AD54,Varsayımlar!$B:$Q,11,0))</f>
        <v>12</v>
      </c>
      <c r="U54" s="42">
        <f>IF(B54="","",VLOOKUP(AD54,Varsayımlar!$B:$Q,12,0))</f>
        <v>650</v>
      </c>
      <c r="V54" s="42" t="str">
        <f>IF(B54="","",VLOOKUP(AD54,Varsayımlar!$B:$Q,13,0))</f>
        <v>Yurtdışı</v>
      </c>
      <c r="W54" s="42">
        <f>IF(B54="","",VLOOKUP(AD54,Varsayımlar!$B:$Q,14,0))</f>
        <v>6</v>
      </c>
      <c r="X54" s="69">
        <v>46216</v>
      </c>
      <c r="Y54" s="69">
        <v>46400</v>
      </c>
      <c r="Z54" s="42" t="s">
        <v>475</v>
      </c>
      <c r="AA54" s="42" t="str">
        <f>IF(B54="","",VLOOKUP(AD54,Varsayımlar!$B:$Q,15,0))</f>
        <v>25cm Kırmızı Koli-Etiketli</v>
      </c>
      <c r="AB54" s="42" t="str">
        <f>IF(B54="","",VLOOKUP(AD54,Varsayımlar!$B:$Q,16,0))</f>
        <v>24-26 cm</v>
      </c>
      <c r="AC54" s="75" t="str">
        <f>IF(B54="","",VLOOKUP(Sayfa1!AD64,Varsayımlar!B:S,18,0))</f>
        <v>80x120cm -Epal+Epal</v>
      </c>
      <c r="AD54" s="57" t="str">
        <f t="shared" si="3"/>
        <v>Yüksekbaş GıdaYüksekbaş TB 25cm 10pcs 650g</v>
      </c>
    </row>
    <row r="55" spans="1:30" ht="45.75" customHeight="1" x14ac:dyDescent="0.25">
      <c r="A55" s="8" t="s">
        <v>84</v>
      </c>
      <c r="B55" s="130" t="s">
        <v>119</v>
      </c>
      <c r="C55" s="131">
        <f>IF(B55="","",VLOOKUP(AD55,Varsayımlar!$B:$Q,3,0))</f>
        <v>8698829380698</v>
      </c>
      <c r="D55" s="131"/>
      <c r="E55" s="132" t="s">
        <v>120</v>
      </c>
      <c r="F55" s="130"/>
      <c r="G55" s="130"/>
      <c r="H55" s="130" t="str">
        <f>IF(B55="","",VLOOKUP(AD55,Varsayımlar!$B:$Q,5,0))</f>
        <v>Nimet 25 cm</v>
      </c>
      <c r="I55" s="130"/>
      <c r="J55" s="130" t="str">
        <f>IF(B55="","",VLOOKUP(AD55,Varsayımlar!$B:$Q,6,0))</f>
        <v>SADE</v>
      </c>
      <c r="K55" s="130">
        <v>4000</v>
      </c>
      <c r="L55" s="130"/>
      <c r="M55" s="130">
        <f>IFERROR(IF(B55="","",K55/VLOOKUP(AD55,Varsayımlar!B:R,17,0)),"")</f>
        <v>80</v>
      </c>
      <c r="N55" s="130"/>
      <c r="O55" s="130">
        <v>60</v>
      </c>
      <c r="P55" s="130">
        <f>IF(B55="","",VLOOKUP(AD55,Varsayımlar!$B:$Q,7,0)*K55)</f>
        <v>48000</v>
      </c>
      <c r="Q55" s="130">
        <f>IF(B55="","",VLOOKUP(AD55,Varsayımlar!$B:$Q,8,0))</f>
        <v>25</v>
      </c>
      <c r="R55" s="130" t="str">
        <f>IF(B55="","",VLOOKUP(AD55,Varsayımlar!$B:$Q,9,0))</f>
        <v>Standart</v>
      </c>
      <c r="S55" s="130">
        <f>IF(B55="","",VLOOKUP(AD55,Varsayımlar!$B:$Q,10,0))</f>
        <v>12</v>
      </c>
      <c r="T55" s="130">
        <f>IF(B55="","",VLOOKUP(AD55,Varsayımlar!$B:$Q,11,0))</f>
        <v>12</v>
      </c>
      <c r="U55" s="130">
        <f>IF(B55="","",VLOOKUP(AD55,Varsayımlar!$B:$Q,12,0))</f>
        <v>840</v>
      </c>
      <c r="V55" s="130" t="str">
        <f>IF(B55="","",VLOOKUP(AD55,Varsayımlar!$B:$Q,13,0))</f>
        <v>YURTİÇİ</v>
      </c>
      <c r="W55" s="130">
        <f>IF(B55="","",VLOOKUP(AD55,Varsayımlar!$B:$Q,14,0))</f>
        <v>5</v>
      </c>
      <c r="X55" s="133" t="s">
        <v>113</v>
      </c>
      <c r="Y55" s="133" t="s">
        <v>113</v>
      </c>
      <c r="Z55" s="130" t="s">
        <v>113</v>
      </c>
      <c r="AA55" s="130" t="str">
        <f>IF(B55="","",VLOOKUP(AD55,Varsayımlar!$B:$Q,15,0))</f>
        <v>Nimet Kolisi</v>
      </c>
      <c r="AB55" s="130" t="str">
        <f>IF(B55="","",VLOOKUP(AD55,Varsayımlar!$B:$Q,16,0))</f>
        <v>24-26 CM</v>
      </c>
      <c r="AC55" s="64" t="s">
        <v>360</v>
      </c>
      <c r="AD55" s="57" t="str">
        <f>IF(B55="","",CONCATENATE(B55,E55))</f>
        <v>A101Nimet 25cm 12 pcs 840g</v>
      </c>
    </row>
    <row r="56" spans="1:30" ht="31.5" x14ac:dyDescent="0.25">
      <c r="A56" s="8" t="s">
        <v>85</v>
      </c>
      <c r="B56" s="54" t="s">
        <v>346</v>
      </c>
      <c r="C56" s="39">
        <f>IF(B56="","",VLOOKUP(AD56,Varsayımlar!$B:$Q,3,0))</f>
        <v>8698829380698</v>
      </c>
      <c r="D56" s="39">
        <v>49</v>
      </c>
      <c r="E56" s="139" t="s">
        <v>58</v>
      </c>
      <c r="F56" s="54"/>
      <c r="G56" s="54"/>
      <c r="H56" s="54" t="str">
        <f>IF(B56="","",VLOOKUP(AD56,Varsayımlar!$B:$Q,5,0))</f>
        <v>KIRMIZI TORTİLLAS 25 CM</v>
      </c>
      <c r="I56" s="54" t="str">
        <f>IF(B56="","",VLOOKUP(AD56,Varsayımlar!B:T,19,0))</f>
        <v>BARKOD ETİKETİ</v>
      </c>
      <c r="J56" s="54" t="str">
        <f>IF(B56="","",VLOOKUP(AD56,Varsayımlar!$B:$Q,6,0))</f>
        <v>SADE</v>
      </c>
      <c r="K56" s="54">
        <v>504</v>
      </c>
      <c r="L56" s="54"/>
      <c r="M56" s="54">
        <f>IFERROR(IF(B56="","",K56/VLOOKUP(AD56,Varsayımlar!B:R,17,0)),"")</f>
        <v>6</v>
      </c>
      <c r="N56" s="54"/>
      <c r="O56" s="54">
        <v>6</v>
      </c>
      <c r="P56" s="54">
        <f>IF(B56="","",VLOOKUP(AD56,Varsayımlar!$B:$Q,7,0)*K56)</f>
        <v>9072</v>
      </c>
      <c r="Q56" s="54">
        <f>IF(B56="","",VLOOKUP(AD56,Varsayımlar!$B:$Q,8,0))</f>
        <v>25</v>
      </c>
      <c r="R56" s="54" t="str">
        <f>IF(B56="","",VLOOKUP(AD56,Varsayımlar!$B:$Q,9,0))</f>
        <v>IRAK SOFT</v>
      </c>
      <c r="S56" s="54">
        <f>IF(B56="","",VLOOKUP(AD56,Varsayımlar!$B:$Q,10,0))</f>
        <v>6</v>
      </c>
      <c r="T56" s="54">
        <f>IF(B56="","",VLOOKUP(AD56,Varsayımlar!$B:$Q,11,0))</f>
        <v>18</v>
      </c>
      <c r="U56" s="54">
        <f>IF(B56="","",VLOOKUP(AD56,Varsayımlar!$B:$Q,12,0))</f>
        <v>375</v>
      </c>
      <c r="V56" s="54" t="str">
        <f>IF(B56="","",VLOOKUP(AD56,Varsayımlar!$B:$Q,13,0))</f>
        <v>YURTDIŞI</v>
      </c>
      <c r="W56" s="54">
        <f>IF(B56="","",VLOOKUP(AD56,Varsayımlar!$B:$Q,14,0))</f>
        <v>9</v>
      </c>
      <c r="X56" s="56">
        <v>46226</v>
      </c>
      <c r="Y56" s="56">
        <v>46500</v>
      </c>
      <c r="Z56" s="54">
        <v>26072325</v>
      </c>
      <c r="AA56" s="54" t="str">
        <f>IF(B56="","",VLOOKUP(AD56,Varsayımlar!$B:$Q,15,0))</f>
        <v>KIRMIZI - ÜRETİM TARİHLİ ETİKET</v>
      </c>
      <c r="AB56" s="54" t="str">
        <f>IF(B56="","",VLOOKUP(AD56,Varsayımlar!$B:$Q,16,0))</f>
        <v>24-26 CM</v>
      </c>
      <c r="AC56" s="8" t="e">
        <f>IF(B56="","",VLOOKUP(#REF!,#REF!,18,0))</f>
        <v>#REF!</v>
      </c>
      <c r="AD56" s="8" t="str">
        <f>IF(B56="","",CONCATENATE(B56,E56))</f>
        <v>GermesKırmızı Tortillas-Germes-25cm 375g</v>
      </c>
    </row>
    <row r="57" spans="1:30" ht="36" customHeight="1" x14ac:dyDescent="0.25">
      <c r="A57" s="8" t="s">
        <v>86</v>
      </c>
      <c r="B57" s="149" t="s">
        <v>500</v>
      </c>
      <c r="C57" s="149">
        <f>IF(B57="","",VLOOKUP(AD57,Varsayımlar!$B:$Q,3,0))</f>
        <v>8698829380698</v>
      </c>
      <c r="D57" s="149"/>
      <c r="E57" s="149" t="s">
        <v>193</v>
      </c>
      <c r="F57" s="149">
        <v>26062201</v>
      </c>
      <c r="G57" s="149"/>
      <c r="H57" s="149" t="str">
        <f>IF(B57="","",VLOOKUP(AD57,Varsayımlar!$B:$Q,5,0))</f>
        <v>Tortillas 25cm</v>
      </c>
      <c r="I57" s="149">
        <f>IF(B57="","",VLOOKUP(AD57,Varsayımlar!B:T,19,0))</f>
        <v>0</v>
      </c>
      <c r="J57" s="149" t="str">
        <f>IF(B57="","",VLOOKUP(AD57,Varsayımlar!$B:$Q,6,0))</f>
        <v>Sade</v>
      </c>
      <c r="K57" s="149">
        <v>50</v>
      </c>
      <c r="L57" s="149"/>
      <c r="M57" s="149">
        <f>IFERROR(IF(B57="","",K57/VLOOKUP(AD57,Varsayımlar!B:R,17,0)),"")</f>
        <v>1</v>
      </c>
      <c r="N57" s="149"/>
      <c r="O57" s="149">
        <v>1</v>
      </c>
      <c r="P57" s="149">
        <f>IF(B57="","",VLOOKUP(AD57,Varsayımlar!$B:$Q,7,0)*K57)</f>
        <v>600</v>
      </c>
      <c r="Q57" s="149">
        <f>IF(B57="","",VLOOKUP(AD57,Varsayımlar!$B:$Q,8,0))</f>
        <v>25</v>
      </c>
      <c r="R57" s="149" t="str">
        <f>IF(B57="","",VLOOKUP(AD57,Varsayımlar!$B:$Q,9,0))</f>
        <v>Irak Soft</v>
      </c>
      <c r="S57" s="149">
        <f>IF(B57="","",VLOOKUP(AD57,Varsayımlar!$B:$Q,10,0))</f>
        <v>10</v>
      </c>
      <c r="T57" s="149">
        <f>IF(B57="","",VLOOKUP(AD57,Varsayımlar!$B:$Q,11,0))</f>
        <v>12</v>
      </c>
      <c r="U57" s="149">
        <f>IF(B57="","",VLOOKUP(AD57,Varsayımlar!$B:$Q,12,0))</f>
        <v>650</v>
      </c>
      <c r="V57" s="149" t="str">
        <f>IF(B57="","",VLOOKUP(AD57,Varsayımlar!$B:$Q,13,0))</f>
        <v>Yurtdışı</v>
      </c>
      <c r="W57" s="149">
        <f>IF(B57="","",VLOOKUP(AD57,Varsayımlar!$B:$Q,14,0))</f>
        <v>12</v>
      </c>
      <c r="X57" s="151">
        <v>46231</v>
      </c>
      <c r="Y57" s="151">
        <v>46596</v>
      </c>
      <c r="Z57" s="149">
        <v>26072825</v>
      </c>
      <c r="AA57" s="149" t="str">
        <f>IF(B57="","",VLOOKUP(AD57,Varsayımlar!$B:$Q,15,0))</f>
        <v>25cm Kolisi</v>
      </c>
      <c r="AB57" s="149" t="str">
        <f>IF(B57="","",VLOOKUP(AD57,Varsayımlar!$B:$Q,16,0))</f>
        <v>24-26cm</v>
      </c>
      <c r="AC57" s="67"/>
      <c r="AD57" s="57" t="str">
        <f t="shared" ref="AD57:AD59" si="4">IF(B57="","",CONCATENATE(B57,E57))</f>
        <v>Fama GroupTortillas 25cm 10pcs 650g</v>
      </c>
    </row>
    <row r="58" spans="1:30" ht="33.75" customHeight="1" x14ac:dyDescent="0.25">
      <c r="A58" s="8" t="s">
        <v>87</v>
      </c>
      <c r="B58" s="67" t="s">
        <v>460</v>
      </c>
      <c r="C58" s="42">
        <f>IF(B58="","",VLOOKUP(AD58,Varsayımlar!$B:$Q,3,0))</f>
        <v>8698829380698</v>
      </c>
      <c r="D58" s="67" t="s">
        <v>539</v>
      </c>
      <c r="E58" s="67" t="s">
        <v>468</v>
      </c>
      <c r="F58" s="67">
        <v>20260626</v>
      </c>
      <c r="G58" s="67"/>
      <c r="H58" s="67" t="str">
        <f>IF(B58="","",VLOOKUP(AD58,Varsayımlar!$B:$Q,5,0))</f>
        <v>Tortillove 25cm</v>
      </c>
      <c r="I58" s="67">
        <f>IF(B58="","",VLOOKUP(AD58,Varsayımlar!B:T,19,0))</f>
        <v>0</v>
      </c>
      <c r="J58" s="67" t="str">
        <f>IF(B58="","",VLOOKUP(AD58,Varsayımlar!$B:$Q,6,0))</f>
        <v>SADE</v>
      </c>
      <c r="K58" s="67">
        <v>100</v>
      </c>
      <c r="L58" s="67"/>
      <c r="M58" s="67">
        <f>IFERROR(IF(B58="","",K58/VLOOKUP(AD58,Varsayımlar!B:R,17,0)),"")</f>
        <v>1</v>
      </c>
      <c r="N58" s="67"/>
      <c r="O58" s="67">
        <v>2</v>
      </c>
      <c r="P58" s="67">
        <f>IF(B58="","",VLOOKUP(AD58,Varsayımlar!$B:$Q,7,0)*K58)</f>
        <v>1200</v>
      </c>
      <c r="Q58" s="67">
        <f>IF(B58="","",VLOOKUP(AD58,Varsayımlar!$B:$Q,8,0))</f>
        <v>25</v>
      </c>
      <c r="R58" s="67" t="str">
        <f>IF(B58="","",VLOOKUP(AD58,Varsayımlar!$B:$Q,9,0))</f>
        <v>Irak Soft</v>
      </c>
      <c r="S58" s="67">
        <f>IF(B58="","",VLOOKUP(AD58,Varsayımlar!$B:$Q,10,0))</f>
        <v>10</v>
      </c>
      <c r="T58" s="67">
        <f>IF(B58="","",VLOOKUP(AD58,Varsayımlar!$B:$Q,11,0))</f>
        <v>12</v>
      </c>
      <c r="U58" s="67">
        <f>IF(B58="","",VLOOKUP(AD58,Varsayımlar!$B:$Q,12,0))</f>
        <v>650</v>
      </c>
      <c r="V58" s="67" t="str">
        <f>IF(B58="","",VLOOKUP(AD58,Varsayımlar!$B:$Q,13,0))</f>
        <v>Yurtdışı</v>
      </c>
      <c r="W58" s="67">
        <f>IF(B58="","",VLOOKUP(AD58,Varsayımlar!$B:$Q,14,0))</f>
        <v>6</v>
      </c>
      <c r="X58" s="69"/>
      <c r="Y58" s="69"/>
      <c r="Z58" s="67"/>
      <c r="AA58" s="67" t="str">
        <f>IF(B58="","",VLOOKUP(AD58,Varsayımlar!$B:$Q,15,0))</f>
        <v>25cm Kırmızı Koli</v>
      </c>
      <c r="AB58" s="67" t="str">
        <f>IF(B58="","",VLOOKUP(AD58,Varsayımlar!$B:$Q,16,0))</f>
        <v>24-26 cm</v>
      </c>
      <c r="AC58" s="75">
        <f>IF(B58="","",VLOOKUP(Sayfa1!AD69,Varsayımlar!B:S,18,0))</f>
        <v>0</v>
      </c>
      <c r="AD58" s="57" t="str">
        <f t="shared" si="4"/>
        <v>Yüksekbaş GıdaYüksekbaş 25cm 10pcs 650g</v>
      </c>
    </row>
    <row r="59" spans="1:30" ht="31.5" x14ac:dyDescent="0.25">
      <c r="A59" s="8" t="s">
        <v>88</v>
      </c>
      <c r="B59" s="42" t="s">
        <v>460</v>
      </c>
      <c r="C59" s="42">
        <f>IF(B59="","",VLOOKUP(AD59,Varsayımlar!$B:$Q,3,0))</f>
        <v>8698829380698</v>
      </c>
      <c r="D59" s="42" t="s">
        <v>539</v>
      </c>
      <c r="E59" s="42" t="s">
        <v>471</v>
      </c>
      <c r="F59" s="42">
        <v>20260626</v>
      </c>
      <c r="G59" s="42"/>
      <c r="H59" s="42" t="str">
        <f>IF(B59="","",VLOOKUP(AD59,Varsayımlar!$B:$Q,5,0))</f>
        <v>Tortillove Tam Buğday 25cm</v>
      </c>
      <c r="I59" s="42">
        <f>IF(B59="","",VLOOKUP(AD59,Varsayımlar!B:T,19,0))</f>
        <v>0</v>
      </c>
      <c r="J59" s="42" t="str">
        <f>IF(B59="","",VLOOKUP(AD59,Varsayımlar!$B:$Q,6,0))</f>
        <v>Tam Buğdaylı</v>
      </c>
      <c r="K59" s="42">
        <v>500</v>
      </c>
      <c r="L59" s="42"/>
      <c r="M59" s="42">
        <f>IFERROR(IF(B59="","",K59/VLOOKUP(AD59,Varsayımlar!B:R,17,0)),"")</f>
        <v>5</v>
      </c>
      <c r="N59" s="42"/>
      <c r="O59" s="42">
        <v>7</v>
      </c>
      <c r="P59" s="42">
        <f>IF(B59="","",VLOOKUP(AD59,Varsayımlar!$B:$Q,7,0)*K59)</f>
        <v>6000</v>
      </c>
      <c r="Q59" s="42">
        <f>IF(B59="","",VLOOKUP(AD59,Varsayımlar!$B:$Q,8,0))</f>
        <v>25</v>
      </c>
      <c r="R59" s="42" t="str">
        <f>IF(B59="","",VLOOKUP(AD59,Varsayımlar!$B:$Q,9,0))</f>
        <v>Irak Soft</v>
      </c>
      <c r="S59" s="42">
        <f>IF(B59="","",VLOOKUP(AD59,Varsayımlar!$B:$Q,10,0))</f>
        <v>10</v>
      </c>
      <c r="T59" s="42">
        <f>IF(B59="","",VLOOKUP(AD59,Varsayımlar!$B:$Q,11,0))</f>
        <v>12</v>
      </c>
      <c r="U59" s="42">
        <f>IF(B59="","",VLOOKUP(AD59,Varsayımlar!$B:$Q,12,0))</f>
        <v>650</v>
      </c>
      <c r="V59" s="42" t="str">
        <f>IF(B59="","",VLOOKUP(AD59,Varsayımlar!$B:$Q,13,0))</f>
        <v>Yurtdışı</v>
      </c>
      <c r="W59" s="42">
        <f>IF(B59="","",VLOOKUP(AD59,Varsayımlar!$B:$Q,14,0))</f>
        <v>6</v>
      </c>
      <c r="X59" s="69"/>
      <c r="Y59" s="69"/>
      <c r="Z59" s="42"/>
      <c r="AA59" s="42" t="str">
        <f>IF(B59="","",VLOOKUP(AD59,Varsayımlar!$B:$Q,15,0))</f>
        <v>25cm Kırmızı Koli-Etiketli</v>
      </c>
      <c r="AB59" s="42" t="str">
        <f>IF(B59="","",VLOOKUP(AD59,Varsayımlar!$B:$Q,16,0))</f>
        <v>24-26 cm</v>
      </c>
      <c r="AC59" s="75">
        <f>IF(B59="","",VLOOKUP(Sayfa1!AD69,Varsayımlar!B:S,18,0))</f>
        <v>0</v>
      </c>
      <c r="AD59" s="57" t="str">
        <f t="shared" si="4"/>
        <v>Yüksekbaş GıdaYüksekbaş TB 25cm 10pcs 650g</v>
      </c>
    </row>
    <row r="60" spans="1:30" ht="36" customHeight="1" x14ac:dyDescent="0.25">
      <c r="A60" s="8" t="s">
        <v>89</v>
      </c>
      <c r="B60" s="67"/>
      <c r="C60" s="42" t="str">
        <f>IF(B60="","",VLOOKUP(AD60,#REF!,3,0))</f>
        <v/>
      </c>
      <c r="D60" s="42"/>
      <c r="E60" s="42"/>
      <c r="F60" s="67"/>
      <c r="G60" s="67"/>
      <c r="H60" s="67" t="str">
        <f>IF(B60="","",VLOOKUP(AD60,#REF!,5,0))</f>
        <v/>
      </c>
      <c r="I60" s="67" t="str">
        <f>IF(B60="","",VLOOKUP(AD60,#REF!,19,0))</f>
        <v/>
      </c>
      <c r="J60" s="67" t="str">
        <f>IF(B60="","",VLOOKUP(AD60,#REF!,6,0))</f>
        <v/>
      </c>
      <c r="K60" s="67"/>
      <c r="L60" s="67"/>
      <c r="M60" s="42" t="str">
        <f>IFERROR(IF(B60="","",K60/VLOOKUP(AD60,Varsayımlar!B:R,17,0)),"")</f>
        <v/>
      </c>
      <c r="N60" s="67"/>
      <c r="O60" s="67"/>
      <c r="P60" s="67" t="str">
        <f>IF(B60="","",VLOOKUP(AD60,#REF!,7,0)*K60)</f>
        <v/>
      </c>
      <c r="Q60" s="67" t="str">
        <f>IF(B60="","",VLOOKUP(AD60,#REF!,8,0))</f>
        <v/>
      </c>
      <c r="R60" s="67" t="str">
        <f>IF(B60="","",VLOOKUP(AD60,#REF!,9,0))</f>
        <v/>
      </c>
      <c r="S60" s="67" t="str">
        <f>IF(B60="","",VLOOKUP(AD60,#REF!,10,0))</f>
        <v/>
      </c>
      <c r="T60" s="67" t="str">
        <f>IF(B60="","",VLOOKUP(AD60,#REF!,11,0))</f>
        <v/>
      </c>
      <c r="U60" s="67" t="str">
        <f>IF(B60="","",VLOOKUP(AD60,#REF!,12,0))</f>
        <v/>
      </c>
      <c r="V60" s="67" t="str">
        <f>IF(B60="","",VLOOKUP(AD60,#REF!,13,0))</f>
        <v/>
      </c>
      <c r="W60" s="67" t="str">
        <f>IF(B60="","",VLOOKUP(AD60,#REF!,14,0))</f>
        <v/>
      </c>
      <c r="X60" s="69"/>
      <c r="Y60" s="69"/>
      <c r="Z60" s="67"/>
      <c r="AA60" s="67" t="str">
        <f>IF(B60="","",VLOOKUP(AD60,#REF!,15,0))</f>
        <v/>
      </c>
      <c r="AB60" s="67" t="str">
        <f>IF(B60="","",VLOOKUP(AD60,#REF!,16,0))</f>
        <v/>
      </c>
      <c r="AC60" s="145"/>
      <c r="AD60" s="57"/>
    </row>
    <row r="61" spans="1:30" ht="36" customHeight="1" x14ac:dyDescent="0.25">
      <c r="A61" s="8" t="s">
        <v>90</v>
      </c>
      <c r="B61" s="67"/>
      <c r="C61" s="42" t="str">
        <f>IF(B61="","",VLOOKUP(AD61,#REF!,3,0))</f>
        <v/>
      </c>
      <c r="D61" s="42"/>
      <c r="E61" s="42"/>
      <c r="F61" s="67"/>
      <c r="G61" s="67"/>
      <c r="H61" s="67" t="str">
        <f>IF(B61="","",VLOOKUP(AD61,#REF!,5,0))</f>
        <v/>
      </c>
      <c r="I61" s="67" t="str">
        <f>IF(B61="","",VLOOKUP(AD61,#REF!,19,0))</f>
        <v/>
      </c>
      <c r="J61" s="67" t="str">
        <f>IF(B61="","",VLOOKUP(AD61,#REF!,6,0))</f>
        <v/>
      </c>
      <c r="K61" s="67"/>
      <c r="L61" s="67"/>
      <c r="M61" s="42" t="str">
        <f>IFERROR(IF(B61="","",K61/VLOOKUP(AD61,Varsayımlar!B:R,17,0)),"")</f>
        <v/>
      </c>
      <c r="N61" s="67"/>
      <c r="O61" s="67"/>
      <c r="P61" s="67" t="str">
        <f>IF(B61="","",VLOOKUP(AD61,#REF!,7,0)*K61)</f>
        <v/>
      </c>
      <c r="Q61" s="67" t="str">
        <f>IF(B61="","",VLOOKUP(AD61,#REF!,8,0))</f>
        <v/>
      </c>
      <c r="R61" s="67" t="str">
        <f>IF(B61="","",VLOOKUP(AD61,#REF!,9,0))</f>
        <v/>
      </c>
      <c r="S61" s="67" t="str">
        <f>IF(B61="","",VLOOKUP(AD61,#REF!,10,0))</f>
        <v/>
      </c>
      <c r="T61" s="67" t="str">
        <f>IF(B61="","",VLOOKUP(AD61,#REF!,11,0))</f>
        <v/>
      </c>
      <c r="U61" s="67" t="str">
        <f>IF(B61="","",VLOOKUP(AD61,#REF!,12,0))</f>
        <v/>
      </c>
      <c r="V61" s="67" t="str">
        <f>IF(B61="","",VLOOKUP(AD61,#REF!,13,0))</f>
        <v/>
      </c>
      <c r="W61" s="67" t="str">
        <f>IF(B61="","",VLOOKUP(AD61,#REF!,14,0))</f>
        <v/>
      </c>
      <c r="X61" s="69"/>
      <c r="Y61" s="69"/>
      <c r="Z61" s="67"/>
      <c r="AA61" s="67" t="str">
        <f>IF(B61="","",VLOOKUP(AD61,#REF!,15,0))</f>
        <v/>
      </c>
      <c r="AB61" s="67" t="str">
        <f>IF(B61="","",VLOOKUP(AD61,#REF!,16,0))</f>
        <v/>
      </c>
      <c r="AC61" s="145"/>
      <c r="AD61" s="57"/>
    </row>
    <row r="62" spans="1:30" ht="36" customHeight="1" x14ac:dyDescent="0.25">
      <c r="A62" s="8" t="s">
        <v>91</v>
      </c>
      <c r="B62" s="67"/>
      <c r="C62" s="42" t="str">
        <f>IF(B62="","",VLOOKUP(AD62,#REF!,3,0))</f>
        <v/>
      </c>
      <c r="D62" s="42"/>
      <c r="E62" s="42"/>
      <c r="F62" s="67"/>
      <c r="G62" s="67"/>
      <c r="H62" s="67" t="str">
        <f>IF(B62="","",VLOOKUP(AD62,#REF!,5,0))</f>
        <v/>
      </c>
      <c r="I62" s="67" t="str">
        <f>IF(B62="","",VLOOKUP(AD62,#REF!,19,0))</f>
        <v/>
      </c>
      <c r="J62" s="67" t="str">
        <f>IF(B62="","",VLOOKUP(AD62,#REF!,6,0))</f>
        <v/>
      </c>
      <c r="K62" s="67"/>
      <c r="L62" s="67"/>
      <c r="M62" s="42" t="str">
        <f>IFERROR(IF(B62="","",K62/VLOOKUP(AD62,Varsayımlar!B:R,17,0)),"")</f>
        <v/>
      </c>
      <c r="N62" s="67"/>
      <c r="O62" s="67"/>
      <c r="P62" s="67" t="str">
        <f>IF(B62="","",VLOOKUP(AD62,#REF!,7,0)*K62)</f>
        <v/>
      </c>
      <c r="Q62" s="67" t="str">
        <f>IF(B62="","",VLOOKUP(AD62,#REF!,8,0))</f>
        <v/>
      </c>
      <c r="R62" s="67" t="str">
        <f>IF(B62="","",VLOOKUP(AD62,#REF!,9,0))</f>
        <v/>
      </c>
      <c r="S62" s="67" t="str">
        <f>IF(B62="","",VLOOKUP(AD62,#REF!,10,0))</f>
        <v/>
      </c>
      <c r="T62" s="67" t="str">
        <f>IF(B62="","",VLOOKUP(AD62,#REF!,11,0))</f>
        <v/>
      </c>
      <c r="U62" s="67" t="str">
        <f>IF(B62="","",VLOOKUP(AD62,#REF!,12,0))</f>
        <v/>
      </c>
      <c r="V62" s="67" t="str">
        <f>IF(B62="","",VLOOKUP(AD62,#REF!,13,0))</f>
        <v/>
      </c>
      <c r="W62" s="67" t="str">
        <f>IF(B62="","",VLOOKUP(AD62,#REF!,14,0))</f>
        <v/>
      </c>
      <c r="X62" s="69"/>
      <c r="Y62" s="69"/>
      <c r="Z62" s="67"/>
      <c r="AA62" s="67" t="str">
        <f>IF(B62="","",VLOOKUP(AD62,#REF!,15,0))</f>
        <v/>
      </c>
      <c r="AB62" s="67" t="str">
        <f>IF(B62="","",VLOOKUP(AD62,#REF!,16,0))</f>
        <v/>
      </c>
      <c r="AC62" s="145"/>
      <c r="AD62" s="57"/>
    </row>
    <row r="63" spans="1:30" x14ac:dyDescent="0.25">
      <c r="C63" s="141" t="str">
        <f>IF(B63="","",VLOOKUP(AD63,Varsayımlar!$B:$Q,3,0))</f>
        <v/>
      </c>
      <c r="H63" s="140" t="str">
        <f>IF(B63="","",VLOOKUP(AD63,Varsayımlar!$B:$Q,5,0))</f>
        <v/>
      </c>
      <c r="J63" s="140" t="str">
        <f>IF(B63="","",VLOOKUP(AD63,Varsayımlar!$B:$Q,6,0))</f>
        <v/>
      </c>
      <c r="P63" s="140" t="str">
        <f>IF(B63="","",VLOOKUP(AD63,Varsayımlar!$B:$Q,7,0)*K63)</f>
        <v/>
      </c>
      <c r="Q63" s="140" t="str">
        <f>IF(B63="","",VLOOKUP(AD63,Varsayımlar!$B:$Q,8,0))</f>
        <v/>
      </c>
      <c r="R63" s="140" t="str">
        <f>IF(B63="","",VLOOKUP(AD63,Varsayımlar!$B:$Q,9,0))</f>
        <v/>
      </c>
      <c r="S63" s="140" t="str">
        <f>IF(B63="","",VLOOKUP(AD63,Varsayımlar!$B:$Q,10,0))</f>
        <v/>
      </c>
      <c r="T63" s="140" t="str">
        <f>IF(B63="","",VLOOKUP(AD63,Varsayımlar!$B:$Q,11,0))</f>
        <v/>
      </c>
      <c r="U63" s="140" t="str">
        <f>IF(B63="","",VLOOKUP(AD63,Varsayımlar!$B:$Q,12,0))</f>
        <v/>
      </c>
      <c r="V63" s="140" t="str">
        <f>IF(B63="","",VLOOKUP(AD63,Varsayımlar!$B:$Q,13,0))</f>
        <v/>
      </c>
      <c r="W63" s="140" t="str">
        <f>IF(B63="","",VLOOKUP(AD63,Varsayımlar!$B:$Q,14,0))</f>
        <v/>
      </c>
      <c r="AA63" s="140" t="str">
        <f>IF(B63="","",VLOOKUP(AD63,Varsayımlar!$B:$Q,15,0))</f>
        <v/>
      </c>
      <c r="AB63" s="140" t="str">
        <f>IF(B63="","",VLOOKUP(AD63,Varsayımlar!$B:$Q,16,0))</f>
        <v/>
      </c>
      <c r="AD63" s="140" t="str">
        <f t="shared" si="3"/>
        <v/>
      </c>
    </row>
    <row r="64" spans="1:30" ht="31.5" customHeight="1" x14ac:dyDescent="0.25">
      <c r="A64" s="182" t="s">
        <v>345</v>
      </c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4"/>
      <c r="AC64" s="38"/>
    </row>
    <row r="65" spans="1:30" ht="63" x14ac:dyDescent="0.25">
      <c r="A65" s="8" t="s">
        <v>0</v>
      </c>
      <c r="B65" s="8" t="s">
        <v>1</v>
      </c>
      <c r="C65" s="9" t="s">
        <v>31</v>
      </c>
      <c r="D65" s="9" t="s">
        <v>124</v>
      </c>
      <c r="E65" s="9" t="s">
        <v>36</v>
      </c>
      <c r="F65" s="8" t="s">
        <v>37</v>
      </c>
      <c r="G65" s="8" t="s">
        <v>13</v>
      </c>
      <c r="H65" s="8" t="s">
        <v>2</v>
      </c>
      <c r="I65" s="8" t="s">
        <v>49</v>
      </c>
      <c r="J65" s="8" t="s">
        <v>3</v>
      </c>
      <c r="K65" s="8" t="s">
        <v>21</v>
      </c>
      <c r="L65" s="8" t="s">
        <v>94</v>
      </c>
      <c r="M65" s="8" t="s">
        <v>20</v>
      </c>
      <c r="N65" s="8" t="s">
        <v>165</v>
      </c>
      <c r="O65" s="8" t="s">
        <v>123</v>
      </c>
      <c r="P65" s="8" t="s">
        <v>16</v>
      </c>
      <c r="Q65" s="8" t="s">
        <v>4</v>
      </c>
      <c r="R65" s="8" t="s">
        <v>5</v>
      </c>
      <c r="S65" s="8" t="s">
        <v>6</v>
      </c>
      <c r="T65" s="8" t="s">
        <v>28</v>
      </c>
      <c r="U65" s="8" t="s">
        <v>7</v>
      </c>
      <c r="V65" s="8" t="s">
        <v>8</v>
      </c>
      <c r="W65" s="8" t="s">
        <v>9</v>
      </c>
      <c r="X65" s="8" t="s">
        <v>10</v>
      </c>
      <c r="Y65" s="8" t="s">
        <v>11</v>
      </c>
      <c r="Z65" s="8" t="s">
        <v>12</v>
      </c>
      <c r="AA65" s="8" t="s">
        <v>14</v>
      </c>
      <c r="AB65" s="8" t="s">
        <v>15</v>
      </c>
      <c r="AC65" s="8" t="s">
        <v>208</v>
      </c>
      <c r="AD65" s="140" t="s">
        <v>41</v>
      </c>
    </row>
    <row r="66" spans="1:30" ht="45.75" customHeight="1" x14ac:dyDescent="0.25">
      <c r="A66" s="8" t="s">
        <v>26</v>
      </c>
      <c r="B66" s="130" t="s">
        <v>119</v>
      </c>
      <c r="C66" s="131">
        <f>IF(B66="","",VLOOKUP(AD66,Varsayımlar!$B:$Q,3,0))</f>
        <v>8698829380698</v>
      </c>
      <c r="D66" s="131"/>
      <c r="E66" s="132" t="s">
        <v>120</v>
      </c>
      <c r="F66" s="130"/>
      <c r="G66" s="130"/>
      <c r="H66" s="130" t="str">
        <f>IF(B66="","",VLOOKUP(AD66,Varsayımlar!$B:$Q,5,0))</f>
        <v>Nimet 25 cm</v>
      </c>
      <c r="I66" s="130"/>
      <c r="J66" s="130" t="str">
        <f>IF(B66="","",VLOOKUP(AD66,Varsayımlar!$B:$Q,6,0))</f>
        <v>SADE</v>
      </c>
      <c r="K66" s="130">
        <v>1500</v>
      </c>
      <c r="L66" s="130"/>
      <c r="M66" s="130">
        <f>IFERROR(IF(B66="","",K66/VLOOKUP(AD66,Varsayımlar!B:R,17,0)),"")</f>
        <v>30</v>
      </c>
      <c r="N66" s="130"/>
      <c r="O66" s="130">
        <v>30</v>
      </c>
      <c r="P66" s="130">
        <f>IF(B66="","",VLOOKUP(AD66,Varsayımlar!$B:$Q,7,0)*K66)</f>
        <v>18000</v>
      </c>
      <c r="Q66" s="130">
        <f>IF(B66="","",VLOOKUP(AD66,Varsayımlar!$B:$Q,8,0))</f>
        <v>25</v>
      </c>
      <c r="R66" s="130" t="str">
        <f>IF(B66="","",VLOOKUP(AD66,Varsayımlar!$B:$Q,9,0))</f>
        <v>Standart</v>
      </c>
      <c r="S66" s="130">
        <f>IF(B66="","",VLOOKUP(AD66,Varsayımlar!$B:$Q,10,0))</f>
        <v>12</v>
      </c>
      <c r="T66" s="130">
        <f>IF(B66="","",VLOOKUP(AD66,Varsayımlar!$B:$Q,11,0))</f>
        <v>12</v>
      </c>
      <c r="U66" s="130">
        <f>IF(B66="","",VLOOKUP(AD66,Varsayımlar!$B:$Q,12,0))</f>
        <v>840</v>
      </c>
      <c r="V66" s="130" t="str">
        <f>IF(B66="","",VLOOKUP(AD66,Varsayımlar!$B:$Q,13,0))</f>
        <v>YURTİÇİ</v>
      </c>
      <c r="W66" s="130">
        <f>IF(B66="","",VLOOKUP(AD66,Varsayımlar!$B:$Q,14,0))</f>
        <v>5</v>
      </c>
      <c r="X66" s="133" t="s">
        <v>113</v>
      </c>
      <c r="Y66" s="133" t="s">
        <v>113</v>
      </c>
      <c r="Z66" s="130" t="s">
        <v>113</v>
      </c>
      <c r="AA66" s="130" t="str">
        <f>IF(B66="","",VLOOKUP(AD66,Varsayımlar!$B:$Q,15,0))</f>
        <v>Nimet Kolisi</v>
      </c>
      <c r="AB66" s="130" t="str">
        <f>IF(B66="","",VLOOKUP(AD66,Varsayımlar!$B:$Q,16,0))</f>
        <v>24-26 CM</v>
      </c>
      <c r="AC66" s="64" t="s">
        <v>360</v>
      </c>
      <c r="AD66" s="57" t="str">
        <f t="shared" ref="AD66:AD71" si="5">IF(B66="","",CONCATENATE(B66,E66))</f>
        <v>A101Nimet 25cm 12 pcs 840g</v>
      </c>
    </row>
    <row r="67" spans="1:30" ht="94.5" x14ac:dyDescent="0.25">
      <c r="A67" s="8" t="s">
        <v>77</v>
      </c>
      <c r="B67" s="80" t="s">
        <v>218</v>
      </c>
      <c r="C67" s="44">
        <f>IF(B67="","",VLOOKUP(AD67,Varsayımlar!$B:$Q,3,0))</f>
        <v>8698829380698</v>
      </c>
      <c r="D67" s="44" t="s">
        <v>160</v>
      </c>
      <c r="E67" s="80" t="s">
        <v>244</v>
      </c>
      <c r="F67" s="80">
        <v>26042907</v>
      </c>
      <c r="G67" s="44"/>
      <c r="H67" s="80" t="str">
        <f>IF(B67="","",VLOOKUP(AD67,Varsayımlar!$B:$Q,5,0))</f>
        <v>Tortillas Avrupa Pizza 26cm (742)</v>
      </c>
      <c r="I67" s="80">
        <f>IF(B67="","",VLOOKUP(AD67,Varsayımlar!B:T,19,0))</f>
        <v>0</v>
      </c>
      <c r="J67" s="80" t="str">
        <f>IF(B67="","",VLOOKUP(AD67,Varsayımlar!$B:$Q,6,0))</f>
        <v>SADE</v>
      </c>
      <c r="K67" s="80">
        <v>720</v>
      </c>
      <c r="L67" s="80" t="s">
        <v>544</v>
      </c>
      <c r="M67" s="80">
        <f>IFERROR(IF(B67="","",K67/VLOOKUP(AD67,Varsayımlar!B:R,17,0)),"")</f>
        <v>6</v>
      </c>
      <c r="N67" s="80"/>
      <c r="O67" s="80">
        <v>9</v>
      </c>
      <c r="P67" s="80">
        <f>IF(B67="","",VLOOKUP(AD67,Varsayımlar!$B:$Q,7,0)*K67)</f>
        <v>5760</v>
      </c>
      <c r="Q67" s="80">
        <f>IF(B67="","",VLOOKUP(AD67,Varsayımlar!$B:$Q,8,0))</f>
        <v>26</v>
      </c>
      <c r="R67" s="80" t="str">
        <f>IF(B67="","",VLOOKUP(AD67,Varsayımlar!$B:$Q,9,0))</f>
        <v>Irak Soft</v>
      </c>
      <c r="S67" s="80">
        <f>IF(B67="","",VLOOKUP(AD67,Varsayımlar!$B:$Q,10,0))</f>
        <v>4</v>
      </c>
      <c r="T67" s="80">
        <f>IF(B67="","",VLOOKUP(AD67,Varsayımlar!$B:$Q,11,0))</f>
        <v>8</v>
      </c>
      <c r="U67" s="80">
        <f>IF(B67="","",VLOOKUP(AD67,Varsayımlar!$B:$Q,12,0))</f>
        <v>480</v>
      </c>
      <c r="V67" s="80" t="str">
        <f>IF(B67="","",VLOOKUP(AD67,Varsayımlar!$B:$Q,13,0))</f>
        <v>Yurtdışı</v>
      </c>
      <c r="W67" s="80">
        <f>IF(B67="","",VLOOKUP(AD67,Varsayımlar!$B:$Q,14,0))</f>
        <v>9</v>
      </c>
      <c r="X67" s="81">
        <v>46203</v>
      </c>
      <c r="Y67" s="81">
        <v>46476</v>
      </c>
      <c r="Z67" s="80">
        <v>26063026</v>
      </c>
      <c r="AA67" s="80" t="str">
        <f>IF(B67="","",VLOOKUP(AD67,Varsayımlar!$B:$Q,15,0))</f>
        <v>26cm Pizza Perforeli-Bulgarca Etiket</v>
      </c>
      <c r="AB67" s="80" t="str">
        <f>IF(B67="","",VLOOKUP(AD67,Varsayımlar!$B:$Q,16,0))</f>
        <v>26 cm kesme -Beze 145-150g, Kesilmmeiş çap 27-28cm, Kesilmemiş ağı: 520-540g, Kesilmiş:475-485g</v>
      </c>
      <c r="AC67" s="80" t="str">
        <f>IF(B67="","",VLOOKUP(Sayfa1!AD80,Varsayımlar!B:S,18,0))</f>
        <v>80x120cm -Epal+Epal</v>
      </c>
      <c r="AD67" s="57" t="str">
        <f t="shared" si="5"/>
        <v>TASTE LAND-BULGARİSTANTortillas Pizza 26cm 4pcs 480g</v>
      </c>
    </row>
    <row r="68" spans="1:30" ht="47.25" x14ac:dyDescent="0.25">
      <c r="A68" s="8" t="s">
        <v>78</v>
      </c>
      <c r="B68" s="54" t="s">
        <v>268</v>
      </c>
      <c r="C68" s="39">
        <f>IF(B68="","",VLOOKUP(AD68,Varsayımlar!$B:$Q,3,0))</f>
        <v>8698829380698</v>
      </c>
      <c r="D68" s="39" t="s">
        <v>160</v>
      </c>
      <c r="E68" s="39" t="s">
        <v>244</v>
      </c>
      <c r="F68" s="54" t="s">
        <v>343</v>
      </c>
      <c r="G68" s="39" t="s">
        <v>68</v>
      </c>
      <c r="H68" s="54" t="str">
        <f>IF(B68="","",VLOOKUP(AD68,Varsayımlar!$B:$Q,5,0))</f>
        <v xml:space="preserve">Tortillas Pizza 26cm </v>
      </c>
      <c r="I68" s="54">
        <f>IF(B68="","",VLOOKUP(AD68,Varsayımlar!B:T,19,0))</f>
        <v>0</v>
      </c>
      <c r="J68" s="54" t="str">
        <f>IF(B68="","",VLOOKUP(AD68,Varsayımlar!$B:$Q,6,0))</f>
        <v>SADE</v>
      </c>
      <c r="K68" s="54">
        <v>768</v>
      </c>
      <c r="L68" s="54"/>
      <c r="M68" s="54">
        <f>IFERROR(IF(B68="","",K68/VLOOKUP(AD68,Varsayımlar!B:R,17,0)),"")</f>
        <v>4</v>
      </c>
      <c r="N68" s="54"/>
      <c r="O68" s="54">
        <v>9</v>
      </c>
      <c r="P68" s="54">
        <f>IF(B68="","",VLOOKUP(AD68,Varsayımlar!$B:$Q,7,0)*K68)</f>
        <v>9216</v>
      </c>
      <c r="Q68" s="54">
        <f>IF(B68="","",VLOOKUP(AD68,Varsayımlar!$B:$Q,8,0))</f>
        <v>26</v>
      </c>
      <c r="R68" s="54" t="str">
        <f>IF(B68="","",VLOOKUP(AD68,Varsayımlar!$B:$Q,9,0))</f>
        <v>Soft-PA3</v>
      </c>
      <c r="S68" s="54">
        <f>IF(B68="","",VLOOKUP(AD68,Varsayımlar!$B:$Q,10,0))</f>
        <v>2</v>
      </c>
      <c r="T68" s="54">
        <f>IF(B68="","",VLOOKUP(AD68,Varsayımlar!$B:$Q,11,0))</f>
        <v>12</v>
      </c>
      <c r="U68" s="54">
        <f>IF(B68="","",VLOOKUP(AD68,Varsayımlar!$B:$Q,12,0))</f>
        <v>240</v>
      </c>
      <c r="V68" s="54" t="str">
        <f>IF(B68="","",VLOOKUP(AD68,Varsayımlar!$B:$Q,13,0))</f>
        <v>Yurtdışı</v>
      </c>
      <c r="W68" s="54">
        <f>IF(B68="","",VLOOKUP(AD68,Varsayımlar!$B:$Q,14,0))</f>
        <v>9</v>
      </c>
      <c r="X68" s="56">
        <v>46205</v>
      </c>
      <c r="Y68" s="56">
        <v>46479</v>
      </c>
      <c r="Z68" s="54">
        <v>26070226</v>
      </c>
      <c r="AA68" s="54" t="str">
        <f>IF(B68="","",VLOOKUP(AD68,Varsayımlar!$B:$Q,15,0))</f>
        <v>26 cm pizza kolisi-Etiketli</v>
      </c>
      <c r="AB68" s="54" t="str">
        <f>IF(B68="","",VLOOKUP(AD68,Varsayımlar!$B:$Q,16,0))</f>
        <v>24-26 cm (Macca Hetto Inkjet Uzun Tarih)</v>
      </c>
      <c r="AC68" s="54" t="e">
        <f>IF(B68="","",VLOOKUP(Sayfa1!AD83,Varsayımlar!B:S,18,0))</f>
        <v>#N/A</v>
      </c>
      <c r="AD68" s="57" t="str">
        <f>IF(B68="","",CONCATENATE(B68,E68))</f>
        <v>LAIKYUZHN-BELARUSTortillas Pizza 26cm 4pcs 480g</v>
      </c>
    </row>
    <row r="69" spans="1:30" ht="26.25" customHeight="1" x14ac:dyDescent="0.25">
      <c r="A69" s="8" t="s">
        <v>79</v>
      </c>
      <c r="B69" s="67" t="s">
        <v>119</v>
      </c>
      <c r="C69" s="42">
        <v>8698829380698</v>
      </c>
      <c r="D69" s="42"/>
      <c r="E69" s="42" t="s">
        <v>120</v>
      </c>
      <c r="F69" s="67"/>
      <c r="G69" s="42"/>
      <c r="H69" s="67" t="s">
        <v>121</v>
      </c>
      <c r="I69" s="67">
        <v>0</v>
      </c>
      <c r="J69" s="67" t="s">
        <v>19</v>
      </c>
      <c r="K69" s="67">
        <v>2000</v>
      </c>
      <c r="L69" s="67"/>
      <c r="M69" s="67">
        <v>80</v>
      </c>
      <c r="N69" s="67">
        <v>50</v>
      </c>
      <c r="O69" s="67">
        <v>54</v>
      </c>
      <c r="P69" s="67">
        <v>48000</v>
      </c>
      <c r="Q69" s="67">
        <v>25</v>
      </c>
      <c r="R69" s="67" t="s">
        <v>116</v>
      </c>
      <c r="S69" s="67">
        <v>12</v>
      </c>
      <c r="T69" s="67">
        <v>12</v>
      </c>
      <c r="U69" s="67">
        <v>840</v>
      </c>
      <c r="V69" s="67" t="s">
        <v>72</v>
      </c>
      <c r="W69" s="67">
        <v>5</v>
      </c>
      <c r="X69" s="69" t="s">
        <v>113</v>
      </c>
      <c r="Y69" s="69" t="s">
        <v>113</v>
      </c>
      <c r="Z69" s="67" t="s">
        <v>113</v>
      </c>
      <c r="AA69" s="67" t="s">
        <v>122</v>
      </c>
      <c r="AB69" s="67" t="s">
        <v>25</v>
      </c>
      <c r="AC69" s="67">
        <v>0</v>
      </c>
      <c r="AD69" s="57" t="s">
        <v>387</v>
      </c>
    </row>
    <row r="70" spans="1:30" ht="94.5" x14ac:dyDescent="0.25">
      <c r="A70" s="8" t="s">
        <v>80</v>
      </c>
      <c r="B70" s="75" t="s">
        <v>218</v>
      </c>
      <c r="C70" s="43">
        <f>IF(B70="","",VLOOKUP(AD70,Varsayımlar!$B:$Q,3,0))</f>
        <v>8698829380698</v>
      </c>
      <c r="D70" s="43" t="s">
        <v>161</v>
      </c>
      <c r="E70" s="75" t="s">
        <v>244</v>
      </c>
      <c r="F70" s="75" t="s">
        <v>341</v>
      </c>
      <c r="G70" s="43"/>
      <c r="H70" s="75" t="str">
        <f>IF(B70="","",VLOOKUP(AD70,Varsayımlar!$B:$Q,5,0))</f>
        <v>Tortillas Avrupa Pizza 26cm (742)</v>
      </c>
      <c r="I70" s="75">
        <f>IF(B70="","",VLOOKUP(AD70,Varsayımlar!B:T,19,0))</f>
        <v>0</v>
      </c>
      <c r="J70" s="75" t="str">
        <f>IF(B70="","",VLOOKUP(AD70,Varsayımlar!$B:$Q,6,0))</f>
        <v>SADE</v>
      </c>
      <c r="K70" s="75">
        <v>840</v>
      </c>
      <c r="L70" s="75"/>
      <c r="M70" s="75">
        <f>IFERROR(IF(B70="","",K70/VLOOKUP(AD70,Varsayımlar!B:R,17,0)),"")</f>
        <v>7</v>
      </c>
      <c r="N70" s="75"/>
      <c r="O70" s="75">
        <v>11</v>
      </c>
      <c r="P70" s="75">
        <f>IF(B70="","",VLOOKUP(AD70,Varsayımlar!$B:$Q,7,0)*K70)</f>
        <v>6720</v>
      </c>
      <c r="Q70" s="75">
        <f>IF(B70="","",VLOOKUP(AD70,Varsayımlar!$B:$Q,8,0))</f>
        <v>26</v>
      </c>
      <c r="R70" s="75" t="str">
        <f>IF(B70="","",VLOOKUP(AD70,Varsayımlar!$B:$Q,9,0))</f>
        <v>Irak Soft</v>
      </c>
      <c r="S70" s="75">
        <f>IF(B70="","",VLOOKUP(AD70,Varsayımlar!$B:$Q,10,0))</f>
        <v>4</v>
      </c>
      <c r="T70" s="75">
        <f>IF(B70="","",VLOOKUP(AD70,Varsayımlar!$B:$Q,11,0))</f>
        <v>8</v>
      </c>
      <c r="U70" s="75">
        <f>IF(B70="","",VLOOKUP(AD70,Varsayımlar!$B:$Q,12,0))</f>
        <v>480</v>
      </c>
      <c r="V70" s="75" t="str">
        <f>IF(B70="","",VLOOKUP(AD70,Varsayımlar!$B:$Q,13,0))</f>
        <v>Yurtdışı</v>
      </c>
      <c r="W70" s="75">
        <f>IF(B70="","",VLOOKUP(AD70,Varsayımlar!$B:$Q,14,0))</f>
        <v>9</v>
      </c>
      <c r="X70" s="76">
        <v>46213</v>
      </c>
      <c r="Y70" s="76">
        <v>46487</v>
      </c>
      <c r="Z70" s="75">
        <v>26071026</v>
      </c>
      <c r="AA70" s="75" t="str">
        <f>IF(B70="","",VLOOKUP(AD70,Varsayımlar!$B:$Q,15,0))</f>
        <v>26cm Pizza Perforeli-Bulgarca Etiket</v>
      </c>
      <c r="AB70" s="75" t="str">
        <f>IF(B70="","",VLOOKUP(AD70,Varsayımlar!$B:$Q,16,0))</f>
        <v>26 cm kesme -Beze 145-150g, Kesilmmeiş çap 27-28cm, Kesilmemiş ağı: 520-540g, Kesilmiş:475-485g</v>
      </c>
      <c r="AC70" s="75" t="str">
        <f>IF(B70="","",VLOOKUP(Sayfa1!AD81,Varsayımlar!B:S,18,0))</f>
        <v>80x120cm -Epal+Epal</v>
      </c>
      <c r="AD70" s="57" t="str">
        <f t="shared" si="5"/>
        <v>TASTE LAND-BULGARİSTANTortillas Pizza 26cm 4pcs 480g</v>
      </c>
    </row>
    <row r="71" spans="1:30" ht="46.5" customHeight="1" x14ac:dyDescent="0.25">
      <c r="A71" s="8" t="s">
        <v>81</v>
      </c>
      <c r="B71" s="67" t="s">
        <v>460</v>
      </c>
      <c r="C71" s="42">
        <f>IF(B71="","",VLOOKUP(AD71,Varsayımlar!$B:$Q,3,0))</f>
        <v>8698829380698</v>
      </c>
      <c r="D71" s="67" t="s">
        <v>540</v>
      </c>
      <c r="E71" s="67" t="s">
        <v>461</v>
      </c>
      <c r="F71" s="67">
        <v>20260414</v>
      </c>
      <c r="G71" s="67"/>
      <c r="H71" s="67" t="str">
        <f>IF(B71="","",VLOOKUP(AD71,Varsayımlar!$B:$Q,5,0))</f>
        <v xml:space="preserve">Tortillove 15cm </v>
      </c>
      <c r="I71" s="67">
        <f>IF(B71="","",VLOOKUP(AD71,Varsayımlar!B:T,19,0))</f>
        <v>0</v>
      </c>
      <c r="J71" s="67" t="str">
        <f>IF(B71="","",VLOOKUP(AD71,Varsayımlar!$B:$Q,6,0))</f>
        <v>SADE</v>
      </c>
      <c r="K71" s="67">
        <v>300</v>
      </c>
      <c r="L71" s="67" t="s">
        <v>532</v>
      </c>
      <c r="M71" s="67">
        <f>IFERROR(IF(B71="","",K71/VLOOKUP(AD71,Varsayımlar!B:R,17,0)),"")</f>
        <v>3</v>
      </c>
      <c r="N71" s="67"/>
      <c r="O71" s="67">
        <v>9</v>
      </c>
      <c r="P71" s="67">
        <f>IF(B71="","",VLOOKUP(AD71,Varsayımlar!$B:$Q,7,0)*K71)</f>
        <v>3600</v>
      </c>
      <c r="Q71" s="67">
        <f>IF(B71="","",VLOOKUP(AD71,Varsayımlar!$B:$Q,8,0))</f>
        <v>15</v>
      </c>
      <c r="R71" s="67" t="str">
        <f>IF(B71="","",VLOOKUP(AD71,Varsayımlar!$B:$Q,9,0))</f>
        <v>Irak Soft</v>
      </c>
      <c r="S71" s="67">
        <f>IF(B71="","",VLOOKUP(AD71,Varsayımlar!$B:$Q,10,0))</f>
        <v>10</v>
      </c>
      <c r="T71" s="67">
        <f>IF(B71="","",VLOOKUP(AD71,Varsayımlar!$B:$Q,11,0))</f>
        <v>12</v>
      </c>
      <c r="U71" s="67">
        <f>IF(B71="","",VLOOKUP(AD71,Varsayımlar!$B:$Q,12,0))</f>
        <v>250</v>
      </c>
      <c r="V71" s="67" t="str">
        <f>IF(B71="","",VLOOKUP(AD71,Varsayımlar!$B:$Q,13,0))</f>
        <v>Yurtdışı</v>
      </c>
      <c r="W71" s="67">
        <f>IF(B71="","",VLOOKUP(AD71,Varsayımlar!$B:$Q,14,0))</f>
        <v>6</v>
      </c>
      <c r="X71" s="69">
        <v>46216</v>
      </c>
      <c r="Y71" s="69">
        <v>46400</v>
      </c>
      <c r="Z71" s="67">
        <v>26071315</v>
      </c>
      <c r="AA71" s="67" t="str">
        <f>IF(B71="","",VLOOKUP(AD71,Varsayımlar!$B:$Q,15,0))</f>
        <v>15cm koli</v>
      </c>
      <c r="AB71" s="67" t="str">
        <f>IF(B71="","",VLOOKUP(AD71,Varsayımlar!$B:$Q,16,0))</f>
        <v>14-16 cm</v>
      </c>
      <c r="AC71" s="80">
        <f>IF(B71="","",VLOOKUP(Sayfa1!AD85,Varsayımlar!B:S,18,0))</f>
        <v>0</v>
      </c>
      <c r="AD71" s="57" t="str">
        <f t="shared" si="5"/>
        <v>Yüksekbaş GıdaYüksekbaş 15cm 10 pcs 250g</v>
      </c>
    </row>
    <row r="72" spans="1:30" ht="31.5" x14ac:dyDescent="0.25">
      <c r="A72" s="8" t="s">
        <v>82</v>
      </c>
      <c r="B72" s="54" t="s">
        <v>346</v>
      </c>
      <c r="C72" s="39">
        <f>IF(B72="","",VLOOKUP(AD72,Varsayımlar!$B:$Q,3,0))</f>
        <v>8698829380698</v>
      </c>
      <c r="D72" s="39">
        <v>49</v>
      </c>
      <c r="E72" s="55" t="s">
        <v>325</v>
      </c>
      <c r="F72" s="54"/>
      <c r="G72" s="54"/>
      <c r="H72" s="54" t="str">
        <f>IF(B72="","",VLOOKUP(AD72,Varsayımlar!$B:$Q,5,0))</f>
        <v>Hanami Tako 15cm</v>
      </c>
      <c r="I72" s="54" t="str">
        <f>IF(B72="","",VLOOKUP(AD72,Varsayımlar!B:T,19,0))</f>
        <v>Ambalaj kaç aylık kontrol?</v>
      </c>
      <c r="J72" s="54" t="str">
        <f>IF(B72="","",VLOOKUP(AD72,Varsayımlar!$B:$Q,6,0))</f>
        <v>SADE</v>
      </c>
      <c r="K72" s="54">
        <v>1248</v>
      </c>
      <c r="L72" s="54"/>
      <c r="M72" s="54"/>
      <c r="N72" s="54"/>
      <c r="O72" s="54">
        <v>35</v>
      </c>
      <c r="P72" s="54">
        <f>IF(B72="","",VLOOKUP(AD72,Varsayımlar!$B:$Q,7,0)*K72)</f>
        <v>24960</v>
      </c>
      <c r="Q72" s="54">
        <f>IF(B72="","",VLOOKUP(AD72,Varsayımlar!$B:$Q,8,0))</f>
        <v>15</v>
      </c>
      <c r="R72" s="54" t="str">
        <f>IF(B72="","",VLOOKUP(AD72,Varsayımlar!$B:$Q,9,0))</f>
        <v>Irak Soft</v>
      </c>
      <c r="S72" s="54">
        <f>IF(B72="","",VLOOKUP(AD72,Varsayımlar!$B:$Q,10,0))</f>
        <v>6</v>
      </c>
      <c r="T72" s="54">
        <f>IF(B72="","",VLOOKUP(AD72,Varsayımlar!$B:$Q,11,0))</f>
        <v>20</v>
      </c>
      <c r="U72" s="54">
        <f>IF(B72="","",VLOOKUP(AD72,Varsayımlar!$B:$Q,12,0))</f>
        <v>150</v>
      </c>
      <c r="V72" s="54" t="str">
        <f>IF(B72="","",VLOOKUP(AD72,Varsayımlar!$B:$Q,13,0))</f>
        <v>Yurtdışı</v>
      </c>
      <c r="W72" s="54">
        <f>IF(B72="","",VLOOKUP(AD72,Varsayımlar!$B:$Q,14,0))</f>
        <v>9</v>
      </c>
      <c r="X72" s="56">
        <v>46226</v>
      </c>
      <c r="Y72" s="56">
        <v>46500</v>
      </c>
      <c r="Z72" s="54">
        <v>26072315</v>
      </c>
      <c r="AA72" s="54" t="str">
        <f>IF(B72="","",VLOOKUP(AD72,Varsayımlar!$B:$Q,15,0))</f>
        <v>Hanami Tako 15cm-Üretim Tarihi Atılacak</v>
      </c>
      <c r="AB72" s="54" t="str">
        <f>IF(B72="","",VLOOKUP(AD72,Varsayımlar!$B:$Q,16,0))</f>
        <v>14-16 cm</v>
      </c>
      <c r="AC72" s="8" t="e">
        <f>IF(B72="","",VLOOKUP(#REF!,#REF!,18,0))</f>
        <v>#REF!</v>
      </c>
      <c r="AD72" s="8" t="str">
        <f>IF(B72="","",CONCATENATE(B72,E72))</f>
        <v>GermesHanami Germes Tako 15cm 6pcs 150g</v>
      </c>
    </row>
    <row r="73" spans="1:30" ht="49.5" customHeight="1" x14ac:dyDescent="0.25">
      <c r="A73" s="8" t="s">
        <v>83</v>
      </c>
      <c r="B73" s="152" t="s">
        <v>518</v>
      </c>
      <c r="C73" s="153">
        <f>IF(B73="","",VLOOKUP(AD73,Varsayımlar!$B:$Q,3,0))</f>
        <v>8698829380698</v>
      </c>
      <c r="D73" s="154"/>
      <c r="E73" s="154" t="s">
        <v>515</v>
      </c>
      <c r="F73" s="152">
        <v>26062302</v>
      </c>
      <c r="G73" s="152"/>
      <c r="H73" s="152" t="str">
        <f>IF(B73="","",VLOOKUP(AD73,Varsayımlar!$B:$Q,5,0))</f>
        <v>Tortillas 15cm</v>
      </c>
      <c r="I73" s="152">
        <f>IF(B73="","",VLOOKUP(AD73,Varsayımlar!B:T,19,0))</f>
        <v>0</v>
      </c>
      <c r="J73" s="152" t="str">
        <f>IF(B73="","",VLOOKUP(AD73,Varsayımlar!$B:$Q,6,0))</f>
        <v>Sade</v>
      </c>
      <c r="K73" s="152">
        <v>10</v>
      </c>
      <c r="L73" s="152"/>
      <c r="M73" s="152">
        <f>IFERROR(IF(B73="","",K73/VLOOKUP(AD73,Varsayımlar!B:R,17,0)),"")</f>
        <v>0.11904761904761904</v>
      </c>
      <c r="N73" s="152"/>
      <c r="O73" s="152">
        <v>0</v>
      </c>
      <c r="P73" s="152">
        <f>IF(B73="","",VLOOKUP(AD73,Varsayımlar!$B:$Q,7,0)*K73)</f>
        <v>120</v>
      </c>
      <c r="Q73" s="152">
        <f>IF(B73="","",VLOOKUP(AD73,Varsayımlar!$B:$Q,8,0))</f>
        <v>15</v>
      </c>
      <c r="R73" s="152" t="str">
        <f>IF(B73="","",VLOOKUP(AD73,Varsayımlar!$B:$Q,9,0))</f>
        <v>Irak Soft</v>
      </c>
      <c r="S73" s="152">
        <f>IF(B73="","",VLOOKUP(AD73,Varsayımlar!$B:$Q,10,0))</f>
        <v>10</v>
      </c>
      <c r="T73" s="152">
        <f>IF(B73="","",VLOOKUP(AD73,Varsayımlar!$B:$Q,11,0))</f>
        <v>12</v>
      </c>
      <c r="U73" s="152">
        <f>IF(B73="","",VLOOKUP(AD73,Varsayımlar!$B:$Q,12,0))</f>
        <v>250</v>
      </c>
      <c r="V73" s="152" t="str">
        <f>IF(B73="","",VLOOKUP(AD73,Varsayımlar!$B:$Q,13,0))</f>
        <v>Yurtiçi</v>
      </c>
      <c r="W73" s="152">
        <f>IF(B73="","",VLOOKUP(AD73,Varsayımlar!$B:$Q,14,0))</f>
        <v>6</v>
      </c>
      <c r="X73" s="155">
        <v>46231</v>
      </c>
      <c r="Y73" s="155">
        <v>46415</v>
      </c>
      <c r="Z73" s="152">
        <v>26072815</v>
      </c>
      <c r="AA73" s="152" t="str">
        <f>IF(B73="","",VLOOKUP(AD73,Varsayımlar!$B:$Q,15,0))</f>
        <v>15cm koli</v>
      </c>
      <c r="AB73" s="152" t="str">
        <f>IF(B73="","",VLOOKUP(AD73,Varsayımlar!$B:$Q,16,0))</f>
        <v>14-16cm</v>
      </c>
      <c r="AC73" s="8" t="e">
        <f>IF(B73="","",VLOOKUP(#REF!,#REF!,18,0))</f>
        <v>#REF!</v>
      </c>
      <c r="AD73" s="8" t="str">
        <f t="shared" ref="AD73:AD74" si="6">IF(B73="","",CONCATENATE(B73,E73))</f>
        <v>Yusuf KöseTortillas 15cm 10pcs 250g</v>
      </c>
    </row>
    <row r="74" spans="1:30" ht="54" customHeight="1" x14ac:dyDescent="0.25">
      <c r="A74" s="8" t="s">
        <v>84</v>
      </c>
      <c r="B74" s="148" t="s">
        <v>500</v>
      </c>
      <c r="C74" s="149">
        <f>IF(B74="","",VLOOKUP(AD74,Varsayımlar!$B:$Q,3,0))</f>
        <v>8698829380698</v>
      </c>
      <c r="D74" s="149"/>
      <c r="E74" s="150" t="s">
        <v>515</v>
      </c>
      <c r="F74" s="148">
        <v>26062201</v>
      </c>
      <c r="G74" s="148"/>
      <c r="H74" s="148" t="str">
        <f>IF(B74="","",VLOOKUP(AD74,Varsayımlar!$B:$Q,5,0))</f>
        <v>Tortillas 15cm</v>
      </c>
      <c r="I74" s="148">
        <f>IF(B74="","",VLOOKUP(AD74,Varsayımlar!B:T,19,0))</f>
        <v>0</v>
      </c>
      <c r="J74" s="148" t="str">
        <f>IF(B74="","",VLOOKUP(AD74,Varsayımlar!$B:$Q,6,0))</f>
        <v>Sade</v>
      </c>
      <c r="K74" s="148">
        <v>50</v>
      </c>
      <c r="L74" s="148"/>
      <c r="M74" s="148" t="str">
        <f>IFERROR(IF(B74="","",K74/VLOOKUP(AD74,#REF!,17,0)),"")</f>
        <v/>
      </c>
      <c r="N74" s="148"/>
      <c r="O74" s="148">
        <v>2</v>
      </c>
      <c r="P74" s="148">
        <f>IF(B74="","",VLOOKUP(AD74,Varsayımlar!$B:$Q,7,0)*K74)</f>
        <v>600</v>
      </c>
      <c r="Q74" s="148">
        <f>IF(B74="","",VLOOKUP(AD74,Varsayımlar!$B:$Q,8,0))</f>
        <v>15</v>
      </c>
      <c r="R74" s="148" t="str">
        <f>IF(B74="","",VLOOKUP(AD74,Varsayımlar!$B:$Q,9,0))</f>
        <v>Irak Soft</v>
      </c>
      <c r="S74" s="148">
        <f>IF(B74="","",VLOOKUP(AD74,Varsayımlar!$B:$Q,10,0))</f>
        <v>10</v>
      </c>
      <c r="T74" s="148">
        <f>IF(B74="","",VLOOKUP(AD74,Varsayımlar!$B:$Q,11,0))</f>
        <v>12</v>
      </c>
      <c r="U74" s="148">
        <f>IF(B74="","",VLOOKUP(AD74,Varsayımlar!$B:$Q,12,0))</f>
        <v>250</v>
      </c>
      <c r="V74" s="148" t="str">
        <f>IF(B74="","",VLOOKUP(AD74,Varsayımlar!$B:$Q,13,0))</f>
        <v>Yurtdışı</v>
      </c>
      <c r="W74" s="148">
        <f>IF(B74="","",VLOOKUP(AD74,Varsayımlar!$B:$Q,14,0))</f>
        <v>12</v>
      </c>
      <c r="X74" s="151">
        <v>46231</v>
      </c>
      <c r="Y74" s="151">
        <v>46596</v>
      </c>
      <c r="Z74" s="148">
        <v>26072815</v>
      </c>
      <c r="AA74" s="148" t="str">
        <f>IF(B74="","",VLOOKUP(AD74,Varsayımlar!$B:$Q,15,0))</f>
        <v>15cm koli</v>
      </c>
      <c r="AB74" s="148" t="str">
        <f>IF(B74="","",VLOOKUP(AD74,Varsayımlar!$B:$Q,16,0))</f>
        <v>14-16cm</v>
      </c>
      <c r="AC74" s="67"/>
      <c r="AD74" s="57" t="str">
        <f t="shared" si="6"/>
        <v>Fama GroupTortillas 15cm 10pcs 250g</v>
      </c>
    </row>
    <row r="75" spans="1:30" ht="48" customHeight="1" x14ac:dyDescent="0.25">
      <c r="A75" s="8" t="s">
        <v>85</v>
      </c>
      <c r="B75" s="149" t="s">
        <v>500</v>
      </c>
      <c r="C75" s="149">
        <f>IF(B75="","",VLOOKUP(AD75,Varsayımlar!$B:$Q,3,0))</f>
        <v>8698829380698</v>
      </c>
      <c r="D75" s="149"/>
      <c r="E75" s="149" t="s">
        <v>244</v>
      </c>
      <c r="F75" s="149">
        <v>26062201</v>
      </c>
      <c r="G75" s="149"/>
      <c r="H75" s="148" t="str">
        <f>IF(B75="","",VLOOKUP(AD75,Varsayımlar!$B:$Q,5,0))</f>
        <v xml:space="preserve">Tortillas Pizza 26cm </v>
      </c>
      <c r="I75" s="148">
        <f>IF(B75="","",VLOOKUP(AD75,Varsayımlar!B:T,19,0))</f>
        <v>0</v>
      </c>
      <c r="J75" s="148" t="str">
        <f>IF(B75="","",VLOOKUP(AD75,Varsayımlar!$B:$Q,6,0))</f>
        <v>Sade</v>
      </c>
      <c r="K75" s="149">
        <v>50</v>
      </c>
      <c r="L75" s="149"/>
      <c r="M75" s="149" t="str">
        <f>IFERROR(IF(B75="","",K75/VLOOKUP(AD75,#REF!,17,0)),"")</f>
        <v/>
      </c>
      <c r="N75" s="149"/>
      <c r="O75" s="149">
        <v>1</v>
      </c>
      <c r="P75" s="148">
        <f>IF(B75="","",VLOOKUP(AD75,Varsayımlar!$B:$Q,7,0)*K75)</f>
        <v>300</v>
      </c>
      <c r="Q75" s="148">
        <f>IF(B75="","",VLOOKUP(AD75,Varsayımlar!$B:$Q,8,0))</f>
        <v>26</v>
      </c>
      <c r="R75" s="148" t="str">
        <f>IF(B75="","",VLOOKUP(AD75,Varsayımlar!$B:$Q,9,0))</f>
        <v>Irak Soft</v>
      </c>
      <c r="S75" s="148">
        <f>IF(B75="","",VLOOKUP(AD75,Varsayımlar!$B:$Q,10,0))</f>
        <v>4</v>
      </c>
      <c r="T75" s="148">
        <f>IF(B75="","",VLOOKUP(AD75,Varsayımlar!$B:$Q,11,0))</f>
        <v>6</v>
      </c>
      <c r="U75" s="148">
        <f>IF(B75="","",VLOOKUP(AD75,Varsayımlar!$B:$Q,12,0))</f>
        <v>480</v>
      </c>
      <c r="V75" s="148" t="str">
        <f>IF(B75="","",VLOOKUP(AD75,Varsayımlar!$B:$Q,13,0))</f>
        <v>Yurtdışı</v>
      </c>
      <c r="W75" s="148">
        <f>IF(B75="","",VLOOKUP(AD75,Varsayımlar!$B:$Q,14,0))</f>
        <v>12</v>
      </c>
      <c r="X75" s="151">
        <v>46231</v>
      </c>
      <c r="Y75" s="151">
        <v>46596</v>
      </c>
      <c r="Z75" s="149">
        <v>26072826</v>
      </c>
      <c r="AA75" s="148" t="str">
        <f>IF(B75="","",VLOOKUP(AD75,Varsayımlar!$B:$Q,15,0))</f>
        <v>Pizza Kolisi-ETİKETLİ</v>
      </c>
      <c r="AB75" s="148" t="str">
        <f>IF(B75="","",VLOOKUP(AD75,Varsayımlar!$B:$Q,16,0))</f>
        <v>25-27 cm</v>
      </c>
      <c r="AC75" s="140">
        <f>IF(B75="","",VLOOKUP(Sayfa1!AD94,Varsayımlar!B:S,18,0))</f>
        <v>0</v>
      </c>
      <c r="AD75" s="140" t="str">
        <f>IF(B75="","",CONCATENATE(B75,E75))</f>
        <v>Fama GroupTortillas Pizza 26cm 4pcs 480g</v>
      </c>
    </row>
    <row r="76" spans="1:30" ht="94.5" x14ac:dyDescent="0.25">
      <c r="A76" s="8" t="s">
        <v>86</v>
      </c>
      <c r="B76" s="62" t="s">
        <v>456</v>
      </c>
      <c r="C76" s="32">
        <f>IF(B76="","",VLOOKUP(AD76,Varsayımlar!$B:$Q,3,0))</f>
        <v>8698829380698</v>
      </c>
      <c r="D76" s="32"/>
      <c r="E76" s="61" t="s">
        <v>484</v>
      </c>
      <c r="F76" s="159" t="s">
        <v>546</v>
      </c>
      <c r="G76" s="62"/>
      <c r="H76" s="62" t="str">
        <f>IF(B76="","",VLOOKUP(AD76,Varsayımlar!$B:$Q,5,0))</f>
        <v>Willifood 26 cm Pizza</v>
      </c>
      <c r="I76" s="62">
        <f>IF(B76="","",VLOOKUP(AD76,Varsayımlar!B:T,19,0))</f>
        <v>0</v>
      </c>
      <c r="J76" s="62" t="str">
        <f>IF(B76="","",VLOOKUP(AD76,Varsayımlar!$B:$Q,6,0))</f>
        <v>Pizza</v>
      </c>
      <c r="K76" s="62">
        <v>2250</v>
      </c>
      <c r="L76" s="62"/>
      <c r="M76" s="62" t="str">
        <f>IFERROR(IF(B76="","",K76/VLOOKUP(AD76,#REF!,17,0)),"")</f>
        <v/>
      </c>
      <c r="N76" s="62"/>
      <c r="O76" s="62">
        <v>16</v>
      </c>
      <c r="P76" s="62">
        <f>IF(B76="","",VLOOKUP(AD76,Varsayımlar!$B:$Q,7,0)*K76)</f>
        <v>27000</v>
      </c>
      <c r="Q76" s="62">
        <f>IF(B76="","",VLOOKUP(AD76,Varsayımlar!$B:$Q,8,0))</f>
        <v>26</v>
      </c>
      <c r="R76" s="62" t="str">
        <f>IF(B76="","",VLOOKUP(AD76,Varsayımlar!$B:$Q,9,0))</f>
        <v>Irak Soft</v>
      </c>
      <c r="S76" s="62">
        <f>IF(B76="","",VLOOKUP(AD76,Varsayımlar!$B:$Q,10,0))</f>
        <v>4</v>
      </c>
      <c r="T76" s="62">
        <f>IF(B76="","",VLOOKUP(AD76,Varsayımlar!$B:$Q,11,0))</f>
        <v>12</v>
      </c>
      <c r="U76" s="62">
        <f>IF(B76="","",VLOOKUP(AD76,Varsayımlar!$B:$Q,12,0))</f>
        <v>480</v>
      </c>
      <c r="V76" s="62" t="str">
        <f>IF(B76="","",VLOOKUP(AD76,Varsayımlar!$B:$Q,13,0))</f>
        <v>Yurtdışı</v>
      </c>
      <c r="W76" s="62">
        <f>IF(B76="","",VLOOKUP(AD76,Varsayımlar!$B:$Q,14,0))</f>
        <v>18</v>
      </c>
      <c r="X76" s="63"/>
      <c r="Y76" s="146" t="s">
        <v>523</v>
      </c>
      <c r="Z76" s="146" t="s">
        <v>522</v>
      </c>
      <c r="AA76" s="63" t="str">
        <f>IF(B76="","",VLOOKUP(AD76,Varsayımlar!$B:$Q,15,0))</f>
        <v>Dürümek Kolisi-Çift Etiket</v>
      </c>
      <c r="AB76" s="63" t="str">
        <f>IF(B76="","",VLOOKUP(AD76,Varsayımlar!$B:$Q,16,0))</f>
        <v>Kesme.Bezeler 145-150 g.Kesilmemiş 27-28 cm. Kesilmemiş ağ 520-540g. Kesilmiş ağ 475-485 g</v>
      </c>
      <c r="AC76" s="73" t="e">
        <f>IF(B76="","",VLOOKUP(#REF!,#REF!,18,0))</f>
        <v>#REF!</v>
      </c>
      <c r="AD76" s="73" t="str">
        <f>IF(B76="","",CONCATENATE(B76,E76))</f>
        <v>WillifoodWillifood Pizza 26cm 4 pcs 480g</v>
      </c>
    </row>
    <row r="77" spans="1:30" ht="33.75" customHeight="1" x14ac:dyDescent="0.25">
      <c r="A77" s="8" t="s">
        <v>87</v>
      </c>
      <c r="B77" s="67" t="s">
        <v>460</v>
      </c>
      <c r="C77" s="42">
        <f>IF(B77="","",VLOOKUP(AD77,Varsayımlar!$B:$Q,3,0))</f>
        <v>8698829380698</v>
      </c>
      <c r="D77" s="67" t="s">
        <v>539</v>
      </c>
      <c r="E77" s="67" t="s">
        <v>461</v>
      </c>
      <c r="F77" s="67">
        <v>20260626</v>
      </c>
      <c r="G77" s="67"/>
      <c r="H77" s="67" t="str">
        <f>IF(B77="","",VLOOKUP(AD77,Varsayımlar!$B:$Q,5,0))</f>
        <v xml:space="preserve">Tortillove 15cm </v>
      </c>
      <c r="I77" s="67">
        <f>IF(B77="","",VLOOKUP(AD77,Varsayımlar!B:T,19,0))</f>
        <v>0</v>
      </c>
      <c r="J77" s="67" t="str">
        <f>IF(B77="","",VLOOKUP(AD77,Varsayımlar!$B:$Q,6,0))</f>
        <v>SADE</v>
      </c>
      <c r="K77" s="67">
        <v>400</v>
      </c>
      <c r="L77" s="67"/>
      <c r="M77" s="67">
        <f>IFERROR(IF(B77="","",K77/VLOOKUP(AD77,Varsayımlar!B:R,17,0)),"")</f>
        <v>4</v>
      </c>
      <c r="N77" s="67"/>
      <c r="O77" s="67"/>
      <c r="P77" s="67">
        <f>IF(B77="","",VLOOKUP(AD77,Varsayımlar!$B:$Q,7,0)*K77)</f>
        <v>4800</v>
      </c>
      <c r="Q77" s="67">
        <f>IF(B77="","",VLOOKUP(AD77,Varsayımlar!$B:$Q,8,0))</f>
        <v>15</v>
      </c>
      <c r="R77" s="67" t="str">
        <f>IF(B77="","",VLOOKUP(AD77,Varsayımlar!$B:$Q,9,0))</f>
        <v>Irak Soft</v>
      </c>
      <c r="S77" s="67">
        <f>IF(B77="","",VLOOKUP(AD77,Varsayımlar!$B:$Q,10,0))</f>
        <v>10</v>
      </c>
      <c r="T77" s="67">
        <f>IF(B77="","",VLOOKUP(AD77,Varsayımlar!$B:$Q,11,0))</f>
        <v>12</v>
      </c>
      <c r="U77" s="67">
        <f>IF(B77="","",VLOOKUP(AD77,Varsayımlar!$B:$Q,12,0))</f>
        <v>250</v>
      </c>
      <c r="V77" s="67" t="str">
        <f>IF(B77="","",VLOOKUP(AD77,Varsayımlar!$B:$Q,13,0))</f>
        <v>Yurtdışı</v>
      </c>
      <c r="W77" s="67">
        <f>IF(B77="","",VLOOKUP(AD77,Varsayımlar!$B:$Q,14,0))</f>
        <v>6</v>
      </c>
      <c r="X77" s="69"/>
      <c r="Y77" s="69"/>
      <c r="Z77" s="67"/>
      <c r="AA77" s="67" t="str">
        <f>IF(B77="","",VLOOKUP(AD77,Varsayımlar!$B:$Q,15,0))</f>
        <v>15cm koli</v>
      </c>
      <c r="AB77" s="67" t="str">
        <f>IF(B77="","",VLOOKUP(AD77,Varsayımlar!$B:$Q,16,0))</f>
        <v>14-16 cm</v>
      </c>
      <c r="AC77" s="80">
        <f>IF(B77="","",VLOOKUP(Sayfa1!AD91,Varsayımlar!B:S,18,0))</f>
        <v>0</v>
      </c>
      <c r="AD77" s="57" t="str">
        <f t="shared" ref="AD77" si="7">IF(B77="","",CONCATENATE(B77,E77))</f>
        <v>Yüksekbaş GıdaYüksekbaş 15cm 10 pcs 250g</v>
      </c>
    </row>
    <row r="78" spans="1:30" x14ac:dyDescent="0.25">
      <c r="A78" s="8" t="s">
        <v>88</v>
      </c>
      <c r="B78" s="67"/>
      <c r="C78" s="42" t="str">
        <f>IF(B78="","",VLOOKUP(AD78,#REF!,3,0))</f>
        <v/>
      </c>
      <c r="D78" s="42"/>
      <c r="E78" s="42"/>
      <c r="F78" s="67"/>
      <c r="G78" s="67"/>
      <c r="H78" s="67" t="str">
        <f>IF(B78="","",VLOOKUP(AD78,#REF!,5,0))</f>
        <v/>
      </c>
      <c r="I78" s="67" t="str">
        <f>IF(B78="","",VLOOKUP(AD78,#REF!,19,0))</f>
        <v/>
      </c>
      <c r="J78" s="67" t="str">
        <f>IF(B78="","",VLOOKUP(AD78,#REF!,6,0))</f>
        <v/>
      </c>
      <c r="K78" s="67"/>
      <c r="L78" s="67"/>
      <c r="M78" s="67" t="str">
        <f>IFERROR(IF(B78="","",K78/VLOOKUP(AD78,#REF!,17,0)),"")</f>
        <v/>
      </c>
      <c r="N78" s="67"/>
      <c r="O78" s="67"/>
      <c r="P78" s="67" t="str">
        <f>IF(B78="","",VLOOKUP(AD78,#REF!,7,0)*K78)</f>
        <v/>
      </c>
      <c r="Q78" s="67" t="str">
        <f>IF(B78="","",VLOOKUP(AD78,#REF!,8,0))</f>
        <v/>
      </c>
      <c r="R78" s="67" t="str">
        <f>IF(B78="","",VLOOKUP(AD78,#REF!,9,0))</f>
        <v/>
      </c>
      <c r="S78" s="67" t="str">
        <f>IF(B78="","",VLOOKUP(AD78,#REF!,10,0))</f>
        <v/>
      </c>
      <c r="T78" s="67" t="str">
        <f>IF(B78="","",VLOOKUP(AD78,#REF!,11,0))</f>
        <v/>
      </c>
      <c r="U78" s="67" t="str">
        <f>IF(B78="","",VLOOKUP(AD78,#REF!,12,0))</f>
        <v/>
      </c>
      <c r="V78" s="67" t="str">
        <f>IF(B78="","",VLOOKUP(AD78,#REF!,13,0))</f>
        <v/>
      </c>
      <c r="W78" s="67" t="str">
        <f>IF(B78="","",VLOOKUP(AD78,#REF!,14,0))</f>
        <v/>
      </c>
      <c r="X78" s="69"/>
      <c r="Y78" s="69"/>
      <c r="Z78" s="67"/>
      <c r="AA78" s="67" t="str">
        <f>IF(B78="","",VLOOKUP(AD78,#REF!,15,0))</f>
        <v/>
      </c>
      <c r="AB78" s="67" t="str">
        <f>IF(B78="","",VLOOKUP(AD78,#REF!,16,0))</f>
        <v/>
      </c>
    </row>
    <row r="79" spans="1:30" x14ac:dyDescent="0.25">
      <c r="A79" s="8" t="s">
        <v>89</v>
      </c>
      <c r="B79" s="67"/>
      <c r="C79" s="42" t="str">
        <f>IF(B79="","",VLOOKUP(AD79,#REF!,3,0))</f>
        <v/>
      </c>
      <c r="D79" s="42"/>
      <c r="E79" s="42"/>
      <c r="F79" s="67"/>
      <c r="G79" s="67"/>
      <c r="H79" s="67" t="str">
        <f>IF(B79="","",VLOOKUP(AD79,#REF!,5,0))</f>
        <v/>
      </c>
      <c r="I79" s="67" t="str">
        <f>IF(B79="","",VLOOKUP(AD79,#REF!,19,0))</f>
        <v/>
      </c>
      <c r="J79" s="67" t="str">
        <f>IF(B79="","",VLOOKUP(AD79,#REF!,6,0))</f>
        <v/>
      </c>
      <c r="K79" s="67"/>
      <c r="L79" s="67"/>
      <c r="M79" s="67" t="str">
        <f>IFERROR(IF(B79="","",K79/VLOOKUP(AD79,#REF!,17,0)),"")</f>
        <v/>
      </c>
      <c r="N79" s="67"/>
      <c r="O79" s="67"/>
      <c r="P79" s="67" t="str">
        <f>IF(B79="","",VLOOKUP(AD79,#REF!,7,0)*K79)</f>
        <v/>
      </c>
      <c r="Q79" s="67" t="str">
        <f>IF(B79="","",VLOOKUP(AD79,#REF!,8,0))</f>
        <v/>
      </c>
      <c r="R79" s="67" t="str">
        <f>IF(B79="","",VLOOKUP(AD79,#REF!,9,0))</f>
        <v/>
      </c>
      <c r="S79" s="67" t="str">
        <f>IF(B79="","",VLOOKUP(AD79,#REF!,10,0))</f>
        <v/>
      </c>
      <c r="T79" s="67" t="str">
        <f>IF(B79="","",VLOOKUP(AD79,#REF!,11,0))</f>
        <v/>
      </c>
      <c r="U79" s="67" t="str">
        <f>IF(B79="","",VLOOKUP(AD79,#REF!,12,0))</f>
        <v/>
      </c>
      <c r="V79" s="67" t="str">
        <f>IF(B79="","",VLOOKUP(AD79,#REF!,13,0))</f>
        <v/>
      </c>
      <c r="W79" s="67" t="str">
        <f>IF(B79="","",VLOOKUP(AD79,#REF!,14,0))</f>
        <v/>
      </c>
      <c r="X79" s="69"/>
      <c r="Y79" s="69"/>
      <c r="Z79" s="67"/>
      <c r="AA79" s="67" t="str">
        <f>IF(B79="","",VLOOKUP(AD79,#REF!,15,0))</f>
        <v/>
      </c>
      <c r="AB79" s="67" t="str">
        <f>IF(B79="","",VLOOKUP(AD79,#REF!,16,0))</f>
        <v/>
      </c>
    </row>
    <row r="80" spans="1:30" x14ac:dyDescent="0.25">
      <c r="A80" s="8" t="s">
        <v>90</v>
      </c>
      <c r="B80" s="67"/>
      <c r="C80" s="42" t="str">
        <f>IF(B80="","",VLOOKUP(AD80,#REF!,3,0))</f>
        <v/>
      </c>
      <c r="D80" s="42"/>
      <c r="E80" s="42"/>
      <c r="F80" s="67"/>
      <c r="G80" s="67"/>
      <c r="H80" s="67" t="str">
        <f>IF(B80="","",VLOOKUP(AD80,#REF!,5,0))</f>
        <v/>
      </c>
      <c r="I80" s="67" t="str">
        <f>IF(B80="","",VLOOKUP(AD80,#REF!,19,0))</f>
        <v/>
      </c>
      <c r="J80" s="67" t="str">
        <f>IF(B80="","",VLOOKUP(AD80,#REF!,6,0))</f>
        <v/>
      </c>
      <c r="K80" s="67"/>
      <c r="L80" s="67"/>
      <c r="M80" s="67" t="str">
        <f>IFERROR(IF(B80="","",K80/VLOOKUP(AD80,#REF!,17,0)),"")</f>
        <v/>
      </c>
      <c r="N80" s="67"/>
      <c r="O80" s="67"/>
      <c r="P80" s="67" t="str">
        <f>IF(B80="","",VLOOKUP(AD80,#REF!,7,0)*K80)</f>
        <v/>
      </c>
      <c r="Q80" s="67" t="str">
        <f>IF(B80="","",VLOOKUP(AD80,#REF!,8,0))</f>
        <v/>
      </c>
      <c r="R80" s="67" t="str">
        <f>IF(B80="","",VLOOKUP(AD80,#REF!,9,0))</f>
        <v/>
      </c>
      <c r="S80" s="67" t="str">
        <f>IF(B80="","",VLOOKUP(AD80,#REF!,10,0))</f>
        <v/>
      </c>
      <c r="T80" s="67" t="str">
        <f>IF(B80="","",VLOOKUP(AD80,#REF!,11,0))</f>
        <v/>
      </c>
      <c r="U80" s="67" t="str">
        <f>IF(B80="","",VLOOKUP(AD80,#REF!,12,0))</f>
        <v/>
      </c>
      <c r="V80" s="67" t="str">
        <f>IF(B80="","",VLOOKUP(AD80,#REF!,13,0))</f>
        <v/>
      </c>
      <c r="W80" s="67" t="str">
        <f>IF(B80="","",VLOOKUP(AD80,#REF!,14,0))</f>
        <v/>
      </c>
      <c r="X80" s="69"/>
      <c r="Y80" s="69"/>
      <c r="Z80" s="67"/>
      <c r="AA80" s="67" t="str">
        <f>IF(B80="","",VLOOKUP(AD80,#REF!,15,0))</f>
        <v/>
      </c>
      <c r="AB80" s="67" t="str">
        <f>IF(B80="","",VLOOKUP(AD80,#REF!,16,0))</f>
        <v/>
      </c>
    </row>
    <row r="81" spans="1:28" x14ac:dyDescent="0.25">
      <c r="A81" s="8" t="s">
        <v>91</v>
      </c>
      <c r="B81" s="67"/>
      <c r="C81" s="42" t="str">
        <f>IF(B81="","",VLOOKUP(AD81,#REF!,3,0))</f>
        <v/>
      </c>
      <c r="D81" s="42"/>
      <c r="E81" s="42"/>
      <c r="F81" s="67"/>
      <c r="G81" s="67"/>
      <c r="H81" s="67" t="str">
        <f>IF(B81="","",VLOOKUP(AD81,#REF!,5,0))</f>
        <v/>
      </c>
      <c r="I81" s="67" t="str">
        <f>IF(B81="","",VLOOKUP(AD81,#REF!,19,0))</f>
        <v/>
      </c>
      <c r="J81" s="67" t="str">
        <f>IF(B81="","",VLOOKUP(AD81,#REF!,6,0))</f>
        <v/>
      </c>
      <c r="K81" s="67"/>
      <c r="L81" s="67"/>
      <c r="M81" s="67" t="str">
        <f>IFERROR(IF(B81="","",K81/VLOOKUP(AD81,#REF!,17,0)),"")</f>
        <v/>
      </c>
      <c r="N81" s="67"/>
      <c r="O81" s="67"/>
      <c r="P81" s="67" t="str">
        <f>IF(B81="","",VLOOKUP(AD81,#REF!,7,0)*K81)</f>
        <v/>
      </c>
      <c r="Q81" s="67" t="str">
        <f>IF(B81="","",VLOOKUP(AD81,#REF!,8,0))</f>
        <v/>
      </c>
      <c r="R81" s="67" t="str">
        <f>IF(B81="","",VLOOKUP(AD81,#REF!,9,0))</f>
        <v/>
      </c>
      <c r="S81" s="67" t="str">
        <f>IF(B81="","",VLOOKUP(AD81,#REF!,10,0))</f>
        <v/>
      </c>
      <c r="T81" s="67" t="str">
        <f>IF(B81="","",VLOOKUP(AD81,#REF!,11,0))</f>
        <v/>
      </c>
      <c r="U81" s="67" t="str">
        <f>IF(B81="","",VLOOKUP(AD81,#REF!,12,0))</f>
        <v/>
      </c>
      <c r="V81" s="67" t="str">
        <f>IF(B81="","",VLOOKUP(AD81,#REF!,13,0))</f>
        <v/>
      </c>
      <c r="W81" s="67" t="str">
        <f>IF(B81="","",VLOOKUP(AD81,#REF!,14,0))</f>
        <v/>
      </c>
      <c r="X81" s="69"/>
      <c r="Y81" s="69"/>
      <c r="Z81" s="67"/>
      <c r="AA81" s="67" t="str">
        <f>IF(B81="","",VLOOKUP(AD81,#REF!,15,0))</f>
        <v/>
      </c>
      <c r="AB81" s="67" t="str">
        <f>IF(B81="","",VLOOKUP(AD81,#REF!,16,0))</f>
        <v/>
      </c>
    </row>
    <row r="82" spans="1:28" x14ac:dyDescent="0.25">
      <c r="A82" s="8" t="s">
        <v>92</v>
      </c>
      <c r="B82" s="67"/>
      <c r="C82" s="42" t="str">
        <f>IF(B82="","",VLOOKUP(AD82,#REF!,3,0))</f>
        <v/>
      </c>
      <c r="D82" s="42"/>
      <c r="E82" s="42"/>
      <c r="F82" s="67"/>
      <c r="G82" s="67"/>
      <c r="H82" s="67" t="str">
        <f>IF(B82="","",VLOOKUP(AD82,#REF!,5,0))</f>
        <v/>
      </c>
      <c r="I82" s="67" t="str">
        <f>IF(B82="","",VLOOKUP(AD82,#REF!,19,0))</f>
        <v/>
      </c>
      <c r="J82" s="67" t="str">
        <f>IF(B82="","",VLOOKUP(AD82,#REF!,6,0))</f>
        <v/>
      </c>
      <c r="K82" s="67"/>
      <c r="L82" s="67"/>
      <c r="M82" s="67" t="str">
        <f>IFERROR(IF(B82="","",K82/VLOOKUP(AD82,#REF!,17,0)),"")</f>
        <v/>
      </c>
      <c r="N82" s="67"/>
      <c r="O82" s="67"/>
      <c r="P82" s="67" t="str">
        <f>IF(B82="","",VLOOKUP(AD82,#REF!,7,0)*K82)</f>
        <v/>
      </c>
      <c r="Q82" s="67" t="str">
        <f>IF(B82="","",VLOOKUP(AD82,#REF!,8,0))</f>
        <v/>
      </c>
      <c r="R82" s="67" t="str">
        <f>IF(B82="","",VLOOKUP(AD82,#REF!,9,0))</f>
        <v/>
      </c>
      <c r="S82" s="67" t="str">
        <f>IF(B82="","",VLOOKUP(AD82,#REF!,10,0))</f>
        <v/>
      </c>
      <c r="T82" s="67" t="str">
        <f>IF(B82="","",VLOOKUP(AD82,#REF!,11,0))</f>
        <v/>
      </c>
      <c r="U82" s="67" t="str">
        <f>IF(B82="","",VLOOKUP(AD82,#REF!,12,0))</f>
        <v/>
      </c>
      <c r="V82" s="67" t="str">
        <f>IF(B82="","",VLOOKUP(AD82,#REF!,13,0))</f>
        <v/>
      </c>
      <c r="W82" s="67" t="str">
        <f>IF(B82="","",VLOOKUP(AD82,#REF!,14,0))</f>
        <v/>
      </c>
      <c r="X82" s="69"/>
      <c r="Y82" s="69"/>
      <c r="Z82" s="67"/>
      <c r="AA82" s="67" t="str">
        <f>IF(B82="","",VLOOKUP(AD82,#REF!,15,0))</f>
        <v/>
      </c>
      <c r="AB82" s="67" t="str">
        <f>IF(B82="","",VLOOKUP(AD82,#REF!,16,0))</f>
        <v/>
      </c>
    </row>
    <row r="83" spans="1:28" x14ac:dyDescent="0.25">
      <c r="A83" s="8" t="s">
        <v>93</v>
      </c>
      <c r="B83" s="67"/>
      <c r="C83" s="42" t="str">
        <f>IF(B83="","",VLOOKUP(AD83,#REF!,3,0))</f>
        <v/>
      </c>
      <c r="D83" s="42"/>
      <c r="E83" s="42"/>
      <c r="F83" s="67"/>
      <c r="G83" s="67"/>
      <c r="H83" s="67" t="str">
        <f>IF(B83="","",VLOOKUP(AD83,#REF!,5,0))</f>
        <v/>
      </c>
      <c r="I83" s="67" t="str">
        <f>IF(B83="","",VLOOKUP(AD83,#REF!,19,0))</f>
        <v/>
      </c>
      <c r="J83" s="67" t="str">
        <f>IF(B83="","",VLOOKUP(AD83,#REF!,6,0))</f>
        <v/>
      </c>
      <c r="K83" s="67"/>
      <c r="L83" s="67"/>
      <c r="M83" s="67" t="str">
        <f>IFERROR(IF(B83="","",K83/VLOOKUP(AD83,#REF!,17,0)),"")</f>
        <v/>
      </c>
      <c r="N83" s="67"/>
      <c r="O83" s="67"/>
      <c r="P83" s="67" t="str">
        <f>IF(B83="","",VLOOKUP(AD83,#REF!,7,0)*K83)</f>
        <v/>
      </c>
      <c r="Q83" s="67" t="str">
        <f>IF(B83="","",VLOOKUP(AD83,#REF!,8,0))</f>
        <v/>
      </c>
      <c r="R83" s="67" t="str">
        <f>IF(B83="","",VLOOKUP(AD83,#REF!,9,0))</f>
        <v/>
      </c>
      <c r="S83" s="67" t="str">
        <f>IF(B83="","",VLOOKUP(AD83,#REF!,10,0))</f>
        <v/>
      </c>
      <c r="T83" s="67" t="str">
        <f>IF(B83="","",VLOOKUP(AD83,#REF!,11,0))</f>
        <v/>
      </c>
      <c r="U83" s="67" t="str">
        <f>IF(B83="","",VLOOKUP(AD83,#REF!,12,0))</f>
        <v/>
      </c>
      <c r="V83" s="67" t="str">
        <f>IF(B83="","",VLOOKUP(AD83,#REF!,13,0))</f>
        <v/>
      </c>
      <c r="W83" s="67" t="str">
        <f>IF(B83="","",VLOOKUP(AD83,#REF!,14,0))</f>
        <v/>
      </c>
      <c r="X83" s="69"/>
      <c r="Y83" s="69"/>
      <c r="Z83" s="67"/>
      <c r="AA83" s="67" t="str">
        <f>IF(B83="","",VLOOKUP(AD83,#REF!,15,0))</f>
        <v/>
      </c>
      <c r="AB83" s="67" t="str">
        <f>IF(B83="","",VLOOKUP(AD83,#REF!,16,0))</f>
        <v/>
      </c>
    </row>
    <row r="84" spans="1:28" x14ac:dyDescent="0.25">
      <c r="A84" s="8" t="s">
        <v>135</v>
      </c>
      <c r="B84" s="67"/>
      <c r="C84" s="42" t="str">
        <f>IF(B84="","",VLOOKUP(AD84,#REF!,3,0))</f>
        <v/>
      </c>
      <c r="D84" s="42"/>
      <c r="E84" s="42"/>
      <c r="F84" s="67"/>
      <c r="G84" s="67"/>
      <c r="H84" s="67" t="str">
        <f>IF(B84="","",VLOOKUP(AD84,#REF!,5,0))</f>
        <v/>
      </c>
      <c r="I84" s="67" t="str">
        <f>IF(B84="","",VLOOKUP(AD84,#REF!,19,0))</f>
        <v/>
      </c>
      <c r="J84" s="67" t="str">
        <f>IF(B84="","",VLOOKUP(AD84,#REF!,6,0))</f>
        <v/>
      </c>
      <c r="K84" s="67"/>
      <c r="L84" s="67"/>
      <c r="M84" s="67" t="str">
        <f>IFERROR(IF(B84="","",K84/VLOOKUP(AD84,#REF!,17,0)),"")</f>
        <v/>
      </c>
      <c r="N84" s="67"/>
      <c r="O84" s="67"/>
      <c r="P84" s="67" t="str">
        <f>IF(B84="","",VLOOKUP(AD84,#REF!,7,0)*K84)</f>
        <v/>
      </c>
      <c r="Q84" s="67" t="str">
        <f>IF(B84="","",VLOOKUP(AD84,#REF!,8,0))</f>
        <v/>
      </c>
      <c r="R84" s="67" t="str">
        <f>IF(B84="","",VLOOKUP(AD84,#REF!,9,0))</f>
        <v/>
      </c>
      <c r="S84" s="67" t="str">
        <f>IF(B84="","",VLOOKUP(AD84,#REF!,10,0))</f>
        <v/>
      </c>
      <c r="T84" s="67" t="str">
        <f>IF(B84="","",VLOOKUP(AD84,#REF!,11,0))</f>
        <v/>
      </c>
      <c r="U84" s="67" t="str">
        <f>IF(B84="","",VLOOKUP(AD84,#REF!,12,0))</f>
        <v/>
      </c>
      <c r="V84" s="67" t="str">
        <f>IF(B84="","",VLOOKUP(AD84,#REF!,13,0))</f>
        <v/>
      </c>
      <c r="W84" s="67" t="str">
        <f>IF(B84="","",VLOOKUP(AD84,#REF!,14,0))</f>
        <v/>
      </c>
      <c r="X84" s="69"/>
      <c r="Y84" s="69"/>
      <c r="Z84" s="67"/>
      <c r="AA84" s="67" t="str">
        <f>IF(B84="","",VLOOKUP(AD84,#REF!,15,0))</f>
        <v/>
      </c>
      <c r="AB84" s="67" t="str">
        <f>IF(B84="","",VLOOKUP(AD84,#REF!,16,0))</f>
        <v/>
      </c>
    </row>
  </sheetData>
  <mergeCells count="5">
    <mergeCell ref="A1:AC1"/>
    <mergeCell ref="A2:Z2"/>
    <mergeCell ref="AB2:AC2"/>
    <mergeCell ref="A45:AB45"/>
    <mergeCell ref="A64:AB6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42" fitToHeight="2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4"/>
  <sheetViews>
    <sheetView topLeftCell="A10" zoomScale="70" zoomScaleNormal="70" workbookViewId="0">
      <selection activeCell="AG1" sqref="AG1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customWidth="1"/>
    <col min="4" max="4" width="10.85546875" style="141" customWidth="1"/>
    <col min="5" max="5" width="42" style="141" customWidth="1"/>
    <col min="6" max="6" width="14" style="140" customWidth="1"/>
    <col min="7" max="7" width="14.140625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4.57031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46202</v>
      </c>
      <c r="AB2" s="185">
        <v>0.35069444444444442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0" ht="47.25" x14ac:dyDescent="0.25">
      <c r="A4" s="8" t="s">
        <v>26</v>
      </c>
      <c r="B4" s="64" t="s">
        <v>288</v>
      </c>
      <c r="C4" s="3">
        <f>IF(B4="","",VLOOKUP(AD4,Varsayımlar!$B:$Q,3,0))</f>
        <v>8698829380698</v>
      </c>
      <c r="D4" s="3"/>
      <c r="E4" s="64" t="s">
        <v>252</v>
      </c>
      <c r="F4" s="64">
        <v>20201016</v>
      </c>
      <c r="G4" s="3" t="s">
        <v>68</v>
      </c>
      <c r="H4" s="64" t="str">
        <f>IF(B4="","",VLOOKUP(AD4,Varsayımlar!$B:$Q,5,0))</f>
        <v>Tortillas 20cm Sade</v>
      </c>
      <c r="I4" s="64" t="str">
        <f>IF(B4="","",VLOOKUP(AD4,Varsayımlar!B:T,19,0))</f>
        <v>Arka kısma İçerik</v>
      </c>
      <c r="J4" s="64" t="str">
        <f>IF(B4="","",VLOOKUP(AD4,Varsayımlar!$B:$Q,6,0))</f>
        <v>SADE</v>
      </c>
      <c r="K4" s="64">
        <v>300</v>
      </c>
      <c r="L4" s="64"/>
      <c r="M4" s="64">
        <f>IFERROR(IF(B4="","",K4/VLOOKUP(AD4,Varsayımlar!B:R,17,0)),"")</f>
        <v>3</v>
      </c>
      <c r="N4" s="64"/>
      <c r="O4" s="64">
        <v>5</v>
      </c>
      <c r="P4" s="64">
        <f>IF(B4="","",VLOOKUP(AD4,Varsayımlar!$B:$Q,7,0)*K4)</f>
        <v>5400</v>
      </c>
      <c r="Q4" s="64">
        <f>IF(B4="","",VLOOKUP(AD4,Varsayımlar!$B:$Q,8,0))</f>
        <v>20</v>
      </c>
      <c r="R4" s="64" t="str">
        <f>IF(B4="","",VLOOKUP(AD4,Varsayımlar!$B:$Q,9,0))</f>
        <v>Irak Soft</v>
      </c>
      <c r="S4" s="64">
        <f>IF(B4="","",VLOOKUP(AD4,Varsayımlar!$B:$Q,10,0))</f>
        <v>6</v>
      </c>
      <c r="T4" s="64">
        <f>IF(B4="","",VLOOKUP(AD4,Varsayımlar!$B:$Q,11,0))</f>
        <v>18</v>
      </c>
      <c r="U4" s="64">
        <f>IF(B4="","",VLOOKUP(AD4,Varsayımlar!$B:$Q,12,0))</f>
        <v>270</v>
      </c>
      <c r="V4" s="64" t="str">
        <f>IF(B4="","",VLOOKUP(AD4,Varsayımlar!$B:$Q,13,0))</f>
        <v>YURTDIŞI</v>
      </c>
      <c r="W4" s="64">
        <f>IF(B4="","",VLOOKUP(AD4,Varsayımlar!$B:$Q,14,0))</f>
        <v>9</v>
      </c>
      <c r="X4" s="66">
        <v>46202</v>
      </c>
      <c r="Y4" s="66">
        <v>46475</v>
      </c>
      <c r="Z4" s="64">
        <v>26062920</v>
      </c>
      <c r="AA4" s="64" t="str">
        <f>IF(B4="","",VLOOKUP(AD4,Varsayımlar!$B:$Q,15,0))</f>
        <v>20cm Koli</v>
      </c>
      <c r="AB4" s="64" t="str">
        <f>IF(B4="","",VLOOKUP(AD4,Varsayımlar!$B:$Q,16,0))</f>
        <v>19-21cm</v>
      </c>
      <c r="AC4" s="64" t="str">
        <f>IF(B4="","",VLOOKUP(Sayfa1!AD41,Varsayımlar!B:S,18,0))</f>
        <v>80x120cm</v>
      </c>
      <c r="AD4" s="57" t="str">
        <f>IF(B4="","",CONCATENATE(B4,E4))</f>
        <v>UNITERA-KAZAKİSTANTortillas 20cm Sade 6pcs 270g</v>
      </c>
    </row>
    <row r="5" spans="1:30" ht="47.25" x14ac:dyDescent="0.25">
      <c r="A5" s="8" t="s">
        <v>77</v>
      </c>
      <c r="B5" s="64" t="s">
        <v>288</v>
      </c>
      <c r="C5" s="3">
        <f>IF(B5="","",VLOOKUP(AD5,Varsayımlar!$B:$Q,3,0))</f>
        <v>8698829380698</v>
      </c>
      <c r="D5" s="3"/>
      <c r="E5" s="64" t="s">
        <v>289</v>
      </c>
      <c r="F5" s="64">
        <v>20201016</v>
      </c>
      <c r="G5" s="3" t="s">
        <v>68</v>
      </c>
      <c r="H5" s="64" t="str">
        <f>IF(B5="","",VLOOKUP(AD5,Varsayımlar!$B:$Q,5,0))</f>
        <v>Tortillas 25cm Tam Buğday</v>
      </c>
      <c r="I5" s="64" t="str">
        <f>IF(B5="","",VLOOKUP(AD5,Varsayımlar!B:T,19,0))</f>
        <v>Arka kısma İçerik</v>
      </c>
      <c r="J5" s="64" t="str">
        <f>IF(B5="","",VLOOKUP(AD5,Varsayımlar!$B:$Q,6,0))</f>
        <v>Tam Buğdaylı</v>
      </c>
      <c r="K5" s="64">
        <v>250</v>
      </c>
      <c r="L5" s="64"/>
      <c r="M5" s="64">
        <f>IFERROR(IF(B5="","",K5/VLOOKUP(AD5,Varsayımlar!B:R,17,0)),"")</f>
        <v>5</v>
      </c>
      <c r="N5" s="64"/>
      <c r="O5" s="64">
        <v>4</v>
      </c>
      <c r="P5" s="64">
        <f>IF(B5="","",VLOOKUP(AD5,Varsayımlar!$B:$Q,7,0)*K5)</f>
        <v>4500</v>
      </c>
      <c r="Q5" s="64">
        <f>IF(B5="","",VLOOKUP(AD5,Varsayımlar!$B:$Q,8,0))</f>
        <v>25</v>
      </c>
      <c r="R5" s="64" t="str">
        <f>IF(B5="","",VLOOKUP(AD5,Varsayımlar!$B:$Q,9,0))</f>
        <v>Irak Soft</v>
      </c>
      <c r="S5" s="64">
        <f>IF(B5="","",VLOOKUP(AD5,Varsayımlar!$B:$Q,10,0))</f>
        <v>6</v>
      </c>
      <c r="T5" s="64">
        <f>IF(B5="","",VLOOKUP(AD5,Varsayımlar!$B:$Q,11,0))</f>
        <v>18</v>
      </c>
      <c r="U5" s="64">
        <f>IF(B5="","",VLOOKUP(AD5,Varsayımlar!$B:$Q,12,0))</f>
        <v>390</v>
      </c>
      <c r="V5" s="64" t="str">
        <f>IF(B5="","",VLOOKUP(AD5,Varsayımlar!$B:$Q,13,0))</f>
        <v>YURTDIŞI</v>
      </c>
      <c r="W5" s="64">
        <f>IF(B5="","",VLOOKUP(AD5,Varsayımlar!$B:$Q,14,0))</f>
        <v>9</v>
      </c>
      <c r="X5" s="66">
        <v>46202</v>
      </c>
      <c r="Y5" s="66">
        <v>46475</v>
      </c>
      <c r="Z5" s="64" t="s">
        <v>378</v>
      </c>
      <c r="AA5" s="64" t="str">
        <f>IF(B5="","",VLOOKUP(AD5,Varsayımlar!$B:$Q,15,0))</f>
        <v>25cm Koli-Kazakça Etiketli</v>
      </c>
      <c r="AB5" s="64" t="str">
        <f>IF(B5="","",VLOOKUP(AD5,Varsayımlar!$B:$Q,16,0))</f>
        <v>24-26 cm</v>
      </c>
      <c r="AC5" s="64" t="str">
        <f>IF(B5="","",VLOOKUP(Sayfa1!AD40,Varsayımlar!B:S,18,0))</f>
        <v>80x120cm</v>
      </c>
      <c r="AD5" s="57" t="str">
        <f t="shared" ref="AD5:AD23" si="0">IF(B5="","",CONCATENATE(B5,E5))</f>
        <v>UNITERA-KAZAKİSTANTortillas 25cm Tam Buğday 6pcs 390g</v>
      </c>
    </row>
    <row r="6" spans="1:30" ht="31.5" x14ac:dyDescent="0.25">
      <c r="A6" s="8" t="s">
        <v>78</v>
      </c>
      <c r="B6" s="80" t="s">
        <v>218</v>
      </c>
      <c r="C6" s="44">
        <f>IF(B6="","",VLOOKUP(AD6,Varsayımlar!$B:$Q,3,0))</f>
        <v>8698829380698</v>
      </c>
      <c r="D6" s="44" t="s">
        <v>160</v>
      </c>
      <c r="E6" s="80" t="s">
        <v>229</v>
      </c>
      <c r="F6" s="80">
        <v>26042907</v>
      </c>
      <c r="G6" s="44"/>
      <c r="H6" s="80" t="str">
        <f>IF(B6="","",VLOOKUP(AD6,Varsayımlar!$B:$Q,5,0))</f>
        <v>Tortillas Avrupa 25cm Tam Buğday (711)</v>
      </c>
      <c r="I6" s="80">
        <f>IF(B6="","",VLOOKUP(AD6,Varsayımlar!B:T,19,0))</f>
        <v>0</v>
      </c>
      <c r="J6" s="80" t="str">
        <f>IF(B6="","",VLOOKUP(AD6,Varsayımlar!$B:$Q,6,0))</f>
        <v>Tam Buğdaylı</v>
      </c>
      <c r="K6" s="80">
        <v>840</v>
      </c>
      <c r="L6" s="80"/>
      <c r="M6" s="80">
        <f>IFERROR(IF(B6="","",K6/VLOOKUP(AD6,Varsayımlar!B:R,17,0)),"")</f>
        <v>7</v>
      </c>
      <c r="N6" s="80"/>
      <c r="O6" s="80">
        <v>9</v>
      </c>
      <c r="P6" s="80">
        <f>IF(B6="","",VLOOKUP(AD6,Varsayımlar!$B:$Q,7,0)*K6)</f>
        <v>6720</v>
      </c>
      <c r="Q6" s="80">
        <f>IF(B6="","",VLOOKUP(AD6,Varsayımlar!$B:$Q,8,0))</f>
        <v>25</v>
      </c>
      <c r="R6" s="80" t="str">
        <f>IF(B6="","",VLOOKUP(AD6,Varsayımlar!$B:$Q,9,0))</f>
        <v>Irak Soft</v>
      </c>
      <c r="S6" s="80">
        <f>IF(B6="","",VLOOKUP(AD6,Varsayımlar!$B:$Q,10,0))</f>
        <v>10</v>
      </c>
      <c r="T6" s="80">
        <f>IF(B6="","",VLOOKUP(AD6,Varsayımlar!$B:$Q,11,0))</f>
        <v>8</v>
      </c>
      <c r="U6" s="80">
        <f>IF(B6="","",VLOOKUP(AD6,Varsayımlar!$B:$Q,12,0))</f>
        <v>650</v>
      </c>
      <c r="V6" s="80" t="str">
        <f>IF(B6="","",VLOOKUP(AD6,Varsayımlar!$B:$Q,13,0))</f>
        <v>Yurtdışı</v>
      </c>
      <c r="W6" s="80">
        <f>IF(B6="","",VLOOKUP(AD6,Varsayımlar!$B:$Q,14,0))</f>
        <v>9</v>
      </c>
      <c r="X6" s="81">
        <v>46203</v>
      </c>
      <c r="Y6" s="81">
        <v>46476</v>
      </c>
      <c r="Z6" s="80" t="s">
        <v>379</v>
      </c>
      <c r="AA6" s="80" t="str">
        <f>IF(B6="","",VLOOKUP(AD6,Varsayımlar!$B:$Q,15,0))</f>
        <v>25cm Perforeli-Bulgarca TB etiket</v>
      </c>
      <c r="AB6" s="80" t="str">
        <f>IF(B6="","",VLOOKUP(AD6,Varsayımlar!$B:$Q,16,0))</f>
        <v>24-26 cm</v>
      </c>
      <c r="AC6" s="80" t="str">
        <f>IF(B6="","",VLOOKUP(Sayfa1!AD57,Varsayımlar!B:S,18,0))</f>
        <v>80x120cm -Epal+Epal</v>
      </c>
      <c r="AD6" s="57" t="str">
        <f>IF(B6="","",CONCATENATE(B6,E6))</f>
        <v>TASTE LAND-BULGARİSTANTortillas 25cm Tam Buğday 10pcs 650g</v>
      </c>
    </row>
    <row r="7" spans="1:30" ht="47.25" x14ac:dyDescent="0.25">
      <c r="A7" s="8" t="s">
        <v>79</v>
      </c>
      <c r="B7" s="80" t="s">
        <v>218</v>
      </c>
      <c r="C7" s="44">
        <f>IF(B7="","",VLOOKUP(AD7,Varsayımlar!$B:$Q,3,0))</f>
        <v>8698829380698</v>
      </c>
      <c r="D7" s="44" t="s">
        <v>160</v>
      </c>
      <c r="E7" s="80" t="s">
        <v>232</v>
      </c>
      <c r="F7" s="80">
        <v>26042907</v>
      </c>
      <c r="G7" s="44"/>
      <c r="H7" s="80" t="str">
        <f>IF(B7="","",VLOOKUP(AD7,Varsayımlar!$B:$Q,5,0))</f>
        <v>Tortillas Avrupa 25cm Domatesli (074)</v>
      </c>
      <c r="I7" s="80">
        <f>IF(B7="","",VLOOKUP(AD7,Varsayımlar!B:T,19,0))</f>
        <v>0</v>
      </c>
      <c r="J7" s="80" t="str">
        <f>IF(B7="","",VLOOKUP(AD7,Varsayımlar!$B:$Q,6,0))</f>
        <v>Domatesli</v>
      </c>
      <c r="K7" s="80">
        <v>480</v>
      </c>
      <c r="L7" s="80" t="s">
        <v>533</v>
      </c>
      <c r="M7" s="80">
        <f>IFERROR(IF(B7="","",K7/VLOOKUP(AD7,Varsayımlar!B:R,17,0)),"")</f>
        <v>4</v>
      </c>
      <c r="N7" s="80"/>
      <c r="O7" s="80">
        <v>5</v>
      </c>
      <c r="P7" s="80">
        <f>IF(B7="","",VLOOKUP(AD7,Varsayımlar!$B:$Q,7,0)*K7)</f>
        <v>5760</v>
      </c>
      <c r="Q7" s="80">
        <f>IF(B7="","",VLOOKUP(AD7,Varsayımlar!$B:$Q,8,0))</f>
        <v>25</v>
      </c>
      <c r="R7" s="80" t="str">
        <f>IF(B7="","",VLOOKUP(AD7,Varsayımlar!$B:$Q,9,0))</f>
        <v>Irak Soft</v>
      </c>
      <c r="S7" s="80">
        <f>IF(B7="","",VLOOKUP(AD7,Varsayımlar!$B:$Q,10,0))</f>
        <v>6</v>
      </c>
      <c r="T7" s="80">
        <f>IF(B7="","",VLOOKUP(AD7,Varsayımlar!$B:$Q,11,0))</f>
        <v>12</v>
      </c>
      <c r="U7" s="80">
        <f>IF(B7="","",VLOOKUP(AD7,Varsayımlar!$B:$Q,12,0))</f>
        <v>390</v>
      </c>
      <c r="V7" s="80" t="str">
        <f>IF(B7="","",VLOOKUP(AD7,Varsayımlar!$B:$Q,13,0))</f>
        <v>Yurtdışı</v>
      </c>
      <c r="W7" s="80">
        <f>IF(B7="","",VLOOKUP(AD7,Varsayımlar!$B:$Q,14,0))</f>
        <v>9</v>
      </c>
      <c r="X7" s="81">
        <v>46203</v>
      </c>
      <c r="Y7" s="81">
        <v>46476</v>
      </c>
      <c r="Z7" s="80" t="s">
        <v>380</v>
      </c>
      <c r="AA7" s="80" t="str">
        <f>IF(B7="","",VLOOKUP(AD7,Varsayımlar!$B:$Q,15,0))</f>
        <v>25cm Perforeli-Bulgarca Domatesli etiket</v>
      </c>
      <c r="AB7" s="80" t="str">
        <f>IF(B7="","",VLOOKUP(AD7,Varsayımlar!$B:$Q,16,0))</f>
        <v>24-26 cm</v>
      </c>
      <c r="AC7" s="80" t="str">
        <f>IF(B7="","",VLOOKUP(Sayfa1!AD58,Varsayımlar!B:S,18,0))</f>
        <v>80x120cm -Epal+Epal</v>
      </c>
      <c r="AD7" s="57" t="str">
        <f t="shared" si="0"/>
        <v>TASTE LAND-BULGARİSTANTortillas 25cm Domatesli 6pcs 390g</v>
      </c>
    </row>
    <row r="8" spans="1:30" ht="47.25" x14ac:dyDescent="0.25">
      <c r="A8" s="8" t="s">
        <v>80</v>
      </c>
      <c r="B8" s="80" t="s">
        <v>218</v>
      </c>
      <c r="C8" s="44">
        <f>IF(B8="","",VLOOKUP(AD8,Varsayımlar!$B:$Q,3,0))</f>
        <v>8698829380698</v>
      </c>
      <c r="D8" s="44" t="s">
        <v>160</v>
      </c>
      <c r="E8" s="80" t="s">
        <v>235</v>
      </c>
      <c r="F8" s="80">
        <v>26042907</v>
      </c>
      <c r="G8" s="44"/>
      <c r="H8" s="80" t="str">
        <f>IF(B8="","",VLOOKUP(AD8,Varsayımlar!$B:$Q,5,0))</f>
        <v>Tortillas Avrupa 25cm Ispanaklı (081)</v>
      </c>
      <c r="I8" s="80">
        <f>IF(B8="","",VLOOKUP(AD8,Varsayımlar!B:T,19,0))</f>
        <v>0</v>
      </c>
      <c r="J8" s="80" t="str">
        <f>IF(B8="","",VLOOKUP(AD8,Varsayımlar!$B:$Q,6,0))</f>
        <v>Ispanaklı</v>
      </c>
      <c r="K8" s="80">
        <v>480</v>
      </c>
      <c r="L8" s="80" t="s">
        <v>528</v>
      </c>
      <c r="M8" s="80">
        <f>IFERROR(IF(B8="","",K8/VLOOKUP(AD8,Varsayımlar!B:R,17,0)),"")</f>
        <v>4</v>
      </c>
      <c r="N8" s="80"/>
      <c r="O8" s="80">
        <v>5</v>
      </c>
      <c r="P8" s="80">
        <f>IF(B8="","",VLOOKUP(AD8,Varsayımlar!$B:$Q,7,0)*K8)</f>
        <v>5760</v>
      </c>
      <c r="Q8" s="80">
        <f>IF(B8="","",VLOOKUP(AD8,Varsayımlar!$B:$Q,8,0))</f>
        <v>25</v>
      </c>
      <c r="R8" s="80" t="str">
        <f>IF(B8="","",VLOOKUP(AD8,Varsayımlar!$B:$Q,9,0))</f>
        <v>Irak Soft</v>
      </c>
      <c r="S8" s="80">
        <f>IF(B8="","",VLOOKUP(AD8,Varsayımlar!$B:$Q,10,0))</f>
        <v>6</v>
      </c>
      <c r="T8" s="80">
        <f>IF(B8="","",VLOOKUP(AD8,Varsayımlar!$B:$Q,11,0))</f>
        <v>12</v>
      </c>
      <c r="U8" s="80">
        <f>IF(B8="","",VLOOKUP(AD8,Varsayımlar!$B:$Q,12,0))</f>
        <v>390</v>
      </c>
      <c r="V8" s="80" t="str">
        <f>IF(B8="","",VLOOKUP(AD8,Varsayımlar!$B:$Q,13,0))</f>
        <v>Yurtdışı</v>
      </c>
      <c r="W8" s="80">
        <f>IF(B8="","",VLOOKUP(AD8,Varsayımlar!$B:$Q,14,0))</f>
        <v>9</v>
      </c>
      <c r="X8" s="81">
        <v>46203</v>
      </c>
      <c r="Y8" s="81">
        <v>46476</v>
      </c>
      <c r="Z8" s="80" t="s">
        <v>381</v>
      </c>
      <c r="AA8" s="80" t="str">
        <f>IF(B8="","",VLOOKUP(AD8,Varsayımlar!$B:$Q,15,0))</f>
        <v>25cm Perforeli-Bulgarca Ispanaklı etiket</v>
      </c>
      <c r="AB8" s="80" t="str">
        <f>IF(B8="","",VLOOKUP(AD8,Varsayımlar!$B:$Q,16,0))</f>
        <v>24-26 cm</v>
      </c>
      <c r="AC8" s="80" t="str">
        <f>IF(B8="","",VLOOKUP(Sayfa1!AD59,Varsayımlar!B:S,18,0))</f>
        <v>80x120cm -Epal+Epal</v>
      </c>
      <c r="AD8" s="57" t="str">
        <f t="shared" si="0"/>
        <v>TASTE LAND-BULGARİSTANTortillas 25cm Ispanaklı 6pcs 390g</v>
      </c>
    </row>
    <row r="9" spans="1:30" ht="47.25" x14ac:dyDescent="0.25">
      <c r="A9" s="8" t="s">
        <v>81</v>
      </c>
      <c r="B9" s="80" t="s">
        <v>218</v>
      </c>
      <c r="C9" s="44">
        <f>IF(B9="","",VLOOKUP(AD9,Varsayımlar!$B:$Q,3,0))</f>
        <v>8698829380698</v>
      </c>
      <c r="D9" s="44" t="s">
        <v>160</v>
      </c>
      <c r="E9" s="80" t="s">
        <v>240</v>
      </c>
      <c r="F9" s="80">
        <v>26042907</v>
      </c>
      <c r="G9" s="44"/>
      <c r="H9" s="80" t="str">
        <f>IF(B9="","",VLOOKUP(AD9,Varsayımlar!$B:$Q,5,0))</f>
        <v>Tortillas Avrupa 25cm Peynirli (098)</v>
      </c>
      <c r="I9" s="80">
        <f>IF(B9="","",VLOOKUP(AD9,Varsayımlar!B:T,19,0))</f>
        <v>0</v>
      </c>
      <c r="J9" s="80" t="str">
        <f>IF(B9="","",VLOOKUP(AD9,Varsayımlar!$B:$Q,6,0))</f>
        <v>Peynirli</v>
      </c>
      <c r="K9" s="80">
        <v>360</v>
      </c>
      <c r="L9" s="80" t="s">
        <v>528</v>
      </c>
      <c r="M9" s="80">
        <f>IFERROR(IF(B9="","",K9/VLOOKUP(AD9,Varsayımlar!B:R,17,0)),"")</f>
        <v>3</v>
      </c>
      <c r="N9" s="80"/>
      <c r="O9" s="80">
        <v>4</v>
      </c>
      <c r="P9" s="80">
        <f>IF(B9="","",VLOOKUP(AD9,Varsayımlar!$B:$Q,7,0)*K9)</f>
        <v>4320</v>
      </c>
      <c r="Q9" s="80">
        <f>IF(B9="","",VLOOKUP(AD9,Varsayımlar!$B:$Q,8,0))</f>
        <v>25</v>
      </c>
      <c r="R9" s="80" t="str">
        <f>IF(B9="","",VLOOKUP(AD9,Varsayımlar!$B:$Q,9,0))</f>
        <v>Irak Soft-AT</v>
      </c>
      <c r="S9" s="80">
        <f>IF(B9="","",VLOOKUP(AD9,Varsayımlar!$B:$Q,10,0))</f>
        <v>6</v>
      </c>
      <c r="T9" s="80">
        <f>IF(B9="","",VLOOKUP(AD9,Varsayımlar!$B:$Q,11,0))</f>
        <v>12</v>
      </c>
      <c r="U9" s="80">
        <f>IF(B9="","",VLOOKUP(AD9,Varsayımlar!$B:$Q,12,0))</f>
        <v>390</v>
      </c>
      <c r="V9" s="80" t="str">
        <f>IF(B9="","",VLOOKUP(AD9,Varsayımlar!$B:$Q,13,0))</f>
        <v>Yurtdışı</v>
      </c>
      <c r="W9" s="80">
        <f>IF(B9="","",VLOOKUP(AD9,Varsayımlar!$B:$Q,14,0))</f>
        <v>9</v>
      </c>
      <c r="X9" s="81">
        <v>46203</v>
      </c>
      <c r="Y9" s="81">
        <v>46476</v>
      </c>
      <c r="Z9" s="80" t="s">
        <v>382</v>
      </c>
      <c r="AA9" s="80" t="str">
        <f>IF(B9="","",VLOOKUP(AD9,Varsayımlar!$B:$Q,15,0))</f>
        <v>25cm Perforeli-Bulgarca Peynirli etiket</v>
      </c>
      <c r="AB9" s="80" t="str">
        <f>IF(B9="","",VLOOKUP(AD9,Varsayımlar!$B:$Q,16,0))</f>
        <v>24-26 cm</v>
      </c>
      <c r="AC9" s="80" t="str">
        <f>IF(B9="","",VLOOKUP(Sayfa1!AD60,Varsayımlar!B:S,18,0))</f>
        <v>80x120cm -Epal+Epal</v>
      </c>
      <c r="AD9" s="57" t="str">
        <f t="shared" si="0"/>
        <v>TASTE LAND-BULGARİSTANTortillas 25cm Peynirli 6pcs 390g</v>
      </c>
    </row>
    <row r="10" spans="1:30" ht="45.75" customHeight="1" x14ac:dyDescent="0.25">
      <c r="A10" s="8" t="s">
        <v>82</v>
      </c>
      <c r="B10" s="130" t="s">
        <v>119</v>
      </c>
      <c r="C10" s="131">
        <f>IF(B10="","",VLOOKUP(AD10,Varsayımlar!$B:$Q,3,0))</f>
        <v>8698829380698</v>
      </c>
      <c r="D10" s="131"/>
      <c r="E10" s="132" t="s">
        <v>120</v>
      </c>
      <c r="F10" s="130"/>
      <c r="G10" s="130"/>
      <c r="H10" s="130" t="str">
        <f>IF(B10="","",VLOOKUP(AD10,Varsayımlar!$B:$Q,5,0))</f>
        <v>Nimet 25 cm</v>
      </c>
      <c r="I10" s="130"/>
      <c r="J10" s="130" t="str">
        <f>IF(B10="","",VLOOKUP(AD10,Varsayımlar!$B:$Q,6,0))</f>
        <v>SADE</v>
      </c>
      <c r="K10" s="130" t="s">
        <v>558</v>
      </c>
      <c r="L10" s="130"/>
      <c r="M10" s="130" t="str">
        <f>IFERROR(IF(B10="","",K10/VLOOKUP(AD10,Varsayımlar!B:R,17,0)),"")</f>
        <v/>
      </c>
      <c r="N10" s="130"/>
      <c r="O10" s="130">
        <v>24</v>
      </c>
      <c r="P10" s="130" t="e">
        <f>IF(B10="","",VLOOKUP(AD10,Varsayımlar!$B:$Q,7,0)*K10)</f>
        <v>#VALUE!</v>
      </c>
      <c r="Q10" s="130">
        <f>IF(B10="","",VLOOKUP(AD10,Varsayımlar!$B:$Q,8,0))</f>
        <v>25</v>
      </c>
      <c r="R10" s="130" t="str">
        <f>IF(B10="","",VLOOKUP(AD10,Varsayımlar!$B:$Q,9,0))</f>
        <v>Standart</v>
      </c>
      <c r="S10" s="130">
        <f>IF(B10="","",VLOOKUP(AD10,Varsayımlar!$B:$Q,10,0))</f>
        <v>12</v>
      </c>
      <c r="T10" s="130">
        <f>IF(B10="","",VLOOKUP(AD10,Varsayımlar!$B:$Q,11,0))</f>
        <v>12</v>
      </c>
      <c r="U10" s="130">
        <f>IF(B10="","",VLOOKUP(AD10,Varsayımlar!$B:$Q,12,0))</f>
        <v>840</v>
      </c>
      <c r="V10" s="130" t="str">
        <f>IF(B10="","",VLOOKUP(AD10,Varsayımlar!$B:$Q,13,0))</f>
        <v>YURTİÇİ</v>
      </c>
      <c r="W10" s="130">
        <f>IF(B10="","",VLOOKUP(AD10,Varsayımlar!$B:$Q,14,0))</f>
        <v>5</v>
      </c>
      <c r="X10" s="133" t="s">
        <v>113</v>
      </c>
      <c r="Y10" s="133" t="s">
        <v>113</v>
      </c>
      <c r="Z10" s="130" t="s">
        <v>113</v>
      </c>
      <c r="AA10" s="130" t="str">
        <f>IF(B10="","",VLOOKUP(AD10,Varsayımlar!$B:$Q,15,0))</f>
        <v>Nimet Kolisi</v>
      </c>
      <c r="AB10" s="130" t="str">
        <f>IF(B10="","",VLOOKUP(AD10,Varsayımlar!$B:$Q,16,0))</f>
        <v>24-26 CM</v>
      </c>
      <c r="AC10" s="64" t="s">
        <v>360</v>
      </c>
      <c r="AD10" s="57" t="str">
        <f>IF(B10="","",CONCATENATE(B10,E10))</f>
        <v>A101Nimet 25cm 12 pcs 840g</v>
      </c>
    </row>
    <row r="11" spans="1:30" ht="47.25" x14ac:dyDescent="0.25">
      <c r="A11" s="8" t="s">
        <v>83</v>
      </c>
      <c r="B11" s="54" t="s">
        <v>268</v>
      </c>
      <c r="C11" s="39">
        <f>IF(B11="","",VLOOKUP(AD11,Varsayımlar!$B:$Q,3,0))</f>
        <v>8698829380698</v>
      </c>
      <c r="D11" s="39" t="s">
        <v>160</v>
      </c>
      <c r="E11" s="54" t="s">
        <v>269</v>
      </c>
      <c r="F11" s="54" t="s">
        <v>343</v>
      </c>
      <c r="G11" s="39" t="s">
        <v>68</v>
      </c>
      <c r="H11" s="54" t="str">
        <f>IF(B11="","",VLOOKUP(AD11,Varsayımlar!$B:$Q,5,0))</f>
        <v>Tortillas 25cm Tam Buğday</v>
      </c>
      <c r="I11" s="54">
        <f>IF(B11="","",VLOOKUP(AD11,Varsayımlar!B:T,19,0))</f>
        <v>0</v>
      </c>
      <c r="J11" s="54" t="str">
        <f>IF(B11="","",VLOOKUP(AD11,Varsayımlar!$B:$Q,6,0))</f>
        <v>Tam Buğdaylı</v>
      </c>
      <c r="K11" s="54">
        <v>336</v>
      </c>
      <c r="L11" s="54"/>
      <c r="M11" s="54">
        <f>IFERROR(IF(B11="","",K11/VLOOKUP(AD11,Varsayımlar!B:R,17,0)),"")</f>
        <v>4</v>
      </c>
      <c r="N11" s="54"/>
      <c r="O11" s="54">
        <v>6</v>
      </c>
      <c r="P11" s="54">
        <f>IF(B11="","",VLOOKUP(AD11,Varsayımlar!$B:$Q,7,0)*K11)</f>
        <v>10080</v>
      </c>
      <c r="Q11" s="54">
        <f>IF(B11="","",VLOOKUP(AD11,Varsayımlar!$B:$Q,8,0))</f>
        <v>25</v>
      </c>
      <c r="R11" s="54" t="str">
        <f>IF(B11="","",VLOOKUP(AD11,Varsayımlar!$B:$Q,9,0))</f>
        <v>Soft-PA3</v>
      </c>
      <c r="S11" s="54">
        <f>IF(B11="","",VLOOKUP(AD11,Varsayımlar!$B:$Q,10,0))</f>
        <v>4</v>
      </c>
      <c r="T11" s="54">
        <f>IF(B11="","",VLOOKUP(AD11,Varsayımlar!$B:$Q,11,0))</f>
        <v>30</v>
      </c>
      <c r="U11" s="54">
        <f>IF(B11="","",VLOOKUP(AD11,Varsayımlar!$B:$Q,12,0))</f>
        <v>240</v>
      </c>
      <c r="V11" s="54" t="str">
        <f>IF(B11="","",VLOOKUP(AD11,Varsayımlar!$B:$Q,13,0))</f>
        <v>Yurtdışı</v>
      </c>
      <c r="W11" s="54">
        <f>IF(B11="","",VLOOKUP(AD11,Varsayımlar!$B:$Q,14,0))</f>
        <v>12</v>
      </c>
      <c r="X11" s="56">
        <v>46205</v>
      </c>
      <c r="Y11" s="56">
        <v>46570</v>
      </c>
      <c r="Z11" s="54" t="s">
        <v>383</v>
      </c>
      <c r="AA11" s="54" t="str">
        <f>IF(B11="","",VLOOKUP(AD11,Varsayımlar!$B:$Q,15,0))</f>
        <v>25cm Kolisi-Etiketli</v>
      </c>
      <c r="AB11" s="54" t="str">
        <f>IF(B11="","",VLOOKUP(AD11,Varsayımlar!$B:$Q,16,0))</f>
        <v>24-26 cm (Macca Hetto Inkjet Uzun Tarih)</v>
      </c>
      <c r="AC11" s="54" t="str">
        <f>IF(B11="","",VLOOKUP(Sayfa1!AD36,Varsayımlar!B:S,18,0))</f>
        <v>80x120cm</v>
      </c>
      <c r="AD11" s="57" t="str">
        <f t="shared" si="0"/>
        <v>LAIKYUZHN-BELARUSTortillas 25cm Tam buğday 4pcs 240g</v>
      </c>
    </row>
    <row r="12" spans="1:30" ht="47.25" x14ac:dyDescent="0.25">
      <c r="A12" s="8" t="s">
        <v>84</v>
      </c>
      <c r="B12" s="54" t="s">
        <v>268</v>
      </c>
      <c r="C12" s="39">
        <f>IF(B12="","",VLOOKUP(AD12,Varsayımlar!$B:$Q,3,0))</f>
        <v>8698829380698</v>
      </c>
      <c r="D12" s="39" t="s">
        <v>160</v>
      </c>
      <c r="E12" s="54" t="s">
        <v>274</v>
      </c>
      <c r="F12" s="54" t="s">
        <v>343</v>
      </c>
      <c r="G12" s="39" t="s">
        <v>68</v>
      </c>
      <c r="H12" s="54" t="str">
        <f>IF(B12="","",VLOOKUP(AD12,Varsayımlar!$B:$Q,5,0))</f>
        <v>Tortillas 25cm Domatesli</v>
      </c>
      <c r="I12" s="54">
        <f>IF(B12="","",VLOOKUP(AD12,Varsayımlar!B:T,19,0))</f>
        <v>0</v>
      </c>
      <c r="J12" s="54" t="str">
        <f>IF(B12="","",VLOOKUP(AD12,Varsayımlar!$B:$Q,6,0))</f>
        <v>Domatesli</v>
      </c>
      <c r="K12" s="54">
        <v>420</v>
      </c>
      <c r="L12" s="54"/>
      <c r="M12" s="54">
        <f>IFERROR(IF(B12="","",K12/VLOOKUP(AD12,Varsayımlar!B:R,17,0)),"")</f>
        <v>5</v>
      </c>
      <c r="N12" s="54"/>
      <c r="O12" s="54">
        <v>7</v>
      </c>
      <c r="P12" s="54">
        <f>IF(B12="","",VLOOKUP(AD12,Varsayımlar!$B:$Q,7,0)*K12)</f>
        <v>12600</v>
      </c>
      <c r="Q12" s="54">
        <f>IF(B12="","",VLOOKUP(AD12,Varsayımlar!$B:$Q,8,0))</f>
        <v>25</v>
      </c>
      <c r="R12" s="54" t="str">
        <f>IF(B12="","",VLOOKUP(AD12,Varsayımlar!$B:$Q,9,0))</f>
        <v>Soft-PA3</v>
      </c>
      <c r="S12" s="54">
        <f>IF(B12="","",VLOOKUP(AD12,Varsayımlar!$B:$Q,10,0))</f>
        <v>4</v>
      </c>
      <c r="T12" s="54">
        <f>IF(B12="","",VLOOKUP(AD12,Varsayımlar!$B:$Q,11,0))</f>
        <v>30</v>
      </c>
      <c r="U12" s="54">
        <f>IF(B12="","",VLOOKUP(AD12,Varsayımlar!$B:$Q,12,0))</f>
        <v>240</v>
      </c>
      <c r="V12" s="54" t="str">
        <f>IF(B12="","",VLOOKUP(AD12,Varsayımlar!$B:$Q,13,0))</f>
        <v>Yurtdışı</v>
      </c>
      <c r="W12" s="54">
        <f>IF(B12="","",VLOOKUP(AD12,Varsayımlar!$B:$Q,14,0))</f>
        <v>12</v>
      </c>
      <c r="X12" s="56">
        <v>46205</v>
      </c>
      <c r="Y12" s="56">
        <v>46570</v>
      </c>
      <c r="Z12" s="54" t="s">
        <v>384</v>
      </c>
      <c r="AA12" s="54" t="str">
        <f>IF(B12="","",VLOOKUP(AD12,Varsayımlar!$B:$Q,15,0))</f>
        <v>25cm Kolisi-Etiketli</v>
      </c>
      <c r="AB12" s="54" t="str">
        <f>IF(B12="","",VLOOKUP(AD12,Varsayımlar!$B:$Q,16,0))</f>
        <v>24-26 cm (Macca Hetto Inkjet Uzun Tarih)</v>
      </c>
      <c r="AC12" s="54" t="str">
        <f>IF(B12="","",VLOOKUP(Sayfa1!AD37,Varsayımlar!B:S,18,0))</f>
        <v>80x120cm</v>
      </c>
      <c r="AD12" s="57" t="str">
        <f t="shared" si="0"/>
        <v>LAIKYUZHN-BELARUSTortillas 25cm Domatesli 4pcs 240g</v>
      </c>
    </row>
    <row r="13" spans="1:30" ht="47.25" x14ac:dyDescent="0.25">
      <c r="A13" s="8" t="s">
        <v>85</v>
      </c>
      <c r="B13" s="54" t="s">
        <v>268</v>
      </c>
      <c r="C13" s="39">
        <f>IF(B13="","",VLOOKUP(AD13,Varsayımlar!$B:$Q,3,0))</f>
        <v>8698829380698</v>
      </c>
      <c r="D13" s="39" t="s">
        <v>160</v>
      </c>
      <c r="E13" s="54" t="s">
        <v>276</v>
      </c>
      <c r="F13" s="54" t="s">
        <v>343</v>
      </c>
      <c r="G13" s="39" t="s">
        <v>68</v>
      </c>
      <c r="H13" s="54" t="str">
        <f>IF(B13="","",VLOOKUP(AD13,Varsayımlar!$B:$Q,5,0))</f>
        <v>Tortillas 25cm Ispanaklı</v>
      </c>
      <c r="I13" s="54">
        <f>IF(B13="","",VLOOKUP(AD13,Varsayımlar!B:T,19,0))</f>
        <v>0</v>
      </c>
      <c r="J13" s="54" t="str">
        <f>IF(B13="","",VLOOKUP(AD13,Varsayımlar!$B:$Q,6,0))</f>
        <v>Ispanaklı</v>
      </c>
      <c r="K13" s="54">
        <v>336</v>
      </c>
      <c r="L13" s="54"/>
      <c r="M13" s="54">
        <f>IFERROR(IF(B13="","",K13/VLOOKUP(AD13,Varsayımlar!B:R,17,0)),"")</f>
        <v>4</v>
      </c>
      <c r="N13" s="54"/>
      <c r="O13" s="54">
        <v>6</v>
      </c>
      <c r="P13" s="54">
        <f>IF(B13="","",VLOOKUP(AD13,Varsayımlar!$B:$Q,7,0)*K13)</f>
        <v>10080</v>
      </c>
      <c r="Q13" s="54">
        <f>IF(B13="","",VLOOKUP(AD13,Varsayımlar!$B:$Q,8,0))</f>
        <v>25</v>
      </c>
      <c r="R13" s="54" t="str">
        <f>IF(B13="","",VLOOKUP(AD13,Varsayımlar!$B:$Q,9,0))</f>
        <v>Soft-PA3</v>
      </c>
      <c r="S13" s="54">
        <f>IF(B13="","",VLOOKUP(AD13,Varsayımlar!$B:$Q,10,0))</f>
        <v>4</v>
      </c>
      <c r="T13" s="54">
        <f>IF(B13="","",VLOOKUP(AD13,Varsayımlar!$B:$Q,11,0))</f>
        <v>30</v>
      </c>
      <c r="U13" s="54">
        <f>IF(B13="","",VLOOKUP(AD13,Varsayımlar!$B:$Q,12,0))</f>
        <v>240</v>
      </c>
      <c r="V13" s="54" t="str">
        <f>IF(B13="","",VLOOKUP(AD13,Varsayımlar!$B:$Q,13,0))</f>
        <v>Yurtdışı</v>
      </c>
      <c r="W13" s="54">
        <f>IF(B13="","",VLOOKUP(AD13,Varsayımlar!$B:$Q,14,0))</f>
        <v>12</v>
      </c>
      <c r="X13" s="56">
        <v>46205</v>
      </c>
      <c r="Y13" s="56">
        <v>46570</v>
      </c>
      <c r="Z13" s="54" t="s">
        <v>385</v>
      </c>
      <c r="AA13" s="54" t="str">
        <f>IF(B13="","",VLOOKUP(AD13,Varsayımlar!$B:$Q,15,0))</f>
        <v>25cm Kolisi-Etiketli</v>
      </c>
      <c r="AB13" s="54" t="str">
        <f>IF(B13="","",VLOOKUP(AD13,Varsayımlar!$B:$Q,16,0))</f>
        <v>24-26 cm (Macca Hetto Inkjet Uzun Tarih)</v>
      </c>
      <c r="AC13" s="54" t="str">
        <f>IF(B13="","",VLOOKUP(Sayfa1!AD38,Varsayımlar!B:S,18,0))</f>
        <v>80x120cm</v>
      </c>
      <c r="AD13" s="57" t="str">
        <f t="shared" si="0"/>
        <v>LAIKYUZHN-BELARUSTortillas 25cm Ispanaklı 4pcs 240g</v>
      </c>
    </row>
    <row r="14" spans="1:30" ht="47.25" x14ac:dyDescent="0.25">
      <c r="A14" s="8" t="s">
        <v>86</v>
      </c>
      <c r="B14" s="54" t="s">
        <v>268</v>
      </c>
      <c r="C14" s="39">
        <f>IF(B14="","",VLOOKUP(AD14,Varsayımlar!$B:$Q,3,0))</f>
        <v>8698829380698</v>
      </c>
      <c r="D14" s="39" t="s">
        <v>160</v>
      </c>
      <c r="E14" s="54" t="s">
        <v>278</v>
      </c>
      <c r="F14" s="54" t="s">
        <v>343</v>
      </c>
      <c r="G14" s="39" t="s">
        <v>68</v>
      </c>
      <c r="H14" s="54" t="str">
        <f>IF(B14="","",VLOOKUP(AD14,Varsayımlar!$B:$Q,5,0))</f>
        <v>Magnit Tortillas 25cm Peynirli</v>
      </c>
      <c r="I14" s="54" t="str">
        <f>IF(B14="","",VLOOKUP(AD14,Varsayımlar!B:T,19,0))</f>
        <v>Etiketli</v>
      </c>
      <c r="J14" s="54" t="str">
        <f>IF(B14="","",VLOOKUP(AD14,Varsayımlar!$B:$Q,6,0))</f>
        <v>Peynirli</v>
      </c>
      <c r="K14" s="54">
        <v>504</v>
      </c>
      <c r="L14" s="54"/>
      <c r="M14" s="54">
        <f>IFERROR(IF(B14="","",K14/VLOOKUP(AD14,Varsayımlar!B:R,17,0)),"")</f>
        <v>6</v>
      </c>
      <c r="N14" s="54"/>
      <c r="O14" s="54">
        <v>9</v>
      </c>
      <c r="P14" s="54">
        <f>IF(B14="","",VLOOKUP(AD14,Varsayımlar!$B:$Q,7,0)*K14)</f>
        <v>15120</v>
      </c>
      <c r="Q14" s="54">
        <f>IF(B14="","",VLOOKUP(AD14,Varsayımlar!$B:$Q,8,0))</f>
        <v>25</v>
      </c>
      <c r="R14" s="54" t="str">
        <f>IF(B14="","",VLOOKUP(AD14,Varsayımlar!$B:$Q,9,0))</f>
        <v>Soft-PA3-AT</v>
      </c>
      <c r="S14" s="54">
        <f>IF(B14="","",VLOOKUP(AD14,Varsayımlar!$B:$Q,10,0))</f>
        <v>4</v>
      </c>
      <c r="T14" s="54">
        <f>IF(B14="","",VLOOKUP(AD14,Varsayımlar!$B:$Q,11,0))</f>
        <v>30</v>
      </c>
      <c r="U14" s="54">
        <f>IF(B14="","",VLOOKUP(AD14,Varsayımlar!$B:$Q,12,0))</f>
        <v>250</v>
      </c>
      <c r="V14" s="54" t="str">
        <f>IF(B14="","",VLOOKUP(AD14,Varsayımlar!$B:$Q,13,0))</f>
        <v>Yurtdışı</v>
      </c>
      <c r="W14" s="54">
        <f>IF(B14="","",VLOOKUP(AD14,Varsayımlar!$B:$Q,14,0))</f>
        <v>9</v>
      </c>
      <c r="X14" s="56">
        <v>46205</v>
      </c>
      <c r="Y14" s="56">
        <v>46479</v>
      </c>
      <c r="Z14" s="54" t="s">
        <v>386</v>
      </c>
      <c r="AA14" s="54" t="str">
        <f>IF(B14="","",VLOOKUP(AD14,Varsayımlar!$B:$Q,15,0))</f>
        <v>25cm Kolisi-Etiketli</v>
      </c>
      <c r="AB14" s="54" t="str">
        <f>IF(B14="","",VLOOKUP(AD14,Varsayımlar!$B:$Q,16,0))</f>
        <v>24-26 cm (Macca Hetto Inkjet Uzun Tarih)</v>
      </c>
      <c r="AC14" s="54" t="str">
        <f>IF(B14="","",VLOOKUP(Sayfa1!AD39,Varsayımlar!B:S,18,0))</f>
        <v>80x120cm</v>
      </c>
      <c r="AD14" s="57" t="str">
        <f t="shared" si="0"/>
        <v>LAIKYUZHN-BELARUSMagnit Tortillas 25cm Peynirli 4pcs 240g</v>
      </c>
    </row>
    <row r="15" spans="1:30" ht="45.75" customHeight="1" x14ac:dyDescent="0.25">
      <c r="A15" s="8" t="s">
        <v>87</v>
      </c>
      <c r="B15" s="130" t="s">
        <v>119</v>
      </c>
      <c r="C15" s="131">
        <f>IF(B15="","",VLOOKUP(AD15,Varsayımlar!$B:$Q,3,0))</f>
        <v>8698829380698</v>
      </c>
      <c r="D15" s="131"/>
      <c r="E15" s="132" t="s">
        <v>120</v>
      </c>
      <c r="F15" s="130"/>
      <c r="G15" s="130"/>
      <c r="H15" s="130" t="str">
        <f>IF(B15="","",VLOOKUP(AD15,Varsayımlar!$B:$Q,5,0))</f>
        <v>Nimet 25 cm</v>
      </c>
      <c r="I15" s="130"/>
      <c r="J15" s="130" t="str">
        <f>IF(B15="","",VLOOKUP(AD15,Varsayımlar!$B:$Q,6,0))</f>
        <v>SADE</v>
      </c>
      <c r="K15" s="130">
        <v>5000</v>
      </c>
      <c r="L15" s="130"/>
      <c r="M15" s="130">
        <f>IFERROR(IF(B15="","",K15/VLOOKUP(AD15,Varsayımlar!B:R,17,0)),"")</f>
        <v>100</v>
      </c>
      <c r="N15" s="130"/>
      <c r="O15" s="130">
        <v>100</v>
      </c>
      <c r="P15" s="130">
        <f>IF(B15="","",VLOOKUP(AD15,Varsayımlar!$B:$Q,7,0)*K15)</f>
        <v>60000</v>
      </c>
      <c r="Q15" s="130">
        <f>IF(B15="","",VLOOKUP(AD15,Varsayımlar!$B:$Q,8,0))</f>
        <v>25</v>
      </c>
      <c r="R15" s="130" t="str">
        <f>IF(B15="","",VLOOKUP(AD15,Varsayımlar!$B:$Q,9,0))</f>
        <v>Standart</v>
      </c>
      <c r="S15" s="130">
        <f>IF(B15="","",VLOOKUP(AD15,Varsayımlar!$B:$Q,10,0))</f>
        <v>12</v>
      </c>
      <c r="T15" s="130">
        <f>IF(B15="","",VLOOKUP(AD15,Varsayımlar!$B:$Q,11,0))</f>
        <v>12</v>
      </c>
      <c r="U15" s="130">
        <f>IF(B15="","",VLOOKUP(AD15,Varsayımlar!$B:$Q,12,0))</f>
        <v>840</v>
      </c>
      <c r="V15" s="130" t="str">
        <f>IF(B15="","",VLOOKUP(AD15,Varsayımlar!$B:$Q,13,0))</f>
        <v>YURTİÇİ</v>
      </c>
      <c r="W15" s="130">
        <f>IF(B15="","",VLOOKUP(AD15,Varsayımlar!$B:$Q,14,0))</f>
        <v>5</v>
      </c>
      <c r="X15" s="133" t="s">
        <v>113</v>
      </c>
      <c r="Y15" s="133" t="s">
        <v>113</v>
      </c>
      <c r="Z15" s="130" t="s">
        <v>113</v>
      </c>
      <c r="AA15" s="130" t="str">
        <f>IF(B15="","",VLOOKUP(AD15,Varsayımlar!$B:$Q,15,0))</f>
        <v>Nimet Kolisi</v>
      </c>
      <c r="AB15" s="130" t="str">
        <f>IF(B15="","",VLOOKUP(AD15,Varsayımlar!$B:$Q,16,0))</f>
        <v>24-26 CM</v>
      </c>
      <c r="AC15" s="64" t="s">
        <v>360</v>
      </c>
      <c r="AD15" s="57" t="str">
        <f>IF(B15="","",CONCATENATE(B15,E15))</f>
        <v>A101Nimet 25cm 12 pcs 840g</v>
      </c>
    </row>
    <row r="16" spans="1:30" ht="47.25" x14ac:dyDescent="0.25">
      <c r="A16" s="8" t="s">
        <v>88</v>
      </c>
      <c r="B16" s="75" t="s">
        <v>218</v>
      </c>
      <c r="C16" s="43">
        <f>IF(B16="","",VLOOKUP(AD16,Varsayımlar!$B:$Q,3,0))</f>
        <v>8698829380698</v>
      </c>
      <c r="D16" s="43" t="s">
        <v>161</v>
      </c>
      <c r="E16" s="75" t="s">
        <v>252</v>
      </c>
      <c r="F16" s="75" t="s">
        <v>561</v>
      </c>
      <c r="G16" s="43"/>
      <c r="H16" s="75" t="str">
        <f>IF(B16="","",VLOOKUP(AD16,Varsayımlar!$B:$Q,5,0))</f>
        <v xml:space="preserve">Tortillas 20cm Sade </v>
      </c>
      <c r="I16" s="75" t="str">
        <f>IF(B16="","",VLOOKUP(AD16,Varsayımlar!B:T,19,0))</f>
        <v>Barkod üzerine Barkod Etiketi (104)</v>
      </c>
      <c r="J16" s="75" t="str">
        <f>IF(B16="","",VLOOKUP(AD16,Varsayımlar!$B:$Q,6,0))</f>
        <v>SADE</v>
      </c>
      <c r="K16" s="75">
        <v>120</v>
      </c>
      <c r="L16" s="75"/>
      <c r="M16" s="75">
        <f>IFERROR(IF(B16="","",K16/VLOOKUP(AD16,Varsayımlar!B:R,17,0)),"")</f>
        <v>1</v>
      </c>
      <c r="N16" s="75"/>
      <c r="O16" s="75">
        <v>2</v>
      </c>
      <c r="P16" s="75">
        <f>IF(B16="","",VLOOKUP(AD16,Varsayımlar!$B:$Q,7,0)*K16)</f>
        <v>2160</v>
      </c>
      <c r="Q16" s="75">
        <f>IF(B16="","",VLOOKUP(AD16,Varsayımlar!$B:$Q,8,0))</f>
        <v>20</v>
      </c>
      <c r="R16" s="75" t="str">
        <f>IF(B16="","",VLOOKUP(AD16,Varsayımlar!$B:$Q,9,0))</f>
        <v>Irak Soft</v>
      </c>
      <c r="S16" s="75">
        <f>IF(B16="","",VLOOKUP(AD16,Varsayımlar!$B:$Q,10,0))</f>
        <v>6</v>
      </c>
      <c r="T16" s="75">
        <f>IF(B16="","",VLOOKUP(AD16,Varsayımlar!$B:$Q,11,0))</f>
        <v>18</v>
      </c>
      <c r="U16" s="75">
        <f>IF(B16="","",VLOOKUP(AD16,Varsayımlar!$B:$Q,12,0))</f>
        <v>270</v>
      </c>
      <c r="V16" s="75" t="str">
        <f>IF(B16="","",VLOOKUP(AD16,Varsayımlar!$B:$Q,13,0))</f>
        <v>Yurtdışı</v>
      </c>
      <c r="W16" s="75">
        <f>IF(B16="","",VLOOKUP(AD16,Varsayımlar!$B:$Q,14,0))</f>
        <v>9</v>
      </c>
      <c r="X16" s="76">
        <v>46213</v>
      </c>
      <c r="Y16" s="76">
        <v>46487</v>
      </c>
      <c r="Z16" s="75">
        <v>26071020</v>
      </c>
      <c r="AA16" s="75" t="str">
        <f>IF(B16="","",VLOOKUP(AD16,Varsayımlar!$B:$Q,15,0))</f>
        <v>20cm Lacivert-Bulgarca Etiket</v>
      </c>
      <c r="AB16" s="75" t="str">
        <f>IF(B16="","",VLOOKUP(AD16,Varsayımlar!$B:$Q,16,0))</f>
        <v>19-21 cm</v>
      </c>
      <c r="AC16" s="75" t="str">
        <f>IF(B16="","",VLOOKUP(Sayfa1!AD21,Varsayımlar!B:S,18,0))</f>
        <v>100x120cm-Epal+Epal</v>
      </c>
      <c r="AD16" s="57" t="str">
        <f t="shared" si="0"/>
        <v>TASTE LAND-BULGARİSTANTortillas 20cm Sade 6pcs 270g</v>
      </c>
    </row>
    <row r="17" spans="1:31" ht="31.5" x14ac:dyDescent="0.25">
      <c r="A17" s="8" t="s">
        <v>90</v>
      </c>
      <c r="B17" s="75" t="s">
        <v>218</v>
      </c>
      <c r="C17" s="43">
        <f>IF(B17="","",VLOOKUP(AD17,Varsayımlar!$B:$Q,3,0))</f>
        <v>8698829380698</v>
      </c>
      <c r="D17" s="43" t="s">
        <v>161</v>
      </c>
      <c r="E17" s="75" t="s">
        <v>229</v>
      </c>
      <c r="F17" s="75" t="s">
        <v>561</v>
      </c>
      <c r="G17" s="43"/>
      <c r="H17" s="75" t="str">
        <f>IF(B17="","",VLOOKUP(AD17,Varsayımlar!$B:$Q,5,0))</f>
        <v>Tortillas Avrupa 25cm Tam Buğday (711)</v>
      </c>
      <c r="I17" s="75">
        <f>IF(B17="","",VLOOKUP(AD17,Varsayımlar!B:T,19,0))</f>
        <v>0</v>
      </c>
      <c r="J17" s="75" t="str">
        <f>IF(B17="","",VLOOKUP(AD17,Varsayımlar!$B:$Q,6,0))</f>
        <v>Tam Buğdaylı</v>
      </c>
      <c r="K17" s="75">
        <v>600</v>
      </c>
      <c r="L17" s="75"/>
      <c r="M17" s="75">
        <f>IFERROR(IF(B17="","",K17/VLOOKUP(AD17,Varsayımlar!B:R,17,0)),"")</f>
        <v>5</v>
      </c>
      <c r="N17" s="75"/>
      <c r="O17" s="75">
        <v>7</v>
      </c>
      <c r="P17" s="75">
        <f>IF(B17="","",VLOOKUP(AD17,Varsayımlar!$B:$Q,7,0)*K17)</f>
        <v>4800</v>
      </c>
      <c r="Q17" s="75">
        <f>IF(B17="","",VLOOKUP(AD17,Varsayımlar!$B:$Q,8,0))</f>
        <v>25</v>
      </c>
      <c r="R17" s="75" t="str">
        <f>IF(B17="","",VLOOKUP(AD17,Varsayımlar!$B:$Q,9,0))</f>
        <v>Irak Soft</v>
      </c>
      <c r="S17" s="75">
        <f>IF(B17="","",VLOOKUP(AD17,Varsayımlar!$B:$Q,10,0))</f>
        <v>10</v>
      </c>
      <c r="T17" s="75">
        <f>IF(B17="","",VLOOKUP(AD17,Varsayımlar!$B:$Q,11,0))</f>
        <v>8</v>
      </c>
      <c r="U17" s="75">
        <f>IF(B17="","",VLOOKUP(AD17,Varsayımlar!$B:$Q,12,0))</f>
        <v>650</v>
      </c>
      <c r="V17" s="75" t="str">
        <f>IF(B17="","",VLOOKUP(AD17,Varsayımlar!$B:$Q,13,0))</f>
        <v>Yurtdışı</v>
      </c>
      <c r="W17" s="75">
        <f>IF(B17="","",VLOOKUP(AD17,Varsayımlar!$B:$Q,14,0))</f>
        <v>9</v>
      </c>
      <c r="X17" s="76">
        <v>46213</v>
      </c>
      <c r="Y17" s="76">
        <v>46487</v>
      </c>
      <c r="Z17" s="75" t="s">
        <v>442</v>
      </c>
      <c r="AA17" s="75" t="str">
        <f>IF(B17="","",VLOOKUP(AD17,Varsayımlar!$B:$Q,15,0))</f>
        <v>25cm Perforeli-Bulgarca TB etiket</v>
      </c>
      <c r="AB17" s="75" t="str">
        <f>IF(B17="","",VLOOKUP(AD17,Varsayımlar!$B:$Q,16,0))</f>
        <v>24-26 cm</v>
      </c>
      <c r="AC17" s="75" t="str">
        <f>IF(B17="","",VLOOKUP(Sayfa1!AD63,Varsayımlar!B:S,18,0))</f>
        <v>80x120cm -Epal+Epal</v>
      </c>
      <c r="AD17" s="57" t="str">
        <f t="shared" si="0"/>
        <v>TASTE LAND-BULGARİSTANTortillas 25cm Tam Buğday 10pcs 650g</v>
      </c>
    </row>
    <row r="18" spans="1:31" ht="31.5" x14ac:dyDescent="0.25">
      <c r="A18" s="8" t="s">
        <v>93</v>
      </c>
      <c r="B18" s="75" t="s">
        <v>218</v>
      </c>
      <c r="C18" s="43">
        <f>IF(B18="","",VLOOKUP(AD18,Varsayımlar!$B:$Q,3,0))</f>
        <v>8698829380698</v>
      </c>
      <c r="D18" s="43" t="s">
        <v>161</v>
      </c>
      <c r="E18" s="43" t="s">
        <v>560</v>
      </c>
      <c r="F18" s="75" t="s">
        <v>561</v>
      </c>
      <c r="G18" s="43"/>
      <c r="H18" s="75" t="str">
        <f>IF(B18="","",VLOOKUP(AD18,Varsayımlar!$B:$Q,5,0))</f>
        <v>Baskısız 30cm</v>
      </c>
      <c r="I18" s="75" t="str">
        <f>IF(B18="","",VLOOKUP(AD18,Varsayımlar!B:T,19,0))</f>
        <v>Etiketli</v>
      </c>
      <c r="J18" s="75" t="str">
        <f>IF(B18="","",VLOOKUP(AD18,Varsayımlar!$B:$Q,6,0))</f>
        <v>Tam Buğdaylı</v>
      </c>
      <c r="K18" s="75">
        <v>252</v>
      </c>
      <c r="L18" s="75"/>
      <c r="M18" s="75">
        <f>IFERROR(IF(B18="","",K18/VLOOKUP(AD18,Varsayımlar!B:R,17,0)),"")</f>
        <v>3</v>
      </c>
      <c r="N18" s="75"/>
      <c r="O18" s="75">
        <v>4</v>
      </c>
      <c r="P18" s="75">
        <f>IF(B18="","",VLOOKUP(AD18,Varsayımlar!$B:$Q,7,0)*K18)</f>
        <v>1512</v>
      </c>
      <c r="Q18" s="75">
        <f>IF(B18="","",VLOOKUP(AD18,Varsayımlar!$B:$Q,8,0))</f>
        <v>25</v>
      </c>
      <c r="R18" s="75" t="str">
        <f>IF(B18="","",VLOOKUP(AD18,Varsayımlar!$B:$Q,9,0))</f>
        <v>Irak soft</v>
      </c>
      <c r="S18" s="75">
        <f>IF(B18="","",VLOOKUP(AD18,Varsayımlar!$B:$Q,10,0))</f>
        <v>18</v>
      </c>
      <c r="T18" s="75">
        <f>IF(B18="","",VLOOKUP(AD18,Varsayımlar!$B:$Q,11,0))</f>
        <v>6</v>
      </c>
      <c r="U18" s="75">
        <f>IF(B18="","",VLOOKUP(AD18,Varsayımlar!$B:$Q,12,0))</f>
        <v>1170</v>
      </c>
      <c r="V18" s="75" t="str">
        <f>IF(B18="","",VLOOKUP(AD18,Varsayımlar!$B:$Q,13,0))</f>
        <v>YURTDIŞI</v>
      </c>
      <c r="W18" s="75">
        <f>IF(B18="","",VLOOKUP(AD18,Varsayımlar!$B:$Q,14,0))</f>
        <v>9</v>
      </c>
      <c r="X18" s="76">
        <v>46213</v>
      </c>
      <c r="Y18" s="76">
        <v>46487</v>
      </c>
      <c r="Z18" s="75" t="s">
        <v>562</v>
      </c>
      <c r="AA18" s="75" t="str">
        <f>IF(B18="","",VLOOKUP(AD18,Varsayımlar!$B:$Q,15,0))</f>
        <v>25cm Kolisi-Etiketli</v>
      </c>
      <c r="AB18" s="75" t="str">
        <f>IF(B18="","",VLOOKUP(AD18,Varsayımlar!$B:$Q,16,0))</f>
        <v>24-26cm</v>
      </c>
      <c r="AC18" s="75" t="str">
        <f>IF(B18="","",VLOOKUP(Sayfa1!AD64,Varsayımlar!B:S,18,0))</f>
        <v>80x120cm -Epal+Epal</v>
      </c>
      <c r="AD18" s="57" t="str">
        <f t="shared" ref="AD18" si="1">IF(B18="","",CONCATENATE(B18,E18))</f>
        <v>TASTE LAND-BULGARİSTANBaskısız 30cm 18pcs 1170g</v>
      </c>
    </row>
    <row r="19" spans="1:31" ht="47.25" x14ac:dyDescent="0.25">
      <c r="A19" s="8" t="s">
        <v>92</v>
      </c>
      <c r="B19" s="75" t="s">
        <v>218</v>
      </c>
      <c r="C19" s="43">
        <f>IF(B19="","",VLOOKUP(AD19,Varsayımlar!$B:$Q,3,0))</f>
        <v>8698829380698</v>
      </c>
      <c r="D19" s="43" t="s">
        <v>161</v>
      </c>
      <c r="E19" s="75" t="s">
        <v>232</v>
      </c>
      <c r="F19" s="75" t="s">
        <v>561</v>
      </c>
      <c r="G19" s="43"/>
      <c r="H19" s="75" t="str">
        <f>IF(B19="","",VLOOKUP(AD19,Varsayımlar!$B:$Q,5,0))</f>
        <v>Tortillas Avrupa 25cm Domatesli (074)</v>
      </c>
      <c r="I19" s="75">
        <f>IF(B19="","",VLOOKUP(AD19,Varsayımlar!B:T,19,0))</f>
        <v>0</v>
      </c>
      <c r="J19" s="75" t="str">
        <f>IF(B19="","",VLOOKUP(AD19,Varsayımlar!$B:$Q,6,0))</f>
        <v>Domatesli</v>
      </c>
      <c r="K19" s="75">
        <v>600</v>
      </c>
      <c r="L19" s="75"/>
      <c r="M19" s="75">
        <f>IFERROR(IF(B19="","",K19/VLOOKUP(AD19,Varsayımlar!B:R,17,0)),"")</f>
        <v>5</v>
      </c>
      <c r="N19" s="75"/>
      <c r="O19" s="75">
        <v>6</v>
      </c>
      <c r="P19" s="75">
        <f>IF(B19="","",VLOOKUP(AD19,Varsayımlar!$B:$Q,7,0)*K19)</f>
        <v>7200</v>
      </c>
      <c r="Q19" s="75">
        <f>IF(B19="","",VLOOKUP(AD19,Varsayımlar!$B:$Q,8,0))</f>
        <v>25</v>
      </c>
      <c r="R19" s="75" t="str">
        <f>IF(B19="","",VLOOKUP(AD19,Varsayımlar!$B:$Q,9,0))</f>
        <v>Irak Soft</v>
      </c>
      <c r="S19" s="75">
        <f>IF(B19="","",VLOOKUP(AD19,Varsayımlar!$B:$Q,10,0))</f>
        <v>6</v>
      </c>
      <c r="T19" s="75">
        <f>IF(B19="","",VLOOKUP(AD19,Varsayımlar!$B:$Q,11,0))</f>
        <v>12</v>
      </c>
      <c r="U19" s="75">
        <f>IF(B19="","",VLOOKUP(AD19,Varsayımlar!$B:$Q,12,0))</f>
        <v>390</v>
      </c>
      <c r="V19" s="75" t="str">
        <f>IF(B19="","",VLOOKUP(AD19,Varsayımlar!$B:$Q,13,0))</f>
        <v>Yurtdışı</v>
      </c>
      <c r="W19" s="75">
        <f>IF(B19="","",VLOOKUP(AD19,Varsayımlar!$B:$Q,14,0))</f>
        <v>9</v>
      </c>
      <c r="X19" s="76">
        <v>46213</v>
      </c>
      <c r="Y19" s="76">
        <v>46487</v>
      </c>
      <c r="Z19" s="75" t="s">
        <v>443</v>
      </c>
      <c r="AA19" s="75" t="str">
        <f>IF(B19="","",VLOOKUP(AD19,Varsayımlar!$B:$Q,15,0))</f>
        <v>25cm Perforeli-Bulgarca Domatesli etiket</v>
      </c>
      <c r="AB19" s="75" t="str">
        <f>IF(B19="","",VLOOKUP(AD19,Varsayımlar!$B:$Q,16,0))</f>
        <v>24-26 cm</v>
      </c>
      <c r="AC19" s="75" t="str">
        <f>IF(B19="","",VLOOKUP(Sayfa1!AD65,Varsayımlar!B:S,18,0))</f>
        <v>80x120cm -Epal+Epal</v>
      </c>
      <c r="AD19" s="57" t="str">
        <f t="shared" si="0"/>
        <v>TASTE LAND-BULGARİSTANTortillas 25cm Domatesli 6pcs 390g</v>
      </c>
    </row>
    <row r="20" spans="1:31" ht="47.25" x14ac:dyDescent="0.25">
      <c r="A20" s="8" t="s">
        <v>93</v>
      </c>
      <c r="B20" s="75" t="s">
        <v>218</v>
      </c>
      <c r="C20" s="43">
        <f>IF(B20="","",VLOOKUP(AD20,Varsayımlar!$B:$Q,3,0))</f>
        <v>8698829380698</v>
      </c>
      <c r="D20" s="43" t="s">
        <v>161</v>
      </c>
      <c r="E20" s="75" t="s">
        <v>235</v>
      </c>
      <c r="F20" s="75" t="s">
        <v>561</v>
      </c>
      <c r="G20" s="43"/>
      <c r="H20" s="75" t="str">
        <f>IF(B20="","",VLOOKUP(AD20,Varsayımlar!$B:$Q,5,0))</f>
        <v>Tortillas Avrupa 25cm Ispanaklı (081)</v>
      </c>
      <c r="I20" s="75">
        <f>IF(B20="","",VLOOKUP(AD20,Varsayımlar!B:T,19,0))</f>
        <v>0</v>
      </c>
      <c r="J20" s="75" t="str">
        <f>IF(B20="","",VLOOKUP(AD20,Varsayımlar!$B:$Q,6,0))</f>
        <v>Ispanaklı</v>
      </c>
      <c r="K20" s="75">
        <v>600</v>
      </c>
      <c r="L20" s="75"/>
      <c r="M20" s="75">
        <f>IFERROR(IF(B20="","",K20/VLOOKUP(AD20,Varsayımlar!B:R,17,0)),"")</f>
        <v>5</v>
      </c>
      <c r="N20" s="75"/>
      <c r="O20" s="75">
        <v>6</v>
      </c>
      <c r="P20" s="75">
        <f>IF(B20="","",VLOOKUP(AD20,Varsayımlar!$B:$Q,7,0)*K20)</f>
        <v>7200</v>
      </c>
      <c r="Q20" s="75">
        <f>IF(B20="","",VLOOKUP(AD20,Varsayımlar!$B:$Q,8,0))</f>
        <v>25</v>
      </c>
      <c r="R20" s="75" t="str">
        <f>IF(B20="","",VLOOKUP(AD20,Varsayımlar!$B:$Q,9,0))</f>
        <v>Irak Soft</v>
      </c>
      <c r="S20" s="75">
        <f>IF(B20="","",VLOOKUP(AD20,Varsayımlar!$B:$Q,10,0))</f>
        <v>6</v>
      </c>
      <c r="T20" s="75">
        <f>IF(B20="","",VLOOKUP(AD20,Varsayımlar!$B:$Q,11,0))</f>
        <v>12</v>
      </c>
      <c r="U20" s="75">
        <f>IF(B20="","",VLOOKUP(AD20,Varsayımlar!$B:$Q,12,0))</f>
        <v>390</v>
      </c>
      <c r="V20" s="75" t="str">
        <f>IF(B20="","",VLOOKUP(AD20,Varsayımlar!$B:$Q,13,0))</f>
        <v>Yurtdışı</v>
      </c>
      <c r="W20" s="75">
        <f>IF(B20="","",VLOOKUP(AD20,Varsayımlar!$B:$Q,14,0))</f>
        <v>9</v>
      </c>
      <c r="X20" s="76">
        <v>46213</v>
      </c>
      <c r="Y20" s="76">
        <v>46487</v>
      </c>
      <c r="Z20" s="75" t="s">
        <v>444</v>
      </c>
      <c r="AA20" s="75" t="str">
        <f>IF(B20="","",VLOOKUP(AD20,Varsayımlar!$B:$Q,15,0))</f>
        <v>25cm Perforeli-Bulgarca Ispanaklı etiket</v>
      </c>
      <c r="AB20" s="75" t="str">
        <f>IF(B20="","",VLOOKUP(AD20,Varsayımlar!$B:$Q,16,0))</f>
        <v>24-26 cm</v>
      </c>
      <c r="AC20" s="75" t="str">
        <f>IF(B20="","",VLOOKUP(Sayfa1!AD66,Varsayımlar!B:S,18,0))</f>
        <v>80x120cm -Epal+Epal</v>
      </c>
      <c r="AD20" s="57" t="str">
        <f t="shared" si="0"/>
        <v>TASTE LAND-BULGARİSTANTortillas 25cm Ispanaklı 6pcs 390g</v>
      </c>
    </row>
    <row r="21" spans="1:31" ht="55.5" customHeight="1" x14ac:dyDescent="0.25">
      <c r="A21" s="8" t="s">
        <v>136</v>
      </c>
      <c r="B21" s="67" t="s">
        <v>460</v>
      </c>
      <c r="C21" s="42">
        <f>IF(B21="","",VLOOKUP(AD21,Varsayımlar!$B:$Q,3,0))</f>
        <v>8698829380698</v>
      </c>
      <c r="D21" s="67" t="s">
        <v>540</v>
      </c>
      <c r="E21" s="67" t="s">
        <v>464</v>
      </c>
      <c r="F21" s="67">
        <v>20260414</v>
      </c>
      <c r="G21" s="67"/>
      <c r="H21" s="67" t="str">
        <f>IF(B21="","",VLOOKUP(AD21,Varsayımlar!$B:$Q,5,0))</f>
        <v>Tortillove 20cm</v>
      </c>
      <c r="I21" s="67">
        <f>IF(B21="","",VLOOKUP(AD21,Varsayımlar!B:T,19,0))</f>
        <v>0</v>
      </c>
      <c r="J21" s="67" t="str">
        <f>IF(B21="","",VLOOKUP(AD21,Varsayımlar!$B:$Q,6,0))</f>
        <v>SADE</v>
      </c>
      <c r="K21" s="67">
        <v>300</v>
      </c>
      <c r="L21" s="67"/>
      <c r="M21" s="67">
        <f>IFERROR(IF(B21="","",K21/VLOOKUP(AD21,Varsayımlar!B:R,17,0)),"")</f>
        <v>3</v>
      </c>
      <c r="N21" s="67"/>
      <c r="O21" s="67">
        <v>5</v>
      </c>
      <c r="P21" s="67">
        <f>IF(B21="","",VLOOKUP(AD21,Varsayımlar!$B:$Q,7,0)*K21)</f>
        <v>3600</v>
      </c>
      <c r="Q21" s="67">
        <f>IF(B21="","",VLOOKUP(AD21,Varsayımlar!$B:$Q,8,0))</f>
        <v>20</v>
      </c>
      <c r="R21" s="67" t="str">
        <f>IF(B21="","",VLOOKUP(AD21,Varsayımlar!$B:$Q,9,0))</f>
        <v>Irak Soft</v>
      </c>
      <c r="S21" s="67">
        <f>IF(B21="","",VLOOKUP(AD21,Varsayımlar!$B:$Q,10,0))</f>
        <v>10</v>
      </c>
      <c r="T21" s="67">
        <f>IF(B21="","",VLOOKUP(AD21,Varsayımlar!$B:$Q,11,0))</f>
        <v>12</v>
      </c>
      <c r="U21" s="67">
        <f>IF(B21="","",VLOOKUP(AD21,Varsayımlar!$B:$Q,12,0))</f>
        <v>450</v>
      </c>
      <c r="V21" s="67" t="str">
        <f>IF(B21="","",VLOOKUP(AD21,Varsayımlar!$B:$Q,13,0))</f>
        <v>Yurtdışı</v>
      </c>
      <c r="W21" s="67">
        <f>IF(B21="","",VLOOKUP(AD21,Varsayımlar!$B:$Q,14,0))</f>
        <v>6</v>
      </c>
      <c r="X21" s="69">
        <v>46216</v>
      </c>
      <c r="Y21" s="69">
        <v>46400</v>
      </c>
      <c r="Z21" s="67">
        <v>26071320</v>
      </c>
      <c r="AA21" s="67" t="str">
        <f>IF(B21="","",VLOOKUP(AD21,Varsayımlar!$B:$Q,15,0))</f>
        <v>20cm kolisi</v>
      </c>
      <c r="AB21" s="67" t="str">
        <f>IF(B21="","",VLOOKUP(AD21,Varsayımlar!$B:$Q,16,0))</f>
        <v>19-21 cm</v>
      </c>
      <c r="AC21" s="75">
        <f>IF(B21="","",VLOOKUP(Sayfa1!AD69,Varsayımlar!B:S,18,0))</f>
        <v>0</v>
      </c>
      <c r="AD21" s="57" t="str">
        <f t="shared" si="0"/>
        <v>Yüksekbaş GıdaYüksekbaş 20cm 10pcs 450g</v>
      </c>
    </row>
    <row r="22" spans="1:31" ht="61.5" customHeight="1" x14ac:dyDescent="0.25">
      <c r="A22" s="8" t="s">
        <v>137</v>
      </c>
      <c r="B22" s="67" t="s">
        <v>460</v>
      </c>
      <c r="C22" s="42">
        <f>IF(B22="","",VLOOKUP(AD22,Varsayımlar!$B:$Q,3,0))</f>
        <v>8698829380698</v>
      </c>
      <c r="D22" s="67" t="s">
        <v>540</v>
      </c>
      <c r="E22" s="67" t="s">
        <v>470</v>
      </c>
      <c r="F22" s="67">
        <v>20260414</v>
      </c>
      <c r="G22" s="67"/>
      <c r="H22" s="67" t="str">
        <f>IF(B22="","",VLOOKUP(AD22,Varsayımlar!$B:$Q,5,0))</f>
        <v>Tortillove 30cm</v>
      </c>
      <c r="I22" s="67">
        <f>IF(B22="","",VLOOKUP(AD22,Varsayımlar!B:T,19,0))</f>
        <v>0</v>
      </c>
      <c r="J22" s="67" t="str">
        <f>IF(B22="","",VLOOKUP(AD22,Varsayımlar!$B:$Q,6,0))</f>
        <v>SADE</v>
      </c>
      <c r="K22" s="67">
        <v>792</v>
      </c>
      <c r="L22" s="67" t="s">
        <v>559</v>
      </c>
      <c r="M22" s="67">
        <f>IFERROR(IF(B22="","",K22/VLOOKUP(AD22,Varsayımlar!B:R,17,0)),"")</f>
        <v>12</v>
      </c>
      <c r="N22" s="67"/>
      <c r="O22" s="67">
        <v>14</v>
      </c>
      <c r="P22" s="67">
        <f>IF(B22="","",VLOOKUP(AD22,Varsayımlar!$B:$Q,7,0)*K22)</f>
        <v>9504</v>
      </c>
      <c r="Q22" s="67">
        <f>IF(B22="","",VLOOKUP(AD22,Varsayımlar!$B:$Q,8,0))</f>
        <v>30</v>
      </c>
      <c r="R22" s="67" t="str">
        <f>IF(B22="","",VLOOKUP(AD22,Varsayımlar!$B:$Q,9,0))</f>
        <v>Irak Soft</v>
      </c>
      <c r="S22" s="67">
        <f>IF(B22="","",VLOOKUP(AD22,Varsayımlar!$B:$Q,10,0))</f>
        <v>10</v>
      </c>
      <c r="T22" s="67">
        <f>IF(B22="","",VLOOKUP(AD22,Varsayımlar!$B:$Q,11,0))</f>
        <v>12</v>
      </c>
      <c r="U22" s="67">
        <f>IF(B22="","",VLOOKUP(AD22,Varsayımlar!$B:$Q,12,0))</f>
        <v>950</v>
      </c>
      <c r="V22" s="67" t="str">
        <f>IF(B22="","",VLOOKUP(AD22,Varsayımlar!$B:$Q,13,0))</f>
        <v>Yurtdışı</v>
      </c>
      <c r="W22" s="67">
        <f>IF(B22="","",VLOOKUP(AD22,Varsayımlar!$B:$Q,14,0))</f>
        <v>6</v>
      </c>
      <c r="X22" s="69">
        <v>46216</v>
      </c>
      <c r="Y22" s="69">
        <v>46400</v>
      </c>
      <c r="Z22" s="67">
        <v>26071330</v>
      </c>
      <c r="AA22" s="67" t="str">
        <f>IF(B22="","",VLOOKUP(AD22,Varsayımlar!$B:$Q,15,0))</f>
        <v>30cm Kolisi</v>
      </c>
      <c r="AB22" s="67" t="str">
        <f>IF(B22="","",VLOOKUP(AD22,Varsayımlar!$B:$Q,16,0))</f>
        <v>29-31 cm</v>
      </c>
      <c r="AC22" s="75">
        <f>IF(B22="","",VLOOKUP(Sayfa1!AD69,Varsayımlar!B:S,18,0))</f>
        <v>0</v>
      </c>
      <c r="AD22" s="57" t="str">
        <f t="shared" si="0"/>
        <v>Yüksekbaş GıdaYüksekbaş 30cm 10pcs 950g</v>
      </c>
    </row>
    <row r="23" spans="1:31" ht="47.25" x14ac:dyDescent="0.25">
      <c r="A23" s="8" t="s">
        <v>138</v>
      </c>
      <c r="B23" s="58" t="s">
        <v>346</v>
      </c>
      <c r="C23" s="147">
        <f>IF(B23="","",VLOOKUP(AD23,Varsayımlar!$B:$Q,3,0))</f>
        <v>8698829380698</v>
      </c>
      <c r="D23" s="40">
        <v>48</v>
      </c>
      <c r="E23" s="59" t="s">
        <v>162</v>
      </c>
      <c r="F23" s="58"/>
      <c r="G23" s="58"/>
      <c r="H23" s="58" t="str">
        <f>IF(B23="","",VLOOKUP(AD23,Varsayımlar!$B:$Q,5,0))</f>
        <v>Hanami 20cm Sade 4 pcs 166g (067)</v>
      </c>
      <c r="I23" s="58" t="str">
        <f>IF(B23="","",VLOOKUP(AD23,Varsayımlar!B:T,19,0))</f>
        <v>Ambalaj kaç aylık kontrol?</v>
      </c>
      <c r="J23" s="58" t="str">
        <f>IF(B23="","",VLOOKUP(AD23,Varsayımlar!$B:$Q,6,0))</f>
        <v>SADE</v>
      </c>
      <c r="K23" s="58">
        <v>3080</v>
      </c>
      <c r="L23" s="58"/>
      <c r="M23" s="58">
        <f>IFERROR(IF(B23="","",K23/VLOOKUP(AD23,Varsayımlar!B:R,17,0)),"")</f>
        <v>22</v>
      </c>
      <c r="N23" s="58"/>
      <c r="O23" s="58">
        <v>52</v>
      </c>
      <c r="P23" s="58">
        <f>IF(B23="","",VLOOKUP(AD23,Varsayımlar!$B:$Q,7,0)*K23)</f>
        <v>92400</v>
      </c>
      <c r="Q23" s="58">
        <f>IF(B23="","",VLOOKUP(AD23,Varsayımlar!$B:$Q,8,0))</f>
        <v>20</v>
      </c>
      <c r="R23" s="58" t="str">
        <f>IF(B23="","",VLOOKUP(AD23,Varsayımlar!$B:$Q,9,0))</f>
        <v>Irak Soft</v>
      </c>
      <c r="S23" s="58">
        <f>IF(B23="","",VLOOKUP(AD23,Varsayımlar!$B:$Q,10,0))</f>
        <v>4</v>
      </c>
      <c r="T23" s="58">
        <f>IF(B23="","",VLOOKUP(AD23,Varsayımlar!$B:$Q,11,0))</f>
        <v>30</v>
      </c>
      <c r="U23" s="58">
        <f>IF(B23="","",VLOOKUP(AD23,Varsayımlar!$B:$Q,12,0))</f>
        <v>166</v>
      </c>
      <c r="V23" s="58" t="str">
        <f>IF(B23="","",VLOOKUP(AD23,Varsayımlar!$B:$Q,13,0))</f>
        <v>Yurtdışı</v>
      </c>
      <c r="W23" s="58">
        <f>IF(B23="","",VLOOKUP(AD23,Varsayımlar!$B:$Q,14,0))</f>
        <v>9</v>
      </c>
      <c r="X23" s="60">
        <v>46218</v>
      </c>
      <c r="Y23" s="60">
        <v>46492</v>
      </c>
      <c r="Z23" s="58">
        <v>26071520</v>
      </c>
      <c r="AA23" s="58" t="str">
        <f>IF(B23="","",VLOOKUP(AD23,Varsayımlar!$B:$Q,15,0))</f>
        <v>Hanami Mavi Koli -Üretim Tarihi+9 AYI KAPATACAK ETİKETLİ</v>
      </c>
      <c r="AB23" s="58" t="str">
        <f>IF(B23="","",VLOOKUP(AD23,Varsayımlar!$B:$Q,16,0))</f>
        <v>19-21 cm</v>
      </c>
      <c r="AC23" s="8" t="e">
        <f>IF(B23="","",VLOOKUP(#REF!,#REF!,18,0))</f>
        <v>#REF!</v>
      </c>
      <c r="AD23" s="8" t="str">
        <f t="shared" si="0"/>
        <v xml:space="preserve">GermesHanami 20cm sade 4pcs 166g </v>
      </c>
    </row>
    <row r="24" spans="1:31" ht="39" customHeight="1" x14ac:dyDescent="0.25">
      <c r="A24" s="8" t="s">
        <v>139</v>
      </c>
      <c r="B24" s="58" t="s">
        <v>346</v>
      </c>
      <c r="C24" s="147">
        <f>IF(B24="","",VLOOKUP(AD24,Varsayımlar!$B:$Q,3,0))</f>
        <v>8698829380698</v>
      </c>
      <c r="D24" s="40">
        <v>48</v>
      </c>
      <c r="E24" s="59" t="s">
        <v>166</v>
      </c>
      <c r="F24" s="58"/>
      <c r="G24" s="58"/>
      <c r="H24" s="58" t="str">
        <f>IF(B24="","",VLOOKUP(AD24,Varsayımlar!$B:$Q,5,0))</f>
        <v>Tortillas 20cm (Etiketli)</v>
      </c>
      <c r="I24" s="58" t="str">
        <f>IF(B24="","",VLOOKUP(AD24,Varsayımlar!B:T,19,0))</f>
        <v>Etiketli</v>
      </c>
      <c r="J24" s="58" t="str">
        <f>IF(B24="","",VLOOKUP(AD24,Varsayımlar!$B:$Q,6,0))</f>
        <v>SADE</v>
      </c>
      <c r="K24" s="58">
        <v>280</v>
      </c>
      <c r="L24" s="58"/>
      <c r="M24" s="58">
        <f>IFERROR(IF(B24="","",K24/VLOOKUP(AD24,Varsayımlar!B:R,17,0)),"")</f>
        <v>2</v>
      </c>
      <c r="N24" s="58"/>
      <c r="O24" s="58">
        <v>5</v>
      </c>
      <c r="P24" s="58">
        <f>IF(B24="","",VLOOKUP(AD24,Varsayımlar!$B:$Q,7,0)*K24)</f>
        <v>8400</v>
      </c>
      <c r="Q24" s="58">
        <f>IF(B24="","",VLOOKUP(AD24,Varsayımlar!$B:$Q,8,0))</f>
        <v>20</v>
      </c>
      <c r="R24" s="58" t="str">
        <f>IF(B24="","",VLOOKUP(AD24,Varsayımlar!$B:$Q,9,0))</f>
        <v>Irak soft</v>
      </c>
      <c r="S24" s="58">
        <f>IF(B24="","",VLOOKUP(AD24,Varsayımlar!$B:$Q,10,0))</f>
        <v>4</v>
      </c>
      <c r="T24" s="58">
        <f>IF(B24="","",VLOOKUP(AD24,Varsayımlar!$B:$Q,11,0))</f>
        <v>30</v>
      </c>
      <c r="U24" s="58">
        <f>IF(B24="","",VLOOKUP(AD24,Varsayımlar!$B:$Q,12,0))</f>
        <v>166</v>
      </c>
      <c r="V24" s="58" t="str">
        <f>IF(B24="","",VLOOKUP(AD24,Varsayımlar!$B:$Q,13,0))</f>
        <v>Yurtdışı</v>
      </c>
      <c r="W24" s="58">
        <f>IF(B24="","",VLOOKUP(AD24,Varsayımlar!$B:$Q,14,0))</f>
        <v>9</v>
      </c>
      <c r="X24" s="60">
        <v>46218</v>
      </c>
      <c r="Y24" s="60">
        <v>46492</v>
      </c>
      <c r="Z24" s="58">
        <v>26071520</v>
      </c>
      <c r="AA24" s="58" t="str">
        <f>IF(B24="","",VLOOKUP(AD24,Varsayımlar!$B:$Q,15,0))</f>
        <v>20cm Koli-Üretim Tarihli Etiket</v>
      </c>
      <c r="AB24" s="58" t="str">
        <f>IF(B24="","",VLOOKUP(AD24,Varsayımlar!$B:$Q,16,0))</f>
        <v>19-21 cm</v>
      </c>
      <c r="AC24" s="8" t="e">
        <f>IF(B24="","",VLOOKUP(#REF!,#REF!,18,0))</f>
        <v>#REF!</v>
      </c>
      <c r="AD24" s="8" t="str">
        <f>IF(B24="","",CONCATENATE(B24,E24))</f>
        <v>GermesTortillas 20cm 4 lü 166g</v>
      </c>
    </row>
    <row r="25" spans="1:31" ht="39.75" customHeight="1" x14ac:dyDescent="0.25">
      <c r="A25" s="8" t="s">
        <v>140</v>
      </c>
      <c r="B25" s="58" t="s">
        <v>346</v>
      </c>
      <c r="C25" s="147">
        <f>IF(B25="","",VLOOKUP(AD25,Varsayımlar!$B:$Q,3,0))</f>
        <v>8698829380698</v>
      </c>
      <c r="D25" s="40">
        <v>48</v>
      </c>
      <c r="E25" s="59" t="s">
        <v>168</v>
      </c>
      <c r="F25" s="58"/>
      <c r="G25" s="58"/>
      <c r="H25" s="58" t="str">
        <f>IF(B25="","",VLOOKUP(AD25,Varsayımlar!$B:$Q,5,0))</f>
        <v>Hanami Peynirli 20cm (050)</v>
      </c>
      <c r="I25" s="58" t="str">
        <f>IF(B25="","",VLOOKUP(AD25,Varsayımlar!B:T,19,0))</f>
        <v>Ambalaj kaç aylık kontrol?</v>
      </c>
      <c r="J25" s="58" t="str">
        <f>IF(B25="","",VLOOKUP(AD25,Varsayımlar!$B:$Q,6,0))</f>
        <v>PEYNİRLİ</v>
      </c>
      <c r="K25" s="58">
        <v>280</v>
      </c>
      <c r="L25" s="58" t="s">
        <v>531</v>
      </c>
      <c r="M25" s="58">
        <f>IFERROR(IF(B25="","",K25/VLOOKUP(AD25,Varsayımlar!B:R,17,0)),"")</f>
        <v>2</v>
      </c>
      <c r="N25" s="58"/>
      <c r="O25" s="58">
        <v>6</v>
      </c>
      <c r="P25" s="58">
        <f>IF(B25="","",VLOOKUP(AD25,Varsayımlar!$B:$Q,7,0)*K25)</f>
        <v>8400</v>
      </c>
      <c r="Q25" s="58">
        <f>IF(B25="","",VLOOKUP(AD25,Varsayımlar!$B:$Q,8,0))</f>
        <v>20</v>
      </c>
      <c r="R25" s="58" t="str">
        <f>IF(B25="","",VLOOKUP(AD25,Varsayımlar!$B:$Q,9,0))</f>
        <v>Irak Soft-AT</v>
      </c>
      <c r="S25" s="58">
        <f>IF(B25="","",VLOOKUP(AD25,Varsayımlar!$B:$Q,10,0))</f>
        <v>4</v>
      </c>
      <c r="T25" s="58">
        <f>IF(B25="","",VLOOKUP(AD25,Varsayımlar!$B:$Q,11,0))</f>
        <v>30</v>
      </c>
      <c r="U25" s="58">
        <f>IF(B25="","",VLOOKUP(AD25,Varsayımlar!$B:$Q,12,0))</f>
        <v>166</v>
      </c>
      <c r="V25" s="58" t="str">
        <f>IF(B25="","",VLOOKUP(AD25,Varsayımlar!$B:$Q,13,0))</f>
        <v>YURTDIŞI</v>
      </c>
      <c r="W25" s="58">
        <f>IF(B25="","",VLOOKUP(AD25,Varsayımlar!$B:$Q,14,0))</f>
        <v>9</v>
      </c>
      <c r="X25" s="60">
        <v>46218</v>
      </c>
      <c r="Y25" s="60">
        <v>46492</v>
      </c>
      <c r="Z25" s="58" t="s">
        <v>495</v>
      </c>
      <c r="AA25" s="58" t="str">
        <f>IF(B25="","",VLOOKUP(AD25,Varsayımlar!$B:$Q,15,0))</f>
        <v>HANAMİ SARI KOLİ-ÜRETİM TARİHİ BASILACAK</v>
      </c>
      <c r="AB25" s="58" t="str">
        <f>IF(B25="","",VLOOKUP(AD25,Varsayımlar!$B:$Q,16,0))</f>
        <v>19-21 CM</v>
      </c>
      <c r="AC25" s="8" t="e">
        <f>IF(B25="","",VLOOKUP(#REF!,#REF!,18,0))</f>
        <v>#REF!</v>
      </c>
      <c r="AD25" s="8" t="str">
        <f t="shared" ref="AD25:AD39" si="2">IF(B25="","",CONCATENATE(B25,E25))</f>
        <v>GermesHanami Peynirli 20cm 4 lü 166g</v>
      </c>
    </row>
    <row r="26" spans="1:31" ht="51" customHeight="1" x14ac:dyDescent="0.25">
      <c r="A26" s="8" t="s">
        <v>141</v>
      </c>
      <c r="B26" s="164" t="s">
        <v>256</v>
      </c>
      <c r="C26" s="165">
        <f>IF(B26="","",VLOOKUP(AD26,Varsayımlar!$B:$Q,3,0))</f>
        <v>8698829380698</v>
      </c>
      <c r="D26" s="164"/>
      <c r="E26" s="164" t="s">
        <v>551</v>
      </c>
      <c r="F26" s="164">
        <v>20260629</v>
      </c>
      <c r="G26" s="164"/>
      <c r="H26" s="164" t="str">
        <f>IF(B26="","",VLOOKUP(AD26,Varsayımlar!$B:$Q,5,0))</f>
        <v>Tortillove 33 cm</v>
      </c>
      <c r="I26" s="164">
        <f>IF(B26="","",VLOOKUP(AD26,Varsayımlar!B:T,19,0))</f>
        <v>0</v>
      </c>
      <c r="J26" s="164" t="str">
        <f>IF(B26="","",VLOOKUP(AD26,Varsayımlar!$B:$Q,6,0))</f>
        <v>Sade</v>
      </c>
      <c r="K26" s="164">
        <v>60</v>
      </c>
      <c r="L26" s="164"/>
      <c r="M26" s="164" t="str">
        <f>IFERROR(IF(B26="","",K26/VLOOKUP(AD26,Varsayımlar!B:R,17,0)),"")</f>
        <v/>
      </c>
      <c r="N26" s="164"/>
      <c r="O26" s="164">
        <v>2</v>
      </c>
      <c r="P26" s="164">
        <f>IF(B26="","",VLOOKUP(AD26,Varsayımlar!$B:$Q,7,0)*K26)</f>
        <v>720</v>
      </c>
      <c r="Q26" s="164">
        <f>IF(B26="","",VLOOKUP(AD26,Varsayımlar!$B:$Q,8,0))</f>
        <v>33</v>
      </c>
      <c r="R26" s="164" t="str">
        <f>IF(B26="","",VLOOKUP(AD26,Varsayımlar!$B:$Q,9,0))</f>
        <v>Irak soft</v>
      </c>
      <c r="S26" s="164">
        <f>IF(B26="","",VLOOKUP(AD26,Varsayımlar!$B:$Q,10,0))</f>
        <v>10</v>
      </c>
      <c r="T26" s="164">
        <f>IF(B26="","",VLOOKUP(AD26,Varsayımlar!$B:$Q,11,0))</f>
        <v>12</v>
      </c>
      <c r="U26" s="164">
        <f>IF(B26="","",VLOOKUP(AD26,Varsayımlar!$B:$Q,12,0))</f>
        <v>1000</v>
      </c>
      <c r="V26" s="164" t="str">
        <f>IF(B26="","",VLOOKUP(AD26,Varsayımlar!$B:$Q,13,0))</f>
        <v>Yurtiçi</v>
      </c>
      <c r="W26" s="164">
        <f>IF(B26="","",VLOOKUP(AD26,Varsayımlar!$B:$Q,14,0))</f>
        <v>6</v>
      </c>
      <c r="X26" s="166" t="s">
        <v>113</v>
      </c>
      <c r="Y26" s="166" t="s">
        <v>113</v>
      </c>
      <c r="Z26" s="164" t="s">
        <v>113</v>
      </c>
      <c r="AA26" s="164" t="str">
        <f>IF(B26="","",VLOOKUP(AD26,Varsayımlar!$B:$Q,15,0))</f>
        <v>33cm Kolisi</v>
      </c>
      <c r="AB26" s="164" t="str">
        <f>IF(B26="","",VLOOKUP(AD26,Varsayımlar!$B:$Q,16,0))</f>
        <v>32-34cm</v>
      </c>
      <c r="AC26" s="75">
        <f>IF(B26="","",VLOOKUP(Sayfa1!AD76,Varsayımlar!B:S,18,0))</f>
        <v>0</v>
      </c>
      <c r="AD26" s="57" t="str">
        <f>IF(B26="","",CONCATENATE(B26,E26))</f>
        <v>Ankara KahveTortillove 33cm 10pcs 1000g</v>
      </c>
      <c r="AE26" s="140" t="s">
        <v>541</v>
      </c>
    </row>
    <row r="27" spans="1:31" ht="51" customHeight="1" x14ac:dyDescent="0.25">
      <c r="A27" s="8" t="s">
        <v>142</v>
      </c>
      <c r="B27" s="160" t="s">
        <v>553</v>
      </c>
      <c r="C27" s="161">
        <f>IF(B27="","",VLOOKUP(AD27,Varsayımlar!$B:$Q,3,0))</f>
        <v>8698829380698</v>
      </c>
      <c r="D27" s="160"/>
      <c r="E27" s="160" t="s">
        <v>556</v>
      </c>
      <c r="F27" s="160">
        <v>20260629</v>
      </c>
      <c r="G27" s="160"/>
      <c r="H27" s="160" t="str">
        <f>IF(B27="","",VLOOKUP(AD27,Varsayımlar!$B:$Q,5,0))</f>
        <v>Tortillove 30cm</v>
      </c>
      <c r="I27" s="160">
        <f>IF(B27="","",VLOOKUP(AD27,Varsayımlar!B:T,19,0))</f>
        <v>0</v>
      </c>
      <c r="J27" s="160" t="str">
        <f>IF(B27="","",VLOOKUP(AD27,Varsayımlar!$B:$Q,6,0))</f>
        <v>Sade</v>
      </c>
      <c r="K27" s="160">
        <v>350</v>
      </c>
      <c r="L27" s="160"/>
      <c r="M27" s="160">
        <f>IFERROR(IF(B27="","",K27/VLOOKUP(AD27,Varsayımlar!B:R,17,0)),"")</f>
        <v>7</v>
      </c>
      <c r="N27" s="160"/>
      <c r="O27" s="160">
        <v>7</v>
      </c>
      <c r="P27" s="160">
        <f>IF(B27="","",VLOOKUP(AD27,Varsayımlar!$B:$Q,7,0)*K27)</f>
        <v>4200</v>
      </c>
      <c r="Q27" s="160">
        <f>IF(B27="","",VLOOKUP(AD27,Varsayımlar!$B:$Q,8,0))</f>
        <v>30</v>
      </c>
      <c r="R27" s="160" t="str">
        <f>IF(B27="","",VLOOKUP(AD27,Varsayımlar!$B:$Q,9,0))</f>
        <v>Irak soft</v>
      </c>
      <c r="S27" s="160">
        <f>IF(B27="","",VLOOKUP(AD27,Varsayımlar!$B:$Q,10,0))</f>
        <v>10</v>
      </c>
      <c r="T27" s="160">
        <f>IF(B27="","",VLOOKUP(AD27,Varsayımlar!$B:$Q,11,0))</f>
        <v>12</v>
      </c>
      <c r="U27" s="160">
        <f>IF(B27="","",VLOOKUP(AD27,Varsayımlar!$B:$Q,12,0))</f>
        <v>950</v>
      </c>
      <c r="V27" s="160" t="str">
        <f>IF(B27="","",VLOOKUP(AD27,Varsayımlar!$B:$Q,13,0))</f>
        <v>Yurtiçi</v>
      </c>
      <c r="W27" s="160">
        <f>IF(B27="","",VLOOKUP(AD27,Varsayımlar!$B:$Q,14,0))</f>
        <v>6</v>
      </c>
      <c r="X27" s="160" t="s">
        <v>113</v>
      </c>
      <c r="Y27" s="160" t="s">
        <v>113</v>
      </c>
      <c r="Z27" s="160" t="s">
        <v>113</v>
      </c>
      <c r="AA27" s="160" t="str">
        <f>IF(B27="","",VLOOKUP(AD27,Varsayımlar!$B:$Q,15,0))</f>
        <v>30cm kolisi-Barkod etiketli</v>
      </c>
      <c r="AB27" s="160" t="str">
        <f>IF(B27="","",VLOOKUP(AD27,Varsayımlar!$B:$Q,16,0))</f>
        <v>29-31cm</v>
      </c>
      <c r="AC27" s="75">
        <f>IF(B27="","",VLOOKUP(Sayfa1!AD77,Varsayımlar!B:S,18,0))</f>
        <v>0</v>
      </c>
      <c r="AD27" s="57" t="str">
        <f t="shared" ref="AD27" si="3">IF(B27="","",CONCATENATE(B27,E27))</f>
        <v>GıdaserTortillove 30cm 10pcs 950g</v>
      </c>
      <c r="AE27" s="140" t="s">
        <v>541</v>
      </c>
    </row>
    <row r="28" spans="1:31" ht="47.25" x14ac:dyDescent="0.25">
      <c r="A28" s="8" t="s">
        <v>143</v>
      </c>
      <c r="B28" s="54" t="s">
        <v>346</v>
      </c>
      <c r="C28" s="139">
        <f>IF(B28="","",VLOOKUP(AD28,Varsayımlar!$B:$Q,3,0))</f>
        <v>8698829380698</v>
      </c>
      <c r="D28" s="39">
        <v>49</v>
      </c>
      <c r="E28" s="55" t="s">
        <v>162</v>
      </c>
      <c r="F28" s="54"/>
      <c r="G28" s="54"/>
      <c r="H28" s="54" t="str">
        <f>IF(B28="","",VLOOKUP(AD28,Varsayımlar!$B:$Q,5,0))</f>
        <v>Hanami 20cm Sade 4 pcs 166g (067)</v>
      </c>
      <c r="I28" s="54" t="str">
        <f>IF(B28="","",VLOOKUP(AD28,Varsayımlar!B:T,19,0))</f>
        <v>Ambalaj kaç aylık kontrol?</v>
      </c>
      <c r="J28" s="54" t="str">
        <f>IF(B28="","",VLOOKUP(AD28,Varsayımlar!$B:$Q,6,0))</f>
        <v>SADE</v>
      </c>
      <c r="K28" s="54">
        <v>700</v>
      </c>
      <c r="L28" s="54"/>
      <c r="M28" s="54">
        <f>IFERROR(IF(B28="","",K28/VLOOKUP(AD28,Varsayımlar!B:R,17,0)),"")</f>
        <v>5</v>
      </c>
      <c r="N28" s="54"/>
      <c r="O28" s="54">
        <v>12</v>
      </c>
      <c r="P28" s="54">
        <f>IF(B28="","",VLOOKUP(AD28,Varsayımlar!$B:$Q,7,0)*K28)</f>
        <v>21000</v>
      </c>
      <c r="Q28" s="54">
        <f>IF(B28="","",VLOOKUP(AD28,Varsayımlar!$B:$Q,8,0))</f>
        <v>20</v>
      </c>
      <c r="R28" s="54" t="str">
        <f>IF(B28="","",VLOOKUP(AD28,Varsayımlar!$B:$Q,9,0))</f>
        <v>Irak Soft</v>
      </c>
      <c r="S28" s="54">
        <f>IF(B28="","",VLOOKUP(AD28,Varsayımlar!$B:$Q,10,0))</f>
        <v>4</v>
      </c>
      <c r="T28" s="54">
        <f>IF(B28="","",VLOOKUP(AD28,Varsayımlar!$B:$Q,11,0))</f>
        <v>30</v>
      </c>
      <c r="U28" s="54">
        <f>IF(B28="","",VLOOKUP(AD28,Varsayımlar!$B:$Q,12,0))</f>
        <v>166</v>
      </c>
      <c r="V28" s="54" t="str">
        <f>IF(B28="","",VLOOKUP(AD28,Varsayımlar!$B:$Q,13,0))</f>
        <v>Yurtdışı</v>
      </c>
      <c r="W28" s="54">
        <f>IF(B28="","",VLOOKUP(AD28,Varsayımlar!$B:$Q,14,0))</f>
        <v>9</v>
      </c>
      <c r="X28" s="56">
        <v>46226</v>
      </c>
      <c r="Y28" s="56">
        <v>46500</v>
      </c>
      <c r="Z28" s="54">
        <v>26072320</v>
      </c>
      <c r="AA28" s="54" t="str">
        <f>IF(B28="","",VLOOKUP(AD28,Varsayımlar!$B:$Q,15,0))</f>
        <v>Hanami Mavi Koli -Üretim Tarihi+9 AYI KAPATACAK ETİKETLİ</v>
      </c>
      <c r="AB28" s="54" t="str">
        <f>IF(B28="","",VLOOKUP(AD28,Varsayımlar!$B:$Q,16,0))</f>
        <v>19-21 cm</v>
      </c>
      <c r="AC28" s="8" t="e">
        <f>IF(B28="","",VLOOKUP(#REF!,#REF!,18,0))</f>
        <v>#REF!</v>
      </c>
      <c r="AD28" s="8" t="str">
        <f t="shared" si="2"/>
        <v xml:space="preserve">GermesHanami 20cm sade 4pcs 166g </v>
      </c>
    </row>
    <row r="29" spans="1:31" ht="43.5" customHeight="1" x14ac:dyDescent="0.25">
      <c r="A29" s="8" t="s">
        <v>144</v>
      </c>
      <c r="B29" s="54" t="s">
        <v>346</v>
      </c>
      <c r="C29" s="139">
        <f>IF(B29="","",VLOOKUP(AD29,Varsayımlar!$B:$Q,3,0))</f>
        <v>8698829380698</v>
      </c>
      <c r="D29" s="39">
        <v>49</v>
      </c>
      <c r="E29" s="55" t="s">
        <v>490</v>
      </c>
      <c r="F29" s="54"/>
      <c r="G29" s="54"/>
      <c r="H29" s="54" t="str">
        <f>IF(B29="","",VLOOKUP(AD29,Varsayımlar!$B:$Q,5,0))</f>
        <v>Tortillas Domatesli 25cm (Germes Bilgileri Ekli)</v>
      </c>
      <c r="I29" s="54">
        <f>IF(B29="","",VLOOKUP(AD29,Varsayımlar!B:T,19,0))</f>
        <v>0</v>
      </c>
      <c r="J29" s="54" t="str">
        <f>IF(B29="","",VLOOKUP(AD29,Varsayımlar!$B:$Q,6,0))</f>
        <v>Domatesli</v>
      </c>
      <c r="K29" s="54">
        <v>420</v>
      </c>
      <c r="L29" s="54"/>
      <c r="M29" s="54" t="str">
        <f>IFERROR(IF(B29="","",K29/VLOOKUP(AD29,Varsayımlar!B:R,17,0)),"")</f>
        <v/>
      </c>
      <c r="N29" s="54"/>
      <c r="O29" s="54">
        <v>8</v>
      </c>
      <c r="P29" s="54">
        <f>IF(B29="","",VLOOKUP(AD29,Varsayımlar!$B:$Q,7,0)*K29)</f>
        <v>12600</v>
      </c>
      <c r="Q29" s="54">
        <f>IF(B29="","",VLOOKUP(AD29,Varsayımlar!$B:$Q,8,0))</f>
        <v>25</v>
      </c>
      <c r="R29" s="54" t="str">
        <f>IF(B29="","",VLOOKUP(AD29,Varsayımlar!$B:$Q,9,0))</f>
        <v>Irak Soft</v>
      </c>
      <c r="S29" s="54">
        <f>IF(B29="","",VLOOKUP(AD29,Varsayımlar!$B:$Q,10,0))</f>
        <v>4</v>
      </c>
      <c r="T29" s="54">
        <f>IF(B29="","",VLOOKUP(AD29,Varsayımlar!$B:$Q,11,0))</f>
        <v>30</v>
      </c>
      <c r="U29" s="54">
        <f>IF(B29="","",VLOOKUP(AD29,Varsayımlar!$B:$Q,12,0))</f>
        <v>250</v>
      </c>
      <c r="V29" s="54" t="str">
        <f>IF(B29="","",VLOOKUP(AD29,Varsayımlar!$B:$Q,13,0))</f>
        <v>Yurtdışı</v>
      </c>
      <c r="W29" s="54">
        <f>IF(B29="","",VLOOKUP(AD29,Varsayımlar!$B:$Q,14,0))</f>
        <v>9</v>
      </c>
      <c r="X29" s="56">
        <v>46226</v>
      </c>
      <c r="Y29" s="56">
        <v>46135</v>
      </c>
      <c r="Z29" s="54" t="s">
        <v>496</v>
      </c>
      <c r="AA29" s="54" t="str">
        <f>IF(B29="","",VLOOKUP(AD29,Varsayımlar!$B:$Q,15,0))</f>
        <v>25cm Kırmızı Koli-Üretim Tarihli Etiketli</v>
      </c>
      <c r="AB29" s="54">
        <f>IF(B29="","",VLOOKUP(AD29,Varsayımlar!$B:$Q,16,0))</f>
        <v>0</v>
      </c>
      <c r="AC29" s="8" t="e">
        <f>IF(B29="","",VLOOKUP(#REF!,#REF!,18,0))</f>
        <v>#REF!</v>
      </c>
      <c r="AD29" s="8" t="str">
        <f t="shared" si="2"/>
        <v xml:space="preserve">GermesTortillas Domatesli 25cm 4pcs 250g </v>
      </c>
    </row>
    <row r="30" spans="1:31" ht="43.5" customHeight="1" x14ac:dyDescent="0.25">
      <c r="A30" s="8" t="s">
        <v>145</v>
      </c>
      <c r="B30" s="54" t="s">
        <v>346</v>
      </c>
      <c r="C30" s="139">
        <f>IF(B30="","",VLOOKUP(AD30,Varsayımlar!$B:$Q,3,0))</f>
        <v>8698829380698</v>
      </c>
      <c r="D30" s="39">
        <v>49</v>
      </c>
      <c r="E30" s="55" t="s">
        <v>492</v>
      </c>
      <c r="F30" s="54"/>
      <c r="G30" s="54"/>
      <c r="H30" s="54" t="str">
        <f>IF(B30="","",VLOOKUP(AD30,Varsayımlar!$B:$Q,5,0))</f>
        <v>Tortillas Ispanaklı 25cm (Germes Bilgileri Ekli)</v>
      </c>
      <c r="I30" s="54">
        <f>IF(B30="","",VLOOKUP(AD30,Varsayımlar!B:T,19,0))</f>
        <v>0</v>
      </c>
      <c r="J30" s="54" t="str">
        <f>IF(B30="","",VLOOKUP(AD30,Varsayımlar!$B:$Q,6,0))</f>
        <v>Ispanaklı</v>
      </c>
      <c r="K30" s="54">
        <v>420</v>
      </c>
      <c r="L30" s="54"/>
      <c r="M30" s="54" t="str">
        <f>IFERROR(IF(B30="","",K30/VLOOKUP(AD30,Varsayımlar!B:R,17,0)),"")</f>
        <v/>
      </c>
      <c r="N30" s="54"/>
      <c r="O30" s="54">
        <v>8</v>
      </c>
      <c r="P30" s="54">
        <f>IF(B30="","",VLOOKUP(AD30,Varsayımlar!$B:$Q,7,0)*K30)</f>
        <v>12600</v>
      </c>
      <c r="Q30" s="54">
        <f>IF(B30="","",VLOOKUP(AD30,Varsayımlar!$B:$Q,8,0))</f>
        <v>25</v>
      </c>
      <c r="R30" s="54" t="str">
        <f>IF(B30="","",VLOOKUP(AD30,Varsayımlar!$B:$Q,9,0))</f>
        <v>Irak Soft</v>
      </c>
      <c r="S30" s="54">
        <f>IF(B30="","",VLOOKUP(AD30,Varsayımlar!$B:$Q,10,0))</f>
        <v>4</v>
      </c>
      <c r="T30" s="54">
        <f>IF(B30="","",VLOOKUP(AD30,Varsayımlar!$B:$Q,11,0))</f>
        <v>30</v>
      </c>
      <c r="U30" s="54">
        <f>IF(B30="","",VLOOKUP(AD30,Varsayımlar!$B:$Q,12,0))</f>
        <v>250</v>
      </c>
      <c r="V30" s="54" t="str">
        <f>IF(B30="","",VLOOKUP(AD30,Varsayımlar!$B:$Q,13,0))</f>
        <v>Yurtdışı</v>
      </c>
      <c r="W30" s="54">
        <f>IF(B30="","",VLOOKUP(AD30,Varsayımlar!$B:$Q,14,0))</f>
        <v>9</v>
      </c>
      <c r="X30" s="56">
        <v>46226</v>
      </c>
      <c r="Y30" s="56">
        <v>46500</v>
      </c>
      <c r="Z30" s="54" t="s">
        <v>497</v>
      </c>
      <c r="AA30" s="54" t="str">
        <f>IF(B30="","",VLOOKUP(AD30,Varsayımlar!$B:$Q,15,0))</f>
        <v>25cm Kırmızı Koli-Üretim Tarihli Etiketli</v>
      </c>
      <c r="AB30" s="54">
        <f>IF(B30="","",VLOOKUP(AD30,Varsayımlar!$B:$Q,16,0))</f>
        <v>0</v>
      </c>
      <c r="AC30" s="8" t="e">
        <f>IF(B30="","",VLOOKUP(#REF!,#REF!,18,0))</f>
        <v>#REF!</v>
      </c>
      <c r="AD30" s="8" t="str">
        <f t="shared" si="2"/>
        <v xml:space="preserve">GermesTortillas Ispanaklı 25cm 4pcs 250g </v>
      </c>
    </row>
    <row r="31" spans="1:31" ht="45.75" customHeight="1" x14ac:dyDescent="0.25">
      <c r="A31" s="8" t="s">
        <v>146</v>
      </c>
      <c r="B31" s="130" t="s">
        <v>119</v>
      </c>
      <c r="C31" s="131">
        <f>IF(B31="","",VLOOKUP(AD31,Varsayımlar!$B:$Q,3,0))</f>
        <v>8698829380698</v>
      </c>
      <c r="D31" s="131"/>
      <c r="E31" s="132" t="s">
        <v>120</v>
      </c>
      <c r="F31" s="130"/>
      <c r="G31" s="130"/>
      <c r="H31" s="130" t="str">
        <f>IF(B31="","",VLOOKUP(AD31,Varsayımlar!$B:$Q,5,0))</f>
        <v>Nimet 25 cm</v>
      </c>
      <c r="I31" s="130">
        <f>IF(B31="","",VLOOKUP(AD31,Varsayımlar!B:T,19,0))</f>
        <v>0</v>
      </c>
      <c r="J31" s="130" t="str">
        <f>IF(B31="","",VLOOKUP(AD31,Varsayımlar!$B:$Q,6,0))</f>
        <v>SADE</v>
      </c>
      <c r="K31" s="130">
        <v>5000</v>
      </c>
      <c r="L31" s="130"/>
      <c r="M31" s="130">
        <f>IFERROR(IF(B31="","",K31/VLOOKUP(AD31,Varsayımlar!B:R,17,0)),"")</f>
        <v>100</v>
      </c>
      <c r="N31" s="130"/>
      <c r="O31" s="130">
        <v>100</v>
      </c>
      <c r="P31" s="130">
        <f>IF(B31="","",VLOOKUP(AD31,Varsayımlar!$B:$Q,7,0)*K31)</f>
        <v>60000</v>
      </c>
      <c r="Q31" s="130">
        <f>IF(B31="","",VLOOKUP(AD31,Varsayımlar!$B:$Q,8,0))</f>
        <v>25</v>
      </c>
      <c r="R31" s="130" t="str">
        <f>IF(B31="","",VLOOKUP(AD31,Varsayımlar!$B:$Q,9,0))</f>
        <v>Standart</v>
      </c>
      <c r="S31" s="130">
        <f>IF(B31="","",VLOOKUP(AD31,Varsayımlar!$B:$Q,10,0))</f>
        <v>12</v>
      </c>
      <c r="T31" s="130">
        <f>IF(B31="","",VLOOKUP(AD31,Varsayımlar!$B:$Q,11,0))</f>
        <v>12</v>
      </c>
      <c r="U31" s="130">
        <f>IF(B31="","",VLOOKUP(AD31,Varsayımlar!$B:$Q,12,0))</f>
        <v>840</v>
      </c>
      <c r="V31" s="130" t="str">
        <f>IF(B31="","",VLOOKUP(AD31,Varsayımlar!$B:$Q,13,0))</f>
        <v>YURTİÇİ</v>
      </c>
      <c r="W31" s="130">
        <f>IF(B31="","",VLOOKUP(AD31,Varsayımlar!$B:$Q,14,0))</f>
        <v>5</v>
      </c>
      <c r="X31" s="133" t="s">
        <v>113</v>
      </c>
      <c r="Y31" s="133" t="s">
        <v>113</v>
      </c>
      <c r="Z31" s="130" t="s">
        <v>113</v>
      </c>
      <c r="AA31" s="130" t="str">
        <f>IF(B31="","",VLOOKUP(AD31,Varsayımlar!$B:$Q,15,0))</f>
        <v>Nimet Kolisi</v>
      </c>
      <c r="AB31" s="130" t="str">
        <f>IF(B31="","",VLOOKUP(AD31,Varsayımlar!$B:$Q,16,0))</f>
        <v>24-26 CM</v>
      </c>
      <c r="AC31" s="64" t="s">
        <v>360</v>
      </c>
      <c r="AD31" s="57" t="str">
        <f>IF(B31="","",CONCATENATE(B31,E31))</f>
        <v>A101Nimet 25cm 12 pcs 840g</v>
      </c>
    </row>
    <row r="32" spans="1:31" ht="36" customHeight="1" x14ac:dyDescent="0.25">
      <c r="A32" s="8" t="s">
        <v>147</v>
      </c>
      <c r="B32" s="149" t="s">
        <v>500</v>
      </c>
      <c r="C32" s="149">
        <f>IF(B32="","",VLOOKUP(AD32,Varsayımlar!$B:$Q,3,0))</f>
        <v>8698829380698</v>
      </c>
      <c r="D32" s="149"/>
      <c r="E32" s="149" t="s">
        <v>501</v>
      </c>
      <c r="F32" s="149">
        <v>26062201</v>
      </c>
      <c r="G32" s="149"/>
      <c r="H32" s="149" t="str">
        <f>IF(B32="","",VLOOKUP(AD32,Varsayımlar!$B:$Q,5,0))</f>
        <v>Tortillas 33cm</v>
      </c>
      <c r="I32" s="149">
        <f>IF(B32="","",VLOOKUP(AD32,Varsayımlar!B:T,19,0))</f>
        <v>0</v>
      </c>
      <c r="J32" s="149" t="str">
        <f>IF(B32="","",VLOOKUP(AD32,Varsayımlar!$B:$Q,6,0))</f>
        <v>Sade</v>
      </c>
      <c r="K32" s="149">
        <v>100</v>
      </c>
      <c r="L32" s="149" t="s">
        <v>528</v>
      </c>
      <c r="M32" s="149">
        <f>IFERROR(IF(B32="","",K32/VLOOKUP(AD32,Varsayımlar!B:R,17,0)),"")</f>
        <v>2</v>
      </c>
      <c r="N32" s="149"/>
      <c r="O32" s="149">
        <v>2</v>
      </c>
      <c r="P32" s="149">
        <f>IF(B32="","",VLOOKUP(AD32,Varsayımlar!$B:$Q,7,0)*K32)</f>
        <v>1200</v>
      </c>
      <c r="Q32" s="149">
        <f>IF(B32="","",VLOOKUP(AD32,Varsayımlar!$B:$Q,8,0))</f>
        <v>33</v>
      </c>
      <c r="R32" s="149" t="str">
        <f>IF(B32="","",VLOOKUP(AD32,Varsayımlar!$B:$Q,9,0))</f>
        <v>Irak Soft</v>
      </c>
      <c r="S32" s="149">
        <f>IF(B32="","",VLOOKUP(AD32,Varsayımlar!$B:$Q,10,0))</f>
        <v>10</v>
      </c>
      <c r="T32" s="149">
        <f>IF(B32="","",VLOOKUP(AD32,Varsayımlar!$B:$Q,11,0))</f>
        <v>12</v>
      </c>
      <c r="U32" s="149">
        <f>IF(B32="","",VLOOKUP(AD32,Varsayımlar!$B:$Q,12,0))</f>
        <v>1000</v>
      </c>
      <c r="V32" s="149" t="str">
        <f>IF(B32="","",VLOOKUP(AD32,Varsayımlar!$B:$Q,13,0))</f>
        <v>Yurtdışı</v>
      </c>
      <c r="W32" s="149">
        <f>IF(B32="","",VLOOKUP(AD32,Varsayımlar!$B:$Q,14,0))</f>
        <v>12</v>
      </c>
      <c r="X32" s="151">
        <v>46231</v>
      </c>
      <c r="Y32" s="151">
        <v>46596</v>
      </c>
      <c r="Z32" s="149">
        <v>26072833</v>
      </c>
      <c r="AA32" s="149" t="str">
        <f>IF(B32="","",VLOOKUP(AD32,Varsayımlar!$B:$Q,15,0))</f>
        <v>33cm Kolisi</v>
      </c>
      <c r="AB32" s="149" t="str">
        <f>IF(B32="","",VLOOKUP(AD32,Varsayımlar!$B:$Q,16,0))</f>
        <v>32-34 cm</v>
      </c>
      <c r="AC32" s="67" t="e">
        <f>IF(B32="","",VLOOKUP(#REF!,#REF!,18,0))</f>
        <v>#REF!</v>
      </c>
      <c r="AD32" s="57" t="str">
        <f t="shared" si="2"/>
        <v>Fama GroupTortillas 33cm 10pcs 1000g</v>
      </c>
    </row>
    <row r="33" spans="1:30" ht="49.5" customHeight="1" x14ac:dyDescent="0.25">
      <c r="A33" s="8" t="s">
        <v>148</v>
      </c>
      <c r="B33" s="152" t="s">
        <v>518</v>
      </c>
      <c r="C33" s="153">
        <f>IF(B33="","",VLOOKUP(AD33,Varsayımlar!$B:$Q,3,0))</f>
        <v>8698829380698</v>
      </c>
      <c r="D33" s="154"/>
      <c r="E33" s="156" t="s">
        <v>501</v>
      </c>
      <c r="F33" s="152">
        <v>26062302</v>
      </c>
      <c r="G33" s="152"/>
      <c r="H33" s="152" t="str">
        <f>IF(B33="","",VLOOKUP(AD33,Varsayımlar!$B:$Q,5,0))</f>
        <v>Tortillas 33cm</v>
      </c>
      <c r="I33" s="152">
        <f>IF(B33="","",VLOOKUP(AD33,Varsayımlar!B:T,19,0))</f>
        <v>0</v>
      </c>
      <c r="J33" s="152" t="str">
        <f>IF(B33="","",VLOOKUP(AD33,Varsayımlar!$B:$Q,6,0))</f>
        <v>Sade</v>
      </c>
      <c r="K33" s="152">
        <v>25</v>
      </c>
      <c r="L33" s="152"/>
      <c r="M33" s="152">
        <f>IFERROR(IF(B33="","",K33/VLOOKUP(AD33,Varsayımlar!B:R,17,0)),"")</f>
        <v>0.5</v>
      </c>
      <c r="N33" s="152"/>
      <c r="O33" s="152">
        <v>1</v>
      </c>
      <c r="P33" s="152">
        <f>IF(B33="","",VLOOKUP(AD33,Varsayımlar!$B:$Q,7,0)*K33)</f>
        <v>300</v>
      </c>
      <c r="Q33" s="152">
        <f>IF(B33="","",VLOOKUP(AD33,Varsayımlar!$B:$Q,8,0))</f>
        <v>33</v>
      </c>
      <c r="R33" s="152" t="str">
        <f>IF(B33="","",VLOOKUP(AD33,Varsayımlar!$B:$Q,9,0))</f>
        <v>Irak Soft</v>
      </c>
      <c r="S33" s="152">
        <f>IF(B33="","",VLOOKUP(AD33,Varsayımlar!$B:$Q,10,0))</f>
        <v>10</v>
      </c>
      <c r="T33" s="152">
        <f>IF(B33="","",VLOOKUP(AD33,Varsayımlar!$B:$Q,11,0))</f>
        <v>12</v>
      </c>
      <c r="U33" s="152">
        <f>IF(B33="","",VLOOKUP(AD33,Varsayımlar!$B:$Q,12,0))</f>
        <v>1000</v>
      </c>
      <c r="V33" s="152" t="str">
        <f>IF(B33="","",VLOOKUP(AD33,Varsayımlar!$B:$Q,13,0))</f>
        <v>Yurtiçi</v>
      </c>
      <c r="W33" s="152">
        <f>IF(B33="","",VLOOKUP(AD33,Varsayımlar!$B:$Q,14,0))</f>
        <v>6</v>
      </c>
      <c r="X33" s="155">
        <v>46231</v>
      </c>
      <c r="Y33" s="155">
        <v>46415</v>
      </c>
      <c r="Z33" s="152">
        <v>26072833</v>
      </c>
      <c r="AA33" s="152" t="str">
        <f>IF(B33="","",VLOOKUP(AD33,Varsayımlar!$B:$Q,15,0))</f>
        <v>33cm Kolisi</v>
      </c>
      <c r="AB33" s="152" t="str">
        <f>IF(B33="","",VLOOKUP(AD33,Varsayımlar!$B:$Q,16,0))</f>
        <v>32-34cm</v>
      </c>
      <c r="AC33" s="8" t="e">
        <f>IF(B33="","",VLOOKUP(#REF!,#REF!,18,0))</f>
        <v>#REF!</v>
      </c>
      <c r="AD33" s="8" t="str">
        <f t="shared" si="2"/>
        <v>Yusuf KöseTortillas 33cm 10pcs 1000g</v>
      </c>
    </row>
    <row r="34" spans="1:30" ht="49.5" customHeight="1" x14ac:dyDescent="0.25">
      <c r="A34" s="8" t="s">
        <v>149</v>
      </c>
      <c r="B34" s="152" t="s">
        <v>518</v>
      </c>
      <c r="C34" s="153">
        <f>IF(B34="","",VLOOKUP(AD34,Varsayımlar!$B:$Q,3,0))</f>
        <v>8698829380698</v>
      </c>
      <c r="D34" s="154"/>
      <c r="E34" s="152" t="s">
        <v>520</v>
      </c>
      <c r="F34" s="152">
        <v>26062302</v>
      </c>
      <c r="G34" s="152"/>
      <c r="H34" s="152" t="str">
        <f>IF(B34="","",VLOOKUP(AD34,Varsayımlar!$B:$Q,5,0))</f>
        <v>Tortillas 30cm</v>
      </c>
      <c r="I34" s="152">
        <f>IF(B34="","",VLOOKUP(AD34,Varsayımlar!B:T,19,0))</f>
        <v>0</v>
      </c>
      <c r="J34" s="152" t="str">
        <f>IF(B34="","",VLOOKUP(AD34,Varsayımlar!$B:$Q,6,0))</f>
        <v>Sade</v>
      </c>
      <c r="K34" s="152">
        <v>15</v>
      </c>
      <c r="L34" s="152"/>
      <c r="M34" s="152">
        <f>IFERROR(IF(B34="","",K34/VLOOKUP(AD34,Varsayımlar!B:R,17,0)),"")</f>
        <v>0.3</v>
      </c>
      <c r="N34" s="152"/>
      <c r="O34" s="152">
        <v>0</v>
      </c>
      <c r="P34" s="152">
        <f>IF(B34="","",VLOOKUP(AD34,Varsayımlar!$B:$Q,7,0)*K34)</f>
        <v>180</v>
      </c>
      <c r="Q34" s="152">
        <f>IF(B34="","",VLOOKUP(AD34,Varsayımlar!$B:$Q,8,0))</f>
        <v>30</v>
      </c>
      <c r="R34" s="152" t="str">
        <f>IF(B34="","",VLOOKUP(AD34,Varsayımlar!$B:$Q,9,0))</f>
        <v>Irak Soft</v>
      </c>
      <c r="S34" s="152">
        <f>IF(B34="","",VLOOKUP(AD34,Varsayımlar!$B:$Q,10,0))</f>
        <v>10</v>
      </c>
      <c r="T34" s="152">
        <f>IF(B34="","",VLOOKUP(AD34,Varsayımlar!$B:$Q,11,0))</f>
        <v>12</v>
      </c>
      <c r="U34" s="152">
        <f>IF(B34="","",VLOOKUP(AD34,Varsayımlar!$B:$Q,12,0))</f>
        <v>950</v>
      </c>
      <c r="V34" s="152" t="str">
        <f>IF(B34="","",VLOOKUP(AD34,Varsayımlar!$B:$Q,13,0))</f>
        <v>Yurtiçi</v>
      </c>
      <c r="W34" s="152">
        <f>IF(B34="","",VLOOKUP(AD34,Varsayımlar!$B:$Q,14,0))</f>
        <v>6</v>
      </c>
      <c r="X34" s="155">
        <v>46231</v>
      </c>
      <c r="Y34" s="155">
        <v>46415</v>
      </c>
      <c r="Z34" s="152">
        <v>26072830</v>
      </c>
      <c r="AA34" s="152" t="str">
        <f>IF(B34="","",VLOOKUP(AD34,Varsayımlar!$B:$Q,15,0))</f>
        <v>30cm Kolisi</v>
      </c>
      <c r="AB34" s="152" t="str">
        <f>IF(B34="","",VLOOKUP(AD34,Varsayımlar!$B:$Q,16,0))</f>
        <v>29-31cm</v>
      </c>
      <c r="AC34" s="8" t="e">
        <f>IF(B34="","",VLOOKUP(#REF!,#REF!,18,0))</f>
        <v>#REF!</v>
      </c>
      <c r="AD34" s="8" t="str">
        <f t="shared" si="2"/>
        <v>Yusuf KöseTortillas 30cm 10pcs 950g</v>
      </c>
    </row>
    <row r="35" spans="1:30" ht="36" customHeight="1" x14ac:dyDescent="0.25">
      <c r="A35" s="8" t="s">
        <v>150</v>
      </c>
      <c r="B35" s="149" t="s">
        <v>500</v>
      </c>
      <c r="C35" s="149">
        <f>IF(B35="","",VLOOKUP(AD35,Varsayımlar!$B:$Q,3,0))</f>
        <v>8698829380698</v>
      </c>
      <c r="D35" s="149"/>
      <c r="E35" s="149" t="s">
        <v>509</v>
      </c>
      <c r="F35" s="149">
        <v>26062201</v>
      </c>
      <c r="G35" s="149"/>
      <c r="H35" s="149" t="str">
        <f>IF(B35="","",VLOOKUP(AD35,Varsayımlar!$B:$Q,5,0))</f>
        <v xml:space="preserve">Tortillas 30cm </v>
      </c>
      <c r="I35" s="149">
        <f>IF(B35="","",VLOOKUP(AD35,Varsayımlar!B:T,19,0))</f>
        <v>0</v>
      </c>
      <c r="J35" s="149" t="str">
        <f>IF(B35="","",VLOOKUP(AD35,Varsayımlar!$B:$Q,6,0))</f>
        <v>Sade</v>
      </c>
      <c r="K35" s="149">
        <v>250</v>
      </c>
      <c r="L35" s="149"/>
      <c r="M35" s="149">
        <f>IFERROR(IF(B35="","",K35/VLOOKUP(AD35,Varsayımlar!B:R,17,0)),"")</f>
        <v>5</v>
      </c>
      <c r="N35" s="149"/>
      <c r="O35" s="149">
        <v>5</v>
      </c>
      <c r="P35" s="149">
        <f>IF(B35="","",VLOOKUP(AD35,Varsayımlar!$B:$Q,7,0)*K35)</f>
        <v>3000</v>
      </c>
      <c r="Q35" s="149">
        <f>IF(B35="","",VLOOKUP(AD35,Varsayımlar!$B:$Q,8,0))</f>
        <v>30</v>
      </c>
      <c r="R35" s="149" t="str">
        <f>IF(B35="","",VLOOKUP(AD35,Varsayımlar!$B:$Q,9,0))</f>
        <v>Irak Soft</v>
      </c>
      <c r="S35" s="149">
        <f>IF(B35="","",VLOOKUP(AD35,Varsayımlar!$B:$Q,10,0))</f>
        <v>10</v>
      </c>
      <c r="T35" s="149">
        <f>IF(B35="","",VLOOKUP(AD35,Varsayımlar!$B:$Q,11,0))</f>
        <v>12</v>
      </c>
      <c r="U35" s="149">
        <f>IF(B35="","",VLOOKUP(AD35,Varsayımlar!$B:$Q,12,0))</f>
        <v>850</v>
      </c>
      <c r="V35" s="149" t="str">
        <f>IF(B35="","",VLOOKUP(AD35,Varsayımlar!$B:$Q,13,0))</f>
        <v>Yurtdışı</v>
      </c>
      <c r="W35" s="149">
        <f>IF(B35="","",VLOOKUP(AD35,Varsayımlar!$B:$Q,14,0))</f>
        <v>12</v>
      </c>
      <c r="X35" s="151">
        <v>46231</v>
      </c>
      <c r="Y35" s="151">
        <v>46596</v>
      </c>
      <c r="Z35" s="149">
        <v>26072830</v>
      </c>
      <c r="AA35" s="151" t="str">
        <f>IF(B35="","",VLOOKUP(AD35,Varsayımlar!$B:$Q,15,0))</f>
        <v>30 cm Kolisi</v>
      </c>
      <c r="AB35" s="151" t="str">
        <f>IF(B35="","",VLOOKUP(AD35,Varsayımlar!$B:$Q,16,0))</f>
        <v>29-31 cm</v>
      </c>
      <c r="AC35" s="67" t="e">
        <f>IF(B35="","",VLOOKUP(#REF!,#REF!,18,0))</f>
        <v>#REF!</v>
      </c>
      <c r="AD35" s="57" t="str">
        <f t="shared" si="2"/>
        <v>Fama GroupTortillas 30cm 10pcs 850g</v>
      </c>
    </row>
    <row r="36" spans="1:30" ht="36" customHeight="1" x14ac:dyDescent="0.25">
      <c r="A36" s="8" t="s">
        <v>151</v>
      </c>
      <c r="B36" s="149" t="s">
        <v>500</v>
      </c>
      <c r="C36" s="149">
        <f>IF(B36="","",VLOOKUP(AD36,Varsayımlar!$B:$Q,3,0))</f>
        <v>8698829380698</v>
      </c>
      <c r="D36" s="149"/>
      <c r="E36" s="149" t="s">
        <v>512</v>
      </c>
      <c r="F36" s="149">
        <v>26062201</v>
      </c>
      <c r="G36" s="149"/>
      <c r="H36" s="149" t="str">
        <f>IF(B36="","",VLOOKUP(AD36,Varsayımlar!$B:$Q,5,0))</f>
        <v>Tortillas 20cm</v>
      </c>
      <c r="I36" s="149">
        <f>IF(B36="","",VLOOKUP(AD36,Varsayımlar!B:T,19,0))</f>
        <v>0</v>
      </c>
      <c r="J36" s="149" t="str">
        <f>IF(B36="","",VLOOKUP(AD36,Varsayımlar!$B:$Q,6,0))</f>
        <v>Sade</v>
      </c>
      <c r="K36" s="149">
        <v>50</v>
      </c>
      <c r="L36" s="149"/>
      <c r="M36" s="149">
        <f>IFERROR(IF(B36="","",K36/VLOOKUP(AD36,Varsayımlar!B:R,17,0)),"")</f>
        <v>1</v>
      </c>
      <c r="N36" s="149"/>
      <c r="O36" s="149">
        <v>1</v>
      </c>
      <c r="P36" s="149">
        <f>IF(B36="","",VLOOKUP(AD36,Varsayımlar!$B:$Q,7,0)*K36)</f>
        <v>600</v>
      </c>
      <c r="Q36" s="149">
        <f>IF(B36="","",VLOOKUP(AD36,Varsayımlar!$B:$Q,8,0))</f>
        <v>20</v>
      </c>
      <c r="R36" s="149" t="str">
        <f>IF(B36="","",VLOOKUP(AD36,Varsayımlar!$B:$Q,9,0))</f>
        <v>Irak Soft</v>
      </c>
      <c r="S36" s="149">
        <f>IF(B36="","",VLOOKUP(AD36,Varsayımlar!$B:$Q,10,0))</f>
        <v>10</v>
      </c>
      <c r="T36" s="149">
        <f>IF(B36="","",VLOOKUP(AD36,Varsayımlar!$B:$Q,11,0))</f>
        <v>12</v>
      </c>
      <c r="U36" s="149">
        <f>IF(B36="","",VLOOKUP(AD36,Varsayımlar!$B:$Q,12,0))</f>
        <v>450</v>
      </c>
      <c r="V36" s="149" t="str">
        <f>IF(B36="","",VLOOKUP(AD36,Varsayımlar!$B:$Q,13,0))</f>
        <v>Yurtdışı</v>
      </c>
      <c r="W36" s="149">
        <f>IF(B36="","",VLOOKUP(AD36,Varsayımlar!$B:$Q,14,0))</f>
        <v>12</v>
      </c>
      <c r="X36" s="151">
        <v>46231</v>
      </c>
      <c r="Y36" s="151">
        <v>46596</v>
      </c>
      <c r="Z36" s="149">
        <v>26072820</v>
      </c>
      <c r="AA36" s="151" t="str">
        <f>IF(B36="","",VLOOKUP(AD36,Varsayımlar!$B:$Q,15,0))</f>
        <v>20cm Siyah Koli</v>
      </c>
      <c r="AB36" s="151" t="str">
        <f>IF(B36="","",VLOOKUP(AD36,Varsayımlar!$B:$Q,16,0))</f>
        <v>19-21cm</v>
      </c>
      <c r="AC36" s="67" t="e">
        <f>IF(B36="","",VLOOKUP(#REF!,#REF!,18,0))</f>
        <v>#REF!</v>
      </c>
      <c r="AD36" s="57" t="str">
        <f t="shared" si="2"/>
        <v>Fama GroupTortillas 20cm 10pcs 450g</v>
      </c>
    </row>
    <row r="37" spans="1:30" ht="36" customHeight="1" x14ac:dyDescent="0.25">
      <c r="A37" s="8" t="s">
        <v>152</v>
      </c>
      <c r="B37" s="149" t="s">
        <v>500</v>
      </c>
      <c r="C37" s="149">
        <f>IF(B37="","",VLOOKUP(AD37,Varsayımlar!$B:$Q,3,0))</f>
        <v>8698829380698</v>
      </c>
      <c r="D37" s="149"/>
      <c r="E37" s="149" t="s">
        <v>229</v>
      </c>
      <c r="F37" s="149">
        <v>26062201</v>
      </c>
      <c r="G37" s="149"/>
      <c r="H37" s="149" t="str">
        <f>IF(B37="","",VLOOKUP(AD37,Varsayımlar!$B:$Q,5,0))</f>
        <v>Tortillas 25cm Tam Buğday</v>
      </c>
      <c r="I37" s="149">
        <f>IF(B37="","",VLOOKUP(AD37,Varsayımlar!B:T,19,0))</f>
        <v>0</v>
      </c>
      <c r="J37" s="149" t="str">
        <f>IF(B37="","",VLOOKUP(AD37,Varsayımlar!$B:$Q,6,0))</f>
        <v>Tam Buğdaylı</v>
      </c>
      <c r="K37" s="149">
        <v>50</v>
      </c>
      <c r="L37" s="149"/>
      <c r="M37" s="149">
        <f>IFERROR(IF(B37="","",K37/VLOOKUP(AD37,Varsayımlar!B:R,17,0)),"")</f>
        <v>1</v>
      </c>
      <c r="N37" s="149"/>
      <c r="O37" s="149">
        <v>1</v>
      </c>
      <c r="P37" s="149">
        <f>IF(B37="","",VLOOKUP(AD37,Varsayımlar!$B:$Q,7,0)*K37)</f>
        <v>600</v>
      </c>
      <c r="Q37" s="149">
        <f>IF(B37="","",VLOOKUP(AD37,Varsayımlar!$B:$Q,8,0))</f>
        <v>25</v>
      </c>
      <c r="R37" s="149" t="str">
        <f>IF(B37="","",VLOOKUP(AD37,Varsayımlar!$B:$Q,9,0))</f>
        <v>Irak Soft</v>
      </c>
      <c r="S37" s="149">
        <f>IF(B37="","",VLOOKUP(AD37,Varsayımlar!$B:$Q,10,0))</f>
        <v>10</v>
      </c>
      <c r="T37" s="149">
        <f>IF(B37="","",VLOOKUP(AD37,Varsayımlar!$B:$Q,11,0))</f>
        <v>12</v>
      </c>
      <c r="U37" s="149">
        <f>IF(B37="","",VLOOKUP(AD37,Varsayımlar!$B:$Q,12,0))</f>
        <v>650</v>
      </c>
      <c r="V37" s="149" t="str">
        <f>IF(B37="","",VLOOKUP(AD37,Varsayımlar!$B:$Q,13,0))</f>
        <v>Yurtdışı</v>
      </c>
      <c r="W37" s="149">
        <f>IF(B37="","",VLOOKUP(AD37,Varsayımlar!$B:$Q,14,0))</f>
        <v>12</v>
      </c>
      <c r="X37" s="151">
        <v>46231</v>
      </c>
      <c r="Y37" s="151">
        <v>46596</v>
      </c>
      <c r="Z37" s="149" t="s">
        <v>525</v>
      </c>
      <c r="AA37" s="151" t="str">
        <f>IF(B37="","",VLOOKUP(AD37,Varsayımlar!$B:$Q,15,0))</f>
        <v>25cm Kolisi-Etiketli</v>
      </c>
      <c r="AB37" s="151" t="str">
        <f>IF(B37="","",VLOOKUP(AD37,Varsayımlar!$B:$Q,16,0))</f>
        <v>24-26 cm</v>
      </c>
      <c r="AC37" s="67" t="e">
        <f>IF(B37="","",VLOOKUP(#REF!,#REF!,18,0))</f>
        <v>#REF!</v>
      </c>
      <c r="AD37" s="57" t="str">
        <f t="shared" si="2"/>
        <v>Fama GroupTortillas 25cm Tam Buğday 10pcs 650g</v>
      </c>
    </row>
    <row r="38" spans="1:30" ht="32.25" customHeight="1" x14ac:dyDescent="0.25">
      <c r="A38" s="8" t="s">
        <v>153</v>
      </c>
      <c r="B38" s="67" t="s">
        <v>460</v>
      </c>
      <c r="C38" s="42">
        <f>IF(B38="","",VLOOKUP(AD38,Varsayımlar!$B:$Q,3,0))</f>
        <v>8698829380698</v>
      </c>
      <c r="D38" s="67" t="s">
        <v>539</v>
      </c>
      <c r="E38" s="67" t="s">
        <v>464</v>
      </c>
      <c r="F38" s="67">
        <v>20260626</v>
      </c>
      <c r="G38" s="67"/>
      <c r="H38" s="67" t="str">
        <f>IF(B38="","",VLOOKUP(AD38,Varsayımlar!$B:$Q,5,0))</f>
        <v>Tortillove 20cm</v>
      </c>
      <c r="I38" s="67">
        <f>IF(B38="","",VLOOKUP(AD38,Varsayımlar!B:T,19,0))</f>
        <v>0</v>
      </c>
      <c r="J38" s="67" t="str">
        <f>IF(B38="","",VLOOKUP(AD38,Varsayımlar!$B:$Q,6,0))</f>
        <v>SADE</v>
      </c>
      <c r="K38" s="67">
        <v>400</v>
      </c>
      <c r="L38" s="67"/>
      <c r="M38" s="67">
        <f>IFERROR(IF(B38="","",K38/VLOOKUP(AD38,Varsayımlar!B:R,17,0)),"")</f>
        <v>4</v>
      </c>
      <c r="N38" s="67"/>
      <c r="O38" s="67"/>
      <c r="P38" s="67">
        <f>IF(B38="","",VLOOKUP(AD38,Varsayımlar!$B:$Q,7,0)*K38)</f>
        <v>4800</v>
      </c>
      <c r="Q38" s="67">
        <f>IF(B38="","",VLOOKUP(AD38,Varsayımlar!$B:$Q,8,0))</f>
        <v>20</v>
      </c>
      <c r="R38" s="67" t="str">
        <f>IF(B38="","",VLOOKUP(AD38,Varsayımlar!$B:$Q,9,0))</f>
        <v>Irak Soft</v>
      </c>
      <c r="S38" s="67">
        <f>IF(B38="","",VLOOKUP(AD38,Varsayımlar!$B:$Q,10,0))</f>
        <v>10</v>
      </c>
      <c r="T38" s="67">
        <f>IF(B38="","",VLOOKUP(AD38,Varsayımlar!$B:$Q,11,0))</f>
        <v>12</v>
      </c>
      <c r="U38" s="67">
        <f>IF(B38="","",VLOOKUP(AD38,Varsayımlar!$B:$Q,12,0))</f>
        <v>450</v>
      </c>
      <c r="V38" s="67" t="str">
        <f>IF(B38="","",VLOOKUP(AD38,Varsayımlar!$B:$Q,13,0))</f>
        <v>Yurtdışı</v>
      </c>
      <c r="W38" s="67">
        <f>IF(B38="","",VLOOKUP(AD38,Varsayımlar!$B:$Q,14,0))</f>
        <v>6</v>
      </c>
      <c r="X38" s="69"/>
      <c r="Y38" s="69"/>
      <c r="Z38" s="67"/>
      <c r="AA38" s="67" t="str">
        <f>IF(B38="","",VLOOKUP(AD38,Varsayımlar!$B:$Q,15,0))</f>
        <v>20cm kolisi</v>
      </c>
      <c r="AB38" s="67" t="str">
        <f>IF(B38="","",VLOOKUP(AD38,Varsayımlar!$B:$Q,16,0))</f>
        <v>19-21 cm</v>
      </c>
      <c r="AC38" s="75">
        <f>IF(B38="","",VLOOKUP(Sayfa1!AD84,Varsayımlar!B:S,18,0))</f>
        <v>0</v>
      </c>
      <c r="AD38" s="57" t="str">
        <f t="shared" si="2"/>
        <v>Yüksekbaş GıdaYüksekbaş 20cm 10pcs 450g</v>
      </c>
    </row>
    <row r="39" spans="1:30" ht="32.25" customHeight="1" x14ac:dyDescent="0.25">
      <c r="A39" s="8" t="s">
        <v>154</v>
      </c>
      <c r="B39" s="67" t="s">
        <v>460</v>
      </c>
      <c r="C39" s="42">
        <f>IF(B39="","",VLOOKUP(AD39,Varsayımlar!$B:$Q,3,0))</f>
        <v>8698829380698</v>
      </c>
      <c r="D39" s="67" t="s">
        <v>539</v>
      </c>
      <c r="E39" s="67" t="s">
        <v>470</v>
      </c>
      <c r="F39" s="67">
        <v>20260626</v>
      </c>
      <c r="G39" s="67"/>
      <c r="H39" s="67" t="str">
        <f>IF(B39="","",VLOOKUP(AD39,Varsayımlar!$B:$Q,5,0))</f>
        <v>Tortillove 30cm</v>
      </c>
      <c r="I39" s="67">
        <f>IF(B39="","",VLOOKUP(AD39,Varsayımlar!B:T,19,0))</f>
        <v>0</v>
      </c>
      <c r="J39" s="67" t="str">
        <f>IF(B39="","",VLOOKUP(AD39,Varsayımlar!$B:$Q,6,0))</f>
        <v>SADE</v>
      </c>
      <c r="K39" s="67">
        <v>660</v>
      </c>
      <c r="L39" s="67"/>
      <c r="M39" s="67">
        <f>IFERROR(IF(B39="","",K39/VLOOKUP(AD39,Varsayımlar!B:R,17,0)),"")</f>
        <v>10</v>
      </c>
      <c r="N39" s="67"/>
      <c r="O39" s="67"/>
      <c r="P39" s="67">
        <f>IF(B39="","",VLOOKUP(AD39,Varsayımlar!$B:$Q,7,0)*K39)</f>
        <v>7920</v>
      </c>
      <c r="Q39" s="67">
        <f>IF(B39="","",VLOOKUP(AD39,Varsayımlar!$B:$Q,8,0))</f>
        <v>30</v>
      </c>
      <c r="R39" s="67" t="str">
        <f>IF(B39="","",VLOOKUP(AD39,Varsayımlar!$B:$Q,9,0))</f>
        <v>Irak Soft</v>
      </c>
      <c r="S39" s="67">
        <f>IF(B39="","",VLOOKUP(AD39,Varsayımlar!$B:$Q,10,0))</f>
        <v>10</v>
      </c>
      <c r="T39" s="67">
        <f>IF(B39="","",VLOOKUP(AD39,Varsayımlar!$B:$Q,11,0))</f>
        <v>12</v>
      </c>
      <c r="U39" s="67">
        <f>IF(B39="","",VLOOKUP(AD39,Varsayımlar!$B:$Q,12,0))</f>
        <v>950</v>
      </c>
      <c r="V39" s="67" t="str">
        <f>IF(B39="","",VLOOKUP(AD39,Varsayımlar!$B:$Q,13,0))</f>
        <v>Yurtdışı</v>
      </c>
      <c r="W39" s="67">
        <f>IF(B39="","",VLOOKUP(AD39,Varsayımlar!$B:$Q,14,0))</f>
        <v>6</v>
      </c>
      <c r="X39" s="69"/>
      <c r="Y39" s="69"/>
      <c r="Z39" s="67"/>
      <c r="AA39" s="67" t="str">
        <f>IF(B39="","",VLOOKUP(AD39,Varsayımlar!$B:$Q,15,0))</f>
        <v>30cm Kolisi</v>
      </c>
      <c r="AB39" s="67" t="str">
        <f>IF(B39="","",VLOOKUP(AD39,Varsayımlar!$B:$Q,16,0))</f>
        <v>29-31 cm</v>
      </c>
      <c r="AC39" s="75">
        <f>IF(B39="","",VLOOKUP(Sayfa1!AD84,Varsayımlar!B:S,18,0))</f>
        <v>0</v>
      </c>
      <c r="AD39" s="57" t="str">
        <f t="shared" si="2"/>
        <v>Yüksekbaş GıdaYüksekbaş 30cm 10pcs 950g</v>
      </c>
    </row>
    <row r="40" spans="1:30" ht="36" customHeight="1" x14ac:dyDescent="0.25">
      <c r="A40" s="8" t="s">
        <v>155</v>
      </c>
      <c r="B40" s="67"/>
      <c r="C40" s="42" t="str">
        <f>IF(B40="","",VLOOKUP(AD40,#REF!,3,0))</f>
        <v/>
      </c>
      <c r="D40" s="42"/>
      <c r="E40" s="42"/>
      <c r="F40" s="67"/>
      <c r="G40" s="67"/>
      <c r="H40" s="67" t="str">
        <f>IF(B40="","",VLOOKUP(AD40,#REF!,5,0))</f>
        <v/>
      </c>
      <c r="I40" s="67" t="str">
        <f>IF(B40="","",VLOOKUP(AD40,#REF!,19,0))</f>
        <v/>
      </c>
      <c r="J40" s="67" t="str">
        <f>IF(B40="","",VLOOKUP(AD40,#REF!,6,0))</f>
        <v/>
      </c>
      <c r="K40" s="67"/>
      <c r="L40" s="67"/>
      <c r="M40" s="67" t="str">
        <f>IFERROR(IF(B40="","",K40/VLOOKUP(AD40,Varsayımlar!B:R,17,0)),"")</f>
        <v/>
      </c>
      <c r="N40" s="67"/>
      <c r="O40" s="67"/>
      <c r="P40" s="67" t="str">
        <f>IF(B40="","",VLOOKUP(AD40,#REF!,7,0)*K40)</f>
        <v/>
      </c>
      <c r="Q40" s="67" t="str">
        <f>IF(B40="","",VLOOKUP(AD40,#REF!,8,0))</f>
        <v/>
      </c>
      <c r="R40" s="67" t="str">
        <f>IF(B40="","",VLOOKUP(AD40,#REF!,9,0))</f>
        <v/>
      </c>
      <c r="S40" s="67" t="str">
        <f>IF(B40="","",VLOOKUP(AD40,#REF!,10,0))</f>
        <v/>
      </c>
      <c r="T40" s="67" t="str">
        <f>IF(B40="","",VLOOKUP(AD40,#REF!,11,0))</f>
        <v/>
      </c>
      <c r="U40" s="67" t="str">
        <f>IF(B40="","",VLOOKUP(AD40,#REF!,12,0))</f>
        <v/>
      </c>
      <c r="V40" s="67" t="str">
        <f>IF(B40="","",VLOOKUP(AD40,#REF!,13,0))</f>
        <v/>
      </c>
      <c r="W40" s="67" t="str">
        <f>IF(B40="","",VLOOKUP(AD40,#REF!,14,0))</f>
        <v/>
      </c>
      <c r="X40" s="69"/>
      <c r="Y40" s="69"/>
      <c r="Z40" s="67"/>
      <c r="AA40" s="67" t="str">
        <f>IF(B40="","",VLOOKUP(AD40,#REF!,15,0))</f>
        <v/>
      </c>
      <c r="AB40" s="67" t="str">
        <f>IF(B40="","",VLOOKUP(AD40,#REF!,16,0))</f>
        <v/>
      </c>
      <c r="AC40" s="145"/>
      <c r="AD40" s="57"/>
    </row>
    <row r="41" spans="1:30" ht="36" customHeight="1" x14ac:dyDescent="0.25">
      <c r="A41" s="8" t="s">
        <v>156</v>
      </c>
      <c r="B41" s="67"/>
      <c r="C41" s="42" t="str">
        <f>IF(B41="","",VLOOKUP(AD41,#REF!,3,0))</f>
        <v/>
      </c>
      <c r="D41" s="42"/>
      <c r="E41" s="42"/>
      <c r="F41" s="67"/>
      <c r="G41" s="67"/>
      <c r="H41" s="67" t="str">
        <f>IF(B41="","",VLOOKUP(AD41,#REF!,5,0))</f>
        <v/>
      </c>
      <c r="I41" s="67" t="str">
        <f>IF(B41="","",VLOOKUP(AD41,#REF!,19,0))</f>
        <v/>
      </c>
      <c r="J41" s="67" t="str">
        <f>IF(B41="","",VLOOKUP(AD41,#REF!,6,0))</f>
        <v/>
      </c>
      <c r="K41" s="67"/>
      <c r="L41" s="67"/>
      <c r="M41" s="67" t="str">
        <f>IFERROR(IF(B41="","",K41/VLOOKUP(AD41,Varsayımlar!B:R,17,0)),"")</f>
        <v/>
      </c>
      <c r="N41" s="67"/>
      <c r="O41" s="67"/>
      <c r="P41" s="67" t="str">
        <f>IF(B41="","",VLOOKUP(AD41,#REF!,7,0)*K41)</f>
        <v/>
      </c>
      <c r="Q41" s="67" t="str">
        <f>IF(B41="","",VLOOKUP(AD41,#REF!,8,0))</f>
        <v/>
      </c>
      <c r="R41" s="67" t="str">
        <f>IF(B41="","",VLOOKUP(AD41,#REF!,9,0))</f>
        <v/>
      </c>
      <c r="S41" s="67" t="str">
        <f>IF(B41="","",VLOOKUP(AD41,#REF!,10,0))</f>
        <v/>
      </c>
      <c r="T41" s="67" t="str">
        <f>IF(B41="","",VLOOKUP(AD41,#REF!,11,0))</f>
        <v/>
      </c>
      <c r="U41" s="67" t="str">
        <f>IF(B41="","",VLOOKUP(AD41,#REF!,12,0))</f>
        <v/>
      </c>
      <c r="V41" s="67" t="str">
        <f>IF(B41="","",VLOOKUP(AD41,#REF!,13,0))</f>
        <v/>
      </c>
      <c r="W41" s="67" t="str">
        <f>IF(B41="","",VLOOKUP(AD41,#REF!,14,0))</f>
        <v/>
      </c>
      <c r="X41" s="69"/>
      <c r="Y41" s="69"/>
      <c r="Z41" s="67"/>
      <c r="AA41" s="67" t="str">
        <f>IF(B41="","",VLOOKUP(AD41,#REF!,15,0))</f>
        <v/>
      </c>
      <c r="AB41" s="67" t="str">
        <f>IF(B41="","",VLOOKUP(AD41,#REF!,16,0))</f>
        <v/>
      </c>
      <c r="AC41" s="145"/>
      <c r="AD41" s="57"/>
    </row>
    <row r="42" spans="1:30" ht="36" customHeight="1" x14ac:dyDescent="0.25">
      <c r="A42" s="8" t="s">
        <v>157</v>
      </c>
      <c r="B42" s="67"/>
      <c r="C42" s="42" t="str">
        <f>IF(B42="","",VLOOKUP(AD42,#REF!,3,0))</f>
        <v/>
      </c>
      <c r="D42" s="42"/>
      <c r="E42" s="42"/>
      <c r="F42" s="67"/>
      <c r="G42" s="67"/>
      <c r="H42" s="67" t="str">
        <f>IF(B42="","",VLOOKUP(AD42,#REF!,5,0))</f>
        <v/>
      </c>
      <c r="I42" s="67" t="str">
        <f>IF(B42="","",VLOOKUP(AD42,#REF!,19,0))</f>
        <v/>
      </c>
      <c r="J42" s="67" t="str">
        <f>IF(B42="","",VLOOKUP(AD42,#REF!,6,0))</f>
        <v/>
      </c>
      <c r="K42" s="67"/>
      <c r="L42" s="67"/>
      <c r="M42" s="67" t="str">
        <f>IFERROR(IF(B42="","",K42/VLOOKUP(AD42,Varsayımlar!B:R,17,0)),"")</f>
        <v/>
      </c>
      <c r="N42" s="67"/>
      <c r="O42" s="67"/>
      <c r="P42" s="67" t="str">
        <f>IF(B42="","",VLOOKUP(AD42,#REF!,7,0)*K42)</f>
        <v/>
      </c>
      <c r="Q42" s="67" t="str">
        <f>IF(B42="","",VLOOKUP(AD42,#REF!,8,0))</f>
        <v/>
      </c>
      <c r="R42" s="67" t="str">
        <f>IF(B42="","",VLOOKUP(AD42,#REF!,9,0))</f>
        <v/>
      </c>
      <c r="S42" s="67" t="str">
        <f>IF(B42="","",VLOOKUP(AD42,#REF!,10,0))</f>
        <v/>
      </c>
      <c r="T42" s="67" t="str">
        <f>IF(B42="","",VLOOKUP(AD42,#REF!,11,0))</f>
        <v/>
      </c>
      <c r="U42" s="67" t="str">
        <f>IF(B42="","",VLOOKUP(AD42,#REF!,12,0))</f>
        <v/>
      </c>
      <c r="V42" s="67" t="str">
        <f>IF(B42="","",VLOOKUP(AD42,#REF!,13,0))</f>
        <v/>
      </c>
      <c r="W42" s="67" t="str">
        <f>IF(B42="","",VLOOKUP(AD42,#REF!,14,0))</f>
        <v/>
      </c>
      <c r="X42" s="69"/>
      <c r="Y42" s="69"/>
      <c r="Z42" s="67"/>
      <c r="AA42" s="67" t="str">
        <f>IF(B42="","",VLOOKUP(AD42,#REF!,15,0))</f>
        <v/>
      </c>
      <c r="AB42" s="67" t="str">
        <f>IF(B42="","",VLOOKUP(AD42,#REF!,16,0))</f>
        <v/>
      </c>
      <c r="AC42" s="145"/>
      <c r="AD42" s="57"/>
    </row>
    <row r="43" spans="1:30" ht="36" customHeight="1" x14ac:dyDescent="0.25">
      <c r="A43" s="8" t="s">
        <v>158</v>
      </c>
      <c r="B43" s="67"/>
      <c r="C43" s="42" t="str">
        <f>IF(B43="","",VLOOKUP(AD43,#REF!,3,0))</f>
        <v/>
      </c>
      <c r="D43" s="42"/>
      <c r="E43" s="42"/>
      <c r="F43" s="67"/>
      <c r="G43" s="67"/>
      <c r="H43" s="67" t="str">
        <f>IF(B43="","",VLOOKUP(AD43,#REF!,5,0))</f>
        <v/>
      </c>
      <c r="I43" s="67" t="str">
        <f>IF(B43="","",VLOOKUP(AD43,#REF!,19,0))</f>
        <v/>
      </c>
      <c r="J43" s="67" t="str">
        <f>IF(B43="","",VLOOKUP(AD43,#REF!,6,0))</f>
        <v/>
      </c>
      <c r="K43" s="67"/>
      <c r="L43" s="67"/>
      <c r="M43" s="67" t="str">
        <f>IFERROR(IF(B43="","",K43/VLOOKUP(AD43,Varsayımlar!B:R,17,0)),"")</f>
        <v/>
      </c>
      <c r="N43" s="67"/>
      <c r="O43" s="67"/>
      <c r="P43" s="67" t="str">
        <f>IF(B43="","",VLOOKUP(AD43,#REF!,7,0)*K43)</f>
        <v/>
      </c>
      <c r="Q43" s="67" t="str">
        <f>IF(B43="","",VLOOKUP(AD43,#REF!,8,0))</f>
        <v/>
      </c>
      <c r="R43" s="67" t="str">
        <f>IF(B43="","",VLOOKUP(AD43,#REF!,9,0))</f>
        <v/>
      </c>
      <c r="S43" s="67" t="str">
        <f>IF(B43="","",VLOOKUP(AD43,#REF!,10,0))</f>
        <v/>
      </c>
      <c r="T43" s="67" t="str">
        <f>IF(B43="","",VLOOKUP(AD43,#REF!,11,0))</f>
        <v/>
      </c>
      <c r="U43" s="67" t="str">
        <f>IF(B43="","",VLOOKUP(AD43,#REF!,12,0))</f>
        <v/>
      </c>
      <c r="V43" s="67" t="str">
        <f>IF(B43="","",VLOOKUP(AD43,#REF!,13,0))</f>
        <v/>
      </c>
      <c r="W43" s="67" t="str">
        <f>IF(B43="","",VLOOKUP(AD43,#REF!,14,0))</f>
        <v/>
      </c>
      <c r="X43" s="69"/>
      <c r="Y43" s="69"/>
      <c r="Z43" s="67"/>
      <c r="AA43" s="67" t="str">
        <f>IF(B43="","",VLOOKUP(AD43,#REF!,15,0))</f>
        <v/>
      </c>
      <c r="AB43" s="67" t="str">
        <f>IF(B43="","",VLOOKUP(AD43,#REF!,16,0))</f>
        <v/>
      </c>
      <c r="AC43" s="145"/>
      <c r="AD43" s="57"/>
    </row>
    <row r="44" spans="1:30" x14ac:dyDescent="0.25">
      <c r="A44" s="134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6"/>
      <c r="Y44" s="136"/>
      <c r="Z44" s="135"/>
      <c r="AA44" s="135"/>
      <c r="AB44" s="137"/>
      <c r="AC44" s="138"/>
      <c r="AD44" s="57"/>
    </row>
    <row r="45" spans="1:30" ht="31.5" customHeight="1" x14ac:dyDescent="0.25">
      <c r="A45" s="182" t="s">
        <v>344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4"/>
      <c r="AC45" s="38"/>
    </row>
    <row r="46" spans="1:30" ht="63" x14ac:dyDescent="0.25">
      <c r="A46" s="8" t="s">
        <v>0</v>
      </c>
      <c r="B46" s="8" t="s">
        <v>1</v>
      </c>
      <c r="C46" s="9" t="s">
        <v>31</v>
      </c>
      <c r="D46" s="9" t="s">
        <v>124</v>
      </c>
      <c r="E46" s="9" t="s">
        <v>36</v>
      </c>
      <c r="F46" s="8" t="s">
        <v>37</v>
      </c>
      <c r="G46" s="8" t="s">
        <v>13</v>
      </c>
      <c r="H46" s="8" t="s">
        <v>2</v>
      </c>
      <c r="I46" s="8" t="s">
        <v>49</v>
      </c>
      <c r="J46" s="8" t="s">
        <v>3</v>
      </c>
      <c r="K46" s="8" t="s">
        <v>21</v>
      </c>
      <c r="L46" s="8" t="s">
        <v>94</v>
      </c>
      <c r="M46" s="8" t="s">
        <v>20</v>
      </c>
      <c r="N46" s="8" t="s">
        <v>165</v>
      </c>
      <c r="O46" s="8" t="s">
        <v>123</v>
      </c>
      <c r="P46" s="8" t="s">
        <v>16</v>
      </c>
      <c r="Q46" s="8" t="s">
        <v>4</v>
      </c>
      <c r="R46" s="8" t="s">
        <v>5</v>
      </c>
      <c r="S46" s="8" t="s">
        <v>6</v>
      </c>
      <c r="T46" s="8" t="s">
        <v>28</v>
      </c>
      <c r="U46" s="8" t="s">
        <v>7</v>
      </c>
      <c r="V46" s="8" t="s">
        <v>8</v>
      </c>
      <c r="W46" s="8" t="s">
        <v>267</v>
      </c>
      <c r="X46" s="8" t="s">
        <v>10</v>
      </c>
      <c r="Y46" s="8" t="s">
        <v>11</v>
      </c>
      <c r="Z46" s="8" t="s">
        <v>12</v>
      </c>
      <c r="AA46" s="8" t="s">
        <v>14</v>
      </c>
      <c r="AB46" s="8" t="s">
        <v>15</v>
      </c>
      <c r="AC46" s="8" t="s">
        <v>208</v>
      </c>
      <c r="AD46" s="140" t="s">
        <v>41</v>
      </c>
    </row>
    <row r="47" spans="1:30" ht="47.25" x14ac:dyDescent="0.25">
      <c r="A47" s="8" t="s">
        <v>26</v>
      </c>
      <c r="B47" s="64" t="s">
        <v>288</v>
      </c>
      <c r="C47" s="3">
        <f>IF(B47="","",VLOOKUP(AD47,Varsayımlar!$B:$Q,3,0))</f>
        <v>8698829380698</v>
      </c>
      <c r="D47" s="3"/>
      <c r="E47" s="64" t="s">
        <v>292</v>
      </c>
      <c r="F47" s="64">
        <v>20201016</v>
      </c>
      <c r="G47" s="3" t="s">
        <v>68</v>
      </c>
      <c r="H47" s="64" t="str">
        <f>IF(B47="","",VLOOKUP(AD47,Varsayımlar!$B:$Q,5,0))</f>
        <v>Kırmızı Tortillas 25cm Sade</v>
      </c>
      <c r="I47" s="64" t="str">
        <f>IF(B47="","",VLOOKUP(AD47,Varsayımlar!B:T,19,0))</f>
        <v>Arka kısma İçerik</v>
      </c>
      <c r="J47" s="64" t="str">
        <f>IF(B47="","",VLOOKUP(AD47,Varsayımlar!$B:$Q,6,0))</f>
        <v>SADE</v>
      </c>
      <c r="K47" s="64">
        <v>250</v>
      </c>
      <c r="L47" s="64"/>
      <c r="M47" s="64">
        <f>IFERROR(IF(B47="","",K47/VLOOKUP(AD47,Varsayımlar!B:R,17,0)),"")</f>
        <v>5</v>
      </c>
      <c r="N47" s="64"/>
      <c r="O47" s="64">
        <v>4</v>
      </c>
      <c r="P47" s="64">
        <f>IF(B47="","",VLOOKUP(AD47,Varsayımlar!$B:$Q,7,0)*K47)</f>
        <v>4500</v>
      </c>
      <c r="Q47" s="64">
        <f>IF(B47="","",VLOOKUP(AD47,Varsayımlar!$B:$Q,8,0))</f>
        <v>25</v>
      </c>
      <c r="R47" s="64" t="str">
        <f>IF(B47="","",VLOOKUP(AD47,Varsayımlar!$B:$Q,9,0))</f>
        <v>Irak Soft</v>
      </c>
      <c r="S47" s="64">
        <f>IF(B47="","",VLOOKUP(AD47,Varsayımlar!$B:$Q,10,0))</f>
        <v>6</v>
      </c>
      <c r="T47" s="64">
        <f>IF(B47="","",VLOOKUP(AD47,Varsayımlar!$B:$Q,11,0))</f>
        <v>18</v>
      </c>
      <c r="U47" s="64">
        <f>IF(B47="","",VLOOKUP(AD47,Varsayımlar!$B:$Q,12,0))</f>
        <v>390</v>
      </c>
      <c r="V47" s="64" t="str">
        <f>IF(B47="","",VLOOKUP(AD47,Varsayımlar!$B:$Q,13,0))</f>
        <v>YURTDIŞI</v>
      </c>
      <c r="W47" s="64">
        <f>IF(B47="","",VLOOKUP(AD47,Varsayımlar!$B:$Q,14,0))</f>
        <v>9</v>
      </c>
      <c r="X47" s="66">
        <v>46202</v>
      </c>
      <c r="Y47" s="66">
        <v>46475</v>
      </c>
      <c r="Z47" s="64">
        <v>26062925</v>
      </c>
      <c r="AA47" s="64" t="str">
        <f>IF(B47="","",VLOOKUP(AD47,Varsayımlar!$B:$Q,15,0))</f>
        <v>25cm Koli</v>
      </c>
      <c r="AB47" s="64" t="str">
        <f>IF(B47="","",VLOOKUP(AD47,Varsayımlar!$B:$Q,16,0))</f>
        <v>24-26 cm</v>
      </c>
      <c r="AC47" s="64" t="str">
        <f>IF(B47="","",VLOOKUP(Sayfa1!AD42,Varsayımlar!B:S,18,0))</f>
        <v>80x120cm</v>
      </c>
      <c r="AD47" s="57" t="str">
        <f t="shared" ref="AD47:AD48" si="4">IF(B47="","",CONCATENATE(B47,E47))</f>
        <v>UNITERA-KAZAKİSTANKırmızı Tortillas 25cm Sade 6pcs 390g</v>
      </c>
    </row>
    <row r="48" spans="1:30" ht="44.25" customHeight="1" x14ac:dyDescent="0.25">
      <c r="A48" s="8" t="s">
        <v>77</v>
      </c>
      <c r="B48" s="80" t="s">
        <v>218</v>
      </c>
      <c r="C48" s="44">
        <f>IF(B48="","",VLOOKUP(AD48,Varsayımlar!$B:$Q,3,0))</f>
        <v>8698829380698</v>
      </c>
      <c r="D48" s="44" t="s">
        <v>160</v>
      </c>
      <c r="E48" s="80" t="s">
        <v>228</v>
      </c>
      <c r="F48" s="80">
        <v>26042907</v>
      </c>
      <c r="G48" s="44"/>
      <c r="H48" s="80" t="str">
        <f>IF(B48="","",VLOOKUP(AD48,Varsayımlar!$B:$Q,5,0))</f>
        <v>Tortillas Avrupa 25cm (698)</v>
      </c>
      <c r="I48" s="80">
        <f>IF(B48="","",VLOOKUP(AD48,Varsayımlar!B:T,19,0))</f>
        <v>0</v>
      </c>
      <c r="J48" s="80" t="str">
        <f>IF(B48="","",VLOOKUP(AD48,Varsayımlar!$B:$Q,6,0))</f>
        <v>SADE</v>
      </c>
      <c r="K48" s="80">
        <v>720</v>
      </c>
      <c r="L48" s="80"/>
      <c r="M48" s="80">
        <f>IFERROR(IF(B48="","",K48/VLOOKUP(AD48,Varsayımlar!B:R,17,0)),"")</f>
        <v>6</v>
      </c>
      <c r="N48" s="80"/>
      <c r="O48" s="80">
        <v>7</v>
      </c>
      <c r="P48" s="80">
        <f>IF(B48="","",VLOOKUP(AD48,Varsayımlar!$B:$Q,7,0)*K48)</f>
        <v>5760</v>
      </c>
      <c r="Q48" s="80">
        <f>IF(B48="","",VLOOKUP(AD48,Varsayımlar!$B:$Q,8,0))</f>
        <v>25</v>
      </c>
      <c r="R48" s="80" t="str">
        <f>IF(B48="","",VLOOKUP(AD48,Varsayımlar!$B:$Q,9,0))</f>
        <v>Irak Soft</v>
      </c>
      <c r="S48" s="80">
        <f>IF(B48="","",VLOOKUP(AD48,Varsayımlar!$B:$Q,10,0))</f>
        <v>10</v>
      </c>
      <c r="T48" s="80">
        <f>IF(B48="","",VLOOKUP(AD48,Varsayımlar!$B:$Q,11,0))</f>
        <v>8</v>
      </c>
      <c r="U48" s="80">
        <f>IF(B48="","",VLOOKUP(AD48,Varsayımlar!$B:$Q,12,0))</f>
        <v>650</v>
      </c>
      <c r="V48" s="80" t="str">
        <f>IF(B48="","",VLOOKUP(AD48,Varsayımlar!$B:$Q,13,0))</f>
        <v>Yurtdışı</v>
      </c>
      <c r="W48" s="80">
        <f>IF(B48="","",VLOOKUP(AD48,Varsayımlar!$B:$Q,14,0))</f>
        <v>9</v>
      </c>
      <c r="X48" s="81">
        <v>46203</v>
      </c>
      <c r="Y48" s="81">
        <v>46476</v>
      </c>
      <c r="Z48" s="80">
        <v>26063025</v>
      </c>
      <c r="AA48" s="80" t="str">
        <f>IF(B48="","",VLOOKUP(AD48,Varsayımlar!$B:$Q,15,0))</f>
        <v>25cm Perforeli-Bulgarca etiket</v>
      </c>
      <c r="AB48" s="80" t="str">
        <f>IF(B48="","",VLOOKUP(AD48,Varsayımlar!$B:$Q,16,0))</f>
        <v>24-26 cm</v>
      </c>
      <c r="AC48" s="80" t="str">
        <f>IF(B48="","",VLOOKUP(Sayfa1!AD56,Varsayımlar!B:S,18,0))</f>
        <v>80x120cm -Epal+Epal</v>
      </c>
      <c r="AD48" s="57" t="str">
        <f t="shared" si="4"/>
        <v>TASTE LAND-BULGARİSTANTortillas 25cm Sade 10pcs 650g</v>
      </c>
    </row>
    <row r="49" spans="1:30" ht="47.25" x14ac:dyDescent="0.25">
      <c r="A49" s="8" t="s">
        <v>78</v>
      </c>
      <c r="B49" s="54" t="s">
        <v>268</v>
      </c>
      <c r="C49" s="39">
        <f>IF(B49="","",VLOOKUP(AD49,Varsayımlar!$B:$Q,3,0))</f>
        <v>8698829380698</v>
      </c>
      <c r="D49" s="39" t="s">
        <v>160</v>
      </c>
      <c r="E49" s="39" t="s">
        <v>284</v>
      </c>
      <c r="F49" s="54" t="s">
        <v>343</v>
      </c>
      <c r="G49" s="39" t="s">
        <v>68</v>
      </c>
      <c r="H49" s="54" t="str">
        <f>IF(B49="","",VLOOKUP(AD49,Varsayımlar!$B:$Q,5,0))</f>
        <v>Kırmızı Tortillas 25cm</v>
      </c>
      <c r="I49" s="54">
        <f>IF(B49="","",VLOOKUP(AD49,Varsayımlar!B:T,19,0))</f>
        <v>0</v>
      </c>
      <c r="J49" s="54" t="str">
        <f>IF(B49="","",VLOOKUP(AD49,Varsayımlar!$B:$Q,6,0))</f>
        <v>SADE</v>
      </c>
      <c r="K49" s="54">
        <v>420</v>
      </c>
      <c r="L49" s="54"/>
      <c r="M49" s="54">
        <f>IFERROR(IF(B49="","",K49/VLOOKUP(AD49,Varsayımlar!B:R,17,0)),"")</f>
        <v>5</v>
      </c>
      <c r="N49" s="54"/>
      <c r="O49" s="54">
        <v>7</v>
      </c>
      <c r="P49" s="54">
        <f>IF(B49="","",VLOOKUP(AD49,Varsayımlar!$B:$Q,7,0)*K49)</f>
        <v>12600</v>
      </c>
      <c r="Q49" s="54">
        <f>IF(B49="","",VLOOKUP(AD49,Varsayımlar!$B:$Q,8,0))</f>
        <v>25</v>
      </c>
      <c r="R49" s="54" t="str">
        <f>IF(B49="","",VLOOKUP(AD49,Varsayımlar!$B:$Q,9,0))</f>
        <v>Soft-PA3</v>
      </c>
      <c r="S49" s="54">
        <f>IF(B49="","",VLOOKUP(AD49,Varsayımlar!$B:$Q,10,0))</f>
        <v>4</v>
      </c>
      <c r="T49" s="54">
        <f>IF(B49="","",VLOOKUP(AD49,Varsayımlar!$B:$Q,11,0))</f>
        <v>30</v>
      </c>
      <c r="U49" s="54">
        <f>IF(B49="","",VLOOKUP(AD49,Varsayımlar!$B:$Q,12,0))</f>
        <v>240</v>
      </c>
      <c r="V49" s="54" t="str">
        <f>IF(B49="","",VLOOKUP(AD49,Varsayımlar!$B:$Q,13,0))</f>
        <v>Yurtdışı</v>
      </c>
      <c r="W49" s="54">
        <f>IF(B49="","",VLOOKUP(AD49,Varsayımlar!$B:$Q,14,0))</f>
        <v>12</v>
      </c>
      <c r="X49" s="56">
        <v>46205</v>
      </c>
      <c r="Y49" s="56">
        <v>46570</v>
      </c>
      <c r="Z49" s="54">
        <v>26070225</v>
      </c>
      <c r="AA49" s="54" t="str">
        <f>IF(B49="","",VLOOKUP(AD49,Varsayımlar!$B:$Q,15,0))</f>
        <v>25cm Kolisi-Etiketli</v>
      </c>
      <c r="AB49" s="54" t="str">
        <f>IF(B49="","",VLOOKUP(AD49,Varsayımlar!$B:$Q,16,0))</f>
        <v>24-26 cm (Macca Hetto Inkjet Uzun Tarih)</v>
      </c>
      <c r="AC49" s="54" t="str">
        <f>IF(B49="","",VLOOKUP(Sayfa1!AD35,Varsayımlar!B:S,18,0))</f>
        <v>80x120cm</v>
      </c>
      <c r="AD49" s="57" t="str">
        <f>IF(B49="","",CONCATENATE(B49,E49))</f>
        <v>LAIKYUZHN-BELARUSKırmızı Tortillas 25cm 4ps 240g</v>
      </c>
    </row>
    <row r="50" spans="1:30" ht="47.25" x14ac:dyDescent="0.25">
      <c r="A50" s="8" t="s">
        <v>79</v>
      </c>
      <c r="B50" s="130" t="s">
        <v>119</v>
      </c>
      <c r="C50" s="130">
        <f>IF(B50="","",VLOOKUP(AD50,Varsayımlar!$B:$Q,3,0))</f>
        <v>8698829380698</v>
      </c>
      <c r="D50" s="130"/>
      <c r="E50" s="130" t="s">
        <v>120</v>
      </c>
      <c r="F50" s="130"/>
      <c r="G50" s="130"/>
      <c r="H50" s="130" t="str">
        <f>IF(B50="","",VLOOKUP(AD50,Varsayımlar!$B:$Q,5,0))</f>
        <v>Nimet 25 cm</v>
      </c>
      <c r="I50" s="130"/>
      <c r="J50" s="130" t="str">
        <f>IF(B50="","",VLOOKUP(AD50,Varsayımlar!$B:$Q,6,0))</f>
        <v>SADE</v>
      </c>
      <c r="K50" s="130">
        <v>4000</v>
      </c>
      <c r="L50" s="130"/>
      <c r="M50" s="130">
        <f>IFERROR(IF(B50="","",K50/VLOOKUP(AD50,Varsayımlar!B:R,17,0)),"")</f>
        <v>80</v>
      </c>
      <c r="N50" s="130"/>
      <c r="O50" s="130">
        <v>60</v>
      </c>
      <c r="P50" s="130">
        <f>IF(B50="","",VLOOKUP(AD50,Varsayımlar!$B:$Q,7,0)*K50)</f>
        <v>48000</v>
      </c>
      <c r="Q50" s="130">
        <f>IF(B50="","",VLOOKUP(AD50,Varsayımlar!$B:$Q,8,0))</f>
        <v>25</v>
      </c>
      <c r="R50" s="130" t="str">
        <f>IF(B50="","",VLOOKUP(AD50,Varsayımlar!$B:$Q,9,0))</f>
        <v>Standart</v>
      </c>
      <c r="S50" s="130">
        <f>IF(B50="","",VLOOKUP(AD50,Varsayımlar!$B:$Q,10,0))</f>
        <v>12</v>
      </c>
      <c r="T50" s="130">
        <f>IF(B50="","",VLOOKUP(AD50,Varsayımlar!$B:$Q,11,0))</f>
        <v>12</v>
      </c>
      <c r="U50" s="130">
        <f>IF(B50="","",VLOOKUP(AD50,Varsayımlar!$B:$Q,12,0))</f>
        <v>840</v>
      </c>
      <c r="V50" s="130" t="str">
        <f>IF(B50="","",VLOOKUP(AD50,Varsayımlar!$B:$Q,13,0))</f>
        <v>YURTİÇİ</v>
      </c>
      <c r="W50" s="130">
        <f>IF(B50="","",VLOOKUP(AD50,Varsayımlar!$B:$Q,14,0))</f>
        <v>5</v>
      </c>
      <c r="X50" s="130" t="s">
        <v>113</v>
      </c>
      <c r="Y50" s="130" t="s">
        <v>113</v>
      </c>
      <c r="Z50" s="130" t="s">
        <v>113</v>
      </c>
      <c r="AA50" s="130" t="str">
        <f>IF(B50="","",VLOOKUP(AD50,Varsayımlar!$B:$Q,15,0))</f>
        <v>Nimet Kolisi</v>
      </c>
      <c r="AB50" s="130" t="str">
        <f>IF(B50="","",VLOOKUP(AD50,Varsayımlar!$B:$Q,16,0))</f>
        <v>24-26 CM</v>
      </c>
      <c r="AC50" s="64" t="s">
        <v>360</v>
      </c>
      <c r="AD50" s="57" t="str">
        <f t="shared" ref="AD50:AD62" si="5">IF(B50="","",CONCATENATE(B50,E50))</f>
        <v>A101Nimet 25cm 12 pcs 840g</v>
      </c>
    </row>
    <row r="51" spans="1:30" ht="51.75" customHeight="1" x14ac:dyDescent="0.25">
      <c r="A51" s="8" t="s">
        <v>80</v>
      </c>
      <c r="B51" s="75" t="s">
        <v>218</v>
      </c>
      <c r="C51" s="43">
        <f>IF(B51="","",VLOOKUP(AD51,Varsayımlar!$B:$Q,3,0))</f>
        <v>8698829380698</v>
      </c>
      <c r="D51" s="43" t="s">
        <v>161</v>
      </c>
      <c r="E51" s="75" t="s">
        <v>228</v>
      </c>
      <c r="F51" s="75" t="s">
        <v>561</v>
      </c>
      <c r="G51" s="43"/>
      <c r="H51" s="75" t="str">
        <f>IF(B51="","",VLOOKUP(AD51,Varsayımlar!$B:$Q,5,0))</f>
        <v>Tortillas Avrupa 25cm (698)</v>
      </c>
      <c r="I51" s="75">
        <f>IF(B51="","",VLOOKUP(AD51,Varsayımlar!B:T,19,0))</f>
        <v>0</v>
      </c>
      <c r="J51" s="75" t="str">
        <f>IF(B51="","",VLOOKUP(AD51,Varsayımlar!$B:$Q,6,0))</f>
        <v>SADE</v>
      </c>
      <c r="K51" s="75">
        <v>600</v>
      </c>
      <c r="L51" s="75"/>
      <c r="M51" s="75">
        <f>IFERROR(IF(B51="","",K51/VLOOKUP(AD51,Varsayımlar!B:R,17,0)),"")</f>
        <v>5</v>
      </c>
      <c r="N51" s="75"/>
      <c r="O51" s="75">
        <v>6</v>
      </c>
      <c r="P51" s="75">
        <f>IF(B51="","",VLOOKUP(AD51,Varsayımlar!$B:$Q,7,0)*K51)</f>
        <v>4800</v>
      </c>
      <c r="Q51" s="75">
        <f>IF(B51="","",VLOOKUP(AD51,Varsayımlar!$B:$Q,8,0))</f>
        <v>25</v>
      </c>
      <c r="R51" s="75" t="str">
        <f>IF(B51="","",VLOOKUP(AD51,Varsayımlar!$B:$Q,9,0))</f>
        <v>Irak Soft</v>
      </c>
      <c r="S51" s="75">
        <f>IF(B51="","",VLOOKUP(AD51,Varsayımlar!$B:$Q,10,0))</f>
        <v>10</v>
      </c>
      <c r="T51" s="75">
        <f>IF(B51="","",VLOOKUP(AD51,Varsayımlar!$B:$Q,11,0))</f>
        <v>8</v>
      </c>
      <c r="U51" s="75">
        <f>IF(B51="","",VLOOKUP(AD51,Varsayımlar!$B:$Q,12,0))</f>
        <v>650</v>
      </c>
      <c r="V51" s="75" t="str">
        <f>IF(B51="","",VLOOKUP(AD51,Varsayımlar!$B:$Q,13,0))</f>
        <v>Yurtdışı</v>
      </c>
      <c r="W51" s="75">
        <f>IF(B51="","",VLOOKUP(AD51,Varsayımlar!$B:$Q,14,0))</f>
        <v>9</v>
      </c>
      <c r="X51" s="76">
        <v>46213</v>
      </c>
      <c r="Y51" s="76">
        <v>46487</v>
      </c>
      <c r="Z51" s="75">
        <v>26071025</v>
      </c>
      <c r="AA51" s="75" t="str">
        <f>IF(B51="","",VLOOKUP(AD51,Varsayımlar!$B:$Q,15,0))</f>
        <v>25cm Perforeli-Bulgarca etiket</v>
      </c>
      <c r="AB51" s="75" t="str">
        <f>IF(B51="","",VLOOKUP(AD51,Varsayımlar!$B:$Q,16,0))</f>
        <v>24-26 cm</v>
      </c>
      <c r="AC51" s="75" t="str">
        <f>IF(B51="","",VLOOKUP(Sayfa1!AD61,Varsayımlar!B:S,18,0))</f>
        <v>80x120cm -Epal+Epal</v>
      </c>
      <c r="AD51" s="57" t="str">
        <f t="shared" si="5"/>
        <v>TASTE LAND-BULGARİSTANTortillas 25cm Sade 10pcs 650g</v>
      </c>
    </row>
    <row r="52" spans="1:30" ht="44.25" customHeight="1" x14ac:dyDescent="0.25">
      <c r="A52" s="8" t="s">
        <v>82</v>
      </c>
      <c r="B52" s="67" t="s">
        <v>460</v>
      </c>
      <c r="C52" s="42">
        <f>IF(B52="","",VLOOKUP(AD52,Varsayımlar!$B:$Q,3,0))</f>
        <v>8698829380698</v>
      </c>
      <c r="D52" s="67" t="s">
        <v>540</v>
      </c>
      <c r="E52" s="67" t="s">
        <v>468</v>
      </c>
      <c r="F52" s="67">
        <v>20260414</v>
      </c>
      <c r="G52" s="67"/>
      <c r="H52" s="67" t="str">
        <f>IF(B52="","",VLOOKUP(AD52,Varsayımlar!$B:$Q,5,0))</f>
        <v>Tortillove 25cm</v>
      </c>
      <c r="I52" s="67">
        <f>IF(B52="","",VLOOKUP(AD52,Varsayımlar!B:T,19,0))</f>
        <v>0</v>
      </c>
      <c r="J52" s="67" t="str">
        <f>IF(B52="","",VLOOKUP(AD52,Varsayımlar!$B:$Q,6,0))</f>
        <v>SADE</v>
      </c>
      <c r="K52" s="67">
        <v>100</v>
      </c>
      <c r="L52" s="67"/>
      <c r="M52" s="67">
        <f>IFERROR(IF(B52="","",K52/VLOOKUP(AD52,Varsayımlar!B:R,17,0)),"")</f>
        <v>1</v>
      </c>
      <c r="N52" s="67"/>
      <c r="O52" s="67">
        <v>2</v>
      </c>
      <c r="P52" s="67">
        <f>IF(B52="","",VLOOKUP(AD52,Varsayımlar!$B:$Q,7,0)*K52)</f>
        <v>1200</v>
      </c>
      <c r="Q52" s="67">
        <f>IF(B52="","",VLOOKUP(AD52,Varsayımlar!$B:$Q,8,0))</f>
        <v>25</v>
      </c>
      <c r="R52" s="67" t="str">
        <f>IF(B52="","",VLOOKUP(AD52,Varsayımlar!$B:$Q,9,0))</f>
        <v>Irak Soft</v>
      </c>
      <c r="S52" s="67">
        <f>IF(B52="","",VLOOKUP(AD52,Varsayımlar!$B:$Q,10,0))</f>
        <v>10</v>
      </c>
      <c r="T52" s="67">
        <f>IF(B52="","",VLOOKUP(AD52,Varsayımlar!$B:$Q,11,0))</f>
        <v>12</v>
      </c>
      <c r="U52" s="67">
        <f>IF(B52="","",VLOOKUP(AD52,Varsayımlar!$B:$Q,12,0))</f>
        <v>650</v>
      </c>
      <c r="V52" s="67" t="str">
        <f>IF(B52="","",VLOOKUP(AD52,Varsayımlar!$B:$Q,13,0))</f>
        <v>Yurtdışı</v>
      </c>
      <c r="W52" s="67">
        <f>IF(B52="","",VLOOKUP(AD52,Varsayımlar!$B:$Q,14,0))</f>
        <v>6</v>
      </c>
      <c r="X52" s="69">
        <v>46216</v>
      </c>
      <c r="Y52" s="69">
        <v>46400</v>
      </c>
      <c r="Z52" s="67">
        <v>26071325</v>
      </c>
      <c r="AA52" s="67" t="str">
        <f>IF(B52="","",VLOOKUP(AD52,Varsayımlar!$B:$Q,15,0))</f>
        <v>25cm Kırmızı Koli</v>
      </c>
      <c r="AB52" s="67" t="str">
        <f>IF(B52="","",VLOOKUP(AD52,Varsayımlar!$B:$Q,16,0))</f>
        <v>24-26 cm</v>
      </c>
      <c r="AC52" s="75" t="str">
        <f>IF(B52="","",VLOOKUP(Sayfa1!AD64,Varsayımlar!B:S,18,0))</f>
        <v>80x120cm -Epal+Epal</v>
      </c>
      <c r="AD52" s="57" t="str">
        <f t="shared" si="5"/>
        <v>Yüksekbaş GıdaYüksekbaş 25cm 10pcs 650g</v>
      </c>
    </row>
    <row r="53" spans="1:30" ht="44.25" customHeight="1" x14ac:dyDescent="0.25">
      <c r="A53" s="8" t="s">
        <v>83</v>
      </c>
      <c r="B53" s="42" t="s">
        <v>460</v>
      </c>
      <c r="C53" s="42">
        <f>IF(B53="","",VLOOKUP(AD53,Varsayımlar!$B:$Q,3,0))</f>
        <v>8698829380698</v>
      </c>
      <c r="D53" s="42" t="s">
        <v>540</v>
      </c>
      <c r="E53" s="42" t="s">
        <v>471</v>
      </c>
      <c r="F53" s="42">
        <v>20260414</v>
      </c>
      <c r="G53" s="42"/>
      <c r="H53" s="42" t="str">
        <f>IF(B53="","",VLOOKUP(AD53,Varsayımlar!$B:$Q,5,0))</f>
        <v>Tortillove Tam Buğday 25cm</v>
      </c>
      <c r="I53" s="42">
        <f>IF(B53="","",VLOOKUP(AD53,Varsayımlar!B:T,19,0))</f>
        <v>0</v>
      </c>
      <c r="J53" s="42" t="str">
        <f>IF(B53="","",VLOOKUP(AD53,Varsayımlar!$B:$Q,6,0))</f>
        <v>Tam Buğdaylı</v>
      </c>
      <c r="K53" s="42">
        <v>500</v>
      </c>
      <c r="L53" s="42"/>
      <c r="M53" s="42">
        <f>IFERROR(IF(B53="","",K53/VLOOKUP(AD53,Varsayımlar!B:R,17,0)),"")</f>
        <v>5</v>
      </c>
      <c r="N53" s="42"/>
      <c r="O53" s="42">
        <v>7</v>
      </c>
      <c r="P53" s="42">
        <f>IF(B53="","",VLOOKUP(AD53,Varsayımlar!$B:$Q,7,0)*K53)</f>
        <v>6000</v>
      </c>
      <c r="Q53" s="42">
        <f>IF(B53="","",VLOOKUP(AD53,Varsayımlar!$B:$Q,8,0))</f>
        <v>25</v>
      </c>
      <c r="R53" s="42" t="str">
        <f>IF(B53="","",VLOOKUP(AD53,Varsayımlar!$B:$Q,9,0))</f>
        <v>Irak Soft</v>
      </c>
      <c r="S53" s="42">
        <f>IF(B53="","",VLOOKUP(AD53,Varsayımlar!$B:$Q,10,0))</f>
        <v>10</v>
      </c>
      <c r="T53" s="42">
        <f>IF(B53="","",VLOOKUP(AD53,Varsayımlar!$B:$Q,11,0))</f>
        <v>12</v>
      </c>
      <c r="U53" s="42">
        <f>IF(B53="","",VLOOKUP(AD53,Varsayımlar!$B:$Q,12,0))</f>
        <v>650</v>
      </c>
      <c r="V53" s="42" t="str">
        <f>IF(B53="","",VLOOKUP(AD53,Varsayımlar!$B:$Q,13,0))</f>
        <v>Yurtdışı</v>
      </c>
      <c r="W53" s="42">
        <f>IF(B53="","",VLOOKUP(AD53,Varsayımlar!$B:$Q,14,0))</f>
        <v>6</v>
      </c>
      <c r="X53" s="69">
        <v>46216</v>
      </c>
      <c r="Y53" s="69">
        <v>46400</v>
      </c>
      <c r="Z53" s="42" t="s">
        <v>475</v>
      </c>
      <c r="AA53" s="42" t="str">
        <f>IF(B53="","",VLOOKUP(AD53,Varsayımlar!$B:$Q,15,0))</f>
        <v>25cm Kırmızı Koli-Etiketli</v>
      </c>
      <c r="AB53" s="42" t="str">
        <f>IF(B53="","",VLOOKUP(AD53,Varsayımlar!$B:$Q,16,0))</f>
        <v>24-26 cm</v>
      </c>
      <c r="AC53" s="75" t="str">
        <f>IF(B53="","",VLOOKUP(Sayfa1!AD64,Varsayımlar!B:S,18,0))</f>
        <v>80x120cm -Epal+Epal</v>
      </c>
      <c r="AD53" s="57" t="str">
        <f t="shared" si="5"/>
        <v>Yüksekbaş GıdaYüksekbaş TB 25cm 10pcs 650g</v>
      </c>
    </row>
    <row r="54" spans="1:30" ht="45.75" customHeight="1" x14ac:dyDescent="0.25">
      <c r="A54" s="8" t="s">
        <v>84</v>
      </c>
      <c r="B54" s="130" t="s">
        <v>119</v>
      </c>
      <c r="C54" s="131">
        <f>IF(B54="","",VLOOKUP(AD54,Varsayımlar!$B:$Q,3,0))</f>
        <v>8698829380698</v>
      </c>
      <c r="D54" s="131"/>
      <c r="E54" s="132" t="s">
        <v>120</v>
      </c>
      <c r="F54" s="130"/>
      <c r="G54" s="130"/>
      <c r="H54" s="130" t="str">
        <f>IF(B54="","",VLOOKUP(AD54,Varsayımlar!$B:$Q,5,0))</f>
        <v>Nimet 25 cm</v>
      </c>
      <c r="I54" s="130"/>
      <c r="J54" s="130" t="str">
        <f>IF(B54="","",VLOOKUP(AD54,Varsayımlar!$B:$Q,6,0))</f>
        <v>SADE</v>
      </c>
      <c r="K54" s="130">
        <v>4000</v>
      </c>
      <c r="L54" s="130"/>
      <c r="M54" s="130">
        <f>IFERROR(IF(B54="","",K54/VLOOKUP(AD54,Varsayımlar!B:R,17,0)),"")</f>
        <v>80</v>
      </c>
      <c r="N54" s="130"/>
      <c r="O54" s="130">
        <v>60</v>
      </c>
      <c r="P54" s="130">
        <f>IF(B54="","",VLOOKUP(AD54,Varsayımlar!$B:$Q,7,0)*K54)</f>
        <v>48000</v>
      </c>
      <c r="Q54" s="130">
        <f>IF(B54="","",VLOOKUP(AD54,Varsayımlar!$B:$Q,8,0))</f>
        <v>25</v>
      </c>
      <c r="R54" s="130" t="str">
        <f>IF(B54="","",VLOOKUP(AD54,Varsayımlar!$B:$Q,9,0))</f>
        <v>Standart</v>
      </c>
      <c r="S54" s="130">
        <f>IF(B54="","",VLOOKUP(AD54,Varsayımlar!$B:$Q,10,0))</f>
        <v>12</v>
      </c>
      <c r="T54" s="130">
        <f>IF(B54="","",VLOOKUP(AD54,Varsayımlar!$B:$Q,11,0))</f>
        <v>12</v>
      </c>
      <c r="U54" s="130">
        <f>IF(B54="","",VLOOKUP(AD54,Varsayımlar!$B:$Q,12,0))</f>
        <v>840</v>
      </c>
      <c r="V54" s="130" t="str">
        <f>IF(B54="","",VLOOKUP(AD54,Varsayımlar!$B:$Q,13,0))</f>
        <v>YURTİÇİ</v>
      </c>
      <c r="W54" s="130">
        <f>IF(B54="","",VLOOKUP(AD54,Varsayımlar!$B:$Q,14,0))</f>
        <v>5</v>
      </c>
      <c r="X54" s="133" t="s">
        <v>113</v>
      </c>
      <c r="Y54" s="133" t="s">
        <v>113</v>
      </c>
      <c r="Z54" s="130" t="s">
        <v>113</v>
      </c>
      <c r="AA54" s="130" t="str">
        <f>IF(B54="","",VLOOKUP(AD54,Varsayımlar!$B:$Q,15,0))</f>
        <v>Nimet Kolisi</v>
      </c>
      <c r="AB54" s="130" t="str">
        <f>IF(B54="","",VLOOKUP(AD54,Varsayımlar!$B:$Q,16,0))</f>
        <v>24-26 CM</v>
      </c>
      <c r="AC54" s="64" t="s">
        <v>360</v>
      </c>
      <c r="AD54" s="57" t="str">
        <f>IF(B54="","",CONCATENATE(B54,E54))</f>
        <v>A101Nimet 25cm 12 pcs 840g</v>
      </c>
    </row>
    <row r="55" spans="1:30" ht="31.5" x14ac:dyDescent="0.25">
      <c r="A55" s="8" t="s">
        <v>85</v>
      </c>
      <c r="B55" s="54" t="s">
        <v>346</v>
      </c>
      <c r="C55" s="39">
        <f>IF(B55="","",VLOOKUP(AD55,Varsayımlar!$B:$Q,3,0))</f>
        <v>8698829380698</v>
      </c>
      <c r="D55" s="39">
        <v>49</v>
      </c>
      <c r="E55" s="139" t="s">
        <v>58</v>
      </c>
      <c r="F55" s="54"/>
      <c r="G55" s="54"/>
      <c r="H55" s="54" t="str">
        <f>IF(B55="","",VLOOKUP(AD55,Varsayımlar!$B:$Q,5,0))</f>
        <v>KIRMIZI TORTİLLAS 25 CM</v>
      </c>
      <c r="I55" s="54" t="str">
        <f>IF(B55="","",VLOOKUP(AD55,Varsayımlar!B:T,19,0))</f>
        <v>BARKOD ETİKETİ</v>
      </c>
      <c r="J55" s="54" t="str">
        <f>IF(B55="","",VLOOKUP(AD55,Varsayımlar!$B:$Q,6,0))</f>
        <v>SADE</v>
      </c>
      <c r="K55" s="54">
        <v>504</v>
      </c>
      <c r="L55" s="54"/>
      <c r="M55" s="54">
        <f>IFERROR(IF(B55="","",K55/VLOOKUP(AD55,Varsayımlar!B:R,17,0)),"")</f>
        <v>6</v>
      </c>
      <c r="N55" s="54"/>
      <c r="O55" s="54">
        <v>6</v>
      </c>
      <c r="P55" s="54">
        <f>IF(B55="","",VLOOKUP(AD55,Varsayımlar!$B:$Q,7,0)*K55)</f>
        <v>9072</v>
      </c>
      <c r="Q55" s="54">
        <f>IF(B55="","",VLOOKUP(AD55,Varsayımlar!$B:$Q,8,0))</f>
        <v>25</v>
      </c>
      <c r="R55" s="54" t="str">
        <f>IF(B55="","",VLOOKUP(AD55,Varsayımlar!$B:$Q,9,0))</f>
        <v>IRAK SOFT</v>
      </c>
      <c r="S55" s="54">
        <f>IF(B55="","",VLOOKUP(AD55,Varsayımlar!$B:$Q,10,0))</f>
        <v>6</v>
      </c>
      <c r="T55" s="54">
        <f>IF(B55="","",VLOOKUP(AD55,Varsayımlar!$B:$Q,11,0))</f>
        <v>18</v>
      </c>
      <c r="U55" s="54">
        <f>IF(B55="","",VLOOKUP(AD55,Varsayımlar!$B:$Q,12,0))</f>
        <v>375</v>
      </c>
      <c r="V55" s="54" t="str">
        <f>IF(B55="","",VLOOKUP(AD55,Varsayımlar!$B:$Q,13,0))</f>
        <v>YURTDIŞI</v>
      </c>
      <c r="W55" s="54">
        <f>IF(B55="","",VLOOKUP(AD55,Varsayımlar!$B:$Q,14,0))</f>
        <v>9</v>
      </c>
      <c r="X55" s="56">
        <v>46226</v>
      </c>
      <c r="Y55" s="56">
        <v>46500</v>
      </c>
      <c r="Z55" s="54">
        <v>26072325</v>
      </c>
      <c r="AA55" s="54" t="str">
        <f>IF(B55="","",VLOOKUP(AD55,Varsayımlar!$B:$Q,15,0))</f>
        <v>KIRMIZI - ÜRETİM TARİHLİ ETİKET</v>
      </c>
      <c r="AB55" s="54" t="str">
        <f>IF(B55="","",VLOOKUP(AD55,Varsayımlar!$B:$Q,16,0))</f>
        <v>24-26 CM</v>
      </c>
      <c r="AC55" s="8" t="e">
        <f>IF(B55="","",VLOOKUP(#REF!,#REF!,18,0))</f>
        <v>#REF!</v>
      </c>
      <c r="AD55" s="8" t="str">
        <f>IF(B55="","",CONCATENATE(B55,E55))</f>
        <v>GermesKırmızı Tortillas-Germes-25cm 375g</v>
      </c>
    </row>
    <row r="56" spans="1:30" ht="36" customHeight="1" x14ac:dyDescent="0.25">
      <c r="A56" s="8" t="s">
        <v>86</v>
      </c>
      <c r="B56" s="149" t="s">
        <v>500</v>
      </c>
      <c r="C56" s="149">
        <f>IF(B56="","",VLOOKUP(AD56,Varsayımlar!$B:$Q,3,0))</f>
        <v>8698829380698</v>
      </c>
      <c r="D56" s="149"/>
      <c r="E56" s="149" t="s">
        <v>193</v>
      </c>
      <c r="F56" s="149">
        <v>26062201</v>
      </c>
      <c r="G56" s="149"/>
      <c r="H56" s="149" t="str">
        <f>IF(B56="","",VLOOKUP(AD56,Varsayımlar!$B:$Q,5,0))</f>
        <v>Tortillas 25cm</v>
      </c>
      <c r="I56" s="149">
        <f>IF(B56="","",VLOOKUP(AD56,Varsayımlar!B:T,19,0))</f>
        <v>0</v>
      </c>
      <c r="J56" s="149" t="str">
        <f>IF(B56="","",VLOOKUP(AD56,Varsayımlar!$B:$Q,6,0))</f>
        <v>Sade</v>
      </c>
      <c r="K56" s="149">
        <v>50</v>
      </c>
      <c r="L56" s="149"/>
      <c r="M56" s="149">
        <f>IFERROR(IF(B56="","",K56/VLOOKUP(AD56,Varsayımlar!B:R,17,0)),"")</f>
        <v>1</v>
      </c>
      <c r="N56" s="149"/>
      <c r="O56" s="149">
        <v>1</v>
      </c>
      <c r="P56" s="149">
        <f>IF(B56="","",VLOOKUP(AD56,Varsayımlar!$B:$Q,7,0)*K56)</f>
        <v>600</v>
      </c>
      <c r="Q56" s="149">
        <f>IF(B56="","",VLOOKUP(AD56,Varsayımlar!$B:$Q,8,0))</f>
        <v>25</v>
      </c>
      <c r="R56" s="149" t="str">
        <f>IF(B56="","",VLOOKUP(AD56,Varsayımlar!$B:$Q,9,0))</f>
        <v>Irak Soft</v>
      </c>
      <c r="S56" s="149">
        <f>IF(B56="","",VLOOKUP(AD56,Varsayımlar!$B:$Q,10,0))</f>
        <v>10</v>
      </c>
      <c r="T56" s="149">
        <f>IF(B56="","",VLOOKUP(AD56,Varsayımlar!$B:$Q,11,0))</f>
        <v>12</v>
      </c>
      <c r="U56" s="149">
        <f>IF(B56="","",VLOOKUP(AD56,Varsayımlar!$B:$Q,12,0))</f>
        <v>650</v>
      </c>
      <c r="V56" s="149" t="str">
        <f>IF(B56="","",VLOOKUP(AD56,Varsayımlar!$B:$Q,13,0))</f>
        <v>Yurtdışı</v>
      </c>
      <c r="W56" s="149">
        <f>IF(B56="","",VLOOKUP(AD56,Varsayımlar!$B:$Q,14,0))</f>
        <v>12</v>
      </c>
      <c r="X56" s="151">
        <v>46231</v>
      </c>
      <c r="Y56" s="151">
        <v>46596</v>
      </c>
      <c r="Z56" s="149">
        <v>26072825</v>
      </c>
      <c r="AA56" s="149" t="str">
        <f>IF(B56="","",VLOOKUP(AD56,Varsayımlar!$B:$Q,15,0))</f>
        <v>25cm Kolisi</v>
      </c>
      <c r="AB56" s="149" t="str">
        <f>IF(B56="","",VLOOKUP(AD56,Varsayımlar!$B:$Q,16,0))</f>
        <v>24-26cm</v>
      </c>
      <c r="AC56" s="67"/>
      <c r="AD56" s="57" t="str">
        <f t="shared" ref="AD56:AD58" si="6">IF(B56="","",CONCATENATE(B56,E56))</f>
        <v>Fama GroupTortillas 25cm 10pcs 650g</v>
      </c>
    </row>
    <row r="57" spans="1:30" ht="33.75" customHeight="1" x14ac:dyDescent="0.25">
      <c r="A57" s="8" t="s">
        <v>87</v>
      </c>
      <c r="B57" s="67" t="s">
        <v>460</v>
      </c>
      <c r="C57" s="42">
        <f>IF(B57="","",VLOOKUP(AD57,Varsayımlar!$B:$Q,3,0))</f>
        <v>8698829380698</v>
      </c>
      <c r="D57" s="67" t="s">
        <v>539</v>
      </c>
      <c r="E57" s="67" t="s">
        <v>468</v>
      </c>
      <c r="F57" s="67">
        <v>20260626</v>
      </c>
      <c r="G57" s="67"/>
      <c r="H57" s="67" t="str">
        <f>IF(B57="","",VLOOKUP(AD57,Varsayımlar!$B:$Q,5,0))</f>
        <v>Tortillove 25cm</v>
      </c>
      <c r="I57" s="67">
        <f>IF(B57="","",VLOOKUP(AD57,Varsayımlar!B:T,19,0))</f>
        <v>0</v>
      </c>
      <c r="J57" s="67" t="str">
        <f>IF(B57="","",VLOOKUP(AD57,Varsayımlar!$B:$Q,6,0))</f>
        <v>SADE</v>
      </c>
      <c r="K57" s="67">
        <v>100</v>
      </c>
      <c r="L57" s="67"/>
      <c r="M57" s="67">
        <f>IFERROR(IF(B57="","",K57/VLOOKUP(AD57,Varsayımlar!B:R,17,0)),"")</f>
        <v>1</v>
      </c>
      <c r="N57" s="67"/>
      <c r="O57" s="67">
        <v>2</v>
      </c>
      <c r="P57" s="67">
        <f>IF(B57="","",VLOOKUP(AD57,Varsayımlar!$B:$Q,7,0)*K57)</f>
        <v>1200</v>
      </c>
      <c r="Q57" s="67">
        <f>IF(B57="","",VLOOKUP(AD57,Varsayımlar!$B:$Q,8,0))</f>
        <v>25</v>
      </c>
      <c r="R57" s="67" t="str">
        <f>IF(B57="","",VLOOKUP(AD57,Varsayımlar!$B:$Q,9,0))</f>
        <v>Irak Soft</v>
      </c>
      <c r="S57" s="67">
        <f>IF(B57="","",VLOOKUP(AD57,Varsayımlar!$B:$Q,10,0))</f>
        <v>10</v>
      </c>
      <c r="T57" s="67">
        <f>IF(B57="","",VLOOKUP(AD57,Varsayımlar!$B:$Q,11,0))</f>
        <v>12</v>
      </c>
      <c r="U57" s="67">
        <f>IF(B57="","",VLOOKUP(AD57,Varsayımlar!$B:$Q,12,0))</f>
        <v>650</v>
      </c>
      <c r="V57" s="67" t="str">
        <f>IF(B57="","",VLOOKUP(AD57,Varsayımlar!$B:$Q,13,0))</f>
        <v>Yurtdışı</v>
      </c>
      <c r="W57" s="67">
        <f>IF(B57="","",VLOOKUP(AD57,Varsayımlar!$B:$Q,14,0))</f>
        <v>6</v>
      </c>
      <c r="X57" s="69"/>
      <c r="Y57" s="69"/>
      <c r="Z57" s="67"/>
      <c r="AA57" s="67" t="str">
        <f>IF(B57="","",VLOOKUP(AD57,Varsayımlar!$B:$Q,15,0))</f>
        <v>25cm Kırmızı Koli</v>
      </c>
      <c r="AB57" s="67" t="str">
        <f>IF(B57="","",VLOOKUP(AD57,Varsayımlar!$B:$Q,16,0))</f>
        <v>24-26 cm</v>
      </c>
      <c r="AC57" s="75">
        <f>IF(B57="","",VLOOKUP(Sayfa1!AD69,Varsayımlar!B:S,18,0))</f>
        <v>0</v>
      </c>
      <c r="AD57" s="57" t="str">
        <f t="shared" si="6"/>
        <v>Yüksekbaş GıdaYüksekbaş 25cm 10pcs 650g</v>
      </c>
    </row>
    <row r="58" spans="1:30" ht="31.5" x14ac:dyDescent="0.25">
      <c r="A58" s="8" t="s">
        <v>88</v>
      </c>
      <c r="B58" s="42" t="s">
        <v>460</v>
      </c>
      <c r="C58" s="42">
        <f>IF(B58="","",VLOOKUP(AD58,Varsayımlar!$B:$Q,3,0))</f>
        <v>8698829380698</v>
      </c>
      <c r="D58" s="42" t="s">
        <v>539</v>
      </c>
      <c r="E58" s="42" t="s">
        <v>471</v>
      </c>
      <c r="F58" s="42">
        <v>20260626</v>
      </c>
      <c r="G58" s="42"/>
      <c r="H58" s="42" t="str">
        <f>IF(B58="","",VLOOKUP(AD58,Varsayımlar!$B:$Q,5,0))</f>
        <v>Tortillove Tam Buğday 25cm</v>
      </c>
      <c r="I58" s="42">
        <f>IF(B58="","",VLOOKUP(AD58,Varsayımlar!B:T,19,0))</f>
        <v>0</v>
      </c>
      <c r="J58" s="42" t="str">
        <f>IF(B58="","",VLOOKUP(AD58,Varsayımlar!$B:$Q,6,0))</f>
        <v>Tam Buğdaylı</v>
      </c>
      <c r="K58" s="42">
        <v>500</v>
      </c>
      <c r="L58" s="42"/>
      <c r="M58" s="42">
        <f>IFERROR(IF(B58="","",K58/VLOOKUP(AD58,Varsayımlar!B:R,17,0)),"")</f>
        <v>5</v>
      </c>
      <c r="N58" s="42"/>
      <c r="O58" s="42">
        <v>7</v>
      </c>
      <c r="P58" s="42">
        <f>IF(B58="","",VLOOKUP(AD58,Varsayımlar!$B:$Q,7,0)*K58)</f>
        <v>6000</v>
      </c>
      <c r="Q58" s="42">
        <f>IF(B58="","",VLOOKUP(AD58,Varsayımlar!$B:$Q,8,0))</f>
        <v>25</v>
      </c>
      <c r="R58" s="42" t="str">
        <f>IF(B58="","",VLOOKUP(AD58,Varsayımlar!$B:$Q,9,0))</f>
        <v>Irak Soft</v>
      </c>
      <c r="S58" s="42">
        <f>IF(B58="","",VLOOKUP(AD58,Varsayımlar!$B:$Q,10,0))</f>
        <v>10</v>
      </c>
      <c r="T58" s="42">
        <f>IF(B58="","",VLOOKUP(AD58,Varsayımlar!$B:$Q,11,0))</f>
        <v>12</v>
      </c>
      <c r="U58" s="42">
        <f>IF(B58="","",VLOOKUP(AD58,Varsayımlar!$B:$Q,12,0))</f>
        <v>650</v>
      </c>
      <c r="V58" s="42" t="str">
        <f>IF(B58="","",VLOOKUP(AD58,Varsayımlar!$B:$Q,13,0))</f>
        <v>Yurtdışı</v>
      </c>
      <c r="W58" s="42">
        <f>IF(B58="","",VLOOKUP(AD58,Varsayımlar!$B:$Q,14,0))</f>
        <v>6</v>
      </c>
      <c r="X58" s="69"/>
      <c r="Y58" s="69"/>
      <c r="Z58" s="42"/>
      <c r="AA58" s="42" t="str">
        <f>IF(B58="","",VLOOKUP(AD58,Varsayımlar!$B:$Q,15,0))</f>
        <v>25cm Kırmızı Koli-Etiketli</v>
      </c>
      <c r="AB58" s="42" t="str">
        <f>IF(B58="","",VLOOKUP(AD58,Varsayımlar!$B:$Q,16,0))</f>
        <v>24-26 cm</v>
      </c>
      <c r="AC58" s="75">
        <f>IF(B58="","",VLOOKUP(Sayfa1!AD69,Varsayımlar!B:S,18,0))</f>
        <v>0</v>
      </c>
      <c r="AD58" s="57" t="str">
        <f t="shared" si="6"/>
        <v>Yüksekbaş GıdaYüksekbaş TB 25cm 10pcs 650g</v>
      </c>
    </row>
    <row r="59" spans="1:30" ht="36" customHeight="1" x14ac:dyDescent="0.25">
      <c r="A59" s="8" t="s">
        <v>89</v>
      </c>
      <c r="B59" s="67"/>
      <c r="C59" s="42" t="str">
        <f>IF(B59="","",VLOOKUP(AD59,#REF!,3,0))</f>
        <v/>
      </c>
      <c r="D59" s="42"/>
      <c r="E59" s="42"/>
      <c r="F59" s="67"/>
      <c r="G59" s="67"/>
      <c r="H59" s="67" t="str">
        <f>IF(B59="","",VLOOKUP(AD59,#REF!,5,0))</f>
        <v/>
      </c>
      <c r="I59" s="67" t="str">
        <f>IF(B59="","",VLOOKUP(AD59,#REF!,19,0))</f>
        <v/>
      </c>
      <c r="J59" s="67" t="str">
        <f>IF(B59="","",VLOOKUP(AD59,#REF!,6,0))</f>
        <v/>
      </c>
      <c r="K59" s="67"/>
      <c r="L59" s="67"/>
      <c r="M59" s="42" t="str">
        <f>IFERROR(IF(B59="","",K59/VLOOKUP(AD59,Varsayımlar!B:R,17,0)),"")</f>
        <v/>
      </c>
      <c r="N59" s="67"/>
      <c r="O59" s="67"/>
      <c r="P59" s="67" t="str">
        <f>IF(B59="","",VLOOKUP(AD59,#REF!,7,0)*K59)</f>
        <v/>
      </c>
      <c r="Q59" s="67" t="str">
        <f>IF(B59="","",VLOOKUP(AD59,#REF!,8,0))</f>
        <v/>
      </c>
      <c r="R59" s="67" t="str">
        <f>IF(B59="","",VLOOKUP(AD59,#REF!,9,0))</f>
        <v/>
      </c>
      <c r="S59" s="67" t="str">
        <f>IF(B59="","",VLOOKUP(AD59,#REF!,10,0))</f>
        <v/>
      </c>
      <c r="T59" s="67" t="str">
        <f>IF(B59="","",VLOOKUP(AD59,#REF!,11,0))</f>
        <v/>
      </c>
      <c r="U59" s="67" t="str">
        <f>IF(B59="","",VLOOKUP(AD59,#REF!,12,0))</f>
        <v/>
      </c>
      <c r="V59" s="67" t="str">
        <f>IF(B59="","",VLOOKUP(AD59,#REF!,13,0))</f>
        <v/>
      </c>
      <c r="W59" s="67" t="str">
        <f>IF(B59="","",VLOOKUP(AD59,#REF!,14,0))</f>
        <v/>
      </c>
      <c r="X59" s="69"/>
      <c r="Y59" s="69"/>
      <c r="Z59" s="67"/>
      <c r="AA59" s="67" t="str">
        <f>IF(B59="","",VLOOKUP(AD59,#REF!,15,0))</f>
        <v/>
      </c>
      <c r="AB59" s="67" t="str">
        <f>IF(B59="","",VLOOKUP(AD59,#REF!,16,0))</f>
        <v/>
      </c>
      <c r="AC59" s="145"/>
      <c r="AD59" s="57"/>
    </row>
    <row r="60" spans="1:30" ht="36" customHeight="1" x14ac:dyDescent="0.25">
      <c r="A60" s="8" t="s">
        <v>90</v>
      </c>
      <c r="B60" s="67"/>
      <c r="C60" s="42" t="str">
        <f>IF(B60="","",VLOOKUP(AD60,#REF!,3,0))</f>
        <v/>
      </c>
      <c r="D60" s="42"/>
      <c r="E60" s="42"/>
      <c r="F60" s="67"/>
      <c r="G60" s="67"/>
      <c r="H60" s="67" t="str">
        <f>IF(B60="","",VLOOKUP(AD60,#REF!,5,0))</f>
        <v/>
      </c>
      <c r="I60" s="67" t="str">
        <f>IF(B60="","",VLOOKUP(AD60,#REF!,19,0))</f>
        <v/>
      </c>
      <c r="J60" s="67" t="str">
        <f>IF(B60="","",VLOOKUP(AD60,#REF!,6,0))</f>
        <v/>
      </c>
      <c r="K60" s="67"/>
      <c r="L60" s="67"/>
      <c r="M60" s="42" t="str">
        <f>IFERROR(IF(B60="","",K60/VLOOKUP(AD60,Varsayımlar!B:R,17,0)),"")</f>
        <v/>
      </c>
      <c r="N60" s="67"/>
      <c r="O60" s="67"/>
      <c r="P60" s="67" t="str">
        <f>IF(B60="","",VLOOKUP(AD60,#REF!,7,0)*K60)</f>
        <v/>
      </c>
      <c r="Q60" s="67" t="str">
        <f>IF(B60="","",VLOOKUP(AD60,#REF!,8,0))</f>
        <v/>
      </c>
      <c r="R60" s="67" t="str">
        <f>IF(B60="","",VLOOKUP(AD60,#REF!,9,0))</f>
        <v/>
      </c>
      <c r="S60" s="67" t="str">
        <f>IF(B60="","",VLOOKUP(AD60,#REF!,10,0))</f>
        <v/>
      </c>
      <c r="T60" s="67" t="str">
        <f>IF(B60="","",VLOOKUP(AD60,#REF!,11,0))</f>
        <v/>
      </c>
      <c r="U60" s="67" t="str">
        <f>IF(B60="","",VLOOKUP(AD60,#REF!,12,0))</f>
        <v/>
      </c>
      <c r="V60" s="67" t="str">
        <f>IF(B60="","",VLOOKUP(AD60,#REF!,13,0))</f>
        <v/>
      </c>
      <c r="W60" s="67" t="str">
        <f>IF(B60="","",VLOOKUP(AD60,#REF!,14,0))</f>
        <v/>
      </c>
      <c r="X60" s="69"/>
      <c r="Y60" s="69"/>
      <c r="Z60" s="67"/>
      <c r="AA60" s="67" t="str">
        <f>IF(B60="","",VLOOKUP(AD60,#REF!,15,0))</f>
        <v/>
      </c>
      <c r="AB60" s="67" t="str">
        <f>IF(B60="","",VLOOKUP(AD60,#REF!,16,0))</f>
        <v/>
      </c>
      <c r="AC60" s="145"/>
      <c r="AD60" s="57"/>
    </row>
    <row r="61" spans="1:30" ht="36" customHeight="1" x14ac:dyDescent="0.25">
      <c r="A61" s="8" t="s">
        <v>91</v>
      </c>
      <c r="B61" s="67"/>
      <c r="C61" s="42" t="str">
        <f>IF(B61="","",VLOOKUP(AD61,#REF!,3,0))</f>
        <v/>
      </c>
      <c r="D61" s="42"/>
      <c r="E61" s="42"/>
      <c r="F61" s="67"/>
      <c r="G61" s="67"/>
      <c r="H61" s="67" t="str">
        <f>IF(B61="","",VLOOKUP(AD61,#REF!,5,0))</f>
        <v/>
      </c>
      <c r="I61" s="67" t="str">
        <f>IF(B61="","",VLOOKUP(AD61,#REF!,19,0))</f>
        <v/>
      </c>
      <c r="J61" s="67" t="str">
        <f>IF(B61="","",VLOOKUP(AD61,#REF!,6,0))</f>
        <v/>
      </c>
      <c r="K61" s="67"/>
      <c r="L61" s="67"/>
      <c r="M61" s="42" t="str">
        <f>IFERROR(IF(B61="","",K61/VLOOKUP(AD61,Varsayımlar!B:R,17,0)),"")</f>
        <v/>
      </c>
      <c r="N61" s="67"/>
      <c r="O61" s="67"/>
      <c r="P61" s="67" t="str">
        <f>IF(B61="","",VLOOKUP(AD61,#REF!,7,0)*K61)</f>
        <v/>
      </c>
      <c r="Q61" s="67" t="str">
        <f>IF(B61="","",VLOOKUP(AD61,#REF!,8,0))</f>
        <v/>
      </c>
      <c r="R61" s="67" t="str">
        <f>IF(B61="","",VLOOKUP(AD61,#REF!,9,0))</f>
        <v/>
      </c>
      <c r="S61" s="67" t="str">
        <f>IF(B61="","",VLOOKUP(AD61,#REF!,10,0))</f>
        <v/>
      </c>
      <c r="T61" s="67" t="str">
        <f>IF(B61="","",VLOOKUP(AD61,#REF!,11,0))</f>
        <v/>
      </c>
      <c r="U61" s="67" t="str">
        <f>IF(B61="","",VLOOKUP(AD61,#REF!,12,0))</f>
        <v/>
      </c>
      <c r="V61" s="67" t="str">
        <f>IF(B61="","",VLOOKUP(AD61,#REF!,13,0))</f>
        <v/>
      </c>
      <c r="W61" s="67" t="str">
        <f>IF(B61="","",VLOOKUP(AD61,#REF!,14,0))</f>
        <v/>
      </c>
      <c r="X61" s="69"/>
      <c r="Y61" s="69"/>
      <c r="Z61" s="67"/>
      <c r="AA61" s="67" t="str">
        <f>IF(B61="","",VLOOKUP(AD61,#REF!,15,0))</f>
        <v/>
      </c>
      <c r="AB61" s="67" t="str">
        <f>IF(B61="","",VLOOKUP(AD61,#REF!,16,0))</f>
        <v/>
      </c>
      <c r="AC61" s="145"/>
      <c r="AD61" s="57"/>
    </row>
    <row r="62" spans="1:30" x14ac:dyDescent="0.25">
      <c r="C62" s="141" t="str">
        <f>IF(B62="","",VLOOKUP(AD62,Varsayımlar!$B:$Q,3,0))</f>
        <v/>
      </c>
      <c r="H62" s="140" t="str">
        <f>IF(B62="","",VLOOKUP(AD62,Varsayımlar!$B:$Q,5,0))</f>
        <v/>
      </c>
      <c r="J62" s="140" t="str">
        <f>IF(B62="","",VLOOKUP(AD62,Varsayımlar!$B:$Q,6,0))</f>
        <v/>
      </c>
      <c r="P62" s="140" t="str">
        <f>IF(B62="","",VLOOKUP(AD62,Varsayımlar!$B:$Q,7,0)*K62)</f>
        <v/>
      </c>
      <c r="Q62" s="140" t="str">
        <f>IF(B62="","",VLOOKUP(AD62,Varsayımlar!$B:$Q,8,0))</f>
        <v/>
      </c>
      <c r="R62" s="140" t="str">
        <f>IF(B62="","",VLOOKUP(AD62,Varsayımlar!$B:$Q,9,0))</f>
        <v/>
      </c>
      <c r="S62" s="140" t="str">
        <f>IF(B62="","",VLOOKUP(AD62,Varsayımlar!$B:$Q,10,0))</f>
        <v/>
      </c>
      <c r="T62" s="140" t="str">
        <f>IF(B62="","",VLOOKUP(AD62,Varsayımlar!$B:$Q,11,0))</f>
        <v/>
      </c>
      <c r="U62" s="140" t="str">
        <f>IF(B62="","",VLOOKUP(AD62,Varsayımlar!$B:$Q,12,0))</f>
        <v/>
      </c>
      <c r="V62" s="140" t="str">
        <f>IF(B62="","",VLOOKUP(AD62,Varsayımlar!$B:$Q,13,0))</f>
        <v/>
      </c>
      <c r="W62" s="140" t="str">
        <f>IF(B62="","",VLOOKUP(AD62,Varsayımlar!$B:$Q,14,0))</f>
        <v/>
      </c>
      <c r="AA62" s="140" t="str">
        <f>IF(B62="","",VLOOKUP(AD62,Varsayımlar!$B:$Q,15,0))</f>
        <v/>
      </c>
      <c r="AB62" s="140" t="str">
        <f>IF(B62="","",VLOOKUP(AD62,Varsayımlar!$B:$Q,16,0))</f>
        <v/>
      </c>
      <c r="AD62" s="140" t="str">
        <f t="shared" si="5"/>
        <v/>
      </c>
    </row>
    <row r="63" spans="1:30" ht="31.5" customHeight="1" x14ac:dyDescent="0.25">
      <c r="A63" s="182" t="s">
        <v>345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4"/>
      <c r="AC63" s="38"/>
    </row>
    <row r="64" spans="1:30" ht="63" x14ac:dyDescent="0.25">
      <c r="A64" s="8" t="s">
        <v>0</v>
      </c>
      <c r="B64" s="8" t="s">
        <v>1</v>
      </c>
      <c r="C64" s="9" t="s">
        <v>31</v>
      </c>
      <c r="D64" s="9" t="s">
        <v>124</v>
      </c>
      <c r="E64" s="9" t="s">
        <v>36</v>
      </c>
      <c r="F64" s="8" t="s">
        <v>37</v>
      </c>
      <c r="G64" s="8" t="s">
        <v>13</v>
      </c>
      <c r="H64" s="8" t="s">
        <v>2</v>
      </c>
      <c r="I64" s="8" t="s">
        <v>49</v>
      </c>
      <c r="J64" s="8" t="s">
        <v>3</v>
      </c>
      <c r="K64" s="8" t="s">
        <v>21</v>
      </c>
      <c r="L64" s="8" t="s">
        <v>94</v>
      </c>
      <c r="M64" s="8" t="s">
        <v>20</v>
      </c>
      <c r="N64" s="8" t="s">
        <v>165</v>
      </c>
      <c r="O64" s="8" t="s">
        <v>123</v>
      </c>
      <c r="P64" s="8" t="s">
        <v>16</v>
      </c>
      <c r="Q64" s="8" t="s">
        <v>4</v>
      </c>
      <c r="R64" s="8" t="s">
        <v>5</v>
      </c>
      <c r="S64" s="8" t="s">
        <v>6</v>
      </c>
      <c r="T64" s="8" t="s">
        <v>28</v>
      </c>
      <c r="U64" s="8" t="s">
        <v>7</v>
      </c>
      <c r="V64" s="8" t="s">
        <v>8</v>
      </c>
      <c r="W64" s="8" t="s">
        <v>9</v>
      </c>
      <c r="X64" s="8" t="s">
        <v>10</v>
      </c>
      <c r="Y64" s="8" t="s">
        <v>11</v>
      </c>
      <c r="Z64" s="8" t="s">
        <v>12</v>
      </c>
      <c r="AA64" s="8" t="s">
        <v>14</v>
      </c>
      <c r="AB64" s="8" t="s">
        <v>15</v>
      </c>
      <c r="AC64" s="8" t="s">
        <v>208</v>
      </c>
      <c r="AD64" s="140" t="s">
        <v>41</v>
      </c>
    </row>
    <row r="65" spans="1:31" ht="45.75" customHeight="1" x14ac:dyDescent="0.25">
      <c r="A65" s="8" t="s">
        <v>26</v>
      </c>
      <c r="B65" s="130" t="s">
        <v>119</v>
      </c>
      <c r="C65" s="131">
        <f>IF(B65="","",VLOOKUP(AD65,Varsayımlar!$B:$Q,3,0))</f>
        <v>8698829380698</v>
      </c>
      <c r="D65" s="131"/>
      <c r="E65" s="132" t="s">
        <v>120</v>
      </c>
      <c r="F65" s="130"/>
      <c r="G65" s="130"/>
      <c r="H65" s="130" t="str">
        <f>IF(B65="","",VLOOKUP(AD65,Varsayımlar!$B:$Q,5,0))</f>
        <v>Nimet 25 cm</v>
      </c>
      <c r="I65" s="130"/>
      <c r="J65" s="130" t="str">
        <f>IF(B65="","",VLOOKUP(AD65,Varsayımlar!$B:$Q,6,0))</f>
        <v>SADE</v>
      </c>
      <c r="K65" s="130">
        <v>1500</v>
      </c>
      <c r="L65" s="130"/>
      <c r="M65" s="130">
        <f>IFERROR(IF(B65="","",K65/VLOOKUP(AD65,Varsayımlar!B:R,17,0)),"")</f>
        <v>30</v>
      </c>
      <c r="N65" s="130"/>
      <c r="O65" s="130">
        <v>30</v>
      </c>
      <c r="P65" s="130">
        <f>IF(B65="","",VLOOKUP(AD65,Varsayımlar!$B:$Q,7,0)*K65)</f>
        <v>18000</v>
      </c>
      <c r="Q65" s="130">
        <f>IF(B65="","",VLOOKUP(AD65,Varsayımlar!$B:$Q,8,0))</f>
        <v>25</v>
      </c>
      <c r="R65" s="130" t="str">
        <f>IF(B65="","",VLOOKUP(AD65,Varsayımlar!$B:$Q,9,0))</f>
        <v>Standart</v>
      </c>
      <c r="S65" s="130">
        <f>IF(B65="","",VLOOKUP(AD65,Varsayımlar!$B:$Q,10,0))</f>
        <v>12</v>
      </c>
      <c r="T65" s="130">
        <f>IF(B65="","",VLOOKUP(AD65,Varsayımlar!$B:$Q,11,0))</f>
        <v>12</v>
      </c>
      <c r="U65" s="130">
        <f>IF(B65="","",VLOOKUP(AD65,Varsayımlar!$B:$Q,12,0))</f>
        <v>840</v>
      </c>
      <c r="V65" s="130" t="str">
        <f>IF(B65="","",VLOOKUP(AD65,Varsayımlar!$B:$Q,13,0))</f>
        <v>YURTİÇİ</v>
      </c>
      <c r="W65" s="130">
        <f>IF(B65="","",VLOOKUP(AD65,Varsayımlar!$B:$Q,14,0))</f>
        <v>5</v>
      </c>
      <c r="X65" s="133" t="s">
        <v>113</v>
      </c>
      <c r="Y65" s="133" t="s">
        <v>113</v>
      </c>
      <c r="Z65" s="130" t="s">
        <v>113</v>
      </c>
      <c r="AA65" s="130" t="str">
        <f>IF(B65="","",VLOOKUP(AD65,Varsayımlar!$B:$Q,15,0))</f>
        <v>Nimet Kolisi</v>
      </c>
      <c r="AB65" s="130" t="str">
        <f>IF(B65="","",VLOOKUP(AD65,Varsayımlar!$B:$Q,16,0))</f>
        <v>24-26 CM</v>
      </c>
      <c r="AC65" s="64" t="s">
        <v>360</v>
      </c>
      <c r="AD65" s="57" t="str">
        <f t="shared" ref="AD65:AD70" si="7">IF(B65="","",CONCATENATE(B65,E65))</f>
        <v>A101Nimet 25cm 12 pcs 840g</v>
      </c>
    </row>
    <row r="66" spans="1:31" ht="94.5" x14ac:dyDescent="0.25">
      <c r="A66" s="8" t="s">
        <v>77</v>
      </c>
      <c r="B66" s="80" t="s">
        <v>218</v>
      </c>
      <c r="C66" s="44">
        <f>IF(B66="","",VLOOKUP(AD66,Varsayımlar!$B:$Q,3,0))</f>
        <v>8698829380698</v>
      </c>
      <c r="D66" s="44" t="s">
        <v>160</v>
      </c>
      <c r="E66" s="80" t="s">
        <v>244</v>
      </c>
      <c r="F66" s="80">
        <v>26042907</v>
      </c>
      <c r="G66" s="44"/>
      <c r="H66" s="80" t="str">
        <f>IF(B66="","",VLOOKUP(AD66,Varsayımlar!$B:$Q,5,0))</f>
        <v>Tortillas Avrupa Pizza 26cm (742)</v>
      </c>
      <c r="I66" s="80">
        <f>IF(B66="","",VLOOKUP(AD66,Varsayımlar!B:T,19,0))</f>
        <v>0</v>
      </c>
      <c r="J66" s="80" t="str">
        <f>IF(B66="","",VLOOKUP(AD66,Varsayımlar!$B:$Q,6,0))</f>
        <v>SADE</v>
      </c>
      <c r="K66" s="80">
        <v>720</v>
      </c>
      <c r="L66" s="80" t="s">
        <v>544</v>
      </c>
      <c r="M66" s="80">
        <f>IFERROR(IF(B66="","",K66/VLOOKUP(AD66,Varsayımlar!B:R,17,0)),"")</f>
        <v>6</v>
      </c>
      <c r="N66" s="80"/>
      <c r="O66" s="80">
        <v>9</v>
      </c>
      <c r="P66" s="80">
        <f>IF(B66="","",VLOOKUP(AD66,Varsayımlar!$B:$Q,7,0)*K66)</f>
        <v>5760</v>
      </c>
      <c r="Q66" s="80">
        <f>IF(B66="","",VLOOKUP(AD66,Varsayımlar!$B:$Q,8,0))</f>
        <v>26</v>
      </c>
      <c r="R66" s="80" t="str">
        <f>IF(B66="","",VLOOKUP(AD66,Varsayımlar!$B:$Q,9,0))</f>
        <v>Irak Soft</v>
      </c>
      <c r="S66" s="80">
        <f>IF(B66="","",VLOOKUP(AD66,Varsayımlar!$B:$Q,10,0))</f>
        <v>4</v>
      </c>
      <c r="T66" s="80">
        <f>IF(B66="","",VLOOKUP(AD66,Varsayımlar!$B:$Q,11,0))</f>
        <v>8</v>
      </c>
      <c r="U66" s="80">
        <f>IF(B66="","",VLOOKUP(AD66,Varsayımlar!$B:$Q,12,0))</f>
        <v>480</v>
      </c>
      <c r="V66" s="80" t="str">
        <f>IF(B66="","",VLOOKUP(AD66,Varsayımlar!$B:$Q,13,0))</f>
        <v>Yurtdışı</v>
      </c>
      <c r="W66" s="80">
        <f>IF(B66="","",VLOOKUP(AD66,Varsayımlar!$B:$Q,14,0))</f>
        <v>9</v>
      </c>
      <c r="X66" s="81">
        <v>46203</v>
      </c>
      <c r="Y66" s="81">
        <v>46476</v>
      </c>
      <c r="Z66" s="80">
        <v>26063026</v>
      </c>
      <c r="AA66" s="80" t="str">
        <f>IF(B66="","",VLOOKUP(AD66,Varsayımlar!$B:$Q,15,0))</f>
        <v>26cm Pizza Perforeli-Bulgarca Etiket</v>
      </c>
      <c r="AB66" s="80" t="str">
        <f>IF(B66="","",VLOOKUP(AD66,Varsayımlar!$B:$Q,16,0))</f>
        <v>26 cm kesme -Beze 145-150g, Kesilmmeiş çap 27-28cm, Kesilmemiş ağı: 520-540g, Kesilmiş:475-485g</v>
      </c>
      <c r="AC66" s="80" t="str">
        <f>IF(B66="","",VLOOKUP(Sayfa1!AD80,Varsayımlar!B:S,18,0))</f>
        <v>80x120cm -Epal+Epal</v>
      </c>
      <c r="AD66" s="57" t="str">
        <f t="shared" si="7"/>
        <v>TASTE LAND-BULGARİSTANTortillas Pizza 26cm 4pcs 480g</v>
      </c>
    </row>
    <row r="67" spans="1:31" ht="47.25" x14ac:dyDescent="0.25">
      <c r="A67" s="8" t="s">
        <v>78</v>
      </c>
      <c r="B67" s="54" t="s">
        <v>268</v>
      </c>
      <c r="C67" s="39">
        <f>IF(B67="","",VLOOKUP(AD67,Varsayımlar!$B:$Q,3,0))</f>
        <v>8698829380698</v>
      </c>
      <c r="D67" s="39" t="s">
        <v>160</v>
      </c>
      <c r="E67" s="39" t="s">
        <v>244</v>
      </c>
      <c r="F67" s="54" t="s">
        <v>343</v>
      </c>
      <c r="G67" s="39" t="s">
        <v>68</v>
      </c>
      <c r="H67" s="54" t="str">
        <f>IF(B67="","",VLOOKUP(AD67,Varsayımlar!$B:$Q,5,0))</f>
        <v xml:space="preserve">Tortillas Pizza 26cm </v>
      </c>
      <c r="I67" s="54">
        <f>IF(B67="","",VLOOKUP(AD67,Varsayımlar!B:T,19,0))</f>
        <v>0</v>
      </c>
      <c r="J67" s="54" t="str">
        <f>IF(B67="","",VLOOKUP(AD67,Varsayımlar!$B:$Q,6,0))</f>
        <v>SADE</v>
      </c>
      <c r="K67" s="54">
        <v>768</v>
      </c>
      <c r="L67" s="54"/>
      <c r="M67" s="54">
        <f>IFERROR(IF(B67="","",K67/VLOOKUP(AD67,Varsayımlar!B:R,17,0)),"")</f>
        <v>4</v>
      </c>
      <c r="N67" s="54"/>
      <c r="O67" s="54">
        <v>9</v>
      </c>
      <c r="P67" s="54">
        <f>IF(B67="","",VLOOKUP(AD67,Varsayımlar!$B:$Q,7,0)*K67)</f>
        <v>9216</v>
      </c>
      <c r="Q67" s="54">
        <f>IF(B67="","",VLOOKUP(AD67,Varsayımlar!$B:$Q,8,0))</f>
        <v>26</v>
      </c>
      <c r="R67" s="54" t="str">
        <f>IF(B67="","",VLOOKUP(AD67,Varsayımlar!$B:$Q,9,0))</f>
        <v>Soft-PA3</v>
      </c>
      <c r="S67" s="54">
        <f>IF(B67="","",VLOOKUP(AD67,Varsayımlar!$B:$Q,10,0))</f>
        <v>2</v>
      </c>
      <c r="T67" s="54">
        <f>IF(B67="","",VLOOKUP(AD67,Varsayımlar!$B:$Q,11,0))</f>
        <v>12</v>
      </c>
      <c r="U67" s="54">
        <f>IF(B67="","",VLOOKUP(AD67,Varsayımlar!$B:$Q,12,0))</f>
        <v>240</v>
      </c>
      <c r="V67" s="54" t="str">
        <f>IF(B67="","",VLOOKUP(AD67,Varsayımlar!$B:$Q,13,0))</f>
        <v>Yurtdışı</v>
      </c>
      <c r="W67" s="54">
        <f>IF(B67="","",VLOOKUP(AD67,Varsayımlar!$B:$Q,14,0))</f>
        <v>9</v>
      </c>
      <c r="X67" s="56">
        <v>46205</v>
      </c>
      <c r="Y67" s="56">
        <v>46479</v>
      </c>
      <c r="Z67" s="54">
        <v>26070226</v>
      </c>
      <c r="AA67" s="54" t="str">
        <f>IF(B67="","",VLOOKUP(AD67,Varsayımlar!$B:$Q,15,0))</f>
        <v>26 cm pizza kolisi-Etiketli</v>
      </c>
      <c r="AB67" s="54" t="str">
        <f>IF(B67="","",VLOOKUP(AD67,Varsayımlar!$B:$Q,16,0))</f>
        <v>24-26 cm (Macca Hetto Inkjet Uzun Tarih)</v>
      </c>
      <c r="AC67" s="54" t="e">
        <f>IF(B67="","",VLOOKUP(Sayfa1!AD83,Varsayımlar!B:S,18,0))</f>
        <v>#N/A</v>
      </c>
      <c r="AD67" s="57" t="str">
        <f>IF(B67="","",CONCATENATE(B67,E67))</f>
        <v>LAIKYUZHN-BELARUSTortillas Pizza 26cm 4pcs 480g</v>
      </c>
    </row>
    <row r="68" spans="1:31" ht="26.25" customHeight="1" x14ac:dyDescent="0.25">
      <c r="A68" s="8" t="s">
        <v>79</v>
      </c>
      <c r="B68" s="67" t="s">
        <v>119</v>
      </c>
      <c r="C68" s="42">
        <v>8698829380698</v>
      </c>
      <c r="D68" s="42"/>
      <c r="E68" s="42" t="s">
        <v>120</v>
      </c>
      <c r="F68" s="67"/>
      <c r="G68" s="42"/>
      <c r="H68" s="67" t="s">
        <v>121</v>
      </c>
      <c r="I68" s="67">
        <v>0</v>
      </c>
      <c r="J68" s="67" t="s">
        <v>19</v>
      </c>
      <c r="K68" s="67">
        <v>2000</v>
      </c>
      <c r="L68" s="67"/>
      <c r="M68" s="67">
        <v>80</v>
      </c>
      <c r="N68" s="67">
        <v>50</v>
      </c>
      <c r="O68" s="67">
        <v>54</v>
      </c>
      <c r="P68" s="67">
        <v>48000</v>
      </c>
      <c r="Q68" s="67">
        <v>25</v>
      </c>
      <c r="R68" s="67" t="s">
        <v>116</v>
      </c>
      <c r="S68" s="67">
        <v>12</v>
      </c>
      <c r="T68" s="67">
        <v>12</v>
      </c>
      <c r="U68" s="67">
        <v>840</v>
      </c>
      <c r="V68" s="67" t="s">
        <v>72</v>
      </c>
      <c r="W68" s="67">
        <v>5</v>
      </c>
      <c r="X68" s="69" t="s">
        <v>113</v>
      </c>
      <c r="Y68" s="69" t="s">
        <v>113</v>
      </c>
      <c r="Z68" s="67" t="s">
        <v>113</v>
      </c>
      <c r="AA68" s="67" t="s">
        <v>122</v>
      </c>
      <c r="AB68" s="67" t="s">
        <v>25</v>
      </c>
      <c r="AC68" s="67">
        <v>0</v>
      </c>
      <c r="AD68" s="57" t="s">
        <v>387</v>
      </c>
    </row>
    <row r="69" spans="1:31" ht="94.5" x14ac:dyDescent="0.25">
      <c r="A69" s="8" t="s">
        <v>80</v>
      </c>
      <c r="B69" s="75" t="s">
        <v>218</v>
      </c>
      <c r="C69" s="43">
        <f>IF(B69="","",VLOOKUP(AD69,Varsayımlar!$B:$Q,3,0))</f>
        <v>8698829380698</v>
      </c>
      <c r="D69" s="43" t="s">
        <v>161</v>
      </c>
      <c r="E69" s="75" t="s">
        <v>244</v>
      </c>
      <c r="F69" s="75" t="s">
        <v>561</v>
      </c>
      <c r="G69" s="43"/>
      <c r="H69" s="75" t="str">
        <f>IF(B69="","",VLOOKUP(AD69,Varsayımlar!$B:$Q,5,0))</f>
        <v>Tortillas Avrupa Pizza 26cm (742)</v>
      </c>
      <c r="I69" s="75">
        <f>IF(B69="","",VLOOKUP(AD69,Varsayımlar!B:T,19,0))</f>
        <v>0</v>
      </c>
      <c r="J69" s="75" t="str">
        <f>IF(B69="","",VLOOKUP(AD69,Varsayımlar!$B:$Q,6,0))</f>
        <v>SADE</v>
      </c>
      <c r="K69" s="75">
        <v>840</v>
      </c>
      <c r="L69" s="75"/>
      <c r="M69" s="75">
        <f>IFERROR(IF(B69="","",K69/VLOOKUP(AD69,Varsayımlar!B:R,17,0)),"")</f>
        <v>7</v>
      </c>
      <c r="N69" s="75"/>
      <c r="O69" s="75">
        <v>11</v>
      </c>
      <c r="P69" s="75">
        <f>IF(B69="","",VLOOKUP(AD69,Varsayımlar!$B:$Q,7,0)*K69)</f>
        <v>6720</v>
      </c>
      <c r="Q69" s="75">
        <f>IF(B69="","",VLOOKUP(AD69,Varsayımlar!$B:$Q,8,0))</f>
        <v>26</v>
      </c>
      <c r="R69" s="75" t="str">
        <f>IF(B69="","",VLOOKUP(AD69,Varsayımlar!$B:$Q,9,0))</f>
        <v>Irak Soft</v>
      </c>
      <c r="S69" s="75">
        <f>IF(B69="","",VLOOKUP(AD69,Varsayımlar!$B:$Q,10,0))</f>
        <v>4</v>
      </c>
      <c r="T69" s="75">
        <f>IF(B69="","",VLOOKUP(AD69,Varsayımlar!$B:$Q,11,0))</f>
        <v>8</v>
      </c>
      <c r="U69" s="75">
        <f>IF(B69="","",VLOOKUP(AD69,Varsayımlar!$B:$Q,12,0))</f>
        <v>480</v>
      </c>
      <c r="V69" s="75" t="str">
        <f>IF(B69="","",VLOOKUP(AD69,Varsayımlar!$B:$Q,13,0))</f>
        <v>Yurtdışı</v>
      </c>
      <c r="W69" s="75">
        <f>IF(B69="","",VLOOKUP(AD69,Varsayımlar!$B:$Q,14,0))</f>
        <v>9</v>
      </c>
      <c r="X69" s="76">
        <v>46213</v>
      </c>
      <c r="Y69" s="76">
        <v>46487</v>
      </c>
      <c r="Z69" s="75">
        <v>26071026</v>
      </c>
      <c r="AA69" s="75" t="str">
        <f>IF(B69="","",VLOOKUP(AD69,Varsayımlar!$B:$Q,15,0))</f>
        <v>26cm Pizza Perforeli-Bulgarca Etiket</v>
      </c>
      <c r="AB69" s="75" t="str">
        <f>IF(B69="","",VLOOKUP(AD69,Varsayımlar!$B:$Q,16,0))</f>
        <v>26 cm kesme -Beze 145-150g, Kesilmmeiş çap 27-28cm, Kesilmemiş ağı: 520-540g, Kesilmiş:475-485g</v>
      </c>
      <c r="AC69" s="75" t="str">
        <f>IF(B69="","",VLOOKUP(Sayfa1!AD81,Varsayımlar!B:S,18,0))</f>
        <v>80x120cm -Epal+Epal</v>
      </c>
      <c r="AD69" s="57" t="str">
        <f t="shared" si="7"/>
        <v>TASTE LAND-BULGARİSTANTortillas Pizza 26cm 4pcs 480g</v>
      </c>
    </row>
    <row r="70" spans="1:31" ht="46.5" customHeight="1" x14ac:dyDescent="0.25">
      <c r="A70" s="8" t="s">
        <v>81</v>
      </c>
      <c r="B70" s="67" t="s">
        <v>460</v>
      </c>
      <c r="C70" s="42">
        <f>IF(B70="","",VLOOKUP(AD70,Varsayımlar!$B:$Q,3,0))</f>
        <v>8698829380698</v>
      </c>
      <c r="D70" s="67" t="s">
        <v>540</v>
      </c>
      <c r="E70" s="67" t="s">
        <v>461</v>
      </c>
      <c r="F70" s="67">
        <v>20260414</v>
      </c>
      <c r="G70" s="67"/>
      <c r="H70" s="67" t="str">
        <f>IF(B70="","",VLOOKUP(AD70,Varsayımlar!$B:$Q,5,0))</f>
        <v xml:space="preserve">Tortillove 15cm </v>
      </c>
      <c r="I70" s="67">
        <f>IF(B70="","",VLOOKUP(AD70,Varsayımlar!B:T,19,0))</f>
        <v>0</v>
      </c>
      <c r="J70" s="67" t="str">
        <f>IF(B70="","",VLOOKUP(AD70,Varsayımlar!$B:$Q,6,0))</f>
        <v>SADE</v>
      </c>
      <c r="K70" s="67">
        <v>300</v>
      </c>
      <c r="L70" s="67" t="s">
        <v>532</v>
      </c>
      <c r="M70" s="67">
        <f>IFERROR(IF(B70="","",K70/VLOOKUP(AD70,Varsayımlar!B:R,17,0)),"")</f>
        <v>3</v>
      </c>
      <c r="N70" s="67"/>
      <c r="O70" s="67">
        <v>9</v>
      </c>
      <c r="P70" s="67">
        <f>IF(B70="","",VLOOKUP(AD70,Varsayımlar!$B:$Q,7,0)*K70)</f>
        <v>3600</v>
      </c>
      <c r="Q70" s="67">
        <f>IF(B70="","",VLOOKUP(AD70,Varsayımlar!$B:$Q,8,0))</f>
        <v>15</v>
      </c>
      <c r="R70" s="67" t="str">
        <f>IF(B70="","",VLOOKUP(AD70,Varsayımlar!$B:$Q,9,0))</f>
        <v>Irak Soft</v>
      </c>
      <c r="S70" s="67">
        <f>IF(B70="","",VLOOKUP(AD70,Varsayımlar!$B:$Q,10,0))</f>
        <v>10</v>
      </c>
      <c r="T70" s="67">
        <f>IF(B70="","",VLOOKUP(AD70,Varsayımlar!$B:$Q,11,0))</f>
        <v>12</v>
      </c>
      <c r="U70" s="67">
        <f>IF(B70="","",VLOOKUP(AD70,Varsayımlar!$B:$Q,12,0))</f>
        <v>250</v>
      </c>
      <c r="V70" s="67" t="str">
        <f>IF(B70="","",VLOOKUP(AD70,Varsayımlar!$B:$Q,13,0))</f>
        <v>Yurtdışı</v>
      </c>
      <c r="W70" s="67">
        <f>IF(B70="","",VLOOKUP(AD70,Varsayımlar!$B:$Q,14,0))</f>
        <v>6</v>
      </c>
      <c r="X70" s="69">
        <v>46216</v>
      </c>
      <c r="Y70" s="69">
        <v>46400</v>
      </c>
      <c r="Z70" s="67">
        <v>26071315</v>
      </c>
      <c r="AA70" s="67" t="str">
        <f>IF(B70="","",VLOOKUP(AD70,Varsayımlar!$B:$Q,15,0))</f>
        <v>15cm koli</v>
      </c>
      <c r="AB70" s="67" t="str">
        <f>IF(B70="","",VLOOKUP(AD70,Varsayımlar!$B:$Q,16,0))</f>
        <v>14-16 cm</v>
      </c>
      <c r="AC70" s="80">
        <f>IF(B70="","",VLOOKUP(Sayfa1!AD85,Varsayımlar!B:S,18,0))</f>
        <v>0</v>
      </c>
      <c r="AD70" s="57" t="str">
        <f t="shared" si="7"/>
        <v>Yüksekbaş GıdaYüksekbaş 15cm 10 pcs 250g</v>
      </c>
    </row>
    <row r="71" spans="1:31" ht="31.5" x14ac:dyDescent="0.25">
      <c r="A71" s="8" t="s">
        <v>82</v>
      </c>
      <c r="B71" s="54" t="s">
        <v>346</v>
      </c>
      <c r="C71" s="39">
        <f>IF(B71="","",VLOOKUP(AD71,Varsayımlar!$B:$Q,3,0))</f>
        <v>8698829380698</v>
      </c>
      <c r="D71" s="39">
        <v>49</v>
      </c>
      <c r="E71" s="55" t="s">
        <v>325</v>
      </c>
      <c r="F71" s="54"/>
      <c r="G71" s="54"/>
      <c r="H71" s="54" t="str">
        <f>IF(B71="","",VLOOKUP(AD71,Varsayımlar!$B:$Q,5,0))</f>
        <v>Hanami Tako 15cm</v>
      </c>
      <c r="I71" s="54" t="str">
        <f>IF(B71="","",VLOOKUP(AD71,Varsayımlar!B:T,19,0))</f>
        <v>Ambalaj kaç aylık kontrol?</v>
      </c>
      <c r="J71" s="54" t="str">
        <f>IF(B71="","",VLOOKUP(AD71,Varsayımlar!$B:$Q,6,0))</f>
        <v>SADE</v>
      </c>
      <c r="K71" s="54">
        <v>1248</v>
      </c>
      <c r="L71" s="54"/>
      <c r="M71" s="54"/>
      <c r="N71" s="54"/>
      <c r="O71" s="54">
        <v>35</v>
      </c>
      <c r="P71" s="54">
        <f>IF(B71="","",VLOOKUP(AD71,Varsayımlar!$B:$Q,7,0)*K71)</f>
        <v>24960</v>
      </c>
      <c r="Q71" s="54">
        <f>IF(B71="","",VLOOKUP(AD71,Varsayımlar!$B:$Q,8,0))</f>
        <v>15</v>
      </c>
      <c r="R71" s="54" t="str">
        <f>IF(B71="","",VLOOKUP(AD71,Varsayımlar!$B:$Q,9,0))</f>
        <v>Irak Soft</v>
      </c>
      <c r="S71" s="54">
        <f>IF(B71="","",VLOOKUP(AD71,Varsayımlar!$B:$Q,10,0))</f>
        <v>6</v>
      </c>
      <c r="T71" s="54">
        <f>IF(B71="","",VLOOKUP(AD71,Varsayımlar!$B:$Q,11,0))</f>
        <v>20</v>
      </c>
      <c r="U71" s="54">
        <f>IF(B71="","",VLOOKUP(AD71,Varsayımlar!$B:$Q,12,0))</f>
        <v>150</v>
      </c>
      <c r="V71" s="54" t="str">
        <f>IF(B71="","",VLOOKUP(AD71,Varsayımlar!$B:$Q,13,0))</f>
        <v>Yurtdışı</v>
      </c>
      <c r="W71" s="54">
        <f>IF(B71="","",VLOOKUP(AD71,Varsayımlar!$B:$Q,14,0))</f>
        <v>9</v>
      </c>
      <c r="X71" s="56">
        <v>46226</v>
      </c>
      <c r="Y71" s="56">
        <v>46500</v>
      </c>
      <c r="Z71" s="54">
        <v>26072315</v>
      </c>
      <c r="AA71" s="54" t="str">
        <f>IF(B71="","",VLOOKUP(AD71,Varsayımlar!$B:$Q,15,0))</f>
        <v>Hanami Tako 15cm-Üretim Tarihi Atılacak</v>
      </c>
      <c r="AB71" s="54" t="str">
        <f>IF(B71="","",VLOOKUP(AD71,Varsayımlar!$B:$Q,16,0))</f>
        <v>14-16 cm</v>
      </c>
      <c r="AC71" s="8" t="e">
        <f>IF(B71="","",VLOOKUP(#REF!,#REF!,18,0))</f>
        <v>#REF!</v>
      </c>
      <c r="AD71" s="8" t="str">
        <f>IF(B71="","",CONCATENATE(B71,E71))</f>
        <v>GermesHanami Germes Tako 15cm 6pcs 150g</v>
      </c>
    </row>
    <row r="72" spans="1:31" ht="49.5" customHeight="1" x14ac:dyDescent="0.25">
      <c r="A72" s="8" t="s">
        <v>83</v>
      </c>
      <c r="B72" s="152" t="s">
        <v>518</v>
      </c>
      <c r="C72" s="153">
        <f>IF(B72="","",VLOOKUP(AD72,Varsayımlar!$B:$Q,3,0))</f>
        <v>8698829380698</v>
      </c>
      <c r="D72" s="154"/>
      <c r="E72" s="154" t="s">
        <v>515</v>
      </c>
      <c r="F72" s="152">
        <v>26062302</v>
      </c>
      <c r="G72" s="152"/>
      <c r="H72" s="152" t="str">
        <f>IF(B72="","",VLOOKUP(AD72,Varsayımlar!$B:$Q,5,0))</f>
        <v>Tortillas 15cm</v>
      </c>
      <c r="I72" s="152">
        <f>IF(B72="","",VLOOKUP(AD72,Varsayımlar!B:T,19,0))</f>
        <v>0</v>
      </c>
      <c r="J72" s="152" t="str">
        <f>IF(B72="","",VLOOKUP(AD72,Varsayımlar!$B:$Q,6,0))</f>
        <v>Sade</v>
      </c>
      <c r="K72" s="152">
        <v>10</v>
      </c>
      <c r="L72" s="152"/>
      <c r="M72" s="152">
        <f>IFERROR(IF(B72="","",K72/VLOOKUP(AD72,Varsayımlar!B:R,17,0)),"")</f>
        <v>0.11904761904761904</v>
      </c>
      <c r="N72" s="152"/>
      <c r="O72" s="152">
        <v>0</v>
      </c>
      <c r="P72" s="152">
        <f>IF(B72="","",VLOOKUP(AD72,Varsayımlar!$B:$Q,7,0)*K72)</f>
        <v>120</v>
      </c>
      <c r="Q72" s="152">
        <f>IF(B72="","",VLOOKUP(AD72,Varsayımlar!$B:$Q,8,0))</f>
        <v>15</v>
      </c>
      <c r="R72" s="152" t="str">
        <f>IF(B72="","",VLOOKUP(AD72,Varsayımlar!$B:$Q,9,0))</f>
        <v>Irak Soft</v>
      </c>
      <c r="S72" s="152">
        <f>IF(B72="","",VLOOKUP(AD72,Varsayımlar!$B:$Q,10,0))</f>
        <v>10</v>
      </c>
      <c r="T72" s="152">
        <f>IF(B72="","",VLOOKUP(AD72,Varsayımlar!$B:$Q,11,0))</f>
        <v>12</v>
      </c>
      <c r="U72" s="152">
        <f>IF(B72="","",VLOOKUP(AD72,Varsayımlar!$B:$Q,12,0))</f>
        <v>250</v>
      </c>
      <c r="V72" s="152" t="str">
        <f>IF(B72="","",VLOOKUP(AD72,Varsayımlar!$B:$Q,13,0))</f>
        <v>Yurtiçi</v>
      </c>
      <c r="W72" s="152">
        <f>IF(B72="","",VLOOKUP(AD72,Varsayımlar!$B:$Q,14,0))</f>
        <v>6</v>
      </c>
      <c r="X72" s="155">
        <v>46231</v>
      </c>
      <c r="Y72" s="155">
        <v>46415</v>
      </c>
      <c r="Z72" s="152">
        <v>26072815</v>
      </c>
      <c r="AA72" s="152" t="str">
        <f>IF(B72="","",VLOOKUP(AD72,Varsayımlar!$B:$Q,15,0))</f>
        <v>15cm koli</v>
      </c>
      <c r="AB72" s="152" t="str">
        <f>IF(B72="","",VLOOKUP(AD72,Varsayımlar!$B:$Q,16,0))</f>
        <v>14-16cm</v>
      </c>
      <c r="AC72" s="8" t="e">
        <f>IF(B72="","",VLOOKUP(#REF!,#REF!,18,0))</f>
        <v>#REF!</v>
      </c>
      <c r="AD72" s="8" t="str">
        <f t="shared" ref="AD72:AD73" si="8">IF(B72="","",CONCATENATE(B72,E72))</f>
        <v>Yusuf KöseTortillas 15cm 10pcs 250g</v>
      </c>
    </row>
    <row r="73" spans="1:31" ht="54" customHeight="1" x14ac:dyDescent="0.25">
      <c r="A73" s="8" t="s">
        <v>84</v>
      </c>
      <c r="B73" s="148" t="s">
        <v>500</v>
      </c>
      <c r="C73" s="149">
        <f>IF(B73="","",VLOOKUP(AD73,Varsayımlar!$B:$Q,3,0))</f>
        <v>8698829380698</v>
      </c>
      <c r="D73" s="149"/>
      <c r="E73" s="150" t="s">
        <v>515</v>
      </c>
      <c r="F73" s="148">
        <v>26062201</v>
      </c>
      <c r="G73" s="148"/>
      <c r="H73" s="148" t="str">
        <f>IF(B73="","",VLOOKUP(AD73,Varsayımlar!$B:$Q,5,0))</f>
        <v>Tortillas 15cm</v>
      </c>
      <c r="I73" s="148">
        <f>IF(B73="","",VLOOKUP(AD73,Varsayımlar!B:T,19,0))</f>
        <v>0</v>
      </c>
      <c r="J73" s="148" t="str">
        <f>IF(B73="","",VLOOKUP(AD73,Varsayımlar!$B:$Q,6,0))</f>
        <v>Sade</v>
      </c>
      <c r="K73" s="148">
        <v>50</v>
      </c>
      <c r="L73" s="148"/>
      <c r="M73" s="148" t="str">
        <f>IFERROR(IF(B73="","",K73/VLOOKUP(AD73,#REF!,17,0)),"")</f>
        <v/>
      </c>
      <c r="N73" s="148"/>
      <c r="O73" s="148">
        <v>2</v>
      </c>
      <c r="P73" s="148">
        <f>IF(B73="","",VLOOKUP(AD73,Varsayımlar!$B:$Q,7,0)*K73)</f>
        <v>600</v>
      </c>
      <c r="Q73" s="148">
        <f>IF(B73="","",VLOOKUP(AD73,Varsayımlar!$B:$Q,8,0))</f>
        <v>15</v>
      </c>
      <c r="R73" s="148" t="str">
        <f>IF(B73="","",VLOOKUP(AD73,Varsayımlar!$B:$Q,9,0))</f>
        <v>Irak Soft</v>
      </c>
      <c r="S73" s="148">
        <f>IF(B73="","",VLOOKUP(AD73,Varsayımlar!$B:$Q,10,0))</f>
        <v>10</v>
      </c>
      <c r="T73" s="148">
        <f>IF(B73="","",VLOOKUP(AD73,Varsayımlar!$B:$Q,11,0))</f>
        <v>12</v>
      </c>
      <c r="U73" s="148">
        <f>IF(B73="","",VLOOKUP(AD73,Varsayımlar!$B:$Q,12,0))</f>
        <v>250</v>
      </c>
      <c r="V73" s="148" t="str">
        <f>IF(B73="","",VLOOKUP(AD73,Varsayımlar!$B:$Q,13,0))</f>
        <v>Yurtdışı</v>
      </c>
      <c r="W73" s="148">
        <f>IF(B73="","",VLOOKUP(AD73,Varsayımlar!$B:$Q,14,0))</f>
        <v>12</v>
      </c>
      <c r="X73" s="151">
        <v>46231</v>
      </c>
      <c r="Y73" s="151">
        <v>46596</v>
      </c>
      <c r="Z73" s="148">
        <v>26072815</v>
      </c>
      <c r="AA73" s="148" t="str">
        <f>IF(B73="","",VLOOKUP(AD73,Varsayımlar!$B:$Q,15,0))</f>
        <v>15cm koli</v>
      </c>
      <c r="AB73" s="148" t="str">
        <f>IF(B73="","",VLOOKUP(AD73,Varsayımlar!$B:$Q,16,0))</f>
        <v>14-16cm</v>
      </c>
      <c r="AC73" s="67"/>
      <c r="AD73" s="57" t="str">
        <f t="shared" si="8"/>
        <v>Fama GroupTortillas 15cm 10pcs 250g</v>
      </c>
    </row>
    <row r="74" spans="1:31" ht="48" customHeight="1" x14ac:dyDescent="0.25">
      <c r="A74" s="8" t="s">
        <v>85</v>
      </c>
      <c r="B74" s="149" t="s">
        <v>500</v>
      </c>
      <c r="C74" s="149">
        <f>IF(B74="","",VLOOKUP(AD74,Varsayımlar!$B:$Q,3,0))</f>
        <v>8698829380698</v>
      </c>
      <c r="D74" s="149"/>
      <c r="E74" s="149" t="s">
        <v>244</v>
      </c>
      <c r="F74" s="149">
        <v>26062201</v>
      </c>
      <c r="G74" s="149"/>
      <c r="H74" s="148" t="str">
        <f>IF(B74="","",VLOOKUP(AD74,Varsayımlar!$B:$Q,5,0))</f>
        <v xml:space="preserve">Tortillas Pizza 26cm </v>
      </c>
      <c r="I74" s="148">
        <f>IF(B74="","",VLOOKUP(AD74,Varsayımlar!B:T,19,0))</f>
        <v>0</v>
      </c>
      <c r="J74" s="148" t="str">
        <f>IF(B74="","",VLOOKUP(AD74,Varsayımlar!$B:$Q,6,0))</f>
        <v>Sade</v>
      </c>
      <c r="K74" s="149">
        <v>50</v>
      </c>
      <c r="L74" s="149"/>
      <c r="M74" s="149" t="str">
        <f>IFERROR(IF(B74="","",K74/VLOOKUP(AD74,#REF!,17,0)),"")</f>
        <v/>
      </c>
      <c r="N74" s="149"/>
      <c r="O74" s="149">
        <v>1</v>
      </c>
      <c r="P74" s="148">
        <f>IF(B74="","",VLOOKUP(AD74,Varsayımlar!$B:$Q,7,0)*K74)</f>
        <v>300</v>
      </c>
      <c r="Q74" s="148">
        <f>IF(B74="","",VLOOKUP(AD74,Varsayımlar!$B:$Q,8,0))</f>
        <v>26</v>
      </c>
      <c r="R74" s="148" t="str">
        <f>IF(B74="","",VLOOKUP(AD74,Varsayımlar!$B:$Q,9,0))</f>
        <v>Irak Soft</v>
      </c>
      <c r="S74" s="148">
        <f>IF(B74="","",VLOOKUP(AD74,Varsayımlar!$B:$Q,10,0))</f>
        <v>4</v>
      </c>
      <c r="T74" s="148">
        <f>IF(B74="","",VLOOKUP(AD74,Varsayımlar!$B:$Q,11,0))</f>
        <v>6</v>
      </c>
      <c r="U74" s="148">
        <f>IF(B74="","",VLOOKUP(AD74,Varsayımlar!$B:$Q,12,0))</f>
        <v>480</v>
      </c>
      <c r="V74" s="148" t="str">
        <f>IF(B74="","",VLOOKUP(AD74,Varsayımlar!$B:$Q,13,0))</f>
        <v>Yurtdışı</v>
      </c>
      <c r="W74" s="148">
        <f>IF(B74="","",VLOOKUP(AD74,Varsayımlar!$B:$Q,14,0))</f>
        <v>12</v>
      </c>
      <c r="X74" s="151">
        <v>46231</v>
      </c>
      <c r="Y74" s="151">
        <v>46596</v>
      </c>
      <c r="Z74" s="149">
        <v>26072826</v>
      </c>
      <c r="AA74" s="148" t="str">
        <f>IF(B74="","",VLOOKUP(AD74,Varsayımlar!$B:$Q,15,0))</f>
        <v>Pizza Kolisi-ETİKETLİ</v>
      </c>
      <c r="AB74" s="148" t="str">
        <f>IF(B74="","",VLOOKUP(AD74,Varsayımlar!$B:$Q,16,0))</f>
        <v>25-27 cm</v>
      </c>
      <c r="AC74" s="140">
        <f>IF(B74="","",VLOOKUP(Sayfa1!AD94,Varsayımlar!B:S,18,0))</f>
        <v>0</v>
      </c>
      <c r="AD74" s="140" t="str">
        <f>IF(B74="","",CONCATENATE(B74,E74))</f>
        <v>Fama GroupTortillas Pizza 26cm 4pcs 480g</v>
      </c>
    </row>
    <row r="75" spans="1:31" ht="94.5" x14ac:dyDescent="0.25">
      <c r="A75" s="8" t="s">
        <v>86</v>
      </c>
      <c r="B75" s="62" t="s">
        <v>456</v>
      </c>
      <c r="C75" s="32">
        <f>IF(B75="","",VLOOKUP(AD75,Varsayımlar!$B:$Q,3,0))</f>
        <v>8698829380698</v>
      </c>
      <c r="D75" s="32"/>
      <c r="E75" s="61" t="s">
        <v>484</v>
      </c>
      <c r="F75" s="159" t="s">
        <v>546</v>
      </c>
      <c r="G75" s="62"/>
      <c r="H75" s="62" t="str">
        <f>IF(B75="","",VLOOKUP(AD75,Varsayımlar!$B:$Q,5,0))</f>
        <v>Willifood 26 cm Pizza</v>
      </c>
      <c r="I75" s="62">
        <f>IF(B75="","",VLOOKUP(AD75,Varsayımlar!B:T,19,0))</f>
        <v>0</v>
      </c>
      <c r="J75" s="62" t="str">
        <f>IF(B75="","",VLOOKUP(AD75,Varsayımlar!$B:$Q,6,0))</f>
        <v>Pizza</v>
      </c>
      <c r="K75" s="62">
        <v>2250</v>
      </c>
      <c r="L75" s="62"/>
      <c r="M75" s="62" t="str">
        <f>IFERROR(IF(B75="","",K75/VLOOKUP(AD75,#REF!,17,0)),"")</f>
        <v/>
      </c>
      <c r="N75" s="62"/>
      <c r="O75" s="62">
        <v>25</v>
      </c>
      <c r="P75" s="62">
        <f>IF(B75="","",VLOOKUP(AD75,Varsayımlar!$B:$Q,7,0)*K75)</f>
        <v>27000</v>
      </c>
      <c r="Q75" s="62">
        <f>IF(B75="","",VLOOKUP(AD75,Varsayımlar!$B:$Q,8,0))</f>
        <v>26</v>
      </c>
      <c r="R75" s="62" t="str">
        <f>IF(B75="","",VLOOKUP(AD75,Varsayımlar!$B:$Q,9,0))</f>
        <v>Irak Soft</v>
      </c>
      <c r="S75" s="62">
        <f>IF(B75="","",VLOOKUP(AD75,Varsayımlar!$B:$Q,10,0))</f>
        <v>4</v>
      </c>
      <c r="T75" s="62">
        <f>IF(B75="","",VLOOKUP(AD75,Varsayımlar!$B:$Q,11,0))</f>
        <v>12</v>
      </c>
      <c r="U75" s="62">
        <f>IF(B75="","",VLOOKUP(AD75,Varsayımlar!$B:$Q,12,0))</f>
        <v>480</v>
      </c>
      <c r="V75" s="62" t="str">
        <f>IF(B75="","",VLOOKUP(AD75,Varsayımlar!$B:$Q,13,0))</f>
        <v>Yurtdışı</v>
      </c>
      <c r="W75" s="62">
        <f>IF(B75="","",VLOOKUP(AD75,Varsayımlar!$B:$Q,14,0))</f>
        <v>18</v>
      </c>
      <c r="X75" s="63"/>
      <c r="Y75" s="146" t="s">
        <v>523</v>
      </c>
      <c r="Z75" s="146" t="s">
        <v>522</v>
      </c>
      <c r="AA75" s="63" t="str">
        <f>IF(B75="","",VLOOKUP(AD75,Varsayımlar!$B:$Q,15,0))</f>
        <v>Dürümek Kolisi-Çift Etiket</v>
      </c>
      <c r="AB75" s="63" t="str">
        <f>IF(B75="","",VLOOKUP(AD75,Varsayımlar!$B:$Q,16,0))</f>
        <v>Kesme.Bezeler 145-150 g.Kesilmemiş 27-28 cm. Kesilmemiş ağ 520-540g. Kesilmiş ağ 475-485 g</v>
      </c>
      <c r="AC75" s="73" t="e">
        <f>IF(B75="","",VLOOKUP(#REF!,#REF!,18,0))</f>
        <v>#REF!</v>
      </c>
      <c r="AD75" s="73" t="str">
        <f>IF(B75="","",CONCATENATE(B75,E75))</f>
        <v>WillifoodWillifood Pizza 26cm 4 pcs 480g</v>
      </c>
    </row>
    <row r="76" spans="1:31" ht="33.75" customHeight="1" x14ac:dyDescent="0.25">
      <c r="A76" s="8" t="s">
        <v>87</v>
      </c>
      <c r="B76" s="67" t="s">
        <v>460</v>
      </c>
      <c r="C76" s="42">
        <f>IF(B76="","",VLOOKUP(AD76,Varsayımlar!$B:$Q,3,0))</f>
        <v>8698829380698</v>
      </c>
      <c r="D76" s="67" t="s">
        <v>539</v>
      </c>
      <c r="E76" s="67" t="s">
        <v>461</v>
      </c>
      <c r="F76" s="67">
        <v>20260626</v>
      </c>
      <c r="G76" s="67"/>
      <c r="H76" s="67" t="str">
        <f>IF(B76="","",VLOOKUP(AD76,Varsayımlar!$B:$Q,5,0))</f>
        <v xml:space="preserve">Tortillove 15cm </v>
      </c>
      <c r="I76" s="67">
        <f>IF(B76="","",VLOOKUP(AD76,Varsayımlar!B:T,19,0))</f>
        <v>0</v>
      </c>
      <c r="J76" s="67" t="str">
        <f>IF(B76="","",VLOOKUP(AD76,Varsayımlar!$B:$Q,6,0))</f>
        <v>SADE</v>
      </c>
      <c r="K76" s="67">
        <v>400</v>
      </c>
      <c r="L76" s="67"/>
      <c r="M76" s="67">
        <f>IFERROR(IF(B76="","",K76/VLOOKUP(AD76,Varsayımlar!B:R,17,0)),"")</f>
        <v>4</v>
      </c>
      <c r="N76" s="67"/>
      <c r="O76" s="67">
        <v>11</v>
      </c>
      <c r="P76" s="67">
        <f>IF(B76="","",VLOOKUP(AD76,Varsayımlar!$B:$Q,7,0)*K76)</f>
        <v>4800</v>
      </c>
      <c r="Q76" s="67">
        <f>IF(B76="","",VLOOKUP(AD76,Varsayımlar!$B:$Q,8,0))</f>
        <v>15</v>
      </c>
      <c r="R76" s="67" t="str">
        <f>IF(B76="","",VLOOKUP(AD76,Varsayımlar!$B:$Q,9,0))</f>
        <v>Irak Soft</v>
      </c>
      <c r="S76" s="67">
        <f>IF(B76="","",VLOOKUP(AD76,Varsayımlar!$B:$Q,10,0))</f>
        <v>10</v>
      </c>
      <c r="T76" s="67">
        <f>IF(B76="","",VLOOKUP(AD76,Varsayımlar!$B:$Q,11,0))</f>
        <v>12</v>
      </c>
      <c r="U76" s="67">
        <f>IF(B76="","",VLOOKUP(AD76,Varsayımlar!$B:$Q,12,0))</f>
        <v>250</v>
      </c>
      <c r="V76" s="67" t="str">
        <f>IF(B76="","",VLOOKUP(AD76,Varsayımlar!$B:$Q,13,0))</f>
        <v>Yurtdışı</v>
      </c>
      <c r="W76" s="67">
        <f>IF(B76="","",VLOOKUP(AD76,Varsayımlar!$B:$Q,14,0))</f>
        <v>6</v>
      </c>
      <c r="X76" s="69"/>
      <c r="Y76" s="69"/>
      <c r="Z76" s="67"/>
      <c r="AA76" s="67" t="str">
        <f>IF(B76="","",VLOOKUP(AD76,Varsayımlar!$B:$Q,15,0))</f>
        <v>15cm koli</v>
      </c>
      <c r="AB76" s="67" t="str">
        <f>IF(B76="","",VLOOKUP(AD76,Varsayımlar!$B:$Q,16,0))</f>
        <v>14-16 cm</v>
      </c>
      <c r="AC76" s="80">
        <f>IF(B76="","",VLOOKUP(Sayfa1!AD91,Varsayımlar!B:S,18,0))</f>
        <v>0</v>
      </c>
      <c r="AD76" s="57" t="str">
        <f t="shared" ref="AD76" si="9">IF(B76="","",CONCATENATE(B76,E76))</f>
        <v>Yüksekbaş GıdaYüksekbaş 15cm 10 pcs 250g</v>
      </c>
    </row>
    <row r="77" spans="1:31" ht="51" customHeight="1" x14ac:dyDescent="0.25">
      <c r="A77" s="8" t="s">
        <v>88</v>
      </c>
      <c r="B77" s="160" t="s">
        <v>553</v>
      </c>
      <c r="C77" s="161">
        <f>IF(B77="","",VLOOKUP(AD77,Varsayımlar!$B:$Q,3,0))</f>
        <v>8698829380698</v>
      </c>
      <c r="D77" s="160"/>
      <c r="E77" s="162" t="s">
        <v>554</v>
      </c>
      <c r="F77" s="160">
        <v>20260629</v>
      </c>
      <c r="G77" s="160"/>
      <c r="H77" s="160" t="str">
        <f>IF(B77="","",VLOOKUP(AD77,Varsayımlar!$B:$Q,5,0))</f>
        <v xml:space="preserve">Tortillove 15cm </v>
      </c>
      <c r="I77" s="160">
        <f>IF(B77="","",VLOOKUP(AD77,Varsayımlar!B:T,19,0))</f>
        <v>0</v>
      </c>
      <c r="J77" s="160" t="str">
        <f>IF(B77="","",VLOOKUP(AD77,Varsayımlar!$B:$Q,6,0))</f>
        <v>Sade</v>
      </c>
      <c r="K77" s="160">
        <v>100</v>
      </c>
      <c r="L77" s="160"/>
      <c r="M77" s="160">
        <f>IFERROR(IF(B77="","",K77/VLOOKUP(AD77,Varsayımlar!B:R,17,0)),"")</f>
        <v>1</v>
      </c>
      <c r="N77" s="160"/>
      <c r="O77" s="160">
        <v>3</v>
      </c>
      <c r="P77" s="160">
        <f>IF(B77="","",VLOOKUP(AD77,Varsayımlar!$B:$Q,7,0)*K77)</f>
        <v>1200</v>
      </c>
      <c r="Q77" s="160">
        <f>IF(B77="","",VLOOKUP(AD77,Varsayımlar!$B:$Q,8,0))</f>
        <v>15</v>
      </c>
      <c r="R77" s="160" t="str">
        <f>IF(B77="","",VLOOKUP(AD77,Varsayımlar!$B:$Q,9,0))</f>
        <v>Irak soft</v>
      </c>
      <c r="S77" s="160">
        <f>IF(B77="","",VLOOKUP(AD77,Varsayımlar!$B:$Q,10,0))</f>
        <v>10</v>
      </c>
      <c r="T77" s="160">
        <f>IF(B77="","",VLOOKUP(AD77,Varsayımlar!$B:$Q,11,0))</f>
        <v>12</v>
      </c>
      <c r="U77" s="160">
        <f>IF(B77="","",VLOOKUP(AD77,Varsayımlar!$B:$Q,12,0))</f>
        <v>250</v>
      </c>
      <c r="V77" s="160" t="str">
        <f>IF(B77="","",VLOOKUP(AD77,Varsayımlar!$B:$Q,13,0))</f>
        <v>Yurtiçi</v>
      </c>
      <c r="W77" s="160">
        <f>IF(B77="","",VLOOKUP(AD77,Varsayımlar!$B:$Q,14,0))</f>
        <v>6</v>
      </c>
      <c r="X77" s="163"/>
      <c r="Y77" s="163"/>
      <c r="Z77" s="160"/>
      <c r="AA77" s="160" t="str">
        <f>IF(B77="","",VLOOKUP(AD77,Varsayımlar!$B:$Q,15,0))</f>
        <v>15cm kolisi</v>
      </c>
      <c r="AB77" s="160" t="str">
        <f>IF(B77="","",VLOOKUP(AD77,Varsayımlar!$B:$Q,16,0))</f>
        <v>14-16cm</v>
      </c>
      <c r="AC77" s="75" t="e">
        <f>IF(B77="","",VLOOKUP(Sayfa1!AD119,Varsayımlar!B:S,18,0))</f>
        <v>#N/A</v>
      </c>
      <c r="AD77" s="57" t="str">
        <f>IF(B77="","",CONCATENATE(B77,E77))</f>
        <v>GıdaserTortillove 15cm 10pcs 250g</v>
      </c>
      <c r="AE77" s="140" t="s">
        <v>541</v>
      </c>
    </row>
    <row r="78" spans="1:31" x14ac:dyDescent="0.25">
      <c r="A78" s="8" t="s">
        <v>89</v>
      </c>
      <c r="B78" s="67"/>
      <c r="C78" s="42" t="str">
        <f>IF(B78="","",VLOOKUP(AD78,#REF!,3,0))</f>
        <v/>
      </c>
      <c r="D78" s="42"/>
      <c r="E78" s="42"/>
      <c r="F78" s="67"/>
      <c r="G78" s="67"/>
      <c r="H78" s="67" t="str">
        <f>IF(B78="","",VLOOKUP(AD78,#REF!,5,0))</f>
        <v/>
      </c>
      <c r="I78" s="67" t="str">
        <f>IF(B78="","",VLOOKUP(AD78,#REF!,19,0))</f>
        <v/>
      </c>
      <c r="J78" s="67" t="str">
        <f>IF(B78="","",VLOOKUP(AD78,#REF!,6,0))</f>
        <v/>
      </c>
      <c r="K78" s="67"/>
      <c r="L78" s="67"/>
      <c r="M78" s="67" t="str">
        <f>IFERROR(IF(B78="","",K78/VLOOKUP(AD78,#REF!,17,0)),"")</f>
        <v/>
      </c>
      <c r="N78" s="67"/>
      <c r="O78" s="67"/>
      <c r="P78" s="67" t="str">
        <f>IF(B78="","",VLOOKUP(AD78,#REF!,7,0)*K78)</f>
        <v/>
      </c>
      <c r="Q78" s="67" t="str">
        <f>IF(B78="","",VLOOKUP(AD78,#REF!,8,0))</f>
        <v/>
      </c>
      <c r="R78" s="67" t="str">
        <f>IF(B78="","",VLOOKUP(AD78,#REF!,9,0))</f>
        <v/>
      </c>
      <c r="S78" s="67" t="str">
        <f>IF(B78="","",VLOOKUP(AD78,#REF!,10,0))</f>
        <v/>
      </c>
      <c r="T78" s="67" t="str">
        <f>IF(B78="","",VLOOKUP(AD78,#REF!,11,0))</f>
        <v/>
      </c>
      <c r="U78" s="67" t="str">
        <f>IF(B78="","",VLOOKUP(AD78,#REF!,12,0))</f>
        <v/>
      </c>
      <c r="V78" s="67" t="str">
        <f>IF(B78="","",VLOOKUP(AD78,#REF!,13,0))</f>
        <v/>
      </c>
      <c r="W78" s="67" t="str">
        <f>IF(B78="","",VLOOKUP(AD78,#REF!,14,0))</f>
        <v/>
      </c>
      <c r="X78" s="69"/>
      <c r="Y78" s="69"/>
      <c r="Z78" s="67"/>
      <c r="AA78" s="67" t="str">
        <f>IF(B78="","",VLOOKUP(AD78,#REF!,15,0))</f>
        <v/>
      </c>
      <c r="AB78" s="67" t="str">
        <f>IF(B78="","",VLOOKUP(AD78,#REF!,16,0))</f>
        <v/>
      </c>
    </row>
    <row r="79" spans="1:31" x14ac:dyDescent="0.25">
      <c r="A79" s="8" t="s">
        <v>90</v>
      </c>
      <c r="B79" s="67"/>
      <c r="C79" s="42" t="str">
        <f>IF(B79="","",VLOOKUP(AD79,#REF!,3,0))</f>
        <v/>
      </c>
      <c r="D79" s="42"/>
      <c r="E79" s="42"/>
      <c r="F79" s="67"/>
      <c r="G79" s="67"/>
      <c r="H79" s="67" t="str">
        <f>IF(B79="","",VLOOKUP(AD79,#REF!,5,0))</f>
        <v/>
      </c>
      <c r="I79" s="67" t="str">
        <f>IF(B79="","",VLOOKUP(AD79,#REF!,19,0))</f>
        <v/>
      </c>
      <c r="J79" s="67" t="str">
        <f>IF(B79="","",VLOOKUP(AD79,#REF!,6,0))</f>
        <v/>
      </c>
      <c r="K79" s="67"/>
      <c r="L79" s="67"/>
      <c r="M79" s="67" t="str">
        <f>IFERROR(IF(B79="","",K79/VLOOKUP(AD79,#REF!,17,0)),"")</f>
        <v/>
      </c>
      <c r="N79" s="67"/>
      <c r="O79" s="67"/>
      <c r="P79" s="67" t="str">
        <f>IF(B79="","",VLOOKUP(AD79,#REF!,7,0)*K79)</f>
        <v/>
      </c>
      <c r="Q79" s="67" t="str">
        <f>IF(B79="","",VLOOKUP(AD79,#REF!,8,0))</f>
        <v/>
      </c>
      <c r="R79" s="67" t="str">
        <f>IF(B79="","",VLOOKUP(AD79,#REF!,9,0))</f>
        <v/>
      </c>
      <c r="S79" s="67" t="str">
        <f>IF(B79="","",VLOOKUP(AD79,#REF!,10,0))</f>
        <v/>
      </c>
      <c r="T79" s="67" t="str">
        <f>IF(B79="","",VLOOKUP(AD79,#REF!,11,0))</f>
        <v/>
      </c>
      <c r="U79" s="67" t="str">
        <f>IF(B79="","",VLOOKUP(AD79,#REF!,12,0))</f>
        <v/>
      </c>
      <c r="V79" s="67" t="str">
        <f>IF(B79="","",VLOOKUP(AD79,#REF!,13,0))</f>
        <v/>
      </c>
      <c r="W79" s="67" t="str">
        <f>IF(B79="","",VLOOKUP(AD79,#REF!,14,0))</f>
        <v/>
      </c>
      <c r="X79" s="69"/>
      <c r="Y79" s="69"/>
      <c r="Z79" s="67"/>
      <c r="AA79" s="67" t="str">
        <f>IF(B79="","",VLOOKUP(AD79,#REF!,15,0))</f>
        <v/>
      </c>
      <c r="AB79" s="67" t="str">
        <f>IF(B79="","",VLOOKUP(AD79,#REF!,16,0))</f>
        <v/>
      </c>
    </row>
    <row r="80" spans="1:31" x14ac:dyDescent="0.25">
      <c r="A80" s="8" t="s">
        <v>91</v>
      </c>
      <c r="B80" s="67"/>
      <c r="C80" s="42" t="str">
        <f>IF(B80="","",VLOOKUP(AD80,#REF!,3,0))</f>
        <v/>
      </c>
      <c r="D80" s="42"/>
      <c r="E80" s="42"/>
      <c r="F80" s="67"/>
      <c r="G80" s="67"/>
      <c r="H80" s="67" t="str">
        <f>IF(B80="","",VLOOKUP(AD80,#REF!,5,0))</f>
        <v/>
      </c>
      <c r="I80" s="67" t="str">
        <f>IF(B80="","",VLOOKUP(AD80,#REF!,19,0))</f>
        <v/>
      </c>
      <c r="J80" s="67" t="str">
        <f>IF(B80="","",VLOOKUP(AD80,#REF!,6,0))</f>
        <v/>
      </c>
      <c r="K80" s="67"/>
      <c r="L80" s="67"/>
      <c r="M80" s="67" t="str">
        <f>IFERROR(IF(B80="","",K80/VLOOKUP(AD80,#REF!,17,0)),"")</f>
        <v/>
      </c>
      <c r="N80" s="67"/>
      <c r="O80" s="67"/>
      <c r="P80" s="67" t="str">
        <f>IF(B80="","",VLOOKUP(AD80,#REF!,7,0)*K80)</f>
        <v/>
      </c>
      <c r="Q80" s="67" t="str">
        <f>IF(B80="","",VLOOKUP(AD80,#REF!,8,0))</f>
        <v/>
      </c>
      <c r="R80" s="67" t="str">
        <f>IF(B80="","",VLOOKUP(AD80,#REF!,9,0))</f>
        <v/>
      </c>
      <c r="S80" s="67" t="str">
        <f>IF(B80="","",VLOOKUP(AD80,#REF!,10,0))</f>
        <v/>
      </c>
      <c r="T80" s="67" t="str">
        <f>IF(B80="","",VLOOKUP(AD80,#REF!,11,0))</f>
        <v/>
      </c>
      <c r="U80" s="67" t="str">
        <f>IF(B80="","",VLOOKUP(AD80,#REF!,12,0))</f>
        <v/>
      </c>
      <c r="V80" s="67" t="str">
        <f>IF(B80="","",VLOOKUP(AD80,#REF!,13,0))</f>
        <v/>
      </c>
      <c r="W80" s="67" t="str">
        <f>IF(B80="","",VLOOKUP(AD80,#REF!,14,0))</f>
        <v/>
      </c>
      <c r="X80" s="69"/>
      <c r="Y80" s="69"/>
      <c r="Z80" s="67"/>
      <c r="AA80" s="67" t="str">
        <f>IF(B80="","",VLOOKUP(AD80,#REF!,15,0))</f>
        <v/>
      </c>
      <c r="AB80" s="67" t="str">
        <f>IF(B80="","",VLOOKUP(AD80,#REF!,16,0))</f>
        <v/>
      </c>
    </row>
    <row r="81" spans="1:28" x14ac:dyDescent="0.25">
      <c r="A81" s="8" t="s">
        <v>92</v>
      </c>
      <c r="B81" s="67"/>
      <c r="C81" s="42" t="str">
        <f>IF(B81="","",VLOOKUP(AD81,#REF!,3,0))</f>
        <v/>
      </c>
      <c r="D81" s="42"/>
      <c r="E81" s="42"/>
      <c r="F81" s="67"/>
      <c r="G81" s="67"/>
      <c r="H81" s="67" t="str">
        <f>IF(B81="","",VLOOKUP(AD81,#REF!,5,0))</f>
        <v/>
      </c>
      <c r="I81" s="67" t="str">
        <f>IF(B81="","",VLOOKUP(AD81,#REF!,19,0))</f>
        <v/>
      </c>
      <c r="J81" s="67" t="str">
        <f>IF(B81="","",VLOOKUP(AD81,#REF!,6,0))</f>
        <v/>
      </c>
      <c r="K81" s="67"/>
      <c r="L81" s="67"/>
      <c r="M81" s="67" t="str">
        <f>IFERROR(IF(B81="","",K81/VLOOKUP(AD81,#REF!,17,0)),"")</f>
        <v/>
      </c>
      <c r="N81" s="67"/>
      <c r="O81" s="67"/>
      <c r="P81" s="67" t="str">
        <f>IF(B81="","",VLOOKUP(AD81,#REF!,7,0)*K81)</f>
        <v/>
      </c>
      <c r="Q81" s="67" t="str">
        <f>IF(B81="","",VLOOKUP(AD81,#REF!,8,0))</f>
        <v/>
      </c>
      <c r="R81" s="67" t="str">
        <f>IF(B81="","",VLOOKUP(AD81,#REF!,9,0))</f>
        <v/>
      </c>
      <c r="S81" s="67" t="str">
        <f>IF(B81="","",VLOOKUP(AD81,#REF!,10,0))</f>
        <v/>
      </c>
      <c r="T81" s="67" t="str">
        <f>IF(B81="","",VLOOKUP(AD81,#REF!,11,0))</f>
        <v/>
      </c>
      <c r="U81" s="67" t="str">
        <f>IF(B81="","",VLOOKUP(AD81,#REF!,12,0))</f>
        <v/>
      </c>
      <c r="V81" s="67" t="str">
        <f>IF(B81="","",VLOOKUP(AD81,#REF!,13,0))</f>
        <v/>
      </c>
      <c r="W81" s="67" t="str">
        <f>IF(B81="","",VLOOKUP(AD81,#REF!,14,0))</f>
        <v/>
      </c>
      <c r="X81" s="69"/>
      <c r="Y81" s="69"/>
      <c r="Z81" s="67"/>
      <c r="AA81" s="67" t="str">
        <f>IF(B81="","",VLOOKUP(AD81,#REF!,15,0))</f>
        <v/>
      </c>
      <c r="AB81" s="67" t="str">
        <f>IF(B81="","",VLOOKUP(AD81,#REF!,16,0))</f>
        <v/>
      </c>
    </row>
    <row r="82" spans="1:28" x14ac:dyDescent="0.25">
      <c r="A82" s="8" t="s">
        <v>93</v>
      </c>
      <c r="B82" s="67"/>
      <c r="C82" s="42" t="str">
        <f>IF(B82="","",VLOOKUP(AD82,#REF!,3,0))</f>
        <v/>
      </c>
      <c r="D82" s="42"/>
      <c r="E82" s="42"/>
      <c r="F82" s="67"/>
      <c r="G82" s="67"/>
      <c r="H82" s="67" t="str">
        <f>IF(B82="","",VLOOKUP(AD82,#REF!,5,0))</f>
        <v/>
      </c>
      <c r="I82" s="67" t="str">
        <f>IF(B82="","",VLOOKUP(AD82,#REF!,19,0))</f>
        <v/>
      </c>
      <c r="J82" s="67" t="str">
        <f>IF(B82="","",VLOOKUP(AD82,#REF!,6,0))</f>
        <v/>
      </c>
      <c r="K82" s="67"/>
      <c r="L82" s="67"/>
      <c r="M82" s="67" t="str">
        <f>IFERROR(IF(B82="","",K82/VLOOKUP(AD82,#REF!,17,0)),"")</f>
        <v/>
      </c>
      <c r="N82" s="67"/>
      <c r="O82" s="67"/>
      <c r="P82" s="67" t="str">
        <f>IF(B82="","",VLOOKUP(AD82,#REF!,7,0)*K82)</f>
        <v/>
      </c>
      <c r="Q82" s="67" t="str">
        <f>IF(B82="","",VLOOKUP(AD82,#REF!,8,0))</f>
        <v/>
      </c>
      <c r="R82" s="67" t="str">
        <f>IF(B82="","",VLOOKUP(AD82,#REF!,9,0))</f>
        <v/>
      </c>
      <c r="S82" s="67" t="str">
        <f>IF(B82="","",VLOOKUP(AD82,#REF!,10,0))</f>
        <v/>
      </c>
      <c r="T82" s="67" t="str">
        <f>IF(B82="","",VLOOKUP(AD82,#REF!,11,0))</f>
        <v/>
      </c>
      <c r="U82" s="67" t="str">
        <f>IF(B82="","",VLOOKUP(AD82,#REF!,12,0))</f>
        <v/>
      </c>
      <c r="V82" s="67" t="str">
        <f>IF(B82="","",VLOOKUP(AD82,#REF!,13,0))</f>
        <v/>
      </c>
      <c r="W82" s="67" t="str">
        <f>IF(B82="","",VLOOKUP(AD82,#REF!,14,0))</f>
        <v/>
      </c>
      <c r="X82" s="69"/>
      <c r="Y82" s="69"/>
      <c r="Z82" s="67"/>
      <c r="AA82" s="67" t="str">
        <f>IF(B82="","",VLOOKUP(AD82,#REF!,15,0))</f>
        <v/>
      </c>
      <c r="AB82" s="67" t="str">
        <f>IF(B82="","",VLOOKUP(AD82,#REF!,16,0))</f>
        <v/>
      </c>
    </row>
    <row r="83" spans="1:28" x14ac:dyDescent="0.25">
      <c r="A83" s="8" t="s">
        <v>135</v>
      </c>
      <c r="B83" s="67"/>
      <c r="C83" s="42" t="str">
        <f>IF(B83="","",VLOOKUP(AD83,#REF!,3,0))</f>
        <v/>
      </c>
      <c r="D83" s="42"/>
      <c r="E83" s="42"/>
      <c r="F83" s="67"/>
      <c r="G83" s="67"/>
      <c r="H83" s="67" t="str">
        <f>IF(B83="","",VLOOKUP(AD83,#REF!,5,0))</f>
        <v/>
      </c>
      <c r="I83" s="67" t="str">
        <f>IF(B83="","",VLOOKUP(AD83,#REF!,19,0))</f>
        <v/>
      </c>
      <c r="J83" s="67" t="str">
        <f>IF(B83="","",VLOOKUP(AD83,#REF!,6,0))</f>
        <v/>
      </c>
      <c r="K83" s="67"/>
      <c r="L83" s="67"/>
      <c r="M83" s="67" t="str">
        <f>IFERROR(IF(B83="","",K83/VLOOKUP(AD83,#REF!,17,0)),"")</f>
        <v/>
      </c>
      <c r="N83" s="67"/>
      <c r="O83" s="67"/>
      <c r="P83" s="67" t="str">
        <f>IF(B83="","",VLOOKUP(AD83,#REF!,7,0)*K83)</f>
        <v/>
      </c>
      <c r="Q83" s="67" t="str">
        <f>IF(B83="","",VLOOKUP(AD83,#REF!,8,0))</f>
        <v/>
      </c>
      <c r="R83" s="67" t="str">
        <f>IF(B83="","",VLOOKUP(AD83,#REF!,9,0))</f>
        <v/>
      </c>
      <c r="S83" s="67" t="str">
        <f>IF(B83="","",VLOOKUP(AD83,#REF!,10,0))</f>
        <v/>
      </c>
      <c r="T83" s="67" t="str">
        <f>IF(B83="","",VLOOKUP(AD83,#REF!,11,0))</f>
        <v/>
      </c>
      <c r="U83" s="67" t="str">
        <f>IF(B83="","",VLOOKUP(AD83,#REF!,12,0))</f>
        <v/>
      </c>
      <c r="V83" s="67" t="str">
        <f>IF(B83="","",VLOOKUP(AD83,#REF!,13,0))</f>
        <v/>
      </c>
      <c r="W83" s="67" t="str">
        <f>IF(B83="","",VLOOKUP(AD83,#REF!,14,0))</f>
        <v/>
      </c>
      <c r="X83" s="69"/>
      <c r="Y83" s="69"/>
      <c r="Z83" s="67"/>
      <c r="AA83" s="67" t="str">
        <f>IF(B83="","",VLOOKUP(AD83,#REF!,15,0))</f>
        <v/>
      </c>
      <c r="AB83" s="67" t="str">
        <f>IF(B83="","",VLOOKUP(AD83,#REF!,16,0))</f>
        <v/>
      </c>
    </row>
    <row r="84" spans="1:28" x14ac:dyDescent="0.25">
      <c r="A84" s="8" t="s">
        <v>136</v>
      </c>
      <c r="B84" s="67"/>
      <c r="C84" s="42" t="str">
        <f>IF(B84="","",VLOOKUP(AD84,#REF!,3,0))</f>
        <v/>
      </c>
      <c r="D84" s="42"/>
      <c r="E84" s="42"/>
      <c r="F84" s="67"/>
      <c r="G84" s="67"/>
      <c r="H84" s="67" t="str">
        <f>IF(B84="","",VLOOKUP(AD84,#REF!,5,0))</f>
        <v/>
      </c>
      <c r="I84" s="67" t="str">
        <f>IF(B84="","",VLOOKUP(AD84,#REF!,19,0))</f>
        <v/>
      </c>
      <c r="J84" s="67" t="str">
        <f>IF(B84="","",VLOOKUP(AD84,#REF!,6,0))</f>
        <v/>
      </c>
      <c r="K84" s="67"/>
      <c r="L84" s="67"/>
      <c r="M84" s="67" t="str">
        <f>IFERROR(IF(B84="","",K84/VLOOKUP(AD84,#REF!,17,0)),"")</f>
        <v/>
      </c>
      <c r="N84" s="67"/>
      <c r="O84" s="67"/>
      <c r="P84" s="67" t="str">
        <f>IF(B84="","",VLOOKUP(AD84,#REF!,7,0)*K84)</f>
        <v/>
      </c>
      <c r="Q84" s="67" t="str">
        <f>IF(B84="","",VLOOKUP(AD84,#REF!,8,0))</f>
        <v/>
      </c>
      <c r="R84" s="67" t="str">
        <f>IF(B84="","",VLOOKUP(AD84,#REF!,9,0))</f>
        <v/>
      </c>
      <c r="S84" s="67" t="str">
        <f>IF(B84="","",VLOOKUP(AD84,#REF!,10,0))</f>
        <v/>
      </c>
      <c r="T84" s="67" t="str">
        <f>IF(B84="","",VLOOKUP(AD84,#REF!,11,0))</f>
        <v/>
      </c>
      <c r="U84" s="67" t="str">
        <f>IF(B84="","",VLOOKUP(AD84,#REF!,12,0))</f>
        <v/>
      </c>
      <c r="V84" s="67" t="str">
        <f>IF(B84="","",VLOOKUP(AD84,#REF!,13,0))</f>
        <v/>
      </c>
      <c r="W84" s="67" t="str">
        <f>IF(B84="","",VLOOKUP(AD84,#REF!,14,0))</f>
        <v/>
      </c>
      <c r="X84" s="69"/>
      <c r="Y84" s="69"/>
      <c r="Z84" s="67"/>
      <c r="AA84" s="67" t="str">
        <f>IF(B84="","",VLOOKUP(AD84,#REF!,15,0))</f>
        <v/>
      </c>
      <c r="AB84" s="67" t="str">
        <f>IF(B84="","",VLOOKUP(AD84,#REF!,16,0))</f>
        <v/>
      </c>
    </row>
  </sheetData>
  <mergeCells count="5">
    <mergeCell ref="A1:AC1"/>
    <mergeCell ref="A2:Z2"/>
    <mergeCell ref="AB2:AC2"/>
    <mergeCell ref="A45:AB45"/>
    <mergeCell ref="A63:AB63"/>
  </mergeCells>
  <phoneticPr fontId="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topLeftCell="A66" zoomScale="85" zoomScaleNormal="85" workbookViewId="0">
      <selection sqref="A1:XFD1048576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hidden="1" customWidth="1"/>
    <col min="6" max="6" width="14" style="140" customWidth="1"/>
    <col min="7" max="7" width="16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4.57031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1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1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46202</v>
      </c>
      <c r="AB2" s="185">
        <v>0.71527777777777779</v>
      </c>
      <c r="AC2" s="186"/>
    </row>
    <row r="3" spans="1:31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1" ht="31.5" x14ac:dyDescent="0.25">
      <c r="A4" s="8" t="s">
        <v>26</v>
      </c>
      <c r="B4" s="64" t="s">
        <v>288</v>
      </c>
      <c r="C4" s="3">
        <f>IF(B4="","",VLOOKUP(AD4,Varsayımlar!$B:$Q,3,0))</f>
        <v>8698829380698</v>
      </c>
      <c r="D4" s="3"/>
      <c r="E4" s="64" t="s">
        <v>289</v>
      </c>
      <c r="F4" s="64">
        <v>20201016</v>
      </c>
      <c r="G4" s="3" t="s">
        <v>68</v>
      </c>
      <c r="H4" s="64" t="str">
        <f>IF(B4="","",VLOOKUP(AD4,Varsayımlar!$B:$Q,5,0))</f>
        <v>Tortillas 25cm Tam Buğday</v>
      </c>
      <c r="I4" s="64" t="str">
        <f>IF(B4="","",VLOOKUP(AD4,Varsayımlar!B:T,19,0))</f>
        <v>Arka kısma İçerik</v>
      </c>
      <c r="J4" s="64" t="str">
        <f>IF(B4="","",VLOOKUP(AD4,Varsayımlar!$B:$Q,6,0))</f>
        <v>Tam Buğdaylı</v>
      </c>
      <c r="K4" s="64">
        <v>250</v>
      </c>
      <c r="L4" s="64"/>
      <c r="M4" s="64">
        <f>IFERROR(IF(B4="","",K4/VLOOKUP(AD4,Varsayımlar!B:R,17,0)),"")</f>
        <v>5</v>
      </c>
      <c r="N4" s="64"/>
      <c r="O4" s="64">
        <v>4</v>
      </c>
      <c r="P4" s="64">
        <f>IF(B4="","",VLOOKUP(AD4,Varsayımlar!$B:$Q,7,0)*K4)</f>
        <v>4500</v>
      </c>
      <c r="Q4" s="64">
        <f>IF(B4="","",VLOOKUP(AD4,Varsayımlar!$B:$Q,8,0))</f>
        <v>25</v>
      </c>
      <c r="R4" s="64" t="str">
        <f>IF(B4="","",VLOOKUP(AD4,Varsayımlar!$B:$Q,9,0))</f>
        <v>Irak Soft</v>
      </c>
      <c r="S4" s="64">
        <f>IF(B4="","",VLOOKUP(AD4,Varsayımlar!$B:$Q,10,0))</f>
        <v>6</v>
      </c>
      <c r="T4" s="64">
        <f>IF(B4="","",VLOOKUP(AD4,Varsayımlar!$B:$Q,11,0))</f>
        <v>18</v>
      </c>
      <c r="U4" s="64">
        <f>IF(B4="","",VLOOKUP(AD4,Varsayımlar!$B:$Q,12,0))</f>
        <v>390</v>
      </c>
      <c r="V4" s="64" t="str">
        <f>IF(B4="","",VLOOKUP(AD4,Varsayımlar!$B:$Q,13,0))</f>
        <v>YURTDIŞI</v>
      </c>
      <c r="W4" s="64">
        <f>IF(B4="","",VLOOKUP(AD4,Varsayımlar!$B:$Q,14,0))</f>
        <v>9</v>
      </c>
      <c r="X4" s="66">
        <v>46202</v>
      </c>
      <c r="Y4" s="66">
        <v>46475</v>
      </c>
      <c r="Z4" s="64" t="s">
        <v>378</v>
      </c>
      <c r="AA4" s="64" t="str">
        <f>IF(B4="","",VLOOKUP(AD4,Varsayımlar!$B:$Q,15,0))</f>
        <v>25cm Koli-Kazakça Etiketli</v>
      </c>
      <c r="AB4" s="64" t="str">
        <f>IF(B4="","",VLOOKUP(AD4,Varsayımlar!$B:$Q,16,0))</f>
        <v>24-26 cm</v>
      </c>
      <c r="AC4" s="64" t="str">
        <f>IF(B4="","",VLOOKUP(Sayfa1!AD40,Varsayımlar!B:S,18,0))</f>
        <v>80x120cm</v>
      </c>
      <c r="AD4" s="57" t="str">
        <f t="shared" ref="AD4:AD22" si="0">IF(B4="","",CONCATENATE(B4,E4))</f>
        <v>UNITERA-KAZAKİSTANTortillas 25cm Tam Buğday 6pcs 390g</v>
      </c>
    </row>
    <row r="5" spans="1:31" ht="31.5" x14ac:dyDescent="0.25">
      <c r="A5" s="8" t="s">
        <v>77</v>
      </c>
      <c r="B5" s="80" t="s">
        <v>218</v>
      </c>
      <c r="C5" s="44">
        <f>IF(B5="","",VLOOKUP(AD5,Varsayımlar!$B:$Q,3,0))</f>
        <v>8698829380698</v>
      </c>
      <c r="D5" s="44" t="s">
        <v>160</v>
      </c>
      <c r="E5" s="80" t="s">
        <v>229</v>
      </c>
      <c r="F5" s="80">
        <v>26042907</v>
      </c>
      <c r="G5" s="44"/>
      <c r="H5" s="80" t="str">
        <f>IF(B5="","",VLOOKUP(AD5,Varsayımlar!$B:$Q,5,0))</f>
        <v>Tortillas Avrupa 25cm Tam Buğday (711)</v>
      </c>
      <c r="I5" s="80">
        <f>IF(B5="","",VLOOKUP(AD5,Varsayımlar!B:T,19,0))</f>
        <v>0</v>
      </c>
      <c r="J5" s="80" t="str">
        <f>IF(B5="","",VLOOKUP(AD5,Varsayımlar!$B:$Q,6,0))</f>
        <v>Tam Buğdaylı</v>
      </c>
      <c r="K5" s="80">
        <v>840</v>
      </c>
      <c r="L5" s="80"/>
      <c r="M5" s="80">
        <f>IFERROR(IF(B5="","",K5/VLOOKUP(AD5,Varsayımlar!B:R,17,0)),"")</f>
        <v>7</v>
      </c>
      <c r="N5" s="80"/>
      <c r="O5" s="80">
        <v>9</v>
      </c>
      <c r="P5" s="80">
        <f>IF(B5="","",VLOOKUP(AD5,Varsayımlar!$B:$Q,7,0)*K5)</f>
        <v>6720</v>
      </c>
      <c r="Q5" s="80">
        <f>IF(B5="","",VLOOKUP(AD5,Varsayımlar!$B:$Q,8,0))</f>
        <v>25</v>
      </c>
      <c r="R5" s="80" t="str">
        <f>IF(B5="","",VLOOKUP(AD5,Varsayımlar!$B:$Q,9,0))</f>
        <v>Irak Soft</v>
      </c>
      <c r="S5" s="80">
        <f>IF(B5="","",VLOOKUP(AD5,Varsayımlar!$B:$Q,10,0))</f>
        <v>10</v>
      </c>
      <c r="T5" s="80">
        <f>IF(B5="","",VLOOKUP(AD5,Varsayımlar!$B:$Q,11,0))</f>
        <v>8</v>
      </c>
      <c r="U5" s="80">
        <f>IF(B5="","",VLOOKUP(AD5,Varsayımlar!$B:$Q,12,0))</f>
        <v>650</v>
      </c>
      <c r="V5" s="80" t="str">
        <f>IF(B5="","",VLOOKUP(AD5,Varsayımlar!$B:$Q,13,0))</f>
        <v>Yurtdışı</v>
      </c>
      <c r="W5" s="80">
        <f>IF(B5="","",VLOOKUP(AD5,Varsayımlar!$B:$Q,14,0))</f>
        <v>9</v>
      </c>
      <c r="X5" s="81">
        <v>46203</v>
      </c>
      <c r="Y5" s="81">
        <v>46476</v>
      </c>
      <c r="Z5" s="80" t="s">
        <v>379</v>
      </c>
      <c r="AA5" s="80" t="str">
        <f>IF(B5="","",VLOOKUP(AD5,Varsayımlar!$B:$Q,15,0))</f>
        <v>25cm Perforeli-Bulgarca TB etiket</v>
      </c>
      <c r="AB5" s="80" t="str">
        <f>IF(B5="","",VLOOKUP(AD5,Varsayımlar!$B:$Q,16,0))</f>
        <v>24-26 cm</v>
      </c>
      <c r="AC5" s="80" t="str">
        <f>IF(B5="","",VLOOKUP(Sayfa1!AD57,Varsayımlar!B:S,18,0))</f>
        <v>80x120cm -Epal+Epal</v>
      </c>
      <c r="AD5" s="57" t="str">
        <f>IF(B5="","",CONCATENATE(B5,E5))</f>
        <v>TASTE LAND-BULGARİSTANTortillas 25cm Tam Buğday 10pcs 650g</v>
      </c>
    </row>
    <row r="6" spans="1:31" ht="47.25" x14ac:dyDescent="0.25">
      <c r="A6" s="8" t="s">
        <v>78</v>
      </c>
      <c r="B6" s="80" t="s">
        <v>218</v>
      </c>
      <c r="C6" s="44">
        <f>IF(B6="","",VLOOKUP(AD6,Varsayımlar!$B:$Q,3,0))</f>
        <v>8698829380698</v>
      </c>
      <c r="D6" s="44" t="s">
        <v>160</v>
      </c>
      <c r="E6" s="80" t="s">
        <v>232</v>
      </c>
      <c r="F6" s="80">
        <v>26042907</v>
      </c>
      <c r="G6" s="44"/>
      <c r="H6" s="80" t="str">
        <f>IF(B6="","",VLOOKUP(AD6,Varsayımlar!$B:$Q,5,0))</f>
        <v>Tortillas Avrupa 25cm Domatesli (074)</v>
      </c>
      <c r="I6" s="80">
        <f>IF(B6="","",VLOOKUP(AD6,Varsayımlar!B:T,19,0))</f>
        <v>0</v>
      </c>
      <c r="J6" s="80" t="str">
        <f>IF(B6="","",VLOOKUP(AD6,Varsayımlar!$B:$Q,6,0))</f>
        <v>Domatesli</v>
      </c>
      <c r="K6" s="80">
        <v>480</v>
      </c>
      <c r="L6" s="80" t="s">
        <v>533</v>
      </c>
      <c r="M6" s="80">
        <f>IFERROR(IF(B6="","",K6/VLOOKUP(AD6,Varsayımlar!B:R,17,0)),"")</f>
        <v>4</v>
      </c>
      <c r="N6" s="80"/>
      <c r="O6" s="80">
        <v>5</v>
      </c>
      <c r="P6" s="80">
        <f>IF(B6="","",VLOOKUP(AD6,Varsayımlar!$B:$Q,7,0)*K6)</f>
        <v>5760</v>
      </c>
      <c r="Q6" s="80">
        <f>IF(B6="","",VLOOKUP(AD6,Varsayımlar!$B:$Q,8,0))</f>
        <v>25</v>
      </c>
      <c r="R6" s="80" t="str">
        <f>IF(B6="","",VLOOKUP(AD6,Varsayımlar!$B:$Q,9,0))</f>
        <v>Irak Soft</v>
      </c>
      <c r="S6" s="80">
        <f>IF(B6="","",VLOOKUP(AD6,Varsayımlar!$B:$Q,10,0))</f>
        <v>6</v>
      </c>
      <c r="T6" s="80">
        <f>IF(B6="","",VLOOKUP(AD6,Varsayımlar!$B:$Q,11,0))</f>
        <v>12</v>
      </c>
      <c r="U6" s="80">
        <f>IF(B6="","",VLOOKUP(AD6,Varsayımlar!$B:$Q,12,0))</f>
        <v>390</v>
      </c>
      <c r="V6" s="80" t="str">
        <f>IF(B6="","",VLOOKUP(AD6,Varsayımlar!$B:$Q,13,0))</f>
        <v>Yurtdışı</v>
      </c>
      <c r="W6" s="80">
        <f>IF(B6="","",VLOOKUP(AD6,Varsayımlar!$B:$Q,14,0))</f>
        <v>9</v>
      </c>
      <c r="X6" s="81">
        <v>46203</v>
      </c>
      <c r="Y6" s="81">
        <v>46476</v>
      </c>
      <c r="Z6" s="80" t="s">
        <v>380</v>
      </c>
      <c r="AA6" s="80" t="str">
        <f>IF(B6="","",VLOOKUP(AD6,Varsayımlar!$B:$Q,15,0))</f>
        <v>25cm Perforeli-Bulgarca Domatesli etiket</v>
      </c>
      <c r="AB6" s="80" t="str">
        <f>IF(B6="","",VLOOKUP(AD6,Varsayımlar!$B:$Q,16,0))</f>
        <v>24-26 cm</v>
      </c>
      <c r="AC6" s="80" t="str">
        <f>IF(B6="","",VLOOKUP(Sayfa1!AD58,Varsayımlar!B:S,18,0))</f>
        <v>80x120cm -Epal+Epal</v>
      </c>
      <c r="AD6" s="57" t="str">
        <f t="shared" si="0"/>
        <v>TASTE LAND-BULGARİSTANTortillas 25cm Domatesli 6pcs 390g</v>
      </c>
    </row>
    <row r="7" spans="1:31" ht="47.25" x14ac:dyDescent="0.25">
      <c r="A7" s="8" t="s">
        <v>79</v>
      </c>
      <c r="B7" s="80" t="s">
        <v>218</v>
      </c>
      <c r="C7" s="44">
        <f>IF(B7="","",VLOOKUP(AD7,Varsayımlar!$B:$Q,3,0))</f>
        <v>8698829380698</v>
      </c>
      <c r="D7" s="44" t="s">
        <v>160</v>
      </c>
      <c r="E7" s="80" t="s">
        <v>235</v>
      </c>
      <c r="F7" s="80">
        <v>26042907</v>
      </c>
      <c r="G7" s="44"/>
      <c r="H7" s="80" t="str">
        <f>IF(B7="","",VLOOKUP(AD7,Varsayımlar!$B:$Q,5,0))</f>
        <v>Tortillas Avrupa 25cm Ispanaklı (081)</v>
      </c>
      <c r="I7" s="80">
        <f>IF(B7="","",VLOOKUP(AD7,Varsayımlar!B:T,19,0))</f>
        <v>0</v>
      </c>
      <c r="J7" s="80" t="str">
        <f>IF(B7="","",VLOOKUP(AD7,Varsayımlar!$B:$Q,6,0))</f>
        <v>Ispanaklı</v>
      </c>
      <c r="K7" s="80">
        <v>480</v>
      </c>
      <c r="L7" s="80" t="s">
        <v>528</v>
      </c>
      <c r="M7" s="80">
        <f>IFERROR(IF(B7="","",K7/VLOOKUP(AD7,Varsayımlar!B:R,17,0)),"")</f>
        <v>4</v>
      </c>
      <c r="N7" s="80"/>
      <c r="O7" s="80">
        <v>5</v>
      </c>
      <c r="P7" s="80">
        <f>IF(B7="","",VLOOKUP(AD7,Varsayımlar!$B:$Q,7,0)*K7)</f>
        <v>5760</v>
      </c>
      <c r="Q7" s="80">
        <f>IF(B7="","",VLOOKUP(AD7,Varsayımlar!$B:$Q,8,0))</f>
        <v>25</v>
      </c>
      <c r="R7" s="80" t="str">
        <f>IF(B7="","",VLOOKUP(AD7,Varsayımlar!$B:$Q,9,0))</f>
        <v>Irak Soft</v>
      </c>
      <c r="S7" s="80">
        <f>IF(B7="","",VLOOKUP(AD7,Varsayımlar!$B:$Q,10,0))</f>
        <v>6</v>
      </c>
      <c r="T7" s="80">
        <f>IF(B7="","",VLOOKUP(AD7,Varsayımlar!$B:$Q,11,0))</f>
        <v>12</v>
      </c>
      <c r="U7" s="80">
        <f>IF(B7="","",VLOOKUP(AD7,Varsayımlar!$B:$Q,12,0))</f>
        <v>390</v>
      </c>
      <c r="V7" s="80" t="str">
        <f>IF(B7="","",VLOOKUP(AD7,Varsayımlar!$B:$Q,13,0))</f>
        <v>Yurtdışı</v>
      </c>
      <c r="W7" s="80">
        <f>IF(B7="","",VLOOKUP(AD7,Varsayımlar!$B:$Q,14,0))</f>
        <v>9</v>
      </c>
      <c r="X7" s="81">
        <v>46203</v>
      </c>
      <c r="Y7" s="81">
        <v>46476</v>
      </c>
      <c r="Z7" s="80" t="s">
        <v>381</v>
      </c>
      <c r="AA7" s="80" t="str">
        <f>IF(B7="","",VLOOKUP(AD7,Varsayımlar!$B:$Q,15,0))</f>
        <v>25cm Perforeli-Bulgarca Ispanaklı etiket</v>
      </c>
      <c r="AB7" s="80" t="str">
        <f>IF(B7="","",VLOOKUP(AD7,Varsayımlar!$B:$Q,16,0))</f>
        <v>24-26 cm</v>
      </c>
      <c r="AC7" s="80" t="str">
        <f>IF(B7="","",VLOOKUP(Sayfa1!AD59,Varsayımlar!B:S,18,0))</f>
        <v>80x120cm -Epal+Epal</v>
      </c>
      <c r="AD7" s="57" t="str">
        <f t="shared" si="0"/>
        <v>TASTE LAND-BULGARİSTANTortillas 25cm Ispanaklı 6pcs 390g</v>
      </c>
    </row>
    <row r="8" spans="1:31" ht="47.25" x14ac:dyDescent="0.25">
      <c r="A8" s="8" t="s">
        <v>80</v>
      </c>
      <c r="B8" s="80" t="s">
        <v>218</v>
      </c>
      <c r="C8" s="44">
        <f>IF(B8="","",VLOOKUP(AD8,Varsayımlar!$B:$Q,3,0))</f>
        <v>8698829380698</v>
      </c>
      <c r="D8" s="44" t="s">
        <v>160</v>
      </c>
      <c r="E8" s="80" t="s">
        <v>240</v>
      </c>
      <c r="F8" s="80">
        <v>26042907</v>
      </c>
      <c r="G8" s="44"/>
      <c r="H8" s="80" t="str">
        <f>IF(B8="","",VLOOKUP(AD8,Varsayımlar!$B:$Q,5,0))</f>
        <v>Tortillas Avrupa 25cm Peynirli (098)</v>
      </c>
      <c r="I8" s="80">
        <f>IF(B8="","",VLOOKUP(AD8,Varsayımlar!B:T,19,0))</f>
        <v>0</v>
      </c>
      <c r="J8" s="80" t="str">
        <f>IF(B8="","",VLOOKUP(AD8,Varsayımlar!$B:$Q,6,0))</f>
        <v>Peynirli</v>
      </c>
      <c r="K8" s="80">
        <v>360</v>
      </c>
      <c r="L8" s="80" t="s">
        <v>528</v>
      </c>
      <c r="M8" s="80">
        <f>IFERROR(IF(B8="","",K8/VLOOKUP(AD8,Varsayımlar!B:R,17,0)),"")</f>
        <v>3</v>
      </c>
      <c r="N8" s="80"/>
      <c r="O8" s="80">
        <v>4</v>
      </c>
      <c r="P8" s="80">
        <f>IF(B8="","",VLOOKUP(AD8,Varsayımlar!$B:$Q,7,0)*K8)</f>
        <v>4320</v>
      </c>
      <c r="Q8" s="80">
        <f>IF(B8="","",VLOOKUP(AD8,Varsayımlar!$B:$Q,8,0))</f>
        <v>25</v>
      </c>
      <c r="R8" s="80" t="str">
        <f>IF(B8="","",VLOOKUP(AD8,Varsayımlar!$B:$Q,9,0))</f>
        <v>Irak Soft-AT</v>
      </c>
      <c r="S8" s="80">
        <f>IF(B8="","",VLOOKUP(AD8,Varsayımlar!$B:$Q,10,0))</f>
        <v>6</v>
      </c>
      <c r="T8" s="80">
        <f>IF(B8="","",VLOOKUP(AD8,Varsayımlar!$B:$Q,11,0))</f>
        <v>12</v>
      </c>
      <c r="U8" s="80">
        <f>IF(B8="","",VLOOKUP(AD8,Varsayımlar!$B:$Q,12,0))</f>
        <v>390</v>
      </c>
      <c r="V8" s="80" t="str">
        <f>IF(B8="","",VLOOKUP(AD8,Varsayımlar!$B:$Q,13,0))</f>
        <v>Yurtdışı</v>
      </c>
      <c r="W8" s="80">
        <f>IF(B8="","",VLOOKUP(AD8,Varsayımlar!$B:$Q,14,0))</f>
        <v>9</v>
      </c>
      <c r="X8" s="81">
        <v>46203</v>
      </c>
      <c r="Y8" s="81">
        <v>46476</v>
      </c>
      <c r="Z8" s="80" t="s">
        <v>382</v>
      </c>
      <c r="AA8" s="80" t="str">
        <f>IF(B8="","",VLOOKUP(AD8,Varsayımlar!$B:$Q,15,0))</f>
        <v>25cm Perforeli-Bulgarca Peynirli etiket</v>
      </c>
      <c r="AB8" s="80" t="str">
        <f>IF(B8="","",VLOOKUP(AD8,Varsayımlar!$B:$Q,16,0))</f>
        <v>24-26 cm</v>
      </c>
      <c r="AC8" s="80" t="str">
        <f>IF(B8="","",VLOOKUP(Sayfa1!AD60,Varsayımlar!B:S,18,0))</f>
        <v>80x120cm -Epal+Epal</v>
      </c>
      <c r="AD8" s="57" t="str">
        <f t="shared" si="0"/>
        <v>TASTE LAND-BULGARİSTANTortillas 25cm Peynirli 6pcs 390g</v>
      </c>
    </row>
    <row r="9" spans="1:31" ht="78.75" x14ac:dyDescent="0.25">
      <c r="A9" s="8" t="s">
        <v>81</v>
      </c>
      <c r="B9" s="130" t="s">
        <v>119</v>
      </c>
      <c r="C9" s="131">
        <f>IF(B9="","",VLOOKUP(AD9,Varsayımlar!$B:$Q,3,0))</f>
        <v>8698829380698</v>
      </c>
      <c r="D9" s="131"/>
      <c r="E9" s="132" t="s">
        <v>120</v>
      </c>
      <c r="F9" s="130"/>
      <c r="G9" s="130"/>
      <c r="H9" s="130" t="str">
        <f>IF(B9="","",VLOOKUP(AD9,Varsayımlar!$B:$Q,5,0))</f>
        <v>Nimet 25 cm</v>
      </c>
      <c r="I9" s="130"/>
      <c r="J9" s="130" t="str">
        <f>IF(B9="","",VLOOKUP(AD9,Varsayımlar!$B:$Q,6,0))</f>
        <v>SADE</v>
      </c>
      <c r="K9" s="130" t="s">
        <v>558</v>
      </c>
      <c r="L9" s="130"/>
      <c r="M9" s="130" t="str">
        <f>IFERROR(IF(B9="","",K9/VLOOKUP(AD9,Varsayımlar!B:R,17,0)),"")</f>
        <v/>
      </c>
      <c r="N9" s="130"/>
      <c r="O9" s="130">
        <v>24</v>
      </c>
      <c r="P9" s="130" t="e">
        <f>IF(B9="","",VLOOKUP(AD9,Varsayımlar!$B:$Q,7,0)*K9)</f>
        <v>#VALUE!</v>
      </c>
      <c r="Q9" s="130">
        <f>IF(B9="","",VLOOKUP(AD9,Varsayımlar!$B:$Q,8,0))</f>
        <v>25</v>
      </c>
      <c r="R9" s="130" t="str">
        <f>IF(B9="","",VLOOKUP(AD9,Varsayımlar!$B:$Q,9,0))</f>
        <v>Standart</v>
      </c>
      <c r="S9" s="130">
        <f>IF(B9="","",VLOOKUP(AD9,Varsayımlar!$B:$Q,10,0))</f>
        <v>12</v>
      </c>
      <c r="T9" s="130">
        <f>IF(B9="","",VLOOKUP(AD9,Varsayımlar!$B:$Q,11,0))</f>
        <v>12</v>
      </c>
      <c r="U9" s="130">
        <f>IF(B9="","",VLOOKUP(AD9,Varsayımlar!$B:$Q,12,0))</f>
        <v>840</v>
      </c>
      <c r="V9" s="130" t="str">
        <f>IF(B9="","",VLOOKUP(AD9,Varsayımlar!$B:$Q,13,0))</f>
        <v>YURTİÇİ</v>
      </c>
      <c r="W9" s="130">
        <f>IF(B9="","",VLOOKUP(AD9,Varsayımlar!$B:$Q,14,0))</f>
        <v>5</v>
      </c>
      <c r="X9" s="133" t="s">
        <v>113</v>
      </c>
      <c r="Y9" s="133" t="s">
        <v>113</v>
      </c>
      <c r="Z9" s="130" t="s">
        <v>113</v>
      </c>
      <c r="AA9" s="130" t="str">
        <f>IF(B9="","",VLOOKUP(AD9,Varsayımlar!$B:$Q,15,0))</f>
        <v>Nimet Kolisi</v>
      </c>
      <c r="AB9" s="130" t="str">
        <f>IF(B9="","",VLOOKUP(AD9,Varsayımlar!$B:$Q,16,0))</f>
        <v>24-26 CM</v>
      </c>
      <c r="AC9" s="64" t="s">
        <v>360</v>
      </c>
      <c r="AD9" s="57" t="str">
        <f>IF(B9="","",CONCATENATE(B9,E9))</f>
        <v>A101Nimet 25cm 12 pcs 840g</v>
      </c>
      <c r="AE9" s="140" t="s">
        <v>563</v>
      </c>
    </row>
    <row r="10" spans="1:31" ht="47.25" x14ac:dyDescent="0.25">
      <c r="A10" s="8" t="s">
        <v>82</v>
      </c>
      <c r="B10" s="54" t="s">
        <v>268</v>
      </c>
      <c r="C10" s="39">
        <f>IF(B10="","",VLOOKUP(AD10,Varsayımlar!$B:$Q,3,0))</f>
        <v>8698829380698</v>
      </c>
      <c r="D10" s="39" t="s">
        <v>160</v>
      </c>
      <c r="E10" s="54" t="s">
        <v>269</v>
      </c>
      <c r="F10" s="54" t="s">
        <v>343</v>
      </c>
      <c r="G10" s="39" t="s">
        <v>68</v>
      </c>
      <c r="H10" s="54" t="str">
        <f>IF(B10="","",VLOOKUP(AD10,Varsayımlar!$B:$Q,5,0))</f>
        <v>Tortillas 25cm Tam Buğday</v>
      </c>
      <c r="I10" s="54">
        <f>IF(B10="","",VLOOKUP(AD10,Varsayımlar!B:T,19,0))</f>
        <v>0</v>
      </c>
      <c r="J10" s="54" t="str">
        <f>IF(B10="","",VLOOKUP(AD10,Varsayımlar!$B:$Q,6,0))</f>
        <v>Tam Buğdaylı</v>
      </c>
      <c r="K10" s="54">
        <v>336</v>
      </c>
      <c r="L10" s="54"/>
      <c r="M10" s="54">
        <f>IFERROR(IF(B10="","",K10/VLOOKUP(AD10,Varsayımlar!B:R,17,0)),"")</f>
        <v>4</v>
      </c>
      <c r="N10" s="54"/>
      <c r="O10" s="54">
        <v>6</v>
      </c>
      <c r="P10" s="54">
        <f>IF(B10="","",VLOOKUP(AD10,Varsayımlar!$B:$Q,7,0)*K10)</f>
        <v>10080</v>
      </c>
      <c r="Q10" s="54">
        <f>IF(B10="","",VLOOKUP(AD10,Varsayımlar!$B:$Q,8,0))</f>
        <v>25</v>
      </c>
      <c r="R10" s="54" t="str">
        <f>IF(B10="","",VLOOKUP(AD10,Varsayımlar!$B:$Q,9,0))</f>
        <v>Soft-PA3</v>
      </c>
      <c r="S10" s="54">
        <f>IF(B10="","",VLOOKUP(AD10,Varsayımlar!$B:$Q,10,0))</f>
        <v>4</v>
      </c>
      <c r="T10" s="54">
        <f>IF(B10="","",VLOOKUP(AD10,Varsayımlar!$B:$Q,11,0))</f>
        <v>30</v>
      </c>
      <c r="U10" s="54">
        <f>IF(B10="","",VLOOKUP(AD10,Varsayımlar!$B:$Q,12,0))</f>
        <v>240</v>
      </c>
      <c r="V10" s="54" t="str">
        <f>IF(B10="","",VLOOKUP(AD10,Varsayımlar!$B:$Q,13,0))</f>
        <v>Yurtdışı</v>
      </c>
      <c r="W10" s="54">
        <f>IF(B10="","",VLOOKUP(AD10,Varsayımlar!$B:$Q,14,0))</f>
        <v>12</v>
      </c>
      <c r="X10" s="56">
        <v>46205</v>
      </c>
      <c r="Y10" s="56">
        <v>46570</v>
      </c>
      <c r="Z10" s="54" t="s">
        <v>383</v>
      </c>
      <c r="AA10" s="54" t="str">
        <f>IF(B10="","",VLOOKUP(AD10,Varsayımlar!$B:$Q,15,0))</f>
        <v>25cm Kolisi-Etiketli</v>
      </c>
      <c r="AB10" s="54" t="str">
        <f>IF(B10="","",VLOOKUP(AD10,Varsayımlar!$B:$Q,16,0))</f>
        <v>24-26 cm (Macca Hetto Inkjet Uzun Tarih)</v>
      </c>
      <c r="AC10" s="54" t="str">
        <f>IF(B10="","",VLOOKUP(Sayfa1!AD36,Varsayımlar!B:S,18,0))</f>
        <v>80x120cm</v>
      </c>
      <c r="AD10" s="57" t="str">
        <f t="shared" si="0"/>
        <v>LAIKYUZHN-BELARUSTortillas 25cm Tam buğday 4pcs 240g</v>
      </c>
    </row>
    <row r="11" spans="1:31" ht="47.25" x14ac:dyDescent="0.25">
      <c r="A11" s="8" t="s">
        <v>83</v>
      </c>
      <c r="B11" s="54" t="s">
        <v>268</v>
      </c>
      <c r="C11" s="39">
        <f>IF(B11="","",VLOOKUP(AD11,Varsayımlar!$B:$Q,3,0))</f>
        <v>8698829380698</v>
      </c>
      <c r="D11" s="39" t="s">
        <v>160</v>
      </c>
      <c r="E11" s="54" t="s">
        <v>274</v>
      </c>
      <c r="F11" s="54" t="s">
        <v>343</v>
      </c>
      <c r="G11" s="39" t="s">
        <v>68</v>
      </c>
      <c r="H11" s="54" t="str">
        <f>IF(B11="","",VLOOKUP(AD11,Varsayımlar!$B:$Q,5,0))</f>
        <v>Tortillas 25cm Domatesli</v>
      </c>
      <c r="I11" s="54">
        <f>IF(B11="","",VLOOKUP(AD11,Varsayımlar!B:T,19,0))</f>
        <v>0</v>
      </c>
      <c r="J11" s="54" t="str">
        <f>IF(B11="","",VLOOKUP(AD11,Varsayımlar!$B:$Q,6,0))</f>
        <v>Domatesli</v>
      </c>
      <c r="K11" s="54">
        <v>420</v>
      </c>
      <c r="L11" s="54"/>
      <c r="M11" s="54">
        <f>IFERROR(IF(B11="","",K11/VLOOKUP(AD11,Varsayımlar!B:R,17,0)),"")</f>
        <v>5</v>
      </c>
      <c r="N11" s="54"/>
      <c r="O11" s="54">
        <v>7</v>
      </c>
      <c r="P11" s="54">
        <f>IF(B11="","",VLOOKUP(AD11,Varsayımlar!$B:$Q,7,0)*K11)</f>
        <v>12600</v>
      </c>
      <c r="Q11" s="54">
        <f>IF(B11="","",VLOOKUP(AD11,Varsayımlar!$B:$Q,8,0))</f>
        <v>25</v>
      </c>
      <c r="R11" s="54" t="str">
        <f>IF(B11="","",VLOOKUP(AD11,Varsayımlar!$B:$Q,9,0))</f>
        <v>Soft-PA3</v>
      </c>
      <c r="S11" s="54">
        <f>IF(B11="","",VLOOKUP(AD11,Varsayımlar!$B:$Q,10,0))</f>
        <v>4</v>
      </c>
      <c r="T11" s="54">
        <f>IF(B11="","",VLOOKUP(AD11,Varsayımlar!$B:$Q,11,0))</f>
        <v>30</v>
      </c>
      <c r="U11" s="54">
        <f>IF(B11="","",VLOOKUP(AD11,Varsayımlar!$B:$Q,12,0))</f>
        <v>240</v>
      </c>
      <c r="V11" s="54" t="str">
        <f>IF(B11="","",VLOOKUP(AD11,Varsayımlar!$B:$Q,13,0))</f>
        <v>Yurtdışı</v>
      </c>
      <c r="W11" s="54">
        <f>IF(B11="","",VLOOKUP(AD11,Varsayımlar!$B:$Q,14,0))</f>
        <v>12</v>
      </c>
      <c r="X11" s="56">
        <v>46205</v>
      </c>
      <c r="Y11" s="56">
        <v>46570</v>
      </c>
      <c r="Z11" s="54" t="s">
        <v>384</v>
      </c>
      <c r="AA11" s="54" t="str">
        <f>IF(B11="","",VLOOKUP(AD11,Varsayımlar!$B:$Q,15,0))</f>
        <v>25cm Kolisi-Etiketli</v>
      </c>
      <c r="AB11" s="54" t="str">
        <f>IF(B11="","",VLOOKUP(AD11,Varsayımlar!$B:$Q,16,0))</f>
        <v>24-26 cm (Macca Hetto Inkjet Uzun Tarih)</v>
      </c>
      <c r="AC11" s="54" t="str">
        <f>IF(B11="","",VLOOKUP(Sayfa1!AD37,Varsayımlar!B:S,18,0))</f>
        <v>80x120cm</v>
      </c>
      <c r="AD11" s="57" t="str">
        <f t="shared" si="0"/>
        <v>LAIKYUZHN-BELARUSTortillas 25cm Domatesli 4pcs 240g</v>
      </c>
    </row>
    <row r="12" spans="1:31" ht="47.25" x14ac:dyDescent="0.25">
      <c r="A12" s="8" t="s">
        <v>84</v>
      </c>
      <c r="B12" s="54" t="s">
        <v>268</v>
      </c>
      <c r="C12" s="39">
        <f>IF(B12="","",VLOOKUP(AD12,Varsayımlar!$B:$Q,3,0))</f>
        <v>8698829380698</v>
      </c>
      <c r="D12" s="39" t="s">
        <v>160</v>
      </c>
      <c r="E12" s="54" t="s">
        <v>276</v>
      </c>
      <c r="F12" s="54" t="s">
        <v>343</v>
      </c>
      <c r="G12" s="39" t="s">
        <v>68</v>
      </c>
      <c r="H12" s="54" t="str">
        <f>IF(B12="","",VLOOKUP(AD12,Varsayımlar!$B:$Q,5,0))</f>
        <v>Tortillas 25cm Ispanaklı</v>
      </c>
      <c r="I12" s="54">
        <f>IF(B12="","",VLOOKUP(AD12,Varsayımlar!B:T,19,0))</f>
        <v>0</v>
      </c>
      <c r="J12" s="54" t="str">
        <f>IF(B12="","",VLOOKUP(AD12,Varsayımlar!$B:$Q,6,0))</f>
        <v>Ispanaklı</v>
      </c>
      <c r="K12" s="54">
        <v>336</v>
      </c>
      <c r="L12" s="54"/>
      <c r="M12" s="54">
        <f>IFERROR(IF(B12="","",K12/VLOOKUP(AD12,Varsayımlar!B:R,17,0)),"")</f>
        <v>4</v>
      </c>
      <c r="N12" s="54"/>
      <c r="O12" s="54">
        <v>6</v>
      </c>
      <c r="P12" s="54">
        <f>IF(B12="","",VLOOKUP(AD12,Varsayımlar!$B:$Q,7,0)*K12)</f>
        <v>10080</v>
      </c>
      <c r="Q12" s="54">
        <f>IF(B12="","",VLOOKUP(AD12,Varsayımlar!$B:$Q,8,0))</f>
        <v>25</v>
      </c>
      <c r="R12" s="54" t="str">
        <f>IF(B12="","",VLOOKUP(AD12,Varsayımlar!$B:$Q,9,0))</f>
        <v>Soft-PA3</v>
      </c>
      <c r="S12" s="54">
        <f>IF(B12="","",VLOOKUP(AD12,Varsayımlar!$B:$Q,10,0))</f>
        <v>4</v>
      </c>
      <c r="T12" s="54">
        <f>IF(B12="","",VLOOKUP(AD12,Varsayımlar!$B:$Q,11,0))</f>
        <v>30</v>
      </c>
      <c r="U12" s="54">
        <f>IF(B12="","",VLOOKUP(AD12,Varsayımlar!$B:$Q,12,0))</f>
        <v>240</v>
      </c>
      <c r="V12" s="54" t="str">
        <f>IF(B12="","",VLOOKUP(AD12,Varsayımlar!$B:$Q,13,0))</f>
        <v>Yurtdışı</v>
      </c>
      <c r="W12" s="54">
        <f>IF(B12="","",VLOOKUP(AD12,Varsayımlar!$B:$Q,14,0))</f>
        <v>12</v>
      </c>
      <c r="X12" s="56">
        <v>46205</v>
      </c>
      <c r="Y12" s="56">
        <v>46570</v>
      </c>
      <c r="Z12" s="54" t="s">
        <v>385</v>
      </c>
      <c r="AA12" s="54" t="str">
        <f>IF(B12="","",VLOOKUP(AD12,Varsayımlar!$B:$Q,15,0))</f>
        <v>25cm Kolisi-Etiketli</v>
      </c>
      <c r="AB12" s="54" t="str">
        <f>IF(B12="","",VLOOKUP(AD12,Varsayımlar!$B:$Q,16,0))</f>
        <v>24-26 cm (Macca Hetto Inkjet Uzun Tarih)</v>
      </c>
      <c r="AC12" s="54" t="str">
        <f>IF(B12="","",VLOOKUP(Sayfa1!AD38,Varsayımlar!B:S,18,0))</f>
        <v>80x120cm</v>
      </c>
      <c r="AD12" s="57" t="str">
        <f t="shared" si="0"/>
        <v>LAIKYUZHN-BELARUSTortillas 25cm Ispanaklı 4pcs 240g</v>
      </c>
    </row>
    <row r="13" spans="1:31" ht="47.25" x14ac:dyDescent="0.25">
      <c r="A13" s="8" t="s">
        <v>85</v>
      </c>
      <c r="B13" s="54" t="s">
        <v>268</v>
      </c>
      <c r="C13" s="39">
        <f>IF(B13="","",VLOOKUP(AD13,Varsayımlar!$B:$Q,3,0))</f>
        <v>8698829380698</v>
      </c>
      <c r="D13" s="39" t="s">
        <v>160</v>
      </c>
      <c r="E13" s="54" t="s">
        <v>278</v>
      </c>
      <c r="F13" s="54" t="s">
        <v>343</v>
      </c>
      <c r="G13" s="39" t="s">
        <v>68</v>
      </c>
      <c r="H13" s="54" t="str">
        <f>IF(B13="","",VLOOKUP(AD13,Varsayımlar!$B:$Q,5,0))</f>
        <v>Magnit Tortillas 25cm Peynirli</v>
      </c>
      <c r="I13" s="54" t="str">
        <f>IF(B13="","",VLOOKUP(AD13,Varsayımlar!B:T,19,0))</f>
        <v>Etiketli</v>
      </c>
      <c r="J13" s="54" t="str">
        <f>IF(B13="","",VLOOKUP(AD13,Varsayımlar!$B:$Q,6,0))</f>
        <v>Peynirli</v>
      </c>
      <c r="K13" s="54">
        <v>504</v>
      </c>
      <c r="L13" s="54"/>
      <c r="M13" s="54">
        <f>IFERROR(IF(B13="","",K13/VLOOKUP(AD13,Varsayımlar!B:R,17,0)),"")</f>
        <v>6</v>
      </c>
      <c r="N13" s="54"/>
      <c r="O13" s="54">
        <v>9</v>
      </c>
      <c r="P13" s="54">
        <f>IF(B13="","",VLOOKUP(AD13,Varsayımlar!$B:$Q,7,0)*K13)</f>
        <v>15120</v>
      </c>
      <c r="Q13" s="54">
        <f>IF(B13="","",VLOOKUP(AD13,Varsayımlar!$B:$Q,8,0))</f>
        <v>25</v>
      </c>
      <c r="R13" s="54" t="str">
        <f>IF(B13="","",VLOOKUP(AD13,Varsayımlar!$B:$Q,9,0))</f>
        <v>Soft-PA3-AT</v>
      </c>
      <c r="S13" s="54">
        <f>IF(B13="","",VLOOKUP(AD13,Varsayımlar!$B:$Q,10,0))</f>
        <v>4</v>
      </c>
      <c r="T13" s="54">
        <f>IF(B13="","",VLOOKUP(AD13,Varsayımlar!$B:$Q,11,0))</f>
        <v>30</v>
      </c>
      <c r="U13" s="54">
        <f>IF(B13="","",VLOOKUP(AD13,Varsayımlar!$B:$Q,12,0))</f>
        <v>250</v>
      </c>
      <c r="V13" s="54" t="str">
        <f>IF(B13="","",VLOOKUP(AD13,Varsayımlar!$B:$Q,13,0))</f>
        <v>Yurtdışı</v>
      </c>
      <c r="W13" s="54">
        <f>IF(B13="","",VLOOKUP(AD13,Varsayımlar!$B:$Q,14,0))</f>
        <v>9</v>
      </c>
      <c r="X13" s="56">
        <v>46205</v>
      </c>
      <c r="Y13" s="56">
        <v>46479</v>
      </c>
      <c r="Z13" s="54" t="s">
        <v>386</v>
      </c>
      <c r="AA13" s="54" t="str">
        <f>IF(B13="","",VLOOKUP(AD13,Varsayımlar!$B:$Q,15,0))</f>
        <v>25cm Kolisi-Etiketli</v>
      </c>
      <c r="AB13" s="54" t="str">
        <f>IF(B13="","",VLOOKUP(AD13,Varsayımlar!$B:$Q,16,0))</f>
        <v>24-26 cm (Macca Hetto Inkjet Uzun Tarih)</v>
      </c>
      <c r="AC13" s="54" t="str">
        <f>IF(B13="","",VLOOKUP(Sayfa1!AD39,Varsayımlar!B:S,18,0))</f>
        <v>80x120cm</v>
      </c>
      <c r="AD13" s="57" t="str">
        <f t="shared" si="0"/>
        <v>LAIKYUZHN-BELARUSMagnit Tortillas 25cm Peynirli 4pcs 240g</v>
      </c>
    </row>
    <row r="14" spans="1:31" ht="45.75" customHeight="1" x14ac:dyDescent="0.25">
      <c r="A14" s="8" t="s">
        <v>86</v>
      </c>
      <c r="B14" s="130" t="s">
        <v>119</v>
      </c>
      <c r="C14" s="131">
        <f>IF(B14="","",VLOOKUP(AD14,Varsayımlar!$B:$Q,3,0))</f>
        <v>8698829380698</v>
      </c>
      <c r="D14" s="131"/>
      <c r="E14" s="132" t="s">
        <v>120</v>
      </c>
      <c r="F14" s="130"/>
      <c r="G14" s="130"/>
      <c r="H14" s="130" t="str">
        <f>IF(B14="","",VLOOKUP(AD14,Varsayımlar!$B:$Q,5,0))</f>
        <v>Nimet 25 cm</v>
      </c>
      <c r="I14" s="130"/>
      <c r="J14" s="130" t="str">
        <f>IF(B14="","",VLOOKUP(AD14,Varsayımlar!$B:$Q,6,0))</f>
        <v>SADE</v>
      </c>
      <c r="K14" s="130">
        <v>5000</v>
      </c>
      <c r="L14" s="130"/>
      <c r="M14" s="130">
        <f>IFERROR(IF(B14="","",K14/VLOOKUP(AD14,Varsayımlar!B:R,17,0)),"")</f>
        <v>100</v>
      </c>
      <c r="N14" s="130"/>
      <c r="O14" s="130">
        <v>100</v>
      </c>
      <c r="P14" s="130">
        <f>IF(B14="","",VLOOKUP(AD14,Varsayımlar!$B:$Q,7,0)*K14)</f>
        <v>60000</v>
      </c>
      <c r="Q14" s="130">
        <f>IF(B14="","",VLOOKUP(AD14,Varsayımlar!$B:$Q,8,0))</f>
        <v>25</v>
      </c>
      <c r="R14" s="130" t="str">
        <f>IF(B14="","",VLOOKUP(AD14,Varsayımlar!$B:$Q,9,0))</f>
        <v>Standart</v>
      </c>
      <c r="S14" s="130">
        <f>IF(B14="","",VLOOKUP(AD14,Varsayımlar!$B:$Q,10,0))</f>
        <v>12</v>
      </c>
      <c r="T14" s="130">
        <f>IF(B14="","",VLOOKUP(AD14,Varsayımlar!$B:$Q,11,0))</f>
        <v>12</v>
      </c>
      <c r="U14" s="130">
        <f>IF(B14="","",VLOOKUP(AD14,Varsayımlar!$B:$Q,12,0))</f>
        <v>840</v>
      </c>
      <c r="V14" s="130" t="str">
        <f>IF(B14="","",VLOOKUP(AD14,Varsayımlar!$B:$Q,13,0))</f>
        <v>YURTİÇİ</v>
      </c>
      <c r="W14" s="130">
        <f>IF(B14="","",VLOOKUP(AD14,Varsayımlar!$B:$Q,14,0))</f>
        <v>5</v>
      </c>
      <c r="X14" s="133" t="s">
        <v>113</v>
      </c>
      <c r="Y14" s="133" t="s">
        <v>113</v>
      </c>
      <c r="Z14" s="130" t="s">
        <v>113</v>
      </c>
      <c r="AA14" s="130" t="str">
        <f>IF(B14="","",VLOOKUP(AD14,Varsayımlar!$B:$Q,15,0))</f>
        <v>Nimet Kolisi</v>
      </c>
      <c r="AB14" s="130" t="str">
        <f>IF(B14="","",VLOOKUP(AD14,Varsayımlar!$B:$Q,16,0))</f>
        <v>24-26 CM</v>
      </c>
      <c r="AC14" s="64" t="s">
        <v>360</v>
      </c>
      <c r="AD14" s="57" t="str">
        <f>IF(B14="","",CONCATENATE(B14,E14))</f>
        <v>A101Nimet 25cm 12 pcs 840g</v>
      </c>
    </row>
    <row r="15" spans="1:31" ht="47.25" x14ac:dyDescent="0.25">
      <c r="A15" s="8" t="s">
        <v>87</v>
      </c>
      <c r="B15" s="75" t="s">
        <v>218</v>
      </c>
      <c r="C15" s="43">
        <f>IF(B15="","",VLOOKUP(AD15,Varsayımlar!$B:$Q,3,0))</f>
        <v>8698829380698</v>
      </c>
      <c r="D15" s="43" t="s">
        <v>161</v>
      </c>
      <c r="E15" s="75" t="s">
        <v>252</v>
      </c>
      <c r="F15" s="75" t="s">
        <v>561</v>
      </c>
      <c r="G15" s="43"/>
      <c r="H15" s="75" t="str">
        <f>IF(B15="","",VLOOKUP(AD15,Varsayımlar!$B:$Q,5,0))</f>
        <v xml:space="preserve">Tortillas 20cm Sade </v>
      </c>
      <c r="I15" s="75" t="str">
        <f>IF(B15="","",VLOOKUP(AD15,Varsayımlar!B:T,19,0))</f>
        <v>Barkod üzerine Barkod Etiketi (104)</v>
      </c>
      <c r="J15" s="75" t="str">
        <f>IF(B15="","",VLOOKUP(AD15,Varsayımlar!$B:$Q,6,0))</f>
        <v>SADE</v>
      </c>
      <c r="K15" s="75">
        <v>120</v>
      </c>
      <c r="L15" s="75"/>
      <c r="M15" s="75">
        <f>IFERROR(IF(B15="","",K15/VLOOKUP(AD15,Varsayımlar!B:R,17,0)),"")</f>
        <v>1</v>
      </c>
      <c r="N15" s="75"/>
      <c r="O15" s="75">
        <v>2</v>
      </c>
      <c r="P15" s="75">
        <f>IF(B15="","",VLOOKUP(AD15,Varsayımlar!$B:$Q,7,0)*K15)</f>
        <v>2160</v>
      </c>
      <c r="Q15" s="75">
        <f>IF(B15="","",VLOOKUP(AD15,Varsayımlar!$B:$Q,8,0))</f>
        <v>20</v>
      </c>
      <c r="R15" s="75" t="str">
        <f>IF(B15="","",VLOOKUP(AD15,Varsayımlar!$B:$Q,9,0))</f>
        <v>Irak Soft</v>
      </c>
      <c r="S15" s="75">
        <f>IF(B15="","",VLOOKUP(AD15,Varsayımlar!$B:$Q,10,0))</f>
        <v>6</v>
      </c>
      <c r="T15" s="75">
        <f>IF(B15="","",VLOOKUP(AD15,Varsayımlar!$B:$Q,11,0))</f>
        <v>18</v>
      </c>
      <c r="U15" s="75">
        <f>IF(B15="","",VLOOKUP(AD15,Varsayımlar!$B:$Q,12,0))</f>
        <v>270</v>
      </c>
      <c r="V15" s="75" t="str">
        <f>IF(B15="","",VLOOKUP(AD15,Varsayımlar!$B:$Q,13,0))</f>
        <v>Yurtdışı</v>
      </c>
      <c r="W15" s="75">
        <f>IF(B15="","",VLOOKUP(AD15,Varsayımlar!$B:$Q,14,0))</f>
        <v>9</v>
      </c>
      <c r="X15" s="76">
        <v>46213</v>
      </c>
      <c r="Y15" s="76">
        <v>46487</v>
      </c>
      <c r="Z15" s="75">
        <v>26071020</v>
      </c>
      <c r="AA15" s="75" t="str">
        <f>IF(B15="","",VLOOKUP(AD15,Varsayımlar!$B:$Q,15,0))</f>
        <v>20cm Lacivert-Bulgarca Etiket</v>
      </c>
      <c r="AB15" s="75" t="str">
        <f>IF(B15="","",VLOOKUP(AD15,Varsayımlar!$B:$Q,16,0))</f>
        <v>19-21 cm</v>
      </c>
      <c r="AC15" s="75" t="str">
        <f>IF(B15="","",VLOOKUP(Sayfa1!AD21,Varsayımlar!B:S,18,0))</f>
        <v>100x120cm-Epal+Epal</v>
      </c>
      <c r="AD15" s="57" t="str">
        <f t="shared" si="0"/>
        <v>TASTE LAND-BULGARİSTANTortillas 20cm Sade 6pcs 270g</v>
      </c>
    </row>
    <row r="16" spans="1:31" ht="31.5" x14ac:dyDescent="0.25">
      <c r="A16" s="8" t="s">
        <v>88</v>
      </c>
      <c r="B16" s="75" t="s">
        <v>218</v>
      </c>
      <c r="C16" s="43">
        <f>IF(B16="","",VLOOKUP(AD16,Varsayımlar!$B:$Q,3,0))</f>
        <v>8698829380698</v>
      </c>
      <c r="D16" s="43" t="s">
        <v>161</v>
      </c>
      <c r="E16" s="75" t="s">
        <v>229</v>
      </c>
      <c r="F16" s="75" t="s">
        <v>561</v>
      </c>
      <c r="G16" s="43"/>
      <c r="H16" s="75" t="str">
        <f>IF(B16="","",VLOOKUP(AD16,Varsayımlar!$B:$Q,5,0))</f>
        <v>Tortillas Avrupa 25cm Tam Buğday (711)</v>
      </c>
      <c r="I16" s="75">
        <f>IF(B16="","",VLOOKUP(AD16,Varsayımlar!B:T,19,0))</f>
        <v>0</v>
      </c>
      <c r="J16" s="75" t="str">
        <f>IF(B16="","",VLOOKUP(AD16,Varsayımlar!$B:$Q,6,0))</f>
        <v>Tam Buğdaylı</v>
      </c>
      <c r="K16" s="75">
        <v>600</v>
      </c>
      <c r="L16" s="75"/>
      <c r="M16" s="75">
        <f>IFERROR(IF(B16="","",K16/VLOOKUP(AD16,Varsayımlar!B:R,17,0)),"")</f>
        <v>5</v>
      </c>
      <c r="N16" s="75"/>
      <c r="O16" s="75">
        <v>7</v>
      </c>
      <c r="P16" s="75">
        <f>IF(B16="","",VLOOKUP(AD16,Varsayımlar!$B:$Q,7,0)*K16)</f>
        <v>4800</v>
      </c>
      <c r="Q16" s="75">
        <f>IF(B16="","",VLOOKUP(AD16,Varsayımlar!$B:$Q,8,0))</f>
        <v>25</v>
      </c>
      <c r="R16" s="75" t="str">
        <f>IF(B16="","",VLOOKUP(AD16,Varsayımlar!$B:$Q,9,0))</f>
        <v>Irak Soft</v>
      </c>
      <c r="S16" s="75">
        <f>IF(B16="","",VLOOKUP(AD16,Varsayımlar!$B:$Q,10,0))</f>
        <v>10</v>
      </c>
      <c r="T16" s="75">
        <f>IF(B16="","",VLOOKUP(AD16,Varsayımlar!$B:$Q,11,0))</f>
        <v>8</v>
      </c>
      <c r="U16" s="75">
        <f>IF(B16="","",VLOOKUP(AD16,Varsayımlar!$B:$Q,12,0))</f>
        <v>650</v>
      </c>
      <c r="V16" s="75" t="str">
        <f>IF(B16="","",VLOOKUP(AD16,Varsayımlar!$B:$Q,13,0))</f>
        <v>Yurtdışı</v>
      </c>
      <c r="W16" s="75">
        <f>IF(B16="","",VLOOKUP(AD16,Varsayımlar!$B:$Q,14,0))</f>
        <v>9</v>
      </c>
      <c r="X16" s="76">
        <v>46213</v>
      </c>
      <c r="Y16" s="76">
        <v>46487</v>
      </c>
      <c r="Z16" s="75" t="s">
        <v>442</v>
      </c>
      <c r="AA16" s="75" t="str">
        <f>IF(B16="","",VLOOKUP(AD16,Varsayımlar!$B:$Q,15,0))</f>
        <v>25cm Perforeli-Bulgarca TB etiket</v>
      </c>
      <c r="AB16" s="75" t="str">
        <f>IF(B16="","",VLOOKUP(AD16,Varsayımlar!$B:$Q,16,0))</f>
        <v>24-26 cm</v>
      </c>
      <c r="AC16" s="75" t="str">
        <f>IF(B16="","",VLOOKUP(Sayfa1!AD63,Varsayımlar!B:S,18,0))</f>
        <v>80x120cm -Epal+Epal</v>
      </c>
      <c r="AD16" s="57" t="str">
        <f t="shared" si="0"/>
        <v>TASTE LAND-BULGARİSTANTortillas 25cm Tam Buğday 10pcs 650g</v>
      </c>
    </row>
    <row r="17" spans="1:31" ht="31.5" x14ac:dyDescent="0.25">
      <c r="A17" s="8" t="s">
        <v>89</v>
      </c>
      <c r="B17" s="75" t="s">
        <v>218</v>
      </c>
      <c r="C17" s="43">
        <f>IF(B17="","",VLOOKUP(AD17,Varsayımlar!$B:$Q,3,0))</f>
        <v>8698829380698</v>
      </c>
      <c r="D17" s="43" t="s">
        <v>161</v>
      </c>
      <c r="E17" s="43" t="s">
        <v>560</v>
      </c>
      <c r="F17" s="75" t="s">
        <v>561</v>
      </c>
      <c r="G17" s="43"/>
      <c r="H17" s="75" t="str">
        <f>IF(B17="","",VLOOKUP(AD17,Varsayımlar!$B:$Q,5,0))</f>
        <v>Baskısız 30cm</v>
      </c>
      <c r="I17" s="75" t="str">
        <f>IF(B17="","",VLOOKUP(AD17,Varsayımlar!B:T,19,0))</f>
        <v>Etiketli</v>
      </c>
      <c r="J17" s="75" t="str">
        <f>IF(B17="","",VLOOKUP(AD17,Varsayımlar!$B:$Q,6,0))</f>
        <v>Tam Buğdaylı</v>
      </c>
      <c r="K17" s="75">
        <v>252</v>
      </c>
      <c r="L17" s="75"/>
      <c r="M17" s="75">
        <f>IFERROR(IF(B17="","",K17/VLOOKUP(AD17,Varsayımlar!B:R,17,0)),"")</f>
        <v>3</v>
      </c>
      <c r="N17" s="75"/>
      <c r="O17" s="75">
        <v>4</v>
      </c>
      <c r="P17" s="75">
        <f>IF(B17="","",VLOOKUP(AD17,Varsayımlar!$B:$Q,7,0)*K17)</f>
        <v>1512</v>
      </c>
      <c r="Q17" s="75">
        <f>IF(B17="","",VLOOKUP(AD17,Varsayımlar!$B:$Q,8,0))</f>
        <v>25</v>
      </c>
      <c r="R17" s="75" t="str">
        <f>IF(B17="","",VLOOKUP(AD17,Varsayımlar!$B:$Q,9,0))</f>
        <v>Irak soft</v>
      </c>
      <c r="S17" s="75">
        <f>IF(B17="","",VLOOKUP(AD17,Varsayımlar!$B:$Q,10,0))</f>
        <v>18</v>
      </c>
      <c r="T17" s="75">
        <f>IF(B17="","",VLOOKUP(AD17,Varsayımlar!$B:$Q,11,0))</f>
        <v>6</v>
      </c>
      <c r="U17" s="75">
        <f>IF(B17="","",VLOOKUP(AD17,Varsayımlar!$B:$Q,12,0))</f>
        <v>1170</v>
      </c>
      <c r="V17" s="75" t="str">
        <f>IF(B17="","",VLOOKUP(AD17,Varsayımlar!$B:$Q,13,0))</f>
        <v>YURTDIŞI</v>
      </c>
      <c r="W17" s="75">
        <f>IF(B17="","",VLOOKUP(AD17,Varsayımlar!$B:$Q,14,0))</f>
        <v>9</v>
      </c>
      <c r="X17" s="76">
        <v>46213</v>
      </c>
      <c r="Y17" s="76">
        <v>46487</v>
      </c>
      <c r="Z17" s="75" t="s">
        <v>562</v>
      </c>
      <c r="AA17" s="75" t="str">
        <f>IF(B17="","",VLOOKUP(AD17,Varsayımlar!$B:$Q,15,0))</f>
        <v>25cm Kolisi-Etiketli</v>
      </c>
      <c r="AB17" s="75" t="str">
        <f>IF(B17="","",VLOOKUP(AD17,Varsayımlar!$B:$Q,16,0))</f>
        <v>24-26cm</v>
      </c>
      <c r="AC17" s="75" t="str">
        <f>IF(B17="","",VLOOKUP(Sayfa1!AD64,Varsayımlar!B:S,18,0))</f>
        <v>80x120cm -Epal+Epal</v>
      </c>
      <c r="AD17" s="57" t="str">
        <f t="shared" si="0"/>
        <v>TASTE LAND-BULGARİSTANBaskısız 30cm 18pcs 1170g</v>
      </c>
    </row>
    <row r="18" spans="1:31" ht="47.25" x14ac:dyDescent="0.25">
      <c r="A18" s="8" t="s">
        <v>90</v>
      </c>
      <c r="B18" s="75" t="s">
        <v>218</v>
      </c>
      <c r="C18" s="43">
        <f>IF(B18="","",VLOOKUP(AD18,Varsayımlar!$B:$Q,3,0))</f>
        <v>8698829380698</v>
      </c>
      <c r="D18" s="43" t="s">
        <v>161</v>
      </c>
      <c r="E18" s="75" t="s">
        <v>232</v>
      </c>
      <c r="F18" s="75" t="s">
        <v>561</v>
      </c>
      <c r="G18" s="43"/>
      <c r="H18" s="75" t="str">
        <f>IF(B18="","",VLOOKUP(AD18,Varsayımlar!$B:$Q,5,0))</f>
        <v>Tortillas Avrupa 25cm Domatesli (074)</v>
      </c>
      <c r="I18" s="75">
        <f>IF(B18="","",VLOOKUP(AD18,Varsayımlar!B:T,19,0))</f>
        <v>0</v>
      </c>
      <c r="J18" s="75" t="str">
        <f>IF(B18="","",VLOOKUP(AD18,Varsayımlar!$B:$Q,6,0))</f>
        <v>Domatesli</v>
      </c>
      <c r="K18" s="75">
        <v>600</v>
      </c>
      <c r="L18" s="75"/>
      <c r="M18" s="75">
        <f>IFERROR(IF(B18="","",K18/VLOOKUP(AD18,Varsayımlar!B:R,17,0)),"")</f>
        <v>5</v>
      </c>
      <c r="N18" s="75"/>
      <c r="O18" s="75">
        <v>6</v>
      </c>
      <c r="P18" s="75">
        <f>IF(B18="","",VLOOKUP(AD18,Varsayımlar!$B:$Q,7,0)*K18)</f>
        <v>7200</v>
      </c>
      <c r="Q18" s="75">
        <f>IF(B18="","",VLOOKUP(AD18,Varsayımlar!$B:$Q,8,0))</f>
        <v>25</v>
      </c>
      <c r="R18" s="75" t="str">
        <f>IF(B18="","",VLOOKUP(AD18,Varsayımlar!$B:$Q,9,0))</f>
        <v>Irak Soft</v>
      </c>
      <c r="S18" s="75">
        <f>IF(B18="","",VLOOKUP(AD18,Varsayımlar!$B:$Q,10,0))</f>
        <v>6</v>
      </c>
      <c r="T18" s="75">
        <f>IF(B18="","",VLOOKUP(AD18,Varsayımlar!$B:$Q,11,0))</f>
        <v>12</v>
      </c>
      <c r="U18" s="75">
        <f>IF(B18="","",VLOOKUP(AD18,Varsayımlar!$B:$Q,12,0))</f>
        <v>390</v>
      </c>
      <c r="V18" s="75" t="str">
        <f>IF(B18="","",VLOOKUP(AD18,Varsayımlar!$B:$Q,13,0))</f>
        <v>Yurtdışı</v>
      </c>
      <c r="W18" s="75">
        <f>IF(B18="","",VLOOKUP(AD18,Varsayımlar!$B:$Q,14,0))</f>
        <v>9</v>
      </c>
      <c r="X18" s="76">
        <v>46213</v>
      </c>
      <c r="Y18" s="76">
        <v>46487</v>
      </c>
      <c r="Z18" s="75" t="s">
        <v>443</v>
      </c>
      <c r="AA18" s="75" t="str">
        <f>IF(B18="","",VLOOKUP(AD18,Varsayımlar!$B:$Q,15,0))</f>
        <v>25cm Perforeli-Bulgarca Domatesli etiket</v>
      </c>
      <c r="AB18" s="75" t="str">
        <f>IF(B18="","",VLOOKUP(AD18,Varsayımlar!$B:$Q,16,0))</f>
        <v>24-26 cm</v>
      </c>
      <c r="AC18" s="75" t="str">
        <f>IF(B18="","",VLOOKUP(Sayfa1!AD65,Varsayımlar!B:S,18,0))</f>
        <v>80x120cm -Epal+Epal</v>
      </c>
      <c r="AD18" s="57" t="str">
        <f t="shared" si="0"/>
        <v>TASTE LAND-BULGARİSTANTortillas 25cm Domatesli 6pcs 390g</v>
      </c>
    </row>
    <row r="19" spans="1:31" ht="47.25" x14ac:dyDescent="0.25">
      <c r="A19" s="8" t="s">
        <v>91</v>
      </c>
      <c r="B19" s="75" t="s">
        <v>218</v>
      </c>
      <c r="C19" s="43">
        <f>IF(B19="","",VLOOKUP(AD19,Varsayımlar!$B:$Q,3,0))</f>
        <v>8698829380698</v>
      </c>
      <c r="D19" s="43" t="s">
        <v>161</v>
      </c>
      <c r="E19" s="75" t="s">
        <v>235</v>
      </c>
      <c r="F19" s="75" t="s">
        <v>561</v>
      </c>
      <c r="G19" s="43"/>
      <c r="H19" s="75" t="str">
        <f>IF(B19="","",VLOOKUP(AD19,Varsayımlar!$B:$Q,5,0))</f>
        <v>Tortillas Avrupa 25cm Ispanaklı (081)</v>
      </c>
      <c r="I19" s="75">
        <f>IF(B19="","",VLOOKUP(AD19,Varsayımlar!B:T,19,0))</f>
        <v>0</v>
      </c>
      <c r="J19" s="75" t="str">
        <f>IF(B19="","",VLOOKUP(AD19,Varsayımlar!$B:$Q,6,0))</f>
        <v>Ispanaklı</v>
      </c>
      <c r="K19" s="75">
        <v>600</v>
      </c>
      <c r="L19" s="75"/>
      <c r="M19" s="75">
        <f>IFERROR(IF(B19="","",K19/VLOOKUP(AD19,Varsayımlar!B:R,17,0)),"")</f>
        <v>5</v>
      </c>
      <c r="N19" s="75"/>
      <c r="O19" s="75">
        <v>6</v>
      </c>
      <c r="P19" s="75">
        <f>IF(B19="","",VLOOKUP(AD19,Varsayımlar!$B:$Q,7,0)*K19)</f>
        <v>7200</v>
      </c>
      <c r="Q19" s="75">
        <f>IF(B19="","",VLOOKUP(AD19,Varsayımlar!$B:$Q,8,0))</f>
        <v>25</v>
      </c>
      <c r="R19" s="75" t="str">
        <f>IF(B19="","",VLOOKUP(AD19,Varsayımlar!$B:$Q,9,0))</f>
        <v>Irak Soft</v>
      </c>
      <c r="S19" s="75">
        <f>IF(B19="","",VLOOKUP(AD19,Varsayımlar!$B:$Q,10,0))</f>
        <v>6</v>
      </c>
      <c r="T19" s="75">
        <f>IF(B19="","",VLOOKUP(AD19,Varsayımlar!$B:$Q,11,0))</f>
        <v>12</v>
      </c>
      <c r="U19" s="75">
        <f>IF(B19="","",VLOOKUP(AD19,Varsayımlar!$B:$Q,12,0))</f>
        <v>390</v>
      </c>
      <c r="V19" s="75" t="str">
        <f>IF(B19="","",VLOOKUP(AD19,Varsayımlar!$B:$Q,13,0))</f>
        <v>Yurtdışı</v>
      </c>
      <c r="W19" s="75">
        <f>IF(B19="","",VLOOKUP(AD19,Varsayımlar!$B:$Q,14,0))</f>
        <v>9</v>
      </c>
      <c r="X19" s="76">
        <v>46213</v>
      </c>
      <c r="Y19" s="76">
        <v>46487</v>
      </c>
      <c r="Z19" s="75" t="s">
        <v>444</v>
      </c>
      <c r="AA19" s="75" t="str">
        <f>IF(B19="","",VLOOKUP(AD19,Varsayımlar!$B:$Q,15,0))</f>
        <v>25cm Perforeli-Bulgarca Ispanaklı etiket</v>
      </c>
      <c r="AB19" s="75" t="str">
        <f>IF(B19="","",VLOOKUP(AD19,Varsayımlar!$B:$Q,16,0))</f>
        <v>24-26 cm</v>
      </c>
      <c r="AC19" s="75" t="str">
        <f>IF(B19="","",VLOOKUP(Sayfa1!AD66,Varsayımlar!B:S,18,0))</f>
        <v>80x120cm -Epal+Epal</v>
      </c>
      <c r="AD19" s="57" t="str">
        <f t="shared" si="0"/>
        <v>TASTE LAND-BULGARİSTANTortillas 25cm Ispanaklı 6pcs 390g</v>
      </c>
    </row>
    <row r="20" spans="1:31" ht="55.5" hidden="1" customHeight="1" x14ac:dyDescent="0.25">
      <c r="A20" s="8" t="s">
        <v>92</v>
      </c>
      <c r="B20" s="67" t="s">
        <v>460</v>
      </c>
      <c r="C20" s="42">
        <f>IF(B20="","",VLOOKUP(AD20,Varsayımlar!$B:$Q,3,0))</f>
        <v>8698829380698</v>
      </c>
      <c r="D20" s="67" t="s">
        <v>540</v>
      </c>
      <c r="E20" s="67" t="s">
        <v>464</v>
      </c>
      <c r="F20" s="67">
        <v>20260414</v>
      </c>
      <c r="G20" s="67"/>
      <c r="H20" s="67" t="str">
        <f>IF(B20="","",VLOOKUP(AD20,Varsayımlar!$B:$Q,5,0))</f>
        <v>Tortillove 20cm</v>
      </c>
      <c r="I20" s="67">
        <f>IF(B20="","",VLOOKUP(AD20,Varsayımlar!B:T,19,0))</f>
        <v>0</v>
      </c>
      <c r="J20" s="67" t="str">
        <f>IF(B20="","",VLOOKUP(AD20,Varsayımlar!$B:$Q,6,0))</f>
        <v>SADE</v>
      </c>
      <c r="K20" s="67">
        <v>300</v>
      </c>
      <c r="L20" s="67"/>
      <c r="M20" s="67">
        <f>IFERROR(IF(B20="","",K20/VLOOKUP(AD20,Varsayımlar!B:R,17,0)),"")</f>
        <v>3</v>
      </c>
      <c r="N20" s="67"/>
      <c r="O20" s="67">
        <v>5</v>
      </c>
      <c r="P20" s="67">
        <f>IF(B20="","",VLOOKUP(AD20,Varsayımlar!$B:$Q,7,0)*K20)</f>
        <v>3600</v>
      </c>
      <c r="Q20" s="67">
        <f>IF(B20="","",VLOOKUP(AD20,Varsayımlar!$B:$Q,8,0))</f>
        <v>20</v>
      </c>
      <c r="R20" s="67" t="str">
        <f>IF(B20="","",VLOOKUP(AD20,Varsayımlar!$B:$Q,9,0))</f>
        <v>Irak Soft</v>
      </c>
      <c r="S20" s="67">
        <f>IF(B20="","",VLOOKUP(AD20,Varsayımlar!$B:$Q,10,0))</f>
        <v>10</v>
      </c>
      <c r="T20" s="67">
        <f>IF(B20="","",VLOOKUP(AD20,Varsayımlar!$B:$Q,11,0))</f>
        <v>12</v>
      </c>
      <c r="U20" s="67">
        <f>IF(B20="","",VLOOKUP(AD20,Varsayımlar!$B:$Q,12,0))</f>
        <v>450</v>
      </c>
      <c r="V20" s="67" t="str">
        <f>IF(B20="","",VLOOKUP(AD20,Varsayımlar!$B:$Q,13,0))</f>
        <v>Yurtdışı</v>
      </c>
      <c r="W20" s="67">
        <f>IF(B20="","",VLOOKUP(AD20,Varsayımlar!$B:$Q,14,0))</f>
        <v>6</v>
      </c>
      <c r="X20" s="69">
        <v>46216</v>
      </c>
      <c r="Y20" s="69">
        <v>46400</v>
      </c>
      <c r="Z20" s="67">
        <v>26071320</v>
      </c>
      <c r="AA20" s="67" t="str">
        <f>IF(B20="","",VLOOKUP(AD20,Varsayımlar!$B:$Q,15,0))</f>
        <v>20cm kolisi</v>
      </c>
      <c r="AB20" s="67" t="str">
        <f>IF(B20="","",VLOOKUP(AD20,Varsayımlar!$B:$Q,16,0))</f>
        <v>19-21 cm</v>
      </c>
      <c r="AC20" s="75">
        <f>IF(B20="","",VLOOKUP(Sayfa1!AD69,Varsayımlar!B:S,18,0))</f>
        <v>0</v>
      </c>
      <c r="AD20" s="57" t="str">
        <f t="shared" si="0"/>
        <v>Yüksekbaş GıdaYüksekbaş 20cm 10pcs 450g</v>
      </c>
    </row>
    <row r="21" spans="1:31" ht="61.5" hidden="1" customHeight="1" x14ac:dyDescent="0.25">
      <c r="A21" s="8" t="s">
        <v>93</v>
      </c>
      <c r="B21" s="67" t="s">
        <v>460</v>
      </c>
      <c r="C21" s="42">
        <f>IF(B21="","",VLOOKUP(AD21,Varsayımlar!$B:$Q,3,0))</f>
        <v>8698829380698</v>
      </c>
      <c r="D21" s="67" t="s">
        <v>540</v>
      </c>
      <c r="E21" s="67" t="s">
        <v>470</v>
      </c>
      <c r="F21" s="67">
        <v>20260414</v>
      </c>
      <c r="G21" s="67"/>
      <c r="H21" s="67" t="str">
        <f>IF(B21="","",VLOOKUP(AD21,Varsayımlar!$B:$Q,5,0))</f>
        <v>Tortillove 30cm</v>
      </c>
      <c r="I21" s="67">
        <f>IF(B21="","",VLOOKUP(AD21,Varsayımlar!B:T,19,0))</f>
        <v>0</v>
      </c>
      <c r="J21" s="67" t="str">
        <f>IF(B21="","",VLOOKUP(AD21,Varsayımlar!$B:$Q,6,0))</f>
        <v>SADE</v>
      </c>
      <c r="K21" s="67">
        <v>792</v>
      </c>
      <c r="L21" s="67" t="s">
        <v>559</v>
      </c>
      <c r="M21" s="67">
        <f>IFERROR(IF(B21="","",K21/VLOOKUP(AD21,Varsayımlar!B:R,17,0)),"")</f>
        <v>12</v>
      </c>
      <c r="N21" s="67"/>
      <c r="O21" s="67">
        <v>14</v>
      </c>
      <c r="P21" s="67">
        <f>IF(B21="","",VLOOKUP(AD21,Varsayımlar!$B:$Q,7,0)*K21)</f>
        <v>9504</v>
      </c>
      <c r="Q21" s="67">
        <f>IF(B21="","",VLOOKUP(AD21,Varsayımlar!$B:$Q,8,0))</f>
        <v>30</v>
      </c>
      <c r="R21" s="67" t="str">
        <f>IF(B21="","",VLOOKUP(AD21,Varsayımlar!$B:$Q,9,0))</f>
        <v>Irak Soft</v>
      </c>
      <c r="S21" s="67">
        <f>IF(B21="","",VLOOKUP(AD21,Varsayımlar!$B:$Q,10,0))</f>
        <v>10</v>
      </c>
      <c r="T21" s="67">
        <f>IF(B21="","",VLOOKUP(AD21,Varsayımlar!$B:$Q,11,0))</f>
        <v>12</v>
      </c>
      <c r="U21" s="67">
        <f>IF(B21="","",VLOOKUP(AD21,Varsayımlar!$B:$Q,12,0))</f>
        <v>950</v>
      </c>
      <c r="V21" s="67" t="str">
        <f>IF(B21="","",VLOOKUP(AD21,Varsayımlar!$B:$Q,13,0))</f>
        <v>Yurtdışı</v>
      </c>
      <c r="W21" s="67">
        <f>IF(B21="","",VLOOKUP(AD21,Varsayımlar!$B:$Q,14,0))</f>
        <v>6</v>
      </c>
      <c r="X21" s="69">
        <v>46216</v>
      </c>
      <c r="Y21" s="69">
        <v>46400</v>
      </c>
      <c r="Z21" s="67">
        <v>26071330</v>
      </c>
      <c r="AA21" s="67" t="str">
        <f>IF(B21="","",VLOOKUP(AD21,Varsayımlar!$B:$Q,15,0))</f>
        <v>30cm Kolisi</v>
      </c>
      <c r="AB21" s="67" t="str">
        <f>IF(B21="","",VLOOKUP(AD21,Varsayımlar!$B:$Q,16,0))</f>
        <v>29-31 cm</v>
      </c>
      <c r="AC21" s="75">
        <f>IF(B21="","",VLOOKUP(Sayfa1!AD69,Varsayımlar!B:S,18,0))</f>
        <v>0</v>
      </c>
      <c r="AD21" s="57" t="str">
        <f t="shared" si="0"/>
        <v>Yüksekbaş GıdaYüksekbaş 30cm 10pcs 950g</v>
      </c>
    </row>
    <row r="22" spans="1:31" ht="47.25" hidden="1" x14ac:dyDescent="0.25">
      <c r="A22" s="8" t="s">
        <v>135</v>
      </c>
      <c r="B22" s="58" t="s">
        <v>346</v>
      </c>
      <c r="C22" s="147">
        <f>IF(B22="","",VLOOKUP(AD22,Varsayımlar!$B:$Q,3,0))</f>
        <v>8698829380698</v>
      </c>
      <c r="D22" s="40">
        <v>48</v>
      </c>
      <c r="E22" s="59" t="s">
        <v>162</v>
      </c>
      <c r="F22" s="58"/>
      <c r="G22" s="58"/>
      <c r="H22" s="58" t="str">
        <f>IF(B22="","",VLOOKUP(AD22,Varsayımlar!$B:$Q,5,0))</f>
        <v>Hanami 20cm Sade 4 pcs 166g (067)</v>
      </c>
      <c r="I22" s="58" t="str">
        <f>IF(B22="","",VLOOKUP(AD22,Varsayımlar!B:T,19,0))</f>
        <v>Ambalaj kaç aylık kontrol?</v>
      </c>
      <c r="J22" s="58" t="str">
        <f>IF(B22="","",VLOOKUP(AD22,Varsayımlar!$B:$Q,6,0))</f>
        <v>SADE</v>
      </c>
      <c r="K22" s="58">
        <v>3080</v>
      </c>
      <c r="L22" s="58"/>
      <c r="M22" s="58">
        <f>IFERROR(IF(B22="","",K22/VLOOKUP(AD22,Varsayımlar!B:R,17,0)),"")</f>
        <v>22</v>
      </c>
      <c r="N22" s="58"/>
      <c r="O22" s="58">
        <v>52</v>
      </c>
      <c r="P22" s="58">
        <f>IF(B22="","",VLOOKUP(AD22,Varsayımlar!$B:$Q,7,0)*K22)</f>
        <v>92400</v>
      </c>
      <c r="Q22" s="58">
        <f>IF(B22="","",VLOOKUP(AD22,Varsayımlar!$B:$Q,8,0))</f>
        <v>20</v>
      </c>
      <c r="R22" s="58" t="str">
        <f>IF(B22="","",VLOOKUP(AD22,Varsayımlar!$B:$Q,9,0))</f>
        <v>Irak Soft</v>
      </c>
      <c r="S22" s="58">
        <f>IF(B22="","",VLOOKUP(AD22,Varsayımlar!$B:$Q,10,0))</f>
        <v>4</v>
      </c>
      <c r="T22" s="58">
        <f>IF(B22="","",VLOOKUP(AD22,Varsayımlar!$B:$Q,11,0))</f>
        <v>30</v>
      </c>
      <c r="U22" s="58">
        <f>IF(B22="","",VLOOKUP(AD22,Varsayımlar!$B:$Q,12,0))</f>
        <v>166</v>
      </c>
      <c r="V22" s="58" t="str">
        <f>IF(B22="","",VLOOKUP(AD22,Varsayımlar!$B:$Q,13,0))</f>
        <v>Yurtdışı</v>
      </c>
      <c r="W22" s="58">
        <f>IF(B22="","",VLOOKUP(AD22,Varsayımlar!$B:$Q,14,0))</f>
        <v>9</v>
      </c>
      <c r="X22" s="60">
        <v>46218</v>
      </c>
      <c r="Y22" s="60">
        <v>46492</v>
      </c>
      <c r="Z22" s="58">
        <v>26071520</v>
      </c>
      <c r="AA22" s="58" t="str">
        <f>IF(B22="","",VLOOKUP(AD22,Varsayımlar!$B:$Q,15,0))</f>
        <v>Hanami Mavi Koli -Üretim Tarihi+9 AYI KAPATACAK ETİKETLİ</v>
      </c>
      <c r="AB22" s="58" t="str">
        <f>IF(B22="","",VLOOKUP(AD22,Varsayımlar!$B:$Q,16,0))</f>
        <v>19-21 cm</v>
      </c>
      <c r="AC22" s="8" t="e">
        <f>IF(B22="","",VLOOKUP(#REF!,#REF!,18,0))</f>
        <v>#REF!</v>
      </c>
      <c r="AD22" s="8" t="str">
        <f t="shared" si="0"/>
        <v xml:space="preserve">GermesHanami 20cm sade 4pcs 166g </v>
      </c>
    </row>
    <row r="23" spans="1:31" ht="39" hidden="1" customHeight="1" x14ac:dyDescent="0.25">
      <c r="A23" s="8" t="s">
        <v>136</v>
      </c>
      <c r="B23" s="58" t="s">
        <v>346</v>
      </c>
      <c r="C23" s="147">
        <f>IF(B23="","",VLOOKUP(AD23,Varsayımlar!$B:$Q,3,0))</f>
        <v>8698829380698</v>
      </c>
      <c r="D23" s="40">
        <v>48</v>
      </c>
      <c r="E23" s="59" t="s">
        <v>166</v>
      </c>
      <c r="F23" s="58"/>
      <c r="G23" s="58"/>
      <c r="H23" s="58" t="str">
        <f>IF(B23="","",VLOOKUP(AD23,Varsayımlar!$B:$Q,5,0))</f>
        <v>Tortillas 20cm (Etiketli)</v>
      </c>
      <c r="I23" s="58" t="str">
        <f>IF(B23="","",VLOOKUP(AD23,Varsayımlar!B:T,19,0))</f>
        <v>Etiketli</v>
      </c>
      <c r="J23" s="58" t="str">
        <f>IF(B23="","",VLOOKUP(AD23,Varsayımlar!$B:$Q,6,0))</f>
        <v>SADE</v>
      </c>
      <c r="K23" s="58">
        <v>280</v>
      </c>
      <c r="L23" s="58"/>
      <c r="M23" s="58">
        <f>IFERROR(IF(B23="","",K23/VLOOKUP(AD23,Varsayımlar!B:R,17,0)),"")</f>
        <v>2</v>
      </c>
      <c r="N23" s="58"/>
      <c r="O23" s="58">
        <v>5</v>
      </c>
      <c r="P23" s="58">
        <f>IF(B23="","",VLOOKUP(AD23,Varsayımlar!$B:$Q,7,0)*K23)</f>
        <v>8400</v>
      </c>
      <c r="Q23" s="58">
        <f>IF(B23="","",VLOOKUP(AD23,Varsayımlar!$B:$Q,8,0))</f>
        <v>20</v>
      </c>
      <c r="R23" s="58" t="str">
        <f>IF(B23="","",VLOOKUP(AD23,Varsayımlar!$B:$Q,9,0))</f>
        <v>Irak soft</v>
      </c>
      <c r="S23" s="58">
        <f>IF(B23="","",VLOOKUP(AD23,Varsayımlar!$B:$Q,10,0))</f>
        <v>4</v>
      </c>
      <c r="T23" s="58">
        <f>IF(B23="","",VLOOKUP(AD23,Varsayımlar!$B:$Q,11,0))</f>
        <v>30</v>
      </c>
      <c r="U23" s="58">
        <f>IF(B23="","",VLOOKUP(AD23,Varsayımlar!$B:$Q,12,0))</f>
        <v>166</v>
      </c>
      <c r="V23" s="58" t="str">
        <f>IF(B23="","",VLOOKUP(AD23,Varsayımlar!$B:$Q,13,0))</f>
        <v>Yurtdışı</v>
      </c>
      <c r="W23" s="58">
        <f>IF(B23="","",VLOOKUP(AD23,Varsayımlar!$B:$Q,14,0))</f>
        <v>9</v>
      </c>
      <c r="X23" s="60">
        <v>46218</v>
      </c>
      <c r="Y23" s="60">
        <v>46492</v>
      </c>
      <c r="Z23" s="58">
        <v>26071520</v>
      </c>
      <c r="AA23" s="58" t="str">
        <f>IF(B23="","",VLOOKUP(AD23,Varsayımlar!$B:$Q,15,0))</f>
        <v>20cm Koli-Üretim Tarihli Etiket</v>
      </c>
      <c r="AB23" s="58" t="str">
        <f>IF(B23="","",VLOOKUP(AD23,Varsayımlar!$B:$Q,16,0))</f>
        <v>19-21 cm</v>
      </c>
      <c r="AC23" s="8" t="e">
        <f>IF(B23="","",VLOOKUP(#REF!,#REF!,18,0))</f>
        <v>#REF!</v>
      </c>
      <c r="AD23" s="8" t="str">
        <f>IF(B23="","",CONCATENATE(B23,E23))</f>
        <v>GermesTortillas 20cm 4 lü 166g</v>
      </c>
    </row>
    <row r="24" spans="1:31" ht="39.75" hidden="1" customHeight="1" x14ac:dyDescent="0.25">
      <c r="A24" s="8" t="s">
        <v>137</v>
      </c>
      <c r="B24" s="58" t="s">
        <v>346</v>
      </c>
      <c r="C24" s="147">
        <f>IF(B24="","",VLOOKUP(AD24,Varsayımlar!$B:$Q,3,0))</f>
        <v>8698829380698</v>
      </c>
      <c r="D24" s="40">
        <v>48</v>
      </c>
      <c r="E24" s="59" t="s">
        <v>168</v>
      </c>
      <c r="F24" s="58"/>
      <c r="G24" s="58"/>
      <c r="H24" s="58" t="str">
        <f>IF(B24="","",VLOOKUP(AD24,Varsayımlar!$B:$Q,5,0))</f>
        <v>Hanami Peynirli 20cm (050)</v>
      </c>
      <c r="I24" s="58" t="str">
        <f>IF(B24="","",VLOOKUP(AD24,Varsayımlar!B:T,19,0))</f>
        <v>Ambalaj kaç aylık kontrol?</v>
      </c>
      <c r="J24" s="58" t="str">
        <f>IF(B24="","",VLOOKUP(AD24,Varsayımlar!$B:$Q,6,0))</f>
        <v>PEYNİRLİ</v>
      </c>
      <c r="K24" s="58">
        <v>280</v>
      </c>
      <c r="L24" s="58" t="s">
        <v>531</v>
      </c>
      <c r="M24" s="58">
        <f>IFERROR(IF(B24="","",K24/VLOOKUP(AD24,Varsayımlar!B:R,17,0)),"")</f>
        <v>2</v>
      </c>
      <c r="N24" s="58"/>
      <c r="O24" s="58">
        <v>6</v>
      </c>
      <c r="P24" s="58">
        <f>IF(B24="","",VLOOKUP(AD24,Varsayımlar!$B:$Q,7,0)*K24)</f>
        <v>8400</v>
      </c>
      <c r="Q24" s="58">
        <f>IF(B24="","",VLOOKUP(AD24,Varsayımlar!$B:$Q,8,0))</f>
        <v>20</v>
      </c>
      <c r="R24" s="58" t="str">
        <f>IF(B24="","",VLOOKUP(AD24,Varsayımlar!$B:$Q,9,0))</f>
        <v>Irak Soft-AT</v>
      </c>
      <c r="S24" s="58">
        <f>IF(B24="","",VLOOKUP(AD24,Varsayımlar!$B:$Q,10,0))</f>
        <v>4</v>
      </c>
      <c r="T24" s="58">
        <f>IF(B24="","",VLOOKUP(AD24,Varsayımlar!$B:$Q,11,0))</f>
        <v>30</v>
      </c>
      <c r="U24" s="58">
        <f>IF(B24="","",VLOOKUP(AD24,Varsayımlar!$B:$Q,12,0))</f>
        <v>166</v>
      </c>
      <c r="V24" s="58" t="str">
        <f>IF(B24="","",VLOOKUP(AD24,Varsayımlar!$B:$Q,13,0))</f>
        <v>YURTDIŞI</v>
      </c>
      <c r="W24" s="58">
        <f>IF(B24="","",VLOOKUP(AD24,Varsayımlar!$B:$Q,14,0))</f>
        <v>9</v>
      </c>
      <c r="X24" s="60">
        <v>46218</v>
      </c>
      <c r="Y24" s="60">
        <v>46492</v>
      </c>
      <c r="Z24" s="58" t="s">
        <v>495</v>
      </c>
      <c r="AA24" s="58" t="str">
        <f>IF(B24="","",VLOOKUP(AD24,Varsayımlar!$B:$Q,15,0))</f>
        <v>HANAMİ SARI KOLİ-ÜRETİM TARİHİ BASILACAK</v>
      </c>
      <c r="AB24" s="58" t="str">
        <f>IF(B24="","",VLOOKUP(AD24,Varsayımlar!$B:$Q,16,0))</f>
        <v>19-21 CM</v>
      </c>
      <c r="AC24" s="8" t="e">
        <f>IF(B24="","",VLOOKUP(#REF!,#REF!,18,0))</f>
        <v>#REF!</v>
      </c>
      <c r="AD24" s="8" t="str">
        <f t="shared" ref="AD24:AD38" si="1">IF(B24="","",CONCATENATE(B24,E24))</f>
        <v>GermesHanami Peynirli 20cm 4 lü 166g</v>
      </c>
    </row>
    <row r="25" spans="1:31" ht="51" hidden="1" customHeight="1" x14ac:dyDescent="0.25">
      <c r="A25" s="8" t="s">
        <v>138</v>
      </c>
      <c r="B25" s="164" t="s">
        <v>256</v>
      </c>
      <c r="C25" s="165">
        <f>IF(B25="","",VLOOKUP(AD25,Varsayımlar!$B:$Q,3,0))</f>
        <v>8698829380698</v>
      </c>
      <c r="D25" s="164"/>
      <c r="E25" s="164" t="s">
        <v>551</v>
      </c>
      <c r="F25" s="164">
        <v>20260629</v>
      </c>
      <c r="G25" s="164"/>
      <c r="H25" s="164" t="str">
        <f>IF(B25="","",VLOOKUP(AD25,Varsayımlar!$B:$Q,5,0))</f>
        <v>Tortillove 33 cm</v>
      </c>
      <c r="I25" s="164">
        <f>IF(B25="","",VLOOKUP(AD25,Varsayımlar!B:T,19,0))</f>
        <v>0</v>
      </c>
      <c r="J25" s="164" t="str">
        <f>IF(B25="","",VLOOKUP(AD25,Varsayımlar!$B:$Q,6,0))</f>
        <v>Sade</v>
      </c>
      <c r="K25" s="164">
        <v>60</v>
      </c>
      <c r="L25" s="164"/>
      <c r="M25" s="164" t="str">
        <f>IFERROR(IF(B25="","",K25/VLOOKUP(AD25,Varsayımlar!B:R,17,0)),"")</f>
        <v/>
      </c>
      <c r="N25" s="164"/>
      <c r="O25" s="164">
        <v>2</v>
      </c>
      <c r="P25" s="164">
        <f>IF(B25="","",VLOOKUP(AD25,Varsayımlar!$B:$Q,7,0)*K25)</f>
        <v>720</v>
      </c>
      <c r="Q25" s="164">
        <f>IF(B25="","",VLOOKUP(AD25,Varsayımlar!$B:$Q,8,0))</f>
        <v>33</v>
      </c>
      <c r="R25" s="164" t="str">
        <f>IF(B25="","",VLOOKUP(AD25,Varsayımlar!$B:$Q,9,0))</f>
        <v>Irak soft</v>
      </c>
      <c r="S25" s="164">
        <f>IF(B25="","",VLOOKUP(AD25,Varsayımlar!$B:$Q,10,0))</f>
        <v>10</v>
      </c>
      <c r="T25" s="164">
        <f>IF(B25="","",VLOOKUP(AD25,Varsayımlar!$B:$Q,11,0))</f>
        <v>12</v>
      </c>
      <c r="U25" s="164">
        <f>IF(B25="","",VLOOKUP(AD25,Varsayımlar!$B:$Q,12,0))</f>
        <v>1000</v>
      </c>
      <c r="V25" s="164" t="str">
        <f>IF(B25="","",VLOOKUP(AD25,Varsayımlar!$B:$Q,13,0))</f>
        <v>Yurtiçi</v>
      </c>
      <c r="W25" s="164">
        <f>IF(B25="","",VLOOKUP(AD25,Varsayımlar!$B:$Q,14,0))</f>
        <v>6</v>
      </c>
      <c r="X25" s="166" t="s">
        <v>113</v>
      </c>
      <c r="Y25" s="166" t="s">
        <v>113</v>
      </c>
      <c r="Z25" s="164" t="s">
        <v>113</v>
      </c>
      <c r="AA25" s="164" t="str">
        <f>IF(B25="","",VLOOKUP(AD25,Varsayımlar!$B:$Q,15,0))</f>
        <v>33cm Kolisi</v>
      </c>
      <c r="AB25" s="164" t="str">
        <f>IF(B25="","",VLOOKUP(AD25,Varsayımlar!$B:$Q,16,0))</f>
        <v>32-34cm</v>
      </c>
      <c r="AC25" s="75">
        <f>IF(B25="","",VLOOKUP(Sayfa1!AD76,Varsayımlar!B:S,18,0))</f>
        <v>0</v>
      </c>
      <c r="AD25" s="57" t="str">
        <f>IF(B25="","",CONCATENATE(B25,E25))</f>
        <v>Ankara KahveTortillove 33cm 10pcs 1000g</v>
      </c>
      <c r="AE25" s="140" t="s">
        <v>541</v>
      </c>
    </row>
    <row r="26" spans="1:31" ht="51" hidden="1" customHeight="1" x14ac:dyDescent="0.25">
      <c r="A26" s="8" t="s">
        <v>139</v>
      </c>
      <c r="B26" s="160" t="s">
        <v>553</v>
      </c>
      <c r="C26" s="161">
        <f>IF(B26="","",VLOOKUP(AD26,Varsayımlar!$B:$Q,3,0))</f>
        <v>8698829380698</v>
      </c>
      <c r="D26" s="160"/>
      <c r="E26" s="160" t="s">
        <v>556</v>
      </c>
      <c r="F26" s="160">
        <v>20260629</v>
      </c>
      <c r="G26" s="160"/>
      <c r="H26" s="160" t="str">
        <f>IF(B26="","",VLOOKUP(AD26,Varsayımlar!$B:$Q,5,0))</f>
        <v>Tortillove 30cm</v>
      </c>
      <c r="I26" s="160">
        <f>IF(B26="","",VLOOKUP(AD26,Varsayımlar!B:T,19,0))</f>
        <v>0</v>
      </c>
      <c r="J26" s="160" t="str">
        <f>IF(B26="","",VLOOKUP(AD26,Varsayımlar!$B:$Q,6,0))</f>
        <v>Sade</v>
      </c>
      <c r="K26" s="160">
        <v>350</v>
      </c>
      <c r="L26" s="160"/>
      <c r="M26" s="160">
        <f>IFERROR(IF(B26="","",K26/VLOOKUP(AD26,Varsayımlar!B:R,17,0)),"")</f>
        <v>7</v>
      </c>
      <c r="N26" s="160"/>
      <c r="O26" s="160">
        <v>7</v>
      </c>
      <c r="P26" s="160">
        <f>IF(B26="","",VLOOKUP(AD26,Varsayımlar!$B:$Q,7,0)*K26)</f>
        <v>4200</v>
      </c>
      <c r="Q26" s="160">
        <f>IF(B26="","",VLOOKUP(AD26,Varsayımlar!$B:$Q,8,0))</f>
        <v>30</v>
      </c>
      <c r="R26" s="160" t="str">
        <f>IF(B26="","",VLOOKUP(AD26,Varsayımlar!$B:$Q,9,0))</f>
        <v>Irak soft</v>
      </c>
      <c r="S26" s="160">
        <f>IF(B26="","",VLOOKUP(AD26,Varsayımlar!$B:$Q,10,0))</f>
        <v>10</v>
      </c>
      <c r="T26" s="160">
        <f>IF(B26="","",VLOOKUP(AD26,Varsayımlar!$B:$Q,11,0))</f>
        <v>12</v>
      </c>
      <c r="U26" s="160">
        <f>IF(B26="","",VLOOKUP(AD26,Varsayımlar!$B:$Q,12,0))</f>
        <v>950</v>
      </c>
      <c r="V26" s="160" t="str">
        <f>IF(B26="","",VLOOKUP(AD26,Varsayımlar!$B:$Q,13,0))</f>
        <v>Yurtiçi</v>
      </c>
      <c r="W26" s="160">
        <f>IF(B26="","",VLOOKUP(AD26,Varsayımlar!$B:$Q,14,0))</f>
        <v>6</v>
      </c>
      <c r="X26" s="160" t="s">
        <v>113</v>
      </c>
      <c r="Y26" s="160" t="s">
        <v>113</v>
      </c>
      <c r="Z26" s="160" t="s">
        <v>113</v>
      </c>
      <c r="AA26" s="160" t="str">
        <f>IF(B26="","",VLOOKUP(AD26,Varsayımlar!$B:$Q,15,0))</f>
        <v>30cm kolisi-Barkod etiketli</v>
      </c>
      <c r="AB26" s="160" t="str">
        <f>IF(B26="","",VLOOKUP(AD26,Varsayımlar!$B:$Q,16,0))</f>
        <v>29-31cm</v>
      </c>
      <c r="AC26" s="75">
        <f>IF(B26="","",VLOOKUP(Sayfa1!AD77,Varsayımlar!B:S,18,0))</f>
        <v>0</v>
      </c>
      <c r="AD26" s="57" t="str">
        <f t="shared" ref="AD26" si="2">IF(B26="","",CONCATENATE(B26,E26))</f>
        <v>GıdaserTortillove 30cm 10pcs 950g</v>
      </c>
      <c r="AE26" s="140" t="s">
        <v>541</v>
      </c>
    </row>
    <row r="27" spans="1:31" ht="47.25" hidden="1" x14ac:dyDescent="0.25">
      <c r="A27" s="8" t="s">
        <v>140</v>
      </c>
      <c r="B27" s="54" t="s">
        <v>346</v>
      </c>
      <c r="C27" s="139">
        <f>IF(B27="","",VLOOKUP(AD27,Varsayımlar!$B:$Q,3,0))</f>
        <v>8698829380698</v>
      </c>
      <c r="D27" s="39">
        <v>49</v>
      </c>
      <c r="E27" s="55" t="s">
        <v>162</v>
      </c>
      <c r="F27" s="54"/>
      <c r="G27" s="54"/>
      <c r="H27" s="54" t="str">
        <f>IF(B27="","",VLOOKUP(AD27,Varsayımlar!$B:$Q,5,0))</f>
        <v>Hanami 20cm Sade 4 pcs 166g (067)</v>
      </c>
      <c r="I27" s="54" t="str">
        <f>IF(B27="","",VLOOKUP(AD27,Varsayımlar!B:T,19,0))</f>
        <v>Ambalaj kaç aylık kontrol?</v>
      </c>
      <c r="J27" s="54" t="str">
        <f>IF(B27="","",VLOOKUP(AD27,Varsayımlar!$B:$Q,6,0))</f>
        <v>SADE</v>
      </c>
      <c r="K27" s="54">
        <v>700</v>
      </c>
      <c r="L27" s="54"/>
      <c r="M27" s="54">
        <f>IFERROR(IF(B27="","",K27/VLOOKUP(AD27,Varsayımlar!B:R,17,0)),"")</f>
        <v>5</v>
      </c>
      <c r="N27" s="54"/>
      <c r="O27" s="54">
        <v>12</v>
      </c>
      <c r="P27" s="54">
        <f>IF(B27="","",VLOOKUP(AD27,Varsayımlar!$B:$Q,7,0)*K27)</f>
        <v>21000</v>
      </c>
      <c r="Q27" s="54">
        <f>IF(B27="","",VLOOKUP(AD27,Varsayımlar!$B:$Q,8,0))</f>
        <v>20</v>
      </c>
      <c r="R27" s="54" t="str">
        <f>IF(B27="","",VLOOKUP(AD27,Varsayımlar!$B:$Q,9,0))</f>
        <v>Irak Soft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166</v>
      </c>
      <c r="V27" s="54" t="str">
        <f>IF(B27="","",VLOOKUP(AD27,Varsayımlar!$B:$Q,13,0))</f>
        <v>Yurtdışı</v>
      </c>
      <c r="W27" s="54">
        <f>IF(B27="","",VLOOKUP(AD27,Varsayımlar!$B:$Q,14,0))</f>
        <v>9</v>
      </c>
      <c r="X27" s="56">
        <v>46226</v>
      </c>
      <c r="Y27" s="56">
        <v>46500</v>
      </c>
      <c r="Z27" s="54">
        <v>26072320</v>
      </c>
      <c r="AA27" s="54" t="str">
        <f>IF(B27="","",VLOOKUP(AD27,Varsayımlar!$B:$Q,15,0))</f>
        <v>Hanami Mavi Koli -Üretim Tarihi+9 AYI KAPATACAK ETİKETLİ</v>
      </c>
      <c r="AB27" s="54" t="str">
        <f>IF(B27="","",VLOOKUP(AD27,Varsayımlar!$B:$Q,16,0))</f>
        <v>19-21 cm</v>
      </c>
      <c r="AC27" s="8" t="e">
        <f>IF(B27="","",VLOOKUP(#REF!,#REF!,18,0))</f>
        <v>#REF!</v>
      </c>
      <c r="AD27" s="8" t="str">
        <f t="shared" si="1"/>
        <v xml:space="preserve">GermesHanami 20cm sade 4pcs 166g </v>
      </c>
    </row>
    <row r="28" spans="1:31" ht="43.5" hidden="1" customHeight="1" x14ac:dyDescent="0.25">
      <c r="A28" s="8" t="s">
        <v>141</v>
      </c>
      <c r="B28" s="54" t="s">
        <v>346</v>
      </c>
      <c r="C28" s="139">
        <f>IF(B28="","",VLOOKUP(AD28,Varsayımlar!$B:$Q,3,0))</f>
        <v>8698829380698</v>
      </c>
      <c r="D28" s="39">
        <v>49</v>
      </c>
      <c r="E28" s="55" t="s">
        <v>490</v>
      </c>
      <c r="F28" s="54"/>
      <c r="G28" s="54"/>
      <c r="H28" s="54" t="str">
        <f>IF(B28="","",VLOOKUP(AD28,Varsayımlar!$B:$Q,5,0))</f>
        <v>Tortillas Domatesli 25cm (Germes Bilgileri Ekli)</v>
      </c>
      <c r="I28" s="54">
        <f>IF(B28="","",VLOOKUP(AD28,Varsayımlar!B:T,19,0))</f>
        <v>0</v>
      </c>
      <c r="J28" s="54" t="str">
        <f>IF(B28="","",VLOOKUP(AD28,Varsayımlar!$B:$Q,6,0))</f>
        <v>Domatesli</v>
      </c>
      <c r="K28" s="54">
        <v>420</v>
      </c>
      <c r="L28" s="54"/>
      <c r="M28" s="54" t="str">
        <f>IFERROR(IF(B28="","",K28/VLOOKUP(AD28,Varsayımlar!B:R,17,0)),"")</f>
        <v/>
      </c>
      <c r="N28" s="54"/>
      <c r="O28" s="54">
        <v>8</v>
      </c>
      <c r="P28" s="54">
        <f>IF(B28="","",VLOOKUP(AD28,Varsayımlar!$B:$Q,7,0)*K28)</f>
        <v>12600</v>
      </c>
      <c r="Q28" s="54">
        <f>IF(B28="","",VLOOKUP(AD28,Varsayımlar!$B:$Q,8,0))</f>
        <v>25</v>
      </c>
      <c r="R28" s="54" t="str">
        <f>IF(B28="","",VLOOKUP(AD28,Varsayımlar!$B:$Q,9,0))</f>
        <v>Irak Soft</v>
      </c>
      <c r="S28" s="54">
        <f>IF(B28="","",VLOOKUP(AD28,Varsayımlar!$B:$Q,10,0))</f>
        <v>4</v>
      </c>
      <c r="T28" s="54">
        <f>IF(B28="","",VLOOKUP(AD28,Varsayımlar!$B:$Q,11,0))</f>
        <v>30</v>
      </c>
      <c r="U28" s="54">
        <f>IF(B28="","",VLOOKUP(AD28,Varsayımlar!$B:$Q,12,0))</f>
        <v>250</v>
      </c>
      <c r="V28" s="54" t="str">
        <f>IF(B28="","",VLOOKUP(AD28,Varsayımlar!$B:$Q,13,0))</f>
        <v>Yurtdışı</v>
      </c>
      <c r="W28" s="54">
        <f>IF(B28="","",VLOOKUP(AD28,Varsayımlar!$B:$Q,14,0))</f>
        <v>9</v>
      </c>
      <c r="X28" s="56">
        <v>46226</v>
      </c>
      <c r="Y28" s="56">
        <v>46135</v>
      </c>
      <c r="Z28" s="54" t="s">
        <v>496</v>
      </c>
      <c r="AA28" s="54" t="str">
        <f>IF(B28="","",VLOOKUP(AD28,Varsayımlar!$B:$Q,15,0))</f>
        <v>25cm Kırmızı Koli-Üretim Tarihli Etiketli</v>
      </c>
      <c r="AB28" s="54">
        <f>IF(B28="","",VLOOKUP(AD28,Varsayımlar!$B:$Q,16,0))</f>
        <v>0</v>
      </c>
      <c r="AC28" s="8" t="e">
        <f>IF(B28="","",VLOOKUP(#REF!,#REF!,18,0))</f>
        <v>#REF!</v>
      </c>
      <c r="AD28" s="8" t="str">
        <f t="shared" si="1"/>
        <v xml:space="preserve">GermesTortillas Domatesli 25cm 4pcs 250g </v>
      </c>
    </row>
    <row r="29" spans="1:31" ht="43.5" hidden="1" customHeight="1" x14ac:dyDescent="0.25">
      <c r="A29" s="8" t="s">
        <v>142</v>
      </c>
      <c r="B29" s="54" t="s">
        <v>346</v>
      </c>
      <c r="C29" s="139">
        <f>IF(B29="","",VLOOKUP(AD29,Varsayımlar!$B:$Q,3,0))</f>
        <v>8698829380698</v>
      </c>
      <c r="D29" s="39">
        <v>49</v>
      </c>
      <c r="E29" s="55" t="s">
        <v>492</v>
      </c>
      <c r="F29" s="54"/>
      <c r="G29" s="54"/>
      <c r="H29" s="54" t="str">
        <f>IF(B29="","",VLOOKUP(AD29,Varsayımlar!$B:$Q,5,0))</f>
        <v>Tortillas Ispanaklı 25cm (Germes Bilgileri Ekli)</v>
      </c>
      <c r="I29" s="54">
        <f>IF(B29="","",VLOOKUP(AD29,Varsayımlar!B:T,19,0))</f>
        <v>0</v>
      </c>
      <c r="J29" s="54" t="str">
        <f>IF(B29="","",VLOOKUP(AD29,Varsayımlar!$B:$Q,6,0))</f>
        <v>Ispanaklı</v>
      </c>
      <c r="K29" s="54">
        <v>420</v>
      </c>
      <c r="L29" s="54"/>
      <c r="M29" s="54" t="str">
        <f>IFERROR(IF(B29="","",K29/VLOOKUP(AD29,Varsayımlar!B:R,17,0)),"")</f>
        <v/>
      </c>
      <c r="N29" s="54"/>
      <c r="O29" s="54">
        <v>8</v>
      </c>
      <c r="P29" s="54">
        <f>IF(B29="","",VLOOKUP(AD29,Varsayımlar!$B:$Q,7,0)*K29)</f>
        <v>12600</v>
      </c>
      <c r="Q29" s="54">
        <f>IF(B29="","",VLOOKUP(AD29,Varsayımlar!$B:$Q,8,0))</f>
        <v>25</v>
      </c>
      <c r="R29" s="54" t="str">
        <f>IF(B29="","",VLOOKUP(AD29,Varsayımlar!$B:$Q,9,0))</f>
        <v>Irak Soft</v>
      </c>
      <c r="S29" s="54">
        <f>IF(B29="","",VLOOKUP(AD29,Varsayımlar!$B:$Q,10,0))</f>
        <v>4</v>
      </c>
      <c r="T29" s="54">
        <f>IF(B29="","",VLOOKUP(AD29,Varsayımlar!$B:$Q,11,0))</f>
        <v>30</v>
      </c>
      <c r="U29" s="54">
        <f>IF(B29="","",VLOOKUP(AD29,Varsayımlar!$B:$Q,12,0))</f>
        <v>250</v>
      </c>
      <c r="V29" s="54" t="str">
        <f>IF(B29="","",VLOOKUP(AD29,Varsayımlar!$B:$Q,13,0))</f>
        <v>Yurtdışı</v>
      </c>
      <c r="W29" s="54">
        <f>IF(B29="","",VLOOKUP(AD29,Varsayımlar!$B:$Q,14,0))</f>
        <v>9</v>
      </c>
      <c r="X29" s="56">
        <v>46226</v>
      </c>
      <c r="Y29" s="56">
        <v>46500</v>
      </c>
      <c r="Z29" s="54" t="s">
        <v>497</v>
      </c>
      <c r="AA29" s="54" t="str">
        <f>IF(B29="","",VLOOKUP(AD29,Varsayımlar!$B:$Q,15,0))</f>
        <v>25cm Kırmızı Koli-Üretim Tarihli Etiketli</v>
      </c>
      <c r="AB29" s="54">
        <f>IF(B29="","",VLOOKUP(AD29,Varsayımlar!$B:$Q,16,0))</f>
        <v>0</v>
      </c>
      <c r="AC29" s="8" t="e">
        <f>IF(B29="","",VLOOKUP(#REF!,#REF!,18,0))</f>
        <v>#REF!</v>
      </c>
      <c r="AD29" s="8" t="str">
        <f t="shared" si="1"/>
        <v xml:space="preserve">GermesTortillas Ispanaklı 25cm 4pcs 250g </v>
      </c>
    </row>
    <row r="30" spans="1:31" ht="45.75" hidden="1" customHeight="1" x14ac:dyDescent="0.25">
      <c r="A30" s="8" t="s">
        <v>143</v>
      </c>
      <c r="B30" s="130" t="s">
        <v>119</v>
      </c>
      <c r="C30" s="131">
        <f>IF(B30="","",VLOOKUP(AD30,Varsayımlar!$B:$Q,3,0))</f>
        <v>8698829380698</v>
      </c>
      <c r="D30" s="131"/>
      <c r="E30" s="132" t="s">
        <v>120</v>
      </c>
      <c r="F30" s="130"/>
      <c r="G30" s="130"/>
      <c r="H30" s="130" t="str">
        <f>IF(B30="","",VLOOKUP(AD30,Varsayımlar!$B:$Q,5,0))</f>
        <v>Nimet 25 cm</v>
      </c>
      <c r="I30" s="130">
        <f>IF(B30="","",VLOOKUP(AD30,Varsayımlar!B:T,19,0))</f>
        <v>0</v>
      </c>
      <c r="J30" s="130" t="str">
        <f>IF(B30="","",VLOOKUP(AD30,Varsayımlar!$B:$Q,6,0))</f>
        <v>SADE</v>
      </c>
      <c r="K30" s="130">
        <v>5000</v>
      </c>
      <c r="L30" s="130"/>
      <c r="M30" s="130">
        <f>IFERROR(IF(B30="","",K30/VLOOKUP(AD30,Varsayımlar!B:R,17,0)),"")</f>
        <v>100</v>
      </c>
      <c r="N30" s="130"/>
      <c r="O30" s="130">
        <v>100</v>
      </c>
      <c r="P30" s="130">
        <f>IF(B30="","",VLOOKUP(AD30,Varsayımlar!$B:$Q,7,0)*K30)</f>
        <v>60000</v>
      </c>
      <c r="Q30" s="130">
        <f>IF(B30="","",VLOOKUP(AD30,Varsayımlar!$B:$Q,8,0))</f>
        <v>25</v>
      </c>
      <c r="R30" s="130" t="str">
        <f>IF(B30="","",VLOOKUP(AD30,Varsayımlar!$B:$Q,9,0))</f>
        <v>Standart</v>
      </c>
      <c r="S30" s="130">
        <f>IF(B30="","",VLOOKUP(AD30,Varsayımlar!$B:$Q,10,0))</f>
        <v>12</v>
      </c>
      <c r="T30" s="130">
        <f>IF(B30="","",VLOOKUP(AD30,Varsayımlar!$B:$Q,11,0))</f>
        <v>12</v>
      </c>
      <c r="U30" s="130">
        <f>IF(B30="","",VLOOKUP(AD30,Varsayımlar!$B:$Q,12,0))</f>
        <v>840</v>
      </c>
      <c r="V30" s="130" t="str">
        <f>IF(B30="","",VLOOKUP(AD30,Varsayımlar!$B:$Q,13,0))</f>
        <v>YURTİÇİ</v>
      </c>
      <c r="W30" s="130">
        <f>IF(B30="","",VLOOKUP(AD30,Varsayımlar!$B:$Q,14,0))</f>
        <v>5</v>
      </c>
      <c r="X30" s="133" t="s">
        <v>113</v>
      </c>
      <c r="Y30" s="133" t="s">
        <v>113</v>
      </c>
      <c r="Z30" s="130" t="s">
        <v>113</v>
      </c>
      <c r="AA30" s="130" t="str">
        <f>IF(B30="","",VLOOKUP(AD30,Varsayımlar!$B:$Q,15,0))</f>
        <v>Nimet Kolisi</v>
      </c>
      <c r="AB30" s="130" t="str">
        <f>IF(B30="","",VLOOKUP(AD30,Varsayımlar!$B:$Q,16,0))</f>
        <v>24-26 CM</v>
      </c>
      <c r="AC30" s="64" t="s">
        <v>360</v>
      </c>
      <c r="AD30" s="57" t="str">
        <f>IF(B30="","",CONCATENATE(B30,E30))</f>
        <v>A101Nimet 25cm 12 pcs 840g</v>
      </c>
    </row>
    <row r="31" spans="1:31" ht="36" hidden="1" customHeight="1" x14ac:dyDescent="0.25">
      <c r="A31" s="8" t="s">
        <v>144</v>
      </c>
      <c r="B31" s="149" t="s">
        <v>500</v>
      </c>
      <c r="C31" s="149">
        <f>IF(B31="","",VLOOKUP(AD31,Varsayımlar!$B:$Q,3,0))</f>
        <v>8698829380698</v>
      </c>
      <c r="D31" s="149"/>
      <c r="E31" s="149" t="s">
        <v>501</v>
      </c>
      <c r="F31" s="149">
        <v>26062201</v>
      </c>
      <c r="G31" s="149"/>
      <c r="H31" s="149" t="str">
        <f>IF(B31="","",VLOOKUP(AD31,Varsayımlar!$B:$Q,5,0))</f>
        <v>Tortillas 33cm</v>
      </c>
      <c r="I31" s="149">
        <f>IF(B31="","",VLOOKUP(AD31,Varsayımlar!B:T,19,0))</f>
        <v>0</v>
      </c>
      <c r="J31" s="149" t="str">
        <f>IF(B31="","",VLOOKUP(AD31,Varsayımlar!$B:$Q,6,0))</f>
        <v>Sade</v>
      </c>
      <c r="K31" s="149">
        <v>100</v>
      </c>
      <c r="L31" s="149" t="s">
        <v>528</v>
      </c>
      <c r="M31" s="149">
        <f>IFERROR(IF(B31="","",K31/VLOOKUP(AD31,Varsayımlar!B:R,17,0)),"")</f>
        <v>2</v>
      </c>
      <c r="N31" s="149"/>
      <c r="O31" s="149">
        <v>2</v>
      </c>
      <c r="P31" s="149">
        <f>IF(B31="","",VLOOKUP(AD31,Varsayımlar!$B:$Q,7,0)*K31)</f>
        <v>1200</v>
      </c>
      <c r="Q31" s="149">
        <f>IF(B31="","",VLOOKUP(AD31,Varsayımlar!$B:$Q,8,0))</f>
        <v>33</v>
      </c>
      <c r="R31" s="149" t="str">
        <f>IF(B31="","",VLOOKUP(AD31,Varsayımlar!$B:$Q,9,0))</f>
        <v>Irak Soft</v>
      </c>
      <c r="S31" s="149">
        <f>IF(B31="","",VLOOKUP(AD31,Varsayımlar!$B:$Q,10,0))</f>
        <v>10</v>
      </c>
      <c r="T31" s="149">
        <f>IF(B31="","",VLOOKUP(AD31,Varsayımlar!$B:$Q,11,0))</f>
        <v>12</v>
      </c>
      <c r="U31" s="149">
        <f>IF(B31="","",VLOOKUP(AD31,Varsayımlar!$B:$Q,12,0))</f>
        <v>1000</v>
      </c>
      <c r="V31" s="149" t="str">
        <f>IF(B31="","",VLOOKUP(AD31,Varsayımlar!$B:$Q,13,0))</f>
        <v>Yurtdışı</v>
      </c>
      <c r="W31" s="149">
        <f>IF(B31="","",VLOOKUP(AD31,Varsayımlar!$B:$Q,14,0))</f>
        <v>12</v>
      </c>
      <c r="X31" s="151">
        <v>46231</v>
      </c>
      <c r="Y31" s="151">
        <v>46596</v>
      </c>
      <c r="Z31" s="149">
        <v>26072833</v>
      </c>
      <c r="AA31" s="149" t="str">
        <f>IF(B31="","",VLOOKUP(AD31,Varsayımlar!$B:$Q,15,0))</f>
        <v>33cm Kolisi</v>
      </c>
      <c r="AB31" s="149" t="str">
        <f>IF(B31="","",VLOOKUP(AD31,Varsayımlar!$B:$Q,16,0))</f>
        <v>32-34 cm</v>
      </c>
      <c r="AC31" s="67" t="e">
        <f>IF(B31="","",VLOOKUP(#REF!,#REF!,18,0))</f>
        <v>#REF!</v>
      </c>
      <c r="AD31" s="57" t="str">
        <f t="shared" si="1"/>
        <v>Fama GroupTortillas 33cm 10pcs 1000g</v>
      </c>
    </row>
    <row r="32" spans="1:31" ht="49.5" hidden="1" customHeight="1" x14ac:dyDescent="0.25">
      <c r="A32" s="8" t="s">
        <v>145</v>
      </c>
      <c r="B32" s="152" t="s">
        <v>518</v>
      </c>
      <c r="C32" s="153">
        <f>IF(B32="","",VLOOKUP(AD32,Varsayımlar!$B:$Q,3,0))</f>
        <v>8698829380698</v>
      </c>
      <c r="D32" s="154"/>
      <c r="E32" s="156" t="s">
        <v>501</v>
      </c>
      <c r="F32" s="152">
        <v>26062302</v>
      </c>
      <c r="G32" s="152"/>
      <c r="H32" s="152" t="str">
        <f>IF(B32="","",VLOOKUP(AD32,Varsayımlar!$B:$Q,5,0))</f>
        <v>Tortillas 33cm</v>
      </c>
      <c r="I32" s="152">
        <f>IF(B32="","",VLOOKUP(AD32,Varsayımlar!B:T,19,0))</f>
        <v>0</v>
      </c>
      <c r="J32" s="152" t="str">
        <f>IF(B32="","",VLOOKUP(AD32,Varsayımlar!$B:$Q,6,0))</f>
        <v>Sade</v>
      </c>
      <c r="K32" s="152">
        <v>25</v>
      </c>
      <c r="L32" s="152"/>
      <c r="M32" s="152">
        <f>IFERROR(IF(B32="","",K32/VLOOKUP(AD32,Varsayımlar!B:R,17,0)),"")</f>
        <v>0.5</v>
      </c>
      <c r="N32" s="152"/>
      <c r="O32" s="152">
        <v>1</v>
      </c>
      <c r="P32" s="152">
        <f>IF(B32="","",VLOOKUP(AD32,Varsayımlar!$B:$Q,7,0)*K32)</f>
        <v>300</v>
      </c>
      <c r="Q32" s="152">
        <f>IF(B32="","",VLOOKUP(AD32,Varsayımlar!$B:$Q,8,0))</f>
        <v>33</v>
      </c>
      <c r="R32" s="152" t="str">
        <f>IF(B32="","",VLOOKUP(AD32,Varsayımlar!$B:$Q,9,0))</f>
        <v>Irak Soft</v>
      </c>
      <c r="S32" s="152">
        <f>IF(B32="","",VLOOKUP(AD32,Varsayımlar!$B:$Q,10,0))</f>
        <v>10</v>
      </c>
      <c r="T32" s="152">
        <f>IF(B32="","",VLOOKUP(AD32,Varsayımlar!$B:$Q,11,0))</f>
        <v>12</v>
      </c>
      <c r="U32" s="152">
        <f>IF(B32="","",VLOOKUP(AD32,Varsayımlar!$B:$Q,12,0))</f>
        <v>1000</v>
      </c>
      <c r="V32" s="152" t="str">
        <f>IF(B32="","",VLOOKUP(AD32,Varsayımlar!$B:$Q,13,0))</f>
        <v>Yurtiçi</v>
      </c>
      <c r="W32" s="152">
        <f>IF(B32="","",VLOOKUP(AD32,Varsayımlar!$B:$Q,14,0))</f>
        <v>6</v>
      </c>
      <c r="X32" s="155">
        <v>46231</v>
      </c>
      <c r="Y32" s="155">
        <v>46415</v>
      </c>
      <c r="Z32" s="152">
        <v>26072833</v>
      </c>
      <c r="AA32" s="152" t="str">
        <f>IF(B32="","",VLOOKUP(AD32,Varsayımlar!$B:$Q,15,0))</f>
        <v>33cm Kolisi</v>
      </c>
      <c r="AB32" s="152" t="str">
        <f>IF(B32="","",VLOOKUP(AD32,Varsayımlar!$B:$Q,16,0))</f>
        <v>32-34cm</v>
      </c>
      <c r="AC32" s="8" t="e">
        <f>IF(B32="","",VLOOKUP(#REF!,#REF!,18,0))</f>
        <v>#REF!</v>
      </c>
      <c r="AD32" s="8" t="str">
        <f t="shared" si="1"/>
        <v>Yusuf KöseTortillas 33cm 10pcs 1000g</v>
      </c>
    </row>
    <row r="33" spans="1:30" ht="49.5" hidden="1" customHeight="1" x14ac:dyDescent="0.25">
      <c r="A33" s="8" t="s">
        <v>146</v>
      </c>
      <c r="B33" s="152" t="s">
        <v>518</v>
      </c>
      <c r="C33" s="153">
        <f>IF(B33="","",VLOOKUP(AD33,Varsayımlar!$B:$Q,3,0))</f>
        <v>8698829380698</v>
      </c>
      <c r="D33" s="154"/>
      <c r="E33" s="152" t="s">
        <v>520</v>
      </c>
      <c r="F33" s="152">
        <v>26062302</v>
      </c>
      <c r="G33" s="152"/>
      <c r="H33" s="152" t="str">
        <f>IF(B33="","",VLOOKUP(AD33,Varsayımlar!$B:$Q,5,0))</f>
        <v>Tortillas 30cm</v>
      </c>
      <c r="I33" s="152">
        <f>IF(B33="","",VLOOKUP(AD33,Varsayımlar!B:T,19,0))</f>
        <v>0</v>
      </c>
      <c r="J33" s="152" t="str">
        <f>IF(B33="","",VLOOKUP(AD33,Varsayımlar!$B:$Q,6,0))</f>
        <v>Sade</v>
      </c>
      <c r="K33" s="152">
        <v>15</v>
      </c>
      <c r="L33" s="152"/>
      <c r="M33" s="152">
        <f>IFERROR(IF(B33="","",K33/VLOOKUP(AD33,Varsayımlar!B:R,17,0)),"")</f>
        <v>0.3</v>
      </c>
      <c r="N33" s="152"/>
      <c r="O33" s="152">
        <v>0</v>
      </c>
      <c r="P33" s="152">
        <f>IF(B33="","",VLOOKUP(AD33,Varsayımlar!$B:$Q,7,0)*K33)</f>
        <v>180</v>
      </c>
      <c r="Q33" s="152">
        <f>IF(B33="","",VLOOKUP(AD33,Varsayımlar!$B:$Q,8,0))</f>
        <v>30</v>
      </c>
      <c r="R33" s="152" t="str">
        <f>IF(B33="","",VLOOKUP(AD33,Varsayımlar!$B:$Q,9,0))</f>
        <v>Irak Soft</v>
      </c>
      <c r="S33" s="152">
        <f>IF(B33="","",VLOOKUP(AD33,Varsayımlar!$B:$Q,10,0))</f>
        <v>10</v>
      </c>
      <c r="T33" s="152">
        <f>IF(B33="","",VLOOKUP(AD33,Varsayımlar!$B:$Q,11,0))</f>
        <v>12</v>
      </c>
      <c r="U33" s="152">
        <f>IF(B33="","",VLOOKUP(AD33,Varsayımlar!$B:$Q,12,0))</f>
        <v>950</v>
      </c>
      <c r="V33" s="152" t="str">
        <f>IF(B33="","",VLOOKUP(AD33,Varsayımlar!$B:$Q,13,0))</f>
        <v>Yurtiçi</v>
      </c>
      <c r="W33" s="152">
        <f>IF(B33="","",VLOOKUP(AD33,Varsayımlar!$B:$Q,14,0))</f>
        <v>6</v>
      </c>
      <c r="X33" s="155">
        <v>46231</v>
      </c>
      <c r="Y33" s="155">
        <v>46415</v>
      </c>
      <c r="Z33" s="152">
        <v>26072830</v>
      </c>
      <c r="AA33" s="152" t="str">
        <f>IF(B33="","",VLOOKUP(AD33,Varsayımlar!$B:$Q,15,0))</f>
        <v>30cm Kolisi</v>
      </c>
      <c r="AB33" s="152" t="str">
        <f>IF(B33="","",VLOOKUP(AD33,Varsayımlar!$B:$Q,16,0))</f>
        <v>29-31cm</v>
      </c>
      <c r="AC33" s="8" t="e">
        <f>IF(B33="","",VLOOKUP(#REF!,#REF!,18,0))</f>
        <v>#REF!</v>
      </c>
      <c r="AD33" s="8" t="str">
        <f t="shared" si="1"/>
        <v>Yusuf KöseTortillas 30cm 10pcs 950g</v>
      </c>
    </row>
    <row r="34" spans="1:30" ht="36" hidden="1" customHeight="1" x14ac:dyDescent="0.25">
      <c r="A34" s="8" t="s">
        <v>147</v>
      </c>
      <c r="B34" s="149" t="s">
        <v>500</v>
      </c>
      <c r="C34" s="149">
        <f>IF(B34="","",VLOOKUP(AD34,Varsayımlar!$B:$Q,3,0))</f>
        <v>8698829380698</v>
      </c>
      <c r="D34" s="149"/>
      <c r="E34" s="149" t="s">
        <v>509</v>
      </c>
      <c r="F34" s="149">
        <v>26062201</v>
      </c>
      <c r="G34" s="149"/>
      <c r="H34" s="149" t="str">
        <f>IF(B34="","",VLOOKUP(AD34,Varsayımlar!$B:$Q,5,0))</f>
        <v xml:space="preserve">Tortillas 30cm </v>
      </c>
      <c r="I34" s="149">
        <f>IF(B34="","",VLOOKUP(AD34,Varsayımlar!B:T,19,0))</f>
        <v>0</v>
      </c>
      <c r="J34" s="149" t="str">
        <f>IF(B34="","",VLOOKUP(AD34,Varsayımlar!$B:$Q,6,0))</f>
        <v>Sade</v>
      </c>
      <c r="K34" s="149">
        <v>250</v>
      </c>
      <c r="L34" s="149"/>
      <c r="M34" s="149">
        <f>IFERROR(IF(B34="","",K34/VLOOKUP(AD34,Varsayımlar!B:R,17,0)),"")</f>
        <v>5</v>
      </c>
      <c r="N34" s="149"/>
      <c r="O34" s="149">
        <v>5</v>
      </c>
      <c r="P34" s="149">
        <f>IF(B34="","",VLOOKUP(AD34,Varsayımlar!$B:$Q,7,0)*K34)</f>
        <v>3000</v>
      </c>
      <c r="Q34" s="149">
        <f>IF(B34="","",VLOOKUP(AD34,Varsayımlar!$B:$Q,8,0))</f>
        <v>30</v>
      </c>
      <c r="R34" s="149" t="str">
        <f>IF(B34="","",VLOOKUP(AD34,Varsayımlar!$B:$Q,9,0))</f>
        <v>Irak Soft</v>
      </c>
      <c r="S34" s="149">
        <f>IF(B34="","",VLOOKUP(AD34,Varsayımlar!$B:$Q,10,0))</f>
        <v>10</v>
      </c>
      <c r="T34" s="149">
        <f>IF(B34="","",VLOOKUP(AD34,Varsayımlar!$B:$Q,11,0))</f>
        <v>12</v>
      </c>
      <c r="U34" s="149">
        <f>IF(B34="","",VLOOKUP(AD34,Varsayımlar!$B:$Q,12,0))</f>
        <v>850</v>
      </c>
      <c r="V34" s="149" t="str">
        <f>IF(B34="","",VLOOKUP(AD34,Varsayımlar!$B:$Q,13,0))</f>
        <v>Yurtdışı</v>
      </c>
      <c r="W34" s="149">
        <f>IF(B34="","",VLOOKUP(AD34,Varsayımlar!$B:$Q,14,0))</f>
        <v>12</v>
      </c>
      <c r="X34" s="151">
        <v>46231</v>
      </c>
      <c r="Y34" s="151">
        <v>46596</v>
      </c>
      <c r="Z34" s="149">
        <v>26072830</v>
      </c>
      <c r="AA34" s="151" t="str">
        <f>IF(B34="","",VLOOKUP(AD34,Varsayımlar!$B:$Q,15,0))</f>
        <v>30 cm Kolisi</v>
      </c>
      <c r="AB34" s="151" t="str">
        <f>IF(B34="","",VLOOKUP(AD34,Varsayımlar!$B:$Q,16,0))</f>
        <v>29-31 cm</v>
      </c>
      <c r="AC34" s="67" t="e">
        <f>IF(B34="","",VLOOKUP(#REF!,#REF!,18,0))</f>
        <v>#REF!</v>
      </c>
      <c r="AD34" s="57" t="str">
        <f t="shared" si="1"/>
        <v>Fama GroupTortillas 30cm 10pcs 850g</v>
      </c>
    </row>
    <row r="35" spans="1:30" ht="36" hidden="1" customHeight="1" x14ac:dyDescent="0.25">
      <c r="A35" s="8" t="s">
        <v>148</v>
      </c>
      <c r="B35" s="149" t="s">
        <v>500</v>
      </c>
      <c r="C35" s="149">
        <f>IF(B35="","",VLOOKUP(AD35,Varsayımlar!$B:$Q,3,0))</f>
        <v>8698829380698</v>
      </c>
      <c r="D35" s="149"/>
      <c r="E35" s="149" t="s">
        <v>512</v>
      </c>
      <c r="F35" s="149">
        <v>26062201</v>
      </c>
      <c r="G35" s="149"/>
      <c r="H35" s="149" t="str">
        <f>IF(B35="","",VLOOKUP(AD35,Varsayımlar!$B:$Q,5,0))</f>
        <v>Tortillas 20cm</v>
      </c>
      <c r="I35" s="149">
        <f>IF(B35="","",VLOOKUP(AD35,Varsayımlar!B:T,19,0))</f>
        <v>0</v>
      </c>
      <c r="J35" s="149" t="str">
        <f>IF(B35="","",VLOOKUP(AD35,Varsayımlar!$B:$Q,6,0))</f>
        <v>Sade</v>
      </c>
      <c r="K35" s="149">
        <v>50</v>
      </c>
      <c r="L35" s="149"/>
      <c r="M35" s="149">
        <f>IFERROR(IF(B35="","",K35/VLOOKUP(AD35,Varsayımlar!B:R,17,0)),"")</f>
        <v>1</v>
      </c>
      <c r="N35" s="149"/>
      <c r="O35" s="149">
        <v>1</v>
      </c>
      <c r="P35" s="149">
        <f>IF(B35="","",VLOOKUP(AD35,Varsayımlar!$B:$Q,7,0)*K35)</f>
        <v>600</v>
      </c>
      <c r="Q35" s="149">
        <f>IF(B35="","",VLOOKUP(AD35,Varsayımlar!$B:$Q,8,0))</f>
        <v>20</v>
      </c>
      <c r="R35" s="149" t="str">
        <f>IF(B35="","",VLOOKUP(AD35,Varsayımlar!$B:$Q,9,0))</f>
        <v>Irak Soft</v>
      </c>
      <c r="S35" s="149">
        <f>IF(B35="","",VLOOKUP(AD35,Varsayımlar!$B:$Q,10,0))</f>
        <v>10</v>
      </c>
      <c r="T35" s="149">
        <f>IF(B35="","",VLOOKUP(AD35,Varsayımlar!$B:$Q,11,0))</f>
        <v>12</v>
      </c>
      <c r="U35" s="149">
        <f>IF(B35="","",VLOOKUP(AD35,Varsayımlar!$B:$Q,12,0))</f>
        <v>450</v>
      </c>
      <c r="V35" s="149" t="str">
        <f>IF(B35="","",VLOOKUP(AD35,Varsayımlar!$B:$Q,13,0))</f>
        <v>Yurtdışı</v>
      </c>
      <c r="W35" s="149">
        <f>IF(B35="","",VLOOKUP(AD35,Varsayımlar!$B:$Q,14,0))</f>
        <v>12</v>
      </c>
      <c r="X35" s="151">
        <v>46231</v>
      </c>
      <c r="Y35" s="151">
        <v>46596</v>
      </c>
      <c r="Z35" s="149">
        <v>26072820</v>
      </c>
      <c r="AA35" s="151" t="str">
        <f>IF(B35="","",VLOOKUP(AD35,Varsayımlar!$B:$Q,15,0))</f>
        <v>20cm Siyah Koli</v>
      </c>
      <c r="AB35" s="151" t="str">
        <f>IF(B35="","",VLOOKUP(AD35,Varsayımlar!$B:$Q,16,0))</f>
        <v>19-21cm</v>
      </c>
      <c r="AC35" s="67" t="e">
        <f>IF(B35="","",VLOOKUP(#REF!,#REF!,18,0))</f>
        <v>#REF!</v>
      </c>
      <c r="AD35" s="57" t="str">
        <f t="shared" si="1"/>
        <v>Fama GroupTortillas 20cm 10pcs 450g</v>
      </c>
    </row>
    <row r="36" spans="1:30" ht="36" hidden="1" customHeight="1" x14ac:dyDescent="0.25">
      <c r="A36" s="8" t="s">
        <v>149</v>
      </c>
      <c r="B36" s="149" t="s">
        <v>500</v>
      </c>
      <c r="C36" s="149">
        <f>IF(B36="","",VLOOKUP(AD36,Varsayımlar!$B:$Q,3,0))</f>
        <v>8698829380698</v>
      </c>
      <c r="D36" s="149"/>
      <c r="E36" s="149" t="s">
        <v>229</v>
      </c>
      <c r="F36" s="149">
        <v>26062201</v>
      </c>
      <c r="G36" s="149"/>
      <c r="H36" s="149" t="str">
        <f>IF(B36="","",VLOOKUP(AD36,Varsayımlar!$B:$Q,5,0))</f>
        <v>Tortillas 25cm Tam Buğday</v>
      </c>
      <c r="I36" s="149">
        <f>IF(B36="","",VLOOKUP(AD36,Varsayımlar!B:T,19,0))</f>
        <v>0</v>
      </c>
      <c r="J36" s="149" t="str">
        <f>IF(B36="","",VLOOKUP(AD36,Varsayımlar!$B:$Q,6,0))</f>
        <v>Tam Buğdaylı</v>
      </c>
      <c r="K36" s="149">
        <v>50</v>
      </c>
      <c r="L36" s="149"/>
      <c r="M36" s="149">
        <f>IFERROR(IF(B36="","",K36/VLOOKUP(AD36,Varsayımlar!B:R,17,0)),"")</f>
        <v>1</v>
      </c>
      <c r="N36" s="149"/>
      <c r="O36" s="149">
        <v>1</v>
      </c>
      <c r="P36" s="149">
        <f>IF(B36="","",VLOOKUP(AD36,Varsayımlar!$B:$Q,7,0)*K36)</f>
        <v>600</v>
      </c>
      <c r="Q36" s="149">
        <f>IF(B36="","",VLOOKUP(AD36,Varsayımlar!$B:$Q,8,0))</f>
        <v>25</v>
      </c>
      <c r="R36" s="149" t="str">
        <f>IF(B36="","",VLOOKUP(AD36,Varsayımlar!$B:$Q,9,0))</f>
        <v>Irak Soft</v>
      </c>
      <c r="S36" s="149">
        <f>IF(B36="","",VLOOKUP(AD36,Varsayımlar!$B:$Q,10,0))</f>
        <v>10</v>
      </c>
      <c r="T36" s="149">
        <f>IF(B36="","",VLOOKUP(AD36,Varsayımlar!$B:$Q,11,0))</f>
        <v>12</v>
      </c>
      <c r="U36" s="149">
        <f>IF(B36="","",VLOOKUP(AD36,Varsayımlar!$B:$Q,12,0))</f>
        <v>650</v>
      </c>
      <c r="V36" s="149" t="str">
        <f>IF(B36="","",VLOOKUP(AD36,Varsayımlar!$B:$Q,13,0))</f>
        <v>Yurtdışı</v>
      </c>
      <c r="W36" s="149">
        <f>IF(B36="","",VLOOKUP(AD36,Varsayımlar!$B:$Q,14,0))</f>
        <v>12</v>
      </c>
      <c r="X36" s="151">
        <v>46231</v>
      </c>
      <c r="Y36" s="151">
        <v>46596</v>
      </c>
      <c r="Z36" s="149" t="s">
        <v>525</v>
      </c>
      <c r="AA36" s="151" t="str">
        <f>IF(B36="","",VLOOKUP(AD36,Varsayımlar!$B:$Q,15,0))</f>
        <v>25cm Kolisi-Etiketli</v>
      </c>
      <c r="AB36" s="151" t="str">
        <f>IF(B36="","",VLOOKUP(AD36,Varsayımlar!$B:$Q,16,0))</f>
        <v>24-26 cm</v>
      </c>
      <c r="AC36" s="67" t="e">
        <f>IF(B36="","",VLOOKUP(#REF!,#REF!,18,0))</f>
        <v>#REF!</v>
      </c>
      <c r="AD36" s="57" t="str">
        <f t="shared" si="1"/>
        <v>Fama GroupTortillas 25cm Tam Buğday 10pcs 650g</v>
      </c>
    </row>
    <row r="37" spans="1:30" ht="32.25" hidden="1" customHeight="1" x14ac:dyDescent="0.25">
      <c r="A37" s="8" t="s">
        <v>150</v>
      </c>
      <c r="B37" s="67" t="s">
        <v>460</v>
      </c>
      <c r="C37" s="42">
        <f>IF(B37="","",VLOOKUP(AD37,Varsayımlar!$B:$Q,3,0))</f>
        <v>8698829380698</v>
      </c>
      <c r="D37" s="67" t="s">
        <v>539</v>
      </c>
      <c r="E37" s="67" t="s">
        <v>464</v>
      </c>
      <c r="F37" s="67">
        <v>20260626</v>
      </c>
      <c r="G37" s="67"/>
      <c r="H37" s="67" t="str">
        <f>IF(B37="","",VLOOKUP(AD37,Varsayımlar!$B:$Q,5,0))</f>
        <v>Tortillove 20cm</v>
      </c>
      <c r="I37" s="67">
        <f>IF(B37="","",VLOOKUP(AD37,Varsayımlar!B:T,19,0))</f>
        <v>0</v>
      </c>
      <c r="J37" s="67" t="str">
        <f>IF(B37="","",VLOOKUP(AD37,Varsayımlar!$B:$Q,6,0))</f>
        <v>SADE</v>
      </c>
      <c r="K37" s="67">
        <v>400</v>
      </c>
      <c r="L37" s="67"/>
      <c r="M37" s="67">
        <f>IFERROR(IF(B37="","",K37/VLOOKUP(AD37,Varsayımlar!B:R,17,0)),"")</f>
        <v>4</v>
      </c>
      <c r="N37" s="67"/>
      <c r="O37" s="67"/>
      <c r="P37" s="67">
        <f>IF(B37="","",VLOOKUP(AD37,Varsayımlar!$B:$Q,7,0)*K37)</f>
        <v>4800</v>
      </c>
      <c r="Q37" s="67">
        <f>IF(B37="","",VLOOKUP(AD37,Varsayımlar!$B:$Q,8,0))</f>
        <v>20</v>
      </c>
      <c r="R37" s="67" t="str">
        <f>IF(B37="","",VLOOKUP(AD37,Varsayımlar!$B:$Q,9,0))</f>
        <v>Irak Soft</v>
      </c>
      <c r="S37" s="67">
        <f>IF(B37="","",VLOOKUP(AD37,Varsayımlar!$B:$Q,10,0))</f>
        <v>10</v>
      </c>
      <c r="T37" s="67">
        <f>IF(B37="","",VLOOKUP(AD37,Varsayımlar!$B:$Q,11,0))</f>
        <v>12</v>
      </c>
      <c r="U37" s="67">
        <f>IF(B37="","",VLOOKUP(AD37,Varsayımlar!$B:$Q,12,0))</f>
        <v>450</v>
      </c>
      <c r="V37" s="67" t="str">
        <f>IF(B37="","",VLOOKUP(AD37,Varsayımlar!$B:$Q,13,0))</f>
        <v>Yurtdışı</v>
      </c>
      <c r="W37" s="67">
        <f>IF(B37="","",VLOOKUP(AD37,Varsayımlar!$B:$Q,14,0))</f>
        <v>6</v>
      </c>
      <c r="X37" s="69"/>
      <c r="Y37" s="69"/>
      <c r="Z37" s="67"/>
      <c r="AA37" s="67" t="str">
        <f>IF(B37="","",VLOOKUP(AD37,Varsayımlar!$B:$Q,15,0))</f>
        <v>20cm kolisi</v>
      </c>
      <c r="AB37" s="67" t="str">
        <f>IF(B37="","",VLOOKUP(AD37,Varsayımlar!$B:$Q,16,0))</f>
        <v>19-21 cm</v>
      </c>
      <c r="AC37" s="75">
        <f>IF(B37="","",VLOOKUP(Sayfa1!AD84,Varsayımlar!B:S,18,0))</f>
        <v>0</v>
      </c>
      <c r="AD37" s="57" t="str">
        <f t="shared" si="1"/>
        <v>Yüksekbaş GıdaYüksekbaş 20cm 10pcs 450g</v>
      </c>
    </row>
    <row r="38" spans="1:30" ht="32.25" hidden="1" customHeight="1" x14ac:dyDescent="0.25">
      <c r="A38" s="8" t="s">
        <v>151</v>
      </c>
      <c r="B38" s="67" t="s">
        <v>460</v>
      </c>
      <c r="C38" s="42">
        <f>IF(B38="","",VLOOKUP(AD38,Varsayımlar!$B:$Q,3,0))</f>
        <v>8698829380698</v>
      </c>
      <c r="D38" s="67" t="s">
        <v>539</v>
      </c>
      <c r="E38" s="67" t="s">
        <v>470</v>
      </c>
      <c r="F38" s="67">
        <v>20260626</v>
      </c>
      <c r="G38" s="67"/>
      <c r="H38" s="67" t="str">
        <f>IF(B38="","",VLOOKUP(AD38,Varsayımlar!$B:$Q,5,0))</f>
        <v>Tortillove 30cm</v>
      </c>
      <c r="I38" s="67">
        <f>IF(B38="","",VLOOKUP(AD38,Varsayımlar!B:T,19,0))</f>
        <v>0</v>
      </c>
      <c r="J38" s="67" t="str">
        <f>IF(B38="","",VLOOKUP(AD38,Varsayımlar!$B:$Q,6,0))</f>
        <v>SADE</v>
      </c>
      <c r="K38" s="67">
        <v>660</v>
      </c>
      <c r="L38" s="67"/>
      <c r="M38" s="67">
        <f>IFERROR(IF(B38="","",K38/VLOOKUP(AD38,Varsayımlar!B:R,17,0)),"")</f>
        <v>10</v>
      </c>
      <c r="N38" s="67"/>
      <c r="O38" s="67"/>
      <c r="P38" s="67">
        <f>IF(B38="","",VLOOKUP(AD38,Varsayımlar!$B:$Q,7,0)*K38)</f>
        <v>7920</v>
      </c>
      <c r="Q38" s="67">
        <f>IF(B38="","",VLOOKUP(AD38,Varsayımlar!$B:$Q,8,0))</f>
        <v>30</v>
      </c>
      <c r="R38" s="67" t="str">
        <f>IF(B38="","",VLOOKUP(AD38,Varsayımlar!$B:$Q,9,0))</f>
        <v>Irak Soft</v>
      </c>
      <c r="S38" s="67">
        <f>IF(B38="","",VLOOKUP(AD38,Varsayımlar!$B:$Q,10,0))</f>
        <v>10</v>
      </c>
      <c r="T38" s="67">
        <f>IF(B38="","",VLOOKUP(AD38,Varsayımlar!$B:$Q,11,0))</f>
        <v>12</v>
      </c>
      <c r="U38" s="67">
        <f>IF(B38="","",VLOOKUP(AD38,Varsayımlar!$B:$Q,12,0))</f>
        <v>950</v>
      </c>
      <c r="V38" s="67" t="str">
        <f>IF(B38="","",VLOOKUP(AD38,Varsayımlar!$B:$Q,13,0))</f>
        <v>Yurtdışı</v>
      </c>
      <c r="W38" s="67">
        <f>IF(B38="","",VLOOKUP(AD38,Varsayımlar!$B:$Q,14,0))</f>
        <v>6</v>
      </c>
      <c r="X38" s="69"/>
      <c r="Y38" s="69"/>
      <c r="Z38" s="67"/>
      <c r="AA38" s="67" t="str">
        <f>IF(B38="","",VLOOKUP(AD38,Varsayımlar!$B:$Q,15,0))</f>
        <v>30cm Kolisi</v>
      </c>
      <c r="AB38" s="67" t="str">
        <f>IF(B38="","",VLOOKUP(AD38,Varsayımlar!$B:$Q,16,0))</f>
        <v>29-31 cm</v>
      </c>
      <c r="AC38" s="75">
        <f>IF(B38="","",VLOOKUP(Sayfa1!AD84,Varsayımlar!B:S,18,0))</f>
        <v>0</v>
      </c>
      <c r="AD38" s="57" t="str">
        <f t="shared" si="1"/>
        <v>Yüksekbaş GıdaYüksekbaş 30cm 10pcs 950g</v>
      </c>
    </row>
    <row r="39" spans="1:30" ht="36" hidden="1" customHeight="1" x14ac:dyDescent="0.25">
      <c r="A39" s="8" t="s">
        <v>152</v>
      </c>
      <c r="B39" s="67"/>
      <c r="C39" s="42" t="str">
        <f>IF(B39="","",VLOOKUP(AD39,#REF!,3,0))</f>
        <v/>
      </c>
      <c r="D39" s="42"/>
      <c r="E39" s="42"/>
      <c r="F39" s="67"/>
      <c r="G39" s="67"/>
      <c r="H39" s="67" t="str">
        <f>IF(B39="","",VLOOKUP(AD39,#REF!,5,0))</f>
        <v/>
      </c>
      <c r="I39" s="67" t="str">
        <f>IF(B39="","",VLOOKUP(AD39,#REF!,19,0))</f>
        <v/>
      </c>
      <c r="J39" s="67" t="str">
        <f>IF(B39="","",VLOOKUP(AD39,#REF!,6,0))</f>
        <v/>
      </c>
      <c r="K39" s="67"/>
      <c r="L39" s="67"/>
      <c r="M39" s="67" t="str">
        <f>IFERROR(IF(B39="","",K39/VLOOKUP(AD39,Varsayımlar!B:R,17,0)),"")</f>
        <v/>
      </c>
      <c r="N39" s="67"/>
      <c r="O39" s="67"/>
      <c r="P39" s="67" t="str">
        <f>IF(B39="","",VLOOKUP(AD39,#REF!,7,0)*K39)</f>
        <v/>
      </c>
      <c r="Q39" s="67" t="str">
        <f>IF(B39="","",VLOOKUP(AD39,#REF!,8,0))</f>
        <v/>
      </c>
      <c r="R39" s="67" t="str">
        <f>IF(B39="","",VLOOKUP(AD39,#REF!,9,0))</f>
        <v/>
      </c>
      <c r="S39" s="67" t="str">
        <f>IF(B39="","",VLOOKUP(AD39,#REF!,10,0))</f>
        <v/>
      </c>
      <c r="T39" s="67" t="str">
        <f>IF(B39="","",VLOOKUP(AD39,#REF!,11,0))</f>
        <v/>
      </c>
      <c r="U39" s="67" t="str">
        <f>IF(B39="","",VLOOKUP(AD39,#REF!,12,0))</f>
        <v/>
      </c>
      <c r="V39" s="67" t="str">
        <f>IF(B39="","",VLOOKUP(AD39,#REF!,13,0))</f>
        <v/>
      </c>
      <c r="W39" s="67" t="str">
        <f>IF(B39="","",VLOOKUP(AD39,#REF!,14,0))</f>
        <v/>
      </c>
      <c r="X39" s="69"/>
      <c r="Y39" s="69"/>
      <c r="Z39" s="67"/>
      <c r="AA39" s="67" t="str">
        <f>IF(B39="","",VLOOKUP(AD39,#REF!,15,0))</f>
        <v/>
      </c>
      <c r="AB39" s="67" t="str">
        <f>IF(B39="","",VLOOKUP(AD39,#REF!,16,0))</f>
        <v/>
      </c>
      <c r="AC39" s="145"/>
      <c r="AD39" s="57"/>
    </row>
    <row r="40" spans="1:30" ht="36" hidden="1" customHeight="1" x14ac:dyDescent="0.25">
      <c r="A40" s="8" t="s">
        <v>153</v>
      </c>
      <c r="B40" s="67"/>
      <c r="C40" s="42" t="str">
        <f>IF(B40="","",VLOOKUP(AD40,#REF!,3,0))</f>
        <v/>
      </c>
      <c r="D40" s="42"/>
      <c r="E40" s="42"/>
      <c r="F40" s="67"/>
      <c r="G40" s="67"/>
      <c r="H40" s="67" t="str">
        <f>IF(B40="","",VLOOKUP(AD40,#REF!,5,0))</f>
        <v/>
      </c>
      <c r="I40" s="67" t="str">
        <f>IF(B40="","",VLOOKUP(AD40,#REF!,19,0))</f>
        <v/>
      </c>
      <c r="J40" s="67" t="str">
        <f>IF(B40="","",VLOOKUP(AD40,#REF!,6,0))</f>
        <v/>
      </c>
      <c r="K40" s="67"/>
      <c r="L40" s="67"/>
      <c r="M40" s="67" t="str">
        <f>IFERROR(IF(B40="","",K40/VLOOKUP(AD40,Varsayımlar!B:R,17,0)),"")</f>
        <v/>
      </c>
      <c r="N40" s="67"/>
      <c r="O40" s="67"/>
      <c r="P40" s="67" t="str">
        <f>IF(B40="","",VLOOKUP(AD40,#REF!,7,0)*K40)</f>
        <v/>
      </c>
      <c r="Q40" s="67" t="str">
        <f>IF(B40="","",VLOOKUP(AD40,#REF!,8,0))</f>
        <v/>
      </c>
      <c r="R40" s="67" t="str">
        <f>IF(B40="","",VLOOKUP(AD40,#REF!,9,0))</f>
        <v/>
      </c>
      <c r="S40" s="67" t="str">
        <f>IF(B40="","",VLOOKUP(AD40,#REF!,10,0))</f>
        <v/>
      </c>
      <c r="T40" s="67" t="str">
        <f>IF(B40="","",VLOOKUP(AD40,#REF!,11,0))</f>
        <v/>
      </c>
      <c r="U40" s="67" t="str">
        <f>IF(B40="","",VLOOKUP(AD40,#REF!,12,0))</f>
        <v/>
      </c>
      <c r="V40" s="67" t="str">
        <f>IF(B40="","",VLOOKUP(AD40,#REF!,13,0))</f>
        <v/>
      </c>
      <c r="W40" s="67" t="str">
        <f>IF(B40="","",VLOOKUP(AD40,#REF!,14,0))</f>
        <v/>
      </c>
      <c r="X40" s="69"/>
      <c r="Y40" s="69"/>
      <c r="Z40" s="67"/>
      <c r="AA40" s="67" t="str">
        <f>IF(B40="","",VLOOKUP(AD40,#REF!,15,0))</f>
        <v/>
      </c>
      <c r="AB40" s="67" t="str">
        <f>IF(B40="","",VLOOKUP(AD40,#REF!,16,0))</f>
        <v/>
      </c>
      <c r="AC40" s="145"/>
      <c r="AD40" s="57"/>
    </row>
    <row r="41" spans="1:30" ht="36" hidden="1" customHeight="1" x14ac:dyDescent="0.25">
      <c r="A41" s="8" t="s">
        <v>154</v>
      </c>
      <c r="B41" s="67"/>
      <c r="C41" s="42" t="str">
        <f>IF(B41="","",VLOOKUP(AD41,#REF!,3,0))</f>
        <v/>
      </c>
      <c r="D41" s="42"/>
      <c r="E41" s="42"/>
      <c r="F41" s="67"/>
      <c r="G41" s="67"/>
      <c r="H41" s="67" t="str">
        <f>IF(B41="","",VLOOKUP(AD41,#REF!,5,0))</f>
        <v/>
      </c>
      <c r="I41" s="67" t="str">
        <f>IF(B41="","",VLOOKUP(AD41,#REF!,19,0))</f>
        <v/>
      </c>
      <c r="J41" s="67" t="str">
        <f>IF(B41="","",VLOOKUP(AD41,#REF!,6,0))</f>
        <v/>
      </c>
      <c r="K41" s="67"/>
      <c r="L41" s="67"/>
      <c r="M41" s="67" t="str">
        <f>IFERROR(IF(B41="","",K41/VLOOKUP(AD41,Varsayımlar!B:R,17,0)),"")</f>
        <v/>
      </c>
      <c r="N41" s="67"/>
      <c r="O41" s="67"/>
      <c r="P41" s="67" t="str">
        <f>IF(B41="","",VLOOKUP(AD41,#REF!,7,0)*K41)</f>
        <v/>
      </c>
      <c r="Q41" s="67" t="str">
        <f>IF(B41="","",VLOOKUP(AD41,#REF!,8,0))</f>
        <v/>
      </c>
      <c r="R41" s="67" t="str">
        <f>IF(B41="","",VLOOKUP(AD41,#REF!,9,0))</f>
        <v/>
      </c>
      <c r="S41" s="67" t="str">
        <f>IF(B41="","",VLOOKUP(AD41,#REF!,10,0))</f>
        <v/>
      </c>
      <c r="T41" s="67" t="str">
        <f>IF(B41="","",VLOOKUP(AD41,#REF!,11,0))</f>
        <v/>
      </c>
      <c r="U41" s="67" t="str">
        <f>IF(B41="","",VLOOKUP(AD41,#REF!,12,0))</f>
        <v/>
      </c>
      <c r="V41" s="67" t="str">
        <f>IF(B41="","",VLOOKUP(AD41,#REF!,13,0))</f>
        <v/>
      </c>
      <c r="W41" s="67" t="str">
        <f>IF(B41="","",VLOOKUP(AD41,#REF!,14,0))</f>
        <v/>
      </c>
      <c r="X41" s="69"/>
      <c r="Y41" s="69"/>
      <c r="Z41" s="67"/>
      <c r="AA41" s="67" t="str">
        <f>IF(B41="","",VLOOKUP(AD41,#REF!,15,0))</f>
        <v/>
      </c>
      <c r="AB41" s="67" t="str">
        <f>IF(B41="","",VLOOKUP(AD41,#REF!,16,0))</f>
        <v/>
      </c>
      <c r="AC41" s="145"/>
      <c r="AD41" s="57"/>
    </row>
    <row r="42" spans="1:30" ht="36" hidden="1" customHeight="1" x14ac:dyDescent="0.25">
      <c r="A42" s="8" t="s">
        <v>155</v>
      </c>
      <c r="B42" s="67"/>
      <c r="C42" s="42" t="str">
        <f>IF(B42="","",VLOOKUP(AD42,#REF!,3,0))</f>
        <v/>
      </c>
      <c r="D42" s="42"/>
      <c r="E42" s="42"/>
      <c r="F42" s="67"/>
      <c r="G42" s="67"/>
      <c r="H42" s="67" t="str">
        <f>IF(B42="","",VLOOKUP(AD42,#REF!,5,0))</f>
        <v/>
      </c>
      <c r="I42" s="67" t="str">
        <f>IF(B42="","",VLOOKUP(AD42,#REF!,19,0))</f>
        <v/>
      </c>
      <c r="J42" s="67" t="str">
        <f>IF(B42="","",VLOOKUP(AD42,#REF!,6,0))</f>
        <v/>
      </c>
      <c r="K42" s="67"/>
      <c r="L42" s="67"/>
      <c r="M42" s="67" t="str">
        <f>IFERROR(IF(B42="","",K42/VLOOKUP(AD42,Varsayımlar!B:R,17,0)),"")</f>
        <v/>
      </c>
      <c r="N42" s="67"/>
      <c r="O42" s="67"/>
      <c r="P42" s="67" t="str">
        <f>IF(B42="","",VLOOKUP(AD42,#REF!,7,0)*K42)</f>
        <v/>
      </c>
      <c r="Q42" s="67" t="str">
        <f>IF(B42="","",VLOOKUP(AD42,#REF!,8,0))</f>
        <v/>
      </c>
      <c r="R42" s="67" t="str">
        <f>IF(B42="","",VLOOKUP(AD42,#REF!,9,0))</f>
        <v/>
      </c>
      <c r="S42" s="67" t="str">
        <f>IF(B42="","",VLOOKUP(AD42,#REF!,10,0))</f>
        <v/>
      </c>
      <c r="T42" s="67" t="str">
        <f>IF(B42="","",VLOOKUP(AD42,#REF!,11,0))</f>
        <v/>
      </c>
      <c r="U42" s="67" t="str">
        <f>IF(B42="","",VLOOKUP(AD42,#REF!,12,0))</f>
        <v/>
      </c>
      <c r="V42" s="67" t="str">
        <f>IF(B42="","",VLOOKUP(AD42,#REF!,13,0))</f>
        <v/>
      </c>
      <c r="W42" s="67" t="str">
        <f>IF(B42="","",VLOOKUP(AD42,#REF!,14,0))</f>
        <v/>
      </c>
      <c r="X42" s="69"/>
      <c r="Y42" s="69"/>
      <c r="Z42" s="67"/>
      <c r="AA42" s="67" t="str">
        <f>IF(B42="","",VLOOKUP(AD42,#REF!,15,0))</f>
        <v/>
      </c>
      <c r="AB42" s="67" t="str">
        <f>IF(B42="","",VLOOKUP(AD42,#REF!,16,0))</f>
        <v/>
      </c>
      <c r="AC42" s="145"/>
      <c r="AD42" s="57"/>
    </row>
    <row r="43" spans="1:30" x14ac:dyDescent="0.25">
      <c r="A43" s="134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6"/>
      <c r="Y43" s="136"/>
      <c r="Z43" s="135"/>
      <c r="AA43" s="135"/>
      <c r="AB43" s="137"/>
      <c r="AC43" s="138"/>
      <c r="AD43" s="57"/>
    </row>
    <row r="44" spans="1:30" ht="31.5" customHeight="1" x14ac:dyDescent="0.25">
      <c r="A44" s="182" t="s">
        <v>344</v>
      </c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4"/>
      <c r="AC44" s="38"/>
    </row>
    <row r="45" spans="1:30" ht="63" x14ac:dyDescent="0.25">
      <c r="A45" s="8" t="s">
        <v>0</v>
      </c>
      <c r="B45" s="8" t="s">
        <v>1</v>
      </c>
      <c r="C45" s="9" t="s">
        <v>31</v>
      </c>
      <c r="D45" s="9" t="s">
        <v>124</v>
      </c>
      <c r="E45" s="9" t="s">
        <v>36</v>
      </c>
      <c r="F45" s="8" t="s">
        <v>37</v>
      </c>
      <c r="G45" s="8" t="s">
        <v>13</v>
      </c>
      <c r="H45" s="8" t="s">
        <v>2</v>
      </c>
      <c r="I45" s="8" t="s">
        <v>49</v>
      </c>
      <c r="J45" s="8" t="s">
        <v>3</v>
      </c>
      <c r="K45" s="8" t="s">
        <v>21</v>
      </c>
      <c r="L45" s="8" t="s">
        <v>94</v>
      </c>
      <c r="M45" s="8" t="s">
        <v>20</v>
      </c>
      <c r="N45" s="8" t="s">
        <v>165</v>
      </c>
      <c r="O45" s="8" t="s">
        <v>123</v>
      </c>
      <c r="P45" s="8" t="s">
        <v>16</v>
      </c>
      <c r="Q45" s="8" t="s">
        <v>4</v>
      </c>
      <c r="R45" s="8" t="s">
        <v>5</v>
      </c>
      <c r="S45" s="8" t="s">
        <v>6</v>
      </c>
      <c r="T45" s="8" t="s">
        <v>28</v>
      </c>
      <c r="U45" s="8" t="s">
        <v>7</v>
      </c>
      <c r="V45" s="8" t="s">
        <v>8</v>
      </c>
      <c r="W45" s="8" t="s">
        <v>267</v>
      </c>
      <c r="X45" s="8" t="s">
        <v>10</v>
      </c>
      <c r="Y45" s="8" t="s">
        <v>11</v>
      </c>
      <c r="Z45" s="8" t="s">
        <v>12</v>
      </c>
      <c r="AA45" s="8" t="s">
        <v>14</v>
      </c>
      <c r="AB45" s="8" t="s">
        <v>15</v>
      </c>
      <c r="AC45" s="8" t="s">
        <v>208</v>
      </c>
      <c r="AD45" s="140" t="s">
        <v>41</v>
      </c>
    </row>
    <row r="46" spans="1:30" ht="44.25" customHeight="1" x14ac:dyDescent="0.25">
      <c r="A46" s="8" t="s">
        <v>26</v>
      </c>
      <c r="B46" s="80" t="s">
        <v>218</v>
      </c>
      <c r="C46" s="44">
        <f>IF(B46="","",VLOOKUP(AD46,Varsayımlar!$B:$Q,3,0))</f>
        <v>8698829380698</v>
      </c>
      <c r="D46" s="44" t="s">
        <v>160</v>
      </c>
      <c r="E46" s="80" t="s">
        <v>228</v>
      </c>
      <c r="F46" s="80">
        <v>26042907</v>
      </c>
      <c r="G46" s="44"/>
      <c r="H46" s="80" t="str">
        <f>IF(B46="","",VLOOKUP(AD46,Varsayımlar!$B:$Q,5,0))</f>
        <v>Tortillas Avrupa 25cm (698)</v>
      </c>
      <c r="I46" s="80">
        <f>IF(B46="","",VLOOKUP(AD46,Varsayımlar!B:T,19,0))</f>
        <v>0</v>
      </c>
      <c r="J46" s="80" t="str">
        <f>IF(B46="","",VLOOKUP(AD46,Varsayımlar!$B:$Q,6,0))</f>
        <v>SADE</v>
      </c>
      <c r="K46" s="80">
        <v>720</v>
      </c>
      <c r="L46" s="80"/>
      <c r="M46" s="80">
        <f>IFERROR(IF(B46="","",K46/VLOOKUP(AD46,Varsayımlar!B:R,17,0)),"")</f>
        <v>6</v>
      </c>
      <c r="N46" s="80"/>
      <c r="O46" s="80">
        <v>7</v>
      </c>
      <c r="P46" s="80">
        <f>IF(B46="","",VLOOKUP(AD46,Varsayımlar!$B:$Q,7,0)*K46)</f>
        <v>5760</v>
      </c>
      <c r="Q46" s="80">
        <f>IF(B46="","",VLOOKUP(AD46,Varsayımlar!$B:$Q,8,0))</f>
        <v>25</v>
      </c>
      <c r="R46" s="80" t="str">
        <f>IF(B46="","",VLOOKUP(AD46,Varsayımlar!$B:$Q,9,0))</f>
        <v>Irak Soft</v>
      </c>
      <c r="S46" s="80">
        <f>IF(B46="","",VLOOKUP(AD46,Varsayımlar!$B:$Q,10,0))</f>
        <v>10</v>
      </c>
      <c r="T46" s="80">
        <f>IF(B46="","",VLOOKUP(AD46,Varsayımlar!$B:$Q,11,0))</f>
        <v>8</v>
      </c>
      <c r="U46" s="80">
        <f>IF(B46="","",VLOOKUP(AD46,Varsayımlar!$B:$Q,12,0))</f>
        <v>650</v>
      </c>
      <c r="V46" s="80" t="str">
        <f>IF(B46="","",VLOOKUP(AD46,Varsayımlar!$B:$Q,13,0))</f>
        <v>Yurtdışı</v>
      </c>
      <c r="W46" s="80">
        <f>IF(B46="","",VLOOKUP(AD46,Varsayımlar!$B:$Q,14,0))</f>
        <v>9</v>
      </c>
      <c r="X46" s="81">
        <v>46203</v>
      </c>
      <c r="Y46" s="81">
        <v>46476</v>
      </c>
      <c r="Z46" s="80">
        <v>26063025</v>
      </c>
      <c r="AA46" s="80" t="str">
        <f>IF(B46="","",VLOOKUP(AD46,Varsayımlar!$B:$Q,15,0))</f>
        <v>25cm Perforeli-Bulgarca etiket</v>
      </c>
      <c r="AB46" s="80" t="str">
        <f>IF(B46="","",VLOOKUP(AD46,Varsayımlar!$B:$Q,16,0))</f>
        <v>24-26 cm</v>
      </c>
      <c r="AC46" s="80" t="str">
        <f>IF(B46="","",VLOOKUP(Sayfa1!AD56,Varsayımlar!B:S,18,0))</f>
        <v>80x120cm -Epal+Epal</v>
      </c>
      <c r="AD46" s="57" t="str">
        <f t="shared" ref="AD46" si="3">IF(B46="","",CONCATENATE(B46,E46))</f>
        <v>TASTE LAND-BULGARİSTANTortillas 25cm Sade 10pcs 650g</v>
      </c>
    </row>
    <row r="47" spans="1:30" ht="47.25" x14ac:dyDescent="0.25">
      <c r="A47" s="8" t="s">
        <v>77</v>
      </c>
      <c r="B47" s="54" t="s">
        <v>268</v>
      </c>
      <c r="C47" s="39">
        <f>IF(B47="","",VLOOKUP(AD47,Varsayımlar!$B:$Q,3,0))</f>
        <v>8698829380698</v>
      </c>
      <c r="D47" s="39" t="s">
        <v>160</v>
      </c>
      <c r="E47" s="39" t="s">
        <v>284</v>
      </c>
      <c r="F47" s="54" t="s">
        <v>343</v>
      </c>
      <c r="G47" s="39" t="s">
        <v>68</v>
      </c>
      <c r="H47" s="54" t="str">
        <f>IF(B47="","",VLOOKUP(AD47,Varsayımlar!$B:$Q,5,0))</f>
        <v>Kırmızı Tortillas 25cm</v>
      </c>
      <c r="I47" s="54">
        <f>IF(B47="","",VLOOKUP(AD47,Varsayımlar!B:T,19,0))</f>
        <v>0</v>
      </c>
      <c r="J47" s="54" t="str">
        <f>IF(B47="","",VLOOKUP(AD47,Varsayımlar!$B:$Q,6,0))</f>
        <v>SADE</v>
      </c>
      <c r="K47" s="54">
        <v>420</v>
      </c>
      <c r="L47" s="54"/>
      <c r="M47" s="54">
        <f>IFERROR(IF(B47="","",K47/VLOOKUP(AD47,Varsayımlar!B:R,17,0)),"")</f>
        <v>5</v>
      </c>
      <c r="N47" s="54"/>
      <c r="O47" s="54">
        <v>7</v>
      </c>
      <c r="P47" s="54">
        <f>IF(B47="","",VLOOKUP(AD47,Varsayımlar!$B:$Q,7,0)*K47)</f>
        <v>12600</v>
      </c>
      <c r="Q47" s="54">
        <f>IF(B47="","",VLOOKUP(AD47,Varsayımlar!$B:$Q,8,0))</f>
        <v>25</v>
      </c>
      <c r="R47" s="54" t="str">
        <f>IF(B47="","",VLOOKUP(AD47,Varsayımlar!$B:$Q,9,0))</f>
        <v>Soft-PA3</v>
      </c>
      <c r="S47" s="54">
        <f>IF(B47="","",VLOOKUP(AD47,Varsayımlar!$B:$Q,10,0))</f>
        <v>4</v>
      </c>
      <c r="T47" s="54">
        <f>IF(B47="","",VLOOKUP(AD47,Varsayımlar!$B:$Q,11,0))</f>
        <v>30</v>
      </c>
      <c r="U47" s="54">
        <f>IF(B47="","",VLOOKUP(AD47,Varsayımlar!$B:$Q,12,0))</f>
        <v>240</v>
      </c>
      <c r="V47" s="54" t="str">
        <f>IF(B47="","",VLOOKUP(AD47,Varsayımlar!$B:$Q,13,0))</f>
        <v>Yurtdışı</v>
      </c>
      <c r="W47" s="54">
        <f>IF(B47="","",VLOOKUP(AD47,Varsayımlar!$B:$Q,14,0))</f>
        <v>12</v>
      </c>
      <c r="X47" s="56">
        <v>46205</v>
      </c>
      <c r="Y47" s="56">
        <v>46570</v>
      </c>
      <c r="Z47" s="54">
        <v>26070225</v>
      </c>
      <c r="AA47" s="54" t="str">
        <f>IF(B47="","",VLOOKUP(AD47,Varsayımlar!$B:$Q,15,0))</f>
        <v>25cm Kolisi-Etiketli</v>
      </c>
      <c r="AB47" s="54" t="str">
        <f>IF(B47="","",VLOOKUP(AD47,Varsayımlar!$B:$Q,16,0))</f>
        <v>24-26 cm (Macca Hetto Inkjet Uzun Tarih)</v>
      </c>
      <c r="AC47" s="54" t="str">
        <f>IF(B47="","",VLOOKUP(Sayfa1!AD35,Varsayımlar!B:S,18,0))</f>
        <v>80x120cm</v>
      </c>
      <c r="AD47" s="57" t="str">
        <f>IF(B47="","",CONCATENATE(B47,E47))</f>
        <v>LAIKYUZHN-BELARUSKırmızı Tortillas 25cm 4ps 240g</v>
      </c>
    </row>
    <row r="48" spans="1:30" ht="47.25" x14ac:dyDescent="0.25">
      <c r="A48" s="8" t="s">
        <v>78</v>
      </c>
      <c r="B48" s="130" t="s">
        <v>119</v>
      </c>
      <c r="C48" s="130">
        <f>IF(B48="","",VLOOKUP(AD48,Varsayımlar!$B:$Q,3,0))</f>
        <v>8698829380698</v>
      </c>
      <c r="D48" s="130"/>
      <c r="E48" s="130" t="s">
        <v>120</v>
      </c>
      <c r="F48" s="130"/>
      <c r="G48" s="130"/>
      <c r="H48" s="130" t="str">
        <f>IF(B48="","",VLOOKUP(AD48,Varsayımlar!$B:$Q,5,0))</f>
        <v>Nimet 25 cm</v>
      </c>
      <c r="I48" s="130"/>
      <c r="J48" s="130" t="str">
        <f>IF(B48="","",VLOOKUP(AD48,Varsayımlar!$B:$Q,6,0))</f>
        <v>SADE</v>
      </c>
      <c r="K48" s="130">
        <v>4000</v>
      </c>
      <c r="L48" s="130"/>
      <c r="M48" s="130">
        <f>IFERROR(IF(B48="","",K48/VLOOKUP(AD48,Varsayımlar!B:R,17,0)),"")</f>
        <v>80</v>
      </c>
      <c r="N48" s="130"/>
      <c r="O48" s="130">
        <v>60</v>
      </c>
      <c r="P48" s="130">
        <f>IF(B48="","",VLOOKUP(AD48,Varsayımlar!$B:$Q,7,0)*K48)</f>
        <v>48000</v>
      </c>
      <c r="Q48" s="130">
        <f>IF(B48="","",VLOOKUP(AD48,Varsayımlar!$B:$Q,8,0))</f>
        <v>25</v>
      </c>
      <c r="R48" s="130" t="str">
        <f>IF(B48="","",VLOOKUP(AD48,Varsayımlar!$B:$Q,9,0))</f>
        <v>Standart</v>
      </c>
      <c r="S48" s="130">
        <f>IF(B48="","",VLOOKUP(AD48,Varsayımlar!$B:$Q,10,0))</f>
        <v>12</v>
      </c>
      <c r="T48" s="130">
        <f>IF(B48="","",VLOOKUP(AD48,Varsayımlar!$B:$Q,11,0))</f>
        <v>12</v>
      </c>
      <c r="U48" s="130">
        <f>IF(B48="","",VLOOKUP(AD48,Varsayımlar!$B:$Q,12,0))</f>
        <v>840</v>
      </c>
      <c r="V48" s="130" t="str">
        <f>IF(B48="","",VLOOKUP(AD48,Varsayımlar!$B:$Q,13,0))</f>
        <v>YURTİÇİ</v>
      </c>
      <c r="W48" s="130">
        <f>IF(B48="","",VLOOKUP(AD48,Varsayımlar!$B:$Q,14,0))</f>
        <v>5</v>
      </c>
      <c r="X48" s="130" t="s">
        <v>113</v>
      </c>
      <c r="Y48" s="130" t="s">
        <v>113</v>
      </c>
      <c r="Z48" s="130" t="s">
        <v>113</v>
      </c>
      <c r="AA48" s="130" t="str">
        <f>IF(B48="","",VLOOKUP(AD48,Varsayımlar!$B:$Q,15,0))</f>
        <v>Nimet Kolisi</v>
      </c>
      <c r="AB48" s="130" t="str">
        <f>IF(B48="","",VLOOKUP(AD48,Varsayımlar!$B:$Q,16,0))</f>
        <v>24-26 CM</v>
      </c>
      <c r="AC48" s="64" t="s">
        <v>360</v>
      </c>
      <c r="AD48" s="57" t="str">
        <f t="shared" ref="AD48:AD60" si="4">IF(B48="","",CONCATENATE(B48,E48))</f>
        <v>A101Nimet 25cm 12 pcs 840g</v>
      </c>
    </row>
    <row r="49" spans="1:30" ht="51.75" customHeight="1" x14ac:dyDescent="0.25">
      <c r="A49" s="8" t="s">
        <v>79</v>
      </c>
      <c r="B49" s="75" t="s">
        <v>218</v>
      </c>
      <c r="C49" s="43">
        <f>IF(B49="","",VLOOKUP(AD49,Varsayımlar!$B:$Q,3,0))</f>
        <v>8698829380698</v>
      </c>
      <c r="D49" s="43" t="s">
        <v>161</v>
      </c>
      <c r="E49" s="75" t="s">
        <v>228</v>
      </c>
      <c r="F49" s="75" t="s">
        <v>561</v>
      </c>
      <c r="G49" s="43"/>
      <c r="H49" s="75" t="str">
        <f>IF(B49="","",VLOOKUP(AD49,Varsayımlar!$B:$Q,5,0))</f>
        <v>Tortillas Avrupa 25cm (698)</v>
      </c>
      <c r="I49" s="75">
        <f>IF(B49="","",VLOOKUP(AD49,Varsayımlar!B:T,19,0))</f>
        <v>0</v>
      </c>
      <c r="J49" s="75" t="str">
        <f>IF(B49="","",VLOOKUP(AD49,Varsayımlar!$B:$Q,6,0))</f>
        <v>SADE</v>
      </c>
      <c r="K49" s="75">
        <v>600</v>
      </c>
      <c r="L49" s="75"/>
      <c r="M49" s="75">
        <f>IFERROR(IF(B49="","",K49/VLOOKUP(AD49,Varsayımlar!B:R,17,0)),"")</f>
        <v>5</v>
      </c>
      <c r="N49" s="75"/>
      <c r="O49" s="75">
        <v>6</v>
      </c>
      <c r="P49" s="75">
        <f>IF(B49="","",VLOOKUP(AD49,Varsayımlar!$B:$Q,7,0)*K49)</f>
        <v>4800</v>
      </c>
      <c r="Q49" s="75">
        <f>IF(B49="","",VLOOKUP(AD49,Varsayımlar!$B:$Q,8,0))</f>
        <v>25</v>
      </c>
      <c r="R49" s="75" t="str">
        <f>IF(B49="","",VLOOKUP(AD49,Varsayımlar!$B:$Q,9,0))</f>
        <v>Irak Soft</v>
      </c>
      <c r="S49" s="75">
        <f>IF(B49="","",VLOOKUP(AD49,Varsayımlar!$B:$Q,10,0))</f>
        <v>10</v>
      </c>
      <c r="T49" s="75">
        <f>IF(B49="","",VLOOKUP(AD49,Varsayımlar!$B:$Q,11,0))</f>
        <v>8</v>
      </c>
      <c r="U49" s="75">
        <f>IF(B49="","",VLOOKUP(AD49,Varsayımlar!$B:$Q,12,0))</f>
        <v>650</v>
      </c>
      <c r="V49" s="75" t="str">
        <f>IF(B49="","",VLOOKUP(AD49,Varsayımlar!$B:$Q,13,0))</f>
        <v>Yurtdışı</v>
      </c>
      <c r="W49" s="75">
        <f>IF(B49="","",VLOOKUP(AD49,Varsayımlar!$B:$Q,14,0))</f>
        <v>9</v>
      </c>
      <c r="X49" s="76">
        <v>46213</v>
      </c>
      <c r="Y49" s="76">
        <v>46487</v>
      </c>
      <c r="Z49" s="75">
        <v>26071025</v>
      </c>
      <c r="AA49" s="75" t="str">
        <f>IF(B49="","",VLOOKUP(AD49,Varsayımlar!$B:$Q,15,0))</f>
        <v>25cm Perforeli-Bulgarca etiket</v>
      </c>
      <c r="AB49" s="75" t="str">
        <f>IF(B49="","",VLOOKUP(AD49,Varsayımlar!$B:$Q,16,0))</f>
        <v>24-26 cm</v>
      </c>
      <c r="AC49" s="75" t="str">
        <f>IF(B49="","",VLOOKUP(Sayfa1!AD61,Varsayımlar!B:S,18,0))</f>
        <v>80x120cm -Epal+Epal</v>
      </c>
      <c r="AD49" s="57" t="str">
        <f t="shared" si="4"/>
        <v>TASTE LAND-BULGARİSTANTortillas 25cm Sade 10pcs 650g</v>
      </c>
    </row>
    <row r="50" spans="1:30" ht="44.25" customHeight="1" x14ac:dyDescent="0.25">
      <c r="A50" s="8" t="s">
        <v>80</v>
      </c>
      <c r="B50" s="67" t="s">
        <v>460</v>
      </c>
      <c r="C50" s="42">
        <f>IF(B50="","",VLOOKUP(AD50,Varsayımlar!$B:$Q,3,0))</f>
        <v>8698829380698</v>
      </c>
      <c r="D50" s="67" t="s">
        <v>540</v>
      </c>
      <c r="E50" s="67" t="s">
        <v>468</v>
      </c>
      <c r="F50" s="67">
        <v>20260414</v>
      </c>
      <c r="G50" s="67"/>
      <c r="H50" s="67" t="str">
        <f>IF(B50="","",VLOOKUP(AD50,Varsayımlar!$B:$Q,5,0))</f>
        <v>Tortillove 25cm</v>
      </c>
      <c r="I50" s="67">
        <f>IF(B50="","",VLOOKUP(AD50,Varsayımlar!B:T,19,0))</f>
        <v>0</v>
      </c>
      <c r="J50" s="67" t="str">
        <f>IF(B50="","",VLOOKUP(AD50,Varsayımlar!$B:$Q,6,0))</f>
        <v>SADE</v>
      </c>
      <c r="K50" s="67">
        <v>100</v>
      </c>
      <c r="L50" s="67"/>
      <c r="M50" s="67">
        <f>IFERROR(IF(B50="","",K50/VLOOKUP(AD50,Varsayımlar!B:R,17,0)),"")</f>
        <v>1</v>
      </c>
      <c r="N50" s="67"/>
      <c r="O50" s="67">
        <v>2</v>
      </c>
      <c r="P50" s="67">
        <f>IF(B50="","",VLOOKUP(AD50,Varsayımlar!$B:$Q,7,0)*K50)</f>
        <v>1200</v>
      </c>
      <c r="Q50" s="67">
        <f>IF(B50="","",VLOOKUP(AD50,Varsayımlar!$B:$Q,8,0))</f>
        <v>25</v>
      </c>
      <c r="R50" s="67" t="str">
        <f>IF(B50="","",VLOOKUP(AD50,Varsayımlar!$B:$Q,9,0))</f>
        <v>Irak Soft</v>
      </c>
      <c r="S50" s="67">
        <f>IF(B50="","",VLOOKUP(AD50,Varsayımlar!$B:$Q,10,0))</f>
        <v>10</v>
      </c>
      <c r="T50" s="67">
        <f>IF(B50="","",VLOOKUP(AD50,Varsayımlar!$B:$Q,11,0))</f>
        <v>12</v>
      </c>
      <c r="U50" s="67">
        <f>IF(B50="","",VLOOKUP(AD50,Varsayımlar!$B:$Q,12,0))</f>
        <v>650</v>
      </c>
      <c r="V50" s="67" t="str">
        <f>IF(B50="","",VLOOKUP(AD50,Varsayımlar!$B:$Q,13,0))</f>
        <v>Yurtdışı</v>
      </c>
      <c r="W50" s="67">
        <f>IF(B50="","",VLOOKUP(AD50,Varsayımlar!$B:$Q,14,0))</f>
        <v>6</v>
      </c>
      <c r="X50" s="69">
        <v>46216</v>
      </c>
      <c r="Y50" s="69">
        <v>46400</v>
      </c>
      <c r="Z50" s="67">
        <v>26071325</v>
      </c>
      <c r="AA50" s="67" t="str">
        <f>IF(B50="","",VLOOKUP(AD50,Varsayımlar!$B:$Q,15,0))</f>
        <v>25cm Kırmızı Koli</v>
      </c>
      <c r="AB50" s="67" t="str">
        <f>IF(B50="","",VLOOKUP(AD50,Varsayımlar!$B:$Q,16,0))</f>
        <v>24-26 cm</v>
      </c>
      <c r="AC50" s="75" t="str">
        <f>IF(B50="","",VLOOKUP(Sayfa1!AD64,Varsayımlar!B:S,18,0))</f>
        <v>80x120cm -Epal+Epal</v>
      </c>
      <c r="AD50" s="57" t="str">
        <f t="shared" si="4"/>
        <v>Yüksekbaş GıdaYüksekbaş 25cm 10pcs 650g</v>
      </c>
    </row>
    <row r="51" spans="1:30" ht="44.25" customHeight="1" x14ac:dyDescent="0.25">
      <c r="A51" s="8" t="s">
        <v>81</v>
      </c>
      <c r="B51" s="42" t="s">
        <v>460</v>
      </c>
      <c r="C51" s="42">
        <f>IF(B51="","",VLOOKUP(AD51,Varsayımlar!$B:$Q,3,0))</f>
        <v>8698829380698</v>
      </c>
      <c r="D51" s="42" t="s">
        <v>540</v>
      </c>
      <c r="E51" s="42" t="s">
        <v>471</v>
      </c>
      <c r="F51" s="42">
        <v>20260414</v>
      </c>
      <c r="G51" s="42"/>
      <c r="H51" s="42" t="str">
        <f>IF(B51="","",VLOOKUP(AD51,Varsayımlar!$B:$Q,5,0))</f>
        <v>Tortillove Tam Buğday 25cm</v>
      </c>
      <c r="I51" s="42">
        <f>IF(B51="","",VLOOKUP(AD51,Varsayımlar!B:T,19,0))</f>
        <v>0</v>
      </c>
      <c r="J51" s="42" t="str">
        <f>IF(B51="","",VLOOKUP(AD51,Varsayımlar!$B:$Q,6,0))</f>
        <v>Tam Buğdaylı</v>
      </c>
      <c r="K51" s="42">
        <v>500</v>
      </c>
      <c r="L51" s="42"/>
      <c r="M51" s="42">
        <f>IFERROR(IF(B51="","",K51/VLOOKUP(AD51,Varsayımlar!B:R,17,0)),"")</f>
        <v>5</v>
      </c>
      <c r="N51" s="42"/>
      <c r="O51" s="42">
        <v>7</v>
      </c>
      <c r="P51" s="42">
        <f>IF(B51="","",VLOOKUP(AD51,Varsayımlar!$B:$Q,7,0)*K51)</f>
        <v>6000</v>
      </c>
      <c r="Q51" s="42">
        <f>IF(B51="","",VLOOKUP(AD51,Varsayımlar!$B:$Q,8,0))</f>
        <v>25</v>
      </c>
      <c r="R51" s="42" t="str">
        <f>IF(B51="","",VLOOKUP(AD51,Varsayımlar!$B:$Q,9,0))</f>
        <v>Irak Soft</v>
      </c>
      <c r="S51" s="42">
        <f>IF(B51="","",VLOOKUP(AD51,Varsayımlar!$B:$Q,10,0))</f>
        <v>10</v>
      </c>
      <c r="T51" s="42">
        <f>IF(B51="","",VLOOKUP(AD51,Varsayımlar!$B:$Q,11,0))</f>
        <v>12</v>
      </c>
      <c r="U51" s="42">
        <f>IF(B51="","",VLOOKUP(AD51,Varsayımlar!$B:$Q,12,0))</f>
        <v>650</v>
      </c>
      <c r="V51" s="42" t="str">
        <f>IF(B51="","",VLOOKUP(AD51,Varsayımlar!$B:$Q,13,0))</f>
        <v>Yurtdışı</v>
      </c>
      <c r="W51" s="42">
        <f>IF(B51="","",VLOOKUP(AD51,Varsayımlar!$B:$Q,14,0))</f>
        <v>6</v>
      </c>
      <c r="X51" s="69">
        <v>46216</v>
      </c>
      <c r="Y51" s="69">
        <v>46400</v>
      </c>
      <c r="Z51" s="42" t="s">
        <v>475</v>
      </c>
      <c r="AA51" s="42" t="str">
        <f>IF(B51="","",VLOOKUP(AD51,Varsayımlar!$B:$Q,15,0))</f>
        <v>25cm Kırmızı Koli-Etiketli</v>
      </c>
      <c r="AB51" s="42" t="str">
        <f>IF(B51="","",VLOOKUP(AD51,Varsayımlar!$B:$Q,16,0))</f>
        <v>24-26 cm</v>
      </c>
      <c r="AC51" s="75" t="str">
        <f>IF(B51="","",VLOOKUP(Sayfa1!AD64,Varsayımlar!B:S,18,0))</f>
        <v>80x120cm -Epal+Epal</v>
      </c>
      <c r="AD51" s="57" t="str">
        <f t="shared" si="4"/>
        <v>Yüksekbaş GıdaYüksekbaş TB 25cm 10pcs 650g</v>
      </c>
    </row>
    <row r="52" spans="1:30" ht="45.75" hidden="1" customHeight="1" x14ac:dyDescent="0.25">
      <c r="A52" s="8" t="s">
        <v>82</v>
      </c>
      <c r="B52" s="130" t="s">
        <v>119</v>
      </c>
      <c r="C52" s="131">
        <f>IF(B52="","",VLOOKUP(AD52,Varsayımlar!$B:$Q,3,0))</f>
        <v>8698829380698</v>
      </c>
      <c r="D52" s="131"/>
      <c r="E52" s="132" t="s">
        <v>120</v>
      </c>
      <c r="F52" s="130"/>
      <c r="G52" s="130"/>
      <c r="H52" s="130" t="str">
        <f>IF(B52="","",VLOOKUP(AD52,Varsayımlar!$B:$Q,5,0))</f>
        <v>Nimet 25 cm</v>
      </c>
      <c r="I52" s="130"/>
      <c r="J52" s="130" t="str">
        <f>IF(B52="","",VLOOKUP(AD52,Varsayımlar!$B:$Q,6,0))</f>
        <v>SADE</v>
      </c>
      <c r="K52" s="130">
        <v>4000</v>
      </c>
      <c r="L52" s="130"/>
      <c r="M52" s="130">
        <f>IFERROR(IF(B52="","",K52/VLOOKUP(AD52,Varsayımlar!B:R,17,0)),"")</f>
        <v>80</v>
      </c>
      <c r="N52" s="130"/>
      <c r="O52" s="130">
        <v>60</v>
      </c>
      <c r="P52" s="130">
        <f>IF(B52="","",VLOOKUP(AD52,Varsayımlar!$B:$Q,7,0)*K52)</f>
        <v>48000</v>
      </c>
      <c r="Q52" s="130">
        <f>IF(B52="","",VLOOKUP(AD52,Varsayımlar!$B:$Q,8,0))</f>
        <v>25</v>
      </c>
      <c r="R52" s="130" t="str">
        <f>IF(B52="","",VLOOKUP(AD52,Varsayımlar!$B:$Q,9,0))</f>
        <v>Standart</v>
      </c>
      <c r="S52" s="130">
        <f>IF(B52="","",VLOOKUP(AD52,Varsayımlar!$B:$Q,10,0))</f>
        <v>12</v>
      </c>
      <c r="T52" s="130">
        <f>IF(B52="","",VLOOKUP(AD52,Varsayımlar!$B:$Q,11,0))</f>
        <v>12</v>
      </c>
      <c r="U52" s="130">
        <f>IF(B52="","",VLOOKUP(AD52,Varsayımlar!$B:$Q,12,0))</f>
        <v>840</v>
      </c>
      <c r="V52" s="130" t="str">
        <f>IF(B52="","",VLOOKUP(AD52,Varsayımlar!$B:$Q,13,0))</f>
        <v>YURTİÇİ</v>
      </c>
      <c r="W52" s="130">
        <f>IF(B52="","",VLOOKUP(AD52,Varsayımlar!$B:$Q,14,0))</f>
        <v>5</v>
      </c>
      <c r="X52" s="133" t="s">
        <v>113</v>
      </c>
      <c r="Y52" s="133" t="s">
        <v>113</v>
      </c>
      <c r="Z52" s="130" t="s">
        <v>113</v>
      </c>
      <c r="AA52" s="130" t="str">
        <f>IF(B52="","",VLOOKUP(AD52,Varsayımlar!$B:$Q,15,0))</f>
        <v>Nimet Kolisi</v>
      </c>
      <c r="AB52" s="130" t="str">
        <f>IF(B52="","",VLOOKUP(AD52,Varsayımlar!$B:$Q,16,0))</f>
        <v>24-26 CM</v>
      </c>
      <c r="AC52" s="64" t="s">
        <v>360</v>
      </c>
      <c r="AD52" s="57" t="str">
        <f>IF(B52="","",CONCATENATE(B52,E52))</f>
        <v>A101Nimet 25cm 12 pcs 840g</v>
      </c>
    </row>
    <row r="53" spans="1:30" ht="31.5" hidden="1" x14ac:dyDescent="0.25">
      <c r="A53" s="8" t="s">
        <v>83</v>
      </c>
      <c r="B53" s="54" t="s">
        <v>346</v>
      </c>
      <c r="C53" s="39">
        <f>IF(B53="","",VLOOKUP(AD53,Varsayımlar!$B:$Q,3,0))</f>
        <v>8698829380698</v>
      </c>
      <c r="D53" s="39">
        <v>49</v>
      </c>
      <c r="E53" s="139" t="s">
        <v>58</v>
      </c>
      <c r="F53" s="54"/>
      <c r="G53" s="54"/>
      <c r="H53" s="54" t="str">
        <f>IF(B53="","",VLOOKUP(AD53,Varsayımlar!$B:$Q,5,0))</f>
        <v>KIRMIZI TORTİLLAS 25 CM</v>
      </c>
      <c r="I53" s="54" t="str">
        <f>IF(B53="","",VLOOKUP(AD53,Varsayımlar!B:T,19,0))</f>
        <v>BARKOD ETİKETİ</v>
      </c>
      <c r="J53" s="54" t="str">
        <f>IF(B53="","",VLOOKUP(AD53,Varsayımlar!$B:$Q,6,0))</f>
        <v>SADE</v>
      </c>
      <c r="K53" s="54">
        <v>504</v>
      </c>
      <c r="L53" s="54"/>
      <c r="M53" s="54">
        <f>IFERROR(IF(B53="","",K53/VLOOKUP(AD53,Varsayımlar!B:R,17,0)),"")</f>
        <v>6</v>
      </c>
      <c r="N53" s="54"/>
      <c r="O53" s="54">
        <v>6</v>
      </c>
      <c r="P53" s="54">
        <f>IF(B53="","",VLOOKUP(AD53,Varsayımlar!$B:$Q,7,0)*K53)</f>
        <v>9072</v>
      </c>
      <c r="Q53" s="54">
        <f>IF(B53="","",VLOOKUP(AD53,Varsayımlar!$B:$Q,8,0))</f>
        <v>25</v>
      </c>
      <c r="R53" s="54" t="str">
        <f>IF(B53="","",VLOOKUP(AD53,Varsayımlar!$B:$Q,9,0))</f>
        <v>IRAK SOFT</v>
      </c>
      <c r="S53" s="54">
        <f>IF(B53="","",VLOOKUP(AD53,Varsayımlar!$B:$Q,10,0))</f>
        <v>6</v>
      </c>
      <c r="T53" s="54">
        <f>IF(B53="","",VLOOKUP(AD53,Varsayımlar!$B:$Q,11,0))</f>
        <v>18</v>
      </c>
      <c r="U53" s="54">
        <f>IF(B53="","",VLOOKUP(AD53,Varsayımlar!$B:$Q,12,0))</f>
        <v>375</v>
      </c>
      <c r="V53" s="54" t="str">
        <f>IF(B53="","",VLOOKUP(AD53,Varsayımlar!$B:$Q,13,0))</f>
        <v>YURTDIŞI</v>
      </c>
      <c r="W53" s="54">
        <f>IF(B53="","",VLOOKUP(AD53,Varsayımlar!$B:$Q,14,0))</f>
        <v>9</v>
      </c>
      <c r="X53" s="56">
        <v>46226</v>
      </c>
      <c r="Y53" s="56">
        <v>46500</v>
      </c>
      <c r="Z53" s="54">
        <v>26072325</v>
      </c>
      <c r="AA53" s="54" t="str">
        <f>IF(B53="","",VLOOKUP(AD53,Varsayımlar!$B:$Q,15,0))</f>
        <v>KIRMIZI - ÜRETİM TARİHLİ ETİKET</v>
      </c>
      <c r="AB53" s="54" t="str">
        <f>IF(B53="","",VLOOKUP(AD53,Varsayımlar!$B:$Q,16,0))</f>
        <v>24-26 CM</v>
      </c>
      <c r="AC53" s="8" t="e">
        <f>IF(B53="","",VLOOKUP(#REF!,#REF!,18,0))</f>
        <v>#REF!</v>
      </c>
      <c r="AD53" s="8" t="str">
        <f>IF(B53="","",CONCATENATE(B53,E53))</f>
        <v>GermesKırmızı Tortillas-Germes-25cm 375g</v>
      </c>
    </row>
    <row r="54" spans="1:30" ht="36" hidden="1" customHeight="1" x14ac:dyDescent="0.25">
      <c r="A54" s="8" t="s">
        <v>84</v>
      </c>
      <c r="B54" s="149" t="s">
        <v>500</v>
      </c>
      <c r="C54" s="149">
        <f>IF(B54="","",VLOOKUP(AD54,Varsayımlar!$B:$Q,3,0))</f>
        <v>8698829380698</v>
      </c>
      <c r="D54" s="149"/>
      <c r="E54" s="149" t="s">
        <v>193</v>
      </c>
      <c r="F54" s="149">
        <v>26062201</v>
      </c>
      <c r="G54" s="149"/>
      <c r="H54" s="149" t="str">
        <f>IF(B54="","",VLOOKUP(AD54,Varsayımlar!$B:$Q,5,0))</f>
        <v>Tortillas 25cm</v>
      </c>
      <c r="I54" s="149">
        <f>IF(B54="","",VLOOKUP(AD54,Varsayımlar!B:T,19,0))</f>
        <v>0</v>
      </c>
      <c r="J54" s="149" t="str">
        <f>IF(B54="","",VLOOKUP(AD54,Varsayımlar!$B:$Q,6,0))</f>
        <v>Sade</v>
      </c>
      <c r="K54" s="149">
        <v>50</v>
      </c>
      <c r="L54" s="149"/>
      <c r="M54" s="149">
        <f>IFERROR(IF(B54="","",K54/VLOOKUP(AD54,Varsayımlar!B:R,17,0)),"")</f>
        <v>1</v>
      </c>
      <c r="N54" s="149"/>
      <c r="O54" s="149">
        <v>1</v>
      </c>
      <c r="P54" s="149">
        <f>IF(B54="","",VLOOKUP(AD54,Varsayımlar!$B:$Q,7,0)*K54)</f>
        <v>600</v>
      </c>
      <c r="Q54" s="149">
        <f>IF(B54="","",VLOOKUP(AD54,Varsayımlar!$B:$Q,8,0))</f>
        <v>25</v>
      </c>
      <c r="R54" s="149" t="str">
        <f>IF(B54="","",VLOOKUP(AD54,Varsayımlar!$B:$Q,9,0))</f>
        <v>Irak Soft</v>
      </c>
      <c r="S54" s="149">
        <f>IF(B54="","",VLOOKUP(AD54,Varsayımlar!$B:$Q,10,0))</f>
        <v>10</v>
      </c>
      <c r="T54" s="149">
        <f>IF(B54="","",VLOOKUP(AD54,Varsayımlar!$B:$Q,11,0))</f>
        <v>12</v>
      </c>
      <c r="U54" s="149">
        <f>IF(B54="","",VLOOKUP(AD54,Varsayımlar!$B:$Q,12,0))</f>
        <v>650</v>
      </c>
      <c r="V54" s="149" t="str">
        <f>IF(B54="","",VLOOKUP(AD54,Varsayımlar!$B:$Q,13,0))</f>
        <v>Yurtdışı</v>
      </c>
      <c r="W54" s="149">
        <f>IF(B54="","",VLOOKUP(AD54,Varsayımlar!$B:$Q,14,0))</f>
        <v>12</v>
      </c>
      <c r="X54" s="151">
        <v>46231</v>
      </c>
      <c r="Y54" s="151">
        <v>46596</v>
      </c>
      <c r="Z54" s="149">
        <v>26072825</v>
      </c>
      <c r="AA54" s="149" t="str">
        <f>IF(B54="","",VLOOKUP(AD54,Varsayımlar!$B:$Q,15,0))</f>
        <v>25cm Kolisi</v>
      </c>
      <c r="AB54" s="149" t="str">
        <f>IF(B54="","",VLOOKUP(AD54,Varsayımlar!$B:$Q,16,0))</f>
        <v>24-26cm</v>
      </c>
      <c r="AC54" s="67"/>
      <c r="AD54" s="57" t="str">
        <f t="shared" ref="AD54:AD56" si="5">IF(B54="","",CONCATENATE(B54,E54))</f>
        <v>Fama GroupTortillas 25cm 10pcs 650g</v>
      </c>
    </row>
    <row r="55" spans="1:30" ht="33.75" hidden="1" customHeight="1" x14ac:dyDescent="0.25">
      <c r="A55" s="8" t="s">
        <v>85</v>
      </c>
      <c r="B55" s="67" t="s">
        <v>460</v>
      </c>
      <c r="C55" s="42">
        <f>IF(B55="","",VLOOKUP(AD55,Varsayımlar!$B:$Q,3,0))</f>
        <v>8698829380698</v>
      </c>
      <c r="D55" s="67" t="s">
        <v>539</v>
      </c>
      <c r="E55" s="67" t="s">
        <v>468</v>
      </c>
      <c r="F55" s="67">
        <v>20260626</v>
      </c>
      <c r="G55" s="67"/>
      <c r="H55" s="67" t="str">
        <f>IF(B55="","",VLOOKUP(AD55,Varsayımlar!$B:$Q,5,0))</f>
        <v>Tortillove 25cm</v>
      </c>
      <c r="I55" s="67">
        <f>IF(B55="","",VLOOKUP(AD55,Varsayımlar!B:T,19,0))</f>
        <v>0</v>
      </c>
      <c r="J55" s="67" t="str">
        <f>IF(B55="","",VLOOKUP(AD55,Varsayımlar!$B:$Q,6,0))</f>
        <v>SADE</v>
      </c>
      <c r="K55" s="67">
        <v>100</v>
      </c>
      <c r="L55" s="67"/>
      <c r="M55" s="67">
        <f>IFERROR(IF(B55="","",K55/VLOOKUP(AD55,Varsayımlar!B:R,17,0)),"")</f>
        <v>1</v>
      </c>
      <c r="N55" s="67"/>
      <c r="O55" s="67">
        <v>2</v>
      </c>
      <c r="P55" s="67">
        <f>IF(B55="","",VLOOKUP(AD55,Varsayımlar!$B:$Q,7,0)*K55)</f>
        <v>1200</v>
      </c>
      <c r="Q55" s="67">
        <f>IF(B55="","",VLOOKUP(AD55,Varsayımlar!$B:$Q,8,0))</f>
        <v>25</v>
      </c>
      <c r="R55" s="67" t="str">
        <f>IF(B55="","",VLOOKUP(AD55,Varsayımlar!$B:$Q,9,0))</f>
        <v>Irak Soft</v>
      </c>
      <c r="S55" s="67">
        <f>IF(B55="","",VLOOKUP(AD55,Varsayımlar!$B:$Q,10,0))</f>
        <v>10</v>
      </c>
      <c r="T55" s="67">
        <f>IF(B55="","",VLOOKUP(AD55,Varsayımlar!$B:$Q,11,0))</f>
        <v>12</v>
      </c>
      <c r="U55" s="67">
        <f>IF(B55="","",VLOOKUP(AD55,Varsayımlar!$B:$Q,12,0))</f>
        <v>650</v>
      </c>
      <c r="V55" s="67" t="str">
        <f>IF(B55="","",VLOOKUP(AD55,Varsayımlar!$B:$Q,13,0))</f>
        <v>Yurtdışı</v>
      </c>
      <c r="W55" s="67">
        <f>IF(B55="","",VLOOKUP(AD55,Varsayımlar!$B:$Q,14,0))</f>
        <v>6</v>
      </c>
      <c r="X55" s="69"/>
      <c r="Y55" s="69"/>
      <c r="Z55" s="67"/>
      <c r="AA55" s="67" t="str">
        <f>IF(B55="","",VLOOKUP(AD55,Varsayımlar!$B:$Q,15,0))</f>
        <v>25cm Kırmızı Koli</v>
      </c>
      <c r="AB55" s="67" t="str">
        <f>IF(B55="","",VLOOKUP(AD55,Varsayımlar!$B:$Q,16,0))</f>
        <v>24-26 cm</v>
      </c>
      <c r="AC55" s="75">
        <f>IF(B55="","",VLOOKUP(Sayfa1!AD69,Varsayımlar!B:S,18,0))</f>
        <v>0</v>
      </c>
      <c r="AD55" s="57" t="str">
        <f t="shared" si="5"/>
        <v>Yüksekbaş GıdaYüksekbaş 25cm 10pcs 650g</v>
      </c>
    </row>
    <row r="56" spans="1:30" ht="31.5" hidden="1" x14ac:dyDescent="0.25">
      <c r="A56" s="8" t="s">
        <v>86</v>
      </c>
      <c r="B56" s="42" t="s">
        <v>460</v>
      </c>
      <c r="C56" s="42">
        <f>IF(B56="","",VLOOKUP(AD56,Varsayımlar!$B:$Q,3,0))</f>
        <v>8698829380698</v>
      </c>
      <c r="D56" s="42" t="s">
        <v>539</v>
      </c>
      <c r="E56" s="42" t="s">
        <v>471</v>
      </c>
      <c r="F56" s="42">
        <v>20260626</v>
      </c>
      <c r="G56" s="42"/>
      <c r="H56" s="42" t="str">
        <f>IF(B56="","",VLOOKUP(AD56,Varsayımlar!$B:$Q,5,0))</f>
        <v>Tortillove Tam Buğday 25cm</v>
      </c>
      <c r="I56" s="42">
        <f>IF(B56="","",VLOOKUP(AD56,Varsayımlar!B:T,19,0))</f>
        <v>0</v>
      </c>
      <c r="J56" s="42" t="str">
        <f>IF(B56="","",VLOOKUP(AD56,Varsayımlar!$B:$Q,6,0))</f>
        <v>Tam Buğdaylı</v>
      </c>
      <c r="K56" s="42">
        <v>500</v>
      </c>
      <c r="L56" s="42"/>
      <c r="M56" s="42">
        <f>IFERROR(IF(B56="","",K56/VLOOKUP(AD56,Varsayımlar!B:R,17,0)),"")</f>
        <v>5</v>
      </c>
      <c r="N56" s="42"/>
      <c r="O56" s="42">
        <v>7</v>
      </c>
      <c r="P56" s="42">
        <f>IF(B56="","",VLOOKUP(AD56,Varsayımlar!$B:$Q,7,0)*K56)</f>
        <v>6000</v>
      </c>
      <c r="Q56" s="42">
        <f>IF(B56="","",VLOOKUP(AD56,Varsayımlar!$B:$Q,8,0))</f>
        <v>25</v>
      </c>
      <c r="R56" s="42" t="str">
        <f>IF(B56="","",VLOOKUP(AD56,Varsayımlar!$B:$Q,9,0))</f>
        <v>Irak Soft</v>
      </c>
      <c r="S56" s="42">
        <f>IF(B56="","",VLOOKUP(AD56,Varsayımlar!$B:$Q,10,0))</f>
        <v>10</v>
      </c>
      <c r="T56" s="42">
        <f>IF(B56="","",VLOOKUP(AD56,Varsayımlar!$B:$Q,11,0))</f>
        <v>12</v>
      </c>
      <c r="U56" s="42">
        <f>IF(B56="","",VLOOKUP(AD56,Varsayımlar!$B:$Q,12,0))</f>
        <v>650</v>
      </c>
      <c r="V56" s="42" t="str">
        <f>IF(B56="","",VLOOKUP(AD56,Varsayımlar!$B:$Q,13,0))</f>
        <v>Yurtdışı</v>
      </c>
      <c r="W56" s="42">
        <f>IF(B56="","",VLOOKUP(AD56,Varsayımlar!$B:$Q,14,0))</f>
        <v>6</v>
      </c>
      <c r="X56" s="69"/>
      <c r="Y56" s="69"/>
      <c r="Z56" s="42"/>
      <c r="AA56" s="42" t="str">
        <f>IF(B56="","",VLOOKUP(AD56,Varsayımlar!$B:$Q,15,0))</f>
        <v>25cm Kırmızı Koli-Etiketli</v>
      </c>
      <c r="AB56" s="42" t="str">
        <f>IF(B56="","",VLOOKUP(AD56,Varsayımlar!$B:$Q,16,0))</f>
        <v>24-26 cm</v>
      </c>
      <c r="AC56" s="75">
        <f>IF(B56="","",VLOOKUP(Sayfa1!AD69,Varsayımlar!B:S,18,0))</f>
        <v>0</v>
      </c>
      <c r="AD56" s="57" t="str">
        <f t="shared" si="5"/>
        <v>Yüksekbaş GıdaYüksekbaş TB 25cm 10pcs 650g</v>
      </c>
    </row>
    <row r="57" spans="1:30" ht="36" hidden="1" customHeight="1" x14ac:dyDescent="0.25">
      <c r="A57" s="8" t="s">
        <v>87</v>
      </c>
      <c r="B57" s="67"/>
      <c r="C57" s="42" t="str">
        <f>IF(B57="","",VLOOKUP(AD57,#REF!,3,0))</f>
        <v/>
      </c>
      <c r="D57" s="42"/>
      <c r="E57" s="42"/>
      <c r="F57" s="67"/>
      <c r="G57" s="67"/>
      <c r="H57" s="67" t="str">
        <f>IF(B57="","",VLOOKUP(AD57,#REF!,5,0))</f>
        <v/>
      </c>
      <c r="I57" s="67" t="str">
        <f>IF(B57="","",VLOOKUP(AD57,#REF!,19,0))</f>
        <v/>
      </c>
      <c r="J57" s="67" t="str">
        <f>IF(B57="","",VLOOKUP(AD57,#REF!,6,0))</f>
        <v/>
      </c>
      <c r="K57" s="67"/>
      <c r="L57" s="67"/>
      <c r="M57" s="42" t="str">
        <f>IFERROR(IF(B57="","",K57/VLOOKUP(AD57,Varsayımlar!B:R,17,0)),"")</f>
        <v/>
      </c>
      <c r="N57" s="67"/>
      <c r="O57" s="67"/>
      <c r="P57" s="67" t="str">
        <f>IF(B57="","",VLOOKUP(AD57,#REF!,7,0)*K57)</f>
        <v/>
      </c>
      <c r="Q57" s="67" t="str">
        <f>IF(B57="","",VLOOKUP(AD57,#REF!,8,0))</f>
        <v/>
      </c>
      <c r="R57" s="67" t="str">
        <f>IF(B57="","",VLOOKUP(AD57,#REF!,9,0))</f>
        <v/>
      </c>
      <c r="S57" s="67" t="str">
        <f>IF(B57="","",VLOOKUP(AD57,#REF!,10,0))</f>
        <v/>
      </c>
      <c r="T57" s="67" t="str">
        <f>IF(B57="","",VLOOKUP(AD57,#REF!,11,0))</f>
        <v/>
      </c>
      <c r="U57" s="67" t="str">
        <f>IF(B57="","",VLOOKUP(AD57,#REF!,12,0))</f>
        <v/>
      </c>
      <c r="V57" s="67" t="str">
        <f>IF(B57="","",VLOOKUP(AD57,#REF!,13,0))</f>
        <v/>
      </c>
      <c r="W57" s="67" t="str">
        <f>IF(B57="","",VLOOKUP(AD57,#REF!,14,0))</f>
        <v/>
      </c>
      <c r="X57" s="69"/>
      <c r="Y57" s="69"/>
      <c r="Z57" s="67"/>
      <c r="AA57" s="67" t="str">
        <f>IF(B57="","",VLOOKUP(AD57,#REF!,15,0))</f>
        <v/>
      </c>
      <c r="AB57" s="67" t="str">
        <f>IF(B57="","",VLOOKUP(AD57,#REF!,16,0))</f>
        <v/>
      </c>
      <c r="AC57" s="145"/>
      <c r="AD57" s="57"/>
    </row>
    <row r="58" spans="1:30" ht="36" hidden="1" customHeight="1" x14ac:dyDescent="0.25">
      <c r="A58" s="8" t="s">
        <v>88</v>
      </c>
      <c r="B58" s="67"/>
      <c r="C58" s="42" t="str">
        <f>IF(B58="","",VLOOKUP(AD58,#REF!,3,0))</f>
        <v/>
      </c>
      <c r="D58" s="42"/>
      <c r="E58" s="42"/>
      <c r="F58" s="67"/>
      <c r="G58" s="67"/>
      <c r="H58" s="67" t="str">
        <f>IF(B58="","",VLOOKUP(AD58,#REF!,5,0))</f>
        <v/>
      </c>
      <c r="I58" s="67" t="str">
        <f>IF(B58="","",VLOOKUP(AD58,#REF!,19,0))</f>
        <v/>
      </c>
      <c r="J58" s="67" t="str">
        <f>IF(B58="","",VLOOKUP(AD58,#REF!,6,0))</f>
        <v/>
      </c>
      <c r="K58" s="67"/>
      <c r="L58" s="67"/>
      <c r="M58" s="42" t="str">
        <f>IFERROR(IF(B58="","",K58/VLOOKUP(AD58,Varsayımlar!B:R,17,0)),"")</f>
        <v/>
      </c>
      <c r="N58" s="67"/>
      <c r="O58" s="67"/>
      <c r="P58" s="67" t="str">
        <f>IF(B58="","",VLOOKUP(AD58,#REF!,7,0)*K58)</f>
        <v/>
      </c>
      <c r="Q58" s="67" t="str">
        <f>IF(B58="","",VLOOKUP(AD58,#REF!,8,0))</f>
        <v/>
      </c>
      <c r="R58" s="67" t="str">
        <f>IF(B58="","",VLOOKUP(AD58,#REF!,9,0))</f>
        <v/>
      </c>
      <c r="S58" s="67" t="str">
        <f>IF(B58="","",VLOOKUP(AD58,#REF!,10,0))</f>
        <v/>
      </c>
      <c r="T58" s="67" t="str">
        <f>IF(B58="","",VLOOKUP(AD58,#REF!,11,0))</f>
        <v/>
      </c>
      <c r="U58" s="67" t="str">
        <f>IF(B58="","",VLOOKUP(AD58,#REF!,12,0))</f>
        <v/>
      </c>
      <c r="V58" s="67" t="str">
        <f>IF(B58="","",VLOOKUP(AD58,#REF!,13,0))</f>
        <v/>
      </c>
      <c r="W58" s="67" t="str">
        <f>IF(B58="","",VLOOKUP(AD58,#REF!,14,0))</f>
        <v/>
      </c>
      <c r="X58" s="69"/>
      <c r="Y58" s="69"/>
      <c r="Z58" s="67"/>
      <c r="AA58" s="67" t="str">
        <f>IF(B58="","",VLOOKUP(AD58,#REF!,15,0))</f>
        <v/>
      </c>
      <c r="AB58" s="67" t="str">
        <f>IF(B58="","",VLOOKUP(AD58,#REF!,16,0))</f>
        <v/>
      </c>
      <c r="AC58" s="145"/>
      <c r="AD58" s="57"/>
    </row>
    <row r="59" spans="1:30" ht="36" hidden="1" customHeight="1" x14ac:dyDescent="0.25">
      <c r="A59" s="8" t="s">
        <v>89</v>
      </c>
      <c r="B59" s="67"/>
      <c r="C59" s="42" t="str">
        <f>IF(B59="","",VLOOKUP(AD59,#REF!,3,0))</f>
        <v/>
      </c>
      <c r="D59" s="42"/>
      <c r="E59" s="42"/>
      <c r="F59" s="67"/>
      <c r="G59" s="67"/>
      <c r="H59" s="67" t="str">
        <f>IF(B59="","",VLOOKUP(AD59,#REF!,5,0))</f>
        <v/>
      </c>
      <c r="I59" s="67" t="str">
        <f>IF(B59="","",VLOOKUP(AD59,#REF!,19,0))</f>
        <v/>
      </c>
      <c r="J59" s="67" t="str">
        <f>IF(B59="","",VLOOKUP(AD59,#REF!,6,0))</f>
        <v/>
      </c>
      <c r="K59" s="67"/>
      <c r="L59" s="67"/>
      <c r="M59" s="42" t="str">
        <f>IFERROR(IF(B59="","",K59/VLOOKUP(AD59,Varsayımlar!B:R,17,0)),"")</f>
        <v/>
      </c>
      <c r="N59" s="67"/>
      <c r="O59" s="67"/>
      <c r="P59" s="67" t="str">
        <f>IF(B59="","",VLOOKUP(AD59,#REF!,7,0)*K59)</f>
        <v/>
      </c>
      <c r="Q59" s="67" t="str">
        <f>IF(B59="","",VLOOKUP(AD59,#REF!,8,0))</f>
        <v/>
      </c>
      <c r="R59" s="67" t="str">
        <f>IF(B59="","",VLOOKUP(AD59,#REF!,9,0))</f>
        <v/>
      </c>
      <c r="S59" s="67" t="str">
        <f>IF(B59="","",VLOOKUP(AD59,#REF!,10,0))</f>
        <v/>
      </c>
      <c r="T59" s="67" t="str">
        <f>IF(B59="","",VLOOKUP(AD59,#REF!,11,0))</f>
        <v/>
      </c>
      <c r="U59" s="67" t="str">
        <f>IF(B59="","",VLOOKUP(AD59,#REF!,12,0))</f>
        <v/>
      </c>
      <c r="V59" s="67" t="str">
        <f>IF(B59="","",VLOOKUP(AD59,#REF!,13,0))</f>
        <v/>
      </c>
      <c r="W59" s="67" t="str">
        <f>IF(B59="","",VLOOKUP(AD59,#REF!,14,0))</f>
        <v/>
      </c>
      <c r="X59" s="69"/>
      <c r="Y59" s="69"/>
      <c r="Z59" s="67"/>
      <c r="AA59" s="67" t="str">
        <f>IF(B59="","",VLOOKUP(AD59,#REF!,15,0))</f>
        <v/>
      </c>
      <c r="AB59" s="67" t="str">
        <f>IF(B59="","",VLOOKUP(AD59,#REF!,16,0))</f>
        <v/>
      </c>
      <c r="AC59" s="145"/>
      <c r="AD59" s="57"/>
    </row>
    <row r="60" spans="1:30" x14ac:dyDescent="0.25">
      <c r="C60" s="141" t="str">
        <f>IF(B60="","",VLOOKUP(AD60,Varsayımlar!$B:$Q,3,0))</f>
        <v/>
      </c>
      <c r="H60" s="140" t="str">
        <f>IF(B60="","",VLOOKUP(AD60,Varsayımlar!$B:$Q,5,0))</f>
        <v/>
      </c>
      <c r="J60" s="140" t="str">
        <f>IF(B60="","",VLOOKUP(AD60,Varsayımlar!$B:$Q,6,0))</f>
        <v/>
      </c>
      <c r="P60" s="140" t="str">
        <f>IF(B60="","",VLOOKUP(AD60,Varsayımlar!$B:$Q,7,0)*K60)</f>
        <v/>
      </c>
      <c r="Q60" s="140" t="str">
        <f>IF(B60="","",VLOOKUP(AD60,Varsayımlar!$B:$Q,8,0))</f>
        <v/>
      </c>
      <c r="R60" s="140" t="str">
        <f>IF(B60="","",VLOOKUP(AD60,Varsayımlar!$B:$Q,9,0))</f>
        <v/>
      </c>
      <c r="S60" s="140" t="str">
        <f>IF(B60="","",VLOOKUP(AD60,Varsayımlar!$B:$Q,10,0))</f>
        <v/>
      </c>
      <c r="T60" s="140" t="str">
        <f>IF(B60="","",VLOOKUP(AD60,Varsayımlar!$B:$Q,11,0))</f>
        <v/>
      </c>
      <c r="U60" s="140" t="str">
        <f>IF(B60="","",VLOOKUP(AD60,Varsayımlar!$B:$Q,12,0))</f>
        <v/>
      </c>
      <c r="V60" s="140" t="str">
        <f>IF(B60="","",VLOOKUP(AD60,Varsayımlar!$B:$Q,13,0))</f>
        <v/>
      </c>
      <c r="W60" s="140" t="str">
        <f>IF(B60="","",VLOOKUP(AD60,Varsayımlar!$B:$Q,14,0))</f>
        <v/>
      </c>
      <c r="AA60" s="140" t="str">
        <f>IF(B60="","",VLOOKUP(AD60,Varsayımlar!$B:$Q,15,0))</f>
        <v/>
      </c>
      <c r="AB60" s="140" t="str">
        <f>IF(B60="","",VLOOKUP(AD60,Varsayımlar!$B:$Q,16,0))</f>
        <v/>
      </c>
      <c r="AD60" s="140" t="str">
        <f t="shared" si="4"/>
        <v/>
      </c>
    </row>
    <row r="61" spans="1:30" ht="31.5" customHeight="1" x14ac:dyDescent="0.25">
      <c r="A61" s="182" t="s">
        <v>345</v>
      </c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4"/>
      <c r="AC61" s="38"/>
    </row>
    <row r="62" spans="1:30" ht="63" x14ac:dyDescent="0.25">
      <c r="A62" s="8" t="s">
        <v>0</v>
      </c>
      <c r="B62" s="8" t="s">
        <v>1</v>
      </c>
      <c r="C62" s="9" t="s">
        <v>31</v>
      </c>
      <c r="D62" s="9" t="s">
        <v>124</v>
      </c>
      <c r="E62" s="9" t="s">
        <v>36</v>
      </c>
      <c r="F62" s="8" t="s">
        <v>37</v>
      </c>
      <c r="G62" s="8" t="s">
        <v>13</v>
      </c>
      <c r="H62" s="8" t="s">
        <v>2</v>
      </c>
      <c r="I62" s="8" t="s">
        <v>49</v>
      </c>
      <c r="J62" s="8" t="s">
        <v>3</v>
      </c>
      <c r="K62" s="8" t="s">
        <v>21</v>
      </c>
      <c r="L62" s="8" t="s">
        <v>94</v>
      </c>
      <c r="M62" s="8" t="s">
        <v>20</v>
      </c>
      <c r="N62" s="8" t="s">
        <v>165</v>
      </c>
      <c r="O62" s="8" t="s">
        <v>123</v>
      </c>
      <c r="P62" s="8" t="s">
        <v>16</v>
      </c>
      <c r="Q62" s="8" t="s">
        <v>4</v>
      </c>
      <c r="R62" s="8" t="s">
        <v>5</v>
      </c>
      <c r="S62" s="8" t="s">
        <v>6</v>
      </c>
      <c r="T62" s="8" t="s">
        <v>28</v>
      </c>
      <c r="U62" s="8" t="s">
        <v>7</v>
      </c>
      <c r="V62" s="8" t="s">
        <v>8</v>
      </c>
      <c r="W62" s="8" t="s">
        <v>9</v>
      </c>
      <c r="X62" s="8" t="s">
        <v>10</v>
      </c>
      <c r="Y62" s="8" t="s">
        <v>11</v>
      </c>
      <c r="Z62" s="8" t="s">
        <v>12</v>
      </c>
      <c r="AA62" s="8" t="s">
        <v>14</v>
      </c>
      <c r="AB62" s="8" t="s">
        <v>15</v>
      </c>
      <c r="AC62" s="8" t="s">
        <v>208</v>
      </c>
      <c r="AD62" s="140" t="s">
        <v>41</v>
      </c>
    </row>
    <row r="63" spans="1:30" ht="45.75" customHeight="1" x14ac:dyDescent="0.25">
      <c r="A63" s="8" t="s">
        <v>26</v>
      </c>
      <c r="B63" s="130" t="s">
        <v>119</v>
      </c>
      <c r="C63" s="131">
        <f>IF(B63="","",VLOOKUP(AD63,Varsayımlar!$B:$Q,3,0))</f>
        <v>8698829380698</v>
      </c>
      <c r="D63" s="131"/>
      <c r="E63" s="132" t="s">
        <v>120</v>
      </c>
      <c r="F63" s="130"/>
      <c r="G63" s="130"/>
      <c r="H63" s="130" t="str">
        <f>IF(B63="","",VLOOKUP(AD63,Varsayımlar!$B:$Q,5,0))</f>
        <v>Nimet 25 cm</v>
      </c>
      <c r="I63" s="130"/>
      <c r="J63" s="130" t="str">
        <f>IF(B63="","",VLOOKUP(AD63,Varsayımlar!$B:$Q,6,0))</f>
        <v>SADE</v>
      </c>
      <c r="K63" s="130">
        <v>1500</v>
      </c>
      <c r="L63" s="130"/>
      <c r="M63" s="130">
        <f>IFERROR(IF(B63="","",K63/VLOOKUP(AD63,Varsayımlar!B:R,17,0)),"")</f>
        <v>30</v>
      </c>
      <c r="N63" s="130"/>
      <c r="O63" s="130">
        <v>30</v>
      </c>
      <c r="P63" s="130">
        <f>IF(B63="","",VLOOKUP(AD63,Varsayımlar!$B:$Q,7,0)*K63)</f>
        <v>18000</v>
      </c>
      <c r="Q63" s="130">
        <f>IF(B63="","",VLOOKUP(AD63,Varsayımlar!$B:$Q,8,0))</f>
        <v>25</v>
      </c>
      <c r="R63" s="130" t="str">
        <f>IF(B63="","",VLOOKUP(AD63,Varsayımlar!$B:$Q,9,0))</f>
        <v>Standart</v>
      </c>
      <c r="S63" s="130">
        <f>IF(B63="","",VLOOKUP(AD63,Varsayımlar!$B:$Q,10,0))</f>
        <v>12</v>
      </c>
      <c r="T63" s="130">
        <f>IF(B63="","",VLOOKUP(AD63,Varsayımlar!$B:$Q,11,0))</f>
        <v>12</v>
      </c>
      <c r="U63" s="130">
        <f>IF(B63="","",VLOOKUP(AD63,Varsayımlar!$B:$Q,12,0))</f>
        <v>840</v>
      </c>
      <c r="V63" s="130" t="str">
        <f>IF(B63="","",VLOOKUP(AD63,Varsayımlar!$B:$Q,13,0))</f>
        <v>YURTİÇİ</v>
      </c>
      <c r="W63" s="130">
        <f>IF(B63="","",VLOOKUP(AD63,Varsayımlar!$B:$Q,14,0))</f>
        <v>5</v>
      </c>
      <c r="X63" s="133" t="s">
        <v>113</v>
      </c>
      <c r="Y63" s="133" t="s">
        <v>113</v>
      </c>
      <c r="Z63" s="130" t="s">
        <v>113</v>
      </c>
      <c r="AA63" s="130" t="str">
        <f>IF(B63="","",VLOOKUP(AD63,Varsayımlar!$B:$Q,15,0))</f>
        <v>Nimet Kolisi</v>
      </c>
      <c r="AB63" s="130" t="str">
        <f>IF(B63="","",VLOOKUP(AD63,Varsayımlar!$B:$Q,16,0))</f>
        <v>24-26 CM</v>
      </c>
      <c r="AC63" s="64" t="s">
        <v>360</v>
      </c>
      <c r="AD63" s="57" t="str">
        <f t="shared" ref="AD63:AD68" si="6">IF(B63="","",CONCATENATE(B63,E63))</f>
        <v>A101Nimet 25cm 12 pcs 840g</v>
      </c>
    </row>
    <row r="64" spans="1:30" ht="94.5" x14ac:dyDescent="0.25">
      <c r="A64" s="8" t="s">
        <v>77</v>
      </c>
      <c r="B64" s="80" t="s">
        <v>218</v>
      </c>
      <c r="C64" s="44">
        <f>IF(B64="","",VLOOKUP(AD64,Varsayımlar!$B:$Q,3,0))</f>
        <v>8698829380698</v>
      </c>
      <c r="D64" s="44" t="s">
        <v>160</v>
      </c>
      <c r="E64" s="80" t="s">
        <v>244</v>
      </c>
      <c r="F64" s="80">
        <v>26042907</v>
      </c>
      <c r="G64" s="44"/>
      <c r="H64" s="80" t="str">
        <f>IF(B64="","",VLOOKUP(AD64,Varsayımlar!$B:$Q,5,0))</f>
        <v>Tortillas Avrupa Pizza 26cm (742)</v>
      </c>
      <c r="I64" s="80">
        <f>IF(B64="","",VLOOKUP(AD64,Varsayımlar!B:T,19,0))</f>
        <v>0</v>
      </c>
      <c r="J64" s="80" t="str">
        <f>IF(B64="","",VLOOKUP(AD64,Varsayımlar!$B:$Q,6,0))</f>
        <v>SADE</v>
      </c>
      <c r="K64" s="80">
        <v>720</v>
      </c>
      <c r="L64" s="80" t="s">
        <v>544</v>
      </c>
      <c r="M64" s="80">
        <f>IFERROR(IF(B64="","",K64/VLOOKUP(AD64,Varsayımlar!B:R,17,0)),"")</f>
        <v>6</v>
      </c>
      <c r="N64" s="80"/>
      <c r="O64" s="80">
        <v>9</v>
      </c>
      <c r="P64" s="80">
        <f>IF(B64="","",VLOOKUP(AD64,Varsayımlar!$B:$Q,7,0)*K64)</f>
        <v>5760</v>
      </c>
      <c r="Q64" s="80">
        <f>IF(B64="","",VLOOKUP(AD64,Varsayımlar!$B:$Q,8,0))</f>
        <v>26</v>
      </c>
      <c r="R64" s="80" t="str">
        <f>IF(B64="","",VLOOKUP(AD64,Varsayımlar!$B:$Q,9,0))</f>
        <v>Irak Soft</v>
      </c>
      <c r="S64" s="80">
        <f>IF(B64="","",VLOOKUP(AD64,Varsayımlar!$B:$Q,10,0))</f>
        <v>4</v>
      </c>
      <c r="T64" s="80">
        <f>IF(B64="","",VLOOKUP(AD64,Varsayımlar!$B:$Q,11,0))</f>
        <v>8</v>
      </c>
      <c r="U64" s="80">
        <f>IF(B64="","",VLOOKUP(AD64,Varsayımlar!$B:$Q,12,0))</f>
        <v>480</v>
      </c>
      <c r="V64" s="80" t="str">
        <f>IF(B64="","",VLOOKUP(AD64,Varsayımlar!$B:$Q,13,0))</f>
        <v>Yurtdışı</v>
      </c>
      <c r="W64" s="80">
        <f>IF(B64="","",VLOOKUP(AD64,Varsayımlar!$B:$Q,14,0))</f>
        <v>9</v>
      </c>
      <c r="X64" s="81">
        <v>46203</v>
      </c>
      <c r="Y64" s="81">
        <v>46476</v>
      </c>
      <c r="Z64" s="80">
        <v>26063026</v>
      </c>
      <c r="AA64" s="80" t="str">
        <f>IF(B64="","",VLOOKUP(AD64,Varsayımlar!$B:$Q,15,0))</f>
        <v>26cm Pizza Perforeli-Bulgarca Etiket</v>
      </c>
      <c r="AB64" s="80" t="str">
        <f>IF(B64="","",VLOOKUP(AD64,Varsayımlar!$B:$Q,16,0))</f>
        <v>26 cm kesme -Beze 145-150g, Kesilmmeiş çap 27-28cm, Kesilmemiş ağı: 520-540g, Kesilmiş:475-485g</v>
      </c>
      <c r="AC64" s="80" t="str">
        <f>IF(B64="","",VLOOKUP(Sayfa1!AD80,Varsayımlar!B:S,18,0))</f>
        <v>80x120cm -Epal+Epal</v>
      </c>
      <c r="AD64" s="57" t="str">
        <f t="shared" si="6"/>
        <v>TASTE LAND-BULGARİSTANTortillas Pizza 26cm 4pcs 480g</v>
      </c>
    </row>
    <row r="65" spans="1:31" ht="47.25" x14ac:dyDescent="0.25">
      <c r="A65" s="8" t="s">
        <v>78</v>
      </c>
      <c r="B65" s="54" t="s">
        <v>268</v>
      </c>
      <c r="C65" s="39">
        <f>IF(B65="","",VLOOKUP(AD65,Varsayımlar!$B:$Q,3,0))</f>
        <v>8698829380698</v>
      </c>
      <c r="D65" s="39" t="s">
        <v>160</v>
      </c>
      <c r="E65" s="39" t="s">
        <v>244</v>
      </c>
      <c r="F65" s="54" t="s">
        <v>343</v>
      </c>
      <c r="G65" s="39" t="s">
        <v>68</v>
      </c>
      <c r="H65" s="54" t="str">
        <f>IF(B65="","",VLOOKUP(AD65,Varsayımlar!$B:$Q,5,0))</f>
        <v xml:space="preserve">Tortillas Pizza 26cm </v>
      </c>
      <c r="I65" s="54">
        <f>IF(B65="","",VLOOKUP(AD65,Varsayımlar!B:T,19,0))</f>
        <v>0</v>
      </c>
      <c r="J65" s="54" t="str">
        <f>IF(B65="","",VLOOKUP(AD65,Varsayımlar!$B:$Q,6,0))</f>
        <v>SADE</v>
      </c>
      <c r="K65" s="54">
        <v>768</v>
      </c>
      <c r="L65" s="54"/>
      <c r="M65" s="54">
        <f>IFERROR(IF(B65="","",K65/VLOOKUP(AD65,Varsayımlar!B:R,17,0)),"")</f>
        <v>4</v>
      </c>
      <c r="N65" s="54"/>
      <c r="O65" s="54">
        <v>9</v>
      </c>
      <c r="P65" s="54">
        <f>IF(B65="","",VLOOKUP(AD65,Varsayımlar!$B:$Q,7,0)*K65)</f>
        <v>9216</v>
      </c>
      <c r="Q65" s="54">
        <f>IF(B65="","",VLOOKUP(AD65,Varsayımlar!$B:$Q,8,0))</f>
        <v>26</v>
      </c>
      <c r="R65" s="54" t="str">
        <f>IF(B65="","",VLOOKUP(AD65,Varsayımlar!$B:$Q,9,0))</f>
        <v>Soft-PA3</v>
      </c>
      <c r="S65" s="54">
        <f>IF(B65="","",VLOOKUP(AD65,Varsayımlar!$B:$Q,10,0))</f>
        <v>2</v>
      </c>
      <c r="T65" s="54">
        <f>IF(B65="","",VLOOKUP(AD65,Varsayımlar!$B:$Q,11,0))</f>
        <v>12</v>
      </c>
      <c r="U65" s="54">
        <f>IF(B65="","",VLOOKUP(AD65,Varsayımlar!$B:$Q,12,0))</f>
        <v>240</v>
      </c>
      <c r="V65" s="54" t="str">
        <f>IF(B65="","",VLOOKUP(AD65,Varsayımlar!$B:$Q,13,0))</f>
        <v>Yurtdışı</v>
      </c>
      <c r="W65" s="54">
        <f>IF(B65="","",VLOOKUP(AD65,Varsayımlar!$B:$Q,14,0))</f>
        <v>9</v>
      </c>
      <c r="X65" s="56">
        <v>46205</v>
      </c>
      <c r="Y65" s="56">
        <v>46479</v>
      </c>
      <c r="Z65" s="54">
        <v>26070226</v>
      </c>
      <c r="AA65" s="54" t="str">
        <f>IF(B65="","",VLOOKUP(AD65,Varsayımlar!$B:$Q,15,0))</f>
        <v>26 cm pizza kolisi-Etiketli</v>
      </c>
      <c r="AB65" s="54" t="str">
        <f>IF(B65="","",VLOOKUP(AD65,Varsayımlar!$B:$Q,16,0))</f>
        <v>24-26 cm (Macca Hetto Inkjet Uzun Tarih)</v>
      </c>
      <c r="AC65" s="54" t="e">
        <f>IF(B65="","",VLOOKUP(Sayfa1!AD83,Varsayımlar!B:S,18,0))</f>
        <v>#N/A</v>
      </c>
      <c r="AD65" s="57" t="str">
        <f>IF(B65="","",CONCATENATE(B65,E65))</f>
        <v>LAIKYUZHN-BELARUSTortillas Pizza 26cm 4pcs 480g</v>
      </c>
    </row>
    <row r="66" spans="1:31" ht="26.25" customHeight="1" x14ac:dyDescent="0.25">
      <c r="A66" s="8" t="s">
        <v>79</v>
      </c>
      <c r="B66" s="67" t="s">
        <v>119</v>
      </c>
      <c r="C66" s="42">
        <v>8698829380698</v>
      </c>
      <c r="D66" s="42"/>
      <c r="E66" s="42" t="s">
        <v>120</v>
      </c>
      <c r="F66" s="67"/>
      <c r="G66" s="42"/>
      <c r="H66" s="67" t="s">
        <v>121</v>
      </c>
      <c r="I66" s="67">
        <v>0</v>
      </c>
      <c r="J66" s="67" t="s">
        <v>19</v>
      </c>
      <c r="K66" s="67">
        <v>2000</v>
      </c>
      <c r="L66" s="67"/>
      <c r="M66" s="67">
        <v>80</v>
      </c>
      <c r="N66" s="67">
        <v>50</v>
      </c>
      <c r="O66" s="67">
        <v>54</v>
      </c>
      <c r="P66" s="67">
        <v>48000</v>
      </c>
      <c r="Q66" s="67">
        <v>25</v>
      </c>
      <c r="R66" s="67" t="s">
        <v>116</v>
      </c>
      <c r="S66" s="67">
        <v>12</v>
      </c>
      <c r="T66" s="67">
        <v>12</v>
      </c>
      <c r="U66" s="67">
        <v>840</v>
      </c>
      <c r="V66" s="67" t="s">
        <v>72</v>
      </c>
      <c r="W66" s="67">
        <v>5</v>
      </c>
      <c r="X66" s="69" t="s">
        <v>113</v>
      </c>
      <c r="Y66" s="69" t="s">
        <v>113</v>
      </c>
      <c r="Z66" s="67" t="s">
        <v>113</v>
      </c>
      <c r="AA66" s="67" t="s">
        <v>122</v>
      </c>
      <c r="AB66" s="67" t="s">
        <v>25</v>
      </c>
      <c r="AC66" s="67">
        <v>0</v>
      </c>
      <c r="AD66" s="57" t="s">
        <v>387</v>
      </c>
    </row>
    <row r="67" spans="1:31" ht="94.5" x14ac:dyDescent="0.25">
      <c r="A67" s="8" t="s">
        <v>80</v>
      </c>
      <c r="B67" s="75" t="s">
        <v>218</v>
      </c>
      <c r="C67" s="43">
        <f>IF(B67="","",VLOOKUP(AD67,Varsayımlar!$B:$Q,3,0))</f>
        <v>8698829380698</v>
      </c>
      <c r="D67" s="43" t="s">
        <v>161</v>
      </c>
      <c r="E67" s="75" t="s">
        <v>244</v>
      </c>
      <c r="F67" s="75" t="s">
        <v>561</v>
      </c>
      <c r="G67" s="43"/>
      <c r="H67" s="75" t="str">
        <f>IF(B67="","",VLOOKUP(AD67,Varsayımlar!$B:$Q,5,0))</f>
        <v>Tortillas Avrupa Pizza 26cm (742)</v>
      </c>
      <c r="I67" s="75">
        <f>IF(B67="","",VLOOKUP(AD67,Varsayımlar!B:T,19,0))</f>
        <v>0</v>
      </c>
      <c r="J67" s="75" t="str">
        <f>IF(B67="","",VLOOKUP(AD67,Varsayımlar!$B:$Q,6,0))</f>
        <v>SADE</v>
      </c>
      <c r="K67" s="75">
        <v>840</v>
      </c>
      <c r="L67" s="75"/>
      <c r="M67" s="75">
        <f>IFERROR(IF(B67="","",K67/VLOOKUP(AD67,Varsayımlar!B:R,17,0)),"")</f>
        <v>7</v>
      </c>
      <c r="N67" s="75"/>
      <c r="O67" s="75">
        <v>11</v>
      </c>
      <c r="P67" s="75">
        <f>IF(B67="","",VLOOKUP(AD67,Varsayımlar!$B:$Q,7,0)*K67)</f>
        <v>6720</v>
      </c>
      <c r="Q67" s="75">
        <f>IF(B67="","",VLOOKUP(AD67,Varsayımlar!$B:$Q,8,0))</f>
        <v>26</v>
      </c>
      <c r="R67" s="75" t="str">
        <f>IF(B67="","",VLOOKUP(AD67,Varsayımlar!$B:$Q,9,0))</f>
        <v>Irak Soft</v>
      </c>
      <c r="S67" s="75">
        <f>IF(B67="","",VLOOKUP(AD67,Varsayımlar!$B:$Q,10,0))</f>
        <v>4</v>
      </c>
      <c r="T67" s="75">
        <f>IF(B67="","",VLOOKUP(AD67,Varsayımlar!$B:$Q,11,0))</f>
        <v>8</v>
      </c>
      <c r="U67" s="75">
        <f>IF(B67="","",VLOOKUP(AD67,Varsayımlar!$B:$Q,12,0))</f>
        <v>480</v>
      </c>
      <c r="V67" s="75" t="str">
        <f>IF(B67="","",VLOOKUP(AD67,Varsayımlar!$B:$Q,13,0))</f>
        <v>Yurtdışı</v>
      </c>
      <c r="W67" s="75">
        <f>IF(B67="","",VLOOKUP(AD67,Varsayımlar!$B:$Q,14,0))</f>
        <v>9</v>
      </c>
      <c r="X67" s="76">
        <v>46213</v>
      </c>
      <c r="Y67" s="76">
        <v>46487</v>
      </c>
      <c r="Z67" s="75">
        <v>26071026</v>
      </c>
      <c r="AA67" s="75" t="str">
        <f>IF(B67="","",VLOOKUP(AD67,Varsayımlar!$B:$Q,15,0))</f>
        <v>26cm Pizza Perforeli-Bulgarca Etiket</v>
      </c>
      <c r="AB67" s="75" t="str">
        <f>IF(B67="","",VLOOKUP(AD67,Varsayımlar!$B:$Q,16,0))</f>
        <v>26 cm kesme -Beze 145-150g, Kesilmmeiş çap 27-28cm, Kesilmemiş ağı: 520-540g, Kesilmiş:475-485g</v>
      </c>
      <c r="AC67" s="75" t="str">
        <f>IF(B67="","",VLOOKUP(Sayfa1!AD81,Varsayımlar!B:S,18,0))</f>
        <v>80x120cm -Epal+Epal</v>
      </c>
      <c r="AD67" s="57" t="str">
        <f t="shared" si="6"/>
        <v>TASTE LAND-BULGARİSTANTortillas Pizza 26cm 4pcs 480g</v>
      </c>
    </row>
    <row r="68" spans="1:31" ht="46.5" customHeight="1" x14ac:dyDescent="0.25">
      <c r="A68" s="8" t="s">
        <v>81</v>
      </c>
      <c r="B68" s="67" t="s">
        <v>460</v>
      </c>
      <c r="C68" s="42">
        <f>IF(B68="","",VLOOKUP(AD68,Varsayımlar!$B:$Q,3,0))</f>
        <v>8698829380698</v>
      </c>
      <c r="D68" s="67" t="s">
        <v>540</v>
      </c>
      <c r="E68" s="67" t="s">
        <v>461</v>
      </c>
      <c r="F68" s="67">
        <v>20260414</v>
      </c>
      <c r="G68" s="67"/>
      <c r="H68" s="67" t="str">
        <f>IF(B68="","",VLOOKUP(AD68,Varsayımlar!$B:$Q,5,0))</f>
        <v xml:space="preserve">Tortillove 15cm </v>
      </c>
      <c r="I68" s="67">
        <f>IF(B68="","",VLOOKUP(AD68,Varsayımlar!B:T,19,0))</f>
        <v>0</v>
      </c>
      <c r="J68" s="67" t="str">
        <f>IF(B68="","",VLOOKUP(AD68,Varsayımlar!$B:$Q,6,0))</f>
        <v>SADE</v>
      </c>
      <c r="K68" s="67">
        <v>300</v>
      </c>
      <c r="L68" s="67" t="s">
        <v>532</v>
      </c>
      <c r="M68" s="67">
        <f>IFERROR(IF(B68="","",K68/VLOOKUP(AD68,Varsayımlar!B:R,17,0)),"")</f>
        <v>3</v>
      </c>
      <c r="N68" s="67"/>
      <c r="O68" s="67">
        <v>9</v>
      </c>
      <c r="P68" s="67">
        <f>IF(B68="","",VLOOKUP(AD68,Varsayımlar!$B:$Q,7,0)*K68)</f>
        <v>3600</v>
      </c>
      <c r="Q68" s="67">
        <f>IF(B68="","",VLOOKUP(AD68,Varsayımlar!$B:$Q,8,0))</f>
        <v>15</v>
      </c>
      <c r="R68" s="67" t="str">
        <f>IF(B68="","",VLOOKUP(AD68,Varsayımlar!$B:$Q,9,0))</f>
        <v>Irak Soft</v>
      </c>
      <c r="S68" s="67">
        <f>IF(B68="","",VLOOKUP(AD68,Varsayımlar!$B:$Q,10,0))</f>
        <v>10</v>
      </c>
      <c r="T68" s="67">
        <f>IF(B68="","",VLOOKUP(AD68,Varsayımlar!$B:$Q,11,0))</f>
        <v>12</v>
      </c>
      <c r="U68" s="67">
        <f>IF(B68="","",VLOOKUP(AD68,Varsayımlar!$B:$Q,12,0))</f>
        <v>250</v>
      </c>
      <c r="V68" s="67" t="str">
        <f>IF(B68="","",VLOOKUP(AD68,Varsayımlar!$B:$Q,13,0))</f>
        <v>Yurtdışı</v>
      </c>
      <c r="W68" s="67">
        <f>IF(B68="","",VLOOKUP(AD68,Varsayımlar!$B:$Q,14,0))</f>
        <v>6</v>
      </c>
      <c r="X68" s="69">
        <v>46216</v>
      </c>
      <c r="Y68" s="69">
        <v>46400</v>
      </c>
      <c r="Z68" s="67">
        <v>26071315</v>
      </c>
      <c r="AA68" s="67" t="str">
        <f>IF(B68="","",VLOOKUP(AD68,Varsayımlar!$B:$Q,15,0))</f>
        <v>15cm koli</v>
      </c>
      <c r="AB68" s="67" t="str">
        <f>IF(B68="","",VLOOKUP(AD68,Varsayımlar!$B:$Q,16,0))</f>
        <v>14-16 cm</v>
      </c>
      <c r="AC68" s="80">
        <f>IF(B68="","",VLOOKUP(Sayfa1!AD85,Varsayımlar!B:S,18,0))</f>
        <v>0</v>
      </c>
      <c r="AD68" s="57" t="str">
        <f t="shared" si="6"/>
        <v>Yüksekbaş GıdaYüksekbaş 15cm 10 pcs 250g</v>
      </c>
    </row>
    <row r="69" spans="1:31" ht="31.5" x14ac:dyDescent="0.25">
      <c r="A69" s="8" t="s">
        <v>82</v>
      </c>
      <c r="B69" s="54" t="s">
        <v>346</v>
      </c>
      <c r="C69" s="39">
        <f>IF(B69="","",VLOOKUP(AD69,Varsayımlar!$B:$Q,3,0))</f>
        <v>8698829380698</v>
      </c>
      <c r="D69" s="39">
        <v>49</v>
      </c>
      <c r="E69" s="55" t="s">
        <v>325</v>
      </c>
      <c r="F69" s="54"/>
      <c r="G69" s="54"/>
      <c r="H69" s="54" t="str">
        <f>IF(B69="","",VLOOKUP(AD69,Varsayımlar!$B:$Q,5,0))</f>
        <v>Hanami Tako 15cm</v>
      </c>
      <c r="I69" s="54" t="str">
        <f>IF(B69="","",VLOOKUP(AD69,Varsayımlar!B:T,19,0))</f>
        <v>Ambalaj kaç aylık kontrol?</v>
      </c>
      <c r="J69" s="54" t="str">
        <f>IF(B69="","",VLOOKUP(AD69,Varsayımlar!$B:$Q,6,0))</f>
        <v>SADE</v>
      </c>
      <c r="K69" s="54">
        <v>1248</v>
      </c>
      <c r="L69" s="54"/>
      <c r="M69" s="54"/>
      <c r="N69" s="54"/>
      <c r="O69" s="54">
        <v>35</v>
      </c>
      <c r="P69" s="54">
        <f>IF(B69="","",VLOOKUP(AD69,Varsayımlar!$B:$Q,7,0)*K69)</f>
        <v>24960</v>
      </c>
      <c r="Q69" s="54">
        <f>IF(B69="","",VLOOKUP(AD69,Varsayımlar!$B:$Q,8,0))</f>
        <v>15</v>
      </c>
      <c r="R69" s="54" t="str">
        <f>IF(B69="","",VLOOKUP(AD69,Varsayımlar!$B:$Q,9,0))</f>
        <v>Irak Soft</v>
      </c>
      <c r="S69" s="54">
        <f>IF(B69="","",VLOOKUP(AD69,Varsayımlar!$B:$Q,10,0))</f>
        <v>6</v>
      </c>
      <c r="T69" s="54">
        <f>IF(B69="","",VLOOKUP(AD69,Varsayımlar!$B:$Q,11,0))</f>
        <v>20</v>
      </c>
      <c r="U69" s="54">
        <f>IF(B69="","",VLOOKUP(AD69,Varsayımlar!$B:$Q,12,0))</f>
        <v>150</v>
      </c>
      <c r="V69" s="54" t="str">
        <f>IF(B69="","",VLOOKUP(AD69,Varsayımlar!$B:$Q,13,0))</f>
        <v>Yurtdışı</v>
      </c>
      <c r="W69" s="54">
        <f>IF(B69="","",VLOOKUP(AD69,Varsayımlar!$B:$Q,14,0))</f>
        <v>9</v>
      </c>
      <c r="X69" s="56">
        <v>46226</v>
      </c>
      <c r="Y69" s="56">
        <v>46500</v>
      </c>
      <c r="Z69" s="54">
        <v>26072315</v>
      </c>
      <c r="AA69" s="54" t="str">
        <f>IF(B69="","",VLOOKUP(AD69,Varsayımlar!$B:$Q,15,0))</f>
        <v>Hanami Tako 15cm-Üretim Tarihi Atılacak</v>
      </c>
      <c r="AB69" s="54" t="str">
        <f>IF(B69="","",VLOOKUP(AD69,Varsayımlar!$B:$Q,16,0))</f>
        <v>14-16 cm</v>
      </c>
      <c r="AC69" s="8" t="e">
        <f>IF(B69="","",VLOOKUP(#REF!,#REF!,18,0))</f>
        <v>#REF!</v>
      </c>
      <c r="AD69" s="8" t="str">
        <f>IF(B69="","",CONCATENATE(B69,E69))</f>
        <v>GermesHanami Germes Tako 15cm 6pcs 150g</v>
      </c>
    </row>
    <row r="70" spans="1:31" ht="49.5" customHeight="1" x14ac:dyDescent="0.25">
      <c r="A70" s="8" t="s">
        <v>83</v>
      </c>
      <c r="B70" s="152" t="s">
        <v>518</v>
      </c>
      <c r="C70" s="153">
        <f>IF(B70="","",VLOOKUP(AD70,Varsayımlar!$B:$Q,3,0))</f>
        <v>8698829380698</v>
      </c>
      <c r="D70" s="154"/>
      <c r="E70" s="154" t="s">
        <v>515</v>
      </c>
      <c r="F70" s="152">
        <v>26062302</v>
      </c>
      <c r="G70" s="152"/>
      <c r="H70" s="152" t="str">
        <f>IF(B70="","",VLOOKUP(AD70,Varsayımlar!$B:$Q,5,0))</f>
        <v>Tortillas 15cm</v>
      </c>
      <c r="I70" s="152">
        <f>IF(B70="","",VLOOKUP(AD70,Varsayımlar!B:T,19,0))</f>
        <v>0</v>
      </c>
      <c r="J70" s="152" t="str">
        <f>IF(B70="","",VLOOKUP(AD70,Varsayımlar!$B:$Q,6,0))</f>
        <v>Sade</v>
      </c>
      <c r="K70" s="152">
        <v>10</v>
      </c>
      <c r="L70" s="152"/>
      <c r="M70" s="152">
        <f>IFERROR(IF(B70="","",K70/VLOOKUP(AD70,Varsayımlar!B:R,17,0)),"")</f>
        <v>0.11904761904761904</v>
      </c>
      <c r="N70" s="152"/>
      <c r="O70" s="152">
        <v>0</v>
      </c>
      <c r="P70" s="152">
        <f>IF(B70="","",VLOOKUP(AD70,Varsayımlar!$B:$Q,7,0)*K70)</f>
        <v>120</v>
      </c>
      <c r="Q70" s="152">
        <f>IF(B70="","",VLOOKUP(AD70,Varsayımlar!$B:$Q,8,0))</f>
        <v>15</v>
      </c>
      <c r="R70" s="152" t="str">
        <f>IF(B70="","",VLOOKUP(AD70,Varsayımlar!$B:$Q,9,0))</f>
        <v>Irak Soft</v>
      </c>
      <c r="S70" s="152">
        <f>IF(B70="","",VLOOKUP(AD70,Varsayımlar!$B:$Q,10,0))</f>
        <v>10</v>
      </c>
      <c r="T70" s="152">
        <f>IF(B70="","",VLOOKUP(AD70,Varsayımlar!$B:$Q,11,0))</f>
        <v>12</v>
      </c>
      <c r="U70" s="152">
        <f>IF(B70="","",VLOOKUP(AD70,Varsayımlar!$B:$Q,12,0))</f>
        <v>250</v>
      </c>
      <c r="V70" s="152" t="str">
        <f>IF(B70="","",VLOOKUP(AD70,Varsayımlar!$B:$Q,13,0))</f>
        <v>Yurtiçi</v>
      </c>
      <c r="W70" s="152">
        <f>IF(B70="","",VLOOKUP(AD70,Varsayımlar!$B:$Q,14,0))</f>
        <v>6</v>
      </c>
      <c r="X70" s="155">
        <v>46231</v>
      </c>
      <c r="Y70" s="155">
        <v>46415</v>
      </c>
      <c r="Z70" s="152">
        <v>26072815</v>
      </c>
      <c r="AA70" s="152" t="str">
        <f>IF(B70="","",VLOOKUP(AD70,Varsayımlar!$B:$Q,15,0))</f>
        <v>15cm koli</v>
      </c>
      <c r="AB70" s="152" t="str">
        <f>IF(B70="","",VLOOKUP(AD70,Varsayımlar!$B:$Q,16,0))</f>
        <v>14-16cm</v>
      </c>
      <c r="AC70" s="8" t="e">
        <f>IF(B70="","",VLOOKUP(#REF!,#REF!,18,0))</f>
        <v>#REF!</v>
      </c>
      <c r="AD70" s="8" t="str">
        <f t="shared" ref="AD70:AD71" si="7">IF(B70="","",CONCATENATE(B70,E70))</f>
        <v>Yusuf KöseTortillas 15cm 10pcs 250g</v>
      </c>
    </row>
    <row r="71" spans="1:31" ht="54" hidden="1" customHeight="1" x14ac:dyDescent="0.25">
      <c r="A71" s="8" t="s">
        <v>84</v>
      </c>
      <c r="B71" s="148" t="s">
        <v>500</v>
      </c>
      <c r="C71" s="149">
        <f>IF(B71="","",VLOOKUP(AD71,Varsayımlar!$B:$Q,3,0))</f>
        <v>8698829380698</v>
      </c>
      <c r="D71" s="149"/>
      <c r="E71" s="150" t="s">
        <v>515</v>
      </c>
      <c r="F71" s="148">
        <v>26062201</v>
      </c>
      <c r="G71" s="148"/>
      <c r="H71" s="148" t="str">
        <f>IF(B71="","",VLOOKUP(AD71,Varsayımlar!$B:$Q,5,0))</f>
        <v>Tortillas 15cm</v>
      </c>
      <c r="I71" s="148">
        <f>IF(B71="","",VLOOKUP(AD71,Varsayımlar!B:T,19,0))</f>
        <v>0</v>
      </c>
      <c r="J71" s="148" t="str">
        <f>IF(B71="","",VLOOKUP(AD71,Varsayımlar!$B:$Q,6,0))</f>
        <v>Sade</v>
      </c>
      <c r="K71" s="148">
        <v>50</v>
      </c>
      <c r="L71" s="148"/>
      <c r="M71" s="148" t="str">
        <f>IFERROR(IF(B71="","",K71/VLOOKUP(AD71,#REF!,17,0)),"")</f>
        <v/>
      </c>
      <c r="N71" s="148"/>
      <c r="O71" s="148">
        <v>2</v>
      </c>
      <c r="P71" s="148">
        <f>IF(B71="","",VLOOKUP(AD71,Varsayımlar!$B:$Q,7,0)*K71)</f>
        <v>600</v>
      </c>
      <c r="Q71" s="148">
        <f>IF(B71="","",VLOOKUP(AD71,Varsayımlar!$B:$Q,8,0))</f>
        <v>15</v>
      </c>
      <c r="R71" s="148" t="str">
        <f>IF(B71="","",VLOOKUP(AD71,Varsayımlar!$B:$Q,9,0))</f>
        <v>Irak Soft</v>
      </c>
      <c r="S71" s="148">
        <f>IF(B71="","",VLOOKUP(AD71,Varsayımlar!$B:$Q,10,0))</f>
        <v>10</v>
      </c>
      <c r="T71" s="148">
        <f>IF(B71="","",VLOOKUP(AD71,Varsayımlar!$B:$Q,11,0))</f>
        <v>12</v>
      </c>
      <c r="U71" s="148">
        <f>IF(B71="","",VLOOKUP(AD71,Varsayımlar!$B:$Q,12,0))</f>
        <v>250</v>
      </c>
      <c r="V71" s="148" t="str">
        <f>IF(B71="","",VLOOKUP(AD71,Varsayımlar!$B:$Q,13,0))</f>
        <v>Yurtdışı</v>
      </c>
      <c r="W71" s="148">
        <f>IF(B71="","",VLOOKUP(AD71,Varsayımlar!$B:$Q,14,0))</f>
        <v>12</v>
      </c>
      <c r="X71" s="151">
        <v>46231</v>
      </c>
      <c r="Y71" s="151">
        <v>46596</v>
      </c>
      <c r="Z71" s="148">
        <v>26072815</v>
      </c>
      <c r="AA71" s="148" t="str">
        <f>IF(B71="","",VLOOKUP(AD71,Varsayımlar!$B:$Q,15,0))</f>
        <v>15cm koli</v>
      </c>
      <c r="AB71" s="148" t="str">
        <f>IF(B71="","",VLOOKUP(AD71,Varsayımlar!$B:$Q,16,0))</f>
        <v>14-16cm</v>
      </c>
      <c r="AC71" s="67"/>
      <c r="AD71" s="57" t="str">
        <f t="shared" si="7"/>
        <v>Fama GroupTortillas 15cm 10pcs 250g</v>
      </c>
    </row>
    <row r="72" spans="1:31" ht="48" hidden="1" customHeight="1" x14ac:dyDescent="0.25">
      <c r="A72" s="8" t="s">
        <v>85</v>
      </c>
      <c r="B72" s="149" t="s">
        <v>500</v>
      </c>
      <c r="C72" s="149">
        <f>IF(B72="","",VLOOKUP(AD72,Varsayımlar!$B:$Q,3,0))</f>
        <v>8698829380698</v>
      </c>
      <c r="D72" s="149"/>
      <c r="E72" s="149" t="s">
        <v>244</v>
      </c>
      <c r="F72" s="149">
        <v>26062201</v>
      </c>
      <c r="G72" s="149"/>
      <c r="H72" s="148" t="str">
        <f>IF(B72="","",VLOOKUP(AD72,Varsayımlar!$B:$Q,5,0))</f>
        <v xml:space="preserve">Tortillas Pizza 26cm </v>
      </c>
      <c r="I72" s="148">
        <f>IF(B72="","",VLOOKUP(AD72,Varsayımlar!B:T,19,0))</f>
        <v>0</v>
      </c>
      <c r="J72" s="148" t="str">
        <f>IF(B72="","",VLOOKUP(AD72,Varsayımlar!$B:$Q,6,0))</f>
        <v>Sade</v>
      </c>
      <c r="K72" s="149">
        <v>50</v>
      </c>
      <c r="L72" s="149"/>
      <c r="M72" s="149" t="str">
        <f>IFERROR(IF(B72="","",K72/VLOOKUP(AD72,#REF!,17,0)),"")</f>
        <v/>
      </c>
      <c r="N72" s="149"/>
      <c r="O72" s="149">
        <v>1</v>
      </c>
      <c r="P72" s="148">
        <f>IF(B72="","",VLOOKUP(AD72,Varsayımlar!$B:$Q,7,0)*K72)</f>
        <v>300</v>
      </c>
      <c r="Q72" s="148">
        <f>IF(B72="","",VLOOKUP(AD72,Varsayımlar!$B:$Q,8,0))</f>
        <v>26</v>
      </c>
      <c r="R72" s="148" t="str">
        <f>IF(B72="","",VLOOKUP(AD72,Varsayımlar!$B:$Q,9,0))</f>
        <v>Irak Soft</v>
      </c>
      <c r="S72" s="148">
        <f>IF(B72="","",VLOOKUP(AD72,Varsayımlar!$B:$Q,10,0))</f>
        <v>4</v>
      </c>
      <c r="T72" s="148">
        <f>IF(B72="","",VLOOKUP(AD72,Varsayımlar!$B:$Q,11,0))</f>
        <v>6</v>
      </c>
      <c r="U72" s="148">
        <f>IF(B72="","",VLOOKUP(AD72,Varsayımlar!$B:$Q,12,0))</f>
        <v>480</v>
      </c>
      <c r="V72" s="148" t="str">
        <f>IF(B72="","",VLOOKUP(AD72,Varsayımlar!$B:$Q,13,0))</f>
        <v>Yurtdışı</v>
      </c>
      <c r="W72" s="148">
        <f>IF(B72="","",VLOOKUP(AD72,Varsayımlar!$B:$Q,14,0))</f>
        <v>12</v>
      </c>
      <c r="X72" s="151">
        <v>46231</v>
      </c>
      <c r="Y72" s="151">
        <v>46596</v>
      </c>
      <c r="Z72" s="149">
        <v>26072826</v>
      </c>
      <c r="AA72" s="148" t="str">
        <f>IF(B72="","",VLOOKUP(AD72,Varsayımlar!$B:$Q,15,0))</f>
        <v>Pizza Kolisi-ETİKETLİ</v>
      </c>
      <c r="AB72" s="148" t="str">
        <f>IF(B72="","",VLOOKUP(AD72,Varsayımlar!$B:$Q,16,0))</f>
        <v>25-27 cm</v>
      </c>
      <c r="AC72" s="140">
        <f>IF(B72="","",VLOOKUP(Sayfa1!AD94,Varsayımlar!B:S,18,0))</f>
        <v>0</v>
      </c>
      <c r="AD72" s="140" t="str">
        <f>IF(B72="","",CONCATENATE(B72,E72))</f>
        <v>Fama GroupTortillas Pizza 26cm 4pcs 480g</v>
      </c>
    </row>
    <row r="73" spans="1:31" ht="94.5" hidden="1" x14ac:dyDescent="0.25">
      <c r="A73" s="8" t="s">
        <v>86</v>
      </c>
      <c r="B73" s="62" t="s">
        <v>456</v>
      </c>
      <c r="C73" s="32">
        <f>IF(B73="","",VLOOKUP(AD73,Varsayımlar!$B:$Q,3,0))</f>
        <v>8698829380698</v>
      </c>
      <c r="D73" s="32"/>
      <c r="E73" s="61" t="s">
        <v>484</v>
      </c>
      <c r="F73" s="159" t="s">
        <v>546</v>
      </c>
      <c r="G73" s="62"/>
      <c r="H73" s="62" t="str">
        <f>IF(B73="","",VLOOKUP(AD73,Varsayımlar!$B:$Q,5,0))</f>
        <v>Willifood 26 cm Pizza</v>
      </c>
      <c r="I73" s="62">
        <f>IF(B73="","",VLOOKUP(AD73,Varsayımlar!B:T,19,0))</f>
        <v>0</v>
      </c>
      <c r="J73" s="62" t="str">
        <f>IF(B73="","",VLOOKUP(AD73,Varsayımlar!$B:$Q,6,0))</f>
        <v>Pizza</v>
      </c>
      <c r="K73" s="62">
        <v>2250</v>
      </c>
      <c r="L73" s="62"/>
      <c r="M73" s="62" t="str">
        <f>IFERROR(IF(B73="","",K73/VLOOKUP(AD73,#REF!,17,0)),"")</f>
        <v/>
      </c>
      <c r="N73" s="62"/>
      <c r="O73" s="62">
        <v>25</v>
      </c>
      <c r="P73" s="62">
        <f>IF(B73="","",VLOOKUP(AD73,Varsayımlar!$B:$Q,7,0)*K73)</f>
        <v>27000</v>
      </c>
      <c r="Q73" s="62">
        <f>IF(B73="","",VLOOKUP(AD73,Varsayımlar!$B:$Q,8,0))</f>
        <v>26</v>
      </c>
      <c r="R73" s="62" t="str">
        <f>IF(B73="","",VLOOKUP(AD73,Varsayımlar!$B:$Q,9,0))</f>
        <v>Irak Soft</v>
      </c>
      <c r="S73" s="62">
        <f>IF(B73="","",VLOOKUP(AD73,Varsayımlar!$B:$Q,10,0))</f>
        <v>4</v>
      </c>
      <c r="T73" s="62">
        <f>IF(B73="","",VLOOKUP(AD73,Varsayımlar!$B:$Q,11,0))</f>
        <v>12</v>
      </c>
      <c r="U73" s="62">
        <f>IF(B73="","",VLOOKUP(AD73,Varsayımlar!$B:$Q,12,0))</f>
        <v>480</v>
      </c>
      <c r="V73" s="62" t="str">
        <f>IF(B73="","",VLOOKUP(AD73,Varsayımlar!$B:$Q,13,0))</f>
        <v>Yurtdışı</v>
      </c>
      <c r="W73" s="62">
        <f>IF(B73="","",VLOOKUP(AD73,Varsayımlar!$B:$Q,14,0))</f>
        <v>18</v>
      </c>
      <c r="X73" s="63"/>
      <c r="Y73" s="146" t="s">
        <v>523</v>
      </c>
      <c r="Z73" s="146" t="s">
        <v>522</v>
      </c>
      <c r="AA73" s="63" t="str">
        <f>IF(B73="","",VLOOKUP(AD73,Varsayımlar!$B:$Q,15,0))</f>
        <v>Dürümek Kolisi-Çift Etiket</v>
      </c>
      <c r="AB73" s="63" t="str">
        <f>IF(B73="","",VLOOKUP(AD73,Varsayımlar!$B:$Q,16,0))</f>
        <v>Kesme.Bezeler 145-150 g.Kesilmemiş 27-28 cm. Kesilmemiş ağ 520-540g. Kesilmiş ağ 475-485 g</v>
      </c>
      <c r="AC73" s="73" t="e">
        <f>IF(B73="","",VLOOKUP(#REF!,#REF!,18,0))</f>
        <v>#REF!</v>
      </c>
      <c r="AD73" s="73" t="str">
        <f>IF(B73="","",CONCATENATE(B73,E73))</f>
        <v>WillifoodWillifood Pizza 26cm 4 pcs 480g</v>
      </c>
    </row>
    <row r="74" spans="1:31" ht="33.75" hidden="1" customHeight="1" x14ac:dyDescent="0.25">
      <c r="A74" s="8" t="s">
        <v>87</v>
      </c>
      <c r="B74" s="67" t="s">
        <v>460</v>
      </c>
      <c r="C74" s="42">
        <f>IF(B74="","",VLOOKUP(AD74,Varsayımlar!$B:$Q,3,0))</f>
        <v>8698829380698</v>
      </c>
      <c r="D74" s="67" t="s">
        <v>539</v>
      </c>
      <c r="E74" s="67" t="s">
        <v>461</v>
      </c>
      <c r="F74" s="67">
        <v>20260626</v>
      </c>
      <c r="G74" s="67"/>
      <c r="H74" s="67" t="str">
        <f>IF(B74="","",VLOOKUP(AD74,Varsayımlar!$B:$Q,5,0))</f>
        <v xml:space="preserve">Tortillove 15cm </v>
      </c>
      <c r="I74" s="67">
        <f>IF(B74="","",VLOOKUP(AD74,Varsayımlar!B:T,19,0))</f>
        <v>0</v>
      </c>
      <c r="J74" s="67" t="str">
        <f>IF(B74="","",VLOOKUP(AD74,Varsayımlar!$B:$Q,6,0))</f>
        <v>SADE</v>
      </c>
      <c r="K74" s="67">
        <v>400</v>
      </c>
      <c r="L74" s="67"/>
      <c r="M74" s="67">
        <f>IFERROR(IF(B74="","",K74/VLOOKUP(AD74,Varsayımlar!B:R,17,0)),"")</f>
        <v>4</v>
      </c>
      <c r="N74" s="67"/>
      <c r="O74" s="67">
        <v>11</v>
      </c>
      <c r="P74" s="67">
        <f>IF(B74="","",VLOOKUP(AD74,Varsayımlar!$B:$Q,7,0)*K74)</f>
        <v>4800</v>
      </c>
      <c r="Q74" s="67">
        <f>IF(B74="","",VLOOKUP(AD74,Varsayımlar!$B:$Q,8,0))</f>
        <v>15</v>
      </c>
      <c r="R74" s="67" t="str">
        <f>IF(B74="","",VLOOKUP(AD74,Varsayımlar!$B:$Q,9,0))</f>
        <v>Irak Soft</v>
      </c>
      <c r="S74" s="67">
        <f>IF(B74="","",VLOOKUP(AD74,Varsayımlar!$B:$Q,10,0))</f>
        <v>10</v>
      </c>
      <c r="T74" s="67">
        <f>IF(B74="","",VLOOKUP(AD74,Varsayımlar!$B:$Q,11,0))</f>
        <v>12</v>
      </c>
      <c r="U74" s="67">
        <f>IF(B74="","",VLOOKUP(AD74,Varsayımlar!$B:$Q,12,0))</f>
        <v>250</v>
      </c>
      <c r="V74" s="67" t="str">
        <f>IF(B74="","",VLOOKUP(AD74,Varsayımlar!$B:$Q,13,0))</f>
        <v>Yurtdışı</v>
      </c>
      <c r="W74" s="67">
        <f>IF(B74="","",VLOOKUP(AD74,Varsayımlar!$B:$Q,14,0))</f>
        <v>6</v>
      </c>
      <c r="X74" s="69"/>
      <c r="Y74" s="69"/>
      <c r="Z74" s="67"/>
      <c r="AA74" s="67" t="str">
        <f>IF(B74="","",VLOOKUP(AD74,Varsayımlar!$B:$Q,15,0))</f>
        <v>15cm koli</v>
      </c>
      <c r="AB74" s="67" t="str">
        <f>IF(B74="","",VLOOKUP(AD74,Varsayımlar!$B:$Q,16,0))</f>
        <v>14-16 cm</v>
      </c>
      <c r="AC74" s="80">
        <f>IF(B74="","",VLOOKUP(Sayfa1!AD91,Varsayımlar!B:S,18,0))</f>
        <v>0</v>
      </c>
      <c r="AD74" s="57" t="str">
        <f t="shared" ref="AD74" si="8">IF(B74="","",CONCATENATE(B74,E74))</f>
        <v>Yüksekbaş GıdaYüksekbaş 15cm 10 pcs 250g</v>
      </c>
    </row>
    <row r="75" spans="1:31" ht="51" hidden="1" customHeight="1" x14ac:dyDescent="0.25">
      <c r="A75" s="8" t="s">
        <v>88</v>
      </c>
      <c r="B75" s="160" t="s">
        <v>553</v>
      </c>
      <c r="C75" s="161">
        <f>IF(B75="","",VLOOKUP(AD75,Varsayımlar!$B:$Q,3,0))</f>
        <v>8698829380698</v>
      </c>
      <c r="D75" s="160"/>
      <c r="E75" s="162" t="s">
        <v>554</v>
      </c>
      <c r="F75" s="160">
        <v>20260629</v>
      </c>
      <c r="G75" s="160"/>
      <c r="H75" s="160" t="str">
        <f>IF(B75="","",VLOOKUP(AD75,Varsayımlar!$B:$Q,5,0))</f>
        <v xml:space="preserve">Tortillove 15cm </v>
      </c>
      <c r="I75" s="160">
        <f>IF(B75="","",VLOOKUP(AD75,Varsayımlar!B:T,19,0))</f>
        <v>0</v>
      </c>
      <c r="J75" s="160" t="str">
        <f>IF(B75="","",VLOOKUP(AD75,Varsayımlar!$B:$Q,6,0))</f>
        <v>Sade</v>
      </c>
      <c r="K75" s="160">
        <v>100</v>
      </c>
      <c r="L75" s="160"/>
      <c r="M75" s="160">
        <f>IFERROR(IF(B75="","",K75/VLOOKUP(AD75,Varsayımlar!B:R,17,0)),"")</f>
        <v>1</v>
      </c>
      <c r="N75" s="160"/>
      <c r="O75" s="160">
        <v>3</v>
      </c>
      <c r="P75" s="160">
        <f>IF(B75="","",VLOOKUP(AD75,Varsayımlar!$B:$Q,7,0)*K75)</f>
        <v>1200</v>
      </c>
      <c r="Q75" s="160">
        <f>IF(B75="","",VLOOKUP(AD75,Varsayımlar!$B:$Q,8,0))</f>
        <v>15</v>
      </c>
      <c r="R75" s="160" t="str">
        <f>IF(B75="","",VLOOKUP(AD75,Varsayımlar!$B:$Q,9,0))</f>
        <v>Irak soft</v>
      </c>
      <c r="S75" s="160">
        <f>IF(B75="","",VLOOKUP(AD75,Varsayımlar!$B:$Q,10,0))</f>
        <v>10</v>
      </c>
      <c r="T75" s="160">
        <f>IF(B75="","",VLOOKUP(AD75,Varsayımlar!$B:$Q,11,0))</f>
        <v>12</v>
      </c>
      <c r="U75" s="160">
        <f>IF(B75="","",VLOOKUP(AD75,Varsayımlar!$B:$Q,12,0))</f>
        <v>250</v>
      </c>
      <c r="V75" s="160" t="str">
        <f>IF(B75="","",VLOOKUP(AD75,Varsayımlar!$B:$Q,13,0))</f>
        <v>Yurtiçi</v>
      </c>
      <c r="W75" s="160">
        <f>IF(B75="","",VLOOKUP(AD75,Varsayımlar!$B:$Q,14,0))</f>
        <v>6</v>
      </c>
      <c r="X75" s="163"/>
      <c r="Y75" s="163"/>
      <c r="Z75" s="160"/>
      <c r="AA75" s="160" t="str">
        <f>IF(B75="","",VLOOKUP(AD75,Varsayımlar!$B:$Q,15,0))</f>
        <v>15cm kolisi</v>
      </c>
      <c r="AB75" s="160" t="str">
        <f>IF(B75="","",VLOOKUP(AD75,Varsayımlar!$B:$Q,16,0))</f>
        <v>14-16cm</v>
      </c>
      <c r="AC75" s="75" t="e">
        <f>IF(B75="","",VLOOKUP(Sayfa1!AD119,Varsayımlar!B:S,18,0))</f>
        <v>#N/A</v>
      </c>
      <c r="AD75" s="57" t="str">
        <f>IF(B75="","",CONCATENATE(B75,E75))</f>
        <v>GıdaserTortillove 15cm 10pcs 250g</v>
      </c>
      <c r="AE75" s="140" t="s">
        <v>541</v>
      </c>
    </row>
    <row r="76" spans="1:31" hidden="1" x14ac:dyDescent="0.25">
      <c r="A76" s="8" t="s">
        <v>89</v>
      </c>
      <c r="B76" s="67"/>
      <c r="C76" s="42" t="str">
        <f>IF(B76="","",VLOOKUP(AD76,#REF!,3,0))</f>
        <v/>
      </c>
      <c r="D76" s="42"/>
      <c r="E76" s="42"/>
      <c r="F76" s="67"/>
      <c r="G76" s="67"/>
      <c r="H76" s="67" t="str">
        <f>IF(B76="","",VLOOKUP(AD76,#REF!,5,0))</f>
        <v/>
      </c>
      <c r="I76" s="67" t="str">
        <f>IF(B76="","",VLOOKUP(AD76,#REF!,19,0))</f>
        <v/>
      </c>
      <c r="J76" s="67" t="str">
        <f>IF(B76="","",VLOOKUP(AD76,#REF!,6,0))</f>
        <v/>
      </c>
      <c r="K76" s="67"/>
      <c r="L76" s="67"/>
      <c r="M76" s="67" t="str">
        <f>IFERROR(IF(B76="","",K76/VLOOKUP(AD76,#REF!,17,0)),"")</f>
        <v/>
      </c>
      <c r="N76" s="67"/>
      <c r="O76" s="67"/>
      <c r="P76" s="67" t="str">
        <f>IF(B76="","",VLOOKUP(AD76,#REF!,7,0)*K76)</f>
        <v/>
      </c>
      <c r="Q76" s="67" t="str">
        <f>IF(B76="","",VLOOKUP(AD76,#REF!,8,0))</f>
        <v/>
      </c>
      <c r="R76" s="67" t="str">
        <f>IF(B76="","",VLOOKUP(AD76,#REF!,9,0))</f>
        <v/>
      </c>
      <c r="S76" s="67" t="str">
        <f>IF(B76="","",VLOOKUP(AD76,#REF!,10,0))</f>
        <v/>
      </c>
      <c r="T76" s="67" t="str">
        <f>IF(B76="","",VLOOKUP(AD76,#REF!,11,0))</f>
        <v/>
      </c>
      <c r="U76" s="67" t="str">
        <f>IF(B76="","",VLOOKUP(AD76,#REF!,12,0))</f>
        <v/>
      </c>
      <c r="V76" s="67" t="str">
        <f>IF(B76="","",VLOOKUP(AD76,#REF!,13,0))</f>
        <v/>
      </c>
      <c r="W76" s="67" t="str">
        <f>IF(B76="","",VLOOKUP(AD76,#REF!,14,0))</f>
        <v/>
      </c>
      <c r="X76" s="69"/>
      <c r="Y76" s="69"/>
      <c r="Z76" s="67"/>
      <c r="AA76" s="67" t="str">
        <f>IF(B76="","",VLOOKUP(AD76,#REF!,15,0))</f>
        <v/>
      </c>
      <c r="AB76" s="67" t="str">
        <f>IF(B76="","",VLOOKUP(AD76,#REF!,16,0))</f>
        <v/>
      </c>
    </row>
    <row r="77" spans="1:31" hidden="1" x14ac:dyDescent="0.25">
      <c r="A77" s="8" t="s">
        <v>90</v>
      </c>
      <c r="B77" s="67"/>
      <c r="C77" s="42" t="str">
        <f>IF(B77="","",VLOOKUP(AD77,#REF!,3,0))</f>
        <v/>
      </c>
      <c r="D77" s="42"/>
      <c r="E77" s="42"/>
      <c r="F77" s="67"/>
      <c r="G77" s="67"/>
      <c r="H77" s="67" t="str">
        <f>IF(B77="","",VLOOKUP(AD77,#REF!,5,0))</f>
        <v/>
      </c>
      <c r="I77" s="67" t="str">
        <f>IF(B77="","",VLOOKUP(AD77,#REF!,19,0))</f>
        <v/>
      </c>
      <c r="J77" s="67" t="str">
        <f>IF(B77="","",VLOOKUP(AD77,#REF!,6,0))</f>
        <v/>
      </c>
      <c r="K77" s="67"/>
      <c r="L77" s="67"/>
      <c r="M77" s="67" t="str">
        <f>IFERROR(IF(B77="","",K77/VLOOKUP(AD77,#REF!,17,0)),"")</f>
        <v/>
      </c>
      <c r="N77" s="67"/>
      <c r="O77" s="67"/>
      <c r="P77" s="67" t="str">
        <f>IF(B77="","",VLOOKUP(AD77,#REF!,7,0)*K77)</f>
        <v/>
      </c>
      <c r="Q77" s="67" t="str">
        <f>IF(B77="","",VLOOKUP(AD77,#REF!,8,0))</f>
        <v/>
      </c>
      <c r="R77" s="67" t="str">
        <f>IF(B77="","",VLOOKUP(AD77,#REF!,9,0))</f>
        <v/>
      </c>
      <c r="S77" s="67" t="str">
        <f>IF(B77="","",VLOOKUP(AD77,#REF!,10,0))</f>
        <v/>
      </c>
      <c r="T77" s="67" t="str">
        <f>IF(B77="","",VLOOKUP(AD77,#REF!,11,0))</f>
        <v/>
      </c>
      <c r="U77" s="67" t="str">
        <f>IF(B77="","",VLOOKUP(AD77,#REF!,12,0))</f>
        <v/>
      </c>
      <c r="V77" s="67" t="str">
        <f>IF(B77="","",VLOOKUP(AD77,#REF!,13,0))</f>
        <v/>
      </c>
      <c r="W77" s="67" t="str">
        <f>IF(B77="","",VLOOKUP(AD77,#REF!,14,0))</f>
        <v/>
      </c>
      <c r="X77" s="69"/>
      <c r="Y77" s="69"/>
      <c r="Z77" s="67"/>
      <c r="AA77" s="67" t="str">
        <f>IF(B77="","",VLOOKUP(AD77,#REF!,15,0))</f>
        <v/>
      </c>
      <c r="AB77" s="67" t="str">
        <f>IF(B77="","",VLOOKUP(AD77,#REF!,16,0))</f>
        <v/>
      </c>
    </row>
    <row r="78" spans="1:31" hidden="1" x14ac:dyDescent="0.25">
      <c r="A78" s="8" t="s">
        <v>91</v>
      </c>
      <c r="B78" s="67"/>
      <c r="C78" s="42" t="str">
        <f>IF(B78="","",VLOOKUP(AD78,#REF!,3,0))</f>
        <v/>
      </c>
      <c r="D78" s="42"/>
      <c r="E78" s="42"/>
      <c r="F78" s="67"/>
      <c r="G78" s="67"/>
      <c r="H78" s="67" t="str">
        <f>IF(B78="","",VLOOKUP(AD78,#REF!,5,0))</f>
        <v/>
      </c>
      <c r="I78" s="67" t="str">
        <f>IF(B78="","",VLOOKUP(AD78,#REF!,19,0))</f>
        <v/>
      </c>
      <c r="J78" s="67" t="str">
        <f>IF(B78="","",VLOOKUP(AD78,#REF!,6,0))</f>
        <v/>
      </c>
      <c r="K78" s="67"/>
      <c r="L78" s="67"/>
      <c r="M78" s="67" t="str">
        <f>IFERROR(IF(B78="","",K78/VLOOKUP(AD78,#REF!,17,0)),"")</f>
        <v/>
      </c>
      <c r="N78" s="67"/>
      <c r="O78" s="67"/>
      <c r="P78" s="67" t="str">
        <f>IF(B78="","",VLOOKUP(AD78,#REF!,7,0)*K78)</f>
        <v/>
      </c>
      <c r="Q78" s="67" t="str">
        <f>IF(B78="","",VLOOKUP(AD78,#REF!,8,0))</f>
        <v/>
      </c>
      <c r="R78" s="67" t="str">
        <f>IF(B78="","",VLOOKUP(AD78,#REF!,9,0))</f>
        <v/>
      </c>
      <c r="S78" s="67" t="str">
        <f>IF(B78="","",VLOOKUP(AD78,#REF!,10,0))</f>
        <v/>
      </c>
      <c r="T78" s="67" t="str">
        <f>IF(B78="","",VLOOKUP(AD78,#REF!,11,0))</f>
        <v/>
      </c>
      <c r="U78" s="67" t="str">
        <f>IF(B78="","",VLOOKUP(AD78,#REF!,12,0))</f>
        <v/>
      </c>
      <c r="V78" s="67" t="str">
        <f>IF(B78="","",VLOOKUP(AD78,#REF!,13,0))</f>
        <v/>
      </c>
      <c r="W78" s="67" t="str">
        <f>IF(B78="","",VLOOKUP(AD78,#REF!,14,0))</f>
        <v/>
      </c>
      <c r="X78" s="69"/>
      <c r="Y78" s="69"/>
      <c r="Z78" s="67"/>
      <c r="AA78" s="67" t="str">
        <f>IF(B78="","",VLOOKUP(AD78,#REF!,15,0))</f>
        <v/>
      </c>
      <c r="AB78" s="67" t="str">
        <f>IF(B78="","",VLOOKUP(AD78,#REF!,16,0))</f>
        <v/>
      </c>
    </row>
    <row r="79" spans="1:31" hidden="1" x14ac:dyDescent="0.25">
      <c r="A79" s="8" t="s">
        <v>92</v>
      </c>
      <c r="B79" s="67"/>
      <c r="C79" s="42" t="str">
        <f>IF(B79="","",VLOOKUP(AD79,#REF!,3,0))</f>
        <v/>
      </c>
      <c r="D79" s="42"/>
      <c r="E79" s="42"/>
      <c r="F79" s="67"/>
      <c r="G79" s="67"/>
      <c r="H79" s="67" t="str">
        <f>IF(B79="","",VLOOKUP(AD79,#REF!,5,0))</f>
        <v/>
      </c>
      <c r="I79" s="67" t="str">
        <f>IF(B79="","",VLOOKUP(AD79,#REF!,19,0))</f>
        <v/>
      </c>
      <c r="J79" s="67" t="str">
        <f>IF(B79="","",VLOOKUP(AD79,#REF!,6,0))</f>
        <v/>
      </c>
      <c r="K79" s="67"/>
      <c r="L79" s="67"/>
      <c r="M79" s="67" t="str">
        <f>IFERROR(IF(B79="","",K79/VLOOKUP(AD79,#REF!,17,0)),"")</f>
        <v/>
      </c>
      <c r="N79" s="67"/>
      <c r="O79" s="67"/>
      <c r="P79" s="67" t="str">
        <f>IF(B79="","",VLOOKUP(AD79,#REF!,7,0)*K79)</f>
        <v/>
      </c>
      <c r="Q79" s="67" t="str">
        <f>IF(B79="","",VLOOKUP(AD79,#REF!,8,0))</f>
        <v/>
      </c>
      <c r="R79" s="67" t="str">
        <f>IF(B79="","",VLOOKUP(AD79,#REF!,9,0))</f>
        <v/>
      </c>
      <c r="S79" s="67" t="str">
        <f>IF(B79="","",VLOOKUP(AD79,#REF!,10,0))</f>
        <v/>
      </c>
      <c r="T79" s="67" t="str">
        <f>IF(B79="","",VLOOKUP(AD79,#REF!,11,0))</f>
        <v/>
      </c>
      <c r="U79" s="67" t="str">
        <f>IF(B79="","",VLOOKUP(AD79,#REF!,12,0))</f>
        <v/>
      </c>
      <c r="V79" s="67" t="str">
        <f>IF(B79="","",VLOOKUP(AD79,#REF!,13,0))</f>
        <v/>
      </c>
      <c r="W79" s="67" t="str">
        <f>IF(B79="","",VLOOKUP(AD79,#REF!,14,0))</f>
        <v/>
      </c>
      <c r="X79" s="69"/>
      <c r="Y79" s="69"/>
      <c r="Z79" s="67"/>
      <c r="AA79" s="67" t="str">
        <f>IF(B79="","",VLOOKUP(AD79,#REF!,15,0))</f>
        <v/>
      </c>
      <c r="AB79" s="67" t="str">
        <f>IF(B79="","",VLOOKUP(AD79,#REF!,16,0))</f>
        <v/>
      </c>
    </row>
    <row r="80" spans="1:31" hidden="1" x14ac:dyDescent="0.25">
      <c r="A80" s="8" t="s">
        <v>93</v>
      </c>
      <c r="B80" s="67"/>
      <c r="C80" s="42" t="str">
        <f>IF(B80="","",VLOOKUP(AD80,#REF!,3,0))</f>
        <v/>
      </c>
      <c r="D80" s="42"/>
      <c r="E80" s="42"/>
      <c r="F80" s="67"/>
      <c r="G80" s="67"/>
      <c r="H80" s="67" t="str">
        <f>IF(B80="","",VLOOKUP(AD80,#REF!,5,0))</f>
        <v/>
      </c>
      <c r="I80" s="67" t="str">
        <f>IF(B80="","",VLOOKUP(AD80,#REF!,19,0))</f>
        <v/>
      </c>
      <c r="J80" s="67" t="str">
        <f>IF(B80="","",VLOOKUP(AD80,#REF!,6,0))</f>
        <v/>
      </c>
      <c r="K80" s="67"/>
      <c r="L80" s="67"/>
      <c r="M80" s="67" t="str">
        <f>IFERROR(IF(B80="","",K80/VLOOKUP(AD80,#REF!,17,0)),"")</f>
        <v/>
      </c>
      <c r="N80" s="67"/>
      <c r="O80" s="67"/>
      <c r="P80" s="67" t="str">
        <f>IF(B80="","",VLOOKUP(AD80,#REF!,7,0)*K80)</f>
        <v/>
      </c>
      <c r="Q80" s="67" t="str">
        <f>IF(B80="","",VLOOKUP(AD80,#REF!,8,0))</f>
        <v/>
      </c>
      <c r="R80" s="67" t="str">
        <f>IF(B80="","",VLOOKUP(AD80,#REF!,9,0))</f>
        <v/>
      </c>
      <c r="S80" s="67" t="str">
        <f>IF(B80="","",VLOOKUP(AD80,#REF!,10,0))</f>
        <v/>
      </c>
      <c r="T80" s="67" t="str">
        <f>IF(B80="","",VLOOKUP(AD80,#REF!,11,0))</f>
        <v/>
      </c>
      <c r="U80" s="67" t="str">
        <f>IF(B80="","",VLOOKUP(AD80,#REF!,12,0))</f>
        <v/>
      </c>
      <c r="V80" s="67" t="str">
        <f>IF(B80="","",VLOOKUP(AD80,#REF!,13,0))</f>
        <v/>
      </c>
      <c r="W80" s="67" t="str">
        <f>IF(B80="","",VLOOKUP(AD80,#REF!,14,0))</f>
        <v/>
      </c>
      <c r="X80" s="69"/>
      <c r="Y80" s="69"/>
      <c r="Z80" s="67"/>
      <c r="AA80" s="67" t="str">
        <f>IF(B80="","",VLOOKUP(AD80,#REF!,15,0))</f>
        <v/>
      </c>
      <c r="AB80" s="67" t="str">
        <f>IF(B80="","",VLOOKUP(AD80,#REF!,16,0))</f>
        <v/>
      </c>
    </row>
    <row r="81" spans="1:28" hidden="1" x14ac:dyDescent="0.25">
      <c r="A81" s="8" t="s">
        <v>135</v>
      </c>
      <c r="B81" s="67"/>
      <c r="C81" s="42" t="str">
        <f>IF(B81="","",VLOOKUP(AD81,#REF!,3,0))</f>
        <v/>
      </c>
      <c r="D81" s="42"/>
      <c r="E81" s="42"/>
      <c r="F81" s="67"/>
      <c r="G81" s="67"/>
      <c r="H81" s="67" t="str">
        <f>IF(B81="","",VLOOKUP(AD81,#REF!,5,0))</f>
        <v/>
      </c>
      <c r="I81" s="67" t="str">
        <f>IF(B81="","",VLOOKUP(AD81,#REF!,19,0))</f>
        <v/>
      </c>
      <c r="J81" s="67" t="str">
        <f>IF(B81="","",VLOOKUP(AD81,#REF!,6,0))</f>
        <v/>
      </c>
      <c r="K81" s="67"/>
      <c r="L81" s="67"/>
      <c r="M81" s="67" t="str">
        <f>IFERROR(IF(B81="","",K81/VLOOKUP(AD81,#REF!,17,0)),"")</f>
        <v/>
      </c>
      <c r="N81" s="67"/>
      <c r="O81" s="67"/>
      <c r="P81" s="67" t="str">
        <f>IF(B81="","",VLOOKUP(AD81,#REF!,7,0)*K81)</f>
        <v/>
      </c>
      <c r="Q81" s="67" t="str">
        <f>IF(B81="","",VLOOKUP(AD81,#REF!,8,0))</f>
        <v/>
      </c>
      <c r="R81" s="67" t="str">
        <f>IF(B81="","",VLOOKUP(AD81,#REF!,9,0))</f>
        <v/>
      </c>
      <c r="S81" s="67" t="str">
        <f>IF(B81="","",VLOOKUP(AD81,#REF!,10,0))</f>
        <v/>
      </c>
      <c r="T81" s="67" t="str">
        <f>IF(B81="","",VLOOKUP(AD81,#REF!,11,0))</f>
        <v/>
      </c>
      <c r="U81" s="67" t="str">
        <f>IF(B81="","",VLOOKUP(AD81,#REF!,12,0))</f>
        <v/>
      </c>
      <c r="V81" s="67" t="str">
        <f>IF(B81="","",VLOOKUP(AD81,#REF!,13,0))</f>
        <v/>
      </c>
      <c r="W81" s="67" t="str">
        <f>IF(B81="","",VLOOKUP(AD81,#REF!,14,0))</f>
        <v/>
      </c>
      <c r="X81" s="69"/>
      <c r="Y81" s="69"/>
      <c r="Z81" s="67"/>
      <c r="AA81" s="67" t="str">
        <f>IF(B81="","",VLOOKUP(AD81,#REF!,15,0))</f>
        <v/>
      </c>
      <c r="AB81" s="67" t="str">
        <f>IF(B81="","",VLOOKUP(AD81,#REF!,16,0))</f>
        <v/>
      </c>
    </row>
    <row r="82" spans="1:28" x14ac:dyDescent="0.25">
      <c r="A82" s="8" t="s">
        <v>136</v>
      </c>
      <c r="B82" s="67"/>
      <c r="C82" s="42" t="str">
        <f>IF(B82="","",VLOOKUP(AD82,#REF!,3,0))</f>
        <v/>
      </c>
      <c r="D82" s="42"/>
      <c r="E82" s="42"/>
      <c r="F82" s="67"/>
      <c r="G82" s="67"/>
      <c r="H82" s="67" t="str">
        <f>IF(B82="","",VLOOKUP(AD82,#REF!,5,0))</f>
        <v/>
      </c>
      <c r="I82" s="67" t="str">
        <f>IF(B82="","",VLOOKUP(AD82,#REF!,19,0))</f>
        <v/>
      </c>
      <c r="J82" s="67" t="str">
        <f>IF(B82="","",VLOOKUP(AD82,#REF!,6,0))</f>
        <v/>
      </c>
      <c r="K82" s="67"/>
      <c r="L82" s="67"/>
      <c r="M82" s="67" t="str">
        <f>IFERROR(IF(B82="","",K82/VLOOKUP(AD82,#REF!,17,0)),"")</f>
        <v/>
      </c>
      <c r="N82" s="67"/>
      <c r="O82" s="67"/>
      <c r="P82" s="67" t="str">
        <f>IF(B82="","",VLOOKUP(AD82,#REF!,7,0)*K82)</f>
        <v/>
      </c>
      <c r="Q82" s="67" t="str">
        <f>IF(B82="","",VLOOKUP(AD82,#REF!,8,0))</f>
        <v/>
      </c>
      <c r="R82" s="67" t="str">
        <f>IF(B82="","",VLOOKUP(AD82,#REF!,9,0))</f>
        <v/>
      </c>
      <c r="S82" s="67" t="str">
        <f>IF(B82="","",VLOOKUP(AD82,#REF!,10,0))</f>
        <v/>
      </c>
      <c r="T82" s="67" t="str">
        <f>IF(B82="","",VLOOKUP(AD82,#REF!,11,0))</f>
        <v/>
      </c>
      <c r="U82" s="67" t="str">
        <f>IF(B82="","",VLOOKUP(AD82,#REF!,12,0))</f>
        <v/>
      </c>
      <c r="V82" s="67" t="str">
        <f>IF(B82="","",VLOOKUP(AD82,#REF!,13,0))</f>
        <v/>
      </c>
      <c r="W82" s="67" t="str">
        <f>IF(B82="","",VLOOKUP(AD82,#REF!,14,0))</f>
        <v/>
      </c>
      <c r="X82" s="69"/>
      <c r="Y82" s="69"/>
      <c r="Z82" s="67"/>
      <c r="AA82" s="67" t="str">
        <f>IF(B82="","",VLOOKUP(AD82,#REF!,15,0))</f>
        <v/>
      </c>
      <c r="AB82" s="67" t="str">
        <f>IF(B82="","",VLOOKUP(AD82,#REF!,16,0))</f>
        <v/>
      </c>
    </row>
  </sheetData>
  <mergeCells count="5">
    <mergeCell ref="A1:AC1"/>
    <mergeCell ref="A2:Z2"/>
    <mergeCell ref="AB2:AC2"/>
    <mergeCell ref="A44:AB44"/>
    <mergeCell ref="A61:AB61"/>
  </mergeCells>
  <phoneticPr fontId="5" type="noConversion"/>
  <pageMargins left="0.31496062992125984" right="0.31496062992125984" top="0.35433070866141736" bottom="0.35433070866141736" header="0.31496062992125984" footer="0.31496062992125984"/>
  <pageSetup paperSize="9" scale="43" fitToHeight="3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8"/>
  <sheetViews>
    <sheetView topLeftCell="A13" zoomScale="70" zoomScaleNormal="70" workbookViewId="0">
      <selection activeCell="K22" sqref="K22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hidden="1" customWidth="1"/>
    <col min="6" max="6" width="14" style="140" customWidth="1"/>
    <col min="7" max="7" width="16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4.57031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1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1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46202</v>
      </c>
      <c r="AB2" s="185">
        <v>0.71527777777777779</v>
      </c>
      <c r="AC2" s="186"/>
    </row>
    <row r="3" spans="1:31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1" ht="47.25" x14ac:dyDescent="0.25">
      <c r="A4" s="8" t="s">
        <v>78</v>
      </c>
      <c r="B4" s="80" t="s">
        <v>218</v>
      </c>
      <c r="C4" s="44">
        <f>IF(B4="","",VLOOKUP(AD4,Varsayımlar!$B:$Q,3,0))</f>
        <v>8698829380698</v>
      </c>
      <c r="D4" s="44" t="s">
        <v>160</v>
      </c>
      <c r="E4" s="80" t="s">
        <v>232</v>
      </c>
      <c r="F4" s="80">
        <v>26042907</v>
      </c>
      <c r="G4" s="44"/>
      <c r="H4" s="80" t="str">
        <f>IF(B4="","",VLOOKUP(AD4,Varsayımlar!$B:$Q,5,0))</f>
        <v>Tortillas Avrupa 25cm Domatesli (074)</v>
      </c>
      <c r="I4" s="80">
        <f>IF(B4="","",VLOOKUP(AD4,Varsayımlar!B:T,19,0))</f>
        <v>0</v>
      </c>
      <c r="J4" s="80" t="str">
        <f>IF(B4="","",VLOOKUP(AD4,Varsayımlar!$B:$Q,6,0))</f>
        <v>Domatesli</v>
      </c>
      <c r="K4" s="80">
        <v>480</v>
      </c>
      <c r="L4" s="80" t="s">
        <v>533</v>
      </c>
      <c r="M4" s="80">
        <f>IFERROR(IF(B4="","",K4/VLOOKUP(AD4,Varsayımlar!B:R,17,0)),"")</f>
        <v>4</v>
      </c>
      <c r="N4" s="80"/>
      <c r="O4" s="80">
        <v>5</v>
      </c>
      <c r="P4" s="80">
        <f>IF(B4="","",VLOOKUP(AD4,Varsayımlar!$B:$Q,7,0)*K4)</f>
        <v>5760</v>
      </c>
      <c r="Q4" s="80">
        <f>IF(B4="","",VLOOKUP(AD4,Varsayımlar!$B:$Q,8,0))</f>
        <v>25</v>
      </c>
      <c r="R4" s="80" t="str">
        <f>IF(B4="","",VLOOKUP(AD4,Varsayımlar!$B:$Q,9,0))</f>
        <v>Irak Soft</v>
      </c>
      <c r="S4" s="80">
        <f>IF(B4="","",VLOOKUP(AD4,Varsayımlar!$B:$Q,10,0))</f>
        <v>6</v>
      </c>
      <c r="T4" s="80">
        <f>IF(B4="","",VLOOKUP(AD4,Varsayımlar!$B:$Q,11,0))</f>
        <v>12</v>
      </c>
      <c r="U4" s="80">
        <f>IF(B4="","",VLOOKUP(AD4,Varsayımlar!$B:$Q,12,0))</f>
        <v>390</v>
      </c>
      <c r="V4" s="80" t="str">
        <f>IF(B4="","",VLOOKUP(AD4,Varsayımlar!$B:$Q,13,0))</f>
        <v>Yurtdışı</v>
      </c>
      <c r="W4" s="80">
        <f>IF(B4="","",VLOOKUP(AD4,Varsayımlar!$B:$Q,14,0))</f>
        <v>9</v>
      </c>
      <c r="X4" s="81">
        <v>46203</v>
      </c>
      <c r="Y4" s="81">
        <v>46476</v>
      </c>
      <c r="Z4" s="80" t="s">
        <v>380</v>
      </c>
      <c r="AA4" s="80" t="str">
        <f>IF(B4="","",VLOOKUP(AD4,Varsayımlar!$B:$Q,15,0))</f>
        <v>25cm Perforeli-Bulgarca Domatesli etiket</v>
      </c>
      <c r="AB4" s="80" t="str">
        <f>IF(B4="","",VLOOKUP(AD4,Varsayımlar!$B:$Q,16,0))</f>
        <v>24-26 cm</v>
      </c>
      <c r="AC4" s="80" t="str">
        <f>IF(B4="","",VLOOKUP(Sayfa1!AD58,Varsayımlar!B:S,18,0))</f>
        <v>80x120cm -Epal+Epal</v>
      </c>
      <c r="AD4" s="57" t="str">
        <f t="shared" ref="AD4:AD20" si="0">IF(B4="","",CONCATENATE(B4,E4))</f>
        <v>TASTE LAND-BULGARİSTANTortillas 25cm Domatesli 6pcs 390g</v>
      </c>
    </row>
    <row r="5" spans="1:31" ht="47.25" x14ac:dyDescent="0.25">
      <c r="A5" s="8" t="s">
        <v>79</v>
      </c>
      <c r="B5" s="80" t="s">
        <v>218</v>
      </c>
      <c r="C5" s="44">
        <f>IF(B5="","",VLOOKUP(AD5,Varsayımlar!$B:$Q,3,0))</f>
        <v>8698829380698</v>
      </c>
      <c r="D5" s="44" t="s">
        <v>160</v>
      </c>
      <c r="E5" s="80" t="s">
        <v>235</v>
      </c>
      <c r="F5" s="80">
        <v>26042907</v>
      </c>
      <c r="G5" s="44"/>
      <c r="H5" s="80" t="str">
        <f>IF(B5="","",VLOOKUP(AD5,Varsayımlar!$B:$Q,5,0))</f>
        <v>Tortillas Avrupa 25cm Ispanaklı (081)</v>
      </c>
      <c r="I5" s="80">
        <f>IF(B5="","",VLOOKUP(AD5,Varsayımlar!B:T,19,0))</f>
        <v>0</v>
      </c>
      <c r="J5" s="80" t="str">
        <f>IF(B5="","",VLOOKUP(AD5,Varsayımlar!$B:$Q,6,0))</f>
        <v>Ispanaklı</v>
      </c>
      <c r="K5" s="80">
        <v>480</v>
      </c>
      <c r="L5" s="80" t="s">
        <v>528</v>
      </c>
      <c r="M5" s="80">
        <f>IFERROR(IF(B5="","",K5/VLOOKUP(AD5,Varsayımlar!B:R,17,0)),"")</f>
        <v>4</v>
      </c>
      <c r="N5" s="80"/>
      <c r="O5" s="80">
        <v>5</v>
      </c>
      <c r="P5" s="80">
        <f>IF(B5="","",VLOOKUP(AD5,Varsayımlar!$B:$Q,7,0)*K5)</f>
        <v>5760</v>
      </c>
      <c r="Q5" s="80">
        <f>IF(B5="","",VLOOKUP(AD5,Varsayımlar!$B:$Q,8,0))</f>
        <v>25</v>
      </c>
      <c r="R5" s="80" t="str">
        <f>IF(B5="","",VLOOKUP(AD5,Varsayımlar!$B:$Q,9,0))</f>
        <v>Irak Soft</v>
      </c>
      <c r="S5" s="80">
        <f>IF(B5="","",VLOOKUP(AD5,Varsayımlar!$B:$Q,10,0))</f>
        <v>6</v>
      </c>
      <c r="T5" s="80">
        <f>IF(B5="","",VLOOKUP(AD5,Varsayımlar!$B:$Q,11,0))</f>
        <v>12</v>
      </c>
      <c r="U5" s="80">
        <f>IF(B5="","",VLOOKUP(AD5,Varsayımlar!$B:$Q,12,0))</f>
        <v>390</v>
      </c>
      <c r="V5" s="80" t="str">
        <f>IF(B5="","",VLOOKUP(AD5,Varsayımlar!$B:$Q,13,0))</f>
        <v>Yurtdışı</v>
      </c>
      <c r="W5" s="80">
        <f>IF(B5="","",VLOOKUP(AD5,Varsayımlar!$B:$Q,14,0))</f>
        <v>9</v>
      </c>
      <c r="X5" s="81">
        <v>46203</v>
      </c>
      <c r="Y5" s="81">
        <v>46476</v>
      </c>
      <c r="Z5" s="80" t="s">
        <v>381</v>
      </c>
      <c r="AA5" s="80" t="str">
        <f>IF(B5="","",VLOOKUP(AD5,Varsayımlar!$B:$Q,15,0))</f>
        <v>25cm Perforeli-Bulgarca Ispanaklı etiket</v>
      </c>
      <c r="AB5" s="80" t="str">
        <f>IF(B5="","",VLOOKUP(AD5,Varsayımlar!$B:$Q,16,0))</f>
        <v>24-26 cm</v>
      </c>
      <c r="AC5" s="80" t="str">
        <f>IF(B5="","",VLOOKUP(Sayfa1!AD59,Varsayımlar!B:S,18,0))</f>
        <v>80x120cm -Epal+Epal</v>
      </c>
      <c r="AD5" s="57" t="str">
        <f t="shared" si="0"/>
        <v>TASTE LAND-BULGARİSTANTortillas 25cm Ispanaklı 6pcs 390g</v>
      </c>
    </row>
    <row r="6" spans="1:31" ht="47.25" x14ac:dyDescent="0.25">
      <c r="A6" s="8" t="s">
        <v>80</v>
      </c>
      <c r="B6" s="80" t="s">
        <v>218</v>
      </c>
      <c r="C6" s="44">
        <f>IF(B6="","",VLOOKUP(AD6,Varsayımlar!$B:$Q,3,0))</f>
        <v>8698829380698</v>
      </c>
      <c r="D6" s="44" t="s">
        <v>160</v>
      </c>
      <c r="E6" s="80" t="s">
        <v>240</v>
      </c>
      <c r="F6" s="80">
        <v>26042907</v>
      </c>
      <c r="G6" s="44"/>
      <c r="H6" s="80" t="str">
        <f>IF(B6="","",VLOOKUP(AD6,Varsayımlar!$B:$Q,5,0))</f>
        <v>Tortillas Avrupa 25cm Peynirli (098)</v>
      </c>
      <c r="I6" s="80">
        <f>IF(B6="","",VLOOKUP(AD6,Varsayımlar!B:T,19,0))</f>
        <v>0</v>
      </c>
      <c r="J6" s="80" t="str">
        <f>IF(B6="","",VLOOKUP(AD6,Varsayımlar!$B:$Q,6,0))</f>
        <v>Peynirli</v>
      </c>
      <c r="K6" s="80">
        <v>360</v>
      </c>
      <c r="L6" s="80" t="s">
        <v>528</v>
      </c>
      <c r="M6" s="80">
        <f>IFERROR(IF(B6="","",K6/VLOOKUP(AD6,Varsayımlar!B:R,17,0)),"")</f>
        <v>3</v>
      </c>
      <c r="N6" s="80"/>
      <c r="O6" s="80">
        <v>4</v>
      </c>
      <c r="P6" s="80">
        <f>IF(B6="","",VLOOKUP(AD6,Varsayımlar!$B:$Q,7,0)*K6)</f>
        <v>4320</v>
      </c>
      <c r="Q6" s="80">
        <f>IF(B6="","",VLOOKUP(AD6,Varsayımlar!$B:$Q,8,0))</f>
        <v>25</v>
      </c>
      <c r="R6" s="80" t="str">
        <f>IF(B6="","",VLOOKUP(AD6,Varsayımlar!$B:$Q,9,0))</f>
        <v>Irak Soft-AT</v>
      </c>
      <c r="S6" s="80">
        <f>IF(B6="","",VLOOKUP(AD6,Varsayımlar!$B:$Q,10,0))</f>
        <v>6</v>
      </c>
      <c r="T6" s="80">
        <f>IF(B6="","",VLOOKUP(AD6,Varsayımlar!$B:$Q,11,0))</f>
        <v>12</v>
      </c>
      <c r="U6" s="80">
        <f>IF(B6="","",VLOOKUP(AD6,Varsayımlar!$B:$Q,12,0))</f>
        <v>390</v>
      </c>
      <c r="V6" s="80" t="str">
        <f>IF(B6="","",VLOOKUP(AD6,Varsayımlar!$B:$Q,13,0))</f>
        <v>Yurtdışı</v>
      </c>
      <c r="W6" s="80">
        <f>IF(B6="","",VLOOKUP(AD6,Varsayımlar!$B:$Q,14,0))</f>
        <v>9</v>
      </c>
      <c r="X6" s="81">
        <v>46203</v>
      </c>
      <c r="Y6" s="81">
        <v>46476</v>
      </c>
      <c r="Z6" s="80" t="s">
        <v>382</v>
      </c>
      <c r="AA6" s="80" t="str">
        <f>IF(B6="","",VLOOKUP(AD6,Varsayımlar!$B:$Q,15,0))</f>
        <v>25cm Perforeli-Bulgarca Peynirli etiket</v>
      </c>
      <c r="AB6" s="80" t="str">
        <f>IF(B6="","",VLOOKUP(AD6,Varsayımlar!$B:$Q,16,0))</f>
        <v>24-26 cm</v>
      </c>
      <c r="AC6" s="80" t="str">
        <f>IF(B6="","",VLOOKUP(Sayfa1!AD60,Varsayımlar!B:S,18,0))</f>
        <v>80x120cm -Epal+Epal</v>
      </c>
      <c r="AD6" s="57" t="str">
        <f t="shared" si="0"/>
        <v>TASTE LAND-BULGARİSTANTortillas 25cm Peynirli 6pcs 390g</v>
      </c>
    </row>
    <row r="7" spans="1:31" ht="78.75" x14ac:dyDescent="0.25">
      <c r="A7" s="8" t="s">
        <v>81</v>
      </c>
      <c r="B7" s="130" t="s">
        <v>119</v>
      </c>
      <c r="C7" s="131">
        <f>IF(B7="","",VLOOKUP(AD7,Varsayımlar!$B:$Q,3,0))</f>
        <v>8698829380698</v>
      </c>
      <c r="D7" s="131"/>
      <c r="E7" s="132" t="s">
        <v>120</v>
      </c>
      <c r="F7" s="130"/>
      <c r="G7" s="130"/>
      <c r="H7" s="130" t="str">
        <f>IF(B7="","",VLOOKUP(AD7,Varsayımlar!$B:$Q,5,0))</f>
        <v>Nimet 25 cm</v>
      </c>
      <c r="I7" s="130"/>
      <c r="J7" s="130" t="str">
        <f>IF(B7="","",VLOOKUP(AD7,Varsayımlar!$B:$Q,6,0))</f>
        <v>SADE</v>
      </c>
      <c r="K7" s="130" t="s">
        <v>558</v>
      </c>
      <c r="L7" s="130"/>
      <c r="M7" s="130" t="str">
        <f>IFERROR(IF(B7="","",K7/VLOOKUP(AD7,Varsayımlar!B:R,17,0)),"")</f>
        <v/>
      </c>
      <c r="N7" s="130"/>
      <c r="O7" s="130">
        <v>24</v>
      </c>
      <c r="P7" s="130" t="e">
        <f>IF(B7="","",VLOOKUP(AD7,Varsayımlar!$B:$Q,7,0)*K7)</f>
        <v>#VALUE!</v>
      </c>
      <c r="Q7" s="130">
        <f>IF(B7="","",VLOOKUP(AD7,Varsayımlar!$B:$Q,8,0))</f>
        <v>25</v>
      </c>
      <c r="R7" s="130" t="str">
        <f>IF(B7="","",VLOOKUP(AD7,Varsayımlar!$B:$Q,9,0))</f>
        <v>Standart</v>
      </c>
      <c r="S7" s="130">
        <f>IF(B7="","",VLOOKUP(AD7,Varsayımlar!$B:$Q,10,0))</f>
        <v>12</v>
      </c>
      <c r="T7" s="130">
        <f>IF(B7="","",VLOOKUP(AD7,Varsayımlar!$B:$Q,11,0))</f>
        <v>12</v>
      </c>
      <c r="U7" s="130">
        <f>IF(B7="","",VLOOKUP(AD7,Varsayımlar!$B:$Q,12,0))</f>
        <v>840</v>
      </c>
      <c r="V7" s="130" t="str">
        <f>IF(B7="","",VLOOKUP(AD7,Varsayımlar!$B:$Q,13,0))</f>
        <v>YURTİÇİ</v>
      </c>
      <c r="W7" s="130">
        <f>IF(B7="","",VLOOKUP(AD7,Varsayımlar!$B:$Q,14,0))</f>
        <v>5</v>
      </c>
      <c r="X7" s="133" t="s">
        <v>113</v>
      </c>
      <c r="Y7" s="133" t="s">
        <v>113</v>
      </c>
      <c r="Z7" s="130" t="s">
        <v>113</v>
      </c>
      <c r="AA7" s="130" t="str">
        <f>IF(B7="","",VLOOKUP(AD7,Varsayımlar!$B:$Q,15,0))</f>
        <v>Nimet Kolisi</v>
      </c>
      <c r="AB7" s="130" t="str">
        <f>IF(B7="","",VLOOKUP(AD7,Varsayımlar!$B:$Q,16,0))</f>
        <v>24-26 CM</v>
      </c>
      <c r="AC7" s="64" t="s">
        <v>360</v>
      </c>
      <c r="AD7" s="57" t="str">
        <f>IF(B7="","",CONCATENATE(B7,E7))</f>
        <v>A101Nimet 25cm 12 pcs 840g</v>
      </c>
      <c r="AE7" s="140" t="s">
        <v>563</v>
      </c>
    </row>
    <row r="8" spans="1:31" ht="47.25" x14ac:dyDescent="0.25">
      <c r="A8" s="8" t="s">
        <v>82</v>
      </c>
      <c r="B8" s="54" t="s">
        <v>268</v>
      </c>
      <c r="C8" s="39">
        <f>IF(B8="","",VLOOKUP(AD8,Varsayımlar!$B:$Q,3,0))</f>
        <v>8698829380698</v>
      </c>
      <c r="D8" s="39" t="s">
        <v>160</v>
      </c>
      <c r="E8" s="54" t="s">
        <v>269</v>
      </c>
      <c r="F8" s="54" t="s">
        <v>343</v>
      </c>
      <c r="G8" s="39" t="s">
        <v>68</v>
      </c>
      <c r="H8" s="54" t="str">
        <f>IF(B8="","",VLOOKUP(AD8,Varsayımlar!$B:$Q,5,0))</f>
        <v>Tortillas 25cm Tam Buğday</v>
      </c>
      <c r="I8" s="54">
        <f>IF(B8="","",VLOOKUP(AD8,Varsayımlar!B:T,19,0))</f>
        <v>0</v>
      </c>
      <c r="J8" s="54" t="str">
        <f>IF(B8="","",VLOOKUP(AD8,Varsayımlar!$B:$Q,6,0))</f>
        <v>Tam Buğdaylı</v>
      </c>
      <c r="K8" s="54">
        <v>336</v>
      </c>
      <c r="L8" s="54"/>
      <c r="M8" s="54">
        <f>IFERROR(IF(B8="","",K8/VLOOKUP(AD8,Varsayımlar!B:R,17,0)),"")</f>
        <v>4</v>
      </c>
      <c r="N8" s="54"/>
      <c r="O8" s="54">
        <v>6</v>
      </c>
      <c r="P8" s="54">
        <f>IF(B8="","",VLOOKUP(AD8,Varsayımlar!$B:$Q,7,0)*K8)</f>
        <v>10080</v>
      </c>
      <c r="Q8" s="54">
        <f>IF(B8="","",VLOOKUP(AD8,Varsayımlar!$B:$Q,8,0))</f>
        <v>25</v>
      </c>
      <c r="R8" s="54" t="str">
        <f>IF(B8="","",VLOOKUP(AD8,Varsayımlar!$B:$Q,9,0))</f>
        <v>Soft-PA3</v>
      </c>
      <c r="S8" s="54">
        <f>IF(B8="","",VLOOKUP(AD8,Varsayımlar!$B:$Q,10,0))</f>
        <v>4</v>
      </c>
      <c r="T8" s="54">
        <f>IF(B8="","",VLOOKUP(AD8,Varsayımlar!$B:$Q,11,0))</f>
        <v>30</v>
      </c>
      <c r="U8" s="54">
        <f>IF(B8="","",VLOOKUP(AD8,Varsayımlar!$B:$Q,12,0))</f>
        <v>240</v>
      </c>
      <c r="V8" s="54" t="str">
        <f>IF(B8="","",VLOOKUP(AD8,Varsayımlar!$B:$Q,13,0))</f>
        <v>Yurtdışı</v>
      </c>
      <c r="W8" s="54">
        <f>IF(B8="","",VLOOKUP(AD8,Varsayımlar!$B:$Q,14,0))</f>
        <v>12</v>
      </c>
      <c r="X8" s="56">
        <v>46205</v>
      </c>
      <c r="Y8" s="56">
        <v>46570</v>
      </c>
      <c r="Z8" s="54" t="s">
        <v>383</v>
      </c>
      <c r="AA8" s="54" t="str">
        <f>IF(B8="","",VLOOKUP(AD8,Varsayımlar!$B:$Q,15,0))</f>
        <v>25cm Kolisi-Etiketli</v>
      </c>
      <c r="AB8" s="54" t="str">
        <f>IF(B8="","",VLOOKUP(AD8,Varsayımlar!$B:$Q,16,0))</f>
        <v>24-26 cm (Macca Hetto Inkjet Uzun Tarih)</v>
      </c>
      <c r="AC8" s="54" t="str">
        <f>IF(B8="","",VLOOKUP(Sayfa1!AD36,Varsayımlar!B:S,18,0))</f>
        <v>80x120cm</v>
      </c>
      <c r="AD8" s="57" t="str">
        <f t="shared" si="0"/>
        <v>LAIKYUZHN-BELARUSTortillas 25cm Tam buğday 4pcs 240g</v>
      </c>
    </row>
    <row r="9" spans="1:31" ht="47.25" x14ac:dyDescent="0.25">
      <c r="A9" s="8" t="s">
        <v>83</v>
      </c>
      <c r="B9" s="54" t="s">
        <v>268</v>
      </c>
      <c r="C9" s="39">
        <f>IF(B9="","",VLOOKUP(AD9,Varsayımlar!$B:$Q,3,0))</f>
        <v>8698829380698</v>
      </c>
      <c r="D9" s="39" t="s">
        <v>160</v>
      </c>
      <c r="E9" s="54" t="s">
        <v>274</v>
      </c>
      <c r="F9" s="54" t="s">
        <v>343</v>
      </c>
      <c r="G9" s="39" t="s">
        <v>68</v>
      </c>
      <c r="H9" s="54" t="str">
        <f>IF(B9="","",VLOOKUP(AD9,Varsayımlar!$B:$Q,5,0))</f>
        <v>Tortillas 25cm Domatesli</v>
      </c>
      <c r="I9" s="54">
        <f>IF(B9="","",VLOOKUP(AD9,Varsayımlar!B:T,19,0))</f>
        <v>0</v>
      </c>
      <c r="J9" s="54" t="str">
        <f>IF(B9="","",VLOOKUP(AD9,Varsayımlar!$B:$Q,6,0))</f>
        <v>Domatesli</v>
      </c>
      <c r="K9" s="54">
        <v>420</v>
      </c>
      <c r="L9" s="54"/>
      <c r="M9" s="54">
        <f>IFERROR(IF(B9="","",K9/VLOOKUP(AD9,Varsayımlar!B:R,17,0)),"")</f>
        <v>5</v>
      </c>
      <c r="N9" s="54"/>
      <c r="O9" s="54">
        <v>7</v>
      </c>
      <c r="P9" s="54">
        <f>IF(B9="","",VLOOKUP(AD9,Varsayımlar!$B:$Q,7,0)*K9)</f>
        <v>12600</v>
      </c>
      <c r="Q9" s="54">
        <f>IF(B9="","",VLOOKUP(AD9,Varsayımlar!$B:$Q,8,0))</f>
        <v>25</v>
      </c>
      <c r="R9" s="54" t="str">
        <f>IF(B9="","",VLOOKUP(AD9,Varsayımlar!$B:$Q,9,0))</f>
        <v>Soft-PA3</v>
      </c>
      <c r="S9" s="54">
        <f>IF(B9="","",VLOOKUP(AD9,Varsayımlar!$B:$Q,10,0))</f>
        <v>4</v>
      </c>
      <c r="T9" s="54">
        <f>IF(B9="","",VLOOKUP(AD9,Varsayımlar!$B:$Q,11,0))</f>
        <v>30</v>
      </c>
      <c r="U9" s="54">
        <f>IF(B9="","",VLOOKUP(AD9,Varsayımlar!$B:$Q,12,0))</f>
        <v>240</v>
      </c>
      <c r="V9" s="54" t="str">
        <f>IF(B9="","",VLOOKUP(AD9,Varsayımlar!$B:$Q,13,0))</f>
        <v>Yurtdışı</v>
      </c>
      <c r="W9" s="54">
        <f>IF(B9="","",VLOOKUP(AD9,Varsayımlar!$B:$Q,14,0))</f>
        <v>12</v>
      </c>
      <c r="X9" s="56">
        <v>46205</v>
      </c>
      <c r="Y9" s="56">
        <v>46570</v>
      </c>
      <c r="Z9" s="54" t="s">
        <v>384</v>
      </c>
      <c r="AA9" s="54" t="str">
        <f>IF(B9="","",VLOOKUP(AD9,Varsayımlar!$B:$Q,15,0))</f>
        <v>25cm Kolisi-Etiketli</v>
      </c>
      <c r="AB9" s="54" t="str">
        <f>IF(B9="","",VLOOKUP(AD9,Varsayımlar!$B:$Q,16,0))</f>
        <v>24-26 cm (Macca Hetto Inkjet Uzun Tarih)</v>
      </c>
      <c r="AC9" s="54" t="str">
        <f>IF(B9="","",VLOOKUP(Sayfa1!AD37,Varsayımlar!B:S,18,0))</f>
        <v>80x120cm</v>
      </c>
      <c r="AD9" s="57" t="str">
        <f t="shared" si="0"/>
        <v>LAIKYUZHN-BELARUSTortillas 25cm Domatesli 4pcs 240g</v>
      </c>
    </row>
    <row r="10" spans="1:31" ht="47.25" x14ac:dyDescent="0.25">
      <c r="A10" s="8" t="s">
        <v>84</v>
      </c>
      <c r="B10" s="54" t="s">
        <v>268</v>
      </c>
      <c r="C10" s="39">
        <f>IF(B10="","",VLOOKUP(AD10,Varsayımlar!$B:$Q,3,0))</f>
        <v>8698829380698</v>
      </c>
      <c r="D10" s="39" t="s">
        <v>160</v>
      </c>
      <c r="E10" s="54" t="s">
        <v>276</v>
      </c>
      <c r="F10" s="54" t="s">
        <v>343</v>
      </c>
      <c r="G10" s="39" t="s">
        <v>68</v>
      </c>
      <c r="H10" s="54" t="str">
        <f>IF(B10="","",VLOOKUP(AD10,Varsayımlar!$B:$Q,5,0))</f>
        <v>Tortillas 25cm Ispanaklı</v>
      </c>
      <c r="I10" s="54">
        <f>IF(B10="","",VLOOKUP(AD10,Varsayımlar!B:T,19,0))</f>
        <v>0</v>
      </c>
      <c r="J10" s="54" t="str">
        <f>IF(B10="","",VLOOKUP(AD10,Varsayımlar!$B:$Q,6,0))</f>
        <v>Ispanaklı</v>
      </c>
      <c r="K10" s="54">
        <v>336</v>
      </c>
      <c r="L10" s="54"/>
      <c r="M10" s="54">
        <f>IFERROR(IF(B10="","",K10/VLOOKUP(AD10,Varsayımlar!B:R,17,0)),"")</f>
        <v>4</v>
      </c>
      <c r="N10" s="54"/>
      <c r="O10" s="54">
        <v>6</v>
      </c>
      <c r="P10" s="54">
        <f>IF(B10="","",VLOOKUP(AD10,Varsayımlar!$B:$Q,7,0)*K10)</f>
        <v>10080</v>
      </c>
      <c r="Q10" s="54">
        <f>IF(B10="","",VLOOKUP(AD10,Varsayımlar!$B:$Q,8,0))</f>
        <v>25</v>
      </c>
      <c r="R10" s="54" t="str">
        <f>IF(B10="","",VLOOKUP(AD10,Varsayımlar!$B:$Q,9,0))</f>
        <v>Soft-PA3</v>
      </c>
      <c r="S10" s="54">
        <f>IF(B10="","",VLOOKUP(AD10,Varsayımlar!$B:$Q,10,0))</f>
        <v>4</v>
      </c>
      <c r="T10" s="54">
        <f>IF(B10="","",VLOOKUP(AD10,Varsayımlar!$B:$Q,11,0))</f>
        <v>30</v>
      </c>
      <c r="U10" s="54">
        <f>IF(B10="","",VLOOKUP(AD10,Varsayımlar!$B:$Q,12,0))</f>
        <v>240</v>
      </c>
      <c r="V10" s="54" t="str">
        <f>IF(B10="","",VLOOKUP(AD10,Varsayımlar!$B:$Q,13,0))</f>
        <v>Yurtdışı</v>
      </c>
      <c r="W10" s="54">
        <f>IF(B10="","",VLOOKUP(AD10,Varsayımlar!$B:$Q,14,0))</f>
        <v>12</v>
      </c>
      <c r="X10" s="56">
        <v>46205</v>
      </c>
      <c r="Y10" s="56">
        <v>46570</v>
      </c>
      <c r="Z10" s="54" t="s">
        <v>385</v>
      </c>
      <c r="AA10" s="54" t="str">
        <f>IF(B10="","",VLOOKUP(AD10,Varsayımlar!$B:$Q,15,0))</f>
        <v>25cm Kolisi-Etiketli</v>
      </c>
      <c r="AB10" s="54" t="str">
        <f>IF(B10="","",VLOOKUP(AD10,Varsayımlar!$B:$Q,16,0))</f>
        <v>24-26 cm (Macca Hetto Inkjet Uzun Tarih)</v>
      </c>
      <c r="AC10" s="54" t="str">
        <f>IF(B10="","",VLOOKUP(Sayfa1!AD38,Varsayımlar!B:S,18,0))</f>
        <v>80x120cm</v>
      </c>
      <c r="AD10" s="57" t="str">
        <f t="shared" si="0"/>
        <v>LAIKYUZHN-BELARUSTortillas 25cm Ispanaklı 4pcs 240g</v>
      </c>
    </row>
    <row r="11" spans="1:31" ht="47.25" x14ac:dyDescent="0.25">
      <c r="A11" s="8" t="s">
        <v>85</v>
      </c>
      <c r="B11" s="54" t="s">
        <v>268</v>
      </c>
      <c r="C11" s="39">
        <f>IF(B11="","",VLOOKUP(AD11,Varsayımlar!$B:$Q,3,0))</f>
        <v>8698829380698</v>
      </c>
      <c r="D11" s="39" t="s">
        <v>160</v>
      </c>
      <c r="E11" s="54" t="s">
        <v>278</v>
      </c>
      <c r="F11" s="54" t="s">
        <v>343</v>
      </c>
      <c r="G11" s="39" t="s">
        <v>68</v>
      </c>
      <c r="H11" s="54" t="str">
        <f>IF(B11="","",VLOOKUP(AD11,Varsayımlar!$B:$Q,5,0))</f>
        <v>Magnit Tortillas 25cm Peynirli</v>
      </c>
      <c r="I11" s="54" t="str">
        <f>IF(B11="","",VLOOKUP(AD11,Varsayımlar!B:T,19,0))</f>
        <v>Etiketli</v>
      </c>
      <c r="J11" s="54" t="str">
        <f>IF(B11="","",VLOOKUP(AD11,Varsayımlar!$B:$Q,6,0))</f>
        <v>Peynirli</v>
      </c>
      <c r="K11" s="54">
        <v>504</v>
      </c>
      <c r="L11" s="54"/>
      <c r="M11" s="54">
        <f>IFERROR(IF(B11="","",K11/VLOOKUP(AD11,Varsayımlar!B:R,17,0)),"")</f>
        <v>6</v>
      </c>
      <c r="N11" s="54"/>
      <c r="O11" s="54">
        <v>9</v>
      </c>
      <c r="P11" s="54">
        <f>IF(B11="","",VLOOKUP(AD11,Varsayımlar!$B:$Q,7,0)*K11)</f>
        <v>15120</v>
      </c>
      <c r="Q11" s="54">
        <f>IF(B11="","",VLOOKUP(AD11,Varsayımlar!$B:$Q,8,0))</f>
        <v>25</v>
      </c>
      <c r="R11" s="54" t="str">
        <f>IF(B11="","",VLOOKUP(AD11,Varsayımlar!$B:$Q,9,0))</f>
        <v>Soft-PA3-AT</v>
      </c>
      <c r="S11" s="54">
        <f>IF(B11="","",VLOOKUP(AD11,Varsayımlar!$B:$Q,10,0))</f>
        <v>4</v>
      </c>
      <c r="T11" s="54">
        <f>IF(B11="","",VLOOKUP(AD11,Varsayımlar!$B:$Q,11,0))</f>
        <v>30</v>
      </c>
      <c r="U11" s="54">
        <f>IF(B11="","",VLOOKUP(AD11,Varsayımlar!$B:$Q,12,0))</f>
        <v>250</v>
      </c>
      <c r="V11" s="54" t="str">
        <f>IF(B11="","",VLOOKUP(AD11,Varsayımlar!$B:$Q,13,0))</f>
        <v>Yurtdışı</v>
      </c>
      <c r="W11" s="54">
        <f>IF(B11="","",VLOOKUP(AD11,Varsayımlar!$B:$Q,14,0))</f>
        <v>9</v>
      </c>
      <c r="X11" s="56">
        <v>46205</v>
      </c>
      <c r="Y11" s="56">
        <v>46479</v>
      </c>
      <c r="Z11" s="54" t="s">
        <v>386</v>
      </c>
      <c r="AA11" s="54" t="str">
        <f>IF(B11="","",VLOOKUP(AD11,Varsayımlar!$B:$Q,15,0))</f>
        <v>25cm Kolisi-Etiketli</v>
      </c>
      <c r="AB11" s="54" t="str">
        <f>IF(B11="","",VLOOKUP(AD11,Varsayımlar!$B:$Q,16,0))</f>
        <v>24-26 cm (Macca Hetto Inkjet Uzun Tarih)</v>
      </c>
      <c r="AC11" s="54" t="str">
        <f>IF(B11="","",VLOOKUP(Sayfa1!AD39,Varsayımlar!B:S,18,0))</f>
        <v>80x120cm</v>
      </c>
      <c r="AD11" s="57" t="str">
        <f t="shared" si="0"/>
        <v>LAIKYUZHN-BELARUSMagnit Tortillas 25cm Peynirli 4pcs 240g</v>
      </c>
    </row>
    <row r="12" spans="1:31" ht="45.75" customHeight="1" x14ac:dyDescent="0.25">
      <c r="A12" s="8" t="s">
        <v>86</v>
      </c>
      <c r="B12" s="130" t="s">
        <v>119</v>
      </c>
      <c r="C12" s="131">
        <f>IF(B12="","",VLOOKUP(AD12,Varsayımlar!$B:$Q,3,0))</f>
        <v>8698829380698</v>
      </c>
      <c r="D12" s="131"/>
      <c r="E12" s="132" t="s">
        <v>120</v>
      </c>
      <c r="F12" s="130"/>
      <c r="G12" s="130"/>
      <c r="H12" s="130" t="str">
        <f>IF(B12="","",VLOOKUP(AD12,Varsayımlar!$B:$Q,5,0))</f>
        <v>Nimet 25 cm</v>
      </c>
      <c r="I12" s="130"/>
      <c r="J12" s="130" t="str">
        <f>IF(B12="","",VLOOKUP(AD12,Varsayımlar!$B:$Q,6,0))</f>
        <v>SADE</v>
      </c>
      <c r="K12" s="130">
        <v>5000</v>
      </c>
      <c r="L12" s="130"/>
      <c r="M12" s="130">
        <f>IFERROR(IF(B12="","",K12/VLOOKUP(AD12,Varsayımlar!B:R,17,0)),"")</f>
        <v>100</v>
      </c>
      <c r="N12" s="130"/>
      <c r="O12" s="130">
        <v>100</v>
      </c>
      <c r="P12" s="130">
        <f>IF(B12="","",VLOOKUP(AD12,Varsayımlar!$B:$Q,7,0)*K12)</f>
        <v>60000</v>
      </c>
      <c r="Q12" s="130">
        <f>IF(B12="","",VLOOKUP(AD12,Varsayımlar!$B:$Q,8,0))</f>
        <v>25</v>
      </c>
      <c r="R12" s="130" t="str">
        <f>IF(B12="","",VLOOKUP(AD12,Varsayımlar!$B:$Q,9,0))</f>
        <v>Standart</v>
      </c>
      <c r="S12" s="130">
        <f>IF(B12="","",VLOOKUP(AD12,Varsayımlar!$B:$Q,10,0))</f>
        <v>12</v>
      </c>
      <c r="T12" s="130">
        <f>IF(B12="","",VLOOKUP(AD12,Varsayımlar!$B:$Q,11,0))</f>
        <v>12</v>
      </c>
      <c r="U12" s="130">
        <f>IF(B12="","",VLOOKUP(AD12,Varsayımlar!$B:$Q,12,0))</f>
        <v>840</v>
      </c>
      <c r="V12" s="130" t="str">
        <f>IF(B12="","",VLOOKUP(AD12,Varsayımlar!$B:$Q,13,0))</f>
        <v>YURTİÇİ</v>
      </c>
      <c r="W12" s="130">
        <f>IF(B12="","",VLOOKUP(AD12,Varsayımlar!$B:$Q,14,0))</f>
        <v>5</v>
      </c>
      <c r="X12" s="133" t="s">
        <v>113</v>
      </c>
      <c r="Y12" s="133" t="s">
        <v>113</v>
      </c>
      <c r="Z12" s="130" t="s">
        <v>113</v>
      </c>
      <c r="AA12" s="130" t="str">
        <f>IF(B12="","",VLOOKUP(AD12,Varsayımlar!$B:$Q,15,0))</f>
        <v>Nimet Kolisi</v>
      </c>
      <c r="AB12" s="130" t="str">
        <f>IF(B12="","",VLOOKUP(AD12,Varsayımlar!$B:$Q,16,0))</f>
        <v>24-26 CM</v>
      </c>
      <c r="AC12" s="64" t="s">
        <v>360</v>
      </c>
      <c r="AD12" s="57" t="str">
        <f>IF(B12="","",CONCATENATE(B12,E12))</f>
        <v>A101Nimet 25cm 12 pcs 840g</v>
      </c>
    </row>
    <row r="13" spans="1:31" ht="47.25" x14ac:dyDescent="0.25">
      <c r="A13" s="8" t="s">
        <v>87</v>
      </c>
      <c r="B13" s="75" t="s">
        <v>218</v>
      </c>
      <c r="C13" s="43">
        <f>IF(B13="","",VLOOKUP(AD13,Varsayımlar!$B:$Q,3,0))</f>
        <v>8698829380698</v>
      </c>
      <c r="D13" s="43" t="s">
        <v>161</v>
      </c>
      <c r="E13" s="75" t="s">
        <v>252</v>
      </c>
      <c r="F13" s="75" t="s">
        <v>561</v>
      </c>
      <c r="G13" s="43"/>
      <c r="H13" s="75" t="str">
        <f>IF(B13="","",VLOOKUP(AD13,Varsayımlar!$B:$Q,5,0))</f>
        <v xml:space="preserve">Tortillas 20cm Sade </v>
      </c>
      <c r="I13" s="75" t="str">
        <f>IF(B13="","",VLOOKUP(AD13,Varsayımlar!B:T,19,0))</f>
        <v>Barkod üzerine Barkod Etiketi (104)</v>
      </c>
      <c r="J13" s="75" t="str">
        <f>IF(B13="","",VLOOKUP(AD13,Varsayımlar!$B:$Q,6,0))</f>
        <v>SADE</v>
      </c>
      <c r="K13" s="75">
        <v>120</v>
      </c>
      <c r="L13" s="75"/>
      <c r="M13" s="75">
        <f>IFERROR(IF(B13="","",K13/VLOOKUP(AD13,Varsayımlar!B:R,17,0)),"")</f>
        <v>1</v>
      </c>
      <c r="N13" s="75"/>
      <c r="O13" s="75">
        <v>2</v>
      </c>
      <c r="P13" s="75">
        <f>IF(B13="","",VLOOKUP(AD13,Varsayımlar!$B:$Q,7,0)*K13)</f>
        <v>2160</v>
      </c>
      <c r="Q13" s="75">
        <f>IF(B13="","",VLOOKUP(AD13,Varsayımlar!$B:$Q,8,0))</f>
        <v>20</v>
      </c>
      <c r="R13" s="75" t="str">
        <f>IF(B13="","",VLOOKUP(AD13,Varsayımlar!$B:$Q,9,0))</f>
        <v>Irak Soft</v>
      </c>
      <c r="S13" s="75">
        <f>IF(B13="","",VLOOKUP(AD13,Varsayımlar!$B:$Q,10,0))</f>
        <v>6</v>
      </c>
      <c r="T13" s="75">
        <f>IF(B13="","",VLOOKUP(AD13,Varsayımlar!$B:$Q,11,0))</f>
        <v>18</v>
      </c>
      <c r="U13" s="75">
        <f>IF(B13="","",VLOOKUP(AD13,Varsayımlar!$B:$Q,12,0))</f>
        <v>270</v>
      </c>
      <c r="V13" s="75" t="str">
        <f>IF(B13="","",VLOOKUP(AD13,Varsayımlar!$B:$Q,13,0))</f>
        <v>Yurtdışı</v>
      </c>
      <c r="W13" s="75">
        <f>IF(B13="","",VLOOKUP(AD13,Varsayımlar!$B:$Q,14,0))</f>
        <v>9</v>
      </c>
      <c r="X13" s="76">
        <v>46213</v>
      </c>
      <c r="Y13" s="76">
        <v>46487</v>
      </c>
      <c r="Z13" s="75">
        <v>26071020</v>
      </c>
      <c r="AA13" s="75" t="str">
        <f>IF(B13="","",VLOOKUP(AD13,Varsayımlar!$B:$Q,15,0))</f>
        <v>20cm Lacivert-Bulgarca Etiket</v>
      </c>
      <c r="AB13" s="75" t="str">
        <f>IF(B13="","",VLOOKUP(AD13,Varsayımlar!$B:$Q,16,0))</f>
        <v>19-21 cm</v>
      </c>
      <c r="AC13" s="75" t="str">
        <f>IF(B13="","",VLOOKUP(Sayfa1!AD21,Varsayımlar!B:S,18,0))</f>
        <v>100x120cm-Epal+Epal</v>
      </c>
      <c r="AD13" s="57" t="str">
        <f t="shared" si="0"/>
        <v>TASTE LAND-BULGARİSTANTortillas 20cm Sade 6pcs 270g</v>
      </c>
    </row>
    <row r="14" spans="1:31" ht="31.5" x14ac:dyDescent="0.25">
      <c r="A14" s="8" t="s">
        <v>88</v>
      </c>
      <c r="B14" s="75" t="s">
        <v>218</v>
      </c>
      <c r="C14" s="43">
        <f>IF(B14="","",VLOOKUP(AD14,Varsayımlar!$B:$Q,3,0))</f>
        <v>8698829380698</v>
      </c>
      <c r="D14" s="43" t="s">
        <v>161</v>
      </c>
      <c r="E14" s="75" t="s">
        <v>229</v>
      </c>
      <c r="F14" s="75" t="s">
        <v>561</v>
      </c>
      <c r="G14" s="43"/>
      <c r="H14" s="75" t="str">
        <f>IF(B14="","",VLOOKUP(AD14,Varsayımlar!$B:$Q,5,0))</f>
        <v>Tortillas Avrupa 25cm Tam Buğday (711)</v>
      </c>
      <c r="I14" s="75">
        <f>IF(B14="","",VLOOKUP(AD14,Varsayımlar!B:T,19,0))</f>
        <v>0</v>
      </c>
      <c r="J14" s="75" t="str">
        <f>IF(B14="","",VLOOKUP(AD14,Varsayımlar!$B:$Q,6,0))</f>
        <v>Tam Buğdaylı</v>
      </c>
      <c r="K14" s="75">
        <v>600</v>
      </c>
      <c r="L14" s="75"/>
      <c r="M14" s="75">
        <f>IFERROR(IF(B14="","",K14/VLOOKUP(AD14,Varsayımlar!B:R,17,0)),"")</f>
        <v>5</v>
      </c>
      <c r="N14" s="75"/>
      <c r="O14" s="75">
        <v>7</v>
      </c>
      <c r="P14" s="75">
        <f>IF(B14="","",VLOOKUP(AD14,Varsayımlar!$B:$Q,7,0)*K14)</f>
        <v>4800</v>
      </c>
      <c r="Q14" s="75">
        <f>IF(B14="","",VLOOKUP(AD14,Varsayımlar!$B:$Q,8,0))</f>
        <v>25</v>
      </c>
      <c r="R14" s="75" t="str">
        <f>IF(B14="","",VLOOKUP(AD14,Varsayımlar!$B:$Q,9,0))</f>
        <v>Irak Soft</v>
      </c>
      <c r="S14" s="75">
        <f>IF(B14="","",VLOOKUP(AD14,Varsayımlar!$B:$Q,10,0))</f>
        <v>10</v>
      </c>
      <c r="T14" s="75">
        <f>IF(B14="","",VLOOKUP(AD14,Varsayımlar!$B:$Q,11,0))</f>
        <v>8</v>
      </c>
      <c r="U14" s="75">
        <f>IF(B14="","",VLOOKUP(AD14,Varsayımlar!$B:$Q,12,0))</f>
        <v>650</v>
      </c>
      <c r="V14" s="75" t="str">
        <f>IF(B14="","",VLOOKUP(AD14,Varsayımlar!$B:$Q,13,0))</f>
        <v>Yurtdışı</v>
      </c>
      <c r="W14" s="75">
        <f>IF(B14="","",VLOOKUP(AD14,Varsayımlar!$B:$Q,14,0))</f>
        <v>9</v>
      </c>
      <c r="X14" s="76">
        <v>46213</v>
      </c>
      <c r="Y14" s="76">
        <v>46487</v>
      </c>
      <c r="Z14" s="75" t="s">
        <v>562</v>
      </c>
      <c r="AA14" s="75" t="str">
        <f>IF(B14="","",VLOOKUP(AD14,Varsayımlar!$B:$Q,15,0))</f>
        <v>25cm Perforeli-Bulgarca TB etiket</v>
      </c>
      <c r="AB14" s="75" t="str">
        <f>IF(B14="","",VLOOKUP(AD14,Varsayımlar!$B:$Q,16,0))</f>
        <v>24-26 cm</v>
      </c>
      <c r="AC14" s="75" t="str">
        <f>IF(B14="","",VLOOKUP(Sayfa1!AD63,Varsayımlar!B:S,18,0))</f>
        <v>80x120cm -Epal+Epal</v>
      </c>
      <c r="AD14" s="57" t="str">
        <f t="shared" si="0"/>
        <v>TASTE LAND-BULGARİSTANTortillas 25cm Tam Buğday 10pcs 650g</v>
      </c>
    </row>
    <row r="15" spans="1:31" ht="31.5" x14ac:dyDescent="0.25">
      <c r="A15" s="8" t="s">
        <v>89</v>
      </c>
      <c r="B15" s="75" t="s">
        <v>218</v>
      </c>
      <c r="C15" s="43">
        <f>IF(B15="","",VLOOKUP(AD15,Varsayımlar!$B:$Q,3,0))</f>
        <v>8698829380698</v>
      </c>
      <c r="D15" s="43" t="s">
        <v>161</v>
      </c>
      <c r="E15" s="43" t="s">
        <v>560</v>
      </c>
      <c r="F15" s="75" t="s">
        <v>561</v>
      </c>
      <c r="G15" s="43" t="s">
        <v>564</v>
      </c>
      <c r="H15" s="75" t="str">
        <f>IF(B15="","",VLOOKUP(AD15,Varsayımlar!$B:$Q,5,0))</f>
        <v>Baskısız 30cm</v>
      </c>
      <c r="I15" s="75" t="str">
        <f>IF(B15="","",VLOOKUP(AD15,Varsayımlar!B:T,19,0))</f>
        <v>Etiketli</v>
      </c>
      <c r="J15" s="75" t="str">
        <f>IF(B15="","",VLOOKUP(AD15,Varsayımlar!$B:$Q,6,0))</f>
        <v>Tam Buğdaylı</v>
      </c>
      <c r="K15" s="75">
        <v>252</v>
      </c>
      <c r="L15" s="75"/>
      <c r="M15" s="75">
        <f>IFERROR(IF(B15="","",K15/VLOOKUP(AD15,Varsayımlar!B:R,17,0)),"")</f>
        <v>3</v>
      </c>
      <c r="N15" s="75"/>
      <c r="O15" s="75">
        <v>4</v>
      </c>
      <c r="P15" s="75">
        <f>IF(B15="","",VLOOKUP(AD15,Varsayımlar!$B:$Q,7,0)*K15)</f>
        <v>1512</v>
      </c>
      <c r="Q15" s="75">
        <f>IF(B15="","",VLOOKUP(AD15,Varsayımlar!$B:$Q,8,0))</f>
        <v>25</v>
      </c>
      <c r="R15" s="75" t="str">
        <f>IF(B15="","",VLOOKUP(AD15,Varsayımlar!$B:$Q,9,0))</f>
        <v>Irak soft</v>
      </c>
      <c r="S15" s="75">
        <f>IF(B15="","",VLOOKUP(AD15,Varsayımlar!$B:$Q,10,0))</f>
        <v>18</v>
      </c>
      <c r="T15" s="75">
        <f>IF(B15="","",VLOOKUP(AD15,Varsayımlar!$B:$Q,11,0))</f>
        <v>6</v>
      </c>
      <c r="U15" s="75">
        <f>IF(B15="","",VLOOKUP(AD15,Varsayımlar!$B:$Q,12,0))</f>
        <v>1170</v>
      </c>
      <c r="V15" s="75" t="str">
        <f>IF(B15="","",VLOOKUP(AD15,Varsayımlar!$B:$Q,13,0))</f>
        <v>YURTDIŞI</v>
      </c>
      <c r="W15" s="75">
        <f>IF(B15="","",VLOOKUP(AD15,Varsayımlar!$B:$Q,14,0))</f>
        <v>9</v>
      </c>
      <c r="X15" s="76">
        <v>46213</v>
      </c>
      <c r="Y15" s="76">
        <v>46487</v>
      </c>
      <c r="Z15" s="75" t="s">
        <v>562</v>
      </c>
      <c r="AA15" s="75" t="str">
        <f>IF(B15="","",VLOOKUP(AD15,Varsayımlar!$B:$Q,15,0))</f>
        <v>25cm Kolisi-Etiketli</v>
      </c>
      <c r="AB15" s="75" t="str">
        <f>IF(B15="","",VLOOKUP(AD15,Varsayımlar!$B:$Q,16,0))</f>
        <v>24-26cm</v>
      </c>
      <c r="AC15" s="75" t="str">
        <f>IF(B15="","",VLOOKUP(Sayfa1!AD64,Varsayımlar!B:S,18,0))</f>
        <v>80x120cm -Epal+Epal</v>
      </c>
      <c r="AD15" s="57" t="str">
        <f t="shared" si="0"/>
        <v>TASTE LAND-BULGARİSTANBaskısız 30cm 18pcs 1170g</v>
      </c>
    </row>
    <row r="16" spans="1:31" ht="47.25" x14ac:dyDescent="0.25">
      <c r="A16" s="8" t="s">
        <v>90</v>
      </c>
      <c r="B16" s="75" t="s">
        <v>218</v>
      </c>
      <c r="C16" s="43">
        <f>IF(B16="","",VLOOKUP(AD16,Varsayımlar!$B:$Q,3,0))</f>
        <v>8698829380698</v>
      </c>
      <c r="D16" s="43" t="s">
        <v>161</v>
      </c>
      <c r="E16" s="75" t="s">
        <v>232</v>
      </c>
      <c r="F16" s="75" t="s">
        <v>561</v>
      </c>
      <c r="G16" s="43"/>
      <c r="H16" s="75" t="str">
        <f>IF(B16="","",VLOOKUP(AD16,Varsayımlar!$B:$Q,5,0))</f>
        <v>Tortillas Avrupa 25cm Domatesli (074)</v>
      </c>
      <c r="I16" s="75">
        <f>IF(B16="","",VLOOKUP(AD16,Varsayımlar!B:T,19,0))</f>
        <v>0</v>
      </c>
      <c r="J16" s="75" t="str">
        <f>IF(B16="","",VLOOKUP(AD16,Varsayımlar!$B:$Q,6,0))</f>
        <v>Domatesli</v>
      </c>
      <c r="K16" s="75">
        <v>600</v>
      </c>
      <c r="L16" s="75"/>
      <c r="M16" s="75">
        <f>IFERROR(IF(B16="","",K16/VLOOKUP(AD16,Varsayımlar!B:R,17,0)),"")</f>
        <v>5</v>
      </c>
      <c r="N16" s="75"/>
      <c r="O16" s="75">
        <v>6</v>
      </c>
      <c r="P16" s="75">
        <f>IF(B16="","",VLOOKUP(AD16,Varsayımlar!$B:$Q,7,0)*K16)</f>
        <v>7200</v>
      </c>
      <c r="Q16" s="75">
        <f>IF(B16="","",VLOOKUP(AD16,Varsayımlar!$B:$Q,8,0))</f>
        <v>25</v>
      </c>
      <c r="R16" s="75" t="str">
        <f>IF(B16="","",VLOOKUP(AD16,Varsayımlar!$B:$Q,9,0))</f>
        <v>Irak Soft</v>
      </c>
      <c r="S16" s="75">
        <f>IF(B16="","",VLOOKUP(AD16,Varsayımlar!$B:$Q,10,0))</f>
        <v>6</v>
      </c>
      <c r="T16" s="75">
        <f>IF(B16="","",VLOOKUP(AD16,Varsayımlar!$B:$Q,11,0))</f>
        <v>12</v>
      </c>
      <c r="U16" s="75">
        <f>IF(B16="","",VLOOKUP(AD16,Varsayımlar!$B:$Q,12,0))</f>
        <v>390</v>
      </c>
      <c r="V16" s="75" t="str">
        <f>IF(B16="","",VLOOKUP(AD16,Varsayımlar!$B:$Q,13,0))</f>
        <v>Yurtdışı</v>
      </c>
      <c r="W16" s="75">
        <f>IF(B16="","",VLOOKUP(AD16,Varsayımlar!$B:$Q,14,0))</f>
        <v>9</v>
      </c>
      <c r="X16" s="76">
        <v>46213</v>
      </c>
      <c r="Y16" s="76">
        <v>46487</v>
      </c>
      <c r="Z16" s="75" t="s">
        <v>565</v>
      </c>
      <c r="AA16" s="75" t="str">
        <f>IF(B16="","",VLOOKUP(AD16,Varsayımlar!$B:$Q,15,0))</f>
        <v>25cm Perforeli-Bulgarca Domatesli etiket</v>
      </c>
      <c r="AB16" s="75" t="str">
        <f>IF(B16="","",VLOOKUP(AD16,Varsayımlar!$B:$Q,16,0))</f>
        <v>24-26 cm</v>
      </c>
      <c r="AC16" s="75" t="str">
        <f>IF(B16="","",VLOOKUP(Sayfa1!AD65,Varsayımlar!B:S,18,0))</f>
        <v>80x120cm -Epal+Epal</v>
      </c>
      <c r="AD16" s="57" t="str">
        <f t="shared" si="0"/>
        <v>TASTE LAND-BULGARİSTANTortillas 25cm Domatesli 6pcs 390g</v>
      </c>
    </row>
    <row r="17" spans="1:30" ht="47.25" x14ac:dyDescent="0.25">
      <c r="A17" s="8" t="s">
        <v>91</v>
      </c>
      <c r="B17" s="75" t="s">
        <v>218</v>
      </c>
      <c r="C17" s="43">
        <f>IF(B17="","",VLOOKUP(AD17,Varsayımlar!$B:$Q,3,0))</f>
        <v>8698829380698</v>
      </c>
      <c r="D17" s="43" t="s">
        <v>161</v>
      </c>
      <c r="E17" s="75" t="s">
        <v>235</v>
      </c>
      <c r="F17" s="75" t="s">
        <v>561</v>
      </c>
      <c r="G17" s="43"/>
      <c r="H17" s="75" t="str">
        <f>IF(B17="","",VLOOKUP(AD17,Varsayımlar!$B:$Q,5,0))</f>
        <v>Tortillas Avrupa 25cm Ispanaklı (081)</v>
      </c>
      <c r="I17" s="75">
        <f>IF(B17="","",VLOOKUP(AD17,Varsayımlar!B:T,19,0))</f>
        <v>0</v>
      </c>
      <c r="J17" s="75" t="str">
        <f>IF(B17="","",VLOOKUP(AD17,Varsayımlar!$B:$Q,6,0))</f>
        <v>Ispanaklı</v>
      </c>
      <c r="K17" s="75">
        <v>600</v>
      </c>
      <c r="L17" s="75"/>
      <c r="M17" s="75">
        <f>IFERROR(IF(B17="","",K17/VLOOKUP(AD17,Varsayımlar!B:R,17,0)),"")</f>
        <v>5</v>
      </c>
      <c r="N17" s="75"/>
      <c r="O17" s="75">
        <v>6</v>
      </c>
      <c r="P17" s="75">
        <f>IF(B17="","",VLOOKUP(AD17,Varsayımlar!$B:$Q,7,0)*K17)</f>
        <v>7200</v>
      </c>
      <c r="Q17" s="75">
        <f>IF(B17="","",VLOOKUP(AD17,Varsayımlar!$B:$Q,8,0))</f>
        <v>25</v>
      </c>
      <c r="R17" s="75" t="str">
        <f>IF(B17="","",VLOOKUP(AD17,Varsayımlar!$B:$Q,9,0))</f>
        <v>Irak Soft</v>
      </c>
      <c r="S17" s="75">
        <f>IF(B17="","",VLOOKUP(AD17,Varsayımlar!$B:$Q,10,0))</f>
        <v>6</v>
      </c>
      <c r="T17" s="75">
        <f>IF(B17="","",VLOOKUP(AD17,Varsayımlar!$B:$Q,11,0))</f>
        <v>12</v>
      </c>
      <c r="U17" s="75">
        <f>IF(B17="","",VLOOKUP(AD17,Varsayımlar!$B:$Q,12,0))</f>
        <v>390</v>
      </c>
      <c r="V17" s="75" t="str">
        <f>IF(B17="","",VLOOKUP(AD17,Varsayımlar!$B:$Q,13,0))</f>
        <v>Yurtdışı</v>
      </c>
      <c r="W17" s="75">
        <f>IF(B17="","",VLOOKUP(AD17,Varsayımlar!$B:$Q,14,0))</f>
        <v>9</v>
      </c>
      <c r="X17" s="76">
        <v>46213</v>
      </c>
      <c r="Y17" s="76">
        <v>46487</v>
      </c>
      <c r="Z17" s="75" t="s">
        <v>566</v>
      </c>
      <c r="AA17" s="75" t="str">
        <f>IF(B17="","",VLOOKUP(AD17,Varsayımlar!$B:$Q,15,0))</f>
        <v>25cm Perforeli-Bulgarca Ispanaklı etiket</v>
      </c>
      <c r="AB17" s="75" t="str">
        <f>IF(B17="","",VLOOKUP(AD17,Varsayımlar!$B:$Q,16,0))</f>
        <v>24-26 cm</v>
      </c>
      <c r="AC17" s="75" t="str">
        <f>IF(B17="","",VLOOKUP(Sayfa1!AD66,Varsayımlar!B:S,18,0))</f>
        <v>80x120cm -Epal+Epal</v>
      </c>
      <c r="AD17" s="57" t="str">
        <f t="shared" si="0"/>
        <v>TASTE LAND-BULGARİSTANTortillas 25cm Ispanaklı 6pcs 390g</v>
      </c>
    </row>
    <row r="18" spans="1:30" ht="55.5" customHeight="1" x14ac:dyDescent="0.25">
      <c r="A18" s="8" t="s">
        <v>92</v>
      </c>
      <c r="B18" s="67" t="s">
        <v>460</v>
      </c>
      <c r="C18" s="42">
        <f>IF(B18="","",VLOOKUP(AD18,Varsayımlar!$B:$Q,3,0))</f>
        <v>8698829380698</v>
      </c>
      <c r="D18" s="67" t="s">
        <v>540</v>
      </c>
      <c r="E18" s="67" t="s">
        <v>464</v>
      </c>
      <c r="F18" s="67">
        <v>20260414</v>
      </c>
      <c r="G18" s="67"/>
      <c r="H18" s="67" t="str">
        <f>IF(B18="","",VLOOKUP(AD18,Varsayımlar!$B:$Q,5,0))</f>
        <v>Tortillove 20cm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300</v>
      </c>
      <c r="L18" s="67"/>
      <c r="M18" s="67">
        <f>IFERROR(IF(B18="","",K18/VLOOKUP(AD18,Varsayımlar!B:R,17,0)),"")</f>
        <v>3</v>
      </c>
      <c r="N18" s="67"/>
      <c r="O18" s="67">
        <v>5</v>
      </c>
      <c r="P18" s="67">
        <f>IF(B18="","",VLOOKUP(AD18,Varsayımlar!$B:$Q,7,0)*K18)</f>
        <v>3600</v>
      </c>
      <c r="Q18" s="67">
        <f>IF(B18="","",VLOOKUP(AD18,Varsayımlar!$B:$Q,8,0))</f>
        <v>20</v>
      </c>
      <c r="R18" s="67" t="str">
        <f>IF(B18="","",VLOOKUP(AD18,Varsayımlar!$B:$Q,9,0))</f>
        <v>Irak Soft</v>
      </c>
      <c r="S18" s="67">
        <f>IF(B18="","",VLOOKUP(AD18,Varsayımlar!$B:$Q,10,0))</f>
        <v>10</v>
      </c>
      <c r="T18" s="67">
        <f>IF(B18="","",VLOOKUP(AD18,Varsayımlar!$B:$Q,11,0))</f>
        <v>12</v>
      </c>
      <c r="U18" s="67">
        <f>IF(B18="","",VLOOKUP(AD18,Varsayımlar!$B:$Q,12,0))</f>
        <v>450</v>
      </c>
      <c r="V18" s="67" t="str">
        <f>IF(B18="","",VLOOKUP(AD18,Varsayımlar!$B:$Q,13,0))</f>
        <v>Yurtdışı</v>
      </c>
      <c r="W18" s="67">
        <f>IF(B18="","",VLOOKUP(AD18,Varsayımlar!$B:$Q,14,0))</f>
        <v>6</v>
      </c>
      <c r="X18" s="69">
        <v>46216</v>
      </c>
      <c r="Y18" s="69">
        <v>46400</v>
      </c>
      <c r="Z18" s="67">
        <v>26071320</v>
      </c>
      <c r="AA18" s="67" t="str">
        <f>IF(B18="","",VLOOKUP(AD18,Varsayımlar!$B:$Q,15,0))</f>
        <v>20cm kolisi</v>
      </c>
      <c r="AB18" s="67" t="str">
        <f>IF(B18="","",VLOOKUP(AD18,Varsayımlar!$B:$Q,16,0))</f>
        <v>19-21 cm</v>
      </c>
      <c r="AC18" s="75">
        <f>IF(B18="","",VLOOKUP(Sayfa1!AD69,Varsayımlar!B:S,18,0))</f>
        <v>0</v>
      </c>
      <c r="AD18" s="57" t="str">
        <f t="shared" si="0"/>
        <v>Yüksekbaş GıdaYüksekbaş 20cm 10pcs 450g</v>
      </c>
    </row>
    <row r="19" spans="1:30" ht="61.5" customHeight="1" x14ac:dyDescent="0.25">
      <c r="A19" s="8" t="s">
        <v>93</v>
      </c>
      <c r="B19" s="67" t="s">
        <v>460</v>
      </c>
      <c r="C19" s="42">
        <f>IF(B19="","",VLOOKUP(AD19,Varsayımlar!$B:$Q,3,0))</f>
        <v>8698829380698</v>
      </c>
      <c r="D19" s="67" t="s">
        <v>540</v>
      </c>
      <c r="E19" s="67" t="s">
        <v>470</v>
      </c>
      <c r="F19" s="67">
        <v>20260414</v>
      </c>
      <c r="G19" s="67"/>
      <c r="H19" s="67" t="str">
        <f>IF(B19="","",VLOOKUP(AD19,Varsayımlar!$B:$Q,5,0))</f>
        <v>Tortillove 30cm</v>
      </c>
      <c r="I19" s="67">
        <f>IF(B19="","",VLOOKUP(AD19,Varsayımlar!B:T,19,0))</f>
        <v>0</v>
      </c>
      <c r="J19" s="67" t="str">
        <f>IF(B19="","",VLOOKUP(AD19,Varsayımlar!$B:$Q,6,0))</f>
        <v>SADE</v>
      </c>
      <c r="K19" s="67">
        <v>792</v>
      </c>
      <c r="L19" s="67" t="s">
        <v>559</v>
      </c>
      <c r="M19" s="67">
        <f>IFERROR(IF(B19="","",K19/VLOOKUP(AD19,Varsayımlar!B:R,17,0)),"")</f>
        <v>12</v>
      </c>
      <c r="N19" s="67"/>
      <c r="O19" s="67">
        <v>14</v>
      </c>
      <c r="P19" s="67">
        <f>IF(B19="","",VLOOKUP(AD19,Varsayımlar!$B:$Q,7,0)*K19)</f>
        <v>9504</v>
      </c>
      <c r="Q19" s="67">
        <f>IF(B19="","",VLOOKUP(AD19,Varsayımlar!$B:$Q,8,0))</f>
        <v>30</v>
      </c>
      <c r="R19" s="67" t="str">
        <f>IF(B19="","",VLOOKUP(AD19,Varsayımlar!$B:$Q,9,0))</f>
        <v>Irak Soft</v>
      </c>
      <c r="S19" s="67">
        <f>IF(B19="","",VLOOKUP(AD19,Varsayımlar!$B:$Q,10,0))</f>
        <v>10</v>
      </c>
      <c r="T19" s="67">
        <f>IF(B19="","",VLOOKUP(AD19,Varsayımlar!$B:$Q,11,0))</f>
        <v>12</v>
      </c>
      <c r="U19" s="67">
        <f>IF(B19="","",VLOOKUP(AD19,Varsayımlar!$B:$Q,12,0))</f>
        <v>950</v>
      </c>
      <c r="V19" s="67" t="str">
        <f>IF(B19="","",VLOOKUP(AD19,Varsayımlar!$B:$Q,13,0))</f>
        <v>Yurtdışı</v>
      </c>
      <c r="W19" s="67">
        <f>IF(B19="","",VLOOKUP(AD19,Varsayımlar!$B:$Q,14,0))</f>
        <v>6</v>
      </c>
      <c r="X19" s="69">
        <v>46216</v>
      </c>
      <c r="Y19" s="69">
        <v>46400</v>
      </c>
      <c r="Z19" s="67">
        <v>26071330</v>
      </c>
      <c r="AA19" s="67" t="str">
        <f>IF(B19="","",VLOOKUP(AD19,Varsayımlar!$B:$Q,15,0))</f>
        <v>30cm Kolisi</v>
      </c>
      <c r="AB19" s="67" t="str">
        <f>IF(B19="","",VLOOKUP(AD19,Varsayımlar!$B:$Q,16,0))</f>
        <v>29-31 cm</v>
      </c>
      <c r="AC19" s="75">
        <f>IF(B19="","",VLOOKUP(Sayfa1!AD69,Varsayımlar!B:S,18,0))</f>
        <v>0</v>
      </c>
      <c r="AD19" s="57" t="str">
        <f t="shared" si="0"/>
        <v>Yüksekbaş GıdaYüksekbaş 30cm 10pcs 950g</v>
      </c>
    </row>
    <row r="20" spans="1:30" ht="47.25" x14ac:dyDescent="0.25">
      <c r="A20" s="8" t="s">
        <v>135</v>
      </c>
      <c r="B20" s="58" t="s">
        <v>346</v>
      </c>
      <c r="C20" s="147">
        <f>IF(B20="","",VLOOKUP(AD20,Varsayımlar!$B:$Q,3,0))</f>
        <v>8698829380698</v>
      </c>
      <c r="D20" s="40">
        <v>48</v>
      </c>
      <c r="E20" s="59" t="s">
        <v>162</v>
      </c>
      <c r="F20" s="58"/>
      <c r="G20" s="58"/>
      <c r="H20" s="58" t="str">
        <f>IF(B20="","",VLOOKUP(AD20,Varsayımlar!$B:$Q,5,0))</f>
        <v>Hanami 20cm Sade 4 pcs 166g (067)</v>
      </c>
      <c r="I20" s="58" t="str">
        <f>IF(B20="","",VLOOKUP(AD20,Varsayımlar!B:T,19,0))</f>
        <v>Ambalaj kaç aylık kontrol?</v>
      </c>
      <c r="J20" s="58" t="str">
        <f>IF(B20="","",VLOOKUP(AD20,Varsayımlar!$B:$Q,6,0))</f>
        <v>SADE</v>
      </c>
      <c r="K20" s="58">
        <v>3080</v>
      </c>
      <c r="L20" s="58"/>
      <c r="M20" s="58">
        <f>IFERROR(IF(B20="","",K20/VLOOKUP(AD20,Varsayımlar!B:R,17,0)),"")</f>
        <v>22</v>
      </c>
      <c r="N20" s="58"/>
      <c r="O20" s="58">
        <v>52</v>
      </c>
      <c r="P20" s="58">
        <f>IF(B20="","",VLOOKUP(AD20,Varsayımlar!$B:$Q,7,0)*K20)</f>
        <v>92400</v>
      </c>
      <c r="Q20" s="58">
        <f>IF(B20="","",VLOOKUP(AD20,Varsayımlar!$B:$Q,8,0))</f>
        <v>20</v>
      </c>
      <c r="R20" s="58" t="str">
        <f>IF(B20="","",VLOOKUP(AD20,Varsayımlar!$B:$Q,9,0))</f>
        <v>Irak Soft</v>
      </c>
      <c r="S20" s="58">
        <f>IF(B20="","",VLOOKUP(AD20,Varsayımlar!$B:$Q,10,0))</f>
        <v>4</v>
      </c>
      <c r="T20" s="58">
        <f>IF(B20="","",VLOOKUP(AD20,Varsayımlar!$B:$Q,11,0))</f>
        <v>30</v>
      </c>
      <c r="U20" s="58">
        <f>IF(B20="","",VLOOKUP(AD20,Varsayımlar!$B:$Q,12,0))</f>
        <v>166</v>
      </c>
      <c r="V20" s="58" t="str">
        <f>IF(B20="","",VLOOKUP(AD20,Varsayımlar!$B:$Q,13,0))</f>
        <v>Yurtdışı</v>
      </c>
      <c r="W20" s="58">
        <f>IF(B20="","",VLOOKUP(AD20,Varsayımlar!$B:$Q,14,0))</f>
        <v>9</v>
      </c>
      <c r="X20" s="60">
        <v>46218</v>
      </c>
      <c r="Y20" s="60">
        <v>46492</v>
      </c>
      <c r="Z20" s="58">
        <v>26071520</v>
      </c>
      <c r="AA20" s="58" t="str">
        <f>IF(B20="","",VLOOKUP(AD20,Varsayımlar!$B:$Q,15,0))</f>
        <v>Hanami Mavi Koli -Üretim Tarihi+9 AYI KAPATACAK ETİKETLİ</v>
      </c>
      <c r="AB20" s="58" t="str">
        <f>IF(B20="","",VLOOKUP(AD20,Varsayımlar!$B:$Q,16,0))</f>
        <v>19-21 cm</v>
      </c>
      <c r="AC20" s="8" t="e">
        <f>IF(B20="","",VLOOKUP(#REF!,#REF!,18,0))</f>
        <v>#REF!</v>
      </c>
      <c r="AD20" s="8" t="str">
        <f t="shared" si="0"/>
        <v xml:space="preserve">GermesHanami 20cm sade 4pcs 166g </v>
      </c>
    </row>
    <row r="21" spans="1:30" ht="39" customHeight="1" x14ac:dyDescent="0.25">
      <c r="A21" s="8" t="s">
        <v>136</v>
      </c>
      <c r="B21" s="58" t="s">
        <v>346</v>
      </c>
      <c r="C21" s="147">
        <f>IF(B21="","",VLOOKUP(AD21,Varsayımlar!$B:$Q,3,0))</f>
        <v>8698829380698</v>
      </c>
      <c r="D21" s="40">
        <v>48</v>
      </c>
      <c r="E21" s="59" t="s">
        <v>166</v>
      </c>
      <c r="F21" s="58"/>
      <c r="G21" s="58"/>
      <c r="H21" s="58" t="str">
        <f>IF(B21="","",VLOOKUP(AD21,Varsayımlar!$B:$Q,5,0))</f>
        <v>Tortillas 20cm (Etiketli)</v>
      </c>
      <c r="I21" s="58" t="str">
        <f>IF(B21="","",VLOOKUP(AD21,Varsayımlar!B:T,19,0))</f>
        <v>Etiketli</v>
      </c>
      <c r="J21" s="58" t="str">
        <f>IF(B21="","",VLOOKUP(AD21,Varsayımlar!$B:$Q,6,0))</f>
        <v>SADE</v>
      </c>
      <c r="K21" s="58">
        <v>280</v>
      </c>
      <c r="L21" s="58"/>
      <c r="M21" s="58">
        <f>IFERROR(IF(B21="","",K21/VLOOKUP(AD21,Varsayımlar!B:R,17,0)),"")</f>
        <v>2</v>
      </c>
      <c r="N21" s="58"/>
      <c r="O21" s="58">
        <v>5</v>
      </c>
      <c r="P21" s="58">
        <f>IF(B21="","",VLOOKUP(AD21,Varsayımlar!$B:$Q,7,0)*K21)</f>
        <v>8400</v>
      </c>
      <c r="Q21" s="58">
        <f>IF(B21="","",VLOOKUP(AD21,Varsayımlar!$B:$Q,8,0))</f>
        <v>20</v>
      </c>
      <c r="R21" s="58" t="str">
        <f>IF(B21="","",VLOOKUP(AD21,Varsayımlar!$B:$Q,9,0))</f>
        <v>Irak soft</v>
      </c>
      <c r="S21" s="58">
        <f>IF(B21="","",VLOOKUP(AD21,Varsayımlar!$B:$Q,10,0))</f>
        <v>4</v>
      </c>
      <c r="T21" s="58">
        <f>IF(B21="","",VLOOKUP(AD21,Varsayımlar!$B:$Q,11,0))</f>
        <v>30</v>
      </c>
      <c r="U21" s="58">
        <f>IF(B21="","",VLOOKUP(AD21,Varsayımlar!$B:$Q,12,0))</f>
        <v>166</v>
      </c>
      <c r="V21" s="58" t="str">
        <f>IF(B21="","",VLOOKUP(AD21,Varsayımlar!$B:$Q,13,0))</f>
        <v>Yurtdışı</v>
      </c>
      <c r="W21" s="58">
        <f>IF(B21="","",VLOOKUP(AD21,Varsayımlar!$B:$Q,14,0))</f>
        <v>9</v>
      </c>
      <c r="X21" s="60">
        <v>46218</v>
      </c>
      <c r="Y21" s="60">
        <v>46492</v>
      </c>
      <c r="Z21" s="58">
        <v>26071520</v>
      </c>
      <c r="AA21" s="58" t="str">
        <f>IF(B21="","",VLOOKUP(AD21,Varsayımlar!$B:$Q,15,0))</f>
        <v>20cm Koli-Üretim Tarihli Etiket</v>
      </c>
      <c r="AB21" s="58" t="str">
        <f>IF(B21="","",VLOOKUP(AD21,Varsayımlar!$B:$Q,16,0))</f>
        <v>19-21 cm</v>
      </c>
      <c r="AC21" s="8" t="e">
        <f>IF(B21="","",VLOOKUP(#REF!,#REF!,18,0))</f>
        <v>#REF!</v>
      </c>
      <c r="AD21" s="8" t="str">
        <f>IF(B21="","",CONCATENATE(B21,E21))</f>
        <v>GermesTortillas 20cm 4 lü 166g</v>
      </c>
    </row>
    <row r="22" spans="1:30" ht="39.75" customHeight="1" x14ac:dyDescent="0.25">
      <c r="A22" s="8" t="s">
        <v>137</v>
      </c>
      <c r="B22" s="58" t="s">
        <v>346</v>
      </c>
      <c r="C22" s="147">
        <f>IF(B22="","",VLOOKUP(AD22,Varsayımlar!$B:$Q,3,0))</f>
        <v>8698829380698</v>
      </c>
      <c r="D22" s="40">
        <v>48</v>
      </c>
      <c r="E22" s="59" t="s">
        <v>168</v>
      </c>
      <c r="F22" s="58"/>
      <c r="G22" s="58"/>
      <c r="H22" s="58" t="str">
        <f>IF(B22="","",VLOOKUP(AD22,Varsayımlar!$B:$Q,5,0))</f>
        <v>Hanami Peynirli 20cm (050)</v>
      </c>
      <c r="I22" s="58" t="str">
        <f>IF(B22="","",VLOOKUP(AD22,Varsayımlar!B:T,19,0))</f>
        <v>Ambalaj kaç aylık kontrol?</v>
      </c>
      <c r="J22" s="58" t="str">
        <f>IF(B22="","",VLOOKUP(AD22,Varsayımlar!$B:$Q,6,0))</f>
        <v>PEYNİRLİ</v>
      </c>
      <c r="K22" s="58">
        <v>280</v>
      </c>
      <c r="L22" s="58" t="s">
        <v>531</v>
      </c>
      <c r="M22" s="58">
        <f>IFERROR(IF(B22="","",K22/VLOOKUP(AD22,Varsayımlar!B:R,17,0)),"")</f>
        <v>2</v>
      </c>
      <c r="N22" s="58"/>
      <c r="O22" s="58">
        <v>6</v>
      </c>
      <c r="P22" s="58">
        <f>IF(B22="","",VLOOKUP(AD22,Varsayımlar!$B:$Q,7,0)*K22)</f>
        <v>8400</v>
      </c>
      <c r="Q22" s="58">
        <f>IF(B22="","",VLOOKUP(AD22,Varsayımlar!$B:$Q,8,0))</f>
        <v>20</v>
      </c>
      <c r="R22" s="58" t="str">
        <f>IF(B22="","",VLOOKUP(AD22,Varsayımlar!$B:$Q,9,0))</f>
        <v>Irak Soft-AT</v>
      </c>
      <c r="S22" s="58">
        <f>IF(B22="","",VLOOKUP(AD22,Varsayımlar!$B:$Q,10,0))</f>
        <v>4</v>
      </c>
      <c r="T22" s="58">
        <f>IF(B22="","",VLOOKUP(AD22,Varsayımlar!$B:$Q,11,0))</f>
        <v>30</v>
      </c>
      <c r="U22" s="58">
        <f>IF(B22="","",VLOOKUP(AD22,Varsayımlar!$B:$Q,12,0))</f>
        <v>166</v>
      </c>
      <c r="V22" s="58" t="str">
        <f>IF(B22="","",VLOOKUP(AD22,Varsayımlar!$B:$Q,13,0))</f>
        <v>YURTDIŞI</v>
      </c>
      <c r="W22" s="58">
        <f>IF(B22="","",VLOOKUP(AD22,Varsayımlar!$B:$Q,14,0))</f>
        <v>9</v>
      </c>
      <c r="X22" s="60">
        <v>46218</v>
      </c>
      <c r="Y22" s="60">
        <v>46492</v>
      </c>
      <c r="Z22" s="58" t="s">
        <v>495</v>
      </c>
      <c r="AA22" s="58" t="str">
        <f>IF(B22="","",VLOOKUP(AD22,Varsayımlar!$B:$Q,15,0))</f>
        <v>HANAMİ SARI KOLİ-ÜRETİM TARİHİ BASILACAK</v>
      </c>
      <c r="AB22" s="58" t="str">
        <f>IF(B22="","",VLOOKUP(AD22,Varsayımlar!$B:$Q,16,0))</f>
        <v>19-21 CM</v>
      </c>
      <c r="AC22" s="8" t="e">
        <f>IF(B22="","",VLOOKUP(#REF!,#REF!,18,0))</f>
        <v>#REF!</v>
      </c>
      <c r="AD22" s="8" t="str">
        <f t="shared" ref="AD22:AD36" si="1">IF(B22="","",CONCATENATE(B22,E22))</f>
        <v>GermesHanami Peynirli 20cm 4 lü 166g</v>
      </c>
    </row>
    <row r="23" spans="1:30" ht="51" customHeight="1" x14ac:dyDescent="0.25">
      <c r="A23" s="8" t="s">
        <v>138</v>
      </c>
      <c r="B23" s="164" t="s">
        <v>256</v>
      </c>
      <c r="C23" s="165">
        <f>IF(B23="","",VLOOKUP(AD23,Varsayımlar!$B:$Q,3,0))</f>
        <v>8698829380698</v>
      </c>
      <c r="D23" s="164"/>
      <c r="E23" s="164" t="s">
        <v>551</v>
      </c>
      <c r="F23" s="164">
        <v>20260629</v>
      </c>
      <c r="G23" s="164"/>
      <c r="H23" s="164" t="str">
        <f>IF(B23="","",VLOOKUP(AD23,Varsayımlar!$B:$Q,5,0))</f>
        <v>Tortillove 33 cm</v>
      </c>
      <c r="I23" s="164">
        <f>IF(B23="","",VLOOKUP(AD23,Varsayımlar!B:T,19,0))</f>
        <v>0</v>
      </c>
      <c r="J23" s="164" t="str">
        <f>IF(B23="","",VLOOKUP(AD23,Varsayımlar!$B:$Q,6,0))</f>
        <v>Sade</v>
      </c>
      <c r="K23" s="164">
        <v>60</v>
      </c>
      <c r="L23" s="164"/>
      <c r="M23" s="164" t="str">
        <f>IFERROR(IF(B23="","",K23/VLOOKUP(AD23,Varsayımlar!B:R,17,0)),"")</f>
        <v/>
      </c>
      <c r="N23" s="164"/>
      <c r="O23" s="164">
        <v>2</v>
      </c>
      <c r="P23" s="164">
        <f>IF(B23="","",VLOOKUP(AD23,Varsayımlar!$B:$Q,7,0)*K23)</f>
        <v>720</v>
      </c>
      <c r="Q23" s="164">
        <f>IF(B23="","",VLOOKUP(AD23,Varsayımlar!$B:$Q,8,0))</f>
        <v>33</v>
      </c>
      <c r="R23" s="164" t="str">
        <f>IF(B23="","",VLOOKUP(AD23,Varsayımlar!$B:$Q,9,0))</f>
        <v>Irak soft</v>
      </c>
      <c r="S23" s="164">
        <f>IF(B23="","",VLOOKUP(AD23,Varsayımlar!$B:$Q,10,0))</f>
        <v>10</v>
      </c>
      <c r="T23" s="164">
        <f>IF(B23="","",VLOOKUP(AD23,Varsayımlar!$B:$Q,11,0))</f>
        <v>12</v>
      </c>
      <c r="U23" s="164">
        <f>IF(B23="","",VLOOKUP(AD23,Varsayımlar!$B:$Q,12,0))</f>
        <v>1000</v>
      </c>
      <c r="V23" s="164" t="str">
        <f>IF(B23="","",VLOOKUP(AD23,Varsayımlar!$B:$Q,13,0))</f>
        <v>Yurtiçi</v>
      </c>
      <c r="W23" s="164">
        <f>IF(B23="","",VLOOKUP(AD23,Varsayımlar!$B:$Q,14,0))</f>
        <v>6</v>
      </c>
      <c r="X23" s="166" t="s">
        <v>113</v>
      </c>
      <c r="Y23" s="166" t="s">
        <v>113</v>
      </c>
      <c r="Z23" s="164" t="s">
        <v>113</v>
      </c>
      <c r="AA23" s="164" t="str">
        <f>IF(B23="","",VLOOKUP(AD23,Varsayımlar!$B:$Q,15,0))</f>
        <v>33cm Kolisi</v>
      </c>
      <c r="AB23" s="164" t="str">
        <f>IF(B23="","",VLOOKUP(AD23,Varsayımlar!$B:$Q,16,0))</f>
        <v>32-34cm</v>
      </c>
      <c r="AC23" s="75">
        <f>IF(B23="","",VLOOKUP(Sayfa1!AD76,Varsayımlar!B:S,18,0))</f>
        <v>0</v>
      </c>
      <c r="AD23" s="57" t="str">
        <f>IF(B23="","",CONCATENATE(B23,E23))</f>
        <v>Ankara KahveTortillove 33cm 10pcs 1000g</v>
      </c>
    </row>
    <row r="24" spans="1:30" ht="51" customHeight="1" x14ac:dyDescent="0.25">
      <c r="A24" s="8" t="s">
        <v>139</v>
      </c>
      <c r="B24" s="160" t="s">
        <v>553</v>
      </c>
      <c r="C24" s="161">
        <f>IF(B24="","",VLOOKUP(AD24,Varsayımlar!$B:$Q,3,0))</f>
        <v>8698829380698</v>
      </c>
      <c r="D24" s="160"/>
      <c r="E24" s="160" t="s">
        <v>556</v>
      </c>
      <c r="F24" s="160">
        <v>20260629</v>
      </c>
      <c r="G24" s="160"/>
      <c r="H24" s="160" t="str">
        <f>IF(B24="","",VLOOKUP(AD24,Varsayımlar!$B:$Q,5,0))</f>
        <v>Tortillove 30cm</v>
      </c>
      <c r="I24" s="160">
        <f>IF(B24="","",VLOOKUP(AD24,Varsayımlar!B:T,19,0))</f>
        <v>0</v>
      </c>
      <c r="J24" s="160" t="str">
        <f>IF(B24="","",VLOOKUP(AD24,Varsayımlar!$B:$Q,6,0))</f>
        <v>Sade</v>
      </c>
      <c r="K24" s="160">
        <v>350</v>
      </c>
      <c r="L24" s="160"/>
      <c r="M24" s="160">
        <f>IFERROR(IF(B24="","",K24/VLOOKUP(AD24,Varsayımlar!B:R,17,0)),"")</f>
        <v>7</v>
      </c>
      <c r="N24" s="160"/>
      <c r="O24" s="160">
        <v>7</v>
      </c>
      <c r="P24" s="160">
        <f>IF(B24="","",VLOOKUP(AD24,Varsayımlar!$B:$Q,7,0)*K24)</f>
        <v>4200</v>
      </c>
      <c r="Q24" s="160">
        <f>IF(B24="","",VLOOKUP(AD24,Varsayımlar!$B:$Q,8,0))</f>
        <v>30</v>
      </c>
      <c r="R24" s="160" t="str">
        <f>IF(B24="","",VLOOKUP(AD24,Varsayımlar!$B:$Q,9,0))</f>
        <v>Irak soft</v>
      </c>
      <c r="S24" s="160">
        <f>IF(B24="","",VLOOKUP(AD24,Varsayımlar!$B:$Q,10,0))</f>
        <v>10</v>
      </c>
      <c r="T24" s="160">
        <f>IF(B24="","",VLOOKUP(AD24,Varsayımlar!$B:$Q,11,0))</f>
        <v>12</v>
      </c>
      <c r="U24" s="160">
        <f>IF(B24="","",VLOOKUP(AD24,Varsayımlar!$B:$Q,12,0))</f>
        <v>950</v>
      </c>
      <c r="V24" s="160" t="str">
        <f>IF(B24="","",VLOOKUP(AD24,Varsayımlar!$B:$Q,13,0))</f>
        <v>Yurtiçi</v>
      </c>
      <c r="W24" s="160">
        <f>IF(B24="","",VLOOKUP(AD24,Varsayımlar!$B:$Q,14,0))</f>
        <v>6</v>
      </c>
      <c r="X24" s="160" t="s">
        <v>113</v>
      </c>
      <c r="Y24" s="160" t="s">
        <v>113</v>
      </c>
      <c r="Z24" s="160" t="s">
        <v>113</v>
      </c>
      <c r="AA24" s="160" t="str">
        <f>IF(B24="","",VLOOKUP(AD24,Varsayımlar!$B:$Q,15,0))</f>
        <v>30cm kolisi-Barkod etiketli</v>
      </c>
      <c r="AB24" s="160" t="str">
        <f>IF(B24="","",VLOOKUP(AD24,Varsayımlar!$B:$Q,16,0))</f>
        <v>29-31cm</v>
      </c>
      <c r="AC24" s="75">
        <f>IF(B24="","",VLOOKUP(Sayfa1!AD77,Varsayımlar!B:S,18,0))</f>
        <v>0</v>
      </c>
      <c r="AD24" s="57" t="str">
        <f t="shared" ref="AD24" si="2">IF(B24="","",CONCATENATE(B24,E24))</f>
        <v>GıdaserTortillove 30cm 10pcs 950g</v>
      </c>
    </row>
    <row r="25" spans="1:30" ht="47.25" x14ac:dyDescent="0.25">
      <c r="A25" s="8" t="s">
        <v>140</v>
      </c>
      <c r="B25" s="54" t="s">
        <v>346</v>
      </c>
      <c r="C25" s="139">
        <f>IF(B25="","",VLOOKUP(AD25,Varsayımlar!$B:$Q,3,0))</f>
        <v>8698829380698</v>
      </c>
      <c r="D25" s="39">
        <v>49</v>
      </c>
      <c r="E25" s="55" t="s">
        <v>162</v>
      </c>
      <c r="F25" s="54"/>
      <c r="G25" s="54"/>
      <c r="H25" s="54" t="str">
        <f>IF(B25="","",VLOOKUP(AD25,Varsayımlar!$B:$Q,5,0))</f>
        <v>Hanami 20cm Sade 4 pcs 166g (067)</v>
      </c>
      <c r="I25" s="54" t="str">
        <f>IF(B25="","",VLOOKUP(AD25,Varsayımlar!B:T,19,0))</f>
        <v>Ambalaj kaç aylık kontrol?</v>
      </c>
      <c r="J25" s="54" t="str">
        <f>IF(B25="","",VLOOKUP(AD25,Varsayımlar!$B:$Q,6,0))</f>
        <v>SADE</v>
      </c>
      <c r="K25" s="54">
        <v>700</v>
      </c>
      <c r="L25" s="54"/>
      <c r="M25" s="54">
        <f>IFERROR(IF(B25="","",K25/VLOOKUP(AD25,Varsayımlar!B:R,17,0)),"")</f>
        <v>5</v>
      </c>
      <c r="N25" s="54"/>
      <c r="O25" s="54">
        <v>12</v>
      </c>
      <c r="P25" s="54">
        <f>IF(B25="","",VLOOKUP(AD25,Varsayımlar!$B:$Q,7,0)*K25)</f>
        <v>21000</v>
      </c>
      <c r="Q25" s="54">
        <f>IF(B25="","",VLOOKUP(AD25,Varsayımlar!$B:$Q,8,0))</f>
        <v>20</v>
      </c>
      <c r="R25" s="54" t="str">
        <f>IF(B25="","",VLOOKUP(AD25,Varsayımlar!$B:$Q,9,0))</f>
        <v>Irak Soft</v>
      </c>
      <c r="S25" s="54">
        <f>IF(B25="","",VLOOKUP(AD25,Varsayımlar!$B:$Q,10,0))</f>
        <v>4</v>
      </c>
      <c r="T25" s="54">
        <f>IF(B25="","",VLOOKUP(AD25,Varsayımlar!$B:$Q,11,0))</f>
        <v>30</v>
      </c>
      <c r="U25" s="54">
        <f>IF(B25="","",VLOOKUP(AD25,Varsayımlar!$B:$Q,12,0))</f>
        <v>166</v>
      </c>
      <c r="V25" s="54" t="str">
        <f>IF(B25="","",VLOOKUP(AD25,Varsayımlar!$B:$Q,13,0))</f>
        <v>Yurtdışı</v>
      </c>
      <c r="W25" s="54">
        <f>IF(B25="","",VLOOKUP(AD25,Varsayımlar!$B:$Q,14,0))</f>
        <v>9</v>
      </c>
      <c r="X25" s="56">
        <v>46226</v>
      </c>
      <c r="Y25" s="56">
        <v>46500</v>
      </c>
      <c r="Z25" s="54">
        <v>26072320</v>
      </c>
      <c r="AA25" s="54" t="str">
        <f>IF(B25="","",VLOOKUP(AD25,Varsayımlar!$B:$Q,15,0))</f>
        <v>Hanami Mavi Koli -Üretim Tarihi+9 AYI KAPATACAK ETİKETLİ</v>
      </c>
      <c r="AB25" s="54" t="str">
        <f>IF(B25="","",VLOOKUP(AD25,Varsayımlar!$B:$Q,16,0))</f>
        <v>19-21 cm</v>
      </c>
      <c r="AC25" s="8" t="e">
        <f>IF(B25="","",VLOOKUP(#REF!,#REF!,18,0))</f>
        <v>#REF!</v>
      </c>
      <c r="AD25" s="8" t="str">
        <f t="shared" si="1"/>
        <v xml:space="preserve">GermesHanami 20cm sade 4pcs 166g </v>
      </c>
    </row>
    <row r="26" spans="1:30" ht="43.5" customHeight="1" x14ac:dyDescent="0.25">
      <c r="A26" s="8" t="s">
        <v>141</v>
      </c>
      <c r="B26" s="54" t="s">
        <v>346</v>
      </c>
      <c r="C26" s="139">
        <f>IF(B26="","",VLOOKUP(AD26,Varsayımlar!$B:$Q,3,0))</f>
        <v>8698829380698</v>
      </c>
      <c r="D26" s="39">
        <v>49</v>
      </c>
      <c r="E26" s="55" t="s">
        <v>490</v>
      </c>
      <c r="F26" s="54"/>
      <c r="G26" s="54"/>
      <c r="H26" s="54" t="str">
        <f>IF(B26="","",VLOOKUP(AD26,Varsayımlar!$B:$Q,5,0))</f>
        <v>Tortillas Domatesli 25cm (Germes Bilgileri Ekli)</v>
      </c>
      <c r="I26" s="54">
        <f>IF(B26="","",VLOOKUP(AD26,Varsayımlar!B:T,19,0))</f>
        <v>0</v>
      </c>
      <c r="J26" s="54" t="str">
        <f>IF(B26="","",VLOOKUP(AD26,Varsayımlar!$B:$Q,6,0))</f>
        <v>Domatesli</v>
      </c>
      <c r="K26" s="54">
        <v>420</v>
      </c>
      <c r="L26" s="54"/>
      <c r="M26" s="54" t="str">
        <f>IFERROR(IF(B26="","",K26/VLOOKUP(AD26,Varsayımlar!B:R,17,0)),"")</f>
        <v/>
      </c>
      <c r="N26" s="54"/>
      <c r="O26" s="54">
        <v>8</v>
      </c>
      <c r="P26" s="54">
        <f>IF(B26="","",VLOOKUP(AD26,Varsayımlar!$B:$Q,7,0)*K26)</f>
        <v>12600</v>
      </c>
      <c r="Q26" s="54">
        <f>IF(B26="","",VLOOKUP(AD26,Varsayımlar!$B:$Q,8,0))</f>
        <v>25</v>
      </c>
      <c r="R26" s="54" t="str">
        <f>IF(B26="","",VLOOKUP(AD26,Varsayımlar!$B:$Q,9,0))</f>
        <v>Irak Soft</v>
      </c>
      <c r="S26" s="54">
        <f>IF(B26="","",VLOOKUP(AD26,Varsayımlar!$B:$Q,10,0))</f>
        <v>4</v>
      </c>
      <c r="T26" s="54">
        <f>IF(B26="","",VLOOKUP(AD26,Varsayımlar!$B:$Q,11,0))</f>
        <v>30</v>
      </c>
      <c r="U26" s="54">
        <f>IF(B26="","",VLOOKUP(AD26,Varsayımlar!$B:$Q,12,0))</f>
        <v>250</v>
      </c>
      <c r="V26" s="54" t="str">
        <f>IF(B26="","",VLOOKUP(AD26,Varsayımlar!$B:$Q,13,0))</f>
        <v>Yurtdışı</v>
      </c>
      <c r="W26" s="54">
        <f>IF(B26="","",VLOOKUP(AD26,Varsayımlar!$B:$Q,14,0))</f>
        <v>9</v>
      </c>
      <c r="X26" s="56">
        <v>46226</v>
      </c>
      <c r="Y26" s="56">
        <v>46135</v>
      </c>
      <c r="Z26" s="54" t="s">
        <v>496</v>
      </c>
      <c r="AA26" s="54" t="str">
        <f>IF(B26="","",VLOOKUP(AD26,Varsayımlar!$B:$Q,15,0))</f>
        <v>25cm Kırmızı Koli-Üretim Tarihli Etiketli</v>
      </c>
      <c r="AB26" s="54">
        <f>IF(B26="","",VLOOKUP(AD26,Varsayımlar!$B:$Q,16,0))</f>
        <v>0</v>
      </c>
      <c r="AC26" s="8" t="e">
        <f>IF(B26="","",VLOOKUP(#REF!,#REF!,18,0))</f>
        <v>#REF!</v>
      </c>
      <c r="AD26" s="8" t="str">
        <f t="shared" si="1"/>
        <v xml:space="preserve">GermesTortillas Domatesli 25cm 4pcs 250g </v>
      </c>
    </row>
    <row r="27" spans="1:30" ht="43.5" customHeight="1" x14ac:dyDescent="0.25">
      <c r="A27" s="8" t="s">
        <v>142</v>
      </c>
      <c r="B27" s="54" t="s">
        <v>346</v>
      </c>
      <c r="C27" s="139">
        <f>IF(B27="","",VLOOKUP(AD27,Varsayımlar!$B:$Q,3,0))</f>
        <v>8698829380698</v>
      </c>
      <c r="D27" s="39">
        <v>49</v>
      </c>
      <c r="E27" s="55" t="s">
        <v>492</v>
      </c>
      <c r="F27" s="54"/>
      <c r="G27" s="54"/>
      <c r="H27" s="54" t="str">
        <f>IF(B27="","",VLOOKUP(AD27,Varsayımlar!$B:$Q,5,0))</f>
        <v>Tortillas Ispanaklı 25cm (Germes Bilgileri Ekli)</v>
      </c>
      <c r="I27" s="54">
        <f>IF(B27="","",VLOOKUP(AD27,Varsayımlar!B:T,19,0))</f>
        <v>0</v>
      </c>
      <c r="J27" s="54" t="str">
        <f>IF(B27="","",VLOOKUP(AD27,Varsayımlar!$B:$Q,6,0))</f>
        <v>Ispanaklı</v>
      </c>
      <c r="K27" s="54">
        <v>420</v>
      </c>
      <c r="L27" s="54"/>
      <c r="M27" s="54" t="str">
        <f>IFERROR(IF(B27="","",K27/VLOOKUP(AD27,Varsayımlar!B:R,17,0)),"")</f>
        <v/>
      </c>
      <c r="N27" s="54"/>
      <c r="O27" s="54">
        <v>8</v>
      </c>
      <c r="P27" s="54">
        <f>IF(B27="","",VLOOKUP(AD27,Varsayımlar!$B:$Q,7,0)*K27)</f>
        <v>12600</v>
      </c>
      <c r="Q27" s="54">
        <f>IF(B27="","",VLOOKUP(AD27,Varsayımlar!$B:$Q,8,0))</f>
        <v>25</v>
      </c>
      <c r="R27" s="54" t="str">
        <f>IF(B27="","",VLOOKUP(AD27,Varsayımlar!$B:$Q,9,0))</f>
        <v>Irak Soft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250</v>
      </c>
      <c r="V27" s="54" t="str">
        <f>IF(B27="","",VLOOKUP(AD27,Varsayımlar!$B:$Q,13,0))</f>
        <v>Yurtdışı</v>
      </c>
      <c r="W27" s="54">
        <f>IF(B27="","",VLOOKUP(AD27,Varsayımlar!$B:$Q,14,0))</f>
        <v>9</v>
      </c>
      <c r="X27" s="56">
        <v>46226</v>
      </c>
      <c r="Y27" s="56">
        <v>46500</v>
      </c>
      <c r="Z27" s="54" t="s">
        <v>497</v>
      </c>
      <c r="AA27" s="54" t="str">
        <f>IF(B27="","",VLOOKUP(AD27,Varsayımlar!$B:$Q,15,0))</f>
        <v>25cm Kırmızı Koli-Üretim Tarihli Etiketli</v>
      </c>
      <c r="AB27" s="54">
        <f>IF(B27="","",VLOOKUP(AD27,Varsayımlar!$B:$Q,16,0))</f>
        <v>0</v>
      </c>
      <c r="AC27" s="8" t="e">
        <f>IF(B27="","",VLOOKUP(#REF!,#REF!,18,0))</f>
        <v>#REF!</v>
      </c>
      <c r="AD27" s="8" t="str">
        <f t="shared" si="1"/>
        <v xml:space="preserve">GermesTortillas Ispanaklı 25cm 4pcs 250g </v>
      </c>
    </row>
    <row r="28" spans="1:30" ht="45.75" customHeight="1" x14ac:dyDescent="0.25">
      <c r="A28" s="8" t="s">
        <v>143</v>
      </c>
      <c r="B28" s="130" t="s">
        <v>119</v>
      </c>
      <c r="C28" s="131">
        <f>IF(B28="","",VLOOKUP(AD28,Varsayımlar!$B:$Q,3,0))</f>
        <v>8698829380698</v>
      </c>
      <c r="D28" s="131"/>
      <c r="E28" s="132" t="s">
        <v>120</v>
      </c>
      <c r="F28" s="130"/>
      <c r="G28" s="130"/>
      <c r="H28" s="130" t="str">
        <f>IF(B28="","",VLOOKUP(AD28,Varsayımlar!$B:$Q,5,0))</f>
        <v>Nimet 25 cm</v>
      </c>
      <c r="I28" s="130">
        <f>IF(B28="","",VLOOKUP(AD28,Varsayımlar!B:T,19,0))</f>
        <v>0</v>
      </c>
      <c r="J28" s="130" t="str">
        <f>IF(B28="","",VLOOKUP(AD28,Varsayımlar!$B:$Q,6,0))</f>
        <v>SADE</v>
      </c>
      <c r="K28" s="130">
        <v>5000</v>
      </c>
      <c r="L28" s="130"/>
      <c r="M28" s="130">
        <f>IFERROR(IF(B28="","",K28/VLOOKUP(AD28,Varsayımlar!B:R,17,0)),"")</f>
        <v>100</v>
      </c>
      <c r="N28" s="130"/>
      <c r="O28" s="130">
        <v>100</v>
      </c>
      <c r="P28" s="130">
        <f>IF(B28="","",VLOOKUP(AD28,Varsayımlar!$B:$Q,7,0)*K28)</f>
        <v>60000</v>
      </c>
      <c r="Q28" s="130">
        <f>IF(B28="","",VLOOKUP(AD28,Varsayımlar!$B:$Q,8,0))</f>
        <v>25</v>
      </c>
      <c r="R28" s="130" t="str">
        <f>IF(B28="","",VLOOKUP(AD28,Varsayımlar!$B:$Q,9,0))</f>
        <v>Standart</v>
      </c>
      <c r="S28" s="130">
        <f>IF(B28="","",VLOOKUP(AD28,Varsayımlar!$B:$Q,10,0))</f>
        <v>12</v>
      </c>
      <c r="T28" s="130">
        <f>IF(B28="","",VLOOKUP(AD28,Varsayımlar!$B:$Q,11,0))</f>
        <v>12</v>
      </c>
      <c r="U28" s="130">
        <f>IF(B28="","",VLOOKUP(AD28,Varsayımlar!$B:$Q,12,0))</f>
        <v>840</v>
      </c>
      <c r="V28" s="130" t="str">
        <f>IF(B28="","",VLOOKUP(AD28,Varsayımlar!$B:$Q,13,0))</f>
        <v>YURTİÇİ</v>
      </c>
      <c r="W28" s="130">
        <f>IF(B28="","",VLOOKUP(AD28,Varsayımlar!$B:$Q,14,0))</f>
        <v>5</v>
      </c>
      <c r="X28" s="133" t="s">
        <v>113</v>
      </c>
      <c r="Y28" s="133" t="s">
        <v>113</v>
      </c>
      <c r="Z28" s="130" t="s">
        <v>113</v>
      </c>
      <c r="AA28" s="130" t="str">
        <f>IF(B28="","",VLOOKUP(AD28,Varsayımlar!$B:$Q,15,0))</f>
        <v>Nimet Kolisi</v>
      </c>
      <c r="AB28" s="130" t="str">
        <f>IF(B28="","",VLOOKUP(AD28,Varsayımlar!$B:$Q,16,0))</f>
        <v>24-26 CM</v>
      </c>
      <c r="AC28" s="64" t="s">
        <v>360</v>
      </c>
      <c r="AD28" s="57" t="str">
        <f>IF(B28="","",CONCATENATE(B28,E28))</f>
        <v>A101Nimet 25cm 12 pcs 840g</v>
      </c>
    </row>
    <row r="29" spans="1:30" ht="36" customHeight="1" x14ac:dyDescent="0.25">
      <c r="A29" s="8" t="s">
        <v>144</v>
      </c>
      <c r="B29" s="149" t="s">
        <v>500</v>
      </c>
      <c r="C29" s="149">
        <f>IF(B29="","",VLOOKUP(AD29,Varsayımlar!$B:$Q,3,0))</f>
        <v>8698829380698</v>
      </c>
      <c r="D29" s="149"/>
      <c r="E29" s="149" t="s">
        <v>501</v>
      </c>
      <c r="F29" s="149">
        <v>26062201</v>
      </c>
      <c r="G29" s="149"/>
      <c r="H29" s="149" t="str">
        <f>IF(B29="","",VLOOKUP(AD29,Varsayımlar!$B:$Q,5,0))</f>
        <v>Tortillas 33cm</v>
      </c>
      <c r="I29" s="149">
        <f>IF(B29="","",VLOOKUP(AD29,Varsayımlar!B:T,19,0))</f>
        <v>0</v>
      </c>
      <c r="J29" s="149" t="str">
        <f>IF(B29="","",VLOOKUP(AD29,Varsayımlar!$B:$Q,6,0))</f>
        <v>Sade</v>
      </c>
      <c r="K29" s="149">
        <v>100</v>
      </c>
      <c r="L29" s="149" t="s">
        <v>528</v>
      </c>
      <c r="M29" s="149">
        <f>IFERROR(IF(B29="","",K29/VLOOKUP(AD29,Varsayımlar!B:R,17,0)),"")</f>
        <v>2</v>
      </c>
      <c r="N29" s="149"/>
      <c r="O29" s="149">
        <v>2</v>
      </c>
      <c r="P29" s="149">
        <f>IF(B29="","",VLOOKUP(AD29,Varsayımlar!$B:$Q,7,0)*K29)</f>
        <v>1200</v>
      </c>
      <c r="Q29" s="149">
        <f>IF(B29="","",VLOOKUP(AD29,Varsayımlar!$B:$Q,8,0))</f>
        <v>33</v>
      </c>
      <c r="R29" s="149" t="str">
        <f>IF(B29="","",VLOOKUP(AD29,Varsayımlar!$B:$Q,9,0))</f>
        <v>Irak Soft</v>
      </c>
      <c r="S29" s="149">
        <f>IF(B29="","",VLOOKUP(AD29,Varsayımlar!$B:$Q,10,0))</f>
        <v>10</v>
      </c>
      <c r="T29" s="149">
        <f>IF(B29="","",VLOOKUP(AD29,Varsayımlar!$B:$Q,11,0))</f>
        <v>12</v>
      </c>
      <c r="U29" s="149">
        <f>IF(B29="","",VLOOKUP(AD29,Varsayımlar!$B:$Q,12,0))</f>
        <v>1000</v>
      </c>
      <c r="V29" s="149" t="str">
        <f>IF(B29="","",VLOOKUP(AD29,Varsayımlar!$B:$Q,13,0))</f>
        <v>Yurtdışı</v>
      </c>
      <c r="W29" s="149">
        <f>IF(B29="","",VLOOKUP(AD29,Varsayımlar!$B:$Q,14,0))</f>
        <v>12</v>
      </c>
      <c r="X29" s="151">
        <v>46231</v>
      </c>
      <c r="Y29" s="151">
        <v>46596</v>
      </c>
      <c r="Z29" s="149">
        <v>26072833</v>
      </c>
      <c r="AA29" s="149" t="str">
        <f>IF(B29="","",VLOOKUP(AD29,Varsayımlar!$B:$Q,15,0))</f>
        <v>33cm Kolisi</v>
      </c>
      <c r="AB29" s="149" t="str">
        <f>IF(B29="","",VLOOKUP(AD29,Varsayımlar!$B:$Q,16,0))</f>
        <v>32-34 cm</v>
      </c>
      <c r="AC29" s="67" t="e">
        <f>IF(B29="","",VLOOKUP(#REF!,#REF!,18,0))</f>
        <v>#REF!</v>
      </c>
      <c r="AD29" s="57" t="str">
        <f t="shared" si="1"/>
        <v>Fama GroupTortillas 33cm 10pcs 1000g</v>
      </c>
    </row>
    <row r="30" spans="1:30" ht="49.5" customHeight="1" x14ac:dyDescent="0.25">
      <c r="A30" s="8" t="s">
        <v>145</v>
      </c>
      <c r="B30" s="152" t="s">
        <v>518</v>
      </c>
      <c r="C30" s="153">
        <f>IF(B30="","",VLOOKUP(AD30,Varsayımlar!$B:$Q,3,0))</f>
        <v>8698829380698</v>
      </c>
      <c r="D30" s="154"/>
      <c r="E30" s="156" t="s">
        <v>501</v>
      </c>
      <c r="F30" s="152">
        <v>26062302</v>
      </c>
      <c r="G30" s="152"/>
      <c r="H30" s="152" t="str">
        <f>IF(B30="","",VLOOKUP(AD30,Varsayımlar!$B:$Q,5,0))</f>
        <v>Tortillas 33cm</v>
      </c>
      <c r="I30" s="152">
        <f>IF(B30="","",VLOOKUP(AD30,Varsayımlar!B:T,19,0))</f>
        <v>0</v>
      </c>
      <c r="J30" s="152" t="str">
        <f>IF(B30="","",VLOOKUP(AD30,Varsayımlar!$B:$Q,6,0))</f>
        <v>Sade</v>
      </c>
      <c r="K30" s="152">
        <v>25</v>
      </c>
      <c r="L30" s="152"/>
      <c r="M30" s="152">
        <f>IFERROR(IF(B30="","",K30/VLOOKUP(AD30,Varsayımlar!B:R,17,0)),"")</f>
        <v>0.5</v>
      </c>
      <c r="N30" s="152"/>
      <c r="O30" s="152">
        <v>1</v>
      </c>
      <c r="P30" s="152">
        <f>IF(B30="","",VLOOKUP(AD30,Varsayımlar!$B:$Q,7,0)*K30)</f>
        <v>300</v>
      </c>
      <c r="Q30" s="152">
        <f>IF(B30="","",VLOOKUP(AD30,Varsayımlar!$B:$Q,8,0))</f>
        <v>33</v>
      </c>
      <c r="R30" s="152" t="str">
        <f>IF(B30="","",VLOOKUP(AD30,Varsayımlar!$B:$Q,9,0))</f>
        <v>Irak Soft</v>
      </c>
      <c r="S30" s="152">
        <f>IF(B30="","",VLOOKUP(AD30,Varsayımlar!$B:$Q,10,0))</f>
        <v>10</v>
      </c>
      <c r="T30" s="152">
        <f>IF(B30="","",VLOOKUP(AD30,Varsayımlar!$B:$Q,11,0))</f>
        <v>12</v>
      </c>
      <c r="U30" s="152">
        <f>IF(B30="","",VLOOKUP(AD30,Varsayımlar!$B:$Q,12,0))</f>
        <v>1000</v>
      </c>
      <c r="V30" s="152" t="str">
        <f>IF(B30="","",VLOOKUP(AD30,Varsayımlar!$B:$Q,13,0))</f>
        <v>Yurtiçi</v>
      </c>
      <c r="W30" s="152">
        <f>IF(B30="","",VLOOKUP(AD30,Varsayımlar!$B:$Q,14,0))</f>
        <v>6</v>
      </c>
      <c r="X30" s="155">
        <v>46231</v>
      </c>
      <c r="Y30" s="155">
        <v>46415</v>
      </c>
      <c r="Z30" s="152">
        <v>26072833</v>
      </c>
      <c r="AA30" s="152" t="str">
        <f>IF(B30="","",VLOOKUP(AD30,Varsayımlar!$B:$Q,15,0))</f>
        <v>33cm Kolisi</v>
      </c>
      <c r="AB30" s="152" t="str">
        <f>IF(B30="","",VLOOKUP(AD30,Varsayımlar!$B:$Q,16,0))</f>
        <v>32-34cm</v>
      </c>
      <c r="AC30" s="8" t="e">
        <f>IF(B30="","",VLOOKUP(#REF!,#REF!,18,0))</f>
        <v>#REF!</v>
      </c>
      <c r="AD30" s="8" t="str">
        <f t="shared" si="1"/>
        <v>Yusuf KöseTortillas 33cm 10pcs 1000g</v>
      </c>
    </row>
    <row r="31" spans="1:30" ht="49.5" customHeight="1" x14ac:dyDescent="0.25">
      <c r="A31" s="8" t="s">
        <v>146</v>
      </c>
      <c r="B31" s="152" t="s">
        <v>518</v>
      </c>
      <c r="C31" s="153">
        <f>IF(B31="","",VLOOKUP(AD31,Varsayımlar!$B:$Q,3,0))</f>
        <v>8698829380698</v>
      </c>
      <c r="D31" s="154"/>
      <c r="E31" s="152" t="s">
        <v>520</v>
      </c>
      <c r="F31" s="152">
        <v>26062302</v>
      </c>
      <c r="G31" s="152"/>
      <c r="H31" s="152" t="str">
        <f>IF(B31="","",VLOOKUP(AD31,Varsayımlar!$B:$Q,5,0))</f>
        <v>Tortillas 30cm</v>
      </c>
      <c r="I31" s="152">
        <f>IF(B31="","",VLOOKUP(AD31,Varsayımlar!B:T,19,0))</f>
        <v>0</v>
      </c>
      <c r="J31" s="152" t="str">
        <f>IF(B31="","",VLOOKUP(AD31,Varsayımlar!$B:$Q,6,0))</f>
        <v>Sade</v>
      </c>
      <c r="K31" s="152">
        <v>15</v>
      </c>
      <c r="L31" s="152"/>
      <c r="M31" s="152">
        <f>IFERROR(IF(B31="","",K31/VLOOKUP(AD31,Varsayımlar!B:R,17,0)),"")</f>
        <v>0.3</v>
      </c>
      <c r="N31" s="152"/>
      <c r="O31" s="152">
        <v>0</v>
      </c>
      <c r="P31" s="152">
        <f>IF(B31="","",VLOOKUP(AD31,Varsayımlar!$B:$Q,7,0)*K31)</f>
        <v>180</v>
      </c>
      <c r="Q31" s="152">
        <f>IF(B31="","",VLOOKUP(AD31,Varsayımlar!$B:$Q,8,0))</f>
        <v>30</v>
      </c>
      <c r="R31" s="152" t="str">
        <f>IF(B31="","",VLOOKUP(AD31,Varsayımlar!$B:$Q,9,0))</f>
        <v>Irak Soft</v>
      </c>
      <c r="S31" s="152">
        <f>IF(B31="","",VLOOKUP(AD31,Varsayımlar!$B:$Q,10,0))</f>
        <v>10</v>
      </c>
      <c r="T31" s="152">
        <f>IF(B31="","",VLOOKUP(AD31,Varsayımlar!$B:$Q,11,0))</f>
        <v>12</v>
      </c>
      <c r="U31" s="152">
        <f>IF(B31="","",VLOOKUP(AD31,Varsayımlar!$B:$Q,12,0))</f>
        <v>950</v>
      </c>
      <c r="V31" s="152" t="str">
        <f>IF(B31="","",VLOOKUP(AD31,Varsayımlar!$B:$Q,13,0))</f>
        <v>Yurtiçi</v>
      </c>
      <c r="W31" s="152">
        <f>IF(B31="","",VLOOKUP(AD31,Varsayımlar!$B:$Q,14,0))</f>
        <v>6</v>
      </c>
      <c r="X31" s="155">
        <v>46231</v>
      </c>
      <c r="Y31" s="155">
        <v>46415</v>
      </c>
      <c r="Z31" s="152">
        <v>26072830</v>
      </c>
      <c r="AA31" s="152" t="str">
        <f>IF(B31="","",VLOOKUP(AD31,Varsayımlar!$B:$Q,15,0))</f>
        <v>30cm Kolisi</v>
      </c>
      <c r="AB31" s="152" t="str">
        <f>IF(B31="","",VLOOKUP(AD31,Varsayımlar!$B:$Q,16,0))</f>
        <v>29-31cm</v>
      </c>
      <c r="AC31" s="8" t="e">
        <f>IF(B31="","",VLOOKUP(#REF!,#REF!,18,0))</f>
        <v>#REF!</v>
      </c>
      <c r="AD31" s="8" t="str">
        <f t="shared" si="1"/>
        <v>Yusuf KöseTortillas 30cm 10pcs 950g</v>
      </c>
    </row>
    <row r="32" spans="1:30" ht="36" customHeight="1" x14ac:dyDescent="0.25">
      <c r="A32" s="8" t="s">
        <v>147</v>
      </c>
      <c r="B32" s="149" t="s">
        <v>500</v>
      </c>
      <c r="C32" s="149">
        <f>IF(B32="","",VLOOKUP(AD32,Varsayımlar!$B:$Q,3,0))</f>
        <v>8698829380698</v>
      </c>
      <c r="D32" s="149"/>
      <c r="E32" s="149" t="s">
        <v>509</v>
      </c>
      <c r="F32" s="149">
        <v>26062201</v>
      </c>
      <c r="G32" s="149"/>
      <c r="H32" s="149" t="str">
        <f>IF(B32="","",VLOOKUP(AD32,Varsayımlar!$B:$Q,5,0))</f>
        <v xml:space="preserve">Tortillas 30cm </v>
      </c>
      <c r="I32" s="149">
        <f>IF(B32="","",VLOOKUP(AD32,Varsayımlar!B:T,19,0))</f>
        <v>0</v>
      </c>
      <c r="J32" s="149" t="str">
        <f>IF(B32="","",VLOOKUP(AD32,Varsayımlar!$B:$Q,6,0))</f>
        <v>Sade</v>
      </c>
      <c r="K32" s="149">
        <v>250</v>
      </c>
      <c r="L32" s="149"/>
      <c r="M32" s="149">
        <f>IFERROR(IF(B32="","",K32/VLOOKUP(AD32,Varsayımlar!B:R,17,0)),"")</f>
        <v>5</v>
      </c>
      <c r="N32" s="149"/>
      <c r="O32" s="149">
        <v>5</v>
      </c>
      <c r="P32" s="149">
        <f>IF(B32="","",VLOOKUP(AD32,Varsayımlar!$B:$Q,7,0)*K32)</f>
        <v>3000</v>
      </c>
      <c r="Q32" s="149">
        <f>IF(B32="","",VLOOKUP(AD32,Varsayımlar!$B:$Q,8,0))</f>
        <v>30</v>
      </c>
      <c r="R32" s="149" t="str">
        <f>IF(B32="","",VLOOKUP(AD32,Varsayımlar!$B:$Q,9,0))</f>
        <v>Irak Soft</v>
      </c>
      <c r="S32" s="149">
        <f>IF(B32="","",VLOOKUP(AD32,Varsayımlar!$B:$Q,10,0))</f>
        <v>10</v>
      </c>
      <c r="T32" s="149">
        <f>IF(B32="","",VLOOKUP(AD32,Varsayımlar!$B:$Q,11,0))</f>
        <v>12</v>
      </c>
      <c r="U32" s="149">
        <f>IF(B32="","",VLOOKUP(AD32,Varsayımlar!$B:$Q,12,0))</f>
        <v>850</v>
      </c>
      <c r="V32" s="149" t="str">
        <f>IF(B32="","",VLOOKUP(AD32,Varsayımlar!$B:$Q,13,0))</f>
        <v>Yurtdışı</v>
      </c>
      <c r="W32" s="149">
        <f>IF(B32="","",VLOOKUP(AD32,Varsayımlar!$B:$Q,14,0))</f>
        <v>12</v>
      </c>
      <c r="X32" s="151">
        <v>46231</v>
      </c>
      <c r="Y32" s="151">
        <v>46596</v>
      </c>
      <c r="Z32" s="149">
        <v>26072830</v>
      </c>
      <c r="AA32" s="151" t="str">
        <f>IF(B32="","",VLOOKUP(AD32,Varsayımlar!$B:$Q,15,0))</f>
        <v>30 cm Kolisi</v>
      </c>
      <c r="AB32" s="151" t="str">
        <f>IF(B32="","",VLOOKUP(AD32,Varsayımlar!$B:$Q,16,0))</f>
        <v>29-31 cm</v>
      </c>
      <c r="AC32" s="67" t="e">
        <f>IF(B32="","",VLOOKUP(#REF!,#REF!,18,0))</f>
        <v>#REF!</v>
      </c>
      <c r="AD32" s="57" t="str">
        <f t="shared" si="1"/>
        <v>Fama GroupTortillas 30cm 10pcs 850g</v>
      </c>
    </row>
    <row r="33" spans="1:30" ht="36" customHeight="1" x14ac:dyDescent="0.25">
      <c r="A33" s="8" t="s">
        <v>148</v>
      </c>
      <c r="B33" s="149" t="s">
        <v>500</v>
      </c>
      <c r="C33" s="149">
        <f>IF(B33="","",VLOOKUP(AD33,Varsayımlar!$B:$Q,3,0))</f>
        <v>8698829380698</v>
      </c>
      <c r="D33" s="149"/>
      <c r="E33" s="149" t="s">
        <v>512</v>
      </c>
      <c r="F33" s="149">
        <v>26062201</v>
      </c>
      <c r="G33" s="149"/>
      <c r="H33" s="149" t="str">
        <f>IF(B33="","",VLOOKUP(AD33,Varsayımlar!$B:$Q,5,0))</f>
        <v>Tortillas 20cm</v>
      </c>
      <c r="I33" s="149">
        <f>IF(B33="","",VLOOKUP(AD33,Varsayımlar!B:T,19,0))</f>
        <v>0</v>
      </c>
      <c r="J33" s="149" t="str">
        <f>IF(B33="","",VLOOKUP(AD33,Varsayımlar!$B:$Q,6,0))</f>
        <v>Sade</v>
      </c>
      <c r="K33" s="149">
        <v>50</v>
      </c>
      <c r="L33" s="149"/>
      <c r="M33" s="149">
        <f>IFERROR(IF(B33="","",K33/VLOOKUP(AD33,Varsayımlar!B:R,17,0)),"")</f>
        <v>1</v>
      </c>
      <c r="N33" s="149"/>
      <c r="O33" s="149">
        <v>1</v>
      </c>
      <c r="P33" s="149">
        <f>IF(B33="","",VLOOKUP(AD33,Varsayımlar!$B:$Q,7,0)*K33)</f>
        <v>600</v>
      </c>
      <c r="Q33" s="149">
        <f>IF(B33="","",VLOOKUP(AD33,Varsayımlar!$B:$Q,8,0))</f>
        <v>20</v>
      </c>
      <c r="R33" s="149" t="str">
        <f>IF(B33="","",VLOOKUP(AD33,Varsayımlar!$B:$Q,9,0))</f>
        <v>Irak Soft</v>
      </c>
      <c r="S33" s="149">
        <f>IF(B33="","",VLOOKUP(AD33,Varsayımlar!$B:$Q,10,0))</f>
        <v>10</v>
      </c>
      <c r="T33" s="149">
        <f>IF(B33="","",VLOOKUP(AD33,Varsayımlar!$B:$Q,11,0))</f>
        <v>12</v>
      </c>
      <c r="U33" s="149">
        <f>IF(B33="","",VLOOKUP(AD33,Varsayımlar!$B:$Q,12,0))</f>
        <v>450</v>
      </c>
      <c r="V33" s="149" t="str">
        <f>IF(B33="","",VLOOKUP(AD33,Varsayımlar!$B:$Q,13,0))</f>
        <v>Yurtdışı</v>
      </c>
      <c r="W33" s="149">
        <f>IF(B33="","",VLOOKUP(AD33,Varsayımlar!$B:$Q,14,0))</f>
        <v>12</v>
      </c>
      <c r="X33" s="151">
        <v>46231</v>
      </c>
      <c r="Y33" s="151">
        <v>46596</v>
      </c>
      <c r="Z33" s="149">
        <v>26072820</v>
      </c>
      <c r="AA33" s="151" t="str">
        <f>IF(B33="","",VLOOKUP(AD33,Varsayımlar!$B:$Q,15,0))</f>
        <v>20cm Siyah Koli</v>
      </c>
      <c r="AB33" s="151" t="str">
        <f>IF(B33="","",VLOOKUP(AD33,Varsayımlar!$B:$Q,16,0))</f>
        <v>19-21cm</v>
      </c>
      <c r="AC33" s="67" t="e">
        <f>IF(B33="","",VLOOKUP(#REF!,#REF!,18,0))</f>
        <v>#REF!</v>
      </c>
      <c r="AD33" s="57" t="str">
        <f t="shared" si="1"/>
        <v>Fama GroupTortillas 20cm 10pcs 450g</v>
      </c>
    </row>
    <row r="34" spans="1:30" ht="36" customHeight="1" x14ac:dyDescent="0.25">
      <c r="A34" s="8" t="s">
        <v>149</v>
      </c>
      <c r="B34" s="149" t="s">
        <v>500</v>
      </c>
      <c r="C34" s="149">
        <f>IF(B34="","",VLOOKUP(AD34,Varsayımlar!$B:$Q,3,0))</f>
        <v>8698829380698</v>
      </c>
      <c r="D34" s="149"/>
      <c r="E34" s="149" t="s">
        <v>229</v>
      </c>
      <c r="F34" s="149">
        <v>26062201</v>
      </c>
      <c r="G34" s="149"/>
      <c r="H34" s="149" t="str">
        <f>IF(B34="","",VLOOKUP(AD34,Varsayımlar!$B:$Q,5,0))</f>
        <v>Tortillas 25cm Tam Buğday</v>
      </c>
      <c r="I34" s="149">
        <f>IF(B34="","",VLOOKUP(AD34,Varsayımlar!B:T,19,0))</f>
        <v>0</v>
      </c>
      <c r="J34" s="149" t="str">
        <f>IF(B34="","",VLOOKUP(AD34,Varsayımlar!$B:$Q,6,0))</f>
        <v>Tam Buğdaylı</v>
      </c>
      <c r="K34" s="149">
        <v>50</v>
      </c>
      <c r="L34" s="149"/>
      <c r="M34" s="149">
        <f>IFERROR(IF(B34="","",K34/VLOOKUP(AD34,Varsayımlar!B:R,17,0)),"")</f>
        <v>1</v>
      </c>
      <c r="N34" s="149"/>
      <c r="O34" s="149">
        <v>1</v>
      </c>
      <c r="P34" s="149">
        <f>IF(B34="","",VLOOKUP(AD34,Varsayımlar!$B:$Q,7,0)*K34)</f>
        <v>600</v>
      </c>
      <c r="Q34" s="149">
        <f>IF(B34="","",VLOOKUP(AD34,Varsayımlar!$B:$Q,8,0))</f>
        <v>25</v>
      </c>
      <c r="R34" s="149" t="str">
        <f>IF(B34="","",VLOOKUP(AD34,Varsayımlar!$B:$Q,9,0))</f>
        <v>Irak Soft</v>
      </c>
      <c r="S34" s="149">
        <f>IF(B34="","",VLOOKUP(AD34,Varsayımlar!$B:$Q,10,0))</f>
        <v>10</v>
      </c>
      <c r="T34" s="149">
        <f>IF(B34="","",VLOOKUP(AD34,Varsayımlar!$B:$Q,11,0))</f>
        <v>12</v>
      </c>
      <c r="U34" s="149">
        <f>IF(B34="","",VLOOKUP(AD34,Varsayımlar!$B:$Q,12,0))</f>
        <v>650</v>
      </c>
      <c r="V34" s="149" t="str">
        <f>IF(B34="","",VLOOKUP(AD34,Varsayımlar!$B:$Q,13,0))</f>
        <v>Yurtdışı</v>
      </c>
      <c r="W34" s="149">
        <f>IF(B34="","",VLOOKUP(AD34,Varsayımlar!$B:$Q,14,0))</f>
        <v>12</v>
      </c>
      <c r="X34" s="151">
        <v>46231</v>
      </c>
      <c r="Y34" s="151">
        <v>46596</v>
      </c>
      <c r="Z34" s="149" t="s">
        <v>525</v>
      </c>
      <c r="AA34" s="151" t="str">
        <f>IF(B34="","",VLOOKUP(AD34,Varsayımlar!$B:$Q,15,0))</f>
        <v>25cm Kolisi-Etiketli</v>
      </c>
      <c r="AB34" s="151" t="str">
        <f>IF(B34="","",VLOOKUP(AD34,Varsayımlar!$B:$Q,16,0))</f>
        <v>24-26 cm</v>
      </c>
      <c r="AC34" s="67" t="e">
        <f>IF(B34="","",VLOOKUP(#REF!,#REF!,18,0))</f>
        <v>#REF!</v>
      </c>
      <c r="AD34" s="57" t="str">
        <f t="shared" si="1"/>
        <v>Fama GroupTortillas 25cm Tam Buğday 10pcs 650g</v>
      </c>
    </row>
    <row r="35" spans="1:30" ht="32.25" customHeight="1" x14ac:dyDescent="0.25">
      <c r="A35" s="8" t="s">
        <v>150</v>
      </c>
      <c r="B35" s="67" t="s">
        <v>460</v>
      </c>
      <c r="C35" s="42">
        <f>IF(B35="","",VLOOKUP(AD35,Varsayımlar!$B:$Q,3,0))</f>
        <v>8698829380698</v>
      </c>
      <c r="D35" s="67" t="s">
        <v>539</v>
      </c>
      <c r="E35" s="67" t="s">
        <v>464</v>
      </c>
      <c r="F35" s="67">
        <v>20260626</v>
      </c>
      <c r="G35" s="67"/>
      <c r="H35" s="67" t="str">
        <f>IF(B35="","",VLOOKUP(AD35,Varsayımlar!$B:$Q,5,0))</f>
        <v>Tortillove 20cm</v>
      </c>
      <c r="I35" s="67">
        <f>IF(B35="","",VLOOKUP(AD35,Varsayımlar!B:T,19,0))</f>
        <v>0</v>
      </c>
      <c r="J35" s="67" t="str">
        <f>IF(B35="","",VLOOKUP(AD35,Varsayımlar!$B:$Q,6,0))</f>
        <v>SADE</v>
      </c>
      <c r="K35" s="67">
        <v>400</v>
      </c>
      <c r="L35" s="67"/>
      <c r="M35" s="67">
        <f>IFERROR(IF(B35="","",K35/VLOOKUP(AD35,Varsayımlar!B:R,17,0)),"")</f>
        <v>4</v>
      </c>
      <c r="N35" s="67"/>
      <c r="O35" s="67"/>
      <c r="P35" s="67">
        <f>IF(B35="","",VLOOKUP(AD35,Varsayımlar!$B:$Q,7,0)*K35)</f>
        <v>4800</v>
      </c>
      <c r="Q35" s="67">
        <f>IF(B35="","",VLOOKUP(AD35,Varsayımlar!$B:$Q,8,0))</f>
        <v>20</v>
      </c>
      <c r="R35" s="67" t="str">
        <f>IF(B35="","",VLOOKUP(AD35,Varsayımlar!$B:$Q,9,0))</f>
        <v>Irak Soft</v>
      </c>
      <c r="S35" s="67">
        <f>IF(B35="","",VLOOKUP(AD35,Varsayımlar!$B:$Q,10,0))</f>
        <v>10</v>
      </c>
      <c r="T35" s="67">
        <f>IF(B35="","",VLOOKUP(AD35,Varsayımlar!$B:$Q,11,0))</f>
        <v>12</v>
      </c>
      <c r="U35" s="67">
        <f>IF(B35="","",VLOOKUP(AD35,Varsayımlar!$B:$Q,12,0))</f>
        <v>450</v>
      </c>
      <c r="V35" s="67" t="str">
        <f>IF(B35="","",VLOOKUP(AD35,Varsayımlar!$B:$Q,13,0))</f>
        <v>Yurtdışı</v>
      </c>
      <c r="W35" s="67">
        <f>IF(B35="","",VLOOKUP(AD35,Varsayımlar!$B:$Q,14,0))</f>
        <v>6</v>
      </c>
      <c r="X35" s="69"/>
      <c r="Y35" s="69"/>
      <c r="Z35" s="67"/>
      <c r="AA35" s="67" t="str">
        <f>IF(B35="","",VLOOKUP(AD35,Varsayımlar!$B:$Q,15,0))</f>
        <v>20cm kolisi</v>
      </c>
      <c r="AB35" s="67" t="str">
        <f>IF(B35="","",VLOOKUP(AD35,Varsayımlar!$B:$Q,16,0))</f>
        <v>19-21 cm</v>
      </c>
      <c r="AC35" s="75">
        <f>IF(B35="","",VLOOKUP(Sayfa1!AD84,Varsayımlar!B:S,18,0))</f>
        <v>0</v>
      </c>
      <c r="AD35" s="57" t="str">
        <f t="shared" si="1"/>
        <v>Yüksekbaş GıdaYüksekbaş 20cm 10pcs 450g</v>
      </c>
    </row>
    <row r="36" spans="1:30" ht="32.25" customHeight="1" x14ac:dyDescent="0.25">
      <c r="A36" s="8" t="s">
        <v>151</v>
      </c>
      <c r="B36" s="67" t="s">
        <v>460</v>
      </c>
      <c r="C36" s="42">
        <f>IF(B36="","",VLOOKUP(AD36,Varsayımlar!$B:$Q,3,0))</f>
        <v>8698829380698</v>
      </c>
      <c r="D36" s="67" t="s">
        <v>539</v>
      </c>
      <c r="E36" s="67" t="s">
        <v>470</v>
      </c>
      <c r="F36" s="67">
        <v>20260626</v>
      </c>
      <c r="G36" s="67"/>
      <c r="H36" s="67" t="str">
        <f>IF(B36="","",VLOOKUP(AD36,Varsayımlar!$B:$Q,5,0))</f>
        <v>Tortillove 30cm</v>
      </c>
      <c r="I36" s="67">
        <f>IF(B36="","",VLOOKUP(AD36,Varsayımlar!B:T,19,0))</f>
        <v>0</v>
      </c>
      <c r="J36" s="67" t="str">
        <f>IF(B36="","",VLOOKUP(AD36,Varsayımlar!$B:$Q,6,0))</f>
        <v>SADE</v>
      </c>
      <c r="K36" s="67">
        <v>660</v>
      </c>
      <c r="L36" s="67"/>
      <c r="M36" s="67">
        <f>IFERROR(IF(B36="","",K36/VLOOKUP(AD36,Varsayımlar!B:R,17,0)),"")</f>
        <v>10</v>
      </c>
      <c r="N36" s="67"/>
      <c r="O36" s="67"/>
      <c r="P36" s="67">
        <f>IF(B36="","",VLOOKUP(AD36,Varsayımlar!$B:$Q,7,0)*K36)</f>
        <v>7920</v>
      </c>
      <c r="Q36" s="67">
        <f>IF(B36="","",VLOOKUP(AD36,Varsayımlar!$B:$Q,8,0))</f>
        <v>30</v>
      </c>
      <c r="R36" s="67" t="str">
        <f>IF(B36="","",VLOOKUP(AD36,Varsayımlar!$B:$Q,9,0))</f>
        <v>Irak Soft</v>
      </c>
      <c r="S36" s="67">
        <f>IF(B36="","",VLOOKUP(AD36,Varsayımlar!$B:$Q,10,0))</f>
        <v>10</v>
      </c>
      <c r="T36" s="67">
        <f>IF(B36="","",VLOOKUP(AD36,Varsayımlar!$B:$Q,11,0))</f>
        <v>12</v>
      </c>
      <c r="U36" s="67">
        <f>IF(B36="","",VLOOKUP(AD36,Varsayımlar!$B:$Q,12,0))</f>
        <v>950</v>
      </c>
      <c r="V36" s="67" t="str">
        <f>IF(B36="","",VLOOKUP(AD36,Varsayımlar!$B:$Q,13,0))</f>
        <v>Yurtdışı</v>
      </c>
      <c r="W36" s="67">
        <f>IF(B36="","",VLOOKUP(AD36,Varsayımlar!$B:$Q,14,0))</f>
        <v>6</v>
      </c>
      <c r="X36" s="69"/>
      <c r="Y36" s="69"/>
      <c r="Z36" s="67"/>
      <c r="AA36" s="67" t="str">
        <f>IF(B36="","",VLOOKUP(AD36,Varsayımlar!$B:$Q,15,0))</f>
        <v>30cm Kolisi</v>
      </c>
      <c r="AB36" s="67" t="str">
        <f>IF(B36="","",VLOOKUP(AD36,Varsayımlar!$B:$Q,16,0))</f>
        <v>29-31 cm</v>
      </c>
      <c r="AC36" s="75">
        <f>IF(B36="","",VLOOKUP(Sayfa1!AD84,Varsayımlar!B:S,18,0))</f>
        <v>0</v>
      </c>
      <c r="AD36" s="57" t="str">
        <f t="shared" si="1"/>
        <v>Yüksekbaş GıdaYüksekbaş 30cm 10pcs 950g</v>
      </c>
    </row>
    <row r="37" spans="1:30" ht="36" customHeight="1" x14ac:dyDescent="0.25">
      <c r="A37" s="8" t="s">
        <v>152</v>
      </c>
      <c r="B37" s="67"/>
      <c r="C37" s="42" t="str">
        <f>IF(B37="","",VLOOKUP(AD37,#REF!,3,0))</f>
        <v/>
      </c>
      <c r="D37" s="42"/>
      <c r="E37" s="42"/>
      <c r="F37" s="67"/>
      <c r="G37" s="67"/>
      <c r="H37" s="67" t="str">
        <f>IF(B37="","",VLOOKUP(AD37,#REF!,5,0))</f>
        <v/>
      </c>
      <c r="I37" s="67" t="str">
        <f>IF(B37="","",VLOOKUP(AD37,#REF!,19,0))</f>
        <v/>
      </c>
      <c r="J37" s="67" t="str">
        <f>IF(B37="","",VLOOKUP(AD37,#REF!,6,0))</f>
        <v/>
      </c>
      <c r="K37" s="67"/>
      <c r="L37" s="67"/>
      <c r="M37" s="67" t="str">
        <f>IFERROR(IF(B37="","",K37/VLOOKUP(AD37,Varsayımlar!B:R,17,0)),"")</f>
        <v/>
      </c>
      <c r="N37" s="67"/>
      <c r="O37" s="67"/>
      <c r="P37" s="67" t="str">
        <f>IF(B37="","",VLOOKUP(AD37,#REF!,7,0)*K37)</f>
        <v/>
      </c>
      <c r="Q37" s="67" t="str">
        <f>IF(B37="","",VLOOKUP(AD37,#REF!,8,0))</f>
        <v/>
      </c>
      <c r="R37" s="67" t="str">
        <f>IF(B37="","",VLOOKUP(AD37,#REF!,9,0))</f>
        <v/>
      </c>
      <c r="S37" s="67" t="str">
        <f>IF(B37="","",VLOOKUP(AD37,#REF!,10,0))</f>
        <v/>
      </c>
      <c r="T37" s="67" t="str">
        <f>IF(B37="","",VLOOKUP(AD37,#REF!,11,0))</f>
        <v/>
      </c>
      <c r="U37" s="67" t="str">
        <f>IF(B37="","",VLOOKUP(AD37,#REF!,12,0))</f>
        <v/>
      </c>
      <c r="V37" s="67" t="str">
        <f>IF(B37="","",VLOOKUP(AD37,#REF!,13,0))</f>
        <v/>
      </c>
      <c r="W37" s="67" t="str">
        <f>IF(B37="","",VLOOKUP(AD37,#REF!,14,0))</f>
        <v/>
      </c>
      <c r="X37" s="69"/>
      <c r="Y37" s="69"/>
      <c r="Z37" s="67"/>
      <c r="AA37" s="67" t="str">
        <f>IF(B37="","",VLOOKUP(AD37,#REF!,15,0))</f>
        <v/>
      </c>
      <c r="AB37" s="67" t="str">
        <f>IF(B37="","",VLOOKUP(AD37,#REF!,16,0))</f>
        <v/>
      </c>
      <c r="AC37" s="145"/>
      <c r="AD37" s="57"/>
    </row>
    <row r="38" spans="1:30" ht="36" customHeight="1" x14ac:dyDescent="0.25">
      <c r="A38" s="8" t="s">
        <v>153</v>
      </c>
      <c r="B38" s="67"/>
      <c r="C38" s="42" t="str">
        <f>IF(B38="","",VLOOKUP(AD38,#REF!,3,0))</f>
        <v/>
      </c>
      <c r="D38" s="42"/>
      <c r="E38" s="42"/>
      <c r="F38" s="67"/>
      <c r="G38" s="67"/>
      <c r="H38" s="67" t="str">
        <f>IF(B38="","",VLOOKUP(AD38,#REF!,5,0))</f>
        <v/>
      </c>
      <c r="I38" s="67" t="str">
        <f>IF(B38="","",VLOOKUP(AD38,#REF!,19,0))</f>
        <v/>
      </c>
      <c r="J38" s="67" t="str">
        <f>IF(B38="","",VLOOKUP(AD38,#REF!,6,0))</f>
        <v/>
      </c>
      <c r="K38" s="67"/>
      <c r="L38" s="67"/>
      <c r="M38" s="67" t="str">
        <f>IFERROR(IF(B38="","",K38/VLOOKUP(AD38,Varsayımlar!B:R,17,0)),"")</f>
        <v/>
      </c>
      <c r="N38" s="67"/>
      <c r="O38" s="67"/>
      <c r="P38" s="67" t="str">
        <f>IF(B38="","",VLOOKUP(AD38,#REF!,7,0)*K38)</f>
        <v/>
      </c>
      <c r="Q38" s="67" t="str">
        <f>IF(B38="","",VLOOKUP(AD38,#REF!,8,0))</f>
        <v/>
      </c>
      <c r="R38" s="67" t="str">
        <f>IF(B38="","",VLOOKUP(AD38,#REF!,9,0))</f>
        <v/>
      </c>
      <c r="S38" s="67" t="str">
        <f>IF(B38="","",VLOOKUP(AD38,#REF!,10,0))</f>
        <v/>
      </c>
      <c r="T38" s="67" t="str">
        <f>IF(B38="","",VLOOKUP(AD38,#REF!,11,0))</f>
        <v/>
      </c>
      <c r="U38" s="67" t="str">
        <f>IF(B38="","",VLOOKUP(AD38,#REF!,12,0))</f>
        <v/>
      </c>
      <c r="V38" s="67" t="str">
        <f>IF(B38="","",VLOOKUP(AD38,#REF!,13,0))</f>
        <v/>
      </c>
      <c r="W38" s="67" t="str">
        <f>IF(B38="","",VLOOKUP(AD38,#REF!,14,0))</f>
        <v/>
      </c>
      <c r="X38" s="69"/>
      <c r="Y38" s="69"/>
      <c r="Z38" s="67"/>
      <c r="AA38" s="67" t="str">
        <f>IF(B38="","",VLOOKUP(AD38,#REF!,15,0))</f>
        <v/>
      </c>
      <c r="AB38" s="67" t="str">
        <f>IF(B38="","",VLOOKUP(AD38,#REF!,16,0))</f>
        <v/>
      </c>
      <c r="AC38" s="145"/>
      <c r="AD38" s="57"/>
    </row>
    <row r="39" spans="1:30" ht="36" customHeight="1" x14ac:dyDescent="0.25">
      <c r="A39" s="8" t="s">
        <v>154</v>
      </c>
      <c r="B39" s="67"/>
      <c r="C39" s="42" t="str">
        <f>IF(B39="","",VLOOKUP(AD39,#REF!,3,0))</f>
        <v/>
      </c>
      <c r="D39" s="42"/>
      <c r="E39" s="42"/>
      <c r="F39" s="67"/>
      <c r="G39" s="67"/>
      <c r="H39" s="67" t="str">
        <f>IF(B39="","",VLOOKUP(AD39,#REF!,5,0))</f>
        <v/>
      </c>
      <c r="I39" s="67" t="str">
        <f>IF(B39="","",VLOOKUP(AD39,#REF!,19,0))</f>
        <v/>
      </c>
      <c r="J39" s="67" t="str">
        <f>IF(B39="","",VLOOKUP(AD39,#REF!,6,0))</f>
        <v/>
      </c>
      <c r="K39" s="67"/>
      <c r="L39" s="67"/>
      <c r="M39" s="67" t="str">
        <f>IFERROR(IF(B39="","",K39/VLOOKUP(AD39,Varsayımlar!B:R,17,0)),"")</f>
        <v/>
      </c>
      <c r="N39" s="67"/>
      <c r="O39" s="67"/>
      <c r="P39" s="67" t="str">
        <f>IF(B39="","",VLOOKUP(AD39,#REF!,7,0)*K39)</f>
        <v/>
      </c>
      <c r="Q39" s="67" t="str">
        <f>IF(B39="","",VLOOKUP(AD39,#REF!,8,0))</f>
        <v/>
      </c>
      <c r="R39" s="67" t="str">
        <f>IF(B39="","",VLOOKUP(AD39,#REF!,9,0))</f>
        <v/>
      </c>
      <c r="S39" s="67" t="str">
        <f>IF(B39="","",VLOOKUP(AD39,#REF!,10,0))</f>
        <v/>
      </c>
      <c r="T39" s="67" t="str">
        <f>IF(B39="","",VLOOKUP(AD39,#REF!,11,0))</f>
        <v/>
      </c>
      <c r="U39" s="67" t="str">
        <f>IF(B39="","",VLOOKUP(AD39,#REF!,12,0))</f>
        <v/>
      </c>
      <c r="V39" s="67" t="str">
        <f>IF(B39="","",VLOOKUP(AD39,#REF!,13,0))</f>
        <v/>
      </c>
      <c r="W39" s="67" t="str">
        <f>IF(B39="","",VLOOKUP(AD39,#REF!,14,0))</f>
        <v/>
      </c>
      <c r="X39" s="69"/>
      <c r="Y39" s="69"/>
      <c r="Z39" s="67"/>
      <c r="AA39" s="67" t="str">
        <f>IF(B39="","",VLOOKUP(AD39,#REF!,15,0))</f>
        <v/>
      </c>
      <c r="AB39" s="67" t="str">
        <f>IF(B39="","",VLOOKUP(AD39,#REF!,16,0))</f>
        <v/>
      </c>
      <c r="AC39" s="145"/>
      <c r="AD39" s="57"/>
    </row>
    <row r="40" spans="1:30" ht="36" customHeight="1" x14ac:dyDescent="0.25">
      <c r="A40" s="8" t="s">
        <v>155</v>
      </c>
      <c r="B40" s="67"/>
      <c r="C40" s="42" t="str">
        <f>IF(B40="","",VLOOKUP(AD40,#REF!,3,0))</f>
        <v/>
      </c>
      <c r="D40" s="42"/>
      <c r="E40" s="42"/>
      <c r="F40" s="67"/>
      <c r="G40" s="67"/>
      <c r="H40" s="67" t="str">
        <f>IF(B40="","",VLOOKUP(AD40,#REF!,5,0))</f>
        <v/>
      </c>
      <c r="I40" s="67" t="str">
        <f>IF(B40="","",VLOOKUP(AD40,#REF!,19,0))</f>
        <v/>
      </c>
      <c r="J40" s="67" t="str">
        <f>IF(B40="","",VLOOKUP(AD40,#REF!,6,0))</f>
        <v/>
      </c>
      <c r="K40" s="67"/>
      <c r="L40" s="67"/>
      <c r="M40" s="67" t="str">
        <f>IFERROR(IF(B40="","",K40/VLOOKUP(AD40,Varsayımlar!B:R,17,0)),"")</f>
        <v/>
      </c>
      <c r="N40" s="67"/>
      <c r="O40" s="67"/>
      <c r="P40" s="67" t="str">
        <f>IF(B40="","",VLOOKUP(AD40,#REF!,7,0)*K40)</f>
        <v/>
      </c>
      <c r="Q40" s="67" t="str">
        <f>IF(B40="","",VLOOKUP(AD40,#REF!,8,0))</f>
        <v/>
      </c>
      <c r="R40" s="67" t="str">
        <f>IF(B40="","",VLOOKUP(AD40,#REF!,9,0))</f>
        <v/>
      </c>
      <c r="S40" s="67" t="str">
        <f>IF(B40="","",VLOOKUP(AD40,#REF!,10,0))</f>
        <v/>
      </c>
      <c r="T40" s="67" t="str">
        <f>IF(B40="","",VLOOKUP(AD40,#REF!,11,0))</f>
        <v/>
      </c>
      <c r="U40" s="67" t="str">
        <f>IF(B40="","",VLOOKUP(AD40,#REF!,12,0))</f>
        <v/>
      </c>
      <c r="V40" s="67" t="str">
        <f>IF(B40="","",VLOOKUP(AD40,#REF!,13,0))</f>
        <v/>
      </c>
      <c r="W40" s="67" t="str">
        <f>IF(B40="","",VLOOKUP(AD40,#REF!,14,0))</f>
        <v/>
      </c>
      <c r="X40" s="69"/>
      <c r="Y40" s="69"/>
      <c r="Z40" s="67"/>
      <c r="AA40" s="67" t="str">
        <f>IF(B40="","",VLOOKUP(AD40,#REF!,15,0))</f>
        <v/>
      </c>
      <c r="AB40" s="67" t="str">
        <f>IF(B40="","",VLOOKUP(AD40,#REF!,16,0))</f>
        <v/>
      </c>
      <c r="AC40" s="145"/>
      <c r="AD40" s="57"/>
    </row>
    <row r="41" spans="1:30" x14ac:dyDescent="0.25">
      <c r="A41" s="134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6"/>
      <c r="Y41" s="136"/>
      <c r="Z41" s="135"/>
      <c r="AA41" s="135"/>
      <c r="AB41" s="137"/>
      <c r="AC41" s="138"/>
      <c r="AD41" s="57"/>
    </row>
    <row r="42" spans="1:30" ht="31.5" customHeight="1" x14ac:dyDescent="0.25">
      <c r="A42" s="182" t="s">
        <v>344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4"/>
      <c r="AC42" s="38"/>
    </row>
    <row r="43" spans="1:30" ht="63" x14ac:dyDescent="0.25">
      <c r="A43" s="8" t="s">
        <v>0</v>
      </c>
      <c r="B43" s="8" t="s">
        <v>1</v>
      </c>
      <c r="C43" s="9" t="s">
        <v>31</v>
      </c>
      <c r="D43" s="9" t="s">
        <v>124</v>
      </c>
      <c r="E43" s="9" t="s">
        <v>36</v>
      </c>
      <c r="F43" s="8" t="s">
        <v>37</v>
      </c>
      <c r="G43" s="8" t="s">
        <v>13</v>
      </c>
      <c r="H43" s="8" t="s">
        <v>2</v>
      </c>
      <c r="I43" s="8" t="s">
        <v>49</v>
      </c>
      <c r="J43" s="8" t="s">
        <v>3</v>
      </c>
      <c r="K43" s="8" t="s">
        <v>21</v>
      </c>
      <c r="L43" s="8" t="s">
        <v>94</v>
      </c>
      <c r="M43" s="8" t="s">
        <v>20</v>
      </c>
      <c r="N43" s="8" t="s">
        <v>165</v>
      </c>
      <c r="O43" s="8" t="s">
        <v>123</v>
      </c>
      <c r="P43" s="8" t="s">
        <v>16</v>
      </c>
      <c r="Q43" s="8" t="s">
        <v>4</v>
      </c>
      <c r="R43" s="8" t="s">
        <v>5</v>
      </c>
      <c r="S43" s="8" t="s">
        <v>6</v>
      </c>
      <c r="T43" s="8" t="s">
        <v>28</v>
      </c>
      <c r="U43" s="8" t="s">
        <v>7</v>
      </c>
      <c r="V43" s="8" t="s">
        <v>8</v>
      </c>
      <c r="W43" s="8" t="s">
        <v>267</v>
      </c>
      <c r="X43" s="8" t="s">
        <v>10</v>
      </c>
      <c r="Y43" s="8" t="s">
        <v>11</v>
      </c>
      <c r="Z43" s="8" t="s">
        <v>12</v>
      </c>
      <c r="AA43" s="8" t="s">
        <v>14</v>
      </c>
      <c r="AB43" s="8" t="s">
        <v>15</v>
      </c>
      <c r="AC43" s="8" t="s">
        <v>208</v>
      </c>
      <c r="AD43" s="140" t="s">
        <v>41</v>
      </c>
    </row>
    <row r="44" spans="1:30" ht="47.25" x14ac:dyDescent="0.25">
      <c r="A44" s="8" t="s">
        <v>78</v>
      </c>
      <c r="B44" s="130" t="s">
        <v>119</v>
      </c>
      <c r="C44" s="130">
        <f>IF(B44="","",VLOOKUP(AD44,Varsayımlar!$B:$Q,3,0))</f>
        <v>8698829380698</v>
      </c>
      <c r="D44" s="130"/>
      <c r="E44" s="130" t="s">
        <v>120</v>
      </c>
      <c r="F44" s="130"/>
      <c r="G44" s="130"/>
      <c r="H44" s="130" t="str">
        <f>IF(B44="","",VLOOKUP(AD44,Varsayımlar!$B:$Q,5,0))</f>
        <v>Nimet 25 cm</v>
      </c>
      <c r="I44" s="130"/>
      <c r="J44" s="130" t="str">
        <f>IF(B44="","",VLOOKUP(AD44,Varsayımlar!$B:$Q,6,0))</f>
        <v>SADE</v>
      </c>
      <c r="K44" s="130">
        <v>4000</v>
      </c>
      <c r="L44" s="130"/>
      <c r="M44" s="130">
        <f>IFERROR(IF(B44="","",K44/VLOOKUP(AD44,Varsayımlar!B:R,17,0)),"")</f>
        <v>80</v>
      </c>
      <c r="N44" s="130"/>
      <c r="O44" s="130">
        <v>60</v>
      </c>
      <c r="P44" s="130">
        <f>IF(B44="","",VLOOKUP(AD44,Varsayımlar!$B:$Q,7,0)*K44)</f>
        <v>48000</v>
      </c>
      <c r="Q44" s="130">
        <f>IF(B44="","",VLOOKUP(AD44,Varsayımlar!$B:$Q,8,0))</f>
        <v>25</v>
      </c>
      <c r="R44" s="130" t="str">
        <f>IF(B44="","",VLOOKUP(AD44,Varsayımlar!$B:$Q,9,0))</f>
        <v>Standart</v>
      </c>
      <c r="S44" s="130">
        <f>IF(B44="","",VLOOKUP(AD44,Varsayımlar!$B:$Q,10,0))</f>
        <v>12</v>
      </c>
      <c r="T44" s="130">
        <f>IF(B44="","",VLOOKUP(AD44,Varsayımlar!$B:$Q,11,0))</f>
        <v>12</v>
      </c>
      <c r="U44" s="130">
        <f>IF(B44="","",VLOOKUP(AD44,Varsayımlar!$B:$Q,12,0))</f>
        <v>840</v>
      </c>
      <c r="V44" s="130" t="str">
        <f>IF(B44="","",VLOOKUP(AD44,Varsayımlar!$B:$Q,13,0))</f>
        <v>YURTİÇİ</v>
      </c>
      <c r="W44" s="130">
        <f>IF(B44="","",VLOOKUP(AD44,Varsayımlar!$B:$Q,14,0))</f>
        <v>5</v>
      </c>
      <c r="X44" s="130" t="s">
        <v>113</v>
      </c>
      <c r="Y44" s="130" t="s">
        <v>113</v>
      </c>
      <c r="Z44" s="130" t="s">
        <v>113</v>
      </c>
      <c r="AA44" s="130" t="str">
        <f>IF(B44="","",VLOOKUP(AD44,Varsayımlar!$B:$Q,15,0))</f>
        <v>Nimet Kolisi</v>
      </c>
      <c r="AB44" s="130" t="str">
        <f>IF(B44="","",VLOOKUP(AD44,Varsayımlar!$B:$Q,16,0))</f>
        <v>24-26 CM</v>
      </c>
      <c r="AC44" s="64" t="s">
        <v>360</v>
      </c>
      <c r="AD44" s="57" t="str">
        <f t="shared" ref="AD44:AD56" si="3">IF(B44="","",CONCATENATE(B44,E44))</f>
        <v>A101Nimet 25cm 12 pcs 840g</v>
      </c>
    </row>
    <row r="45" spans="1:30" ht="51.75" customHeight="1" x14ac:dyDescent="0.25">
      <c r="A45" s="8" t="s">
        <v>79</v>
      </c>
      <c r="B45" s="75" t="s">
        <v>218</v>
      </c>
      <c r="C45" s="43">
        <f>IF(B45="","",VLOOKUP(AD45,Varsayımlar!$B:$Q,3,0))</f>
        <v>8698829380698</v>
      </c>
      <c r="D45" s="43" t="s">
        <v>161</v>
      </c>
      <c r="E45" s="75" t="s">
        <v>228</v>
      </c>
      <c r="F45" s="75" t="s">
        <v>561</v>
      </c>
      <c r="G45" s="43"/>
      <c r="H45" s="75" t="str">
        <f>IF(B45="","",VLOOKUP(AD45,Varsayımlar!$B:$Q,5,0))</f>
        <v>Tortillas Avrupa 25cm (698)</v>
      </c>
      <c r="I45" s="75">
        <f>IF(B45="","",VLOOKUP(AD45,Varsayımlar!B:T,19,0))</f>
        <v>0</v>
      </c>
      <c r="J45" s="75" t="str">
        <f>IF(B45="","",VLOOKUP(AD45,Varsayımlar!$B:$Q,6,0))</f>
        <v>SADE</v>
      </c>
      <c r="K45" s="75">
        <v>600</v>
      </c>
      <c r="L45" s="75"/>
      <c r="M45" s="75">
        <f>IFERROR(IF(B45="","",K45/VLOOKUP(AD45,Varsayımlar!B:R,17,0)),"")</f>
        <v>5</v>
      </c>
      <c r="N45" s="75"/>
      <c r="O45" s="75">
        <v>6</v>
      </c>
      <c r="P45" s="75">
        <f>IF(B45="","",VLOOKUP(AD45,Varsayımlar!$B:$Q,7,0)*K45)</f>
        <v>4800</v>
      </c>
      <c r="Q45" s="75">
        <f>IF(B45="","",VLOOKUP(AD45,Varsayımlar!$B:$Q,8,0))</f>
        <v>25</v>
      </c>
      <c r="R45" s="75" t="str">
        <f>IF(B45="","",VLOOKUP(AD45,Varsayımlar!$B:$Q,9,0))</f>
        <v>Irak Soft</v>
      </c>
      <c r="S45" s="75">
        <f>IF(B45="","",VLOOKUP(AD45,Varsayımlar!$B:$Q,10,0))</f>
        <v>10</v>
      </c>
      <c r="T45" s="75">
        <f>IF(B45="","",VLOOKUP(AD45,Varsayımlar!$B:$Q,11,0))</f>
        <v>8</v>
      </c>
      <c r="U45" s="75">
        <f>IF(B45="","",VLOOKUP(AD45,Varsayımlar!$B:$Q,12,0))</f>
        <v>650</v>
      </c>
      <c r="V45" s="75" t="str">
        <f>IF(B45="","",VLOOKUP(AD45,Varsayımlar!$B:$Q,13,0))</f>
        <v>Yurtdışı</v>
      </c>
      <c r="W45" s="75">
        <f>IF(B45="","",VLOOKUP(AD45,Varsayımlar!$B:$Q,14,0))</f>
        <v>9</v>
      </c>
      <c r="X45" s="76">
        <v>46213</v>
      </c>
      <c r="Y45" s="76">
        <v>46487</v>
      </c>
      <c r="Z45" s="75">
        <v>26071025</v>
      </c>
      <c r="AA45" s="75" t="str">
        <f>IF(B45="","",VLOOKUP(AD45,Varsayımlar!$B:$Q,15,0))</f>
        <v>25cm Perforeli-Bulgarca etiket</v>
      </c>
      <c r="AB45" s="75" t="str">
        <f>IF(B45="","",VLOOKUP(AD45,Varsayımlar!$B:$Q,16,0))</f>
        <v>24-26 cm</v>
      </c>
      <c r="AC45" s="75" t="str">
        <f>IF(B45="","",VLOOKUP(Sayfa1!AD61,Varsayımlar!B:S,18,0))</f>
        <v>80x120cm -Epal+Epal</v>
      </c>
      <c r="AD45" s="57" t="str">
        <f t="shared" si="3"/>
        <v>TASTE LAND-BULGARİSTANTortillas 25cm Sade 10pcs 650g</v>
      </c>
    </row>
    <row r="46" spans="1:30" ht="44.25" customHeight="1" x14ac:dyDescent="0.25">
      <c r="A46" s="8" t="s">
        <v>80</v>
      </c>
      <c r="B46" s="67" t="s">
        <v>460</v>
      </c>
      <c r="C46" s="42">
        <f>IF(B46="","",VLOOKUP(AD46,Varsayımlar!$B:$Q,3,0))</f>
        <v>8698829380698</v>
      </c>
      <c r="D46" s="67" t="s">
        <v>540</v>
      </c>
      <c r="E46" s="67" t="s">
        <v>468</v>
      </c>
      <c r="F46" s="67">
        <v>20260414</v>
      </c>
      <c r="G46" s="67"/>
      <c r="H46" s="67" t="str">
        <f>IF(B46="","",VLOOKUP(AD46,Varsayımlar!$B:$Q,5,0))</f>
        <v>Tortillove 25cm</v>
      </c>
      <c r="I46" s="67">
        <f>IF(B46="","",VLOOKUP(AD46,Varsayımlar!B:T,19,0))</f>
        <v>0</v>
      </c>
      <c r="J46" s="67" t="str">
        <f>IF(B46="","",VLOOKUP(AD46,Varsayımlar!$B:$Q,6,0))</f>
        <v>SADE</v>
      </c>
      <c r="K46" s="67">
        <v>100</v>
      </c>
      <c r="L46" s="67"/>
      <c r="M46" s="67">
        <f>IFERROR(IF(B46="","",K46/VLOOKUP(AD46,Varsayımlar!B:R,17,0)),"")</f>
        <v>1</v>
      </c>
      <c r="N46" s="67"/>
      <c r="O46" s="67">
        <v>2</v>
      </c>
      <c r="P46" s="67">
        <f>IF(B46="","",VLOOKUP(AD46,Varsayımlar!$B:$Q,7,0)*K46)</f>
        <v>1200</v>
      </c>
      <c r="Q46" s="67">
        <f>IF(B46="","",VLOOKUP(AD46,Varsayımlar!$B:$Q,8,0))</f>
        <v>25</v>
      </c>
      <c r="R46" s="67" t="str">
        <f>IF(B46="","",VLOOKUP(AD46,Varsayımlar!$B:$Q,9,0))</f>
        <v>Irak Soft</v>
      </c>
      <c r="S46" s="67">
        <f>IF(B46="","",VLOOKUP(AD46,Varsayımlar!$B:$Q,10,0))</f>
        <v>10</v>
      </c>
      <c r="T46" s="67">
        <f>IF(B46="","",VLOOKUP(AD46,Varsayımlar!$B:$Q,11,0))</f>
        <v>12</v>
      </c>
      <c r="U46" s="67">
        <f>IF(B46="","",VLOOKUP(AD46,Varsayımlar!$B:$Q,12,0))</f>
        <v>650</v>
      </c>
      <c r="V46" s="67" t="str">
        <f>IF(B46="","",VLOOKUP(AD46,Varsayımlar!$B:$Q,13,0))</f>
        <v>Yurtdışı</v>
      </c>
      <c r="W46" s="67">
        <f>IF(B46="","",VLOOKUP(AD46,Varsayımlar!$B:$Q,14,0))</f>
        <v>6</v>
      </c>
      <c r="X46" s="69">
        <v>46216</v>
      </c>
      <c r="Y46" s="69">
        <v>46400</v>
      </c>
      <c r="Z46" s="67">
        <v>26071325</v>
      </c>
      <c r="AA46" s="67" t="str">
        <f>IF(B46="","",VLOOKUP(AD46,Varsayımlar!$B:$Q,15,0))</f>
        <v>25cm Kırmızı Koli</v>
      </c>
      <c r="AB46" s="67" t="str">
        <f>IF(B46="","",VLOOKUP(AD46,Varsayımlar!$B:$Q,16,0))</f>
        <v>24-26 cm</v>
      </c>
      <c r="AC46" s="75" t="str">
        <f>IF(B46="","",VLOOKUP(Sayfa1!AD64,Varsayımlar!B:S,18,0))</f>
        <v>80x120cm -Epal+Epal</v>
      </c>
      <c r="AD46" s="57" t="str">
        <f t="shared" si="3"/>
        <v>Yüksekbaş GıdaYüksekbaş 25cm 10pcs 650g</v>
      </c>
    </row>
    <row r="47" spans="1:30" ht="44.25" customHeight="1" x14ac:dyDescent="0.25">
      <c r="A47" s="8" t="s">
        <v>81</v>
      </c>
      <c r="B47" s="42" t="s">
        <v>460</v>
      </c>
      <c r="C47" s="42">
        <f>IF(B47="","",VLOOKUP(AD47,Varsayımlar!$B:$Q,3,0))</f>
        <v>8698829380698</v>
      </c>
      <c r="D47" s="42" t="s">
        <v>540</v>
      </c>
      <c r="E47" s="42" t="s">
        <v>471</v>
      </c>
      <c r="F47" s="42">
        <v>20260414</v>
      </c>
      <c r="G47" s="42"/>
      <c r="H47" s="42" t="str">
        <f>IF(B47="","",VLOOKUP(AD47,Varsayımlar!$B:$Q,5,0))</f>
        <v>Tortillove Tam Buğday 25cm</v>
      </c>
      <c r="I47" s="42">
        <f>IF(B47="","",VLOOKUP(AD47,Varsayımlar!B:T,19,0))</f>
        <v>0</v>
      </c>
      <c r="J47" s="42" t="str">
        <f>IF(B47="","",VLOOKUP(AD47,Varsayımlar!$B:$Q,6,0))</f>
        <v>Tam Buğdaylı</v>
      </c>
      <c r="K47" s="42">
        <v>500</v>
      </c>
      <c r="L47" s="42"/>
      <c r="M47" s="42">
        <f>IFERROR(IF(B47="","",K47/VLOOKUP(AD47,Varsayımlar!B:R,17,0)),"")</f>
        <v>5</v>
      </c>
      <c r="N47" s="42"/>
      <c r="O47" s="42">
        <v>7</v>
      </c>
      <c r="P47" s="42">
        <f>IF(B47="","",VLOOKUP(AD47,Varsayımlar!$B:$Q,7,0)*K47)</f>
        <v>6000</v>
      </c>
      <c r="Q47" s="42">
        <f>IF(B47="","",VLOOKUP(AD47,Varsayımlar!$B:$Q,8,0))</f>
        <v>25</v>
      </c>
      <c r="R47" s="42" t="str">
        <f>IF(B47="","",VLOOKUP(AD47,Varsayımlar!$B:$Q,9,0))</f>
        <v>Irak Soft</v>
      </c>
      <c r="S47" s="42">
        <f>IF(B47="","",VLOOKUP(AD47,Varsayımlar!$B:$Q,10,0))</f>
        <v>10</v>
      </c>
      <c r="T47" s="42">
        <f>IF(B47="","",VLOOKUP(AD47,Varsayımlar!$B:$Q,11,0))</f>
        <v>12</v>
      </c>
      <c r="U47" s="42">
        <f>IF(B47="","",VLOOKUP(AD47,Varsayımlar!$B:$Q,12,0))</f>
        <v>650</v>
      </c>
      <c r="V47" s="42" t="str">
        <f>IF(B47="","",VLOOKUP(AD47,Varsayımlar!$B:$Q,13,0))</f>
        <v>Yurtdışı</v>
      </c>
      <c r="W47" s="42">
        <f>IF(B47="","",VLOOKUP(AD47,Varsayımlar!$B:$Q,14,0))</f>
        <v>6</v>
      </c>
      <c r="X47" s="69">
        <v>46216</v>
      </c>
      <c r="Y47" s="69">
        <v>46400</v>
      </c>
      <c r="Z47" s="42" t="s">
        <v>475</v>
      </c>
      <c r="AA47" s="42" t="str">
        <f>IF(B47="","",VLOOKUP(AD47,Varsayımlar!$B:$Q,15,0))</f>
        <v>25cm Kırmızı Koli-Etiketli</v>
      </c>
      <c r="AB47" s="42" t="str">
        <f>IF(B47="","",VLOOKUP(AD47,Varsayımlar!$B:$Q,16,0))</f>
        <v>24-26 cm</v>
      </c>
      <c r="AC47" s="75" t="str">
        <f>IF(B47="","",VLOOKUP(Sayfa1!AD64,Varsayımlar!B:S,18,0))</f>
        <v>80x120cm -Epal+Epal</v>
      </c>
      <c r="AD47" s="57" t="str">
        <f t="shared" si="3"/>
        <v>Yüksekbaş GıdaYüksekbaş TB 25cm 10pcs 650g</v>
      </c>
    </row>
    <row r="48" spans="1:30" ht="45.75" customHeight="1" x14ac:dyDescent="0.25">
      <c r="A48" s="8" t="s">
        <v>82</v>
      </c>
      <c r="B48" s="130" t="s">
        <v>119</v>
      </c>
      <c r="C48" s="131">
        <f>IF(B48="","",VLOOKUP(AD48,Varsayımlar!$B:$Q,3,0))</f>
        <v>8698829380698</v>
      </c>
      <c r="D48" s="131"/>
      <c r="E48" s="132" t="s">
        <v>120</v>
      </c>
      <c r="F48" s="130"/>
      <c r="G48" s="130"/>
      <c r="H48" s="130" t="str">
        <f>IF(B48="","",VLOOKUP(AD48,Varsayımlar!$B:$Q,5,0))</f>
        <v>Nimet 25 cm</v>
      </c>
      <c r="I48" s="130"/>
      <c r="J48" s="130" t="str">
        <f>IF(B48="","",VLOOKUP(AD48,Varsayımlar!$B:$Q,6,0))</f>
        <v>SADE</v>
      </c>
      <c r="K48" s="130">
        <v>4000</v>
      </c>
      <c r="L48" s="130"/>
      <c r="M48" s="130">
        <f>IFERROR(IF(B48="","",K48/VLOOKUP(AD48,Varsayımlar!B:R,17,0)),"")</f>
        <v>80</v>
      </c>
      <c r="N48" s="130"/>
      <c r="O48" s="130">
        <v>60</v>
      </c>
      <c r="P48" s="130">
        <f>IF(B48="","",VLOOKUP(AD48,Varsayımlar!$B:$Q,7,0)*K48)</f>
        <v>48000</v>
      </c>
      <c r="Q48" s="130">
        <f>IF(B48="","",VLOOKUP(AD48,Varsayımlar!$B:$Q,8,0))</f>
        <v>25</v>
      </c>
      <c r="R48" s="130" t="str">
        <f>IF(B48="","",VLOOKUP(AD48,Varsayımlar!$B:$Q,9,0))</f>
        <v>Standart</v>
      </c>
      <c r="S48" s="130">
        <f>IF(B48="","",VLOOKUP(AD48,Varsayımlar!$B:$Q,10,0))</f>
        <v>12</v>
      </c>
      <c r="T48" s="130">
        <f>IF(B48="","",VLOOKUP(AD48,Varsayımlar!$B:$Q,11,0))</f>
        <v>12</v>
      </c>
      <c r="U48" s="130">
        <f>IF(B48="","",VLOOKUP(AD48,Varsayımlar!$B:$Q,12,0))</f>
        <v>840</v>
      </c>
      <c r="V48" s="130" t="str">
        <f>IF(B48="","",VLOOKUP(AD48,Varsayımlar!$B:$Q,13,0))</f>
        <v>YURTİÇİ</v>
      </c>
      <c r="W48" s="130">
        <f>IF(B48="","",VLOOKUP(AD48,Varsayımlar!$B:$Q,14,0))</f>
        <v>5</v>
      </c>
      <c r="X48" s="133" t="s">
        <v>113</v>
      </c>
      <c r="Y48" s="133" t="s">
        <v>113</v>
      </c>
      <c r="Z48" s="130" t="s">
        <v>113</v>
      </c>
      <c r="AA48" s="130" t="str">
        <f>IF(B48="","",VLOOKUP(AD48,Varsayımlar!$B:$Q,15,0))</f>
        <v>Nimet Kolisi</v>
      </c>
      <c r="AB48" s="130" t="str">
        <f>IF(B48="","",VLOOKUP(AD48,Varsayımlar!$B:$Q,16,0))</f>
        <v>24-26 CM</v>
      </c>
      <c r="AC48" s="64" t="s">
        <v>360</v>
      </c>
      <c r="AD48" s="57" t="str">
        <f>IF(B48="","",CONCATENATE(B48,E48))</f>
        <v>A101Nimet 25cm 12 pcs 840g</v>
      </c>
    </row>
    <row r="49" spans="1:30" ht="31.5" x14ac:dyDescent="0.25">
      <c r="A49" s="8" t="s">
        <v>83</v>
      </c>
      <c r="B49" s="54" t="s">
        <v>346</v>
      </c>
      <c r="C49" s="39">
        <f>IF(B49="","",VLOOKUP(AD49,Varsayımlar!$B:$Q,3,0))</f>
        <v>8698829380698</v>
      </c>
      <c r="D49" s="39">
        <v>49</v>
      </c>
      <c r="E49" s="139" t="s">
        <v>58</v>
      </c>
      <c r="F49" s="54"/>
      <c r="G49" s="54"/>
      <c r="H49" s="54" t="str">
        <f>IF(B49="","",VLOOKUP(AD49,Varsayımlar!$B:$Q,5,0))</f>
        <v>KIRMIZI TORTİLLAS 25 CM</v>
      </c>
      <c r="I49" s="54" t="str">
        <f>IF(B49="","",VLOOKUP(AD49,Varsayımlar!B:T,19,0))</f>
        <v>BARKOD ETİKETİ</v>
      </c>
      <c r="J49" s="54" t="str">
        <f>IF(B49="","",VLOOKUP(AD49,Varsayımlar!$B:$Q,6,0))</f>
        <v>SADE</v>
      </c>
      <c r="K49" s="54">
        <v>504</v>
      </c>
      <c r="L49" s="54"/>
      <c r="M49" s="54">
        <f>IFERROR(IF(B49="","",K49/VLOOKUP(AD49,Varsayımlar!B:R,17,0)),"")</f>
        <v>6</v>
      </c>
      <c r="N49" s="54"/>
      <c r="O49" s="54">
        <v>6</v>
      </c>
      <c r="P49" s="54">
        <f>IF(B49="","",VLOOKUP(AD49,Varsayımlar!$B:$Q,7,0)*K49)</f>
        <v>9072</v>
      </c>
      <c r="Q49" s="54">
        <f>IF(B49="","",VLOOKUP(AD49,Varsayımlar!$B:$Q,8,0))</f>
        <v>25</v>
      </c>
      <c r="R49" s="54" t="str">
        <f>IF(B49="","",VLOOKUP(AD49,Varsayımlar!$B:$Q,9,0))</f>
        <v>IRAK SOFT</v>
      </c>
      <c r="S49" s="54">
        <f>IF(B49="","",VLOOKUP(AD49,Varsayımlar!$B:$Q,10,0))</f>
        <v>6</v>
      </c>
      <c r="T49" s="54">
        <f>IF(B49="","",VLOOKUP(AD49,Varsayımlar!$B:$Q,11,0))</f>
        <v>18</v>
      </c>
      <c r="U49" s="54">
        <f>IF(B49="","",VLOOKUP(AD49,Varsayımlar!$B:$Q,12,0))</f>
        <v>375</v>
      </c>
      <c r="V49" s="54" t="str">
        <f>IF(B49="","",VLOOKUP(AD49,Varsayımlar!$B:$Q,13,0))</f>
        <v>YURTDIŞI</v>
      </c>
      <c r="W49" s="54">
        <f>IF(B49="","",VLOOKUP(AD49,Varsayımlar!$B:$Q,14,0))</f>
        <v>9</v>
      </c>
      <c r="X49" s="56">
        <v>46226</v>
      </c>
      <c r="Y49" s="56">
        <v>46500</v>
      </c>
      <c r="Z49" s="54">
        <v>26072325</v>
      </c>
      <c r="AA49" s="54" t="str">
        <f>IF(B49="","",VLOOKUP(AD49,Varsayımlar!$B:$Q,15,0))</f>
        <v>KIRMIZI - ÜRETİM TARİHLİ ETİKET</v>
      </c>
      <c r="AB49" s="54" t="str">
        <f>IF(B49="","",VLOOKUP(AD49,Varsayımlar!$B:$Q,16,0))</f>
        <v>24-26 CM</v>
      </c>
      <c r="AC49" s="8" t="e">
        <f>IF(B49="","",VLOOKUP(#REF!,#REF!,18,0))</f>
        <v>#REF!</v>
      </c>
      <c r="AD49" s="8" t="str">
        <f>IF(B49="","",CONCATENATE(B49,E49))</f>
        <v>GermesKırmızı Tortillas-Germes-25cm 375g</v>
      </c>
    </row>
    <row r="50" spans="1:30" ht="36" customHeight="1" x14ac:dyDescent="0.25">
      <c r="A50" s="8" t="s">
        <v>84</v>
      </c>
      <c r="B50" s="149" t="s">
        <v>500</v>
      </c>
      <c r="C50" s="149">
        <f>IF(B50="","",VLOOKUP(AD50,Varsayımlar!$B:$Q,3,0))</f>
        <v>8698829380698</v>
      </c>
      <c r="D50" s="149"/>
      <c r="E50" s="149" t="s">
        <v>193</v>
      </c>
      <c r="F50" s="149">
        <v>26062201</v>
      </c>
      <c r="G50" s="149"/>
      <c r="H50" s="149" t="str">
        <f>IF(B50="","",VLOOKUP(AD50,Varsayımlar!$B:$Q,5,0))</f>
        <v>Tortillas 25cm</v>
      </c>
      <c r="I50" s="149">
        <f>IF(B50="","",VLOOKUP(AD50,Varsayımlar!B:T,19,0))</f>
        <v>0</v>
      </c>
      <c r="J50" s="149" t="str">
        <f>IF(B50="","",VLOOKUP(AD50,Varsayımlar!$B:$Q,6,0))</f>
        <v>Sade</v>
      </c>
      <c r="K50" s="149">
        <v>50</v>
      </c>
      <c r="L50" s="149"/>
      <c r="M50" s="149">
        <f>IFERROR(IF(B50="","",K50/VLOOKUP(AD50,Varsayımlar!B:R,17,0)),"")</f>
        <v>1</v>
      </c>
      <c r="N50" s="149"/>
      <c r="O50" s="149">
        <v>1</v>
      </c>
      <c r="P50" s="149">
        <f>IF(B50="","",VLOOKUP(AD50,Varsayımlar!$B:$Q,7,0)*K50)</f>
        <v>600</v>
      </c>
      <c r="Q50" s="149">
        <f>IF(B50="","",VLOOKUP(AD50,Varsayımlar!$B:$Q,8,0))</f>
        <v>25</v>
      </c>
      <c r="R50" s="149" t="str">
        <f>IF(B50="","",VLOOKUP(AD50,Varsayımlar!$B:$Q,9,0))</f>
        <v>Irak Soft</v>
      </c>
      <c r="S50" s="149">
        <f>IF(B50="","",VLOOKUP(AD50,Varsayımlar!$B:$Q,10,0))</f>
        <v>10</v>
      </c>
      <c r="T50" s="149">
        <f>IF(B50="","",VLOOKUP(AD50,Varsayımlar!$B:$Q,11,0))</f>
        <v>12</v>
      </c>
      <c r="U50" s="149">
        <f>IF(B50="","",VLOOKUP(AD50,Varsayımlar!$B:$Q,12,0))</f>
        <v>650</v>
      </c>
      <c r="V50" s="149" t="str">
        <f>IF(B50="","",VLOOKUP(AD50,Varsayımlar!$B:$Q,13,0))</f>
        <v>Yurtdışı</v>
      </c>
      <c r="W50" s="149">
        <f>IF(B50="","",VLOOKUP(AD50,Varsayımlar!$B:$Q,14,0))</f>
        <v>12</v>
      </c>
      <c r="X50" s="151">
        <v>46231</v>
      </c>
      <c r="Y50" s="151">
        <v>46596</v>
      </c>
      <c r="Z50" s="149">
        <v>26072825</v>
      </c>
      <c r="AA50" s="149" t="str">
        <f>IF(B50="","",VLOOKUP(AD50,Varsayımlar!$B:$Q,15,0))</f>
        <v>25cm Kolisi</v>
      </c>
      <c r="AB50" s="149" t="str">
        <f>IF(B50="","",VLOOKUP(AD50,Varsayımlar!$B:$Q,16,0))</f>
        <v>24-26cm</v>
      </c>
      <c r="AC50" s="67"/>
      <c r="AD50" s="57" t="str">
        <f t="shared" ref="AD50:AD52" si="4">IF(B50="","",CONCATENATE(B50,E50))</f>
        <v>Fama GroupTortillas 25cm 10pcs 650g</v>
      </c>
    </row>
    <row r="51" spans="1:30" ht="33.75" customHeight="1" x14ac:dyDescent="0.25">
      <c r="A51" s="8" t="s">
        <v>85</v>
      </c>
      <c r="B51" s="67" t="s">
        <v>460</v>
      </c>
      <c r="C51" s="42">
        <f>IF(B51="","",VLOOKUP(AD51,Varsayımlar!$B:$Q,3,0))</f>
        <v>8698829380698</v>
      </c>
      <c r="D51" s="67" t="s">
        <v>539</v>
      </c>
      <c r="E51" s="67" t="s">
        <v>468</v>
      </c>
      <c r="F51" s="67">
        <v>20260626</v>
      </c>
      <c r="G51" s="67"/>
      <c r="H51" s="67" t="str">
        <f>IF(B51="","",VLOOKUP(AD51,Varsayımlar!$B:$Q,5,0))</f>
        <v>Tortillove 25cm</v>
      </c>
      <c r="I51" s="67">
        <f>IF(B51="","",VLOOKUP(AD51,Varsayımlar!B:T,19,0))</f>
        <v>0</v>
      </c>
      <c r="J51" s="67" t="str">
        <f>IF(B51="","",VLOOKUP(AD51,Varsayımlar!$B:$Q,6,0))</f>
        <v>SADE</v>
      </c>
      <c r="K51" s="67">
        <v>100</v>
      </c>
      <c r="L51" s="67"/>
      <c r="M51" s="67">
        <f>IFERROR(IF(B51="","",K51/VLOOKUP(AD51,Varsayımlar!B:R,17,0)),"")</f>
        <v>1</v>
      </c>
      <c r="N51" s="67"/>
      <c r="O51" s="67">
        <v>2</v>
      </c>
      <c r="P51" s="67">
        <f>IF(B51="","",VLOOKUP(AD51,Varsayımlar!$B:$Q,7,0)*K51)</f>
        <v>1200</v>
      </c>
      <c r="Q51" s="67">
        <f>IF(B51="","",VLOOKUP(AD51,Varsayımlar!$B:$Q,8,0))</f>
        <v>25</v>
      </c>
      <c r="R51" s="67" t="str">
        <f>IF(B51="","",VLOOKUP(AD51,Varsayımlar!$B:$Q,9,0))</f>
        <v>Irak Soft</v>
      </c>
      <c r="S51" s="67">
        <f>IF(B51="","",VLOOKUP(AD51,Varsayımlar!$B:$Q,10,0))</f>
        <v>10</v>
      </c>
      <c r="T51" s="67">
        <f>IF(B51="","",VLOOKUP(AD51,Varsayımlar!$B:$Q,11,0))</f>
        <v>12</v>
      </c>
      <c r="U51" s="67">
        <f>IF(B51="","",VLOOKUP(AD51,Varsayımlar!$B:$Q,12,0))</f>
        <v>650</v>
      </c>
      <c r="V51" s="67" t="str">
        <f>IF(B51="","",VLOOKUP(AD51,Varsayımlar!$B:$Q,13,0))</f>
        <v>Yurtdışı</v>
      </c>
      <c r="W51" s="67">
        <f>IF(B51="","",VLOOKUP(AD51,Varsayımlar!$B:$Q,14,0))</f>
        <v>6</v>
      </c>
      <c r="X51" s="69"/>
      <c r="Y51" s="69"/>
      <c r="Z51" s="67"/>
      <c r="AA51" s="67" t="str">
        <f>IF(B51="","",VLOOKUP(AD51,Varsayımlar!$B:$Q,15,0))</f>
        <v>25cm Kırmızı Koli</v>
      </c>
      <c r="AB51" s="67" t="str">
        <f>IF(B51="","",VLOOKUP(AD51,Varsayımlar!$B:$Q,16,0))</f>
        <v>24-26 cm</v>
      </c>
      <c r="AC51" s="75">
        <f>IF(B51="","",VLOOKUP(Sayfa1!AD69,Varsayımlar!B:S,18,0))</f>
        <v>0</v>
      </c>
      <c r="AD51" s="57" t="str">
        <f t="shared" si="4"/>
        <v>Yüksekbaş GıdaYüksekbaş 25cm 10pcs 650g</v>
      </c>
    </row>
    <row r="52" spans="1:30" ht="31.5" x14ac:dyDescent="0.25">
      <c r="A52" s="8" t="s">
        <v>86</v>
      </c>
      <c r="B52" s="42" t="s">
        <v>460</v>
      </c>
      <c r="C52" s="42">
        <f>IF(B52="","",VLOOKUP(AD52,Varsayımlar!$B:$Q,3,0))</f>
        <v>8698829380698</v>
      </c>
      <c r="D52" s="42" t="s">
        <v>539</v>
      </c>
      <c r="E52" s="42" t="s">
        <v>471</v>
      </c>
      <c r="F52" s="42">
        <v>20260626</v>
      </c>
      <c r="G52" s="42"/>
      <c r="H52" s="42" t="str">
        <f>IF(B52="","",VLOOKUP(AD52,Varsayımlar!$B:$Q,5,0))</f>
        <v>Tortillove Tam Buğday 25cm</v>
      </c>
      <c r="I52" s="42">
        <f>IF(B52="","",VLOOKUP(AD52,Varsayımlar!B:T,19,0))</f>
        <v>0</v>
      </c>
      <c r="J52" s="42" t="str">
        <f>IF(B52="","",VLOOKUP(AD52,Varsayımlar!$B:$Q,6,0))</f>
        <v>Tam Buğdaylı</v>
      </c>
      <c r="K52" s="42">
        <v>500</v>
      </c>
      <c r="L52" s="42"/>
      <c r="M52" s="42">
        <f>IFERROR(IF(B52="","",K52/VLOOKUP(AD52,Varsayımlar!B:R,17,0)),"")</f>
        <v>5</v>
      </c>
      <c r="N52" s="42"/>
      <c r="O52" s="42">
        <v>7</v>
      </c>
      <c r="P52" s="42">
        <f>IF(B52="","",VLOOKUP(AD52,Varsayımlar!$B:$Q,7,0)*K52)</f>
        <v>6000</v>
      </c>
      <c r="Q52" s="42">
        <f>IF(B52="","",VLOOKUP(AD52,Varsayımlar!$B:$Q,8,0))</f>
        <v>25</v>
      </c>
      <c r="R52" s="42" t="str">
        <f>IF(B52="","",VLOOKUP(AD52,Varsayımlar!$B:$Q,9,0))</f>
        <v>Irak Soft</v>
      </c>
      <c r="S52" s="42">
        <f>IF(B52="","",VLOOKUP(AD52,Varsayımlar!$B:$Q,10,0))</f>
        <v>10</v>
      </c>
      <c r="T52" s="42">
        <f>IF(B52="","",VLOOKUP(AD52,Varsayımlar!$B:$Q,11,0))</f>
        <v>12</v>
      </c>
      <c r="U52" s="42">
        <f>IF(B52="","",VLOOKUP(AD52,Varsayımlar!$B:$Q,12,0))</f>
        <v>650</v>
      </c>
      <c r="V52" s="42" t="str">
        <f>IF(B52="","",VLOOKUP(AD52,Varsayımlar!$B:$Q,13,0))</f>
        <v>Yurtdışı</v>
      </c>
      <c r="W52" s="42">
        <f>IF(B52="","",VLOOKUP(AD52,Varsayımlar!$B:$Q,14,0))</f>
        <v>6</v>
      </c>
      <c r="X52" s="69"/>
      <c r="Y52" s="69"/>
      <c r="Z52" s="42"/>
      <c r="AA52" s="42" t="str">
        <f>IF(B52="","",VLOOKUP(AD52,Varsayımlar!$B:$Q,15,0))</f>
        <v>25cm Kırmızı Koli-Etiketli</v>
      </c>
      <c r="AB52" s="42" t="str">
        <f>IF(B52="","",VLOOKUP(AD52,Varsayımlar!$B:$Q,16,0))</f>
        <v>24-26 cm</v>
      </c>
      <c r="AC52" s="75">
        <f>IF(B52="","",VLOOKUP(Sayfa1!AD69,Varsayımlar!B:S,18,0))</f>
        <v>0</v>
      </c>
      <c r="AD52" s="57" t="str">
        <f t="shared" si="4"/>
        <v>Yüksekbaş GıdaYüksekbaş TB 25cm 10pcs 650g</v>
      </c>
    </row>
    <row r="53" spans="1:30" ht="36" customHeight="1" x14ac:dyDescent="0.25">
      <c r="A53" s="8" t="s">
        <v>87</v>
      </c>
      <c r="B53" s="67"/>
      <c r="C53" s="42" t="str">
        <f>IF(B53="","",VLOOKUP(AD53,#REF!,3,0))</f>
        <v/>
      </c>
      <c r="D53" s="42"/>
      <c r="E53" s="42"/>
      <c r="F53" s="67"/>
      <c r="G53" s="67"/>
      <c r="H53" s="67" t="str">
        <f>IF(B53="","",VLOOKUP(AD53,#REF!,5,0))</f>
        <v/>
      </c>
      <c r="I53" s="67" t="str">
        <f>IF(B53="","",VLOOKUP(AD53,#REF!,19,0))</f>
        <v/>
      </c>
      <c r="J53" s="67" t="str">
        <f>IF(B53="","",VLOOKUP(AD53,#REF!,6,0))</f>
        <v/>
      </c>
      <c r="K53" s="67"/>
      <c r="L53" s="67"/>
      <c r="M53" s="42" t="str">
        <f>IFERROR(IF(B53="","",K53/VLOOKUP(AD53,Varsayımlar!B:R,17,0)),"")</f>
        <v/>
      </c>
      <c r="N53" s="67"/>
      <c r="O53" s="67"/>
      <c r="P53" s="67" t="str">
        <f>IF(B53="","",VLOOKUP(AD53,#REF!,7,0)*K53)</f>
        <v/>
      </c>
      <c r="Q53" s="67" t="str">
        <f>IF(B53="","",VLOOKUP(AD53,#REF!,8,0))</f>
        <v/>
      </c>
      <c r="R53" s="67" t="str">
        <f>IF(B53="","",VLOOKUP(AD53,#REF!,9,0))</f>
        <v/>
      </c>
      <c r="S53" s="67" t="str">
        <f>IF(B53="","",VLOOKUP(AD53,#REF!,10,0))</f>
        <v/>
      </c>
      <c r="T53" s="67" t="str">
        <f>IF(B53="","",VLOOKUP(AD53,#REF!,11,0))</f>
        <v/>
      </c>
      <c r="U53" s="67" t="str">
        <f>IF(B53="","",VLOOKUP(AD53,#REF!,12,0))</f>
        <v/>
      </c>
      <c r="V53" s="67" t="str">
        <f>IF(B53="","",VLOOKUP(AD53,#REF!,13,0))</f>
        <v/>
      </c>
      <c r="W53" s="67" t="str">
        <f>IF(B53="","",VLOOKUP(AD53,#REF!,14,0))</f>
        <v/>
      </c>
      <c r="X53" s="69"/>
      <c r="Y53" s="69"/>
      <c r="Z53" s="67"/>
      <c r="AA53" s="67" t="str">
        <f>IF(B53="","",VLOOKUP(AD53,#REF!,15,0))</f>
        <v/>
      </c>
      <c r="AB53" s="67" t="str">
        <f>IF(B53="","",VLOOKUP(AD53,#REF!,16,0))</f>
        <v/>
      </c>
      <c r="AC53" s="145"/>
      <c r="AD53" s="57"/>
    </row>
    <row r="54" spans="1:30" ht="36" customHeight="1" x14ac:dyDescent="0.25">
      <c r="A54" s="8" t="s">
        <v>88</v>
      </c>
      <c r="B54" s="67"/>
      <c r="C54" s="42" t="str">
        <f>IF(B54="","",VLOOKUP(AD54,#REF!,3,0))</f>
        <v/>
      </c>
      <c r="D54" s="42"/>
      <c r="E54" s="42"/>
      <c r="F54" s="67"/>
      <c r="G54" s="67"/>
      <c r="H54" s="67" t="str">
        <f>IF(B54="","",VLOOKUP(AD54,#REF!,5,0))</f>
        <v/>
      </c>
      <c r="I54" s="67" t="str">
        <f>IF(B54="","",VLOOKUP(AD54,#REF!,19,0))</f>
        <v/>
      </c>
      <c r="J54" s="67" t="str">
        <f>IF(B54="","",VLOOKUP(AD54,#REF!,6,0))</f>
        <v/>
      </c>
      <c r="K54" s="67"/>
      <c r="L54" s="67"/>
      <c r="M54" s="42" t="str">
        <f>IFERROR(IF(B54="","",K54/VLOOKUP(AD54,Varsayımlar!B:R,17,0)),"")</f>
        <v/>
      </c>
      <c r="N54" s="67"/>
      <c r="O54" s="67"/>
      <c r="P54" s="67" t="str">
        <f>IF(B54="","",VLOOKUP(AD54,#REF!,7,0)*K54)</f>
        <v/>
      </c>
      <c r="Q54" s="67" t="str">
        <f>IF(B54="","",VLOOKUP(AD54,#REF!,8,0))</f>
        <v/>
      </c>
      <c r="R54" s="67" t="str">
        <f>IF(B54="","",VLOOKUP(AD54,#REF!,9,0))</f>
        <v/>
      </c>
      <c r="S54" s="67" t="str">
        <f>IF(B54="","",VLOOKUP(AD54,#REF!,10,0))</f>
        <v/>
      </c>
      <c r="T54" s="67" t="str">
        <f>IF(B54="","",VLOOKUP(AD54,#REF!,11,0))</f>
        <v/>
      </c>
      <c r="U54" s="67" t="str">
        <f>IF(B54="","",VLOOKUP(AD54,#REF!,12,0))</f>
        <v/>
      </c>
      <c r="V54" s="67" t="str">
        <f>IF(B54="","",VLOOKUP(AD54,#REF!,13,0))</f>
        <v/>
      </c>
      <c r="W54" s="67" t="str">
        <f>IF(B54="","",VLOOKUP(AD54,#REF!,14,0))</f>
        <v/>
      </c>
      <c r="X54" s="69"/>
      <c r="Y54" s="69"/>
      <c r="Z54" s="67"/>
      <c r="AA54" s="67" t="str">
        <f>IF(B54="","",VLOOKUP(AD54,#REF!,15,0))</f>
        <v/>
      </c>
      <c r="AB54" s="67" t="str">
        <f>IF(B54="","",VLOOKUP(AD54,#REF!,16,0))</f>
        <v/>
      </c>
      <c r="AC54" s="145"/>
      <c r="AD54" s="57"/>
    </row>
    <row r="55" spans="1:30" ht="36" customHeight="1" x14ac:dyDescent="0.25">
      <c r="A55" s="8" t="s">
        <v>89</v>
      </c>
      <c r="B55" s="67"/>
      <c r="C55" s="42" t="str">
        <f>IF(B55="","",VLOOKUP(AD55,#REF!,3,0))</f>
        <v/>
      </c>
      <c r="D55" s="42"/>
      <c r="E55" s="42"/>
      <c r="F55" s="67"/>
      <c r="G55" s="67"/>
      <c r="H55" s="67" t="str">
        <f>IF(B55="","",VLOOKUP(AD55,#REF!,5,0))</f>
        <v/>
      </c>
      <c r="I55" s="67" t="str">
        <f>IF(B55="","",VLOOKUP(AD55,#REF!,19,0))</f>
        <v/>
      </c>
      <c r="J55" s="67" t="str">
        <f>IF(B55="","",VLOOKUP(AD55,#REF!,6,0))</f>
        <v/>
      </c>
      <c r="K55" s="67"/>
      <c r="L55" s="67"/>
      <c r="M55" s="42" t="str">
        <f>IFERROR(IF(B55="","",K55/VLOOKUP(AD55,Varsayımlar!B:R,17,0)),"")</f>
        <v/>
      </c>
      <c r="N55" s="67"/>
      <c r="O55" s="67"/>
      <c r="P55" s="67" t="str">
        <f>IF(B55="","",VLOOKUP(AD55,#REF!,7,0)*K55)</f>
        <v/>
      </c>
      <c r="Q55" s="67" t="str">
        <f>IF(B55="","",VLOOKUP(AD55,#REF!,8,0))</f>
        <v/>
      </c>
      <c r="R55" s="67" t="str">
        <f>IF(B55="","",VLOOKUP(AD55,#REF!,9,0))</f>
        <v/>
      </c>
      <c r="S55" s="67" t="str">
        <f>IF(B55="","",VLOOKUP(AD55,#REF!,10,0))</f>
        <v/>
      </c>
      <c r="T55" s="67" t="str">
        <f>IF(B55="","",VLOOKUP(AD55,#REF!,11,0))</f>
        <v/>
      </c>
      <c r="U55" s="67" t="str">
        <f>IF(B55="","",VLOOKUP(AD55,#REF!,12,0))</f>
        <v/>
      </c>
      <c r="V55" s="67" t="str">
        <f>IF(B55="","",VLOOKUP(AD55,#REF!,13,0))</f>
        <v/>
      </c>
      <c r="W55" s="67" t="str">
        <f>IF(B55="","",VLOOKUP(AD55,#REF!,14,0))</f>
        <v/>
      </c>
      <c r="X55" s="69"/>
      <c r="Y55" s="69"/>
      <c r="Z55" s="67"/>
      <c r="AA55" s="67" t="str">
        <f>IF(B55="","",VLOOKUP(AD55,#REF!,15,0))</f>
        <v/>
      </c>
      <c r="AB55" s="67" t="str">
        <f>IF(B55="","",VLOOKUP(AD55,#REF!,16,0))</f>
        <v/>
      </c>
      <c r="AC55" s="145"/>
      <c r="AD55" s="57"/>
    </row>
    <row r="56" spans="1:30" x14ac:dyDescent="0.25">
      <c r="C56" s="141" t="str">
        <f>IF(B56="","",VLOOKUP(AD56,Varsayımlar!$B:$Q,3,0))</f>
        <v/>
      </c>
      <c r="H56" s="140" t="str">
        <f>IF(B56="","",VLOOKUP(AD56,Varsayımlar!$B:$Q,5,0))</f>
        <v/>
      </c>
      <c r="J56" s="140" t="str">
        <f>IF(B56="","",VLOOKUP(AD56,Varsayımlar!$B:$Q,6,0))</f>
        <v/>
      </c>
      <c r="P56" s="140" t="str">
        <f>IF(B56="","",VLOOKUP(AD56,Varsayımlar!$B:$Q,7,0)*K56)</f>
        <v/>
      </c>
      <c r="Q56" s="140" t="str">
        <f>IF(B56="","",VLOOKUP(AD56,Varsayımlar!$B:$Q,8,0))</f>
        <v/>
      </c>
      <c r="R56" s="140" t="str">
        <f>IF(B56="","",VLOOKUP(AD56,Varsayımlar!$B:$Q,9,0))</f>
        <v/>
      </c>
      <c r="S56" s="140" t="str">
        <f>IF(B56="","",VLOOKUP(AD56,Varsayımlar!$B:$Q,10,0))</f>
        <v/>
      </c>
      <c r="T56" s="140" t="str">
        <f>IF(B56="","",VLOOKUP(AD56,Varsayımlar!$B:$Q,11,0))</f>
        <v/>
      </c>
      <c r="U56" s="140" t="str">
        <f>IF(B56="","",VLOOKUP(AD56,Varsayımlar!$B:$Q,12,0))</f>
        <v/>
      </c>
      <c r="V56" s="140" t="str">
        <f>IF(B56="","",VLOOKUP(AD56,Varsayımlar!$B:$Q,13,0))</f>
        <v/>
      </c>
      <c r="W56" s="140" t="str">
        <f>IF(B56="","",VLOOKUP(AD56,Varsayımlar!$B:$Q,14,0))</f>
        <v/>
      </c>
      <c r="AA56" s="140" t="str">
        <f>IF(B56="","",VLOOKUP(AD56,Varsayımlar!$B:$Q,15,0))</f>
        <v/>
      </c>
      <c r="AB56" s="140" t="str">
        <f>IF(B56="","",VLOOKUP(AD56,Varsayımlar!$B:$Q,16,0))</f>
        <v/>
      </c>
      <c r="AD56" s="140" t="str">
        <f t="shared" si="3"/>
        <v/>
      </c>
    </row>
    <row r="57" spans="1:30" ht="31.5" customHeight="1" x14ac:dyDescent="0.25">
      <c r="A57" s="182" t="s">
        <v>345</v>
      </c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4"/>
      <c r="AC57" s="38"/>
    </row>
    <row r="58" spans="1:30" ht="63" x14ac:dyDescent="0.25">
      <c r="A58" s="8" t="s">
        <v>0</v>
      </c>
      <c r="B58" s="8" t="s">
        <v>1</v>
      </c>
      <c r="C58" s="9" t="s">
        <v>31</v>
      </c>
      <c r="D58" s="9" t="s">
        <v>124</v>
      </c>
      <c r="E58" s="9" t="s">
        <v>36</v>
      </c>
      <c r="F58" s="8" t="s">
        <v>37</v>
      </c>
      <c r="G58" s="8" t="s">
        <v>13</v>
      </c>
      <c r="H58" s="8" t="s">
        <v>2</v>
      </c>
      <c r="I58" s="8" t="s">
        <v>49</v>
      </c>
      <c r="J58" s="8" t="s">
        <v>3</v>
      </c>
      <c r="K58" s="8" t="s">
        <v>21</v>
      </c>
      <c r="L58" s="8" t="s">
        <v>94</v>
      </c>
      <c r="M58" s="8" t="s">
        <v>20</v>
      </c>
      <c r="N58" s="8" t="s">
        <v>165</v>
      </c>
      <c r="O58" s="8" t="s">
        <v>123</v>
      </c>
      <c r="P58" s="8" t="s">
        <v>16</v>
      </c>
      <c r="Q58" s="8" t="s">
        <v>4</v>
      </c>
      <c r="R58" s="8" t="s">
        <v>5</v>
      </c>
      <c r="S58" s="8" t="s">
        <v>6</v>
      </c>
      <c r="T58" s="8" t="s">
        <v>28</v>
      </c>
      <c r="U58" s="8" t="s">
        <v>7</v>
      </c>
      <c r="V58" s="8" t="s">
        <v>8</v>
      </c>
      <c r="W58" s="8" t="s">
        <v>9</v>
      </c>
      <c r="X58" s="8" t="s">
        <v>10</v>
      </c>
      <c r="Y58" s="8" t="s">
        <v>11</v>
      </c>
      <c r="Z58" s="8" t="s">
        <v>12</v>
      </c>
      <c r="AA58" s="8" t="s">
        <v>14</v>
      </c>
      <c r="AB58" s="8" t="s">
        <v>15</v>
      </c>
      <c r="AC58" s="8" t="s">
        <v>208</v>
      </c>
      <c r="AD58" s="140" t="s">
        <v>41</v>
      </c>
    </row>
    <row r="59" spans="1:30" ht="45.75" customHeight="1" x14ac:dyDescent="0.25">
      <c r="A59" s="8" t="s">
        <v>26</v>
      </c>
      <c r="B59" s="130" t="s">
        <v>119</v>
      </c>
      <c r="C59" s="131">
        <f>IF(B59="","",VLOOKUP(AD59,Varsayımlar!$B:$Q,3,0))</f>
        <v>8698829380698</v>
      </c>
      <c r="D59" s="131"/>
      <c r="E59" s="132" t="s">
        <v>120</v>
      </c>
      <c r="F59" s="130"/>
      <c r="G59" s="130"/>
      <c r="H59" s="130" t="str">
        <f>IF(B59="","",VLOOKUP(AD59,Varsayımlar!$B:$Q,5,0))</f>
        <v>Nimet 25 cm</v>
      </c>
      <c r="I59" s="130"/>
      <c r="J59" s="130" t="str">
        <f>IF(B59="","",VLOOKUP(AD59,Varsayımlar!$B:$Q,6,0))</f>
        <v>SADE</v>
      </c>
      <c r="K59" s="130">
        <v>1500</v>
      </c>
      <c r="L59" s="130"/>
      <c r="M59" s="130">
        <f>IFERROR(IF(B59="","",K59/VLOOKUP(AD59,Varsayımlar!B:R,17,0)),"")</f>
        <v>30</v>
      </c>
      <c r="N59" s="130"/>
      <c r="O59" s="130">
        <v>30</v>
      </c>
      <c r="P59" s="130">
        <f>IF(B59="","",VLOOKUP(AD59,Varsayımlar!$B:$Q,7,0)*K59)</f>
        <v>18000</v>
      </c>
      <c r="Q59" s="130">
        <f>IF(B59="","",VLOOKUP(AD59,Varsayımlar!$B:$Q,8,0))</f>
        <v>25</v>
      </c>
      <c r="R59" s="130" t="str">
        <f>IF(B59="","",VLOOKUP(AD59,Varsayımlar!$B:$Q,9,0))</f>
        <v>Standart</v>
      </c>
      <c r="S59" s="130">
        <f>IF(B59="","",VLOOKUP(AD59,Varsayımlar!$B:$Q,10,0))</f>
        <v>12</v>
      </c>
      <c r="T59" s="130">
        <f>IF(B59="","",VLOOKUP(AD59,Varsayımlar!$B:$Q,11,0))</f>
        <v>12</v>
      </c>
      <c r="U59" s="130">
        <f>IF(B59="","",VLOOKUP(AD59,Varsayımlar!$B:$Q,12,0))</f>
        <v>840</v>
      </c>
      <c r="V59" s="130" t="str">
        <f>IF(B59="","",VLOOKUP(AD59,Varsayımlar!$B:$Q,13,0))</f>
        <v>YURTİÇİ</v>
      </c>
      <c r="W59" s="130">
        <f>IF(B59="","",VLOOKUP(AD59,Varsayımlar!$B:$Q,14,0))</f>
        <v>5</v>
      </c>
      <c r="X59" s="133" t="s">
        <v>113</v>
      </c>
      <c r="Y59" s="133" t="s">
        <v>113</v>
      </c>
      <c r="Z59" s="130" t="s">
        <v>113</v>
      </c>
      <c r="AA59" s="130" t="str">
        <f>IF(B59="","",VLOOKUP(AD59,Varsayımlar!$B:$Q,15,0))</f>
        <v>Nimet Kolisi</v>
      </c>
      <c r="AB59" s="130" t="str">
        <f>IF(B59="","",VLOOKUP(AD59,Varsayımlar!$B:$Q,16,0))</f>
        <v>24-26 CM</v>
      </c>
      <c r="AC59" s="64" t="s">
        <v>360</v>
      </c>
      <c r="AD59" s="57" t="str">
        <f t="shared" ref="AD59:AD64" si="5">IF(B59="","",CONCATENATE(B59,E59))</f>
        <v>A101Nimet 25cm 12 pcs 840g</v>
      </c>
    </row>
    <row r="60" spans="1:30" ht="94.5" x14ac:dyDescent="0.25">
      <c r="A60" s="8" t="s">
        <v>77</v>
      </c>
      <c r="B60" s="80" t="s">
        <v>218</v>
      </c>
      <c r="C60" s="44">
        <f>IF(B60="","",VLOOKUP(AD60,Varsayımlar!$B:$Q,3,0))</f>
        <v>8698829380698</v>
      </c>
      <c r="D60" s="44" t="s">
        <v>160</v>
      </c>
      <c r="E60" s="80" t="s">
        <v>244</v>
      </c>
      <c r="F60" s="80">
        <v>26042907</v>
      </c>
      <c r="G60" s="44"/>
      <c r="H60" s="80" t="str">
        <f>IF(B60="","",VLOOKUP(AD60,Varsayımlar!$B:$Q,5,0))</f>
        <v>Tortillas Avrupa Pizza 26cm (742)</v>
      </c>
      <c r="I60" s="80">
        <f>IF(B60="","",VLOOKUP(AD60,Varsayımlar!B:T,19,0))</f>
        <v>0</v>
      </c>
      <c r="J60" s="80" t="str">
        <f>IF(B60="","",VLOOKUP(AD60,Varsayımlar!$B:$Q,6,0))</f>
        <v>SADE</v>
      </c>
      <c r="K60" s="80">
        <v>720</v>
      </c>
      <c r="L60" s="80" t="s">
        <v>544</v>
      </c>
      <c r="M60" s="80">
        <f>IFERROR(IF(B60="","",K60/VLOOKUP(AD60,Varsayımlar!B:R,17,0)),"")</f>
        <v>6</v>
      </c>
      <c r="N60" s="80"/>
      <c r="O60" s="80">
        <v>9</v>
      </c>
      <c r="P60" s="80">
        <f>IF(B60="","",VLOOKUP(AD60,Varsayımlar!$B:$Q,7,0)*K60)</f>
        <v>5760</v>
      </c>
      <c r="Q60" s="80">
        <f>IF(B60="","",VLOOKUP(AD60,Varsayımlar!$B:$Q,8,0))</f>
        <v>26</v>
      </c>
      <c r="R60" s="80" t="str">
        <f>IF(B60="","",VLOOKUP(AD60,Varsayımlar!$B:$Q,9,0))</f>
        <v>Irak Soft</v>
      </c>
      <c r="S60" s="80">
        <f>IF(B60="","",VLOOKUP(AD60,Varsayımlar!$B:$Q,10,0))</f>
        <v>4</v>
      </c>
      <c r="T60" s="80">
        <f>IF(B60="","",VLOOKUP(AD60,Varsayımlar!$B:$Q,11,0))</f>
        <v>8</v>
      </c>
      <c r="U60" s="80">
        <f>IF(B60="","",VLOOKUP(AD60,Varsayımlar!$B:$Q,12,0))</f>
        <v>480</v>
      </c>
      <c r="V60" s="80" t="str">
        <f>IF(B60="","",VLOOKUP(AD60,Varsayımlar!$B:$Q,13,0))</f>
        <v>Yurtdışı</v>
      </c>
      <c r="W60" s="80">
        <f>IF(B60="","",VLOOKUP(AD60,Varsayımlar!$B:$Q,14,0))</f>
        <v>9</v>
      </c>
      <c r="X60" s="81">
        <v>46203</v>
      </c>
      <c r="Y60" s="81">
        <v>46476</v>
      </c>
      <c r="Z60" s="80">
        <v>26063026</v>
      </c>
      <c r="AA60" s="80" t="str">
        <f>IF(B60="","",VLOOKUP(AD60,Varsayımlar!$B:$Q,15,0))</f>
        <v>26cm Pizza Perforeli-Bulgarca Etiket</v>
      </c>
      <c r="AB60" s="80" t="str">
        <f>IF(B60="","",VLOOKUP(AD60,Varsayımlar!$B:$Q,16,0))</f>
        <v>26 cm kesme -Beze 145-150g, Kesilmmeiş çap 27-28cm, Kesilmemiş ağı: 520-540g, Kesilmiş:475-485g</v>
      </c>
      <c r="AC60" s="80" t="str">
        <f>IF(B60="","",VLOOKUP(Sayfa1!AD80,Varsayımlar!B:S,18,0))</f>
        <v>80x120cm -Epal+Epal</v>
      </c>
      <c r="AD60" s="57" t="str">
        <f t="shared" si="5"/>
        <v>TASTE LAND-BULGARİSTANTortillas Pizza 26cm 4pcs 480g</v>
      </c>
    </row>
    <row r="61" spans="1:30" ht="47.25" x14ac:dyDescent="0.25">
      <c r="A61" s="8" t="s">
        <v>78</v>
      </c>
      <c r="B61" s="54" t="s">
        <v>268</v>
      </c>
      <c r="C61" s="39">
        <f>IF(B61="","",VLOOKUP(AD61,Varsayımlar!$B:$Q,3,0))</f>
        <v>8698829380698</v>
      </c>
      <c r="D61" s="39" t="s">
        <v>160</v>
      </c>
      <c r="E61" s="39" t="s">
        <v>244</v>
      </c>
      <c r="F61" s="54" t="s">
        <v>343</v>
      </c>
      <c r="G61" s="39" t="s">
        <v>68</v>
      </c>
      <c r="H61" s="54" t="str">
        <f>IF(B61="","",VLOOKUP(AD61,Varsayımlar!$B:$Q,5,0))</f>
        <v xml:space="preserve">Tortillas Pizza 26cm </v>
      </c>
      <c r="I61" s="54">
        <f>IF(B61="","",VLOOKUP(AD61,Varsayımlar!B:T,19,0))</f>
        <v>0</v>
      </c>
      <c r="J61" s="54" t="str">
        <f>IF(B61="","",VLOOKUP(AD61,Varsayımlar!$B:$Q,6,0))</f>
        <v>SADE</v>
      </c>
      <c r="K61" s="54">
        <v>768</v>
      </c>
      <c r="L61" s="54"/>
      <c r="M61" s="54">
        <f>IFERROR(IF(B61="","",K61/VLOOKUP(AD61,Varsayımlar!B:R,17,0)),"")</f>
        <v>4</v>
      </c>
      <c r="N61" s="54"/>
      <c r="O61" s="54">
        <v>9</v>
      </c>
      <c r="P61" s="54">
        <f>IF(B61="","",VLOOKUP(AD61,Varsayımlar!$B:$Q,7,0)*K61)</f>
        <v>9216</v>
      </c>
      <c r="Q61" s="54">
        <f>IF(B61="","",VLOOKUP(AD61,Varsayımlar!$B:$Q,8,0))</f>
        <v>26</v>
      </c>
      <c r="R61" s="54" t="str">
        <f>IF(B61="","",VLOOKUP(AD61,Varsayımlar!$B:$Q,9,0))</f>
        <v>Soft-PA3</v>
      </c>
      <c r="S61" s="54">
        <f>IF(B61="","",VLOOKUP(AD61,Varsayımlar!$B:$Q,10,0))</f>
        <v>2</v>
      </c>
      <c r="T61" s="54">
        <f>IF(B61="","",VLOOKUP(AD61,Varsayımlar!$B:$Q,11,0))</f>
        <v>12</v>
      </c>
      <c r="U61" s="54">
        <f>IF(B61="","",VLOOKUP(AD61,Varsayımlar!$B:$Q,12,0))</f>
        <v>240</v>
      </c>
      <c r="V61" s="54" t="str">
        <f>IF(B61="","",VLOOKUP(AD61,Varsayımlar!$B:$Q,13,0))</f>
        <v>Yurtdışı</v>
      </c>
      <c r="W61" s="54">
        <f>IF(B61="","",VLOOKUP(AD61,Varsayımlar!$B:$Q,14,0))</f>
        <v>9</v>
      </c>
      <c r="X61" s="56">
        <v>46205</v>
      </c>
      <c r="Y61" s="56">
        <v>46479</v>
      </c>
      <c r="Z61" s="54">
        <v>26070226</v>
      </c>
      <c r="AA61" s="54" t="str">
        <f>IF(B61="","",VLOOKUP(AD61,Varsayımlar!$B:$Q,15,0))</f>
        <v>26 cm pizza kolisi-Etiketli</v>
      </c>
      <c r="AB61" s="54" t="str">
        <f>IF(B61="","",VLOOKUP(AD61,Varsayımlar!$B:$Q,16,0))</f>
        <v>24-26 cm (Macca Hetto Inkjet Uzun Tarih)</v>
      </c>
      <c r="AC61" s="54" t="e">
        <f>IF(B61="","",VLOOKUP(Sayfa1!AD83,Varsayımlar!B:S,18,0))</f>
        <v>#N/A</v>
      </c>
      <c r="AD61" s="57" t="str">
        <f>IF(B61="","",CONCATENATE(B61,E61))</f>
        <v>LAIKYUZHN-BELARUSTortillas Pizza 26cm 4pcs 480g</v>
      </c>
    </row>
    <row r="62" spans="1:30" ht="26.25" customHeight="1" x14ac:dyDescent="0.25">
      <c r="A62" s="8" t="s">
        <v>79</v>
      </c>
      <c r="B62" s="67" t="s">
        <v>119</v>
      </c>
      <c r="C62" s="42">
        <v>8698829380698</v>
      </c>
      <c r="D62" s="42"/>
      <c r="E62" s="42" t="s">
        <v>120</v>
      </c>
      <c r="F62" s="67"/>
      <c r="G62" s="42"/>
      <c r="H62" s="67" t="s">
        <v>121</v>
      </c>
      <c r="I62" s="67">
        <v>0</v>
      </c>
      <c r="J62" s="67" t="s">
        <v>19</v>
      </c>
      <c r="K62" s="67">
        <v>2000</v>
      </c>
      <c r="L62" s="67"/>
      <c r="M62" s="67">
        <v>80</v>
      </c>
      <c r="N62" s="67">
        <v>50</v>
      </c>
      <c r="O62" s="67">
        <v>54</v>
      </c>
      <c r="P62" s="67">
        <v>48000</v>
      </c>
      <c r="Q62" s="67">
        <v>25</v>
      </c>
      <c r="R62" s="67" t="s">
        <v>116</v>
      </c>
      <c r="S62" s="67">
        <v>12</v>
      </c>
      <c r="T62" s="67">
        <v>12</v>
      </c>
      <c r="U62" s="67">
        <v>840</v>
      </c>
      <c r="V62" s="67" t="s">
        <v>72</v>
      </c>
      <c r="W62" s="67">
        <v>5</v>
      </c>
      <c r="X62" s="69" t="s">
        <v>113</v>
      </c>
      <c r="Y62" s="69" t="s">
        <v>113</v>
      </c>
      <c r="Z62" s="67" t="s">
        <v>113</v>
      </c>
      <c r="AA62" s="67" t="s">
        <v>122</v>
      </c>
      <c r="AB62" s="67" t="s">
        <v>25</v>
      </c>
      <c r="AC62" s="67">
        <v>0</v>
      </c>
      <c r="AD62" s="57" t="s">
        <v>387</v>
      </c>
    </row>
    <row r="63" spans="1:30" ht="94.5" x14ac:dyDescent="0.25">
      <c r="A63" s="8" t="s">
        <v>80</v>
      </c>
      <c r="B63" s="75" t="s">
        <v>218</v>
      </c>
      <c r="C63" s="43">
        <f>IF(B63="","",VLOOKUP(AD63,Varsayımlar!$B:$Q,3,0))</f>
        <v>8698829380698</v>
      </c>
      <c r="D63" s="43" t="s">
        <v>161</v>
      </c>
      <c r="E63" s="75" t="s">
        <v>244</v>
      </c>
      <c r="F63" s="75" t="s">
        <v>561</v>
      </c>
      <c r="G63" s="43"/>
      <c r="H63" s="75" t="str">
        <f>IF(B63="","",VLOOKUP(AD63,Varsayımlar!$B:$Q,5,0))</f>
        <v>Tortillas Avrupa Pizza 26cm (742)</v>
      </c>
      <c r="I63" s="75">
        <f>IF(B63="","",VLOOKUP(AD63,Varsayımlar!B:T,19,0))</f>
        <v>0</v>
      </c>
      <c r="J63" s="75" t="str">
        <f>IF(B63="","",VLOOKUP(AD63,Varsayımlar!$B:$Q,6,0))</f>
        <v>SADE</v>
      </c>
      <c r="K63" s="75">
        <v>840</v>
      </c>
      <c r="L63" s="75"/>
      <c r="M63" s="75">
        <f>IFERROR(IF(B63="","",K63/VLOOKUP(AD63,Varsayımlar!B:R,17,0)),"")</f>
        <v>7</v>
      </c>
      <c r="N63" s="75"/>
      <c r="O63" s="75">
        <v>11</v>
      </c>
      <c r="P63" s="75">
        <f>IF(B63="","",VLOOKUP(AD63,Varsayımlar!$B:$Q,7,0)*K63)</f>
        <v>6720</v>
      </c>
      <c r="Q63" s="75">
        <f>IF(B63="","",VLOOKUP(AD63,Varsayımlar!$B:$Q,8,0))</f>
        <v>26</v>
      </c>
      <c r="R63" s="75" t="str">
        <f>IF(B63="","",VLOOKUP(AD63,Varsayımlar!$B:$Q,9,0))</f>
        <v>Irak Soft</v>
      </c>
      <c r="S63" s="75">
        <f>IF(B63="","",VLOOKUP(AD63,Varsayımlar!$B:$Q,10,0))</f>
        <v>4</v>
      </c>
      <c r="T63" s="75">
        <f>IF(B63="","",VLOOKUP(AD63,Varsayımlar!$B:$Q,11,0))</f>
        <v>8</v>
      </c>
      <c r="U63" s="75">
        <f>IF(B63="","",VLOOKUP(AD63,Varsayımlar!$B:$Q,12,0))</f>
        <v>480</v>
      </c>
      <c r="V63" s="75" t="str">
        <f>IF(B63="","",VLOOKUP(AD63,Varsayımlar!$B:$Q,13,0))</f>
        <v>Yurtdışı</v>
      </c>
      <c r="W63" s="75">
        <f>IF(B63="","",VLOOKUP(AD63,Varsayımlar!$B:$Q,14,0))</f>
        <v>9</v>
      </c>
      <c r="X63" s="76">
        <v>46213</v>
      </c>
      <c r="Y63" s="76">
        <v>46487</v>
      </c>
      <c r="Z63" s="75">
        <v>26071026</v>
      </c>
      <c r="AA63" s="75" t="str">
        <f>IF(B63="","",VLOOKUP(AD63,Varsayımlar!$B:$Q,15,0))</f>
        <v>26cm Pizza Perforeli-Bulgarca Etiket</v>
      </c>
      <c r="AB63" s="75" t="str">
        <f>IF(B63="","",VLOOKUP(AD63,Varsayımlar!$B:$Q,16,0))</f>
        <v>26 cm kesme -Beze 145-150g, Kesilmmeiş çap 27-28cm, Kesilmemiş ağı: 520-540g, Kesilmiş:475-485g</v>
      </c>
      <c r="AC63" s="75" t="str">
        <f>IF(B63="","",VLOOKUP(Sayfa1!AD81,Varsayımlar!B:S,18,0))</f>
        <v>80x120cm -Epal+Epal</v>
      </c>
      <c r="AD63" s="57" t="str">
        <f t="shared" si="5"/>
        <v>TASTE LAND-BULGARİSTANTortillas Pizza 26cm 4pcs 480g</v>
      </c>
    </row>
    <row r="64" spans="1:30" ht="46.5" customHeight="1" x14ac:dyDescent="0.25">
      <c r="A64" s="8" t="s">
        <v>81</v>
      </c>
      <c r="B64" s="67" t="s">
        <v>460</v>
      </c>
      <c r="C64" s="42">
        <f>IF(B64="","",VLOOKUP(AD64,Varsayımlar!$B:$Q,3,0))</f>
        <v>8698829380698</v>
      </c>
      <c r="D64" s="67" t="s">
        <v>540</v>
      </c>
      <c r="E64" s="67" t="s">
        <v>461</v>
      </c>
      <c r="F64" s="67">
        <v>20260414</v>
      </c>
      <c r="G64" s="67"/>
      <c r="H64" s="67" t="str">
        <f>IF(B64="","",VLOOKUP(AD64,Varsayımlar!$B:$Q,5,0))</f>
        <v xml:space="preserve">Tortillove 15cm </v>
      </c>
      <c r="I64" s="67">
        <f>IF(B64="","",VLOOKUP(AD64,Varsayımlar!B:T,19,0))</f>
        <v>0</v>
      </c>
      <c r="J64" s="67" t="str">
        <f>IF(B64="","",VLOOKUP(AD64,Varsayımlar!$B:$Q,6,0))</f>
        <v>SADE</v>
      </c>
      <c r="K64" s="67">
        <v>300</v>
      </c>
      <c r="L64" s="67" t="s">
        <v>532</v>
      </c>
      <c r="M64" s="67">
        <f>IFERROR(IF(B64="","",K64/VLOOKUP(AD64,Varsayımlar!B:R,17,0)),"")</f>
        <v>3</v>
      </c>
      <c r="N64" s="67"/>
      <c r="O64" s="67">
        <v>9</v>
      </c>
      <c r="P64" s="67">
        <f>IF(B64="","",VLOOKUP(AD64,Varsayımlar!$B:$Q,7,0)*K64)</f>
        <v>3600</v>
      </c>
      <c r="Q64" s="67">
        <f>IF(B64="","",VLOOKUP(AD64,Varsayımlar!$B:$Q,8,0))</f>
        <v>15</v>
      </c>
      <c r="R64" s="67" t="str">
        <f>IF(B64="","",VLOOKUP(AD64,Varsayımlar!$B:$Q,9,0))</f>
        <v>Irak Soft</v>
      </c>
      <c r="S64" s="67">
        <f>IF(B64="","",VLOOKUP(AD64,Varsayımlar!$B:$Q,10,0))</f>
        <v>10</v>
      </c>
      <c r="T64" s="67">
        <f>IF(B64="","",VLOOKUP(AD64,Varsayımlar!$B:$Q,11,0))</f>
        <v>12</v>
      </c>
      <c r="U64" s="67">
        <f>IF(B64="","",VLOOKUP(AD64,Varsayımlar!$B:$Q,12,0))</f>
        <v>250</v>
      </c>
      <c r="V64" s="67" t="str">
        <f>IF(B64="","",VLOOKUP(AD64,Varsayımlar!$B:$Q,13,0))</f>
        <v>Yurtdışı</v>
      </c>
      <c r="W64" s="67">
        <f>IF(B64="","",VLOOKUP(AD64,Varsayımlar!$B:$Q,14,0))</f>
        <v>6</v>
      </c>
      <c r="X64" s="69">
        <v>46216</v>
      </c>
      <c r="Y64" s="69">
        <v>46400</v>
      </c>
      <c r="Z64" s="67">
        <v>26071315</v>
      </c>
      <c r="AA64" s="67" t="str">
        <f>IF(B64="","",VLOOKUP(AD64,Varsayımlar!$B:$Q,15,0))</f>
        <v>15cm koli</v>
      </c>
      <c r="AB64" s="67" t="str">
        <f>IF(B64="","",VLOOKUP(AD64,Varsayımlar!$B:$Q,16,0))</f>
        <v>14-16 cm</v>
      </c>
      <c r="AC64" s="80">
        <f>IF(B64="","",VLOOKUP(Sayfa1!AD85,Varsayımlar!B:S,18,0))</f>
        <v>0</v>
      </c>
      <c r="AD64" s="57" t="str">
        <f t="shared" si="5"/>
        <v>Yüksekbaş GıdaYüksekbaş 15cm 10 pcs 250g</v>
      </c>
    </row>
    <row r="65" spans="1:30" ht="31.5" x14ac:dyDescent="0.25">
      <c r="A65" s="8" t="s">
        <v>82</v>
      </c>
      <c r="B65" s="54" t="s">
        <v>346</v>
      </c>
      <c r="C65" s="39">
        <f>IF(B65="","",VLOOKUP(AD65,Varsayımlar!$B:$Q,3,0))</f>
        <v>8698829380698</v>
      </c>
      <c r="D65" s="39">
        <v>49</v>
      </c>
      <c r="E65" s="55" t="s">
        <v>325</v>
      </c>
      <c r="F65" s="54"/>
      <c r="G65" s="54"/>
      <c r="H65" s="54" t="str">
        <f>IF(B65="","",VLOOKUP(AD65,Varsayımlar!$B:$Q,5,0))</f>
        <v>Hanami Tako 15cm</v>
      </c>
      <c r="I65" s="54" t="str">
        <f>IF(B65="","",VLOOKUP(AD65,Varsayımlar!B:T,19,0))</f>
        <v>Ambalaj kaç aylık kontrol?</v>
      </c>
      <c r="J65" s="54" t="str">
        <f>IF(B65="","",VLOOKUP(AD65,Varsayımlar!$B:$Q,6,0))</f>
        <v>SADE</v>
      </c>
      <c r="K65" s="54">
        <v>1248</v>
      </c>
      <c r="L65" s="54"/>
      <c r="M65" s="54"/>
      <c r="N65" s="54"/>
      <c r="O65" s="54">
        <v>35</v>
      </c>
      <c r="P65" s="54">
        <f>IF(B65="","",VLOOKUP(AD65,Varsayımlar!$B:$Q,7,0)*K65)</f>
        <v>24960</v>
      </c>
      <c r="Q65" s="54">
        <f>IF(B65="","",VLOOKUP(AD65,Varsayımlar!$B:$Q,8,0))</f>
        <v>15</v>
      </c>
      <c r="R65" s="54" t="str">
        <f>IF(B65="","",VLOOKUP(AD65,Varsayımlar!$B:$Q,9,0))</f>
        <v>Irak Soft</v>
      </c>
      <c r="S65" s="54">
        <f>IF(B65="","",VLOOKUP(AD65,Varsayımlar!$B:$Q,10,0))</f>
        <v>6</v>
      </c>
      <c r="T65" s="54">
        <f>IF(B65="","",VLOOKUP(AD65,Varsayımlar!$B:$Q,11,0))</f>
        <v>20</v>
      </c>
      <c r="U65" s="54">
        <f>IF(B65="","",VLOOKUP(AD65,Varsayımlar!$B:$Q,12,0))</f>
        <v>150</v>
      </c>
      <c r="V65" s="54" t="str">
        <f>IF(B65="","",VLOOKUP(AD65,Varsayımlar!$B:$Q,13,0))</f>
        <v>Yurtdışı</v>
      </c>
      <c r="W65" s="54">
        <f>IF(B65="","",VLOOKUP(AD65,Varsayımlar!$B:$Q,14,0))</f>
        <v>9</v>
      </c>
      <c r="X65" s="56">
        <v>46226</v>
      </c>
      <c r="Y65" s="56">
        <v>46500</v>
      </c>
      <c r="Z65" s="54">
        <v>26072315</v>
      </c>
      <c r="AA65" s="54" t="str">
        <f>IF(B65="","",VLOOKUP(AD65,Varsayımlar!$B:$Q,15,0))</f>
        <v>Hanami Tako 15cm-Üretim Tarihi Atılacak</v>
      </c>
      <c r="AB65" s="54" t="str">
        <f>IF(B65="","",VLOOKUP(AD65,Varsayımlar!$B:$Q,16,0))</f>
        <v>14-16 cm</v>
      </c>
      <c r="AC65" s="8" t="e">
        <f>IF(B65="","",VLOOKUP(#REF!,#REF!,18,0))</f>
        <v>#REF!</v>
      </c>
      <c r="AD65" s="8" t="str">
        <f>IF(B65="","",CONCATENATE(B65,E65))</f>
        <v>GermesHanami Germes Tako 15cm 6pcs 150g</v>
      </c>
    </row>
    <row r="66" spans="1:30" ht="49.5" customHeight="1" x14ac:dyDescent="0.25">
      <c r="A66" s="8" t="s">
        <v>83</v>
      </c>
      <c r="B66" s="152" t="s">
        <v>518</v>
      </c>
      <c r="C66" s="153">
        <f>IF(B66="","",VLOOKUP(AD66,Varsayımlar!$B:$Q,3,0))</f>
        <v>8698829380698</v>
      </c>
      <c r="D66" s="154"/>
      <c r="E66" s="154" t="s">
        <v>515</v>
      </c>
      <c r="F66" s="152">
        <v>26062302</v>
      </c>
      <c r="G66" s="152"/>
      <c r="H66" s="152" t="str">
        <f>IF(B66="","",VLOOKUP(AD66,Varsayımlar!$B:$Q,5,0))</f>
        <v>Tortillas 15cm</v>
      </c>
      <c r="I66" s="152">
        <f>IF(B66="","",VLOOKUP(AD66,Varsayımlar!B:T,19,0))</f>
        <v>0</v>
      </c>
      <c r="J66" s="152" t="str">
        <f>IF(B66="","",VLOOKUP(AD66,Varsayımlar!$B:$Q,6,0))</f>
        <v>Sade</v>
      </c>
      <c r="K66" s="152">
        <v>10</v>
      </c>
      <c r="L66" s="152"/>
      <c r="M66" s="152" t="s">
        <v>424</v>
      </c>
      <c r="N66" s="152"/>
      <c r="O66" s="152">
        <v>0</v>
      </c>
      <c r="P66" s="152">
        <f>IF(B66="","",VLOOKUP(AD66,Varsayımlar!$B:$Q,7,0)*K66)</f>
        <v>120</v>
      </c>
      <c r="Q66" s="152">
        <f>IF(B66="","",VLOOKUP(AD66,Varsayımlar!$B:$Q,8,0))</f>
        <v>15</v>
      </c>
      <c r="R66" s="152" t="str">
        <f>IF(B66="","",VLOOKUP(AD66,Varsayımlar!$B:$Q,9,0))</f>
        <v>Irak Soft</v>
      </c>
      <c r="S66" s="152">
        <f>IF(B66="","",VLOOKUP(AD66,Varsayımlar!$B:$Q,10,0))</f>
        <v>10</v>
      </c>
      <c r="T66" s="152">
        <f>IF(B66="","",VLOOKUP(AD66,Varsayımlar!$B:$Q,11,0))</f>
        <v>12</v>
      </c>
      <c r="U66" s="152">
        <f>IF(B66="","",VLOOKUP(AD66,Varsayımlar!$B:$Q,12,0))</f>
        <v>250</v>
      </c>
      <c r="V66" s="152" t="str">
        <f>IF(B66="","",VLOOKUP(AD66,Varsayımlar!$B:$Q,13,0))</f>
        <v>Yurtiçi</v>
      </c>
      <c r="W66" s="152">
        <f>IF(B66="","",VLOOKUP(AD66,Varsayımlar!$B:$Q,14,0))</f>
        <v>6</v>
      </c>
      <c r="X66" s="155">
        <v>46231</v>
      </c>
      <c r="Y66" s="155">
        <v>46415</v>
      </c>
      <c r="Z66" s="152">
        <v>26072815</v>
      </c>
      <c r="AA66" s="152" t="str">
        <f>IF(B66="","",VLOOKUP(AD66,Varsayımlar!$B:$Q,15,0))</f>
        <v>15cm koli</v>
      </c>
      <c r="AB66" s="152" t="str">
        <f>IF(B66="","",VLOOKUP(AD66,Varsayımlar!$B:$Q,16,0))</f>
        <v>14-16cm</v>
      </c>
      <c r="AC66" s="8" t="e">
        <f>IF(B66="","",VLOOKUP(#REF!,#REF!,18,0))</f>
        <v>#REF!</v>
      </c>
      <c r="AD66" s="8" t="str">
        <f t="shared" ref="AD66:AD67" si="6">IF(B66="","",CONCATENATE(B66,E66))</f>
        <v>Yusuf KöseTortillas 15cm 10pcs 250g</v>
      </c>
    </row>
    <row r="67" spans="1:30" ht="54" customHeight="1" x14ac:dyDescent="0.25">
      <c r="A67" s="8" t="s">
        <v>84</v>
      </c>
      <c r="B67" s="148" t="s">
        <v>500</v>
      </c>
      <c r="C67" s="149">
        <f>IF(B67="","",VLOOKUP(AD67,Varsayımlar!$B:$Q,3,0))</f>
        <v>8698829380698</v>
      </c>
      <c r="D67" s="149"/>
      <c r="E67" s="150" t="s">
        <v>515</v>
      </c>
      <c r="F67" s="148">
        <v>26062201</v>
      </c>
      <c r="G67" s="148"/>
      <c r="H67" s="148" t="str">
        <f>IF(B67="","",VLOOKUP(AD67,Varsayımlar!$B:$Q,5,0))</f>
        <v>Tortillas 15cm</v>
      </c>
      <c r="I67" s="148">
        <f>IF(B67="","",VLOOKUP(AD67,Varsayımlar!B:T,19,0))</f>
        <v>0</v>
      </c>
      <c r="J67" s="148" t="str">
        <f>IF(B67="","",VLOOKUP(AD67,Varsayımlar!$B:$Q,6,0))</f>
        <v>Sade</v>
      </c>
      <c r="K67" s="148">
        <v>50</v>
      </c>
      <c r="L67" s="148"/>
      <c r="M67" s="148" t="str">
        <f>IFERROR(IF(B67="","",K67/VLOOKUP(AD67,#REF!,17,0)),"")</f>
        <v/>
      </c>
      <c r="N67" s="148"/>
      <c r="O67" s="148">
        <v>2</v>
      </c>
      <c r="P67" s="148">
        <f>IF(B67="","",VLOOKUP(AD67,Varsayımlar!$B:$Q,7,0)*K67)</f>
        <v>600</v>
      </c>
      <c r="Q67" s="148">
        <f>IF(B67="","",VLOOKUP(AD67,Varsayımlar!$B:$Q,8,0))</f>
        <v>15</v>
      </c>
      <c r="R67" s="148" t="str">
        <f>IF(B67="","",VLOOKUP(AD67,Varsayımlar!$B:$Q,9,0))</f>
        <v>Irak Soft</v>
      </c>
      <c r="S67" s="148">
        <f>IF(B67="","",VLOOKUP(AD67,Varsayımlar!$B:$Q,10,0))</f>
        <v>10</v>
      </c>
      <c r="T67" s="148">
        <f>IF(B67="","",VLOOKUP(AD67,Varsayımlar!$B:$Q,11,0))</f>
        <v>12</v>
      </c>
      <c r="U67" s="148">
        <f>IF(B67="","",VLOOKUP(AD67,Varsayımlar!$B:$Q,12,0))</f>
        <v>250</v>
      </c>
      <c r="V67" s="148" t="str">
        <f>IF(B67="","",VLOOKUP(AD67,Varsayımlar!$B:$Q,13,0))</f>
        <v>Yurtdışı</v>
      </c>
      <c r="W67" s="148">
        <f>IF(B67="","",VLOOKUP(AD67,Varsayımlar!$B:$Q,14,0))</f>
        <v>12</v>
      </c>
      <c r="X67" s="151">
        <v>46231</v>
      </c>
      <c r="Y67" s="151">
        <v>46596</v>
      </c>
      <c r="Z67" s="148">
        <v>26072815</v>
      </c>
      <c r="AA67" s="148" t="str">
        <f>IF(B67="","",VLOOKUP(AD67,Varsayımlar!$B:$Q,15,0))</f>
        <v>15cm koli</v>
      </c>
      <c r="AB67" s="148" t="str">
        <f>IF(B67="","",VLOOKUP(AD67,Varsayımlar!$B:$Q,16,0))</f>
        <v>14-16cm</v>
      </c>
      <c r="AC67" s="67"/>
      <c r="AD67" s="57" t="str">
        <f t="shared" si="6"/>
        <v>Fama GroupTortillas 15cm 10pcs 250g</v>
      </c>
    </row>
    <row r="68" spans="1:30" ht="48" customHeight="1" x14ac:dyDescent="0.25">
      <c r="A68" s="8" t="s">
        <v>85</v>
      </c>
      <c r="B68" s="149" t="s">
        <v>500</v>
      </c>
      <c r="C68" s="149">
        <f>IF(B68="","",VLOOKUP(AD68,Varsayımlar!$B:$Q,3,0))</f>
        <v>8698829380698</v>
      </c>
      <c r="D68" s="149"/>
      <c r="E68" s="149" t="s">
        <v>244</v>
      </c>
      <c r="F68" s="149">
        <v>26062201</v>
      </c>
      <c r="G68" s="149"/>
      <c r="H68" s="148" t="str">
        <f>IF(B68="","",VLOOKUP(AD68,Varsayımlar!$B:$Q,5,0))</f>
        <v xml:space="preserve">Tortillas Pizza 26cm </v>
      </c>
      <c r="I68" s="148">
        <f>IF(B68="","",VLOOKUP(AD68,Varsayımlar!B:T,19,0))</f>
        <v>0</v>
      </c>
      <c r="J68" s="148" t="str">
        <f>IF(B68="","",VLOOKUP(AD68,Varsayımlar!$B:$Q,6,0))</f>
        <v>Sade</v>
      </c>
      <c r="K68" s="149">
        <v>50</v>
      </c>
      <c r="L68" s="149"/>
      <c r="M68" s="149" t="str">
        <f>IFERROR(IF(B68="","",K68/VLOOKUP(AD68,#REF!,17,0)),"")</f>
        <v/>
      </c>
      <c r="N68" s="149"/>
      <c r="O68" s="149">
        <v>1</v>
      </c>
      <c r="P68" s="148">
        <f>IF(B68="","",VLOOKUP(AD68,Varsayımlar!$B:$Q,7,0)*K68)</f>
        <v>300</v>
      </c>
      <c r="Q68" s="148">
        <f>IF(B68="","",VLOOKUP(AD68,Varsayımlar!$B:$Q,8,0))</f>
        <v>26</v>
      </c>
      <c r="R68" s="148" t="str">
        <f>IF(B68="","",VLOOKUP(AD68,Varsayımlar!$B:$Q,9,0))</f>
        <v>Irak Soft</v>
      </c>
      <c r="S68" s="148">
        <f>IF(B68="","",VLOOKUP(AD68,Varsayımlar!$B:$Q,10,0))</f>
        <v>4</v>
      </c>
      <c r="T68" s="148">
        <f>IF(B68="","",VLOOKUP(AD68,Varsayımlar!$B:$Q,11,0))</f>
        <v>6</v>
      </c>
      <c r="U68" s="148">
        <f>IF(B68="","",VLOOKUP(AD68,Varsayımlar!$B:$Q,12,0))</f>
        <v>480</v>
      </c>
      <c r="V68" s="148" t="str">
        <f>IF(B68="","",VLOOKUP(AD68,Varsayımlar!$B:$Q,13,0))</f>
        <v>Yurtdışı</v>
      </c>
      <c r="W68" s="148">
        <f>IF(B68="","",VLOOKUP(AD68,Varsayımlar!$B:$Q,14,0))</f>
        <v>12</v>
      </c>
      <c r="X68" s="151">
        <v>46231</v>
      </c>
      <c r="Y68" s="151">
        <v>46596</v>
      </c>
      <c r="Z68" s="149">
        <v>26072826</v>
      </c>
      <c r="AA68" s="148" t="str">
        <f>IF(B68="","",VLOOKUP(AD68,Varsayımlar!$B:$Q,15,0))</f>
        <v>Pizza Kolisi-ETİKETLİ</v>
      </c>
      <c r="AB68" s="148" t="str">
        <f>IF(B68="","",VLOOKUP(AD68,Varsayımlar!$B:$Q,16,0))</f>
        <v>25-27 cm</v>
      </c>
      <c r="AC68" s="140">
        <f>IF(B68="","",VLOOKUP(Sayfa1!AD94,Varsayımlar!B:S,18,0))</f>
        <v>0</v>
      </c>
      <c r="AD68" s="140" t="str">
        <f>IF(B68="","",CONCATENATE(B68,E68))</f>
        <v>Fama GroupTortillas Pizza 26cm 4pcs 480g</v>
      </c>
    </row>
    <row r="69" spans="1:30" ht="94.5" x14ac:dyDescent="0.25">
      <c r="A69" s="8" t="s">
        <v>86</v>
      </c>
      <c r="B69" s="62" t="s">
        <v>456</v>
      </c>
      <c r="C69" s="32">
        <f>IF(B69="","",VLOOKUP(AD69,Varsayımlar!$B:$Q,3,0))</f>
        <v>8698829380698</v>
      </c>
      <c r="D69" s="32"/>
      <c r="E69" s="61" t="s">
        <v>484</v>
      </c>
      <c r="F69" s="159" t="s">
        <v>546</v>
      </c>
      <c r="G69" s="62"/>
      <c r="H69" s="62" t="str">
        <f>IF(B69="","",VLOOKUP(AD69,Varsayımlar!$B:$Q,5,0))</f>
        <v>Willifood 26 cm Pizza</v>
      </c>
      <c r="I69" s="62">
        <f>IF(B69="","",VLOOKUP(AD69,Varsayımlar!B:T,19,0))</f>
        <v>0</v>
      </c>
      <c r="J69" s="62" t="str">
        <f>IF(B69="","",VLOOKUP(AD69,Varsayımlar!$B:$Q,6,0))</f>
        <v>Pizza</v>
      </c>
      <c r="K69" s="62">
        <v>2250</v>
      </c>
      <c r="L69" s="62"/>
      <c r="M69" s="62" t="str">
        <f>IFERROR(IF(B69="","",K69/VLOOKUP(AD69,#REF!,17,0)),"")</f>
        <v/>
      </c>
      <c r="N69" s="62"/>
      <c r="O69" s="62">
        <v>25</v>
      </c>
      <c r="P69" s="62">
        <f>IF(B69="","",VLOOKUP(AD69,Varsayımlar!$B:$Q,7,0)*K69)</f>
        <v>27000</v>
      </c>
      <c r="Q69" s="62">
        <f>IF(B69="","",VLOOKUP(AD69,Varsayımlar!$B:$Q,8,0))</f>
        <v>26</v>
      </c>
      <c r="R69" s="62" t="str">
        <f>IF(B69="","",VLOOKUP(AD69,Varsayımlar!$B:$Q,9,0))</f>
        <v>Irak Soft</v>
      </c>
      <c r="S69" s="62">
        <f>IF(B69="","",VLOOKUP(AD69,Varsayımlar!$B:$Q,10,0))</f>
        <v>4</v>
      </c>
      <c r="T69" s="62">
        <f>IF(B69="","",VLOOKUP(AD69,Varsayımlar!$B:$Q,11,0))</f>
        <v>12</v>
      </c>
      <c r="U69" s="62">
        <f>IF(B69="","",VLOOKUP(AD69,Varsayımlar!$B:$Q,12,0))</f>
        <v>480</v>
      </c>
      <c r="V69" s="62" t="str">
        <f>IF(B69="","",VLOOKUP(AD69,Varsayımlar!$B:$Q,13,0))</f>
        <v>Yurtdışı</v>
      </c>
      <c r="W69" s="62">
        <f>IF(B69="","",VLOOKUP(AD69,Varsayımlar!$B:$Q,14,0))</f>
        <v>18</v>
      </c>
      <c r="X69" s="63"/>
      <c r="Y69" s="146" t="s">
        <v>523</v>
      </c>
      <c r="Z69" s="146" t="s">
        <v>522</v>
      </c>
      <c r="AA69" s="63" t="str">
        <f>IF(B69="","",VLOOKUP(AD69,Varsayımlar!$B:$Q,15,0))</f>
        <v>Dürümek Kolisi-Çift Etiket</v>
      </c>
      <c r="AB69" s="63" t="str">
        <f>IF(B69="","",VLOOKUP(AD69,Varsayımlar!$B:$Q,16,0))</f>
        <v>Kesme.Bezeler 145-150 g.Kesilmemiş 27-28 cm. Kesilmemiş ağ 520-540g. Kesilmiş ağ 475-485 g</v>
      </c>
      <c r="AC69" s="73" t="e">
        <f>IF(B69="","",VLOOKUP(#REF!,#REF!,18,0))</f>
        <v>#REF!</v>
      </c>
      <c r="AD69" s="73" t="str">
        <f>IF(B69="","",CONCATENATE(B69,E69))</f>
        <v>WillifoodWillifood Pizza 26cm 4 pcs 480g</v>
      </c>
    </row>
    <row r="70" spans="1:30" ht="33.75" customHeight="1" x14ac:dyDescent="0.25">
      <c r="A70" s="8" t="s">
        <v>87</v>
      </c>
      <c r="B70" s="67" t="s">
        <v>460</v>
      </c>
      <c r="C70" s="42">
        <f>IF(B70="","",VLOOKUP(AD70,Varsayımlar!$B:$Q,3,0))</f>
        <v>8698829380698</v>
      </c>
      <c r="D70" s="67" t="s">
        <v>539</v>
      </c>
      <c r="E70" s="67" t="s">
        <v>461</v>
      </c>
      <c r="F70" s="67">
        <v>20260626</v>
      </c>
      <c r="G70" s="67"/>
      <c r="H70" s="67" t="str">
        <f>IF(B70="","",VLOOKUP(AD70,Varsayımlar!$B:$Q,5,0))</f>
        <v xml:space="preserve">Tortillove 15cm </v>
      </c>
      <c r="I70" s="67">
        <f>IF(B70="","",VLOOKUP(AD70,Varsayımlar!B:T,19,0))</f>
        <v>0</v>
      </c>
      <c r="J70" s="67" t="str">
        <f>IF(B70="","",VLOOKUP(AD70,Varsayımlar!$B:$Q,6,0))</f>
        <v>SADE</v>
      </c>
      <c r="K70" s="67">
        <v>400</v>
      </c>
      <c r="L70" s="67"/>
      <c r="M70" s="67">
        <f>IFERROR(IF(B70="","",K70/VLOOKUP(AD70,Varsayımlar!B:R,17,0)),"")</f>
        <v>4</v>
      </c>
      <c r="N70" s="67"/>
      <c r="O70" s="67">
        <v>11</v>
      </c>
      <c r="P70" s="67">
        <f>IF(B70="","",VLOOKUP(AD70,Varsayımlar!$B:$Q,7,0)*K70)</f>
        <v>4800</v>
      </c>
      <c r="Q70" s="67">
        <f>IF(B70="","",VLOOKUP(AD70,Varsayımlar!$B:$Q,8,0))</f>
        <v>15</v>
      </c>
      <c r="R70" s="67" t="str">
        <f>IF(B70="","",VLOOKUP(AD70,Varsayımlar!$B:$Q,9,0))</f>
        <v>Irak Soft</v>
      </c>
      <c r="S70" s="67">
        <f>IF(B70="","",VLOOKUP(AD70,Varsayımlar!$B:$Q,10,0))</f>
        <v>10</v>
      </c>
      <c r="T70" s="67">
        <f>IF(B70="","",VLOOKUP(AD70,Varsayımlar!$B:$Q,11,0))</f>
        <v>12</v>
      </c>
      <c r="U70" s="67">
        <f>IF(B70="","",VLOOKUP(AD70,Varsayımlar!$B:$Q,12,0))</f>
        <v>250</v>
      </c>
      <c r="V70" s="67" t="str">
        <f>IF(B70="","",VLOOKUP(AD70,Varsayımlar!$B:$Q,13,0))</f>
        <v>Yurtdışı</v>
      </c>
      <c r="W70" s="67">
        <f>IF(B70="","",VLOOKUP(AD70,Varsayımlar!$B:$Q,14,0))</f>
        <v>6</v>
      </c>
      <c r="X70" s="69"/>
      <c r="Y70" s="69"/>
      <c r="Z70" s="67"/>
      <c r="AA70" s="67" t="str">
        <f>IF(B70="","",VLOOKUP(AD70,Varsayımlar!$B:$Q,15,0))</f>
        <v>15cm koli</v>
      </c>
      <c r="AB70" s="67" t="str">
        <f>IF(B70="","",VLOOKUP(AD70,Varsayımlar!$B:$Q,16,0))</f>
        <v>14-16 cm</v>
      </c>
      <c r="AC70" s="80">
        <f>IF(B70="","",VLOOKUP(Sayfa1!AD91,Varsayımlar!B:S,18,0))</f>
        <v>0</v>
      </c>
      <c r="AD70" s="57" t="str">
        <f t="shared" ref="AD70" si="7">IF(B70="","",CONCATENATE(B70,E70))</f>
        <v>Yüksekbaş GıdaYüksekbaş 15cm 10 pcs 250g</v>
      </c>
    </row>
    <row r="71" spans="1:30" ht="51" customHeight="1" x14ac:dyDescent="0.25">
      <c r="A71" s="8" t="s">
        <v>88</v>
      </c>
      <c r="B71" s="160" t="s">
        <v>553</v>
      </c>
      <c r="C71" s="161">
        <f>IF(B71="","",VLOOKUP(AD71,Varsayımlar!$B:$Q,3,0))</f>
        <v>8698829380698</v>
      </c>
      <c r="D71" s="160"/>
      <c r="E71" s="162" t="s">
        <v>554</v>
      </c>
      <c r="F71" s="160">
        <v>20260629</v>
      </c>
      <c r="G71" s="160"/>
      <c r="H71" s="160" t="str">
        <f>IF(B71="","",VLOOKUP(AD71,Varsayımlar!$B:$Q,5,0))</f>
        <v xml:space="preserve">Tortillove 15cm </v>
      </c>
      <c r="I71" s="160">
        <f>IF(B71="","",VLOOKUP(AD71,Varsayımlar!B:T,19,0))</f>
        <v>0</v>
      </c>
      <c r="J71" s="160" t="str">
        <f>IF(B71="","",VLOOKUP(AD71,Varsayımlar!$B:$Q,6,0))</f>
        <v>Sade</v>
      </c>
      <c r="K71" s="160">
        <v>100</v>
      </c>
      <c r="L71" s="160"/>
      <c r="M71" s="160">
        <f>IFERROR(IF(B71="","",K71/VLOOKUP(AD71,Varsayımlar!B:R,17,0)),"")</f>
        <v>1</v>
      </c>
      <c r="N71" s="160"/>
      <c r="O71" s="160">
        <v>3</v>
      </c>
      <c r="P71" s="160">
        <f>IF(B71="","",VLOOKUP(AD71,Varsayımlar!$B:$Q,7,0)*K71)</f>
        <v>1200</v>
      </c>
      <c r="Q71" s="160">
        <f>IF(B71="","",VLOOKUP(AD71,Varsayımlar!$B:$Q,8,0))</f>
        <v>15</v>
      </c>
      <c r="R71" s="160" t="str">
        <f>IF(B71="","",VLOOKUP(AD71,Varsayımlar!$B:$Q,9,0))</f>
        <v>Irak soft</v>
      </c>
      <c r="S71" s="160">
        <f>IF(B71="","",VLOOKUP(AD71,Varsayımlar!$B:$Q,10,0))</f>
        <v>10</v>
      </c>
      <c r="T71" s="160">
        <f>IF(B71="","",VLOOKUP(AD71,Varsayımlar!$B:$Q,11,0))</f>
        <v>12</v>
      </c>
      <c r="U71" s="160">
        <f>IF(B71="","",VLOOKUP(AD71,Varsayımlar!$B:$Q,12,0))</f>
        <v>250</v>
      </c>
      <c r="V71" s="160" t="str">
        <f>IF(B71="","",VLOOKUP(AD71,Varsayımlar!$B:$Q,13,0))</f>
        <v>Yurtiçi</v>
      </c>
      <c r="W71" s="160">
        <f>IF(B71="","",VLOOKUP(AD71,Varsayımlar!$B:$Q,14,0))</f>
        <v>6</v>
      </c>
      <c r="X71" s="163"/>
      <c r="Y71" s="163"/>
      <c r="Z71" s="160"/>
      <c r="AA71" s="160" t="str">
        <f>IF(B71="","",VLOOKUP(AD71,Varsayımlar!$B:$Q,15,0))</f>
        <v>15cm kolisi</v>
      </c>
      <c r="AB71" s="160" t="str">
        <f>IF(B71="","",VLOOKUP(AD71,Varsayımlar!$B:$Q,16,0))</f>
        <v>14-16cm</v>
      </c>
      <c r="AC71" s="75" t="e">
        <f>IF(B71="","",VLOOKUP(Sayfa1!AD119,Varsayımlar!B:S,18,0))</f>
        <v>#N/A</v>
      </c>
      <c r="AD71" s="57" t="str">
        <f>IF(B71="","",CONCATENATE(B71,E71))</f>
        <v>GıdaserTortillove 15cm 10pcs 250g</v>
      </c>
    </row>
    <row r="72" spans="1:30" x14ac:dyDescent="0.25">
      <c r="A72" s="8" t="s">
        <v>89</v>
      </c>
      <c r="B72" s="67"/>
      <c r="C72" s="42" t="str">
        <f>IF(B72="","",VLOOKUP(AD72,#REF!,3,0))</f>
        <v/>
      </c>
      <c r="D72" s="42"/>
      <c r="E72" s="42"/>
      <c r="F72" s="67"/>
      <c r="G72" s="67"/>
      <c r="H72" s="67" t="str">
        <f>IF(B72="","",VLOOKUP(AD72,#REF!,5,0))</f>
        <v/>
      </c>
      <c r="I72" s="67" t="str">
        <f>IF(B72="","",VLOOKUP(AD72,#REF!,19,0))</f>
        <v/>
      </c>
      <c r="J72" s="67" t="str">
        <f>IF(B72="","",VLOOKUP(AD72,#REF!,6,0))</f>
        <v/>
      </c>
      <c r="K72" s="67"/>
      <c r="L72" s="67"/>
      <c r="M72" s="67" t="str">
        <f>IFERROR(IF(B72="","",K72/VLOOKUP(AD72,#REF!,17,0)),"")</f>
        <v/>
      </c>
      <c r="N72" s="67"/>
      <c r="O72" s="67"/>
      <c r="P72" s="67" t="str">
        <f>IF(B72="","",VLOOKUP(AD72,#REF!,7,0)*K72)</f>
        <v/>
      </c>
      <c r="Q72" s="67" t="str">
        <f>IF(B72="","",VLOOKUP(AD72,#REF!,8,0))</f>
        <v/>
      </c>
      <c r="R72" s="67" t="str">
        <f>IF(B72="","",VLOOKUP(AD72,#REF!,9,0))</f>
        <v/>
      </c>
      <c r="S72" s="67" t="str">
        <f>IF(B72="","",VLOOKUP(AD72,#REF!,10,0))</f>
        <v/>
      </c>
      <c r="T72" s="67" t="str">
        <f>IF(B72="","",VLOOKUP(AD72,#REF!,11,0))</f>
        <v/>
      </c>
      <c r="U72" s="67" t="str">
        <f>IF(B72="","",VLOOKUP(AD72,#REF!,12,0))</f>
        <v/>
      </c>
      <c r="V72" s="67" t="str">
        <f>IF(B72="","",VLOOKUP(AD72,#REF!,13,0))</f>
        <v/>
      </c>
      <c r="W72" s="67" t="str">
        <f>IF(B72="","",VLOOKUP(AD72,#REF!,14,0))</f>
        <v/>
      </c>
      <c r="X72" s="69"/>
      <c r="Y72" s="69"/>
      <c r="Z72" s="67"/>
      <c r="AA72" s="67" t="str">
        <f>IF(B72="","",VLOOKUP(AD72,#REF!,15,0))</f>
        <v/>
      </c>
      <c r="AB72" s="67" t="str">
        <f>IF(B72="","",VLOOKUP(AD72,#REF!,16,0))</f>
        <v/>
      </c>
    </row>
    <row r="73" spans="1:30" x14ac:dyDescent="0.25">
      <c r="A73" s="8" t="s">
        <v>90</v>
      </c>
      <c r="B73" s="67"/>
      <c r="C73" s="42" t="str">
        <f>IF(B73="","",VLOOKUP(AD73,#REF!,3,0))</f>
        <v/>
      </c>
      <c r="D73" s="42"/>
      <c r="E73" s="42"/>
      <c r="F73" s="67"/>
      <c r="G73" s="67"/>
      <c r="H73" s="67" t="str">
        <f>IF(B73="","",VLOOKUP(AD73,#REF!,5,0))</f>
        <v/>
      </c>
      <c r="I73" s="67" t="str">
        <f>IF(B73="","",VLOOKUP(AD73,#REF!,19,0))</f>
        <v/>
      </c>
      <c r="J73" s="67" t="str">
        <f>IF(B73="","",VLOOKUP(AD73,#REF!,6,0))</f>
        <v/>
      </c>
      <c r="K73" s="67"/>
      <c r="L73" s="67"/>
      <c r="M73" s="67" t="str">
        <f>IFERROR(IF(B73="","",K73/VLOOKUP(AD73,#REF!,17,0)),"")</f>
        <v/>
      </c>
      <c r="N73" s="67"/>
      <c r="O73" s="67"/>
      <c r="P73" s="67" t="str">
        <f>IF(B73="","",VLOOKUP(AD73,#REF!,7,0)*K73)</f>
        <v/>
      </c>
      <c r="Q73" s="67" t="str">
        <f>IF(B73="","",VLOOKUP(AD73,#REF!,8,0))</f>
        <v/>
      </c>
      <c r="R73" s="67" t="str">
        <f>IF(B73="","",VLOOKUP(AD73,#REF!,9,0))</f>
        <v/>
      </c>
      <c r="S73" s="67" t="str">
        <f>IF(B73="","",VLOOKUP(AD73,#REF!,10,0))</f>
        <v/>
      </c>
      <c r="T73" s="67" t="str">
        <f>IF(B73="","",VLOOKUP(AD73,#REF!,11,0))</f>
        <v/>
      </c>
      <c r="U73" s="67" t="str">
        <f>IF(B73="","",VLOOKUP(AD73,#REF!,12,0))</f>
        <v/>
      </c>
      <c r="V73" s="67" t="str">
        <f>IF(B73="","",VLOOKUP(AD73,#REF!,13,0))</f>
        <v/>
      </c>
      <c r="W73" s="67" t="str">
        <f>IF(B73="","",VLOOKUP(AD73,#REF!,14,0))</f>
        <v/>
      </c>
      <c r="X73" s="69"/>
      <c r="Y73" s="69"/>
      <c r="Z73" s="67"/>
      <c r="AA73" s="67" t="str">
        <f>IF(B73="","",VLOOKUP(AD73,#REF!,15,0))</f>
        <v/>
      </c>
      <c r="AB73" s="67" t="str">
        <f>IF(B73="","",VLOOKUP(AD73,#REF!,16,0))</f>
        <v/>
      </c>
    </row>
    <row r="74" spans="1:30" x14ac:dyDescent="0.25">
      <c r="A74" s="8" t="s">
        <v>91</v>
      </c>
      <c r="B74" s="67"/>
      <c r="C74" s="42" t="str">
        <f>IF(B74="","",VLOOKUP(AD74,#REF!,3,0))</f>
        <v/>
      </c>
      <c r="D74" s="42"/>
      <c r="E74" s="42"/>
      <c r="F74" s="67"/>
      <c r="G74" s="67"/>
      <c r="H74" s="67" t="str">
        <f>IF(B74="","",VLOOKUP(AD74,#REF!,5,0))</f>
        <v/>
      </c>
      <c r="I74" s="67" t="str">
        <f>IF(B74="","",VLOOKUP(AD74,#REF!,19,0))</f>
        <v/>
      </c>
      <c r="J74" s="67" t="str">
        <f>IF(B74="","",VLOOKUP(AD74,#REF!,6,0))</f>
        <v/>
      </c>
      <c r="K74" s="67"/>
      <c r="L74" s="67"/>
      <c r="M74" s="67" t="str">
        <f>IFERROR(IF(B74="","",K74/VLOOKUP(AD74,#REF!,17,0)),"")</f>
        <v/>
      </c>
      <c r="N74" s="67"/>
      <c r="O74" s="67"/>
      <c r="P74" s="67" t="str">
        <f>IF(B74="","",VLOOKUP(AD74,#REF!,7,0)*K74)</f>
        <v/>
      </c>
      <c r="Q74" s="67" t="str">
        <f>IF(B74="","",VLOOKUP(AD74,#REF!,8,0))</f>
        <v/>
      </c>
      <c r="R74" s="67" t="str">
        <f>IF(B74="","",VLOOKUP(AD74,#REF!,9,0))</f>
        <v/>
      </c>
      <c r="S74" s="67" t="str">
        <f>IF(B74="","",VLOOKUP(AD74,#REF!,10,0))</f>
        <v/>
      </c>
      <c r="T74" s="67" t="str">
        <f>IF(B74="","",VLOOKUP(AD74,#REF!,11,0))</f>
        <v/>
      </c>
      <c r="U74" s="67" t="str">
        <f>IF(B74="","",VLOOKUP(AD74,#REF!,12,0))</f>
        <v/>
      </c>
      <c r="V74" s="67" t="str">
        <f>IF(B74="","",VLOOKUP(AD74,#REF!,13,0))</f>
        <v/>
      </c>
      <c r="W74" s="67" t="str">
        <f>IF(B74="","",VLOOKUP(AD74,#REF!,14,0))</f>
        <v/>
      </c>
      <c r="X74" s="69"/>
      <c r="Y74" s="69"/>
      <c r="Z74" s="67"/>
      <c r="AA74" s="67" t="str">
        <f>IF(B74="","",VLOOKUP(AD74,#REF!,15,0))</f>
        <v/>
      </c>
      <c r="AB74" s="67" t="str">
        <f>IF(B74="","",VLOOKUP(AD74,#REF!,16,0))</f>
        <v/>
      </c>
    </row>
    <row r="75" spans="1:30" x14ac:dyDescent="0.25">
      <c r="A75" s="8" t="s">
        <v>92</v>
      </c>
      <c r="B75" s="67"/>
      <c r="C75" s="42" t="str">
        <f>IF(B75="","",VLOOKUP(AD75,#REF!,3,0))</f>
        <v/>
      </c>
      <c r="D75" s="42"/>
      <c r="E75" s="42"/>
      <c r="F75" s="67"/>
      <c r="G75" s="67"/>
      <c r="H75" s="67" t="str">
        <f>IF(B75="","",VLOOKUP(AD75,#REF!,5,0))</f>
        <v/>
      </c>
      <c r="I75" s="67" t="str">
        <f>IF(B75="","",VLOOKUP(AD75,#REF!,19,0))</f>
        <v/>
      </c>
      <c r="J75" s="67" t="str">
        <f>IF(B75="","",VLOOKUP(AD75,#REF!,6,0))</f>
        <v/>
      </c>
      <c r="K75" s="67"/>
      <c r="L75" s="67"/>
      <c r="M75" s="67" t="str">
        <f>IFERROR(IF(B75="","",K75/VLOOKUP(AD75,#REF!,17,0)),"")</f>
        <v/>
      </c>
      <c r="N75" s="67"/>
      <c r="O75" s="67"/>
      <c r="P75" s="67" t="str">
        <f>IF(B75="","",VLOOKUP(AD75,#REF!,7,0)*K75)</f>
        <v/>
      </c>
      <c r="Q75" s="67" t="str">
        <f>IF(B75="","",VLOOKUP(AD75,#REF!,8,0))</f>
        <v/>
      </c>
      <c r="R75" s="67" t="str">
        <f>IF(B75="","",VLOOKUP(AD75,#REF!,9,0))</f>
        <v/>
      </c>
      <c r="S75" s="67" t="str">
        <f>IF(B75="","",VLOOKUP(AD75,#REF!,10,0))</f>
        <v/>
      </c>
      <c r="T75" s="67" t="str">
        <f>IF(B75="","",VLOOKUP(AD75,#REF!,11,0))</f>
        <v/>
      </c>
      <c r="U75" s="67" t="str">
        <f>IF(B75="","",VLOOKUP(AD75,#REF!,12,0))</f>
        <v/>
      </c>
      <c r="V75" s="67" t="str">
        <f>IF(B75="","",VLOOKUP(AD75,#REF!,13,0))</f>
        <v/>
      </c>
      <c r="W75" s="67" t="str">
        <f>IF(B75="","",VLOOKUP(AD75,#REF!,14,0))</f>
        <v/>
      </c>
      <c r="X75" s="69"/>
      <c r="Y75" s="69"/>
      <c r="Z75" s="67"/>
      <c r="AA75" s="67" t="str">
        <f>IF(B75="","",VLOOKUP(AD75,#REF!,15,0))</f>
        <v/>
      </c>
      <c r="AB75" s="67" t="str">
        <f>IF(B75="","",VLOOKUP(AD75,#REF!,16,0))</f>
        <v/>
      </c>
    </row>
    <row r="76" spans="1:30" x14ac:dyDescent="0.25">
      <c r="A76" s="8" t="s">
        <v>93</v>
      </c>
      <c r="B76" s="67"/>
      <c r="C76" s="42" t="str">
        <f>IF(B76="","",VLOOKUP(AD76,#REF!,3,0))</f>
        <v/>
      </c>
      <c r="D76" s="42"/>
      <c r="E76" s="42"/>
      <c r="F76" s="67"/>
      <c r="G76" s="67"/>
      <c r="H76" s="67" t="str">
        <f>IF(B76="","",VLOOKUP(AD76,#REF!,5,0))</f>
        <v/>
      </c>
      <c r="I76" s="67" t="str">
        <f>IF(B76="","",VLOOKUP(AD76,#REF!,19,0))</f>
        <v/>
      </c>
      <c r="J76" s="67" t="str">
        <f>IF(B76="","",VLOOKUP(AD76,#REF!,6,0))</f>
        <v/>
      </c>
      <c r="K76" s="67"/>
      <c r="L76" s="67"/>
      <c r="M76" s="67" t="str">
        <f>IFERROR(IF(B76="","",K76/VLOOKUP(AD76,#REF!,17,0)),"")</f>
        <v/>
      </c>
      <c r="N76" s="67"/>
      <c r="O76" s="67"/>
      <c r="P76" s="67" t="str">
        <f>IF(B76="","",VLOOKUP(AD76,#REF!,7,0)*K76)</f>
        <v/>
      </c>
      <c r="Q76" s="67" t="str">
        <f>IF(B76="","",VLOOKUP(AD76,#REF!,8,0))</f>
        <v/>
      </c>
      <c r="R76" s="67" t="str">
        <f>IF(B76="","",VLOOKUP(AD76,#REF!,9,0))</f>
        <v/>
      </c>
      <c r="S76" s="67" t="str">
        <f>IF(B76="","",VLOOKUP(AD76,#REF!,10,0))</f>
        <v/>
      </c>
      <c r="T76" s="67" t="str">
        <f>IF(B76="","",VLOOKUP(AD76,#REF!,11,0))</f>
        <v/>
      </c>
      <c r="U76" s="67" t="str">
        <f>IF(B76="","",VLOOKUP(AD76,#REF!,12,0))</f>
        <v/>
      </c>
      <c r="V76" s="67" t="str">
        <f>IF(B76="","",VLOOKUP(AD76,#REF!,13,0))</f>
        <v/>
      </c>
      <c r="W76" s="67" t="str">
        <f>IF(B76="","",VLOOKUP(AD76,#REF!,14,0))</f>
        <v/>
      </c>
      <c r="X76" s="69"/>
      <c r="Y76" s="69"/>
      <c r="Z76" s="67"/>
      <c r="AA76" s="67" t="str">
        <f>IF(B76="","",VLOOKUP(AD76,#REF!,15,0))</f>
        <v/>
      </c>
      <c r="AB76" s="67" t="str">
        <f>IF(B76="","",VLOOKUP(AD76,#REF!,16,0))</f>
        <v/>
      </c>
    </row>
    <row r="77" spans="1:30" x14ac:dyDescent="0.25">
      <c r="A77" s="8" t="s">
        <v>135</v>
      </c>
      <c r="B77" s="67"/>
      <c r="C77" s="42" t="str">
        <f>IF(B77="","",VLOOKUP(AD77,#REF!,3,0))</f>
        <v/>
      </c>
      <c r="D77" s="42"/>
      <c r="E77" s="42"/>
      <c r="F77" s="67"/>
      <c r="G77" s="67"/>
      <c r="H77" s="67" t="str">
        <f>IF(B77="","",VLOOKUP(AD77,#REF!,5,0))</f>
        <v/>
      </c>
      <c r="I77" s="67" t="str">
        <f>IF(B77="","",VLOOKUP(AD77,#REF!,19,0))</f>
        <v/>
      </c>
      <c r="J77" s="67" t="str">
        <f>IF(B77="","",VLOOKUP(AD77,#REF!,6,0))</f>
        <v/>
      </c>
      <c r="K77" s="67"/>
      <c r="L77" s="67"/>
      <c r="M77" s="67" t="str">
        <f>IFERROR(IF(B77="","",K77/VLOOKUP(AD77,#REF!,17,0)),"")</f>
        <v/>
      </c>
      <c r="N77" s="67"/>
      <c r="O77" s="67"/>
      <c r="P77" s="67" t="str">
        <f>IF(B77="","",VLOOKUP(AD77,#REF!,7,0)*K77)</f>
        <v/>
      </c>
      <c r="Q77" s="67" t="str">
        <f>IF(B77="","",VLOOKUP(AD77,#REF!,8,0))</f>
        <v/>
      </c>
      <c r="R77" s="67" t="str">
        <f>IF(B77="","",VLOOKUP(AD77,#REF!,9,0))</f>
        <v/>
      </c>
      <c r="S77" s="67" t="str">
        <f>IF(B77="","",VLOOKUP(AD77,#REF!,10,0))</f>
        <v/>
      </c>
      <c r="T77" s="67" t="str">
        <f>IF(B77="","",VLOOKUP(AD77,#REF!,11,0))</f>
        <v/>
      </c>
      <c r="U77" s="67" t="str">
        <f>IF(B77="","",VLOOKUP(AD77,#REF!,12,0))</f>
        <v/>
      </c>
      <c r="V77" s="67" t="str">
        <f>IF(B77="","",VLOOKUP(AD77,#REF!,13,0))</f>
        <v/>
      </c>
      <c r="W77" s="67" t="str">
        <f>IF(B77="","",VLOOKUP(AD77,#REF!,14,0))</f>
        <v/>
      </c>
      <c r="X77" s="69"/>
      <c r="Y77" s="69"/>
      <c r="Z77" s="67"/>
      <c r="AA77" s="67" t="str">
        <f>IF(B77="","",VLOOKUP(AD77,#REF!,15,0))</f>
        <v/>
      </c>
      <c r="AB77" s="67" t="str">
        <f>IF(B77="","",VLOOKUP(AD77,#REF!,16,0))</f>
        <v/>
      </c>
    </row>
    <row r="78" spans="1:30" x14ac:dyDescent="0.25">
      <c r="A78" s="8" t="s">
        <v>136</v>
      </c>
      <c r="B78" s="67"/>
      <c r="C78" s="42" t="str">
        <f>IF(B78="","",VLOOKUP(AD78,#REF!,3,0))</f>
        <v/>
      </c>
      <c r="D78" s="42"/>
      <c r="E78" s="42"/>
      <c r="F78" s="67"/>
      <c r="G78" s="67"/>
      <c r="H78" s="67" t="str">
        <f>IF(B78="","",VLOOKUP(AD78,#REF!,5,0))</f>
        <v/>
      </c>
      <c r="I78" s="67" t="str">
        <f>IF(B78="","",VLOOKUP(AD78,#REF!,19,0))</f>
        <v/>
      </c>
      <c r="J78" s="67" t="str">
        <f>IF(B78="","",VLOOKUP(AD78,#REF!,6,0))</f>
        <v/>
      </c>
      <c r="K78" s="67"/>
      <c r="L78" s="67"/>
      <c r="M78" s="67" t="str">
        <f>IFERROR(IF(B78="","",K78/VLOOKUP(AD78,#REF!,17,0)),"")</f>
        <v/>
      </c>
      <c r="N78" s="67"/>
      <c r="O78" s="67"/>
      <c r="P78" s="67" t="str">
        <f>IF(B78="","",VLOOKUP(AD78,#REF!,7,0)*K78)</f>
        <v/>
      </c>
      <c r="Q78" s="67" t="str">
        <f>IF(B78="","",VLOOKUP(AD78,#REF!,8,0))</f>
        <v/>
      </c>
      <c r="R78" s="67" t="str">
        <f>IF(B78="","",VLOOKUP(AD78,#REF!,9,0))</f>
        <v/>
      </c>
      <c r="S78" s="67" t="str">
        <f>IF(B78="","",VLOOKUP(AD78,#REF!,10,0))</f>
        <v/>
      </c>
      <c r="T78" s="67" t="str">
        <f>IF(B78="","",VLOOKUP(AD78,#REF!,11,0))</f>
        <v/>
      </c>
      <c r="U78" s="67" t="str">
        <f>IF(B78="","",VLOOKUP(AD78,#REF!,12,0))</f>
        <v/>
      </c>
      <c r="V78" s="67" t="str">
        <f>IF(B78="","",VLOOKUP(AD78,#REF!,13,0))</f>
        <v/>
      </c>
      <c r="W78" s="67" t="str">
        <f>IF(B78="","",VLOOKUP(AD78,#REF!,14,0))</f>
        <v/>
      </c>
      <c r="X78" s="69"/>
      <c r="Y78" s="69"/>
      <c r="Z78" s="67"/>
      <c r="AA78" s="67" t="str">
        <f>IF(B78="","",VLOOKUP(AD78,#REF!,15,0))</f>
        <v/>
      </c>
      <c r="AB78" s="67" t="str">
        <f>IF(B78="","",VLOOKUP(AD78,#REF!,16,0))</f>
        <v/>
      </c>
    </row>
  </sheetData>
  <mergeCells count="5">
    <mergeCell ref="A1:AC1"/>
    <mergeCell ref="A2:Z2"/>
    <mergeCell ref="AB2:AC2"/>
    <mergeCell ref="A42:AB42"/>
    <mergeCell ref="A57:AB5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71"/>
  <sheetViews>
    <sheetView zoomScale="70" zoomScaleNormal="70" workbookViewId="0">
      <selection sqref="A1:XFD1048576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customWidth="1"/>
    <col min="6" max="6" width="14" style="140" customWidth="1"/>
    <col min="7" max="7" width="16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4.57031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46204</v>
      </c>
      <c r="AB2" s="185">
        <v>0.375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0" ht="47.25" x14ac:dyDescent="0.25">
      <c r="A4" s="8" t="s">
        <v>26</v>
      </c>
      <c r="B4" s="54" t="s">
        <v>268</v>
      </c>
      <c r="C4" s="39">
        <f>IF(B4="","",VLOOKUP(AD4,Varsayımlar!$B:$Q,3,0))</f>
        <v>8698829380698</v>
      </c>
      <c r="D4" s="39" t="s">
        <v>160</v>
      </c>
      <c r="E4" s="54" t="s">
        <v>269</v>
      </c>
      <c r="F4" s="54" t="s">
        <v>343</v>
      </c>
      <c r="G4" s="39" t="s">
        <v>68</v>
      </c>
      <c r="H4" s="54" t="str">
        <f>IF(B4="","",VLOOKUP(AD4,Varsayımlar!$B:$Q,5,0))</f>
        <v>Tortillas 25cm Tam Buğday</v>
      </c>
      <c r="I4" s="54">
        <f>IF(B4="","",VLOOKUP(AD4,Varsayımlar!B:T,19,0))</f>
        <v>0</v>
      </c>
      <c r="J4" s="54" t="str">
        <f>IF(B4="","",VLOOKUP(AD4,Varsayımlar!$B:$Q,6,0))</f>
        <v>Tam Buğdaylı</v>
      </c>
      <c r="K4" s="54">
        <v>336</v>
      </c>
      <c r="L4" s="54"/>
      <c r="M4" s="54">
        <f>IFERROR(IF(B4="","",K4/VLOOKUP(AD4,Varsayımlar!B:R,17,0)),"")</f>
        <v>4</v>
      </c>
      <c r="N4" s="54"/>
      <c r="O4" s="54">
        <v>6</v>
      </c>
      <c r="P4" s="54">
        <f>IF(B4="","",VLOOKUP(AD4,Varsayımlar!$B:$Q,7,0)*K4)</f>
        <v>10080</v>
      </c>
      <c r="Q4" s="54">
        <f>IF(B4="","",VLOOKUP(AD4,Varsayımlar!$B:$Q,8,0))</f>
        <v>25</v>
      </c>
      <c r="R4" s="54" t="str">
        <f>IF(B4="","",VLOOKUP(AD4,Varsayımlar!$B:$Q,9,0))</f>
        <v>Soft-PA3</v>
      </c>
      <c r="S4" s="54">
        <f>IF(B4="","",VLOOKUP(AD4,Varsayımlar!$B:$Q,10,0))</f>
        <v>4</v>
      </c>
      <c r="T4" s="54">
        <f>IF(B4="","",VLOOKUP(AD4,Varsayımlar!$B:$Q,11,0))</f>
        <v>30</v>
      </c>
      <c r="U4" s="54">
        <f>IF(B4="","",VLOOKUP(AD4,Varsayımlar!$B:$Q,12,0))</f>
        <v>240</v>
      </c>
      <c r="V4" s="54" t="str">
        <f>IF(B4="","",VLOOKUP(AD4,Varsayımlar!$B:$Q,13,0))</f>
        <v>Yurtdışı</v>
      </c>
      <c r="W4" s="54">
        <f>IF(B4="","",VLOOKUP(AD4,Varsayımlar!$B:$Q,14,0))</f>
        <v>12</v>
      </c>
      <c r="X4" s="56">
        <v>46205</v>
      </c>
      <c r="Y4" s="56">
        <v>46570</v>
      </c>
      <c r="Z4" s="54" t="s">
        <v>383</v>
      </c>
      <c r="AA4" s="54" t="str">
        <f>IF(B4="","",VLOOKUP(AD4,Varsayımlar!$B:$Q,15,0))</f>
        <v>25cm Kolisi-Etiketli</v>
      </c>
      <c r="AB4" s="54" t="str">
        <f>IF(B4="","",VLOOKUP(AD4,Varsayımlar!$B:$Q,16,0))</f>
        <v>24-26 cm (Macca Hetto Inkjet Uzun Tarih)</v>
      </c>
      <c r="AC4" s="54" t="str">
        <f>IF(B4="","",VLOOKUP(Sayfa1!AD36,Varsayımlar!B:S,18,0))</f>
        <v>80x120cm</v>
      </c>
      <c r="AD4" s="57" t="str">
        <f t="shared" ref="AD4:AD31" si="0">IF(B4="","",CONCATENATE(B4,E4))</f>
        <v>LAIKYUZHN-BELARUSTortillas 25cm Tam buğday 4pcs 240g</v>
      </c>
    </row>
    <row r="5" spans="1:30" ht="47.25" x14ac:dyDescent="0.25">
      <c r="A5" s="8" t="s">
        <v>77</v>
      </c>
      <c r="B5" s="54" t="s">
        <v>268</v>
      </c>
      <c r="C5" s="39">
        <f>IF(B5="","",VLOOKUP(AD5,Varsayımlar!$B:$Q,3,0))</f>
        <v>8698829380698</v>
      </c>
      <c r="D5" s="39" t="s">
        <v>160</v>
      </c>
      <c r="E5" s="54" t="s">
        <v>274</v>
      </c>
      <c r="F5" s="54" t="s">
        <v>343</v>
      </c>
      <c r="G5" s="39" t="s">
        <v>68</v>
      </c>
      <c r="H5" s="54" t="str">
        <f>IF(B5="","",VLOOKUP(AD5,Varsayımlar!$B:$Q,5,0))</f>
        <v>Tortillas 25cm Domatesli</v>
      </c>
      <c r="I5" s="54">
        <f>IF(B5="","",VLOOKUP(AD5,Varsayımlar!B:T,19,0))</f>
        <v>0</v>
      </c>
      <c r="J5" s="54" t="str">
        <f>IF(B5="","",VLOOKUP(AD5,Varsayımlar!$B:$Q,6,0))</f>
        <v>Domatesli</v>
      </c>
      <c r="K5" s="54">
        <v>420</v>
      </c>
      <c r="L5" s="54"/>
      <c r="M5" s="54">
        <f>IFERROR(IF(B5="","",K5/VLOOKUP(AD5,Varsayımlar!B:R,17,0)),"")</f>
        <v>5</v>
      </c>
      <c r="N5" s="54"/>
      <c r="O5" s="54">
        <v>7</v>
      </c>
      <c r="P5" s="54">
        <f>IF(B5="","",VLOOKUP(AD5,Varsayımlar!$B:$Q,7,0)*K5)</f>
        <v>12600</v>
      </c>
      <c r="Q5" s="54">
        <f>IF(B5="","",VLOOKUP(AD5,Varsayımlar!$B:$Q,8,0))</f>
        <v>25</v>
      </c>
      <c r="R5" s="54" t="str">
        <f>IF(B5="","",VLOOKUP(AD5,Varsayımlar!$B:$Q,9,0))</f>
        <v>Soft-PA3</v>
      </c>
      <c r="S5" s="54">
        <f>IF(B5="","",VLOOKUP(AD5,Varsayımlar!$B:$Q,10,0))</f>
        <v>4</v>
      </c>
      <c r="T5" s="54">
        <f>IF(B5="","",VLOOKUP(AD5,Varsayımlar!$B:$Q,11,0))</f>
        <v>30</v>
      </c>
      <c r="U5" s="54">
        <f>IF(B5="","",VLOOKUP(AD5,Varsayımlar!$B:$Q,12,0))</f>
        <v>240</v>
      </c>
      <c r="V5" s="54" t="str">
        <f>IF(B5="","",VLOOKUP(AD5,Varsayımlar!$B:$Q,13,0))</f>
        <v>Yurtdışı</v>
      </c>
      <c r="W5" s="54">
        <f>IF(B5="","",VLOOKUP(AD5,Varsayımlar!$B:$Q,14,0))</f>
        <v>12</v>
      </c>
      <c r="X5" s="56">
        <v>46205</v>
      </c>
      <c r="Y5" s="56">
        <v>46570</v>
      </c>
      <c r="Z5" s="54" t="s">
        <v>384</v>
      </c>
      <c r="AA5" s="54" t="str">
        <f>IF(B5="","",VLOOKUP(AD5,Varsayımlar!$B:$Q,15,0))</f>
        <v>25cm Kolisi-Etiketli</v>
      </c>
      <c r="AB5" s="54" t="str">
        <f>IF(B5="","",VLOOKUP(AD5,Varsayımlar!$B:$Q,16,0))</f>
        <v>24-26 cm (Macca Hetto Inkjet Uzun Tarih)</v>
      </c>
      <c r="AC5" s="54" t="str">
        <f>IF(B5="","",VLOOKUP(Sayfa1!AD37,Varsayımlar!B:S,18,0))</f>
        <v>80x120cm</v>
      </c>
      <c r="AD5" s="57" t="str">
        <f t="shared" si="0"/>
        <v>LAIKYUZHN-BELARUSTortillas 25cm Domatesli 4pcs 240g</v>
      </c>
    </row>
    <row r="6" spans="1:30" ht="47.25" x14ac:dyDescent="0.25">
      <c r="A6" s="8" t="s">
        <v>78</v>
      </c>
      <c r="B6" s="54" t="s">
        <v>268</v>
      </c>
      <c r="C6" s="39">
        <f>IF(B6="","",VLOOKUP(AD6,Varsayımlar!$B:$Q,3,0))</f>
        <v>8698829380698</v>
      </c>
      <c r="D6" s="39" t="s">
        <v>160</v>
      </c>
      <c r="E6" s="54" t="s">
        <v>276</v>
      </c>
      <c r="F6" s="54" t="s">
        <v>343</v>
      </c>
      <c r="G6" s="39" t="s">
        <v>68</v>
      </c>
      <c r="H6" s="54" t="str">
        <f>IF(B6="","",VLOOKUP(AD6,Varsayımlar!$B:$Q,5,0))</f>
        <v>Tortillas 25cm Ispanaklı</v>
      </c>
      <c r="I6" s="54">
        <f>IF(B6="","",VLOOKUP(AD6,Varsayımlar!B:T,19,0))</f>
        <v>0</v>
      </c>
      <c r="J6" s="54" t="str">
        <f>IF(B6="","",VLOOKUP(AD6,Varsayımlar!$B:$Q,6,0))</f>
        <v>Ispanaklı</v>
      </c>
      <c r="K6" s="54">
        <v>336</v>
      </c>
      <c r="L6" s="54"/>
      <c r="M6" s="54">
        <f>IFERROR(IF(B6="","",K6/VLOOKUP(AD6,Varsayımlar!B:R,17,0)),"")</f>
        <v>4</v>
      </c>
      <c r="N6" s="54"/>
      <c r="O6" s="54">
        <v>6</v>
      </c>
      <c r="P6" s="54">
        <f>IF(B6="","",VLOOKUP(AD6,Varsayımlar!$B:$Q,7,0)*K6)</f>
        <v>10080</v>
      </c>
      <c r="Q6" s="54">
        <f>IF(B6="","",VLOOKUP(AD6,Varsayımlar!$B:$Q,8,0))</f>
        <v>25</v>
      </c>
      <c r="R6" s="54" t="str">
        <f>IF(B6="","",VLOOKUP(AD6,Varsayımlar!$B:$Q,9,0))</f>
        <v>Soft-PA3</v>
      </c>
      <c r="S6" s="54">
        <f>IF(B6="","",VLOOKUP(AD6,Varsayımlar!$B:$Q,10,0))</f>
        <v>4</v>
      </c>
      <c r="T6" s="54">
        <f>IF(B6="","",VLOOKUP(AD6,Varsayımlar!$B:$Q,11,0))</f>
        <v>30</v>
      </c>
      <c r="U6" s="54">
        <f>IF(B6="","",VLOOKUP(AD6,Varsayımlar!$B:$Q,12,0))</f>
        <v>240</v>
      </c>
      <c r="V6" s="54" t="str">
        <f>IF(B6="","",VLOOKUP(AD6,Varsayımlar!$B:$Q,13,0))</f>
        <v>Yurtdışı</v>
      </c>
      <c r="W6" s="54">
        <f>IF(B6="","",VLOOKUP(AD6,Varsayımlar!$B:$Q,14,0))</f>
        <v>12</v>
      </c>
      <c r="X6" s="56">
        <v>46205</v>
      </c>
      <c r="Y6" s="56">
        <v>46570</v>
      </c>
      <c r="Z6" s="54" t="s">
        <v>385</v>
      </c>
      <c r="AA6" s="54" t="str">
        <f>IF(B6="","",VLOOKUP(AD6,Varsayımlar!$B:$Q,15,0))</f>
        <v>25cm Kolisi-Etiketli</v>
      </c>
      <c r="AB6" s="54" t="str">
        <f>IF(B6="","",VLOOKUP(AD6,Varsayımlar!$B:$Q,16,0))</f>
        <v>24-26 cm (Macca Hetto Inkjet Uzun Tarih)</v>
      </c>
      <c r="AC6" s="54" t="str">
        <f>IF(B6="","",VLOOKUP(Sayfa1!AD38,Varsayımlar!B:S,18,0))</f>
        <v>80x120cm</v>
      </c>
      <c r="AD6" s="57" t="str">
        <f t="shared" si="0"/>
        <v>LAIKYUZHN-BELARUSTortillas 25cm Ispanaklı 4pcs 240g</v>
      </c>
    </row>
    <row r="7" spans="1:30" ht="47.25" x14ac:dyDescent="0.25">
      <c r="A7" s="8" t="s">
        <v>79</v>
      </c>
      <c r="B7" s="54" t="s">
        <v>268</v>
      </c>
      <c r="C7" s="39">
        <f>IF(B7="","",VLOOKUP(AD7,Varsayımlar!$B:$Q,3,0))</f>
        <v>8698829380698</v>
      </c>
      <c r="D7" s="39" t="s">
        <v>160</v>
      </c>
      <c r="E7" s="54" t="s">
        <v>278</v>
      </c>
      <c r="F7" s="54" t="s">
        <v>343</v>
      </c>
      <c r="G7" s="39" t="s">
        <v>68</v>
      </c>
      <c r="H7" s="54" t="str">
        <f>IF(B7="","",VLOOKUP(AD7,Varsayımlar!$B:$Q,5,0))</f>
        <v>Magnit Tortillas 25cm Peynirli</v>
      </c>
      <c r="I7" s="54" t="str">
        <f>IF(B7="","",VLOOKUP(AD7,Varsayımlar!B:T,19,0))</f>
        <v>Etiketli</v>
      </c>
      <c r="J7" s="54" t="str">
        <f>IF(B7="","",VLOOKUP(AD7,Varsayımlar!$B:$Q,6,0))</f>
        <v>Peynirli</v>
      </c>
      <c r="K7" s="54">
        <v>504</v>
      </c>
      <c r="L7" s="54"/>
      <c r="M7" s="54">
        <f>IFERROR(IF(B7="","",K7/VLOOKUP(AD7,Varsayımlar!B:R,17,0)),"")</f>
        <v>6</v>
      </c>
      <c r="N7" s="54"/>
      <c r="O7" s="54">
        <v>9</v>
      </c>
      <c r="P7" s="54">
        <f>IF(B7="","",VLOOKUP(AD7,Varsayımlar!$B:$Q,7,0)*K7)</f>
        <v>15120</v>
      </c>
      <c r="Q7" s="54">
        <f>IF(B7="","",VLOOKUP(AD7,Varsayımlar!$B:$Q,8,0))</f>
        <v>25</v>
      </c>
      <c r="R7" s="54" t="str">
        <f>IF(B7="","",VLOOKUP(AD7,Varsayımlar!$B:$Q,9,0))</f>
        <v>Soft-PA3-AT</v>
      </c>
      <c r="S7" s="54">
        <f>IF(B7="","",VLOOKUP(AD7,Varsayımlar!$B:$Q,10,0))</f>
        <v>4</v>
      </c>
      <c r="T7" s="54">
        <f>IF(B7="","",VLOOKUP(AD7,Varsayımlar!$B:$Q,11,0))</f>
        <v>30</v>
      </c>
      <c r="U7" s="54">
        <f>IF(B7="","",VLOOKUP(AD7,Varsayımlar!$B:$Q,12,0))</f>
        <v>250</v>
      </c>
      <c r="V7" s="54" t="str">
        <f>IF(B7="","",VLOOKUP(AD7,Varsayımlar!$B:$Q,13,0))</f>
        <v>Yurtdışı</v>
      </c>
      <c r="W7" s="54">
        <f>IF(B7="","",VLOOKUP(AD7,Varsayımlar!$B:$Q,14,0))</f>
        <v>9</v>
      </c>
      <c r="X7" s="56">
        <v>46205</v>
      </c>
      <c r="Y7" s="56">
        <v>46479</v>
      </c>
      <c r="Z7" s="54" t="s">
        <v>386</v>
      </c>
      <c r="AA7" s="54" t="str">
        <f>IF(B7="","",VLOOKUP(AD7,Varsayımlar!$B:$Q,15,0))</f>
        <v>25cm Kolisi-Etiketli</v>
      </c>
      <c r="AB7" s="54" t="str">
        <f>IF(B7="","",VLOOKUP(AD7,Varsayımlar!$B:$Q,16,0))</f>
        <v>24-26 cm (Macca Hetto Inkjet Uzun Tarih)</v>
      </c>
      <c r="AC7" s="54" t="str">
        <f>IF(B7="","",VLOOKUP(Sayfa1!AD39,Varsayımlar!B:S,18,0))</f>
        <v>80x120cm</v>
      </c>
      <c r="AD7" s="57" t="str">
        <f t="shared" si="0"/>
        <v>LAIKYUZHN-BELARUSMagnit Tortillas 25cm Peynirli 4pcs 240g</v>
      </c>
    </row>
    <row r="8" spans="1:30" ht="45.75" customHeight="1" x14ac:dyDescent="0.25">
      <c r="A8" s="8" t="s">
        <v>80</v>
      </c>
      <c r="B8" s="130" t="s">
        <v>119</v>
      </c>
      <c r="C8" s="131">
        <f>IF(B8="","",VLOOKUP(AD8,Varsayımlar!$B:$Q,3,0))</f>
        <v>8698829380698</v>
      </c>
      <c r="D8" s="131"/>
      <c r="E8" s="132" t="s">
        <v>120</v>
      </c>
      <c r="F8" s="130"/>
      <c r="G8" s="130"/>
      <c r="H8" s="130" t="str">
        <f>IF(B8="","",VLOOKUP(AD8,Varsayımlar!$B:$Q,5,0))</f>
        <v>Nimet 25 cm</v>
      </c>
      <c r="I8" s="130"/>
      <c r="J8" s="130" t="str">
        <f>IF(B8="","",VLOOKUP(AD8,Varsayımlar!$B:$Q,6,0))</f>
        <v>SADE</v>
      </c>
      <c r="K8" s="130">
        <v>5000</v>
      </c>
      <c r="L8" s="130"/>
      <c r="M8" s="130">
        <f>IFERROR(IF(B8="","",K8/VLOOKUP(AD8,Varsayımlar!B:R,17,0)),"")</f>
        <v>100</v>
      </c>
      <c r="N8" s="130"/>
      <c r="O8" s="130">
        <v>100</v>
      </c>
      <c r="P8" s="130">
        <f>IF(B8="","",VLOOKUP(AD8,Varsayımlar!$B:$Q,7,0)*K8)</f>
        <v>60000</v>
      </c>
      <c r="Q8" s="130">
        <f>IF(B8="","",VLOOKUP(AD8,Varsayımlar!$B:$Q,8,0))</f>
        <v>25</v>
      </c>
      <c r="R8" s="130" t="str">
        <f>IF(B8="","",VLOOKUP(AD8,Varsayımlar!$B:$Q,9,0))</f>
        <v>Standart</v>
      </c>
      <c r="S8" s="130">
        <f>IF(B8="","",VLOOKUP(AD8,Varsayımlar!$B:$Q,10,0))</f>
        <v>12</v>
      </c>
      <c r="T8" s="130">
        <f>IF(B8="","",VLOOKUP(AD8,Varsayımlar!$B:$Q,11,0))</f>
        <v>12</v>
      </c>
      <c r="U8" s="130">
        <f>IF(B8="","",VLOOKUP(AD8,Varsayımlar!$B:$Q,12,0))</f>
        <v>840</v>
      </c>
      <c r="V8" s="130" t="str">
        <f>IF(B8="","",VLOOKUP(AD8,Varsayımlar!$B:$Q,13,0))</f>
        <v>YURTİÇİ</v>
      </c>
      <c r="W8" s="130">
        <f>IF(B8="","",VLOOKUP(AD8,Varsayımlar!$B:$Q,14,0))</f>
        <v>5</v>
      </c>
      <c r="X8" s="133" t="s">
        <v>113</v>
      </c>
      <c r="Y8" s="133" t="s">
        <v>113</v>
      </c>
      <c r="Z8" s="130" t="s">
        <v>113</v>
      </c>
      <c r="AA8" s="130" t="str">
        <f>IF(B8="","",VLOOKUP(AD8,Varsayımlar!$B:$Q,15,0))</f>
        <v>Nimet Kolisi</v>
      </c>
      <c r="AB8" s="130" t="str">
        <f>IF(B8="","",VLOOKUP(AD8,Varsayımlar!$B:$Q,16,0))</f>
        <v>24-26 CM</v>
      </c>
      <c r="AC8" s="64" t="s">
        <v>360</v>
      </c>
      <c r="AD8" s="57" t="str">
        <f t="shared" si="0"/>
        <v>A101Nimet 25cm 12 pcs 840g</v>
      </c>
    </row>
    <row r="9" spans="1:30" ht="47.25" x14ac:dyDescent="0.25">
      <c r="A9" s="8" t="s">
        <v>81</v>
      </c>
      <c r="B9" s="75" t="s">
        <v>218</v>
      </c>
      <c r="C9" s="43">
        <f>IF(B9="","",VLOOKUP(AD9,Varsayımlar!$B:$Q,3,0))</f>
        <v>8698829380698</v>
      </c>
      <c r="D9" s="43" t="s">
        <v>161</v>
      </c>
      <c r="E9" s="75" t="s">
        <v>252</v>
      </c>
      <c r="F9" s="75" t="s">
        <v>561</v>
      </c>
      <c r="G9" s="43"/>
      <c r="H9" s="75" t="str">
        <f>IF(B9="","",VLOOKUP(AD9,Varsayımlar!$B:$Q,5,0))</f>
        <v xml:space="preserve">Tortillas 20cm Sade </v>
      </c>
      <c r="I9" s="75" t="str">
        <f>IF(B9="","",VLOOKUP(AD9,Varsayımlar!B:T,19,0))</f>
        <v>Barkod üzerine Barkod Etiketi (104)</v>
      </c>
      <c r="J9" s="75" t="str">
        <f>IF(B9="","",VLOOKUP(AD9,Varsayımlar!$B:$Q,6,0))</f>
        <v>SADE</v>
      </c>
      <c r="K9" s="75">
        <v>120</v>
      </c>
      <c r="L9" s="75"/>
      <c r="M9" s="75">
        <f>IFERROR(IF(B9="","",K9/VLOOKUP(AD9,Varsayımlar!B:R,17,0)),"")</f>
        <v>1</v>
      </c>
      <c r="N9" s="75"/>
      <c r="O9" s="75">
        <v>2</v>
      </c>
      <c r="P9" s="75">
        <f>IF(B9="","",VLOOKUP(AD9,Varsayımlar!$B:$Q,7,0)*K9)</f>
        <v>2160</v>
      </c>
      <c r="Q9" s="75">
        <f>IF(B9="","",VLOOKUP(AD9,Varsayımlar!$B:$Q,8,0))</f>
        <v>20</v>
      </c>
      <c r="R9" s="75" t="str">
        <f>IF(B9="","",VLOOKUP(AD9,Varsayımlar!$B:$Q,9,0))</f>
        <v>Irak Soft</v>
      </c>
      <c r="S9" s="75">
        <f>IF(B9="","",VLOOKUP(AD9,Varsayımlar!$B:$Q,10,0))</f>
        <v>6</v>
      </c>
      <c r="T9" s="75">
        <f>IF(B9="","",VLOOKUP(AD9,Varsayımlar!$B:$Q,11,0))</f>
        <v>18</v>
      </c>
      <c r="U9" s="75">
        <f>IF(B9="","",VLOOKUP(AD9,Varsayımlar!$B:$Q,12,0))</f>
        <v>270</v>
      </c>
      <c r="V9" s="75" t="str">
        <f>IF(B9="","",VLOOKUP(AD9,Varsayımlar!$B:$Q,13,0))</f>
        <v>Yurtdışı</v>
      </c>
      <c r="W9" s="75">
        <f>IF(B9="","",VLOOKUP(AD9,Varsayımlar!$B:$Q,14,0))</f>
        <v>9</v>
      </c>
      <c r="X9" s="76">
        <v>46213</v>
      </c>
      <c r="Y9" s="76">
        <v>46487</v>
      </c>
      <c r="Z9" s="75">
        <v>26071020</v>
      </c>
      <c r="AA9" s="75" t="str">
        <f>IF(B9="","",VLOOKUP(AD9,Varsayımlar!$B:$Q,15,0))</f>
        <v>20cm Lacivert-Bulgarca Etiket</v>
      </c>
      <c r="AB9" s="75" t="str">
        <f>IF(B9="","",VLOOKUP(AD9,Varsayımlar!$B:$Q,16,0))</f>
        <v>19-21 cm</v>
      </c>
      <c r="AC9" s="75" t="str">
        <f>IF(B9="","",VLOOKUP(Sayfa1!AD21,Varsayımlar!B:S,18,0))</f>
        <v>100x120cm-Epal+Epal</v>
      </c>
      <c r="AD9" s="57" t="str">
        <f t="shared" si="0"/>
        <v>TASTE LAND-BULGARİSTANTortillas 20cm Sade 6pcs 270g</v>
      </c>
    </row>
    <row r="10" spans="1:30" ht="31.5" x14ac:dyDescent="0.25">
      <c r="A10" s="8" t="s">
        <v>82</v>
      </c>
      <c r="B10" s="75" t="s">
        <v>218</v>
      </c>
      <c r="C10" s="43">
        <f>IF(B10="","",VLOOKUP(AD10,Varsayımlar!$B:$Q,3,0))</f>
        <v>8698829380698</v>
      </c>
      <c r="D10" s="43" t="s">
        <v>161</v>
      </c>
      <c r="E10" s="75" t="s">
        <v>229</v>
      </c>
      <c r="F10" s="75" t="s">
        <v>561</v>
      </c>
      <c r="G10" s="43"/>
      <c r="H10" s="75" t="str">
        <f>IF(B10="","",VLOOKUP(AD10,Varsayımlar!$B:$Q,5,0))</f>
        <v>Tortillas Avrupa 25cm Tam Buğday (711)</v>
      </c>
      <c r="I10" s="75">
        <f>IF(B10="","",VLOOKUP(AD10,Varsayımlar!B:T,19,0))</f>
        <v>0</v>
      </c>
      <c r="J10" s="75" t="str">
        <f>IF(B10="","",VLOOKUP(AD10,Varsayımlar!$B:$Q,6,0))</f>
        <v>Tam Buğdaylı</v>
      </c>
      <c r="K10" s="75">
        <v>600</v>
      </c>
      <c r="L10" s="75"/>
      <c r="M10" s="75">
        <f>IFERROR(IF(B10="","",K10/VLOOKUP(AD10,Varsayımlar!B:R,17,0)),"")</f>
        <v>5</v>
      </c>
      <c r="N10" s="75"/>
      <c r="O10" s="75">
        <v>7</v>
      </c>
      <c r="P10" s="75">
        <f>IF(B10="","",VLOOKUP(AD10,Varsayımlar!$B:$Q,7,0)*K10)</f>
        <v>4800</v>
      </c>
      <c r="Q10" s="75">
        <f>IF(B10="","",VLOOKUP(AD10,Varsayımlar!$B:$Q,8,0))</f>
        <v>25</v>
      </c>
      <c r="R10" s="75" t="str">
        <f>IF(B10="","",VLOOKUP(AD10,Varsayımlar!$B:$Q,9,0))</f>
        <v>Irak Soft</v>
      </c>
      <c r="S10" s="75">
        <f>IF(B10="","",VLOOKUP(AD10,Varsayımlar!$B:$Q,10,0))</f>
        <v>10</v>
      </c>
      <c r="T10" s="75">
        <f>IF(B10="","",VLOOKUP(AD10,Varsayımlar!$B:$Q,11,0))</f>
        <v>8</v>
      </c>
      <c r="U10" s="75">
        <f>IF(B10="","",VLOOKUP(AD10,Varsayımlar!$B:$Q,12,0))</f>
        <v>650</v>
      </c>
      <c r="V10" s="75" t="str">
        <f>IF(B10="","",VLOOKUP(AD10,Varsayımlar!$B:$Q,13,0))</f>
        <v>Yurtdışı</v>
      </c>
      <c r="W10" s="75">
        <f>IF(B10="","",VLOOKUP(AD10,Varsayımlar!$B:$Q,14,0))</f>
        <v>9</v>
      </c>
      <c r="X10" s="76">
        <v>46213</v>
      </c>
      <c r="Y10" s="76">
        <v>46487</v>
      </c>
      <c r="Z10" s="75" t="s">
        <v>562</v>
      </c>
      <c r="AA10" s="75" t="str">
        <f>IF(B10="","",VLOOKUP(AD10,Varsayımlar!$B:$Q,15,0))</f>
        <v>25cm Perforeli-Bulgarca TB etiket</v>
      </c>
      <c r="AB10" s="75" t="str">
        <f>IF(B10="","",VLOOKUP(AD10,Varsayımlar!$B:$Q,16,0))</f>
        <v>24-26 cm</v>
      </c>
      <c r="AC10" s="75" t="str">
        <f>IF(B10="","",VLOOKUP(Sayfa1!AD63,Varsayımlar!B:S,18,0))</f>
        <v>80x120cm -Epal+Epal</v>
      </c>
      <c r="AD10" s="57" t="str">
        <f t="shared" si="0"/>
        <v>TASTE LAND-BULGARİSTANTortillas 25cm Tam Buğday 10pcs 650g</v>
      </c>
    </row>
    <row r="11" spans="1:30" ht="31.5" x14ac:dyDescent="0.25">
      <c r="A11" s="8" t="s">
        <v>83</v>
      </c>
      <c r="B11" s="75" t="s">
        <v>218</v>
      </c>
      <c r="C11" s="43">
        <f>IF(B11="","",VLOOKUP(AD11,Varsayımlar!$B:$Q,3,0))</f>
        <v>8698829380698</v>
      </c>
      <c r="D11" s="43" t="s">
        <v>161</v>
      </c>
      <c r="E11" s="43" t="s">
        <v>560</v>
      </c>
      <c r="F11" s="75" t="s">
        <v>561</v>
      </c>
      <c r="G11" s="43" t="s">
        <v>564</v>
      </c>
      <c r="H11" s="75" t="str">
        <f>IF(B11="","",VLOOKUP(AD11,Varsayımlar!$B:$Q,5,0))</f>
        <v>Baskısız 30cm</v>
      </c>
      <c r="I11" s="75" t="str">
        <f>IF(B11="","",VLOOKUP(AD11,Varsayımlar!B:T,19,0))</f>
        <v>Etiketli</v>
      </c>
      <c r="J11" s="75" t="str">
        <f>IF(B11="","",VLOOKUP(AD11,Varsayımlar!$B:$Q,6,0))</f>
        <v>Tam Buğdaylı</v>
      </c>
      <c r="K11" s="75">
        <v>252</v>
      </c>
      <c r="L11" s="75"/>
      <c r="M11" s="75">
        <f>IFERROR(IF(B11="","",K11/VLOOKUP(AD11,Varsayımlar!B:R,17,0)),"")</f>
        <v>3</v>
      </c>
      <c r="N11" s="75"/>
      <c r="O11" s="75">
        <v>4</v>
      </c>
      <c r="P11" s="75">
        <f>IF(B11="","",VLOOKUP(AD11,Varsayımlar!$B:$Q,7,0)*K11)</f>
        <v>1512</v>
      </c>
      <c r="Q11" s="75">
        <f>IF(B11="","",VLOOKUP(AD11,Varsayımlar!$B:$Q,8,0))</f>
        <v>25</v>
      </c>
      <c r="R11" s="75" t="str">
        <f>IF(B11="","",VLOOKUP(AD11,Varsayımlar!$B:$Q,9,0))</f>
        <v>Irak soft</v>
      </c>
      <c r="S11" s="75">
        <f>IF(B11="","",VLOOKUP(AD11,Varsayımlar!$B:$Q,10,0))</f>
        <v>18</v>
      </c>
      <c r="T11" s="75">
        <f>IF(B11="","",VLOOKUP(AD11,Varsayımlar!$B:$Q,11,0))</f>
        <v>6</v>
      </c>
      <c r="U11" s="75">
        <f>IF(B11="","",VLOOKUP(AD11,Varsayımlar!$B:$Q,12,0))</f>
        <v>1170</v>
      </c>
      <c r="V11" s="75" t="str">
        <f>IF(B11="","",VLOOKUP(AD11,Varsayımlar!$B:$Q,13,0))</f>
        <v>YURTDIŞI</v>
      </c>
      <c r="W11" s="75">
        <f>IF(B11="","",VLOOKUP(AD11,Varsayımlar!$B:$Q,14,0))</f>
        <v>9</v>
      </c>
      <c r="X11" s="76">
        <v>46213</v>
      </c>
      <c r="Y11" s="76">
        <v>46487</v>
      </c>
      <c r="Z11" s="75" t="s">
        <v>562</v>
      </c>
      <c r="AA11" s="75" t="str">
        <f>IF(B11="","",VLOOKUP(AD11,Varsayımlar!$B:$Q,15,0))</f>
        <v>25cm Kolisi-Etiketli</v>
      </c>
      <c r="AB11" s="75" t="str">
        <f>IF(B11="","",VLOOKUP(AD11,Varsayımlar!$B:$Q,16,0))</f>
        <v>24-26cm</v>
      </c>
      <c r="AC11" s="75" t="str">
        <f>IF(B11="","",VLOOKUP(Sayfa1!AD64,Varsayımlar!B:S,18,0))</f>
        <v>80x120cm -Epal+Epal</v>
      </c>
      <c r="AD11" s="57" t="str">
        <f t="shared" si="0"/>
        <v>TASTE LAND-BULGARİSTANBaskısız 30cm 18pcs 1170g</v>
      </c>
    </row>
    <row r="12" spans="1:30" ht="47.25" x14ac:dyDescent="0.25">
      <c r="A12" s="8" t="s">
        <v>84</v>
      </c>
      <c r="B12" s="75" t="s">
        <v>218</v>
      </c>
      <c r="C12" s="43">
        <f>IF(B12="","",VLOOKUP(AD12,Varsayımlar!$B:$Q,3,0))</f>
        <v>8698829380698</v>
      </c>
      <c r="D12" s="43" t="s">
        <v>161</v>
      </c>
      <c r="E12" s="75" t="s">
        <v>232</v>
      </c>
      <c r="F12" s="75" t="s">
        <v>561</v>
      </c>
      <c r="G12" s="43"/>
      <c r="H12" s="75" t="str">
        <f>IF(B12="","",VLOOKUP(AD12,Varsayımlar!$B:$Q,5,0))</f>
        <v>Tortillas Avrupa 25cm Domatesli (074)</v>
      </c>
      <c r="I12" s="75">
        <f>IF(B12="","",VLOOKUP(AD12,Varsayımlar!B:T,19,0))</f>
        <v>0</v>
      </c>
      <c r="J12" s="75" t="str">
        <f>IF(B12="","",VLOOKUP(AD12,Varsayımlar!$B:$Q,6,0))</f>
        <v>Domatesli</v>
      </c>
      <c r="K12" s="75">
        <v>600</v>
      </c>
      <c r="L12" s="75"/>
      <c r="M12" s="75">
        <f>IFERROR(IF(B12="","",K12/VLOOKUP(AD12,Varsayımlar!B:R,17,0)),"")</f>
        <v>5</v>
      </c>
      <c r="N12" s="75"/>
      <c r="O12" s="75">
        <v>6</v>
      </c>
      <c r="P12" s="75">
        <f>IF(B12="","",VLOOKUP(AD12,Varsayımlar!$B:$Q,7,0)*K12)</f>
        <v>7200</v>
      </c>
      <c r="Q12" s="75">
        <f>IF(B12="","",VLOOKUP(AD12,Varsayımlar!$B:$Q,8,0))</f>
        <v>25</v>
      </c>
      <c r="R12" s="75" t="str">
        <f>IF(B12="","",VLOOKUP(AD12,Varsayımlar!$B:$Q,9,0))</f>
        <v>Irak Soft</v>
      </c>
      <c r="S12" s="75">
        <f>IF(B12="","",VLOOKUP(AD12,Varsayımlar!$B:$Q,10,0))</f>
        <v>6</v>
      </c>
      <c r="T12" s="75">
        <f>IF(B12="","",VLOOKUP(AD12,Varsayımlar!$B:$Q,11,0))</f>
        <v>12</v>
      </c>
      <c r="U12" s="75">
        <f>IF(B12="","",VLOOKUP(AD12,Varsayımlar!$B:$Q,12,0))</f>
        <v>390</v>
      </c>
      <c r="V12" s="75" t="str">
        <f>IF(B12="","",VLOOKUP(AD12,Varsayımlar!$B:$Q,13,0))</f>
        <v>Yurtdışı</v>
      </c>
      <c r="W12" s="75">
        <f>IF(B12="","",VLOOKUP(AD12,Varsayımlar!$B:$Q,14,0))</f>
        <v>9</v>
      </c>
      <c r="X12" s="76">
        <v>46213</v>
      </c>
      <c r="Y12" s="76">
        <v>46487</v>
      </c>
      <c r="Z12" s="75" t="s">
        <v>565</v>
      </c>
      <c r="AA12" s="75" t="str">
        <f>IF(B12="","",VLOOKUP(AD12,Varsayımlar!$B:$Q,15,0))</f>
        <v>25cm Perforeli-Bulgarca Domatesli etiket</v>
      </c>
      <c r="AB12" s="75" t="str">
        <f>IF(B12="","",VLOOKUP(AD12,Varsayımlar!$B:$Q,16,0))</f>
        <v>24-26 cm</v>
      </c>
      <c r="AC12" s="75" t="str">
        <f>IF(B12="","",VLOOKUP(Sayfa1!AD65,Varsayımlar!B:S,18,0))</f>
        <v>80x120cm -Epal+Epal</v>
      </c>
      <c r="AD12" s="57" t="str">
        <f t="shared" si="0"/>
        <v>TASTE LAND-BULGARİSTANTortillas 25cm Domatesli 6pcs 390g</v>
      </c>
    </row>
    <row r="13" spans="1:30" ht="47.25" x14ac:dyDescent="0.25">
      <c r="A13" s="8" t="s">
        <v>85</v>
      </c>
      <c r="B13" s="75" t="s">
        <v>218</v>
      </c>
      <c r="C13" s="43">
        <f>IF(B13="","",VLOOKUP(AD13,Varsayımlar!$B:$Q,3,0))</f>
        <v>8698829380698</v>
      </c>
      <c r="D13" s="43" t="s">
        <v>161</v>
      </c>
      <c r="E13" s="75" t="s">
        <v>235</v>
      </c>
      <c r="F13" s="75" t="s">
        <v>561</v>
      </c>
      <c r="G13" s="43"/>
      <c r="H13" s="75" t="str">
        <f>IF(B13="","",VLOOKUP(AD13,Varsayımlar!$B:$Q,5,0))</f>
        <v>Tortillas Avrupa 25cm Ispanaklı (081)</v>
      </c>
      <c r="I13" s="75">
        <f>IF(B13="","",VLOOKUP(AD13,Varsayımlar!B:T,19,0))</f>
        <v>0</v>
      </c>
      <c r="J13" s="75" t="str">
        <f>IF(B13="","",VLOOKUP(AD13,Varsayımlar!$B:$Q,6,0))</f>
        <v>Ispanaklı</v>
      </c>
      <c r="K13" s="75">
        <v>600</v>
      </c>
      <c r="L13" s="75"/>
      <c r="M13" s="75">
        <f>IFERROR(IF(B13="","",K13/VLOOKUP(AD13,Varsayımlar!B:R,17,0)),"")</f>
        <v>5</v>
      </c>
      <c r="N13" s="75"/>
      <c r="O13" s="75">
        <v>6</v>
      </c>
      <c r="P13" s="75">
        <f>IF(B13="","",VLOOKUP(AD13,Varsayımlar!$B:$Q,7,0)*K13)</f>
        <v>7200</v>
      </c>
      <c r="Q13" s="75">
        <f>IF(B13="","",VLOOKUP(AD13,Varsayımlar!$B:$Q,8,0))</f>
        <v>25</v>
      </c>
      <c r="R13" s="75" t="str">
        <f>IF(B13="","",VLOOKUP(AD13,Varsayımlar!$B:$Q,9,0))</f>
        <v>Irak Soft</v>
      </c>
      <c r="S13" s="75">
        <f>IF(B13="","",VLOOKUP(AD13,Varsayımlar!$B:$Q,10,0))</f>
        <v>6</v>
      </c>
      <c r="T13" s="75">
        <f>IF(B13="","",VLOOKUP(AD13,Varsayımlar!$B:$Q,11,0))</f>
        <v>12</v>
      </c>
      <c r="U13" s="75">
        <f>IF(B13="","",VLOOKUP(AD13,Varsayımlar!$B:$Q,12,0))</f>
        <v>390</v>
      </c>
      <c r="V13" s="75" t="str">
        <f>IF(B13="","",VLOOKUP(AD13,Varsayımlar!$B:$Q,13,0))</f>
        <v>Yurtdışı</v>
      </c>
      <c r="W13" s="75">
        <f>IF(B13="","",VLOOKUP(AD13,Varsayımlar!$B:$Q,14,0))</f>
        <v>9</v>
      </c>
      <c r="X13" s="76">
        <v>46213</v>
      </c>
      <c r="Y13" s="76">
        <v>46487</v>
      </c>
      <c r="Z13" s="75" t="s">
        <v>566</v>
      </c>
      <c r="AA13" s="75" t="str">
        <f>IF(B13="","",VLOOKUP(AD13,Varsayımlar!$B:$Q,15,0))</f>
        <v>25cm Perforeli-Bulgarca Ispanaklı etiket</v>
      </c>
      <c r="AB13" s="75" t="str">
        <f>IF(B13="","",VLOOKUP(AD13,Varsayımlar!$B:$Q,16,0))</f>
        <v>24-26 cm</v>
      </c>
      <c r="AC13" s="75" t="str">
        <f>IF(B13="","",VLOOKUP(Sayfa1!AD66,Varsayımlar!B:S,18,0))</f>
        <v>80x120cm -Epal+Epal</v>
      </c>
      <c r="AD13" s="57" t="str">
        <f t="shared" si="0"/>
        <v>TASTE LAND-BULGARİSTANTortillas 25cm Ispanaklı 6pcs 390g</v>
      </c>
    </row>
    <row r="14" spans="1:30" ht="55.5" customHeight="1" x14ac:dyDescent="0.25">
      <c r="A14" s="8" t="s">
        <v>86</v>
      </c>
      <c r="B14" s="67" t="s">
        <v>460</v>
      </c>
      <c r="C14" s="42">
        <f>IF(B14="","",VLOOKUP(AD14,Varsayımlar!$B:$Q,3,0))</f>
        <v>8698829380698</v>
      </c>
      <c r="D14" s="67" t="s">
        <v>540</v>
      </c>
      <c r="E14" s="67" t="s">
        <v>464</v>
      </c>
      <c r="F14" s="67">
        <v>20260414</v>
      </c>
      <c r="G14" s="67"/>
      <c r="H14" s="67" t="str">
        <f>IF(B14="","",VLOOKUP(AD14,Varsayımlar!$B:$Q,5,0))</f>
        <v>Tortillove 20cm</v>
      </c>
      <c r="I14" s="67">
        <f>IF(B14="","",VLOOKUP(AD14,Varsayımlar!B:T,19,0))</f>
        <v>0</v>
      </c>
      <c r="J14" s="67" t="str">
        <f>IF(B14="","",VLOOKUP(AD14,Varsayımlar!$B:$Q,6,0))</f>
        <v>SADE</v>
      </c>
      <c r="K14" s="67">
        <v>300</v>
      </c>
      <c r="L14" s="67"/>
      <c r="M14" s="67">
        <f>IFERROR(IF(B14="","",K14/VLOOKUP(AD14,Varsayımlar!B:R,17,0)),"")</f>
        <v>3</v>
      </c>
      <c r="N14" s="67"/>
      <c r="O14" s="67">
        <v>5</v>
      </c>
      <c r="P14" s="67">
        <f>IF(B14="","",VLOOKUP(AD14,Varsayımlar!$B:$Q,7,0)*K14)</f>
        <v>3600</v>
      </c>
      <c r="Q14" s="67">
        <f>IF(B14="","",VLOOKUP(AD14,Varsayımlar!$B:$Q,8,0))</f>
        <v>20</v>
      </c>
      <c r="R14" s="67" t="str">
        <f>IF(B14="","",VLOOKUP(AD14,Varsayımlar!$B:$Q,9,0))</f>
        <v>Irak Soft</v>
      </c>
      <c r="S14" s="67">
        <f>IF(B14="","",VLOOKUP(AD14,Varsayımlar!$B:$Q,10,0))</f>
        <v>10</v>
      </c>
      <c r="T14" s="67">
        <f>IF(B14="","",VLOOKUP(AD14,Varsayımlar!$B:$Q,11,0))</f>
        <v>12</v>
      </c>
      <c r="U14" s="67">
        <f>IF(B14="","",VLOOKUP(AD14,Varsayımlar!$B:$Q,12,0))</f>
        <v>450</v>
      </c>
      <c r="V14" s="67" t="str">
        <f>IF(B14="","",VLOOKUP(AD14,Varsayımlar!$B:$Q,13,0))</f>
        <v>Yurtdışı</v>
      </c>
      <c r="W14" s="67">
        <f>IF(B14="","",VLOOKUP(AD14,Varsayımlar!$B:$Q,14,0))</f>
        <v>6</v>
      </c>
      <c r="X14" s="69">
        <v>46216</v>
      </c>
      <c r="Y14" s="69">
        <v>46400</v>
      </c>
      <c r="Z14" s="67">
        <v>26071320</v>
      </c>
      <c r="AA14" s="67" t="str">
        <f>IF(B14="","",VLOOKUP(AD14,Varsayımlar!$B:$Q,15,0))</f>
        <v>20cm kolisi</v>
      </c>
      <c r="AB14" s="67" t="str">
        <f>IF(B14="","",VLOOKUP(AD14,Varsayımlar!$B:$Q,16,0))</f>
        <v>19-21 cm</v>
      </c>
      <c r="AC14" s="75">
        <f>IF(B14="","",VLOOKUP(Sayfa1!AD69,Varsayımlar!B:S,18,0))</f>
        <v>0</v>
      </c>
      <c r="AD14" s="57" t="str">
        <f t="shared" si="0"/>
        <v>Yüksekbaş GıdaYüksekbaş 20cm 10pcs 450g</v>
      </c>
    </row>
    <row r="15" spans="1:30" ht="61.5" customHeight="1" x14ac:dyDescent="0.25">
      <c r="A15" s="8" t="s">
        <v>87</v>
      </c>
      <c r="B15" s="67" t="s">
        <v>460</v>
      </c>
      <c r="C15" s="42">
        <f>IF(B15="","",VLOOKUP(AD15,Varsayımlar!$B:$Q,3,0))</f>
        <v>8698829380698</v>
      </c>
      <c r="D15" s="67" t="s">
        <v>540</v>
      </c>
      <c r="E15" s="67" t="s">
        <v>470</v>
      </c>
      <c r="F15" s="67">
        <v>20260414</v>
      </c>
      <c r="G15" s="67"/>
      <c r="H15" s="67" t="str">
        <f>IF(B15="","",VLOOKUP(AD15,Varsayımlar!$B:$Q,5,0))</f>
        <v>Tortillove 30cm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792</v>
      </c>
      <c r="L15" s="67" t="s">
        <v>559</v>
      </c>
      <c r="M15" s="67">
        <f>IFERROR(IF(B15="","",K15/VLOOKUP(AD15,Varsayımlar!B:R,17,0)),"")</f>
        <v>12</v>
      </c>
      <c r="N15" s="67"/>
      <c r="O15" s="67">
        <v>14</v>
      </c>
      <c r="P15" s="67">
        <f>IF(B15="","",VLOOKUP(AD15,Varsayımlar!$B:$Q,7,0)*K15)</f>
        <v>9504</v>
      </c>
      <c r="Q15" s="67">
        <f>IF(B15="","",VLOOKUP(AD15,Varsayımlar!$B:$Q,8,0))</f>
        <v>30</v>
      </c>
      <c r="R15" s="67" t="str">
        <f>IF(B15="","",VLOOKUP(AD15,Varsayımlar!$B:$Q,9,0))</f>
        <v>Irak Soft</v>
      </c>
      <c r="S15" s="67">
        <f>IF(B15="","",VLOOKUP(AD15,Varsayımlar!$B:$Q,10,0))</f>
        <v>10</v>
      </c>
      <c r="T15" s="67">
        <f>IF(B15="","",VLOOKUP(AD15,Varsayımlar!$B:$Q,11,0))</f>
        <v>12</v>
      </c>
      <c r="U15" s="67">
        <f>IF(B15="","",VLOOKUP(AD15,Varsayımlar!$B:$Q,12,0))</f>
        <v>950</v>
      </c>
      <c r="V15" s="67" t="str">
        <f>IF(B15="","",VLOOKUP(AD15,Varsayımlar!$B:$Q,13,0))</f>
        <v>Yurtdışı</v>
      </c>
      <c r="W15" s="67">
        <f>IF(B15="","",VLOOKUP(AD15,Varsayımlar!$B:$Q,14,0))</f>
        <v>6</v>
      </c>
      <c r="X15" s="69">
        <v>46216</v>
      </c>
      <c r="Y15" s="69">
        <v>46400</v>
      </c>
      <c r="Z15" s="67">
        <v>26071330</v>
      </c>
      <c r="AA15" s="67" t="str">
        <f>IF(B15="","",VLOOKUP(AD15,Varsayımlar!$B:$Q,15,0))</f>
        <v>30cm Kolisi</v>
      </c>
      <c r="AB15" s="67" t="str">
        <f>IF(B15="","",VLOOKUP(AD15,Varsayımlar!$B:$Q,16,0))</f>
        <v>29-31 cm</v>
      </c>
      <c r="AC15" s="75">
        <f>IF(B15="","",VLOOKUP(Sayfa1!AD69,Varsayımlar!B:S,18,0))</f>
        <v>0</v>
      </c>
      <c r="AD15" s="57" t="str">
        <f t="shared" si="0"/>
        <v>Yüksekbaş GıdaYüksekbaş 30cm 10pcs 950g</v>
      </c>
    </row>
    <row r="16" spans="1:30" ht="51" customHeight="1" x14ac:dyDescent="0.25">
      <c r="A16" s="8" t="s">
        <v>91</v>
      </c>
      <c r="B16" s="164" t="s">
        <v>256</v>
      </c>
      <c r="C16" s="165">
        <f>IF(B16="","",VLOOKUP(AD16,Varsayımlar!$B:$Q,3,0))</f>
        <v>8698829380698</v>
      </c>
      <c r="D16" s="164"/>
      <c r="E16" s="164" t="s">
        <v>551</v>
      </c>
      <c r="F16" s="164">
        <v>20260629</v>
      </c>
      <c r="G16" s="164"/>
      <c r="H16" s="164" t="str">
        <f>IF(B16="","",VLOOKUP(AD16,Varsayımlar!$B:$Q,5,0))</f>
        <v>Tortillove 33 cm</v>
      </c>
      <c r="I16" s="164">
        <f>IF(B16="","",VLOOKUP(AD16,Varsayımlar!B:T,19,0))</f>
        <v>0</v>
      </c>
      <c r="J16" s="164" t="str">
        <f>IF(B16="","",VLOOKUP(AD16,Varsayımlar!$B:$Q,6,0))</f>
        <v>Sade</v>
      </c>
      <c r="K16" s="164">
        <v>60</v>
      </c>
      <c r="L16" s="164"/>
      <c r="M16" s="164" t="str">
        <f>IFERROR(IF(B16="","",K16/VLOOKUP(AD16,Varsayımlar!B:R,17,0)),"")</f>
        <v/>
      </c>
      <c r="N16" s="164"/>
      <c r="O16" s="164">
        <v>2</v>
      </c>
      <c r="P16" s="164">
        <f>IF(B16="","",VLOOKUP(AD16,Varsayımlar!$B:$Q,7,0)*K16)</f>
        <v>720</v>
      </c>
      <c r="Q16" s="164">
        <f>IF(B16="","",VLOOKUP(AD16,Varsayımlar!$B:$Q,8,0))</f>
        <v>33</v>
      </c>
      <c r="R16" s="164" t="str">
        <f>IF(B16="","",VLOOKUP(AD16,Varsayımlar!$B:$Q,9,0))</f>
        <v>Irak soft</v>
      </c>
      <c r="S16" s="164">
        <f>IF(B16="","",VLOOKUP(AD16,Varsayımlar!$B:$Q,10,0))</f>
        <v>10</v>
      </c>
      <c r="T16" s="164">
        <f>IF(B16="","",VLOOKUP(AD16,Varsayımlar!$B:$Q,11,0))</f>
        <v>12</v>
      </c>
      <c r="U16" s="164">
        <f>IF(B16="","",VLOOKUP(AD16,Varsayımlar!$B:$Q,12,0))</f>
        <v>1000</v>
      </c>
      <c r="V16" s="164" t="str">
        <f>IF(B16="","",VLOOKUP(AD16,Varsayımlar!$B:$Q,13,0))</f>
        <v>Yurtiçi</v>
      </c>
      <c r="W16" s="164">
        <f>IF(B16="","",VLOOKUP(AD16,Varsayımlar!$B:$Q,14,0))</f>
        <v>6</v>
      </c>
      <c r="X16" s="166" t="s">
        <v>113</v>
      </c>
      <c r="Y16" s="166" t="s">
        <v>113</v>
      </c>
      <c r="Z16" s="164" t="s">
        <v>113</v>
      </c>
      <c r="AA16" s="164" t="str">
        <f>IF(B16="","",VLOOKUP(AD16,Varsayımlar!$B:$Q,15,0))</f>
        <v>33cm Kolisi</v>
      </c>
      <c r="AB16" s="164" t="str">
        <f>IF(B16="","",VLOOKUP(AD16,Varsayımlar!$B:$Q,16,0))</f>
        <v>32-34cm</v>
      </c>
      <c r="AC16" s="75">
        <f>IF(B16="","",VLOOKUP(Sayfa1!AD76,Varsayımlar!B:S,18,0))</f>
        <v>0</v>
      </c>
      <c r="AD16" s="57" t="str">
        <f t="shared" si="0"/>
        <v>Ankara KahveTortillove 33cm 10pcs 1000g</v>
      </c>
    </row>
    <row r="17" spans="1:30" ht="51" customHeight="1" x14ac:dyDescent="0.25">
      <c r="A17" s="8" t="s">
        <v>92</v>
      </c>
      <c r="B17" s="160" t="s">
        <v>553</v>
      </c>
      <c r="C17" s="161">
        <f>IF(B17="","",VLOOKUP(AD17,Varsayımlar!$B:$Q,3,0))</f>
        <v>8698829380698</v>
      </c>
      <c r="D17" s="160"/>
      <c r="E17" s="160" t="s">
        <v>556</v>
      </c>
      <c r="F17" s="160">
        <v>20260629</v>
      </c>
      <c r="G17" s="160" t="s">
        <v>578</v>
      </c>
      <c r="H17" s="160" t="str">
        <f>IF(B17="","",VLOOKUP(AD17,Varsayımlar!$B:$Q,5,0))</f>
        <v>Tortillove 30cm</v>
      </c>
      <c r="I17" s="160">
        <f>IF(B17="","",VLOOKUP(AD17,Varsayımlar!B:T,19,0))</f>
        <v>0</v>
      </c>
      <c r="J17" s="160" t="str">
        <f>IF(B17="","",VLOOKUP(AD17,Varsayımlar!$B:$Q,6,0))</f>
        <v>Sade</v>
      </c>
      <c r="K17" s="160">
        <v>350</v>
      </c>
      <c r="L17" s="160"/>
      <c r="M17" s="160">
        <f>IFERROR(IF(B17="","",K17/VLOOKUP(AD17,Varsayımlar!B:R,17,0)),"")</f>
        <v>7</v>
      </c>
      <c r="N17" s="160"/>
      <c r="O17" s="160">
        <v>7</v>
      </c>
      <c r="P17" s="160">
        <f>IF(B17="","",VLOOKUP(AD17,Varsayımlar!$B:$Q,7,0)*K17)</f>
        <v>4200</v>
      </c>
      <c r="Q17" s="160">
        <f>IF(B17="","",VLOOKUP(AD17,Varsayımlar!$B:$Q,8,0))</f>
        <v>30</v>
      </c>
      <c r="R17" s="160" t="str">
        <f>IF(B17="","",VLOOKUP(AD17,Varsayımlar!$B:$Q,9,0))</f>
        <v>Irak soft</v>
      </c>
      <c r="S17" s="160">
        <f>IF(B17="","",VLOOKUP(AD17,Varsayımlar!$B:$Q,10,0))</f>
        <v>10</v>
      </c>
      <c r="T17" s="160">
        <f>IF(B17="","",VLOOKUP(AD17,Varsayımlar!$B:$Q,11,0))</f>
        <v>12</v>
      </c>
      <c r="U17" s="160">
        <f>IF(B17="","",VLOOKUP(AD17,Varsayımlar!$B:$Q,12,0))</f>
        <v>950</v>
      </c>
      <c r="V17" s="160" t="str">
        <f>IF(B17="","",VLOOKUP(AD17,Varsayımlar!$B:$Q,13,0))</f>
        <v>Yurtiçi</v>
      </c>
      <c r="W17" s="160">
        <f>IF(B17="","",VLOOKUP(AD17,Varsayımlar!$B:$Q,14,0))</f>
        <v>6</v>
      </c>
      <c r="X17" s="160" t="s">
        <v>113</v>
      </c>
      <c r="Y17" s="160" t="s">
        <v>113</v>
      </c>
      <c r="Z17" s="160" t="s">
        <v>113</v>
      </c>
      <c r="AA17" s="160" t="str">
        <f>IF(B17="","",VLOOKUP(AD17,Varsayımlar!$B:$Q,15,0))</f>
        <v>30cm kolisi-Barkod etiketli</v>
      </c>
      <c r="AB17" s="160" t="str">
        <f>IF(B17="","",VLOOKUP(AD17,Varsayımlar!$B:$Q,16,0))</f>
        <v>29-31cm</v>
      </c>
      <c r="AC17" s="75">
        <f>IF(B17="","",VLOOKUP(Sayfa1!AD77,Varsayımlar!B:S,18,0))</f>
        <v>0</v>
      </c>
      <c r="AD17" s="57" t="str">
        <f t="shared" si="0"/>
        <v>GıdaserTortillove 30cm 10pcs 950g</v>
      </c>
    </row>
    <row r="18" spans="1:30" ht="47.25" x14ac:dyDescent="0.25">
      <c r="A18" s="8" t="s">
        <v>93</v>
      </c>
      <c r="B18" s="54" t="s">
        <v>346</v>
      </c>
      <c r="C18" s="139">
        <f>IF(B18="","",VLOOKUP(AD18,Varsayımlar!$B:$Q,3,0))</f>
        <v>8698829380698</v>
      </c>
      <c r="D18" s="39">
        <v>49</v>
      </c>
      <c r="E18" s="55" t="s">
        <v>162</v>
      </c>
      <c r="F18" s="54"/>
      <c r="G18" s="54"/>
      <c r="H18" s="54" t="str">
        <f>IF(B18="","",VLOOKUP(AD18,Varsayımlar!$B:$Q,5,0))</f>
        <v>Hanami 20cm Sade 4 pcs 166g (067)</v>
      </c>
      <c r="I18" s="54" t="str">
        <f>IF(B18="","",VLOOKUP(AD18,Varsayımlar!B:T,19,0))</f>
        <v>Ambalaj kaç aylık kontrol?</v>
      </c>
      <c r="J18" s="54" t="str">
        <f>IF(B18="","",VLOOKUP(AD18,Varsayımlar!$B:$Q,6,0))</f>
        <v>SADE</v>
      </c>
      <c r="K18" s="54">
        <v>700</v>
      </c>
      <c r="L18" s="54"/>
      <c r="M18" s="54">
        <f>IFERROR(IF(B18="","",K18/VLOOKUP(AD18,Varsayımlar!B:R,17,0)),"")</f>
        <v>5</v>
      </c>
      <c r="N18" s="54"/>
      <c r="O18" s="54">
        <v>12</v>
      </c>
      <c r="P18" s="54">
        <f>IF(B18="","",VLOOKUP(AD18,Varsayımlar!$B:$Q,7,0)*K18)</f>
        <v>21000</v>
      </c>
      <c r="Q18" s="54">
        <f>IF(B18="","",VLOOKUP(AD18,Varsayımlar!$B:$Q,8,0))</f>
        <v>20</v>
      </c>
      <c r="R18" s="54" t="str">
        <f>IF(B18="","",VLOOKUP(AD18,Varsayımlar!$B:$Q,9,0))</f>
        <v>Irak Soft</v>
      </c>
      <c r="S18" s="54">
        <f>IF(B18="","",VLOOKUP(AD18,Varsayımlar!$B:$Q,10,0))</f>
        <v>4</v>
      </c>
      <c r="T18" s="54">
        <f>IF(B18="","",VLOOKUP(AD18,Varsayımlar!$B:$Q,11,0))</f>
        <v>30</v>
      </c>
      <c r="U18" s="54">
        <f>IF(B18="","",VLOOKUP(AD18,Varsayımlar!$B:$Q,12,0))</f>
        <v>166</v>
      </c>
      <c r="V18" s="54" t="str">
        <f>IF(B18="","",VLOOKUP(AD18,Varsayımlar!$B:$Q,13,0))</f>
        <v>Yurtdışı</v>
      </c>
      <c r="W18" s="54">
        <f>IF(B18="","",VLOOKUP(AD18,Varsayımlar!$B:$Q,14,0))</f>
        <v>9</v>
      </c>
      <c r="X18" s="56">
        <v>46226</v>
      </c>
      <c r="Y18" s="56">
        <v>46500</v>
      </c>
      <c r="Z18" s="54">
        <v>26072320</v>
      </c>
      <c r="AA18" s="54" t="str">
        <f>IF(B18="","",VLOOKUP(AD18,Varsayımlar!$B:$Q,15,0))</f>
        <v>Hanami Mavi Koli -Üretim Tarihi+9 AYI KAPATACAK ETİKETLİ</v>
      </c>
      <c r="AB18" s="54" t="str">
        <f>IF(B18="","",VLOOKUP(AD18,Varsayımlar!$B:$Q,16,0))</f>
        <v>19-21 cm</v>
      </c>
      <c r="AC18" s="8" t="e">
        <f>IF(B18="","",VLOOKUP(#REF!,#REF!,18,0))</f>
        <v>#REF!</v>
      </c>
      <c r="AD18" s="8" t="str">
        <f t="shared" si="0"/>
        <v xml:space="preserve">GermesHanami 20cm sade 4pcs 166g </v>
      </c>
    </row>
    <row r="19" spans="1:30" ht="43.5" customHeight="1" x14ac:dyDescent="0.25">
      <c r="A19" s="8" t="s">
        <v>135</v>
      </c>
      <c r="B19" s="54" t="s">
        <v>346</v>
      </c>
      <c r="C19" s="139">
        <f>IF(B19="","",VLOOKUP(AD19,Varsayımlar!$B:$Q,3,0))</f>
        <v>8698829380698</v>
      </c>
      <c r="D19" s="39">
        <v>49</v>
      </c>
      <c r="E19" s="55" t="s">
        <v>490</v>
      </c>
      <c r="F19" s="54"/>
      <c r="G19" s="54"/>
      <c r="H19" s="54" t="str">
        <f>IF(B19="","",VLOOKUP(AD19,Varsayımlar!$B:$Q,5,0))</f>
        <v>Tortillas Domatesli 25cm (Germes Bilgileri Ekli)</v>
      </c>
      <c r="I19" s="54">
        <f>IF(B19="","",VLOOKUP(AD19,Varsayımlar!B:T,19,0))</f>
        <v>0</v>
      </c>
      <c r="J19" s="54" t="str">
        <f>IF(B19="","",VLOOKUP(AD19,Varsayımlar!$B:$Q,6,0))</f>
        <v>Domatesli</v>
      </c>
      <c r="K19" s="54">
        <v>420</v>
      </c>
      <c r="L19" s="54"/>
      <c r="M19" s="54" t="str">
        <f>IFERROR(IF(B19="","",K19/VLOOKUP(AD19,Varsayımlar!B:R,17,0)),"")</f>
        <v/>
      </c>
      <c r="N19" s="54"/>
      <c r="O19" s="54">
        <v>8</v>
      </c>
      <c r="P19" s="54">
        <f>IF(B19="","",VLOOKUP(AD19,Varsayımlar!$B:$Q,7,0)*K19)</f>
        <v>12600</v>
      </c>
      <c r="Q19" s="54">
        <f>IF(B19="","",VLOOKUP(AD19,Varsayımlar!$B:$Q,8,0))</f>
        <v>25</v>
      </c>
      <c r="R19" s="54" t="str">
        <f>IF(B19="","",VLOOKUP(AD19,Varsayımlar!$B:$Q,9,0))</f>
        <v>Irak Soft</v>
      </c>
      <c r="S19" s="54">
        <f>IF(B19="","",VLOOKUP(AD19,Varsayımlar!$B:$Q,10,0))</f>
        <v>4</v>
      </c>
      <c r="T19" s="54">
        <f>IF(B19="","",VLOOKUP(AD19,Varsayımlar!$B:$Q,11,0))</f>
        <v>30</v>
      </c>
      <c r="U19" s="54">
        <f>IF(B19="","",VLOOKUP(AD19,Varsayımlar!$B:$Q,12,0))</f>
        <v>250</v>
      </c>
      <c r="V19" s="54" t="str">
        <f>IF(B19="","",VLOOKUP(AD19,Varsayımlar!$B:$Q,13,0))</f>
        <v>Yurtdışı</v>
      </c>
      <c r="W19" s="54">
        <f>IF(B19="","",VLOOKUP(AD19,Varsayımlar!$B:$Q,14,0))</f>
        <v>9</v>
      </c>
      <c r="X19" s="56">
        <v>46226</v>
      </c>
      <c r="Y19" s="56">
        <v>46135</v>
      </c>
      <c r="Z19" s="54" t="s">
        <v>496</v>
      </c>
      <c r="AA19" s="54" t="str">
        <f>IF(B19="","",VLOOKUP(AD19,Varsayımlar!$B:$Q,15,0))</f>
        <v>25cm Kırmızı Koli-Üretim Tarihli Etiketli</v>
      </c>
      <c r="AB19" s="54">
        <f>IF(B19="","",VLOOKUP(AD19,Varsayımlar!$B:$Q,16,0))</f>
        <v>0</v>
      </c>
      <c r="AC19" s="8" t="e">
        <f>IF(B19="","",VLOOKUP(#REF!,#REF!,18,0))</f>
        <v>#REF!</v>
      </c>
      <c r="AD19" s="8" t="str">
        <f t="shared" si="0"/>
        <v xml:space="preserve">GermesTortillas Domatesli 25cm 4pcs 250g </v>
      </c>
    </row>
    <row r="20" spans="1:30" ht="43.5" customHeight="1" x14ac:dyDescent="0.25">
      <c r="A20" s="8" t="s">
        <v>136</v>
      </c>
      <c r="B20" s="54" t="s">
        <v>346</v>
      </c>
      <c r="C20" s="139">
        <f>IF(B20="","",VLOOKUP(AD20,Varsayımlar!$B:$Q,3,0))</f>
        <v>8698829380698</v>
      </c>
      <c r="D20" s="39">
        <v>49</v>
      </c>
      <c r="E20" s="55" t="s">
        <v>492</v>
      </c>
      <c r="F20" s="54"/>
      <c r="G20" s="54"/>
      <c r="H20" s="54" t="str">
        <f>IF(B20="","",VLOOKUP(AD20,Varsayımlar!$B:$Q,5,0))</f>
        <v>Tortillas Ispanaklı 25cm (Germes Bilgileri Ekli)</v>
      </c>
      <c r="I20" s="54">
        <f>IF(B20="","",VLOOKUP(AD20,Varsayımlar!B:T,19,0))</f>
        <v>0</v>
      </c>
      <c r="J20" s="54" t="str">
        <f>IF(B20="","",VLOOKUP(AD20,Varsayımlar!$B:$Q,6,0))</f>
        <v>Ispanaklı</v>
      </c>
      <c r="K20" s="54">
        <v>420</v>
      </c>
      <c r="L20" s="54"/>
      <c r="M20" s="54" t="str">
        <f>IFERROR(IF(B20="","",K20/VLOOKUP(AD20,Varsayımlar!B:R,17,0)),"")</f>
        <v/>
      </c>
      <c r="N20" s="54"/>
      <c r="O20" s="54">
        <v>8</v>
      </c>
      <c r="P20" s="54">
        <f>IF(B20="","",VLOOKUP(AD20,Varsayımlar!$B:$Q,7,0)*K20)</f>
        <v>12600</v>
      </c>
      <c r="Q20" s="54">
        <f>IF(B20="","",VLOOKUP(AD20,Varsayımlar!$B:$Q,8,0))</f>
        <v>25</v>
      </c>
      <c r="R20" s="54" t="str">
        <f>IF(B20="","",VLOOKUP(AD20,Varsayımlar!$B:$Q,9,0))</f>
        <v>Irak Soft</v>
      </c>
      <c r="S20" s="54">
        <f>IF(B20="","",VLOOKUP(AD20,Varsayımlar!$B:$Q,10,0))</f>
        <v>4</v>
      </c>
      <c r="T20" s="54">
        <f>IF(B20="","",VLOOKUP(AD20,Varsayımlar!$B:$Q,11,0))</f>
        <v>30</v>
      </c>
      <c r="U20" s="54">
        <f>IF(B20="","",VLOOKUP(AD20,Varsayımlar!$B:$Q,12,0))</f>
        <v>250</v>
      </c>
      <c r="V20" s="54" t="str">
        <f>IF(B20="","",VLOOKUP(AD20,Varsayımlar!$B:$Q,13,0))</f>
        <v>Yurtdışı</v>
      </c>
      <c r="W20" s="54">
        <f>IF(B20="","",VLOOKUP(AD20,Varsayımlar!$B:$Q,14,0))</f>
        <v>9</v>
      </c>
      <c r="X20" s="56">
        <v>46226</v>
      </c>
      <c r="Y20" s="56">
        <v>46500</v>
      </c>
      <c r="Z20" s="54" t="s">
        <v>497</v>
      </c>
      <c r="AA20" s="54" t="str">
        <f>IF(B20="","",VLOOKUP(AD20,Varsayımlar!$B:$Q,15,0))</f>
        <v>25cm Kırmızı Koli-Üretim Tarihli Etiketli</v>
      </c>
      <c r="AB20" s="54">
        <f>IF(B20="","",VLOOKUP(AD20,Varsayımlar!$B:$Q,16,0))</f>
        <v>0</v>
      </c>
      <c r="AC20" s="8" t="e">
        <f>IF(B20="","",VLOOKUP(#REF!,#REF!,18,0))</f>
        <v>#REF!</v>
      </c>
      <c r="AD20" s="8" t="str">
        <f t="shared" si="0"/>
        <v xml:space="preserve">GermesTortillas Ispanaklı 25cm 4pcs 250g </v>
      </c>
    </row>
    <row r="21" spans="1:30" ht="45.75" customHeight="1" x14ac:dyDescent="0.25">
      <c r="A21" s="8" t="s">
        <v>137</v>
      </c>
      <c r="B21" s="130" t="s">
        <v>119</v>
      </c>
      <c r="C21" s="131">
        <f>IF(B21="","",VLOOKUP(AD21,Varsayımlar!$B:$Q,3,0))</f>
        <v>8698829380698</v>
      </c>
      <c r="D21" s="131"/>
      <c r="E21" s="132" t="s">
        <v>120</v>
      </c>
      <c r="F21" s="130"/>
      <c r="G21" s="130"/>
      <c r="H21" s="130" t="str">
        <f>IF(B21="","",VLOOKUP(AD21,Varsayımlar!$B:$Q,5,0))</f>
        <v>Nimet 25 cm</v>
      </c>
      <c r="I21" s="130">
        <f>IF(B21="","",VLOOKUP(AD21,Varsayımlar!B:T,19,0))</f>
        <v>0</v>
      </c>
      <c r="J21" s="130" t="str">
        <f>IF(B21="","",VLOOKUP(AD21,Varsayımlar!$B:$Q,6,0))</f>
        <v>SADE</v>
      </c>
      <c r="K21" s="130">
        <v>5000</v>
      </c>
      <c r="L21" s="130"/>
      <c r="M21" s="130">
        <f>IFERROR(IF(B21="","",K21/VLOOKUP(AD21,Varsayımlar!B:R,17,0)),"")</f>
        <v>100</v>
      </c>
      <c r="N21" s="130"/>
      <c r="O21" s="130">
        <v>100</v>
      </c>
      <c r="P21" s="130">
        <f>IF(B21="","",VLOOKUP(AD21,Varsayımlar!$B:$Q,7,0)*K21)</f>
        <v>60000</v>
      </c>
      <c r="Q21" s="130">
        <f>IF(B21="","",VLOOKUP(AD21,Varsayımlar!$B:$Q,8,0))</f>
        <v>25</v>
      </c>
      <c r="R21" s="130" t="str">
        <f>IF(B21="","",VLOOKUP(AD21,Varsayımlar!$B:$Q,9,0))</f>
        <v>Standart</v>
      </c>
      <c r="S21" s="130">
        <f>IF(B21="","",VLOOKUP(AD21,Varsayımlar!$B:$Q,10,0))</f>
        <v>12</v>
      </c>
      <c r="T21" s="130">
        <f>IF(B21="","",VLOOKUP(AD21,Varsayımlar!$B:$Q,11,0))</f>
        <v>12</v>
      </c>
      <c r="U21" s="130">
        <f>IF(B21="","",VLOOKUP(AD21,Varsayımlar!$B:$Q,12,0))</f>
        <v>840</v>
      </c>
      <c r="V21" s="130" t="str">
        <f>IF(B21="","",VLOOKUP(AD21,Varsayımlar!$B:$Q,13,0))</f>
        <v>YURTİÇİ</v>
      </c>
      <c r="W21" s="130">
        <f>IF(B21="","",VLOOKUP(AD21,Varsayımlar!$B:$Q,14,0))</f>
        <v>5</v>
      </c>
      <c r="X21" s="133" t="s">
        <v>113</v>
      </c>
      <c r="Y21" s="133" t="s">
        <v>113</v>
      </c>
      <c r="Z21" s="130" t="s">
        <v>113</v>
      </c>
      <c r="AA21" s="130" t="str">
        <f>IF(B21="","",VLOOKUP(AD21,Varsayımlar!$B:$Q,15,0))</f>
        <v>Nimet Kolisi</v>
      </c>
      <c r="AB21" s="130" t="str">
        <f>IF(B21="","",VLOOKUP(AD21,Varsayımlar!$B:$Q,16,0))</f>
        <v>24-26 CM</v>
      </c>
      <c r="AC21" s="64" t="s">
        <v>360</v>
      </c>
      <c r="AD21" s="57" t="str">
        <f t="shared" si="0"/>
        <v>A101Nimet 25cm 12 pcs 840g</v>
      </c>
    </row>
    <row r="22" spans="1:30" ht="36" customHeight="1" x14ac:dyDescent="0.25">
      <c r="A22" s="8" t="s">
        <v>138</v>
      </c>
      <c r="B22" s="149" t="s">
        <v>500</v>
      </c>
      <c r="C22" s="149">
        <f>IF(B22="","",VLOOKUP(AD22,Varsayımlar!$B:$Q,3,0))</f>
        <v>8698829380698</v>
      </c>
      <c r="D22" s="149"/>
      <c r="E22" s="149" t="s">
        <v>501</v>
      </c>
      <c r="F22" s="149">
        <v>26062201</v>
      </c>
      <c r="G22" s="149" t="s">
        <v>578</v>
      </c>
      <c r="H22" s="149" t="str">
        <f>IF(B22="","",VLOOKUP(AD22,Varsayımlar!$B:$Q,5,0))</f>
        <v>Tortillas 33cm</v>
      </c>
      <c r="I22" s="149">
        <f>IF(B22="","",VLOOKUP(AD22,Varsayımlar!B:T,19,0))</f>
        <v>0</v>
      </c>
      <c r="J22" s="149" t="str">
        <f>IF(B22="","",VLOOKUP(AD22,Varsayımlar!$B:$Q,6,0))</f>
        <v>Sade</v>
      </c>
      <c r="K22" s="149">
        <v>100</v>
      </c>
      <c r="L22" s="149" t="s">
        <v>528</v>
      </c>
      <c r="M22" s="149">
        <f>IFERROR(IF(B22="","",K22/VLOOKUP(AD22,Varsayımlar!B:R,17,0)),"")</f>
        <v>2</v>
      </c>
      <c r="N22" s="149"/>
      <c r="O22" s="149">
        <v>2</v>
      </c>
      <c r="P22" s="149">
        <f>IF(B22="","",VLOOKUP(AD22,Varsayımlar!$B:$Q,7,0)*K22)</f>
        <v>1200</v>
      </c>
      <c r="Q22" s="149">
        <f>IF(B22="","",VLOOKUP(AD22,Varsayımlar!$B:$Q,8,0))</f>
        <v>33</v>
      </c>
      <c r="R22" s="149" t="str">
        <f>IF(B22="","",VLOOKUP(AD22,Varsayımlar!$B:$Q,9,0))</f>
        <v>Irak Soft</v>
      </c>
      <c r="S22" s="149">
        <f>IF(B22="","",VLOOKUP(AD22,Varsayımlar!$B:$Q,10,0))</f>
        <v>10</v>
      </c>
      <c r="T22" s="149">
        <f>IF(B22="","",VLOOKUP(AD22,Varsayımlar!$B:$Q,11,0))</f>
        <v>12</v>
      </c>
      <c r="U22" s="149">
        <f>IF(B22="","",VLOOKUP(AD22,Varsayımlar!$B:$Q,12,0))</f>
        <v>1000</v>
      </c>
      <c r="V22" s="149" t="str">
        <f>IF(B22="","",VLOOKUP(AD22,Varsayımlar!$B:$Q,13,0))</f>
        <v>Yurtdışı</v>
      </c>
      <c r="W22" s="149">
        <f>IF(B22="","",VLOOKUP(AD22,Varsayımlar!$B:$Q,14,0))</f>
        <v>12</v>
      </c>
      <c r="X22" s="151">
        <v>46231</v>
      </c>
      <c r="Y22" s="151">
        <v>46596</v>
      </c>
      <c r="Z22" s="149">
        <v>26072833</v>
      </c>
      <c r="AA22" s="149" t="str">
        <f>IF(B22="","",VLOOKUP(AD22,Varsayımlar!$B:$Q,15,0))</f>
        <v>33cm Kolisi</v>
      </c>
      <c r="AB22" s="149" t="str">
        <f>IF(B22="","",VLOOKUP(AD22,Varsayımlar!$B:$Q,16,0))</f>
        <v>32-34 cm</v>
      </c>
      <c r="AC22" s="67" t="e">
        <f>IF(B22="","",VLOOKUP(#REF!,#REF!,18,0))</f>
        <v>#REF!</v>
      </c>
      <c r="AD22" s="57" t="str">
        <f t="shared" si="0"/>
        <v>Fama GroupTortillas 33cm 10pcs 1000g</v>
      </c>
    </row>
    <row r="23" spans="1:30" ht="49.5" customHeight="1" x14ac:dyDescent="0.25">
      <c r="A23" s="8" t="s">
        <v>139</v>
      </c>
      <c r="B23" s="152" t="s">
        <v>518</v>
      </c>
      <c r="C23" s="153">
        <f>IF(B23="","",VLOOKUP(AD23,Varsayımlar!$B:$Q,3,0))</f>
        <v>8698829380698</v>
      </c>
      <c r="D23" s="154"/>
      <c r="E23" s="156" t="s">
        <v>501</v>
      </c>
      <c r="F23" s="152">
        <v>26062302</v>
      </c>
      <c r="G23" s="152" t="s">
        <v>578</v>
      </c>
      <c r="H23" s="152" t="str">
        <f>IF(B23="","",VLOOKUP(AD23,Varsayımlar!$B:$Q,5,0))</f>
        <v>Tortillas 33cm</v>
      </c>
      <c r="I23" s="152">
        <f>IF(B23="","",VLOOKUP(AD23,Varsayımlar!B:T,19,0))</f>
        <v>0</v>
      </c>
      <c r="J23" s="152" t="str">
        <f>IF(B23="","",VLOOKUP(AD23,Varsayımlar!$B:$Q,6,0))</f>
        <v>Sade</v>
      </c>
      <c r="K23" s="152">
        <v>25</v>
      </c>
      <c r="L23" s="152"/>
      <c r="M23" s="152">
        <f>IFERROR(IF(B23="","",K23/VLOOKUP(AD23,Varsayımlar!B:R,17,0)),"")</f>
        <v>0.5</v>
      </c>
      <c r="N23" s="152"/>
      <c r="O23" s="152">
        <v>1</v>
      </c>
      <c r="P23" s="152">
        <f>IF(B23="","",VLOOKUP(AD23,Varsayımlar!$B:$Q,7,0)*K23)</f>
        <v>300</v>
      </c>
      <c r="Q23" s="152">
        <f>IF(B23="","",VLOOKUP(AD23,Varsayımlar!$B:$Q,8,0))</f>
        <v>33</v>
      </c>
      <c r="R23" s="152" t="str">
        <f>IF(B23="","",VLOOKUP(AD23,Varsayımlar!$B:$Q,9,0))</f>
        <v>Irak Soft</v>
      </c>
      <c r="S23" s="152">
        <f>IF(B23="","",VLOOKUP(AD23,Varsayımlar!$B:$Q,10,0))</f>
        <v>10</v>
      </c>
      <c r="T23" s="152">
        <f>IF(B23="","",VLOOKUP(AD23,Varsayımlar!$B:$Q,11,0))</f>
        <v>12</v>
      </c>
      <c r="U23" s="152">
        <f>IF(B23="","",VLOOKUP(AD23,Varsayımlar!$B:$Q,12,0))</f>
        <v>1000</v>
      </c>
      <c r="V23" s="152" t="str">
        <f>IF(B23="","",VLOOKUP(AD23,Varsayımlar!$B:$Q,13,0))</f>
        <v>Yurtiçi</v>
      </c>
      <c r="W23" s="152">
        <f>IF(B23="","",VLOOKUP(AD23,Varsayımlar!$B:$Q,14,0))</f>
        <v>6</v>
      </c>
      <c r="X23" s="155">
        <v>46231</v>
      </c>
      <c r="Y23" s="155">
        <v>46415</v>
      </c>
      <c r="Z23" s="152">
        <v>26072833</v>
      </c>
      <c r="AA23" s="152" t="str">
        <f>IF(B23="","",VLOOKUP(AD23,Varsayımlar!$B:$Q,15,0))</f>
        <v>33cm Kolisi</v>
      </c>
      <c r="AB23" s="152" t="str">
        <f>IF(B23="","",VLOOKUP(AD23,Varsayımlar!$B:$Q,16,0))</f>
        <v>32-34cm</v>
      </c>
      <c r="AC23" s="8" t="e">
        <f>IF(B23="","",VLOOKUP(#REF!,#REF!,18,0))</f>
        <v>#REF!</v>
      </c>
      <c r="AD23" s="8" t="str">
        <f t="shared" si="0"/>
        <v>Yusuf KöseTortillas 33cm 10pcs 1000g</v>
      </c>
    </row>
    <row r="24" spans="1:30" ht="49.5" customHeight="1" x14ac:dyDescent="0.25">
      <c r="A24" s="8" t="s">
        <v>140</v>
      </c>
      <c r="B24" s="152" t="s">
        <v>518</v>
      </c>
      <c r="C24" s="153">
        <f>IF(B24="","",VLOOKUP(AD24,Varsayımlar!$B:$Q,3,0))</f>
        <v>8698829380698</v>
      </c>
      <c r="D24" s="154"/>
      <c r="E24" s="152" t="s">
        <v>520</v>
      </c>
      <c r="F24" s="152">
        <v>26062302</v>
      </c>
      <c r="G24" s="152" t="s">
        <v>578</v>
      </c>
      <c r="H24" s="152" t="str">
        <f>IF(B24="","",VLOOKUP(AD24,Varsayımlar!$B:$Q,5,0))</f>
        <v>Tortillas 30cm</v>
      </c>
      <c r="I24" s="152">
        <f>IF(B24="","",VLOOKUP(AD24,Varsayımlar!B:T,19,0))</f>
        <v>0</v>
      </c>
      <c r="J24" s="152" t="str">
        <f>IF(B24="","",VLOOKUP(AD24,Varsayımlar!$B:$Q,6,0))</f>
        <v>Sade</v>
      </c>
      <c r="K24" s="152">
        <v>15</v>
      </c>
      <c r="L24" s="152"/>
      <c r="M24" s="152">
        <f>IFERROR(IF(B24="","",K24/VLOOKUP(AD24,Varsayımlar!B:R,17,0)),"")</f>
        <v>0.3</v>
      </c>
      <c r="N24" s="152"/>
      <c r="O24" s="152">
        <v>0</v>
      </c>
      <c r="P24" s="152">
        <f>IF(B24="","",VLOOKUP(AD24,Varsayımlar!$B:$Q,7,0)*K24)</f>
        <v>180</v>
      </c>
      <c r="Q24" s="152">
        <f>IF(B24="","",VLOOKUP(AD24,Varsayımlar!$B:$Q,8,0))</f>
        <v>30</v>
      </c>
      <c r="R24" s="152" t="str">
        <f>IF(B24="","",VLOOKUP(AD24,Varsayımlar!$B:$Q,9,0))</f>
        <v>Irak Soft</v>
      </c>
      <c r="S24" s="152">
        <f>IF(B24="","",VLOOKUP(AD24,Varsayımlar!$B:$Q,10,0))</f>
        <v>10</v>
      </c>
      <c r="T24" s="152">
        <f>IF(B24="","",VLOOKUP(AD24,Varsayımlar!$B:$Q,11,0))</f>
        <v>12</v>
      </c>
      <c r="U24" s="152">
        <f>IF(B24="","",VLOOKUP(AD24,Varsayımlar!$B:$Q,12,0))</f>
        <v>950</v>
      </c>
      <c r="V24" s="152" t="str">
        <f>IF(B24="","",VLOOKUP(AD24,Varsayımlar!$B:$Q,13,0))</f>
        <v>Yurtiçi</v>
      </c>
      <c r="W24" s="152">
        <f>IF(B24="","",VLOOKUP(AD24,Varsayımlar!$B:$Q,14,0))</f>
        <v>6</v>
      </c>
      <c r="X24" s="155">
        <v>46231</v>
      </c>
      <c r="Y24" s="155">
        <v>46415</v>
      </c>
      <c r="Z24" s="152">
        <v>26072830</v>
      </c>
      <c r="AA24" s="152" t="str">
        <f>IF(B24="","",VLOOKUP(AD24,Varsayımlar!$B:$Q,15,0))</f>
        <v>30cm Kolisi</v>
      </c>
      <c r="AB24" s="152" t="str">
        <f>IF(B24="","",VLOOKUP(AD24,Varsayımlar!$B:$Q,16,0))</f>
        <v>29-31cm</v>
      </c>
      <c r="AC24" s="8" t="e">
        <f>IF(B24="","",VLOOKUP(#REF!,#REF!,18,0))</f>
        <v>#REF!</v>
      </c>
      <c r="AD24" s="8" t="str">
        <f t="shared" si="0"/>
        <v>Yusuf KöseTortillas 30cm 10pcs 950g</v>
      </c>
    </row>
    <row r="25" spans="1:30" ht="36" customHeight="1" x14ac:dyDescent="0.25">
      <c r="A25" s="8" t="s">
        <v>141</v>
      </c>
      <c r="B25" s="149" t="s">
        <v>500</v>
      </c>
      <c r="C25" s="149">
        <f>IF(B25="","",VLOOKUP(AD25,Varsayımlar!$B:$Q,3,0))</f>
        <v>8698829380698</v>
      </c>
      <c r="D25" s="149"/>
      <c r="E25" s="149" t="s">
        <v>509</v>
      </c>
      <c r="F25" s="149">
        <v>26062201</v>
      </c>
      <c r="G25" s="149" t="s">
        <v>578</v>
      </c>
      <c r="H25" s="149" t="str">
        <f>IF(B25="","",VLOOKUP(AD25,Varsayımlar!$B:$Q,5,0))</f>
        <v xml:space="preserve">Tortillas 30cm </v>
      </c>
      <c r="I25" s="149">
        <f>IF(B25="","",VLOOKUP(AD25,Varsayımlar!B:T,19,0))</f>
        <v>0</v>
      </c>
      <c r="J25" s="149" t="str">
        <f>IF(B25="","",VLOOKUP(AD25,Varsayımlar!$B:$Q,6,0))</f>
        <v>Sade</v>
      </c>
      <c r="K25" s="149">
        <v>250</v>
      </c>
      <c r="L25" s="149"/>
      <c r="M25" s="149">
        <f>IFERROR(IF(B25="","",K25/VLOOKUP(AD25,Varsayımlar!B:R,17,0)),"")</f>
        <v>5</v>
      </c>
      <c r="N25" s="149"/>
      <c r="O25" s="149">
        <v>5</v>
      </c>
      <c r="P25" s="149">
        <f>IF(B25="","",VLOOKUP(AD25,Varsayımlar!$B:$Q,7,0)*K25)</f>
        <v>3000</v>
      </c>
      <c r="Q25" s="149">
        <f>IF(B25="","",VLOOKUP(AD25,Varsayımlar!$B:$Q,8,0))</f>
        <v>30</v>
      </c>
      <c r="R25" s="149" t="str">
        <f>IF(B25="","",VLOOKUP(AD25,Varsayımlar!$B:$Q,9,0))</f>
        <v>Irak Soft</v>
      </c>
      <c r="S25" s="149">
        <f>IF(B25="","",VLOOKUP(AD25,Varsayımlar!$B:$Q,10,0))</f>
        <v>10</v>
      </c>
      <c r="T25" s="149">
        <f>IF(B25="","",VLOOKUP(AD25,Varsayımlar!$B:$Q,11,0))</f>
        <v>12</v>
      </c>
      <c r="U25" s="149">
        <f>IF(B25="","",VLOOKUP(AD25,Varsayımlar!$B:$Q,12,0))</f>
        <v>850</v>
      </c>
      <c r="V25" s="149" t="str">
        <f>IF(B25="","",VLOOKUP(AD25,Varsayımlar!$B:$Q,13,0))</f>
        <v>Yurtdışı</v>
      </c>
      <c r="W25" s="149">
        <f>IF(B25="","",VLOOKUP(AD25,Varsayımlar!$B:$Q,14,0))</f>
        <v>12</v>
      </c>
      <c r="X25" s="151">
        <v>46231</v>
      </c>
      <c r="Y25" s="151">
        <v>46596</v>
      </c>
      <c r="Z25" s="149">
        <v>26072830</v>
      </c>
      <c r="AA25" s="151" t="str">
        <f>IF(B25="","",VLOOKUP(AD25,Varsayımlar!$B:$Q,15,0))</f>
        <v>30 cm Kolisi</v>
      </c>
      <c r="AB25" s="151" t="str">
        <f>IF(B25="","",VLOOKUP(AD25,Varsayımlar!$B:$Q,16,0))</f>
        <v>29-31 cm</v>
      </c>
      <c r="AC25" s="67" t="e">
        <f>IF(B25="","",VLOOKUP(#REF!,#REF!,18,0))</f>
        <v>#REF!</v>
      </c>
      <c r="AD25" s="57" t="str">
        <f t="shared" si="0"/>
        <v>Fama GroupTortillas 30cm 10pcs 850g</v>
      </c>
    </row>
    <row r="26" spans="1:30" ht="36" customHeight="1" x14ac:dyDescent="0.25">
      <c r="A26" s="8" t="s">
        <v>142</v>
      </c>
      <c r="B26" s="149" t="s">
        <v>500</v>
      </c>
      <c r="C26" s="149">
        <f>IF(B26="","",VLOOKUP(AD26,Varsayımlar!$B:$Q,3,0))</f>
        <v>8698829380698</v>
      </c>
      <c r="D26" s="149"/>
      <c r="E26" s="149" t="s">
        <v>512</v>
      </c>
      <c r="F26" s="149">
        <v>26062201</v>
      </c>
      <c r="G26" s="149"/>
      <c r="H26" s="149" t="str">
        <f>IF(B26="","",VLOOKUP(AD26,Varsayımlar!$B:$Q,5,0))</f>
        <v>Tortillas 20cm</v>
      </c>
      <c r="I26" s="149">
        <f>IF(B26="","",VLOOKUP(AD26,Varsayımlar!B:T,19,0))</f>
        <v>0</v>
      </c>
      <c r="J26" s="149" t="str">
        <f>IF(B26="","",VLOOKUP(AD26,Varsayımlar!$B:$Q,6,0))</f>
        <v>Sade</v>
      </c>
      <c r="K26" s="149">
        <v>50</v>
      </c>
      <c r="L26" s="149"/>
      <c r="M26" s="149">
        <f>IFERROR(IF(B26="","",K26/VLOOKUP(AD26,Varsayımlar!B:R,17,0)),"")</f>
        <v>1</v>
      </c>
      <c r="N26" s="149"/>
      <c r="O26" s="149">
        <v>1</v>
      </c>
      <c r="P26" s="149">
        <f>IF(B26="","",VLOOKUP(AD26,Varsayımlar!$B:$Q,7,0)*K26)</f>
        <v>600</v>
      </c>
      <c r="Q26" s="149">
        <f>IF(B26="","",VLOOKUP(AD26,Varsayımlar!$B:$Q,8,0))</f>
        <v>20</v>
      </c>
      <c r="R26" s="149" t="str">
        <f>IF(B26="","",VLOOKUP(AD26,Varsayımlar!$B:$Q,9,0))</f>
        <v>Irak Soft</v>
      </c>
      <c r="S26" s="149">
        <f>IF(B26="","",VLOOKUP(AD26,Varsayımlar!$B:$Q,10,0))</f>
        <v>10</v>
      </c>
      <c r="T26" s="149">
        <f>IF(B26="","",VLOOKUP(AD26,Varsayımlar!$B:$Q,11,0))</f>
        <v>12</v>
      </c>
      <c r="U26" s="149">
        <f>IF(B26="","",VLOOKUP(AD26,Varsayımlar!$B:$Q,12,0))</f>
        <v>450</v>
      </c>
      <c r="V26" s="149" t="str">
        <f>IF(B26="","",VLOOKUP(AD26,Varsayımlar!$B:$Q,13,0))</f>
        <v>Yurtdışı</v>
      </c>
      <c r="W26" s="149">
        <f>IF(B26="","",VLOOKUP(AD26,Varsayımlar!$B:$Q,14,0))</f>
        <v>12</v>
      </c>
      <c r="X26" s="151">
        <v>46231</v>
      </c>
      <c r="Y26" s="151">
        <v>46596</v>
      </c>
      <c r="Z26" s="149">
        <v>26072820</v>
      </c>
      <c r="AA26" s="151" t="str">
        <f>IF(B26="","",VLOOKUP(AD26,Varsayımlar!$B:$Q,15,0))</f>
        <v>20cm Siyah Koli</v>
      </c>
      <c r="AB26" s="151" t="str">
        <f>IF(B26="","",VLOOKUP(AD26,Varsayımlar!$B:$Q,16,0))</f>
        <v>19-21cm</v>
      </c>
      <c r="AC26" s="67" t="e">
        <f>IF(B26="","",VLOOKUP(#REF!,#REF!,18,0))</f>
        <v>#REF!</v>
      </c>
      <c r="AD26" s="57" t="str">
        <f t="shared" si="0"/>
        <v>Fama GroupTortillas 20cm 10pcs 450g</v>
      </c>
    </row>
    <row r="27" spans="1:30" ht="36" customHeight="1" x14ac:dyDescent="0.25">
      <c r="A27" s="8" t="s">
        <v>143</v>
      </c>
      <c r="B27" s="149" t="s">
        <v>500</v>
      </c>
      <c r="C27" s="149">
        <f>IF(B27="","",VLOOKUP(AD27,Varsayımlar!$B:$Q,3,0))</f>
        <v>8698829380698</v>
      </c>
      <c r="D27" s="149"/>
      <c r="E27" s="149" t="s">
        <v>229</v>
      </c>
      <c r="F27" s="149">
        <v>26062201</v>
      </c>
      <c r="G27" s="149"/>
      <c r="H27" s="149" t="str">
        <f>IF(B27="","",VLOOKUP(AD27,Varsayımlar!$B:$Q,5,0))</f>
        <v>Tortillas 25cm Tam Buğday</v>
      </c>
      <c r="I27" s="149">
        <f>IF(B27="","",VLOOKUP(AD27,Varsayımlar!B:T,19,0))</f>
        <v>0</v>
      </c>
      <c r="J27" s="149" t="str">
        <f>IF(B27="","",VLOOKUP(AD27,Varsayımlar!$B:$Q,6,0))</f>
        <v>Tam Buğdaylı</v>
      </c>
      <c r="K27" s="149">
        <v>50</v>
      </c>
      <c r="L27" s="149"/>
      <c r="M27" s="149">
        <f>IFERROR(IF(B27="","",K27/VLOOKUP(AD27,Varsayımlar!B:R,17,0)),"")</f>
        <v>1</v>
      </c>
      <c r="N27" s="149"/>
      <c r="O27" s="149">
        <v>1</v>
      </c>
      <c r="P27" s="149">
        <f>IF(B27="","",VLOOKUP(AD27,Varsayımlar!$B:$Q,7,0)*K27)</f>
        <v>600</v>
      </c>
      <c r="Q27" s="149">
        <f>IF(B27="","",VLOOKUP(AD27,Varsayımlar!$B:$Q,8,0))</f>
        <v>25</v>
      </c>
      <c r="R27" s="149" t="str">
        <f>IF(B27="","",VLOOKUP(AD27,Varsayımlar!$B:$Q,9,0))</f>
        <v>Irak Soft</v>
      </c>
      <c r="S27" s="149">
        <f>IF(B27="","",VLOOKUP(AD27,Varsayımlar!$B:$Q,10,0))</f>
        <v>10</v>
      </c>
      <c r="T27" s="149">
        <f>IF(B27="","",VLOOKUP(AD27,Varsayımlar!$B:$Q,11,0))</f>
        <v>12</v>
      </c>
      <c r="U27" s="149">
        <f>IF(B27="","",VLOOKUP(AD27,Varsayımlar!$B:$Q,12,0))</f>
        <v>650</v>
      </c>
      <c r="V27" s="149" t="str">
        <f>IF(B27="","",VLOOKUP(AD27,Varsayımlar!$B:$Q,13,0))</f>
        <v>Yurtdışı</v>
      </c>
      <c r="W27" s="149">
        <f>IF(B27="","",VLOOKUP(AD27,Varsayımlar!$B:$Q,14,0))</f>
        <v>12</v>
      </c>
      <c r="X27" s="151">
        <v>46231</v>
      </c>
      <c r="Y27" s="151">
        <v>46596</v>
      </c>
      <c r="Z27" s="149" t="s">
        <v>525</v>
      </c>
      <c r="AA27" s="151" t="str">
        <f>IF(B27="","",VLOOKUP(AD27,Varsayımlar!$B:$Q,15,0))</f>
        <v>25cm Kolisi-Etiketli</v>
      </c>
      <c r="AB27" s="151" t="str">
        <f>IF(B27="","",VLOOKUP(AD27,Varsayımlar!$B:$Q,16,0))</f>
        <v>24-26 cm</v>
      </c>
      <c r="AC27" s="67" t="e">
        <f>IF(B27="","",VLOOKUP(#REF!,#REF!,18,0))</f>
        <v>#REF!</v>
      </c>
      <c r="AD27" s="57" t="str">
        <f t="shared" si="0"/>
        <v>Fama GroupTortillas 25cm Tam Buğday 10pcs 650g</v>
      </c>
    </row>
    <row r="28" spans="1:30" ht="45.75" customHeight="1" x14ac:dyDescent="0.25">
      <c r="A28" s="8" t="s">
        <v>144</v>
      </c>
      <c r="B28" s="130" t="s">
        <v>119</v>
      </c>
      <c r="C28" s="131">
        <f>IF(B28="","",VLOOKUP(AD28,Varsayımlar!$B:$Q,3,0))</f>
        <v>8698829380698</v>
      </c>
      <c r="D28" s="131"/>
      <c r="E28" s="132" t="s">
        <v>120</v>
      </c>
      <c r="F28" s="130"/>
      <c r="G28" s="130"/>
      <c r="H28" s="130" t="str">
        <f>IF(B28="","",VLOOKUP(AD28,Varsayımlar!$B:$Q,5,0))</f>
        <v>Nimet 25 cm</v>
      </c>
      <c r="I28" s="130">
        <f>IF(B28="","",VLOOKUP(AD28,Varsayımlar!B:T,19,0))</f>
        <v>0</v>
      </c>
      <c r="J28" s="130" t="str">
        <f>IF(B28="","",VLOOKUP(AD28,Varsayımlar!$B:$Q,6,0))</f>
        <v>SADE</v>
      </c>
      <c r="K28" s="130">
        <v>5000</v>
      </c>
      <c r="L28" s="130"/>
      <c r="M28" s="130">
        <f>IFERROR(IF(B28="","",K28/VLOOKUP(AD28,Varsayımlar!B:R,17,0)),"")</f>
        <v>100</v>
      </c>
      <c r="N28" s="130"/>
      <c r="O28" s="130">
        <v>100</v>
      </c>
      <c r="P28" s="130">
        <f>IF(B28="","",VLOOKUP(AD28,Varsayımlar!$B:$Q,7,0)*K28)</f>
        <v>60000</v>
      </c>
      <c r="Q28" s="130">
        <f>IF(B28="","",VLOOKUP(AD28,Varsayımlar!$B:$Q,8,0))</f>
        <v>25</v>
      </c>
      <c r="R28" s="130" t="str">
        <f>IF(B28="","",VLOOKUP(AD28,Varsayımlar!$B:$Q,9,0))</f>
        <v>Standart</v>
      </c>
      <c r="S28" s="130">
        <f>IF(B28="","",VLOOKUP(AD28,Varsayımlar!$B:$Q,10,0))</f>
        <v>12</v>
      </c>
      <c r="T28" s="130">
        <f>IF(B28="","",VLOOKUP(AD28,Varsayımlar!$B:$Q,11,0))</f>
        <v>12</v>
      </c>
      <c r="U28" s="130">
        <f>IF(B28="","",VLOOKUP(AD28,Varsayımlar!$B:$Q,12,0))</f>
        <v>840</v>
      </c>
      <c r="V28" s="130" t="str">
        <f>IF(B28="","",VLOOKUP(AD28,Varsayımlar!$B:$Q,13,0))</f>
        <v>YURTİÇİ</v>
      </c>
      <c r="W28" s="130">
        <f>IF(B28="","",VLOOKUP(AD28,Varsayımlar!$B:$Q,14,0))</f>
        <v>5</v>
      </c>
      <c r="X28" s="133" t="s">
        <v>113</v>
      </c>
      <c r="Y28" s="133" t="s">
        <v>113</v>
      </c>
      <c r="Z28" s="130" t="s">
        <v>113</v>
      </c>
      <c r="AA28" s="130" t="str">
        <f>IF(B28="","",VLOOKUP(AD28,Varsayımlar!$B:$Q,15,0))</f>
        <v>Nimet Kolisi</v>
      </c>
      <c r="AB28" s="130" t="str">
        <f>IF(B28="","",VLOOKUP(AD28,Varsayımlar!$B:$Q,16,0))</f>
        <v>24-26 CM</v>
      </c>
      <c r="AC28" s="64" t="s">
        <v>360</v>
      </c>
      <c r="AD28" s="57" t="str">
        <f t="shared" si="0"/>
        <v>A101Nimet 25cm 12 pcs 840g</v>
      </c>
    </row>
    <row r="29" spans="1:30" ht="32.25" customHeight="1" x14ac:dyDescent="0.25">
      <c r="A29" s="8" t="s">
        <v>145</v>
      </c>
      <c r="B29" s="67" t="s">
        <v>460</v>
      </c>
      <c r="C29" s="42">
        <f>IF(B29="","",VLOOKUP(AD29,Varsayımlar!$B:$Q,3,0))</f>
        <v>8698829380698</v>
      </c>
      <c r="D29" s="67" t="s">
        <v>539</v>
      </c>
      <c r="E29" s="67" t="s">
        <v>464</v>
      </c>
      <c r="F29" s="67">
        <v>20260626</v>
      </c>
      <c r="G29" s="67"/>
      <c r="H29" s="67" t="str">
        <f>IF(B29="","",VLOOKUP(AD29,Varsayımlar!$B:$Q,5,0))</f>
        <v>Tortillove 20cm</v>
      </c>
      <c r="I29" s="67">
        <f>IF(B29="","",VLOOKUP(AD29,Varsayımlar!B:T,19,0))</f>
        <v>0</v>
      </c>
      <c r="J29" s="67" t="str">
        <f>IF(B29="","",VLOOKUP(AD29,Varsayımlar!$B:$Q,6,0))</f>
        <v>SADE</v>
      </c>
      <c r="K29" s="67">
        <v>400</v>
      </c>
      <c r="L29" s="67"/>
      <c r="M29" s="67">
        <f>IFERROR(IF(B29="","",K29/VLOOKUP(AD29,Varsayımlar!B:R,17,0)),"")</f>
        <v>4</v>
      </c>
      <c r="N29" s="67"/>
      <c r="O29" s="67">
        <v>7</v>
      </c>
      <c r="P29" s="67">
        <f>IF(B29="","",VLOOKUP(AD29,Varsayımlar!$B:$Q,7,0)*K29)</f>
        <v>4800</v>
      </c>
      <c r="Q29" s="67">
        <f>IF(B29="","",VLOOKUP(AD29,Varsayımlar!$B:$Q,8,0))</f>
        <v>20</v>
      </c>
      <c r="R29" s="67" t="str">
        <f>IF(B29="","",VLOOKUP(AD29,Varsayımlar!$B:$Q,9,0))</f>
        <v>Irak Soft</v>
      </c>
      <c r="S29" s="67">
        <f>IF(B29="","",VLOOKUP(AD29,Varsayımlar!$B:$Q,10,0))</f>
        <v>10</v>
      </c>
      <c r="T29" s="67">
        <f>IF(B29="","",VLOOKUP(AD29,Varsayımlar!$B:$Q,11,0))</f>
        <v>12</v>
      </c>
      <c r="U29" s="67">
        <f>IF(B29="","",VLOOKUP(AD29,Varsayımlar!$B:$Q,12,0))</f>
        <v>450</v>
      </c>
      <c r="V29" s="67" t="str">
        <f>IF(B29="","",VLOOKUP(AD29,Varsayımlar!$B:$Q,13,0))</f>
        <v>Yurtdışı</v>
      </c>
      <c r="W29" s="67">
        <f>IF(B29="","",VLOOKUP(AD29,Varsayımlar!$B:$Q,14,0))</f>
        <v>6</v>
      </c>
      <c r="X29" s="69"/>
      <c r="Y29" s="69"/>
      <c r="Z29" s="67"/>
      <c r="AA29" s="67" t="str">
        <f>IF(B29="","",VLOOKUP(AD29,Varsayımlar!$B:$Q,15,0))</f>
        <v>20cm kolisi</v>
      </c>
      <c r="AB29" s="67" t="str">
        <f>IF(B29="","",VLOOKUP(AD29,Varsayımlar!$B:$Q,16,0))</f>
        <v>19-21 cm</v>
      </c>
      <c r="AC29" s="75">
        <f>IF(B29="","",VLOOKUP(Sayfa1!AD84,Varsayımlar!B:S,18,0))</f>
        <v>0</v>
      </c>
      <c r="AD29" s="57" t="str">
        <f t="shared" si="0"/>
        <v>Yüksekbaş GıdaYüksekbaş 20cm 10pcs 450g</v>
      </c>
    </row>
    <row r="30" spans="1:30" ht="32.25" customHeight="1" x14ac:dyDescent="0.25">
      <c r="A30" s="8" t="s">
        <v>146</v>
      </c>
      <c r="B30" s="67" t="s">
        <v>460</v>
      </c>
      <c r="C30" s="42">
        <f>IF(B30="","",VLOOKUP(AD30,Varsayımlar!$B:$Q,3,0))</f>
        <v>8698829380698</v>
      </c>
      <c r="D30" s="67" t="s">
        <v>539</v>
      </c>
      <c r="E30" s="67" t="s">
        <v>470</v>
      </c>
      <c r="F30" s="67">
        <v>20260626</v>
      </c>
      <c r="G30" s="67" t="s">
        <v>578</v>
      </c>
      <c r="H30" s="67" t="str">
        <f>IF(B30="","",VLOOKUP(AD30,Varsayımlar!$B:$Q,5,0))</f>
        <v>Tortillove 30cm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660</v>
      </c>
      <c r="L30" s="67"/>
      <c r="M30" s="67">
        <f>IFERROR(IF(B30="","",K30/VLOOKUP(AD30,Varsayımlar!B:R,17,0)),"")</f>
        <v>10</v>
      </c>
      <c r="N30" s="67"/>
      <c r="O30" s="67">
        <v>11</v>
      </c>
      <c r="P30" s="67">
        <f>IF(B30="","",VLOOKUP(AD30,Varsayımlar!$B:$Q,7,0)*K30)</f>
        <v>7920</v>
      </c>
      <c r="Q30" s="67">
        <f>IF(B30="","",VLOOKUP(AD30,Varsayımlar!$B:$Q,8,0))</f>
        <v>30</v>
      </c>
      <c r="R30" s="67" t="str">
        <f>IF(B30="","",VLOOKUP(AD30,Varsayımlar!$B:$Q,9,0))</f>
        <v>Irak Soft</v>
      </c>
      <c r="S30" s="67">
        <f>IF(B30="","",VLOOKUP(AD30,Varsayımlar!$B:$Q,10,0))</f>
        <v>10</v>
      </c>
      <c r="T30" s="67">
        <f>IF(B30="","",VLOOKUP(AD30,Varsayımlar!$B:$Q,11,0))</f>
        <v>12</v>
      </c>
      <c r="U30" s="67">
        <f>IF(B30="","",VLOOKUP(AD30,Varsayımlar!$B:$Q,12,0))</f>
        <v>950</v>
      </c>
      <c r="V30" s="67" t="str">
        <f>IF(B30="","",VLOOKUP(AD30,Varsayımlar!$B:$Q,13,0))</f>
        <v>Yurtdışı</v>
      </c>
      <c r="W30" s="67">
        <f>IF(B30="","",VLOOKUP(AD30,Varsayımlar!$B:$Q,14,0))</f>
        <v>6</v>
      </c>
      <c r="X30" s="69"/>
      <c r="Y30" s="69"/>
      <c r="Z30" s="67"/>
      <c r="AA30" s="67" t="str">
        <f>IF(B30="","",VLOOKUP(AD30,Varsayımlar!$B:$Q,15,0))</f>
        <v>30cm Kolisi</v>
      </c>
      <c r="AB30" s="67" t="str">
        <f>IF(B30="","",VLOOKUP(AD30,Varsayımlar!$B:$Q,16,0))</f>
        <v>29-31 cm</v>
      </c>
      <c r="AC30" s="75">
        <f>IF(B30="","",VLOOKUP(Sayfa1!AD84,Varsayımlar!B:S,18,0))</f>
        <v>0</v>
      </c>
      <c r="AD30" s="57" t="str">
        <f t="shared" si="0"/>
        <v>Yüksekbaş GıdaYüksekbaş 30cm 10pcs 950g</v>
      </c>
    </row>
    <row r="31" spans="1:30" ht="49.5" customHeight="1" x14ac:dyDescent="0.25">
      <c r="A31" s="8" t="s">
        <v>147</v>
      </c>
      <c r="B31" s="152" t="s">
        <v>571</v>
      </c>
      <c r="C31" s="153">
        <f>IF(B31="","",VLOOKUP(AD31,Varsayımlar!$B:$Q,3,0))</f>
        <v>8698829380698</v>
      </c>
      <c r="D31" s="154"/>
      <c r="E31" s="154" t="s">
        <v>572</v>
      </c>
      <c r="F31" s="152">
        <v>20260701</v>
      </c>
      <c r="G31" s="152" t="s">
        <v>578</v>
      </c>
      <c r="H31" s="152" t="str">
        <f>IF(B31="","",VLOOKUP(AD31,Varsayımlar!$B:$Q,5,0))</f>
        <v>Tortillas 30cm</v>
      </c>
      <c r="I31" s="152" t="str">
        <f>IF(B31="","",VLOOKUP(AD31,Varsayımlar!B:T,19,0))</f>
        <v>Azerice Etiketli</v>
      </c>
      <c r="J31" s="152" t="str">
        <f>IF(B31="","",VLOOKUP(AD31,Varsayımlar!$B:$Q,6,0))</f>
        <v>Sade</v>
      </c>
      <c r="K31" s="152">
        <v>204</v>
      </c>
      <c r="L31" s="152"/>
      <c r="M31" s="152">
        <f>IFERROR(IF(B31="","",K31/VLOOKUP(AD31,Varsayımlar!B:R,17,0)),"")</f>
        <v>3</v>
      </c>
      <c r="N31" s="152"/>
      <c r="O31" s="152">
        <v>0</v>
      </c>
      <c r="P31" s="152">
        <f>IF(B31="","",VLOOKUP(AD31,Varsayımlar!$B:$Q,7,0)*K31)</f>
        <v>1224</v>
      </c>
      <c r="Q31" s="152">
        <f>IF(B31="","",VLOOKUP(AD31,Varsayımlar!$B:$Q,8,0))</f>
        <v>30</v>
      </c>
      <c r="R31" s="152" t="str">
        <f>IF(B31="","",VLOOKUP(AD31,Varsayımlar!$B:$Q,9,0))</f>
        <v>Irak soft</v>
      </c>
      <c r="S31" s="152">
        <f>IF(B31="","",VLOOKUP(AD31,Varsayımlar!$B:$Q,10,0))</f>
        <v>18</v>
      </c>
      <c r="T31" s="152">
        <f>IF(B31="","",VLOOKUP(AD31,Varsayımlar!$B:$Q,11,0))</f>
        <v>6</v>
      </c>
      <c r="U31" s="152">
        <f>IF(B31="","",VLOOKUP(AD31,Varsayımlar!$B:$Q,12,0))</f>
        <v>1710</v>
      </c>
      <c r="V31" s="152" t="str">
        <f>IF(B31="","",VLOOKUP(AD31,Varsayımlar!$B:$Q,13,0))</f>
        <v>Yurtdışı</v>
      </c>
      <c r="W31" s="152">
        <f>IF(B31="","",VLOOKUP(AD31,Varsayımlar!$B:$Q,14,0))</f>
        <v>9</v>
      </c>
      <c r="X31" s="155"/>
      <c r="Y31" s="155"/>
      <c r="Z31" s="152"/>
      <c r="AA31" s="152" t="str">
        <f>IF(B31="","",VLOOKUP(AD31,Varsayımlar!$B:$Q,15,0))</f>
        <v>30cm Kolisi</v>
      </c>
      <c r="AB31" s="152" t="str">
        <f>IF(B31="","",VLOOKUP(AD31,Varsayımlar!$B:$Q,16,0))</f>
        <v>29-31cm</v>
      </c>
      <c r="AC31" s="8" t="e">
        <f>IF(B31="","",VLOOKUP(#REF!,#REF!,18,0))</f>
        <v>#REF!</v>
      </c>
      <c r="AD31" s="8" t="str">
        <f t="shared" si="0"/>
        <v>HRC TradeTortillas 30cm 18pcs 1710g</v>
      </c>
    </row>
    <row r="32" spans="1:30" ht="36" customHeight="1" x14ac:dyDescent="0.25">
      <c r="A32" s="8" t="s">
        <v>148</v>
      </c>
      <c r="B32" s="67"/>
      <c r="C32" s="42" t="str">
        <f>IF(B32="","",VLOOKUP(AD32,#REF!,3,0))</f>
        <v/>
      </c>
      <c r="D32" s="42"/>
      <c r="E32" s="42"/>
      <c r="F32" s="67"/>
      <c r="G32" s="67"/>
      <c r="H32" s="67" t="str">
        <f>IF(B32="","",VLOOKUP(AD32,#REF!,5,0))</f>
        <v/>
      </c>
      <c r="I32" s="67" t="str">
        <f>IF(B32="","",VLOOKUP(AD32,#REF!,19,0))</f>
        <v/>
      </c>
      <c r="J32" s="67" t="str">
        <f>IF(B32="","",VLOOKUP(AD32,#REF!,6,0))</f>
        <v/>
      </c>
      <c r="K32" s="67"/>
      <c r="L32" s="67"/>
      <c r="M32" s="67" t="str">
        <f>IFERROR(IF(B32="","",K32/VLOOKUP(AD32,Varsayımlar!B:R,17,0)),"")</f>
        <v/>
      </c>
      <c r="N32" s="67"/>
      <c r="O32" s="67"/>
      <c r="P32" s="67" t="str">
        <f>IF(B32="","",VLOOKUP(AD32,#REF!,7,0)*K32)</f>
        <v/>
      </c>
      <c r="Q32" s="67" t="str">
        <f>IF(B32="","",VLOOKUP(AD32,#REF!,8,0))</f>
        <v/>
      </c>
      <c r="R32" s="67" t="str">
        <f>IF(B32="","",VLOOKUP(AD32,#REF!,9,0))</f>
        <v/>
      </c>
      <c r="S32" s="67" t="str">
        <f>IF(B32="","",VLOOKUP(AD32,#REF!,10,0))</f>
        <v/>
      </c>
      <c r="T32" s="67" t="str">
        <f>IF(B32="","",VLOOKUP(AD32,#REF!,11,0))</f>
        <v/>
      </c>
      <c r="U32" s="67" t="str">
        <f>IF(B32="","",VLOOKUP(AD32,#REF!,12,0))</f>
        <v/>
      </c>
      <c r="V32" s="67" t="str">
        <f>IF(B32="","",VLOOKUP(AD32,#REF!,13,0))</f>
        <v/>
      </c>
      <c r="W32" s="67" t="str">
        <f>IF(B32="","",VLOOKUP(AD32,#REF!,14,0))</f>
        <v/>
      </c>
      <c r="X32" s="69"/>
      <c r="Y32" s="69"/>
      <c r="Z32" s="67"/>
      <c r="AA32" s="67" t="str">
        <f>IF(B32="","",VLOOKUP(AD32,#REF!,15,0))</f>
        <v/>
      </c>
      <c r="AB32" s="67" t="str">
        <f>IF(B32="","",VLOOKUP(AD32,#REF!,16,0))</f>
        <v/>
      </c>
      <c r="AC32" s="145"/>
      <c r="AD32" s="57"/>
    </row>
    <row r="33" spans="1:30" ht="36" customHeight="1" x14ac:dyDescent="0.25">
      <c r="A33" s="8" t="s">
        <v>149</v>
      </c>
      <c r="B33" s="67"/>
      <c r="C33" s="42" t="str">
        <f>IF(B33="","",VLOOKUP(AD33,#REF!,3,0))</f>
        <v/>
      </c>
      <c r="D33" s="42"/>
      <c r="E33" s="42"/>
      <c r="F33" s="67"/>
      <c r="G33" s="67"/>
      <c r="H33" s="67" t="str">
        <f>IF(B33="","",VLOOKUP(AD33,#REF!,5,0))</f>
        <v/>
      </c>
      <c r="I33" s="67" t="str">
        <f>IF(B33="","",VLOOKUP(AD33,#REF!,19,0))</f>
        <v/>
      </c>
      <c r="J33" s="67" t="str">
        <f>IF(B33="","",VLOOKUP(AD33,#REF!,6,0))</f>
        <v/>
      </c>
      <c r="K33" s="67"/>
      <c r="L33" s="67"/>
      <c r="M33" s="67" t="str">
        <f>IFERROR(IF(B33="","",K33/VLOOKUP(AD33,Varsayımlar!B:R,17,0)),"")</f>
        <v/>
      </c>
      <c r="N33" s="67"/>
      <c r="O33" s="67"/>
      <c r="P33" s="67" t="str">
        <f>IF(B33="","",VLOOKUP(AD33,#REF!,7,0)*K33)</f>
        <v/>
      </c>
      <c r="Q33" s="67" t="str">
        <f>IF(B33="","",VLOOKUP(AD33,#REF!,8,0))</f>
        <v/>
      </c>
      <c r="R33" s="67" t="str">
        <f>IF(B33="","",VLOOKUP(AD33,#REF!,9,0))</f>
        <v/>
      </c>
      <c r="S33" s="67" t="str">
        <f>IF(B33="","",VLOOKUP(AD33,#REF!,10,0))</f>
        <v/>
      </c>
      <c r="T33" s="67" t="str">
        <f>IF(B33="","",VLOOKUP(AD33,#REF!,11,0))</f>
        <v/>
      </c>
      <c r="U33" s="67" t="str">
        <f>IF(B33="","",VLOOKUP(AD33,#REF!,12,0))</f>
        <v/>
      </c>
      <c r="V33" s="67" t="str">
        <f>IF(B33="","",VLOOKUP(AD33,#REF!,13,0))</f>
        <v/>
      </c>
      <c r="W33" s="67" t="str">
        <f>IF(B33="","",VLOOKUP(AD33,#REF!,14,0))</f>
        <v/>
      </c>
      <c r="X33" s="69"/>
      <c r="Y33" s="69"/>
      <c r="Z33" s="67"/>
      <c r="AA33" s="67" t="str">
        <f>IF(B33="","",VLOOKUP(AD33,#REF!,15,0))</f>
        <v/>
      </c>
      <c r="AB33" s="67" t="str">
        <f>IF(B33="","",VLOOKUP(AD33,#REF!,16,0))</f>
        <v/>
      </c>
      <c r="AC33" s="145"/>
      <c r="AD33" s="57"/>
    </row>
    <row r="34" spans="1:30" ht="36" customHeight="1" x14ac:dyDescent="0.25">
      <c r="A34" s="8" t="s">
        <v>150</v>
      </c>
      <c r="B34" s="67"/>
      <c r="C34" s="42" t="str">
        <f>IF(B34="","",VLOOKUP(AD34,#REF!,3,0))</f>
        <v/>
      </c>
      <c r="D34" s="42"/>
      <c r="E34" s="42"/>
      <c r="F34" s="67"/>
      <c r="G34" s="67"/>
      <c r="H34" s="67" t="str">
        <f>IF(B34="","",VLOOKUP(AD34,#REF!,5,0))</f>
        <v/>
      </c>
      <c r="I34" s="67" t="str">
        <f>IF(B34="","",VLOOKUP(AD34,#REF!,19,0))</f>
        <v/>
      </c>
      <c r="J34" s="67" t="str">
        <f>IF(B34="","",VLOOKUP(AD34,#REF!,6,0))</f>
        <v/>
      </c>
      <c r="K34" s="67"/>
      <c r="L34" s="67"/>
      <c r="M34" s="67" t="str">
        <f>IFERROR(IF(B34="","",K34/VLOOKUP(AD34,Varsayımlar!B:R,17,0)),"")</f>
        <v/>
      </c>
      <c r="N34" s="67"/>
      <c r="O34" s="67"/>
      <c r="P34" s="67" t="str">
        <f>IF(B34="","",VLOOKUP(AD34,#REF!,7,0)*K34)</f>
        <v/>
      </c>
      <c r="Q34" s="67" t="str">
        <f>IF(B34="","",VLOOKUP(AD34,#REF!,8,0))</f>
        <v/>
      </c>
      <c r="R34" s="67" t="str">
        <f>IF(B34="","",VLOOKUP(AD34,#REF!,9,0))</f>
        <v/>
      </c>
      <c r="S34" s="67" t="str">
        <f>IF(B34="","",VLOOKUP(AD34,#REF!,10,0))</f>
        <v/>
      </c>
      <c r="T34" s="67" t="str">
        <f>IF(B34="","",VLOOKUP(AD34,#REF!,11,0))</f>
        <v/>
      </c>
      <c r="U34" s="67" t="str">
        <f>IF(B34="","",VLOOKUP(AD34,#REF!,12,0))</f>
        <v/>
      </c>
      <c r="V34" s="67" t="str">
        <f>IF(B34="","",VLOOKUP(AD34,#REF!,13,0))</f>
        <v/>
      </c>
      <c r="W34" s="67" t="str">
        <f>IF(B34="","",VLOOKUP(AD34,#REF!,14,0))</f>
        <v/>
      </c>
      <c r="X34" s="69"/>
      <c r="Y34" s="69"/>
      <c r="Z34" s="67"/>
      <c r="AA34" s="67" t="str">
        <f>IF(B34="","",VLOOKUP(AD34,#REF!,15,0))</f>
        <v/>
      </c>
      <c r="AB34" s="67" t="str">
        <f>IF(B34="","",VLOOKUP(AD34,#REF!,16,0))</f>
        <v/>
      </c>
      <c r="AC34" s="145"/>
      <c r="AD34" s="57"/>
    </row>
    <row r="35" spans="1:30" ht="36" customHeight="1" x14ac:dyDescent="0.25">
      <c r="A35" s="8" t="s">
        <v>151</v>
      </c>
      <c r="B35" s="67"/>
      <c r="C35" s="42" t="str">
        <f>IF(B35="","",VLOOKUP(AD35,#REF!,3,0))</f>
        <v/>
      </c>
      <c r="D35" s="42"/>
      <c r="E35" s="42"/>
      <c r="F35" s="67"/>
      <c r="G35" s="67"/>
      <c r="H35" s="67" t="str">
        <f>IF(B35="","",VLOOKUP(AD35,#REF!,5,0))</f>
        <v/>
      </c>
      <c r="I35" s="67" t="str">
        <f>IF(B35="","",VLOOKUP(AD35,#REF!,19,0))</f>
        <v/>
      </c>
      <c r="J35" s="67" t="str">
        <f>IF(B35="","",VLOOKUP(AD35,#REF!,6,0))</f>
        <v/>
      </c>
      <c r="K35" s="67"/>
      <c r="L35" s="67"/>
      <c r="M35" s="67" t="str">
        <f>IFERROR(IF(B35="","",K35/VLOOKUP(AD35,Varsayımlar!B:R,17,0)),"")</f>
        <v/>
      </c>
      <c r="N35" s="67"/>
      <c r="O35" s="67"/>
      <c r="P35" s="67" t="str">
        <f>IF(B35="","",VLOOKUP(AD35,#REF!,7,0)*K35)</f>
        <v/>
      </c>
      <c r="Q35" s="67" t="str">
        <f>IF(B35="","",VLOOKUP(AD35,#REF!,8,0))</f>
        <v/>
      </c>
      <c r="R35" s="67" t="str">
        <f>IF(B35="","",VLOOKUP(AD35,#REF!,9,0))</f>
        <v/>
      </c>
      <c r="S35" s="67" t="str">
        <f>IF(B35="","",VLOOKUP(AD35,#REF!,10,0))</f>
        <v/>
      </c>
      <c r="T35" s="67" t="str">
        <f>IF(B35="","",VLOOKUP(AD35,#REF!,11,0))</f>
        <v/>
      </c>
      <c r="U35" s="67" t="str">
        <f>IF(B35="","",VLOOKUP(AD35,#REF!,12,0))</f>
        <v/>
      </c>
      <c r="V35" s="67" t="str">
        <f>IF(B35="","",VLOOKUP(AD35,#REF!,13,0))</f>
        <v/>
      </c>
      <c r="W35" s="67" t="str">
        <f>IF(B35="","",VLOOKUP(AD35,#REF!,14,0))</f>
        <v/>
      </c>
      <c r="X35" s="69"/>
      <c r="Y35" s="69"/>
      <c r="Z35" s="67"/>
      <c r="AA35" s="67" t="str">
        <f>IF(B35="","",VLOOKUP(AD35,#REF!,15,0))</f>
        <v/>
      </c>
      <c r="AB35" s="67" t="str">
        <f>IF(B35="","",VLOOKUP(AD35,#REF!,16,0))</f>
        <v/>
      </c>
      <c r="AC35" s="145"/>
      <c r="AD35" s="57"/>
    </row>
    <row r="36" spans="1:30" x14ac:dyDescent="0.25">
      <c r="A36" s="134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6"/>
      <c r="Y36" s="136"/>
      <c r="Z36" s="135"/>
      <c r="AA36" s="135"/>
      <c r="AB36" s="137"/>
      <c r="AC36" s="138"/>
      <c r="AD36" s="57"/>
    </row>
    <row r="37" spans="1:30" ht="31.5" customHeight="1" x14ac:dyDescent="0.25">
      <c r="A37" s="182" t="s">
        <v>344</v>
      </c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4"/>
      <c r="AC37" s="38"/>
    </row>
    <row r="38" spans="1:30" ht="63" x14ac:dyDescent="0.25">
      <c r="A38" s="8" t="s">
        <v>0</v>
      </c>
      <c r="B38" s="8" t="s">
        <v>1</v>
      </c>
      <c r="C38" s="9" t="s">
        <v>31</v>
      </c>
      <c r="D38" s="9" t="s">
        <v>124</v>
      </c>
      <c r="E38" s="9" t="s">
        <v>36</v>
      </c>
      <c r="F38" s="8" t="s">
        <v>37</v>
      </c>
      <c r="G38" s="8" t="s">
        <v>13</v>
      </c>
      <c r="H38" s="8" t="s">
        <v>2</v>
      </c>
      <c r="I38" s="8" t="s">
        <v>49</v>
      </c>
      <c r="J38" s="8" t="s">
        <v>3</v>
      </c>
      <c r="K38" s="8" t="s">
        <v>21</v>
      </c>
      <c r="L38" s="8" t="s">
        <v>94</v>
      </c>
      <c r="M38" s="8" t="s">
        <v>20</v>
      </c>
      <c r="N38" s="8" t="s">
        <v>165</v>
      </c>
      <c r="O38" s="8" t="s">
        <v>123</v>
      </c>
      <c r="P38" s="8" t="s">
        <v>16</v>
      </c>
      <c r="Q38" s="8" t="s">
        <v>4</v>
      </c>
      <c r="R38" s="8" t="s">
        <v>5</v>
      </c>
      <c r="S38" s="8" t="s">
        <v>6</v>
      </c>
      <c r="T38" s="8" t="s">
        <v>28</v>
      </c>
      <c r="U38" s="8" t="s">
        <v>7</v>
      </c>
      <c r="V38" s="8" t="s">
        <v>8</v>
      </c>
      <c r="W38" s="8" t="s">
        <v>267</v>
      </c>
      <c r="X38" s="8" t="s">
        <v>10</v>
      </c>
      <c r="Y38" s="8" t="s">
        <v>11</v>
      </c>
      <c r="Z38" s="8" t="s">
        <v>12</v>
      </c>
      <c r="AA38" s="8" t="s">
        <v>14</v>
      </c>
      <c r="AB38" s="8" t="s">
        <v>15</v>
      </c>
      <c r="AC38" s="8" t="s">
        <v>208</v>
      </c>
      <c r="AD38" s="140" t="s">
        <v>41</v>
      </c>
    </row>
    <row r="39" spans="1:30" ht="47.25" x14ac:dyDescent="0.25">
      <c r="A39" s="8" t="s">
        <v>26</v>
      </c>
      <c r="B39" s="130" t="s">
        <v>119</v>
      </c>
      <c r="C39" s="130">
        <f>IF(B39="","",VLOOKUP(AD39,Varsayımlar!$B:$Q,3,0))</f>
        <v>8698829380698</v>
      </c>
      <c r="D39" s="130"/>
      <c r="E39" s="130" t="s">
        <v>120</v>
      </c>
      <c r="F39" s="130"/>
      <c r="G39" s="130"/>
      <c r="H39" s="130" t="str">
        <f>IF(B39="","",VLOOKUP(AD39,Varsayımlar!$B:$Q,5,0))</f>
        <v>Nimet 25 cm</v>
      </c>
      <c r="I39" s="130"/>
      <c r="J39" s="130" t="str">
        <f>IF(B39="","",VLOOKUP(AD39,Varsayımlar!$B:$Q,6,0))</f>
        <v>SADE</v>
      </c>
      <c r="K39" s="130">
        <v>4000</v>
      </c>
      <c r="L39" s="130"/>
      <c r="M39" s="130">
        <f>IFERROR(IF(B39="","",K39/VLOOKUP(AD39,Varsayımlar!B:R,17,0)),"")</f>
        <v>80</v>
      </c>
      <c r="N39" s="130"/>
      <c r="O39" s="130">
        <v>60</v>
      </c>
      <c r="P39" s="130">
        <f>IF(B39="","",VLOOKUP(AD39,Varsayımlar!$B:$Q,7,0)*K39)</f>
        <v>48000</v>
      </c>
      <c r="Q39" s="130">
        <f>IF(B39="","",VLOOKUP(AD39,Varsayımlar!$B:$Q,8,0))</f>
        <v>25</v>
      </c>
      <c r="R39" s="130" t="str">
        <f>IF(B39="","",VLOOKUP(AD39,Varsayımlar!$B:$Q,9,0))</f>
        <v>Standart</v>
      </c>
      <c r="S39" s="130">
        <f>IF(B39="","",VLOOKUP(AD39,Varsayımlar!$B:$Q,10,0))</f>
        <v>12</v>
      </c>
      <c r="T39" s="130">
        <f>IF(B39="","",VLOOKUP(AD39,Varsayımlar!$B:$Q,11,0))</f>
        <v>12</v>
      </c>
      <c r="U39" s="130">
        <f>IF(B39="","",VLOOKUP(AD39,Varsayımlar!$B:$Q,12,0))</f>
        <v>840</v>
      </c>
      <c r="V39" s="130" t="str">
        <f>IF(B39="","",VLOOKUP(AD39,Varsayımlar!$B:$Q,13,0))</f>
        <v>YURTİÇİ</v>
      </c>
      <c r="W39" s="130">
        <f>IF(B39="","",VLOOKUP(AD39,Varsayımlar!$B:$Q,14,0))</f>
        <v>5</v>
      </c>
      <c r="X39" s="130" t="s">
        <v>113</v>
      </c>
      <c r="Y39" s="130" t="s">
        <v>113</v>
      </c>
      <c r="Z39" s="130" t="s">
        <v>113</v>
      </c>
      <c r="AA39" s="130" t="str">
        <f>IF(B39="","",VLOOKUP(AD39,Varsayımlar!$B:$Q,15,0))</f>
        <v>Nimet Kolisi</v>
      </c>
      <c r="AB39" s="130" t="str">
        <f>IF(B39="","",VLOOKUP(AD39,Varsayımlar!$B:$Q,16,0))</f>
        <v>24-26 CM</v>
      </c>
      <c r="AC39" s="64" t="s">
        <v>360</v>
      </c>
      <c r="AD39" s="57" t="str">
        <f>IF(B39="","",CONCATENATE(B39,E39))</f>
        <v>A101Nimet 25cm 12 pcs 840g</v>
      </c>
    </row>
    <row r="40" spans="1:30" ht="51.75" customHeight="1" x14ac:dyDescent="0.25">
      <c r="A40" s="8" t="s">
        <v>77</v>
      </c>
      <c r="B40" s="75" t="s">
        <v>218</v>
      </c>
      <c r="C40" s="43">
        <f>IF(B40="","",VLOOKUP(AD40,Varsayımlar!$B:$Q,3,0))</f>
        <v>8698829380698</v>
      </c>
      <c r="D40" s="43" t="s">
        <v>161</v>
      </c>
      <c r="E40" s="75" t="s">
        <v>228</v>
      </c>
      <c r="F40" s="75" t="s">
        <v>561</v>
      </c>
      <c r="G40" s="43" t="s">
        <v>578</v>
      </c>
      <c r="H40" s="75" t="str">
        <f>IF(B40="","",VLOOKUP(AD40,Varsayımlar!$B:$Q,5,0))</f>
        <v>Tortillas Avrupa 25cm (698)</v>
      </c>
      <c r="I40" s="75">
        <f>IF(B40="","",VLOOKUP(AD40,Varsayımlar!B:T,19,0))</f>
        <v>0</v>
      </c>
      <c r="J40" s="75" t="str">
        <f>IF(B40="","",VLOOKUP(AD40,Varsayımlar!$B:$Q,6,0))</f>
        <v>SADE</v>
      </c>
      <c r="K40" s="75">
        <v>600</v>
      </c>
      <c r="L40" s="75"/>
      <c r="M40" s="75">
        <f>IFERROR(IF(B40="","",K40/VLOOKUP(AD40,Varsayımlar!B:R,17,0)),"")</f>
        <v>5</v>
      </c>
      <c r="N40" s="75"/>
      <c r="O40" s="75">
        <v>6</v>
      </c>
      <c r="P40" s="75">
        <f>IF(B40="","",VLOOKUP(AD40,Varsayımlar!$B:$Q,7,0)*K40)</f>
        <v>4800</v>
      </c>
      <c r="Q40" s="75">
        <f>IF(B40="","",VLOOKUP(AD40,Varsayımlar!$B:$Q,8,0))</f>
        <v>25</v>
      </c>
      <c r="R40" s="75" t="str">
        <f>IF(B40="","",VLOOKUP(AD40,Varsayımlar!$B:$Q,9,0))</f>
        <v>Irak Soft</v>
      </c>
      <c r="S40" s="75">
        <f>IF(B40="","",VLOOKUP(AD40,Varsayımlar!$B:$Q,10,0))</f>
        <v>10</v>
      </c>
      <c r="T40" s="75">
        <f>IF(B40="","",VLOOKUP(AD40,Varsayımlar!$B:$Q,11,0))</f>
        <v>8</v>
      </c>
      <c r="U40" s="75">
        <f>IF(B40="","",VLOOKUP(AD40,Varsayımlar!$B:$Q,12,0))</f>
        <v>650</v>
      </c>
      <c r="V40" s="75" t="str">
        <f>IF(B40="","",VLOOKUP(AD40,Varsayımlar!$B:$Q,13,0))</f>
        <v>Yurtdışı</v>
      </c>
      <c r="W40" s="75">
        <f>IF(B40="","",VLOOKUP(AD40,Varsayımlar!$B:$Q,14,0))</f>
        <v>9</v>
      </c>
      <c r="X40" s="76">
        <v>46213</v>
      </c>
      <c r="Y40" s="76">
        <v>46487</v>
      </c>
      <c r="Z40" s="75">
        <v>26071025</v>
      </c>
      <c r="AA40" s="75" t="str">
        <f>IF(B40="","",VLOOKUP(AD40,Varsayımlar!$B:$Q,15,0))</f>
        <v>25cm Perforeli-Bulgarca etiket</v>
      </c>
      <c r="AB40" s="75" t="str">
        <f>IF(B40="","",VLOOKUP(AD40,Varsayımlar!$B:$Q,16,0))</f>
        <v>24-26 cm</v>
      </c>
      <c r="AC40" s="75" t="str">
        <f>IF(B40="","",VLOOKUP(Sayfa1!AD61,Varsayımlar!B:S,18,0))</f>
        <v>80x120cm -Epal+Epal</v>
      </c>
      <c r="AD40" s="57" t="str">
        <f>IF(B40="","",CONCATENATE(B40,E40))</f>
        <v>TASTE LAND-BULGARİSTANTortillas 25cm Sade 10pcs 650g</v>
      </c>
    </row>
    <row r="41" spans="1:30" ht="44.25" customHeight="1" x14ac:dyDescent="0.25">
      <c r="A41" s="8" t="s">
        <v>78</v>
      </c>
      <c r="B41" s="67" t="s">
        <v>460</v>
      </c>
      <c r="C41" s="42">
        <f>IF(B41="","",VLOOKUP(AD41,Varsayımlar!$B:$Q,3,0))</f>
        <v>8698829380698</v>
      </c>
      <c r="D41" s="67" t="s">
        <v>540</v>
      </c>
      <c r="E41" s="67" t="s">
        <v>468</v>
      </c>
      <c r="F41" s="67">
        <v>20260414</v>
      </c>
      <c r="G41" s="67"/>
      <c r="H41" s="67" t="str">
        <f>IF(B41="","",VLOOKUP(AD41,Varsayımlar!$B:$Q,5,0))</f>
        <v>Tortillove 25cm</v>
      </c>
      <c r="I41" s="67">
        <f>IF(B41="","",VLOOKUP(AD41,Varsayımlar!B:T,19,0))</f>
        <v>0</v>
      </c>
      <c r="J41" s="67" t="str">
        <f>IF(B41="","",VLOOKUP(AD41,Varsayımlar!$B:$Q,6,0))</f>
        <v>SADE</v>
      </c>
      <c r="K41" s="67">
        <v>100</v>
      </c>
      <c r="L41" s="67"/>
      <c r="M41" s="67">
        <f>IFERROR(IF(B41="","",K41/VLOOKUP(AD41,Varsayımlar!B:R,17,0)),"")</f>
        <v>1</v>
      </c>
      <c r="N41" s="67"/>
      <c r="O41" s="67">
        <v>2</v>
      </c>
      <c r="P41" s="67">
        <f>IF(B41="","",VLOOKUP(AD41,Varsayımlar!$B:$Q,7,0)*K41)</f>
        <v>1200</v>
      </c>
      <c r="Q41" s="67">
        <f>IF(B41="","",VLOOKUP(AD41,Varsayımlar!$B:$Q,8,0))</f>
        <v>25</v>
      </c>
      <c r="R41" s="67" t="str">
        <f>IF(B41="","",VLOOKUP(AD41,Varsayımlar!$B:$Q,9,0))</f>
        <v>Irak Soft</v>
      </c>
      <c r="S41" s="67">
        <f>IF(B41="","",VLOOKUP(AD41,Varsayımlar!$B:$Q,10,0))</f>
        <v>10</v>
      </c>
      <c r="T41" s="67">
        <f>IF(B41="","",VLOOKUP(AD41,Varsayımlar!$B:$Q,11,0))</f>
        <v>12</v>
      </c>
      <c r="U41" s="67">
        <f>IF(B41="","",VLOOKUP(AD41,Varsayımlar!$B:$Q,12,0))</f>
        <v>650</v>
      </c>
      <c r="V41" s="67" t="str">
        <f>IF(B41="","",VLOOKUP(AD41,Varsayımlar!$B:$Q,13,0))</f>
        <v>Yurtdışı</v>
      </c>
      <c r="W41" s="67">
        <f>IF(B41="","",VLOOKUP(AD41,Varsayımlar!$B:$Q,14,0))</f>
        <v>6</v>
      </c>
      <c r="X41" s="69">
        <v>46216</v>
      </c>
      <c r="Y41" s="69">
        <v>46400</v>
      </c>
      <c r="Z41" s="67">
        <v>26071325</v>
      </c>
      <c r="AA41" s="67" t="str">
        <f>IF(B41="","",VLOOKUP(AD41,Varsayımlar!$B:$Q,15,0))</f>
        <v>25cm Kırmızı Koli</v>
      </c>
      <c r="AB41" s="67" t="str">
        <f>IF(B41="","",VLOOKUP(AD41,Varsayımlar!$B:$Q,16,0))</f>
        <v>24-26 cm</v>
      </c>
      <c r="AC41" s="75" t="str">
        <f>IF(B41="","",VLOOKUP(Sayfa1!AD64,Varsayımlar!B:S,18,0))</f>
        <v>80x120cm -Epal+Epal</v>
      </c>
      <c r="AD41" s="57" t="str">
        <f>IF(B41="","",CONCATENATE(B41,E41))</f>
        <v>Yüksekbaş GıdaYüksekbaş 25cm 10pcs 650g</v>
      </c>
    </row>
    <row r="42" spans="1:30" ht="44.25" customHeight="1" x14ac:dyDescent="0.25">
      <c r="A42" s="8" t="s">
        <v>79</v>
      </c>
      <c r="B42" s="42" t="s">
        <v>460</v>
      </c>
      <c r="C42" s="42">
        <f>IF(B42="","",VLOOKUP(AD42,Varsayımlar!$B:$Q,3,0))</f>
        <v>8698829380698</v>
      </c>
      <c r="D42" s="42" t="s">
        <v>540</v>
      </c>
      <c r="E42" s="42" t="s">
        <v>471</v>
      </c>
      <c r="F42" s="42">
        <v>20260414</v>
      </c>
      <c r="G42" s="42"/>
      <c r="H42" s="42" t="str">
        <f>IF(B42="","",VLOOKUP(AD42,Varsayımlar!$B:$Q,5,0))</f>
        <v>Tortillove Tam Buğday 25cm</v>
      </c>
      <c r="I42" s="42">
        <f>IF(B42="","",VLOOKUP(AD42,Varsayımlar!B:T,19,0))</f>
        <v>0</v>
      </c>
      <c r="J42" s="42" t="str">
        <f>IF(B42="","",VLOOKUP(AD42,Varsayımlar!$B:$Q,6,0))</f>
        <v>Tam Buğdaylı</v>
      </c>
      <c r="K42" s="42">
        <v>500</v>
      </c>
      <c r="L42" s="42"/>
      <c r="M42" s="42">
        <f>IFERROR(IF(B42="","",K42/VLOOKUP(AD42,Varsayımlar!B:R,17,0)),"")</f>
        <v>5</v>
      </c>
      <c r="N42" s="42"/>
      <c r="O42" s="42">
        <v>7</v>
      </c>
      <c r="P42" s="42">
        <f>IF(B42="","",VLOOKUP(AD42,Varsayımlar!$B:$Q,7,0)*K42)</f>
        <v>6000</v>
      </c>
      <c r="Q42" s="42">
        <f>IF(B42="","",VLOOKUP(AD42,Varsayımlar!$B:$Q,8,0))</f>
        <v>25</v>
      </c>
      <c r="R42" s="42" t="str">
        <f>IF(B42="","",VLOOKUP(AD42,Varsayımlar!$B:$Q,9,0))</f>
        <v>Irak Soft</v>
      </c>
      <c r="S42" s="42">
        <f>IF(B42="","",VLOOKUP(AD42,Varsayımlar!$B:$Q,10,0))</f>
        <v>10</v>
      </c>
      <c r="T42" s="42">
        <f>IF(B42="","",VLOOKUP(AD42,Varsayımlar!$B:$Q,11,0))</f>
        <v>12</v>
      </c>
      <c r="U42" s="42">
        <f>IF(B42="","",VLOOKUP(AD42,Varsayımlar!$B:$Q,12,0))</f>
        <v>650</v>
      </c>
      <c r="V42" s="42" t="str">
        <f>IF(B42="","",VLOOKUP(AD42,Varsayımlar!$B:$Q,13,0))</f>
        <v>Yurtdışı</v>
      </c>
      <c r="W42" s="42">
        <f>IF(B42="","",VLOOKUP(AD42,Varsayımlar!$B:$Q,14,0))</f>
        <v>6</v>
      </c>
      <c r="X42" s="69">
        <v>46216</v>
      </c>
      <c r="Y42" s="69">
        <v>46400</v>
      </c>
      <c r="Z42" s="42" t="s">
        <v>475</v>
      </c>
      <c r="AA42" s="42" t="str">
        <f>IF(B42="","",VLOOKUP(AD42,Varsayımlar!$B:$Q,15,0))</f>
        <v>25cm Kırmızı Koli-Etiketli</v>
      </c>
      <c r="AB42" s="42" t="str">
        <f>IF(B42="","",VLOOKUP(AD42,Varsayımlar!$B:$Q,16,0))</f>
        <v>24-26 cm</v>
      </c>
      <c r="AC42" s="75" t="str">
        <f>IF(B42="","",VLOOKUP(Sayfa1!AD64,Varsayımlar!B:S,18,0))</f>
        <v>80x120cm -Epal+Epal</v>
      </c>
      <c r="AD42" s="57" t="str">
        <f>IF(B42="","",CONCATENATE(B42,E42))</f>
        <v>Yüksekbaş GıdaYüksekbaş TB 25cm 10pcs 650g</v>
      </c>
    </row>
    <row r="43" spans="1:30" ht="45.75" customHeight="1" x14ac:dyDescent="0.25">
      <c r="A43" s="8" t="s">
        <v>80</v>
      </c>
      <c r="B43" s="130" t="s">
        <v>119</v>
      </c>
      <c r="C43" s="131">
        <f>IF(B43="","",VLOOKUP(AD43,Varsayımlar!$B:$Q,3,0))</f>
        <v>8698829380698</v>
      </c>
      <c r="D43" s="131"/>
      <c r="E43" s="132" t="s">
        <v>120</v>
      </c>
      <c r="F43" s="130"/>
      <c r="G43" s="130"/>
      <c r="H43" s="130" t="str">
        <f>IF(B43="","",VLOOKUP(AD43,Varsayımlar!$B:$Q,5,0))</f>
        <v>Nimet 25 cm</v>
      </c>
      <c r="I43" s="130"/>
      <c r="J43" s="130" t="str">
        <f>IF(B43="","",VLOOKUP(AD43,Varsayımlar!$B:$Q,6,0))</f>
        <v>SADE</v>
      </c>
      <c r="K43" s="130">
        <v>4000</v>
      </c>
      <c r="L43" s="130"/>
      <c r="M43" s="130">
        <f>IFERROR(IF(B43="","",K43/VLOOKUP(AD43,Varsayımlar!B:R,17,0)),"")</f>
        <v>80</v>
      </c>
      <c r="N43" s="130"/>
      <c r="O43" s="130">
        <v>60</v>
      </c>
      <c r="P43" s="130">
        <f>IF(B43="","",VLOOKUP(AD43,Varsayımlar!$B:$Q,7,0)*K43)</f>
        <v>48000</v>
      </c>
      <c r="Q43" s="130">
        <f>IF(B43="","",VLOOKUP(AD43,Varsayımlar!$B:$Q,8,0))</f>
        <v>25</v>
      </c>
      <c r="R43" s="130" t="str">
        <f>IF(B43="","",VLOOKUP(AD43,Varsayımlar!$B:$Q,9,0))</f>
        <v>Standart</v>
      </c>
      <c r="S43" s="130">
        <f>IF(B43="","",VLOOKUP(AD43,Varsayımlar!$B:$Q,10,0))</f>
        <v>12</v>
      </c>
      <c r="T43" s="130">
        <f>IF(B43="","",VLOOKUP(AD43,Varsayımlar!$B:$Q,11,0))</f>
        <v>12</v>
      </c>
      <c r="U43" s="130">
        <f>IF(B43="","",VLOOKUP(AD43,Varsayımlar!$B:$Q,12,0))</f>
        <v>840</v>
      </c>
      <c r="V43" s="130" t="str">
        <f>IF(B43="","",VLOOKUP(AD43,Varsayımlar!$B:$Q,13,0))</f>
        <v>YURTİÇİ</v>
      </c>
      <c r="W43" s="130">
        <f>IF(B43="","",VLOOKUP(AD43,Varsayımlar!$B:$Q,14,0))</f>
        <v>5</v>
      </c>
      <c r="X43" s="133" t="s">
        <v>113</v>
      </c>
      <c r="Y43" s="133" t="s">
        <v>113</v>
      </c>
      <c r="Z43" s="130" t="s">
        <v>113</v>
      </c>
      <c r="AA43" s="130" t="str">
        <f>IF(B43="","",VLOOKUP(AD43,Varsayımlar!$B:$Q,15,0))</f>
        <v>Nimet Kolisi</v>
      </c>
      <c r="AB43" s="130" t="str">
        <f>IF(B43="","",VLOOKUP(AD43,Varsayımlar!$B:$Q,16,0))</f>
        <v>24-26 CM</v>
      </c>
      <c r="AC43" s="64" t="s">
        <v>360</v>
      </c>
      <c r="AD43" s="57" t="str">
        <f>IF(B43="","",CONCATENATE(B43,E43))</f>
        <v>A101Nimet 25cm 12 pcs 840g</v>
      </c>
    </row>
    <row r="44" spans="1:30" ht="36" customHeight="1" x14ac:dyDescent="0.25">
      <c r="A44" s="8" t="s">
        <v>81</v>
      </c>
      <c r="B44" s="149" t="s">
        <v>500</v>
      </c>
      <c r="C44" s="149">
        <f>IF(B44="","",VLOOKUP(AD44,Varsayımlar!$B:$Q,3,0))</f>
        <v>8698829380698</v>
      </c>
      <c r="D44" s="149"/>
      <c r="E44" s="149" t="s">
        <v>193</v>
      </c>
      <c r="F44" s="149">
        <v>26062201</v>
      </c>
      <c r="G44" s="149"/>
      <c r="H44" s="149" t="str">
        <f>IF(B44="","",VLOOKUP(AD44,Varsayımlar!$B:$Q,5,0))</f>
        <v>Tortillas 25cm</v>
      </c>
      <c r="I44" s="149">
        <f>IF(B44="","",VLOOKUP(AD44,Varsayımlar!B:T,19,0))</f>
        <v>0</v>
      </c>
      <c r="J44" s="149" t="str">
        <f>IF(B44="","",VLOOKUP(AD44,Varsayımlar!$B:$Q,6,0))</f>
        <v>Sade</v>
      </c>
      <c r="K44" s="149">
        <v>50</v>
      </c>
      <c r="L44" s="149"/>
      <c r="M44" s="149">
        <f>IFERROR(IF(B44="","",K44/VLOOKUP(AD44,Varsayımlar!B:R,17,0)),"")</f>
        <v>1</v>
      </c>
      <c r="N44" s="149"/>
      <c r="O44" s="149">
        <v>1</v>
      </c>
      <c r="P44" s="149">
        <f>IF(B44="","",VLOOKUP(AD44,Varsayımlar!$B:$Q,7,0)*K44)</f>
        <v>600</v>
      </c>
      <c r="Q44" s="149">
        <f>IF(B44="","",VLOOKUP(AD44,Varsayımlar!$B:$Q,8,0))</f>
        <v>25</v>
      </c>
      <c r="R44" s="149" t="str">
        <f>IF(B44="","",VLOOKUP(AD44,Varsayımlar!$B:$Q,9,0))</f>
        <v>Irak Soft</v>
      </c>
      <c r="S44" s="149">
        <f>IF(B44="","",VLOOKUP(AD44,Varsayımlar!$B:$Q,10,0))</f>
        <v>10</v>
      </c>
      <c r="T44" s="149">
        <f>IF(B44="","",VLOOKUP(AD44,Varsayımlar!$B:$Q,11,0))</f>
        <v>12</v>
      </c>
      <c r="U44" s="149">
        <f>IF(B44="","",VLOOKUP(AD44,Varsayımlar!$B:$Q,12,0))</f>
        <v>650</v>
      </c>
      <c r="V44" s="149" t="str">
        <f>IF(B44="","",VLOOKUP(AD44,Varsayımlar!$B:$Q,13,0))</f>
        <v>Yurtdışı</v>
      </c>
      <c r="W44" s="149">
        <f>IF(B44="","",VLOOKUP(AD44,Varsayımlar!$B:$Q,14,0))</f>
        <v>12</v>
      </c>
      <c r="X44" s="151">
        <v>46231</v>
      </c>
      <c r="Y44" s="151">
        <v>46596</v>
      </c>
      <c r="Z44" s="149">
        <v>26072825</v>
      </c>
      <c r="AA44" s="149" t="str">
        <f>IF(B44="","",VLOOKUP(AD44,Varsayımlar!$B:$Q,15,0))</f>
        <v>25cm Kolisi</v>
      </c>
      <c r="AB44" s="149" t="str">
        <f>IF(B44="","",VLOOKUP(AD44,Varsayımlar!$B:$Q,16,0))</f>
        <v>24-26cm</v>
      </c>
      <c r="AC44" s="67"/>
      <c r="AD44" s="57" t="str">
        <f t="shared" ref="AD44:AD47" si="1">IF(B44="","",CONCATENATE(B44,E44))</f>
        <v>Fama GroupTortillas 25cm 10pcs 650g</v>
      </c>
    </row>
    <row r="45" spans="1:30" ht="33.75" customHeight="1" x14ac:dyDescent="0.25">
      <c r="A45" s="8" t="s">
        <v>82</v>
      </c>
      <c r="B45" s="67" t="s">
        <v>460</v>
      </c>
      <c r="C45" s="42">
        <f>IF(B45="","",VLOOKUP(AD45,Varsayımlar!$B:$Q,3,0))</f>
        <v>8698829380698</v>
      </c>
      <c r="D45" s="67" t="s">
        <v>539</v>
      </c>
      <c r="E45" s="67" t="s">
        <v>468</v>
      </c>
      <c r="F45" s="67">
        <v>20260626</v>
      </c>
      <c r="G45" s="67"/>
      <c r="H45" s="67" t="str">
        <f>IF(B45="","",VLOOKUP(AD45,Varsayımlar!$B:$Q,5,0))</f>
        <v>Tortillove 25cm</v>
      </c>
      <c r="I45" s="67">
        <f>IF(B45="","",VLOOKUP(AD45,Varsayımlar!B:T,19,0))</f>
        <v>0</v>
      </c>
      <c r="J45" s="67" t="str">
        <f>IF(B45="","",VLOOKUP(AD45,Varsayımlar!$B:$Q,6,0))</f>
        <v>SADE</v>
      </c>
      <c r="K45" s="67">
        <v>100</v>
      </c>
      <c r="L45" s="67"/>
      <c r="M45" s="67">
        <f>IFERROR(IF(B45="","",K45/VLOOKUP(AD45,Varsayımlar!B:R,17,0)),"")</f>
        <v>1</v>
      </c>
      <c r="N45" s="67"/>
      <c r="O45" s="67">
        <v>2</v>
      </c>
      <c r="P45" s="67">
        <f>IF(B45="","",VLOOKUP(AD45,Varsayımlar!$B:$Q,7,0)*K45)</f>
        <v>1200</v>
      </c>
      <c r="Q45" s="67">
        <f>IF(B45="","",VLOOKUP(AD45,Varsayımlar!$B:$Q,8,0))</f>
        <v>25</v>
      </c>
      <c r="R45" s="67" t="str">
        <f>IF(B45="","",VLOOKUP(AD45,Varsayımlar!$B:$Q,9,0))</f>
        <v>Irak Soft</v>
      </c>
      <c r="S45" s="67">
        <f>IF(B45="","",VLOOKUP(AD45,Varsayımlar!$B:$Q,10,0))</f>
        <v>10</v>
      </c>
      <c r="T45" s="67">
        <f>IF(B45="","",VLOOKUP(AD45,Varsayımlar!$B:$Q,11,0))</f>
        <v>12</v>
      </c>
      <c r="U45" s="67">
        <f>IF(B45="","",VLOOKUP(AD45,Varsayımlar!$B:$Q,12,0))</f>
        <v>650</v>
      </c>
      <c r="V45" s="67" t="str">
        <f>IF(B45="","",VLOOKUP(AD45,Varsayımlar!$B:$Q,13,0))</f>
        <v>Yurtdışı</v>
      </c>
      <c r="W45" s="67">
        <f>IF(B45="","",VLOOKUP(AD45,Varsayımlar!$B:$Q,14,0))</f>
        <v>6</v>
      </c>
      <c r="X45" s="69"/>
      <c r="Y45" s="69"/>
      <c r="Z45" s="67"/>
      <c r="AA45" s="67" t="str">
        <f>IF(B45="","",VLOOKUP(AD45,Varsayımlar!$B:$Q,15,0))</f>
        <v>25cm Kırmızı Koli</v>
      </c>
      <c r="AB45" s="67" t="str">
        <f>IF(B45="","",VLOOKUP(AD45,Varsayımlar!$B:$Q,16,0))</f>
        <v>24-26 cm</v>
      </c>
      <c r="AC45" s="75">
        <f>IF(B45="","",VLOOKUP(Sayfa1!AD69,Varsayımlar!B:S,18,0))</f>
        <v>0</v>
      </c>
      <c r="AD45" s="57" t="str">
        <f t="shared" si="1"/>
        <v>Yüksekbaş GıdaYüksekbaş 25cm 10pcs 650g</v>
      </c>
    </row>
    <row r="46" spans="1:30" ht="31.5" x14ac:dyDescent="0.25">
      <c r="A46" s="8" t="s">
        <v>83</v>
      </c>
      <c r="B46" s="42" t="s">
        <v>460</v>
      </c>
      <c r="C46" s="42">
        <f>IF(B46="","",VLOOKUP(AD46,Varsayımlar!$B:$Q,3,0))</f>
        <v>8698829380698</v>
      </c>
      <c r="D46" s="42" t="s">
        <v>539</v>
      </c>
      <c r="E46" s="42" t="s">
        <v>471</v>
      </c>
      <c r="F46" s="42">
        <v>20260626</v>
      </c>
      <c r="G46" s="42"/>
      <c r="H46" s="42" t="str">
        <f>IF(B46="","",VLOOKUP(AD46,Varsayımlar!$B:$Q,5,0))</f>
        <v>Tortillove Tam Buğday 25cm</v>
      </c>
      <c r="I46" s="42">
        <f>IF(B46="","",VLOOKUP(AD46,Varsayımlar!B:T,19,0))</f>
        <v>0</v>
      </c>
      <c r="J46" s="42" t="str">
        <f>IF(B46="","",VLOOKUP(AD46,Varsayımlar!$B:$Q,6,0))</f>
        <v>Tam Buğdaylı</v>
      </c>
      <c r="K46" s="42">
        <v>500</v>
      </c>
      <c r="L46" s="42"/>
      <c r="M46" s="42">
        <f>IFERROR(IF(B46="","",K46/VLOOKUP(AD46,Varsayımlar!B:R,17,0)),"")</f>
        <v>5</v>
      </c>
      <c r="N46" s="42"/>
      <c r="O46" s="42">
        <v>7</v>
      </c>
      <c r="P46" s="42">
        <f>IF(B46="","",VLOOKUP(AD46,Varsayımlar!$B:$Q,7,0)*K46)</f>
        <v>6000</v>
      </c>
      <c r="Q46" s="42">
        <f>IF(B46="","",VLOOKUP(AD46,Varsayımlar!$B:$Q,8,0))</f>
        <v>25</v>
      </c>
      <c r="R46" s="42" t="str">
        <f>IF(B46="","",VLOOKUP(AD46,Varsayımlar!$B:$Q,9,0))</f>
        <v>Irak Soft</v>
      </c>
      <c r="S46" s="42">
        <f>IF(B46="","",VLOOKUP(AD46,Varsayımlar!$B:$Q,10,0))</f>
        <v>10</v>
      </c>
      <c r="T46" s="42">
        <f>IF(B46="","",VLOOKUP(AD46,Varsayımlar!$B:$Q,11,0))</f>
        <v>12</v>
      </c>
      <c r="U46" s="42">
        <f>IF(B46="","",VLOOKUP(AD46,Varsayımlar!$B:$Q,12,0))</f>
        <v>650</v>
      </c>
      <c r="V46" s="42" t="str">
        <f>IF(B46="","",VLOOKUP(AD46,Varsayımlar!$B:$Q,13,0))</f>
        <v>Yurtdışı</v>
      </c>
      <c r="W46" s="42">
        <f>IF(B46="","",VLOOKUP(AD46,Varsayımlar!$B:$Q,14,0))</f>
        <v>6</v>
      </c>
      <c r="X46" s="69"/>
      <c r="Y46" s="69"/>
      <c r="Z46" s="42"/>
      <c r="AA46" s="42" t="str">
        <f>IF(B46="","",VLOOKUP(AD46,Varsayımlar!$B:$Q,15,0))</f>
        <v>25cm Kırmızı Koli-Etiketli</v>
      </c>
      <c r="AB46" s="42" t="str">
        <f>IF(B46="","",VLOOKUP(AD46,Varsayımlar!$B:$Q,16,0))</f>
        <v>24-26 cm</v>
      </c>
      <c r="AC46" s="75">
        <f>IF(B46="","",VLOOKUP(Sayfa1!AD69,Varsayımlar!B:S,18,0))</f>
        <v>0</v>
      </c>
      <c r="AD46" s="57" t="str">
        <f t="shared" si="1"/>
        <v>Yüksekbaş GıdaYüksekbaş TB 25cm 10pcs 650g</v>
      </c>
    </row>
    <row r="47" spans="1:30" ht="49.5" customHeight="1" x14ac:dyDescent="0.25">
      <c r="A47" s="8" t="s">
        <v>84</v>
      </c>
      <c r="B47" s="152" t="s">
        <v>571</v>
      </c>
      <c r="C47" s="153">
        <f>IF(B47="","",VLOOKUP(AD47,Varsayımlar!$B:$Q,3,0))</f>
        <v>8698829380698</v>
      </c>
      <c r="D47" s="154"/>
      <c r="E47" s="154" t="s">
        <v>574</v>
      </c>
      <c r="F47" s="152">
        <v>20260701</v>
      </c>
      <c r="G47" s="152" t="s">
        <v>578</v>
      </c>
      <c r="H47" s="152" t="str">
        <f>IF(B47="","",VLOOKUP(AD47,Varsayımlar!$B:$Q,5,0))</f>
        <v>Tortillas 25cm</v>
      </c>
      <c r="I47" s="152" t="str">
        <f>IF(B47="","",VLOOKUP(AD47,Varsayımlar!B:T,19,0))</f>
        <v>Azerice Etiketli</v>
      </c>
      <c r="J47" s="152" t="str">
        <f>IF(B47="","",VLOOKUP(AD47,Varsayımlar!$B:$Q,6,0))</f>
        <v>Sade</v>
      </c>
      <c r="K47" s="152">
        <v>80</v>
      </c>
      <c r="L47" s="152"/>
      <c r="M47" s="152">
        <f>IFERROR(IF(B47="","",K47/VLOOKUP(AD47,Varsayımlar!B:R,17,0)),"")</f>
        <v>1</v>
      </c>
      <c r="N47" s="152"/>
      <c r="O47" s="152">
        <v>0</v>
      </c>
      <c r="P47" s="152">
        <f>IF(B47="","",VLOOKUP(AD47,Varsayımlar!$B:$Q,7,0)*K47)</f>
        <v>480</v>
      </c>
      <c r="Q47" s="152">
        <f>IF(B47="","",VLOOKUP(AD47,Varsayımlar!$B:$Q,8,0))</f>
        <v>25</v>
      </c>
      <c r="R47" s="152" t="str">
        <f>IF(B47="","",VLOOKUP(AD47,Varsayımlar!$B:$Q,9,0))</f>
        <v>Irak soft</v>
      </c>
      <c r="S47" s="152">
        <f>IF(B47="","",VLOOKUP(AD47,Varsayımlar!$B:$Q,10,0))</f>
        <v>18</v>
      </c>
      <c r="T47" s="152">
        <f>IF(B47="","",VLOOKUP(AD47,Varsayımlar!$B:$Q,11,0))</f>
        <v>6</v>
      </c>
      <c r="U47" s="152">
        <f>IF(B47="","",VLOOKUP(AD47,Varsayımlar!$B:$Q,12,0))</f>
        <v>1170</v>
      </c>
      <c r="V47" s="152" t="str">
        <f>IF(B47="","",VLOOKUP(AD47,Varsayımlar!$B:$Q,13,0))</f>
        <v>Yurtdışı</v>
      </c>
      <c r="W47" s="152">
        <f>IF(B47="","",VLOOKUP(AD47,Varsayımlar!$B:$Q,14,0))</f>
        <v>9</v>
      </c>
      <c r="X47" s="155"/>
      <c r="Y47" s="155"/>
      <c r="Z47" s="152"/>
      <c r="AA47" s="152" t="str">
        <f>IF(B47="","",VLOOKUP(AD47,Varsayımlar!$B:$Q,15,0))</f>
        <v>25cm Kolisi</v>
      </c>
      <c r="AB47" s="152" t="str">
        <f>IF(B47="","",VLOOKUP(AD47,Varsayımlar!$B:$Q,16,0))</f>
        <v>24-26cm</v>
      </c>
      <c r="AC47" s="8" t="e">
        <f>IF(B47="","",VLOOKUP(#REF!,#REF!,18,0))</f>
        <v>#REF!</v>
      </c>
      <c r="AD47" s="8" t="str">
        <f t="shared" si="1"/>
        <v>HRC TradeTortillas 25cm 18pcs 1170g</v>
      </c>
    </row>
    <row r="48" spans="1:30" ht="36" customHeight="1" x14ac:dyDescent="0.25">
      <c r="A48" s="8" t="s">
        <v>85</v>
      </c>
      <c r="B48" s="67"/>
      <c r="C48" s="42" t="str">
        <f>IF(B48="","",VLOOKUP(AD48,#REF!,3,0))</f>
        <v/>
      </c>
      <c r="D48" s="42"/>
      <c r="E48" s="42"/>
      <c r="F48" s="67"/>
      <c r="G48" s="67"/>
      <c r="H48" s="67" t="str">
        <f>IF(B48="","",VLOOKUP(AD48,#REF!,5,0))</f>
        <v/>
      </c>
      <c r="I48" s="67" t="str">
        <f>IF(B48="","",VLOOKUP(AD48,#REF!,19,0))</f>
        <v/>
      </c>
      <c r="J48" s="67" t="str">
        <f>IF(B48="","",VLOOKUP(AD48,#REF!,6,0))</f>
        <v/>
      </c>
      <c r="K48" s="67"/>
      <c r="L48" s="67"/>
      <c r="M48" s="42" t="str">
        <f>IFERROR(IF(B48="","",K48/VLOOKUP(AD48,Varsayımlar!B:R,17,0)),"")</f>
        <v/>
      </c>
      <c r="N48" s="67"/>
      <c r="O48" s="67"/>
      <c r="P48" s="67" t="str">
        <f>IF(B48="","",VLOOKUP(AD48,#REF!,7,0)*K48)</f>
        <v/>
      </c>
      <c r="Q48" s="67" t="str">
        <f>IF(B48="","",VLOOKUP(AD48,#REF!,8,0))</f>
        <v/>
      </c>
      <c r="R48" s="67" t="str">
        <f>IF(B48="","",VLOOKUP(AD48,#REF!,9,0))</f>
        <v/>
      </c>
      <c r="S48" s="67" t="str">
        <f>IF(B48="","",VLOOKUP(AD48,#REF!,10,0))</f>
        <v/>
      </c>
      <c r="T48" s="67" t="str">
        <f>IF(B48="","",VLOOKUP(AD48,#REF!,11,0))</f>
        <v/>
      </c>
      <c r="U48" s="67" t="str">
        <f>IF(B48="","",VLOOKUP(AD48,#REF!,12,0))</f>
        <v/>
      </c>
      <c r="V48" s="67" t="str">
        <f>IF(B48="","",VLOOKUP(AD48,#REF!,13,0))</f>
        <v/>
      </c>
      <c r="W48" s="67" t="str">
        <f>IF(B48="","",VLOOKUP(AD48,#REF!,14,0))</f>
        <v/>
      </c>
      <c r="X48" s="69"/>
      <c r="Y48" s="69"/>
      <c r="Z48" s="67"/>
      <c r="AA48" s="67" t="str">
        <f>IF(B48="","",VLOOKUP(AD48,#REF!,15,0))</f>
        <v/>
      </c>
      <c r="AB48" s="67" t="str">
        <f>IF(B48="","",VLOOKUP(AD48,#REF!,16,0))</f>
        <v/>
      </c>
      <c r="AC48" s="145"/>
      <c r="AD48" s="57"/>
    </row>
    <row r="49" spans="1:30" ht="36" customHeight="1" x14ac:dyDescent="0.25">
      <c r="A49" s="8" t="s">
        <v>86</v>
      </c>
      <c r="B49" s="67"/>
      <c r="C49" s="42" t="str">
        <f>IF(B49="","",VLOOKUP(AD49,#REF!,3,0))</f>
        <v/>
      </c>
      <c r="D49" s="42"/>
      <c r="E49" s="42"/>
      <c r="F49" s="67"/>
      <c r="G49" s="67"/>
      <c r="H49" s="67" t="str">
        <f>IF(B49="","",VLOOKUP(AD49,#REF!,5,0))</f>
        <v/>
      </c>
      <c r="I49" s="67" t="str">
        <f>IF(B49="","",VLOOKUP(AD49,#REF!,19,0))</f>
        <v/>
      </c>
      <c r="J49" s="67" t="str">
        <f>IF(B49="","",VLOOKUP(AD49,#REF!,6,0))</f>
        <v/>
      </c>
      <c r="K49" s="67"/>
      <c r="L49" s="67"/>
      <c r="M49" s="42" t="str">
        <f>IFERROR(IF(B49="","",K49/VLOOKUP(AD49,Varsayımlar!B:R,17,0)),"")</f>
        <v/>
      </c>
      <c r="N49" s="67"/>
      <c r="O49" s="67"/>
      <c r="P49" s="67" t="str">
        <f>IF(B49="","",VLOOKUP(AD49,#REF!,7,0)*K49)</f>
        <v/>
      </c>
      <c r="Q49" s="67" t="str">
        <f>IF(B49="","",VLOOKUP(AD49,#REF!,8,0))</f>
        <v/>
      </c>
      <c r="R49" s="67" t="str">
        <f>IF(B49="","",VLOOKUP(AD49,#REF!,9,0))</f>
        <v/>
      </c>
      <c r="S49" s="67" t="str">
        <f>IF(B49="","",VLOOKUP(AD49,#REF!,10,0))</f>
        <v/>
      </c>
      <c r="T49" s="67" t="str">
        <f>IF(B49="","",VLOOKUP(AD49,#REF!,11,0))</f>
        <v/>
      </c>
      <c r="U49" s="67" t="str">
        <f>IF(B49="","",VLOOKUP(AD49,#REF!,12,0))</f>
        <v/>
      </c>
      <c r="V49" s="67" t="str">
        <f>IF(B49="","",VLOOKUP(AD49,#REF!,13,0))</f>
        <v/>
      </c>
      <c r="W49" s="67" t="str">
        <f>IF(B49="","",VLOOKUP(AD49,#REF!,14,0))</f>
        <v/>
      </c>
      <c r="X49" s="69"/>
      <c r="Y49" s="69"/>
      <c r="Z49" s="67"/>
      <c r="AA49" s="67" t="str">
        <f>IF(B49="","",VLOOKUP(AD49,#REF!,15,0))</f>
        <v/>
      </c>
      <c r="AB49" s="67" t="str">
        <f>IF(B49="","",VLOOKUP(AD49,#REF!,16,0))</f>
        <v/>
      </c>
      <c r="AC49" s="145"/>
      <c r="AD49" s="57"/>
    </row>
    <row r="50" spans="1:30" ht="36" customHeight="1" x14ac:dyDescent="0.25">
      <c r="A50" s="8" t="s">
        <v>87</v>
      </c>
      <c r="B50" s="67"/>
      <c r="C50" s="42" t="str">
        <f>IF(B50="","",VLOOKUP(AD50,#REF!,3,0))</f>
        <v/>
      </c>
      <c r="D50" s="42"/>
      <c r="E50" s="42"/>
      <c r="F50" s="67"/>
      <c r="G50" s="67"/>
      <c r="H50" s="67" t="str">
        <f>IF(B50="","",VLOOKUP(AD50,#REF!,5,0))</f>
        <v/>
      </c>
      <c r="I50" s="67" t="str">
        <f>IF(B50="","",VLOOKUP(AD50,#REF!,19,0))</f>
        <v/>
      </c>
      <c r="J50" s="67" t="str">
        <f>IF(B50="","",VLOOKUP(AD50,#REF!,6,0))</f>
        <v/>
      </c>
      <c r="K50" s="67"/>
      <c r="L50" s="67"/>
      <c r="M50" s="42" t="str">
        <f>IFERROR(IF(B50="","",K50/VLOOKUP(AD50,Varsayımlar!B:R,17,0)),"")</f>
        <v/>
      </c>
      <c r="N50" s="67"/>
      <c r="O50" s="67"/>
      <c r="P50" s="67" t="str">
        <f>IF(B50="","",VLOOKUP(AD50,#REF!,7,0)*K50)</f>
        <v/>
      </c>
      <c r="Q50" s="67" t="str">
        <f>IF(B50="","",VLOOKUP(AD50,#REF!,8,0))</f>
        <v/>
      </c>
      <c r="R50" s="67" t="str">
        <f>IF(B50="","",VLOOKUP(AD50,#REF!,9,0))</f>
        <v/>
      </c>
      <c r="S50" s="67" t="str">
        <f>IF(B50="","",VLOOKUP(AD50,#REF!,10,0))</f>
        <v/>
      </c>
      <c r="T50" s="67" t="str">
        <f>IF(B50="","",VLOOKUP(AD50,#REF!,11,0))</f>
        <v/>
      </c>
      <c r="U50" s="67" t="str">
        <f>IF(B50="","",VLOOKUP(AD50,#REF!,12,0))</f>
        <v/>
      </c>
      <c r="V50" s="67" t="str">
        <f>IF(B50="","",VLOOKUP(AD50,#REF!,13,0))</f>
        <v/>
      </c>
      <c r="W50" s="67" t="str">
        <f>IF(B50="","",VLOOKUP(AD50,#REF!,14,0))</f>
        <v/>
      </c>
      <c r="X50" s="69"/>
      <c r="Y50" s="69"/>
      <c r="Z50" s="67"/>
      <c r="AA50" s="67" t="str">
        <f>IF(B50="","",VLOOKUP(AD50,#REF!,15,0))</f>
        <v/>
      </c>
      <c r="AB50" s="67" t="str">
        <f>IF(B50="","",VLOOKUP(AD50,#REF!,16,0))</f>
        <v/>
      </c>
      <c r="AC50" s="145"/>
      <c r="AD50" s="57"/>
    </row>
    <row r="51" spans="1:30" x14ac:dyDescent="0.25">
      <c r="C51" s="141" t="str">
        <f>IF(B51="","",VLOOKUP(AD51,Varsayımlar!$B:$Q,3,0))</f>
        <v/>
      </c>
      <c r="H51" s="140" t="str">
        <f>IF(B51="","",VLOOKUP(AD51,Varsayımlar!$B:$Q,5,0))</f>
        <v/>
      </c>
      <c r="J51" s="140" t="str">
        <f>IF(B51="","",VLOOKUP(AD51,Varsayımlar!$B:$Q,6,0))</f>
        <v/>
      </c>
      <c r="P51" s="140" t="str">
        <f>IF(B51="","",VLOOKUP(AD51,Varsayımlar!$B:$Q,7,0)*K51)</f>
        <v/>
      </c>
      <c r="Q51" s="140" t="str">
        <f>IF(B51="","",VLOOKUP(AD51,Varsayımlar!$B:$Q,8,0))</f>
        <v/>
      </c>
      <c r="R51" s="140" t="str">
        <f>IF(B51="","",VLOOKUP(AD51,Varsayımlar!$B:$Q,9,0))</f>
        <v/>
      </c>
      <c r="S51" s="140" t="str">
        <f>IF(B51="","",VLOOKUP(AD51,Varsayımlar!$B:$Q,10,0))</f>
        <v/>
      </c>
      <c r="T51" s="140" t="str">
        <f>IF(B51="","",VLOOKUP(AD51,Varsayımlar!$B:$Q,11,0))</f>
        <v/>
      </c>
      <c r="U51" s="140" t="str">
        <f>IF(B51="","",VLOOKUP(AD51,Varsayımlar!$B:$Q,12,0))</f>
        <v/>
      </c>
      <c r="V51" s="140" t="str">
        <f>IF(B51="","",VLOOKUP(AD51,Varsayımlar!$B:$Q,13,0))</f>
        <v/>
      </c>
      <c r="W51" s="140" t="str">
        <f>IF(B51="","",VLOOKUP(AD51,Varsayımlar!$B:$Q,14,0))</f>
        <v/>
      </c>
      <c r="AA51" s="140" t="str">
        <f>IF(B51="","",VLOOKUP(AD51,Varsayımlar!$B:$Q,15,0))</f>
        <v/>
      </c>
      <c r="AB51" s="140" t="str">
        <f>IF(B51="","",VLOOKUP(AD51,Varsayımlar!$B:$Q,16,0))</f>
        <v/>
      </c>
      <c r="AD51" s="140" t="str">
        <f>IF(B51="","",CONCATENATE(B51,E51))</f>
        <v/>
      </c>
    </row>
    <row r="52" spans="1:30" ht="31.5" customHeight="1" x14ac:dyDescent="0.25">
      <c r="A52" s="182" t="s">
        <v>345</v>
      </c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4"/>
      <c r="AC52" s="38"/>
    </row>
    <row r="53" spans="1:30" ht="63" x14ac:dyDescent="0.25">
      <c r="A53" s="8" t="s">
        <v>0</v>
      </c>
      <c r="B53" s="8" t="s">
        <v>1</v>
      </c>
      <c r="C53" s="9" t="s">
        <v>31</v>
      </c>
      <c r="D53" s="9" t="s">
        <v>124</v>
      </c>
      <c r="E53" s="9" t="s">
        <v>36</v>
      </c>
      <c r="F53" s="8" t="s">
        <v>37</v>
      </c>
      <c r="G53" s="8" t="s">
        <v>13</v>
      </c>
      <c r="H53" s="8" t="s">
        <v>2</v>
      </c>
      <c r="I53" s="8" t="s">
        <v>49</v>
      </c>
      <c r="J53" s="8" t="s">
        <v>3</v>
      </c>
      <c r="K53" s="8" t="s">
        <v>21</v>
      </c>
      <c r="L53" s="8" t="s">
        <v>94</v>
      </c>
      <c r="M53" s="8" t="s">
        <v>20</v>
      </c>
      <c r="N53" s="8" t="s">
        <v>165</v>
      </c>
      <c r="O53" s="8" t="s">
        <v>123</v>
      </c>
      <c r="P53" s="8" t="s">
        <v>16</v>
      </c>
      <c r="Q53" s="8" t="s">
        <v>4</v>
      </c>
      <c r="R53" s="8" t="s">
        <v>5</v>
      </c>
      <c r="S53" s="8" t="s">
        <v>6</v>
      </c>
      <c r="T53" s="8" t="s">
        <v>28</v>
      </c>
      <c r="U53" s="8" t="s">
        <v>7</v>
      </c>
      <c r="V53" s="8" t="s">
        <v>8</v>
      </c>
      <c r="W53" s="8" t="s">
        <v>9</v>
      </c>
      <c r="X53" s="8" t="s">
        <v>10</v>
      </c>
      <c r="Y53" s="8" t="s">
        <v>11</v>
      </c>
      <c r="Z53" s="8" t="s">
        <v>12</v>
      </c>
      <c r="AA53" s="8" t="s">
        <v>14</v>
      </c>
      <c r="AB53" s="8" t="s">
        <v>15</v>
      </c>
      <c r="AC53" s="8" t="s">
        <v>208</v>
      </c>
      <c r="AD53" s="140" t="s">
        <v>41</v>
      </c>
    </row>
    <row r="54" spans="1:30" ht="47.25" x14ac:dyDescent="0.25">
      <c r="A54" s="8" t="s">
        <v>26</v>
      </c>
      <c r="B54" s="130" t="s">
        <v>119</v>
      </c>
      <c r="C54" s="130">
        <f>IF(B54="","",VLOOKUP(AD54,Varsayımlar!$B:$Q,3,0))</f>
        <v>8698829380698</v>
      </c>
      <c r="D54" s="130"/>
      <c r="E54" s="130" t="s">
        <v>120</v>
      </c>
      <c r="F54" s="130"/>
      <c r="G54" s="130"/>
      <c r="H54" s="130" t="str">
        <f>IF(B54="","",VLOOKUP(AD54,Varsayımlar!$B:$Q,5,0))</f>
        <v>Nimet 25 cm</v>
      </c>
      <c r="I54" s="130"/>
      <c r="J54" s="130" t="str">
        <f>IF(B54="","",VLOOKUP(AD54,Varsayımlar!$B:$Q,6,0))</f>
        <v>SADE</v>
      </c>
      <c r="K54" s="130">
        <v>4000</v>
      </c>
      <c r="L54" s="130"/>
      <c r="M54" s="130">
        <f>IFERROR(IF(B54="","",K54/VLOOKUP(AD54,Varsayımlar!B:R,17,0)),"")</f>
        <v>80</v>
      </c>
      <c r="N54" s="130"/>
      <c r="O54" s="130">
        <v>60</v>
      </c>
      <c r="P54" s="130">
        <f>IF(B54="","",VLOOKUP(AD54,Varsayımlar!$B:$Q,7,0)*K54)</f>
        <v>48000</v>
      </c>
      <c r="Q54" s="130">
        <f>IF(B54="","",VLOOKUP(AD54,Varsayımlar!$B:$Q,8,0))</f>
        <v>25</v>
      </c>
      <c r="R54" s="130" t="str">
        <f>IF(B54="","",VLOOKUP(AD54,Varsayımlar!$B:$Q,9,0))</f>
        <v>Standart</v>
      </c>
      <c r="S54" s="130">
        <f>IF(B54="","",VLOOKUP(AD54,Varsayımlar!$B:$Q,10,0))</f>
        <v>12</v>
      </c>
      <c r="T54" s="130">
        <f>IF(B54="","",VLOOKUP(AD54,Varsayımlar!$B:$Q,11,0))</f>
        <v>12</v>
      </c>
      <c r="U54" s="130">
        <f>IF(B54="","",VLOOKUP(AD54,Varsayımlar!$B:$Q,12,0))</f>
        <v>840</v>
      </c>
      <c r="V54" s="130" t="str">
        <f>IF(B54="","",VLOOKUP(AD54,Varsayımlar!$B:$Q,13,0))</f>
        <v>YURTİÇİ</v>
      </c>
      <c r="W54" s="130">
        <f>IF(B54="","",VLOOKUP(AD54,Varsayımlar!$B:$Q,14,0))</f>
        <v>5</v>
      </c>
      <c r="X54" s="130" t="s">
        <v>113</v>
      </c>
      <c r="Y54" s="130" t="s">
        <v>113</v>
      </c>
      <c r="Z54" s="130" t="s">
        <v>113</v>
      </c>
      <c r="AA54" s="130" t="str">
        <f>IF(B54="","",VLOOKUP(AD54,Varsayımlar!$B:$Q,15,0))</f>
        <v>Nimet Kolisi</v>
      </c>
      <c r="AB54" s="130" t="str">
        <f>IF(B54="","",VLOOKUP(AD54,Varsayımlar!$B:$Q,16,0))</f>
        <v>24-26 CM</v>
      </c>
      <c r="AC54" s="64" t="s">
        <v>360</v>
      </c>
      <c r="AD54" s="57" t="str">
        <f t="shared" ref="AD54" si="2">IF(B54="","",CONCATENATE(B54,E54))</f>
        <v>A101Nimet 25cm 12 pcs 840g</v>
      </c>
    </row>
    <row r="55" spans="1:30" ht="94.5" x14ac:dyDescent="0.25">
      <c r="A55" s="8" t="s">
        <v>77</v>
      </c>
      <c r="B55" s="75" t="s">
        <v>218</v>
      </c>
      <c r="C55" s="43">
        <f>IF(B55="","",VLOOKUP(AD55,Varsayımlar!$B:$Q,3,0))</f>
        <v>8698829380698</v>
      </c>
      <c r="D55" s="43" t="s">
        <v>161</v>
      </c>
      <c r="E55" s="75" t="s">
        <v>244</v>
      </c>
      <c r="F55" s="75" t="s">
        <v>561</v>
      </c>
      <c r="G55" s="43"/>
      <c r="H55" s="75" t="str">
        <f>IF(B55="","",VLOOKUP(AD55,Varsayımlar!$B:$Q,5,0))</f>
        <v>Tortillas Avrupa Pizza 26cm (742)</v>
      </c>
      <c r="I55" s="75">
        <f>IF(B55="","",VLOOKUP(AD55,Varsayımlar!B:T,19,0))</f>
        <v>0</v>
      </c>
      <c r="J55" s="75" t="str">
        <f>IF(B55="","",VLOOKUP(AD55,Varsayımlar!$B:$Q,6,0))</f>
        <v>SADE</v>
      </c>
      <c r="K55" s="75">
        <v>840</v>
      </c>
      <c r="L55" s="75"/>
      <c r="M55" s="75">
        <f>IFERROR(IF(B55="","",K55/VLOOKUP(AD55,Varsayımlar!B:R,17,0)),"")</f>
        <v>7</v>
      </c>
      <c r="N55" s="75"/>
      <c r="O55" s="75">
        <v>11</v>
      </c>
      <c r="P55" s="75">
        <f>IF(B55="","",VLOOKUP(AD55,Varsayımlar!$B:$Q,7,0)*K55)</f>
        <v>6720</v>
      </c>
      <c r="Q55" s="75">
        <f>IF(B55="","",VLOOKUP(AD55,Varsayımlar!$B:$Q,8,0))</f>
        <v>26</v>
      </c>
      <c r="R55" s="75" t="str">
        <f>IF(B55="","",VLOOKUP(AD55,Varsayımlar!$B:$Q,9,0))</f>
        <v>Irak Soft</v>
      </c>
      <c r="S55" s="75">
        <f>IF(B55="","",VLOOKUP(AD55,Varsayımlar!$B:$Q,10,0))</f>
        <v>4</v>
      </c>
      <c r="T55" s="75">
        <f>IF(B55="","",VLOOKUP(AD55,Varsayımlar!$B:$Q,11,0))</f>
        <v>8</v>
      </c>
      <c r="U55" s="75">
        <f>IF(B55="","",VLOOKUP(AD55,Varsayımlar!$B:$Q,12,0))</f>
        <v>480</v>
      </c>
      <c r="V55" s="75" t="str">
        <f>IF(B55="","",VLOOKUP(AD55,Varsayımlar!$B:$Q,13,0))</f>
        <v>Yurtdışı</v>
      </c>
      <c r="W55" s="75">
        <f>IF(B55="","",VLOOKUP(AD55,Varsayımlar!$B:$Q,14,0))</f>
        <v>9</v>
      </c>
      <c r="X55" s="76">
        <v>46213</v>
      </c>
      <c r="Y55" s="76">
        <v>46487</v>
      </c>
      <c r="Z55" s="75">
        <v>26071026</v>
      </c>
      <c r="AA55" s="75" t="str">
        <f>IF(B55="","",VLOOKUP(AD55,Varsayımlar!$B:$Q,15,0))</f>
        <v>26cm Pizza Perforeli-Bulgarca Etiket</v>
      </c>
      <c r="AB55" s="75" t="str">
        <f>IF(B55="","",VLOOKUP(AD55,Varsayımlar!$B:$Q,16,0))</f>
        <v>26 cm kesme -Beze 145-150g, Kesilmmeiş çap 27-28cm, Kesilmemiş ağı: 520-540g, Kesilmiş:475-485g</v>
      </c>
      <c r="AC55" s="75" t="str">
        <f>IF(B55="","",VLOOKUP(Sayfa1!AD81,Varsayımlar!B:S,18,0))</f>
        <v>80x120cm -Epal+Epal</v>
      </c>
      <c r="AD55" s="57" t="str">
        <f t="shared" ref="AD55:AD56" si="3">IF(B55="","",CONCATENATE(B55,E55))</f>
        <v>TASTE LAND-BULGARİSTANTortillas Pizza 26cm 4pcs 480g</v>
      </c>
    </row>
    <row r="56" spans="1:30" ht="46.5" customHeight="1" x14ac:dyDescent="0.25">
      <c r="A56" s="8" t="s">
        <v>78</v>
      </c>
      <c r="B56" s="67" t="s">
        <v>460</v>
      </c>
      <c r="C56" s="42">
        <f>IF(B56="","",VLOOKUP(AD56,Varsayımlar!$B:$Q,3,0))</f>
        <v>8698829380698</v>
      </c>
      <c r="D56" s="67" t="s">
        <v>540</v>
      </c>
      <c r="E56" s="67" t="s">
        <v>461</v>
      </c>
      <c r="F56" s="67">
        <v>20260414</v>
      </c>
      <c r="G56" s="67"/>
      <c r="H56" s="67" t="str">
        <f>IF(B56="","",VLOOKUP(AD56,Varsayımlar!$B:$Q,5,0))</f>
        <v xml:space="preserve">Tortillove 15cm </v>
      </c>
      <c r="I56" s="67">
        <f>IF(B56="","",VLOOKUP(AD56,Varsayımlar!B:T,19,0))</f>
        <v>0</v>
      </c>
      <c r="J56" s="67" t="str">
        <f>IF(B56="","",VLOOKUP(AD56,Varsayımlar!$B:$Q,6,0))</f>
        <v>SADE</v>
      </c>
      <c r="K56" s="67">
        <v>300</v>
      </c>
      <c r="L56" s="67" t="s">
        <v>532</v>
      </c>
      <c r="M56" s="67">
        <f>IFERROR(IF(B56="","",K56/VLOOKUP(AD56,Varsayımlar!B:R,17,0)),"")</f>
        <v>3</v>
      </c>
      <c r="N56" s="67"/>
      <c r="O56" s="67">
        <v>9</v>
      </c>
      <c r="P56" s="67">
        <f>IF(B56="","",VLOOKUP(AD56,Varsayımlar!$B:$Q,7,0)*K56)</f>
        <v>3600</v>
      </c>
      <c r="Q56" s="67">
        <f>IF(B56="","",VLOOKUP(AD56,Varsayımlar!$B:$Q,8,0))</f>
        <v>15</v>
      </c>
      <c r="R56" s="67" t="str">
        <f>IF(B56="","",VLOOKUP(AD56,Varsayımlar!$B:$Q,9,0))</f>
        <v>Irak Soft</v>
      </c>
      <c r="S56" s="67">
        <f>IF(B56="","",VLOOKUP(AD56,Varsayımlar!$B:$Q,10,0))</f>
        <v>10</v>
      </c>
      <c r="T56" s="67">
        <f>IF(B56="","",VLOOKUP(AD56,Varsayımlar!$B:$Q,11,0))</f>
        <v>12</v>
      </c>
      <c r="U56" s="67">
        <f>IF(B56="","",VLOOKUP(AD56,Varsayımlar!$B:$Q,12,0))</f>
        <v>250</v>
      </c>
      <c r="V56" s="67" t="str">
        <f>IF(B56="","",VLOOKUP(AD56,Varsayımlar!$B:$Q,13,0))</f>
        <v>Yurtdışı</v>
      </c>
      <c r="W56" s="67">
        <f>IF(B56="","",VLOOKUP(AD56,Varsayımlar!$B:$Q,14,0))</f>
        <v>6</v>
      </c>
      <c r="X56" s="69">
        <v>46216</v>
      </c>
      <c r="Y56" s="69">
        <v>46400</v>
      </c>
      <c r="Z56" s="67">
        <v>26071315</v>
      </c>
      <c r="AA56" s="67" t="str">
        <f>IF(B56="","",VLOOKUP(AD56,Varsayımlar!$B:$Q,15,0))</f>
        <v>15cm koli</v>
      </c>
      <c r="AB56" s="67" t="str">
        <f>IF(B56="","",VLOOKUP(AD56,Varsayımlar!$B:$Q,16,0))</f>
        <v>14-16 cm</v>
      </c>
      <c r="AC56" s="80">
        <f>IF(B56="","",VLOOKUP(Sayfa1!AD85,Varsayımlar!B:S,18,0))</f>
        <v>0</v>
      </c>
      <c r="AD56" s="57" t="str">
        <f t="shared" si="3"/>
        <v>Yüksekbaş GıdaYüksekbaş 15cm 10 pcs 250g</v>
      </c>
    </row>
    <row r="57" spans="1:30" ht="43.5" customHeight="1" x14ac:dyDescent="0.25">
      <c r="A57" s="8" t="s">
        <v>79</v>
      </c>
      <c r="B57" s="54" t="s">
        <v>346</v>
      </c>
      <c r="C57" s="39">
        <f>IF(B57="","",VLOOKUP(AD57,Varsayımlar!$B:$Q,3,0))</f>
        <v>8698829380698</v>
      </c>
      <c r="D57" s="39">
        <v>49</v>
      </c>
      <c r="E57" s="55" t="s">
        <v>325</v>
      </c>
      <c r="F57" s="54"/>
      <c r="G57" s="54"/>
      <c r="H57" s="54" t="str">
        <f>IF(B57="","",VLOOKUP(AD57,Varsayımlar!$B:$Q,5,0))</f>
        <v>Hanami Tako 15cm</v>
      </c>
      <c r="I57" s="54" t="str">
        <f>IF(B57="","",VLOOKUP(AD57,Varsayımlar!B:T,19,0))</f>
        <v>Ambalaj kaç aylık kontrol?</v>
      </c>
      <c r="J57" s="54" t="str">
        <f>IF(B57="","",VLOOKUP(AD57,Varsayımlar!$B:$Q,6,0))</f>
        <v>SADE</v>
      </c>
      <c r="K57" s="54">
        <v>1248</v>
      </c>
      <c r="L57" s="54"/>
      <c r="M57" s="54"/>
      <c r="N57" s="54"/>
      <c r="O57" s="54">
        <v>35</v>
      </c>
      <c r="P57" s="54">
        <f>IF(B57="","",VLOOKUP(AD57,Varsayımlar!$B:$Q,7,0)*K57)</f>
        <v>24960</v>
      </c>
      <c r="Q57" s="54">
        <f>IF(B57="","",VLOOKUP(AD57,Varsayımlar!$B:$Q,8,0))</f>
        <v>15</v>
      </c>
      <c r="R57" s="54" t="str">
        <f>IF(B57="","",VLOOKUP(AD57,Varsayımlar!$B:$Q,9,0))</f>
        <v>Irak Soft</v>
      </c>
      <c r="S57" s="54">
        <f>IF(B57="","",VLOOKUP(AD57,Varsayımlar!$B:$Q,10,0))</f>
        <v>6</v>
      </c>
      <c r="T57" s="54">
        <f>IF(B57="","",VLOOKUP(AD57,Varsayımlar!$B:$Q,11,0))</f>
        <v>20</v>
      </c>
      <c r="U57" s="54">
        <f>IF(B57="","",VLOOKUP(AD57,Varsayımlar!$B:$Q,12,0))</f>
        <v>150</v>
      </c>
      <c r="V57" s="54" t="str">
        <f>IF(B57="","",VLOOKUP(AD57,Varsayımlar!$B:$Q,13,0))</f>
        <v>Yurtdışı</v>
      </c>
      <c r="W57" s="54">
        <f>IF(B57="","",VLOOKUP(AD57,Varsayımlar!$B:$Q,14,0))</f>
        <v>9</v>
      </c>
      <c r="X57" s="56">
        <v>46226</v>
      </c>
      <c r="Y57" s="56">
        <v>46500</v>
      </c>
      <c r="Z57" s="54">
        <v>26072315</v>
      </c>
      <c r="AA57" s="54" t="str">
        <f>IF(B57="","",VLOOKUP(AD57,Varsayımlar!$B:$Q,15,0))</f>
        <v>Hanami Tako 15cm-Üretim Tarihi Atılacak</v>
      </c>
      <c r="AB57" s="54" t="str">
        <f>IF(B57="","",VLOOKUP(AD57,Varsayımlar!$B:$Q,16,0))</f>
        <v>14-16 cm</v>
      </c>
      <c r="AC57" s="8" t="e">
        <f>IF(B57="","",VLOOKUP(#REF!,#REF!,18,0))</f>
        <v>#REF!</v>
      </c>
      <c r="AD57" s="8" t="str">
        <f>IF(B57="","",CONCATENATE(B57,E57))</f>
        <v>GermesHanami Germes Tako 15cm 6pcs 150g</v>
      </c>
    </row>
    <row r="58" spans="1:30" ht="49.5" customHeight="1" x14ac:dyDescent="0.25">
      <c r="A58" s="8" t="s">
        <v>80</v>
      </c>
      <c r="B58" s="152" t="s">
        <v>518</v>
      </c>
      <c r="C58" s="153">
        <f>IF(B58="","",VLOOKUP(AD58,Varsayımlar!$B:$Q,3,0))</f>
        <v>8698829380698</v>
      </c>
      <c r="D58" s="154"/>
      <c r="E58" s="154" t="s">
        <v>515</v>
      </c>
      <c r="F58" s="152">
        <v>26062302</v>
      </c>
      <c r="G58" s="152"/>
      <c r="H58" s="152" t="str">
        <f>IF(B58="","",VLOOKUP(AD58,Varsayımlar!$B:$Q,5,0))</f>
        <v>Tortillas 15cm</v>
      </c>
      <c r="I58" s="152">
        <f>IF(B58="","",VLOOKUP(AD58,Varsayımlar!B:T,19,0))</f>
        <v>0</v>
      </c>
      <c r="J58" s="152" t="str">
        <f>IF(B58="","",VLOOKUP(AD58,Varsayımlar!$B:$Q,6,0))</f>
        <v>Sade</v>
      </c>
      <c r="K58" s="152">
        <v>10</v>
      </c>
      <c r="L58" s="152"/>
      <c r="M58" s="152" t="s">
        <v>424</v>
      </c>
      <c r="N58" s="152"/>
      <c r="O58" s="152">
        <v>0</v>
      </c>
      <c r="P58" s="152">
        <f>IF(B58="","",VLOOKUP(AD58,Varsayımlar!$B:$Q,7,0)*K58)</f>
        <v>120</v>
      </c>
      <c r="Q58" s="152">
        <f>IF(B58="","",VLOOKUP(AD58,Varsayımlar!$B:$Q,8,0))</f>
        <v>15</v>
      </c>
      <c r="R58" s="152" t="str">
        <f>IF(B58="","",VLOOKUP(AD58,Varsayımlar!$B:$Q,9,0))</f>
        <v>Irak Soft</v>
      </c>
      <c r="S58" s="152">
        <f>IF(B58="","",VLOOKUP(AD58,Varsayımlar!$B:$Q,10,0))</f>
        <v>10</v>
      </c>
      <c r="T58" s="152">
        <f>IF(B58="","",VLOOKUP(AD58,Varsayımlar!$B:$Q,11,0))</f>
        <v>12</v>
      </c>
      <c r="U58" s="152">
        <f>IF(B58="","",VLOOKUP(AD58,Varsayımlar!$B:$Q,12,0))</f>
        <v>250</v>
      </c>
      <c r="V58" s="152" t="str">
        <f>IF(B58="","",VLOOKUP(AD58,Varsayımlar!$B:$Q,13,0))</f>
        <v>Yurtiçi</v>
      </c>
      <c r="W58" s="152">
        <f>IF(B58="","",VLOOKUP(AD58,Varsayımlar!$B:$Q,14,0))</f>
        <v>6</v>
      </c>
      <c r="X58" s="155">
        <v>46231</v>
      </c>
      <c r="Y58" s="155">
        <v>46415</v>
      </c>
      <c r="Z58" s="152">
        <v>26072815</v>
      </c>
      <c r="AA58" s="152" t="str">
        <f>IF(B58="","",VLOOKUP(AD58,Varsayımlar!$B:$Q,15,0))</f>
        <v>15cm koli</v>
      </c>
      <c r="AB58" s="152" t="str">
        <f>IF(B58="","",VLOOKUP(AD58,Varsayımlar!$B:$Q,16,0))</f>
        <v>14-16cm</v>
      </c>
      <c r="AC58" s="8" t="e">
        <f>IF(B58="","",VLOOKUP(#REF!,#REF!,18,0))</f>
        <v>#REF!</v>
      </c>
      <c r="AD58" s="8" t="str">
        <f t="shared" ref="AD58:AD59" si="4">IF(B58="","",CONCATENATE(B58,E58))</f>
        <v>Yusuf KöseTortillas 15cm 10pcs 250g</v>
      </c>
    </row>
    <row r="59" spans="1:30" ht="54" customHeight="1" x14ac:dyDescent="0.25">
      <c r="A59" s="8" t="s">
        <v>81</v>
      </c>
      <c r="B59" s="148" t="s">
        <v>500</v>
      </c>
      <c r="C59" s="149">
        <f>IF(B59="","",VLOOKUP(AD59,Varsayımlar!$B:$Q,3,0))</f>
        <v>8698829380698</v>
      </c>
      <c r="D59" s="149"/>
      <c r="E59" s="150" t="s">
        <v>515</v>
      </c>
      <c r="F59" s="148">
        <v>26062201</v>
      </c>
      <c r="G59" s="148"/>
      <c r="H59" s="148" t="str">
        <f>IF(B59="","",VLOOKUP(AD59,Varsayımlar!$B:$Q,5,0))</f>
        <v>Tortillas 15cm</v>
      </c>
      <c r="I59" s="148">
        <f>IF(B59="","",VLOOKUP(AD59,Varsayımlar!B:T,19,0))</f>
        <v>0</v>
      </c>
      <c r="J59" s="148" t="str">
        <f>IF(B59="","",VLOOKUP(AD59,Varsayımlar!$B:$Q,6,0))</f>
        <v>Sade</v>
      </c>
      <c r="K59" s="148">
        <v>50</v>
      </c>
      <c r="L59" s="148"/>
      <c r="M59" s="148" t="str">
        <f>IFERROR(IF(B59="","",K59/VLOOKUP(AD59,#REF!,17,0)),"")</f>
        <v/>
      </c>
      <c r="N59" s="148"/>
      <c r="O59" s="148">
        <v>2</v>
      </c>
      <c r="P59" s="148">
        <f>IF(B59="","",VLOOKUP(AD59,Varsayımlar!$B:$Q,7,0)*K59)</f>
        <v>600</v>
      </c>
      <c r="Q59" s="148">
        <f>IF(B59="","",VLOOKUP(AD59,Varsayımlar!$B:$Q,8,0))</f>
        <v>15</v>
      </c>
      <c r="R59" s="148" t="str">
        <f>IF(B59="","",VLOOKUP(AD59,Varsayımlar!$B:$Q,9,0))</f>
        <v>Irak Soft</v>
      </c>
      <c r="S59" s="148">
        <f>IF(B59="","",VLOOKUP(AD59,Varsayımlar!$B:$Q,10,0))</f>
        <v>10</v>
      </c>
      <c r="T59" s="148">
        <f>IF(B59="","",VLOOKUP(AD59,Varsayımlar!$B:$Q,11,0))</f>
        <v>12</v>
      </c>
      <c r="U59" s="148">
        <f>IF(B59="","",VLOOKUP(AD59,Varsayımlar!$B:$Q,12,0))</f>
        <v>250</v>
      </c>
      <c r="V59" s="148" t="str">
        <f>IF(B59="","",VLOOKUP(AD59,Varsayımlar!$B:$Q,13,0))</f>
        <v>Yurtdışı</v>
      </c>
      <c r="W59" s="148">
        <f>IF(B59="","",VLOOKUP(AD59,Varsayımlar!$B:$Q,14,0))</f>
        <v>12</v>
      </c>
      <c r="X59" s="151">
        <v>46231</v>
      </c>
      <c r="Y59" s="151">
        <v>46596</v>
      </c>
      <c r="Z59" s="148">
        <v>26072815</v>
      </c>
      <c r="AA59" s="148" t="str">
        <f>IF(B59="","",VLOOKUP(AD59,Varsayımlar!$B:$Q,15,0))</f>
        <v>15cm koli</v>
      </c>
      <c r="AB59" s="148" t="str">
        <f>IF(B59="","",VLOOKUP(AD59,Varsayımlar!$B:$Q,16,0))</f>
        <v>14-16cm</v>
      </c>
      <c r="AC59" s="67"/>
      <c r="AD59" s="57" t="str">
        <f t="shared" si="4"/>
        <v>Fama GroupTortillas 15cm 10pcs 250g</v>
      </c>
    </row>
    <row r="60" spans="1:30" ht="48" customHeight="1" x14ac:dyDescent="0.25">
      <c r="A60" s="8" t="s">
        <v>82</v>
      </c>
      <c r="B60" s="149" t="s">
        <v>500</v>
      </c>
      <c r="C60" s="149">
        <f>IF(B60="","",VLOOKUP(AD60,Varsayımlar!$B:$Q,3,0))</f>
        <v>8698829380698</v>
      </c>
      <c r="D60" s="149"/>
      <c r="E60" s="149" t="s">
        <v>244</v>
      </c>
      <c r="F60" s="149">
        <v>26062201</v>
      </c>
      <c r="G60" s="149"/>
      <c r="H60" s="148" t="str">
        <f>IF(B60="","",VLOOKUP(AD60,Varsayımlar!$B:$Q,5,0))</f>
        <v xml:space="preserve">Tortillas Pizza 26cm </v>
      </c>
      <c r="I60" s="148">
        <f>IF(B60="","",VLOOKUP(AD60,Varsayımlar!B:T,19,0))</f>
        <v>0</v>
      </c>
      <c r="J60" s="148" t="str">
        <f>IF(B60="","",VLOOKUP(AD60,Varsayımlar!$B:$Q,6,0))</f>
        <v>Sade</v>
      </c>
      <c r="K60" s="149">
        <v>50</v>
      </c>
      <c r="L60" s="149"/>
      <c r="M60" s="149" t="str">
        <f>IFERROR(IF(B60="","",K60/VLOOKUP(AD60,#REF!,17,0)),"")</f>
        <v/>
      </c>
      <c r="N60" s="149"/>
      <c r="O60" s="149">
        <v>1</v>
      </c>
      <c r="P60" s="148">
        <f>IF(B60="","",VLOOKUP(AD60,Varsayımlar!$B:$Q,7,0)*K60)</f>
        <v>300</v>
      </c>
      <c r="Q60" s="148">
        <f>IF(B60="","",VLOOKUP(AD60,Varsayımlar!$B:$Q,8,0))</f>
        <v>26</v>
      </c>
      <c r="R60" s="148" t="str">
        <f>IF(B60="","",VLOOKUP(AD60,Varsayımlar!$B:$Q,9,0))</f>
        <v>Irak Soft</v>
      </c>
      <c r="S60" s="148">
        <f>IF(B60="","",VLOOKUP(AD60,Varsayımlar!$B:$Q,10,0))</f>
        <v>4</v>
      </c>
      <c r="T60" s="148">
        <f>IF(B60="","",VLOOKUP(AD60,Varsayımlar!$B:$Q,11,0))</f>
        <v>6</v>
      </c>
      <c r="U60" s="148">
        <f>IF(B60="","",VLOOKUP(AD60,Varsayımlar!$B:$Q,12,0))</f>
        <v>480</v>
      </c>
      <c r="V60" s="148" t="str">
        <f>IF(B60="","",VLOOKUP(AD60,Varsayımlar!$B:$Q,13,0))</f>
        <v>Yurtdışı</v>
      </c>
      <c r="W60" s="148">
        <f>IF(B60="","",VLOOKUP(AD60,Varsayımlar!$B:$Q,14,0))</f>
        <v>12</v>
      </c>
      <c r="X60" s="151">
        <v>46231</v>
      </c>
      <c r="Y60" s="151">
        <v>46596</v>
      </c>
      <c r="Z60" s="149">
        <v>26072826</v>
      </c>
      <c r="AA60" s="148" t="str">
        <f>IF(B60="","",VLOOKUP(AD60,Varsayımlar!$B:$Q,15,0))</f>
        <v>Pizza Kolisi-ETİKETLİ</v>
      </c>
      <c r="AB60" s="148" t="str">
        <f>IF(B60="","",VLOOKUP(AD60,Varsayımlar!$B:$Q,16,0))</f>
        <v>25-27 cm</v>
      </c>
      <c r="AC60" s="140">
        <f>IF(B60="","",VLOOKUP(Sayfa1!AD94,Varsayımlar!B:S,18,0))</f>
        <v>0</v>
      </c>
      <c r="AD60" s="140" t="str">
        <f>IF(B60="","",CONCATENATE(B60,E60))</f>
        <v>Fama GroupTortillas Pizza 26cm 4pcs 480g</v>
      </c>
    </row>
    <row r="61" spans="1:30" ht="94.5" x14ac:dyDescent="0.25">
      <c r="A61" s="8" t="s">
        <v>83</v>
      </c>
      <c r="B61" s="62" t="s">
        <v>456</v>
      </c>
      <c r="C61" s="32">
        <f>IF(B61="","",VLOOKUP(AD61,Varsayımlar!$B:$Q,3,0))</f>
        <v>8698829380698</v>
      </c>
      <c r="D61" s="32"/>
      <c r="E61" s="61" t="s">
        <v>484</v>
      </c>
      <c r="F61" s="159" t="s">
        <v>546</v>
      </c>
      <c r="G61" s="62"/>
      <c r="H61" s="62" t="str">
        <f>IF(B61="","",VLOOKUP(AD61,Varsayımlar!$B:$Q,5,0))</f>
        <v>Willifood 26 cm Pizza</v>
      </c>
      <c r="I61" s="62">
        <f>IF(B61="","",VLOOKUP(AD61,Varsayımlar!B:T,19,0))</f>
        <v>0</v>
      </c>
      <c r="J61" s="62" t="str">
        <f>IF(B61="","",VLOOKUP(AD61,Varsayımlar!$B:$Q,6,0))</f>
        <v>Pizza</v>
      </c>
      <c r="K61" s="62">
        <v>2250</v>
      </c>
      <c r="L61" s="62"/>
      <c r="M61" s="62" t="str">
        <f>IFERROR(IF(B61="","",K61/VLOOKUP(AD61,#REF!,17,0)),"")</f>
        <v/>
      </c>
      <c r="N61" s="62"/>
      <c r="O61" s="62">
        <v>25</v>
      </c>
      <c r="P61" s="62">
        <f>IF(B61="","",VLOOKUP(AD61,Varsayımlar!$B:$Q,7,0)*K61)</f>
        <v>27000</v>
      </c>
      <c r="Q61" s="62">
        <f>IF(B61="","",VLOOKUP(AD61,Varsayımlar!$B:$Q,8,0))</f>
        <v>26</v>
      </c>
      <c r="R61" s="62" t="str">
        <f>IF(B61="","",VLOOKUP(AD61,Varsayımlar!$B:$Q,9,0))</f>
        <v>Irak Soft</v>
      </c>
      <c r="S61" s="62">
        <f>IF(B61="","",VLOOKUP(AD61,Varsayımlar!$B:$Q,10,0))</f>
        <v>4</v>
      </c>
      <c r="T61" s="62">
        <f>IF(B61="","",VLOOKUP(AD61,Varsayımlar!$B:$Q,11,0))</f>
        <v>12</v>
      </c>
      <c r="U61" s="62">
        <f>IF(B61="","",VLOOKUP(AD61,Varsayımlar!$B:$Q,12,0))</f>
        <v>480</v>
      </c>
      <c r="V61" s="62" t="str">
        <f>IF(B61="","",VLOOKUP(AD61,Varsayımlar!$B:$Q,13,0))</f>
        <v>Yurtdışı</v>
      </c>
      <c r="W61" s="62">
        <f>IF(B61="","",VLOOKUP(AD61,Varsayımlar!$B:$Q,14,0))</f>
        <v>18</v>
      </c>
      <c r="X61" s="63"/>
      <c r="Y61" s="146" t="s">
        <v>523</v>
      </c>
      <c r="Z61" s="146" t="s">
        <v>522</v>
      </c>
      <c r="AA61" s="63" t="str">
        <f>IF(B61="","",VLOOKUP(AD61,Varsayımlar!$B:$Q,15,0))</f>
        <v>Dürümek Kolisi-Çift Etiket</v>
      </c>
      <c r="AB61" s="63" t="str">
        <f>IF(B61="","",VLOOKUP(AD61,Varsayımlar!$B:$Q,16,0))</f>
        <v>Kesme.Bezeler 145-150 g.Kesilmemiş 27-28 cm. Kesilmemiş ağ 520-540g. Kesilmiş ağ 475-485 g</v>
      </c>
      <c r="AC61" s="73" t="e">
        <f>IF(B61="","",VLOOKUP(#REF!,#REF!,18,0))</f>
        <v>#REF!</v>
      </c>
      <c r="AD61" s="73" t="str">
        <f>IF(B61="","",CONCATENATE(B61,E61))</f>
        <v>WillifoodWillifood Pizza 26cm 4 pcs 480g</v>
      </c>
    </row>
    <row r="62" spans="1:30" ht="33.75" customHeight="1" x14ac:dyDescent="0.25">
      <c r="A62" s="8" t="s">
        <v>84</v>
      </c>
      <c r="B62" s="67" t="s">
        <v>460</v>
      </c>
      <c r="C62" s="42">
        <f>IF(B62="","",VLOOKUP(AD62,Varsayımlar!$B:$Q,3,0))</f>
        <v>8698829380698</v>
      </c>
      <c r="D62" s="67" t="s">
        <v>539</v>
      </c>
      <c r="E62" s="67" t="s">
        <v>461</v>
      </c>
      <c r="F62" s="67">
        <v>20260626</v>
      </c>
      <c r="G62" s="67"/>
      <c r="H62" s="67" t="str">
        <f>IF(B62="","",VLOOKUP(AD62,Varsayımlar!$B:$Q,5,0))</f>
        <v xml:space="preserve">Tortillove 15cm </v>
      </c>
      <c r="I62" s="67">
        <f>IF(B62="","",VLOOKUP(AD62,Varsayımlar!B:T,19,0))</f>
        <v>0</v>
      </c>
      <c r="J62" s="67" t="str">
        <f>IF(B62="","",VLOOKUP(AD62,Varsayımlar!$B:$Q,6,0))</f>
        <v>SADE</v>
      </c>
      <c r="K62" s="67">
        <v>400</v>
      </c>
      <c r="L62" s="67"/>
      <c r="M62" s="67">
        <f>IFERROR(IF(B62="","",K62/VLOOKUP(AD62,Varsayımlar!B:R,17,0)),"")</f>
        <v>4</v>
      </c>
      <c r="N62" s="67"/>
      <c r="O62" s="67">
        <v>11</v>
      </c>
      <c r="P62" s="67">
        <f>IF(B62="","",VLOOKUP(AD62,Varsayımlar!$B:$Q,7,0)*K62)</f>
        <v>4800</v>
      </c>
      <c r="Q62" s="67">
        <f>IF(B62="","",VLOOKUP(AD62,Varsayımlar!$B:$Q,8,0))</f>
        <v>15</v>
      </c>
      <c r="R62" s="67" t="str">
        <f>IF(B62="","",VLOOKUP(AD62,Varsayımlar!$B:$Q,9,0))</f>
        <v>Irak Soft</v>
      </c>
      <c r="S62" s="67">
        <f>IF(B62="","",VLOOKUP(AD62,Varsayımlar!$B:$Q,10,0))</f>
        <v>10</v>
      </c>
      <c r="T62" s="67">
        <f>IF(B62="","",VLOOKUP(AD62,Varsayımlar!$B:$Q,11,0))</f>
        <v>12</v>
      </c>
      <c r="U62" s="67">
        <f>IF(B62="","",VLOOKUP(AD62,Varsayımlar!$B:$Q,12,0))</f>
        <v>250</v>
      </c>
      <c r="V62" s="67" t="str">
        <f>IF(B62="","",VLOOKUP(AD62,Varsayımlar!$B:$Q,13,0))</f>
        <v>Yurtdışı</v>
      </c>
      <c r="W62" s="67">
        <f>IF(B62="","",VLOOKUP(AD62,Varsayımlar!$B:$Q,14,0))</f>
        <v>6</v>
      </c>
      <c r="X62" s="69"/>
      <c r="Y62" s="69"/>
      <c r="Z62" s="67"/>
      <c r="AA62" s="67" t="str">
        <f>IF(B62="","",VLOOKUP(AD62,Varsayımlar!$B:$Q,15,0))</f>
        <v>15cm koli</v>
      </c>
      <c r="AB62" s="67" t="str">
        <f>IF(B62="","",VLOOKUP(AD62,Varsayımlar!$B:$Q,16,0))</f>
        <v>14-16 cm</v>
      </c>
      <c r="AC62" s="80">
        <f>IF(B62="","",VLOOKUP(Sayfa1!AD91,Varsayımlar!B:S,18,0))</f>
        <v>0</v>
      </c>
      <c r="AD62" s="57" t="str">
        <f t="shared" ref="AD62" si="5">IF(B62="","",CONCATENATE(B62,E62))</f>
        <v>Yüksekbaş GıdaYüksekbaş 15cm 10 pcs 250g</v>
      </c>
    </row>
    <row r="63" spans="1:30" ht="51" customHeight="1" x14ac:dyDescent="0.25">
      <c r="A63" s="8" t="s">
        <v>85</v>
      </c>
      <c r="B63" s="160" t="s">
        <v>553</v>
      </c>
      <c r="C63" s="161">
        <f>IF(B63="","",VLOOKUP(AD63,Varsayımlar!$B:$Q,3,0))</f>
        <v>8698829380698</v>
      </c>
      <c r="D63" s="160"/>
      <c r="E63" s="162" t="s">
        <v>554</v>
      </c>
      <c r="F63" s="160">
        <v>20260629</v>
      </c>
      <c r="G63" s="160" t="s">
        <v>578</v>
      </c>
      <c r="H63" s="160" t="str">
        <f>IF(B63="","",VLOOKUP(AD63,Varsayımlar!$B:$Q,5,0))</f>
        <v xml:space="preserve">Tortillove 15cm </v>
      </c>
      <c r="I63" s="160">
        <f>IF(B63="","",VLOOKUP(AD63,Varsayımlar!B:T,19,0))</f>
        <v>0</v>
      </c>
      <c r="J63" s="160" t="str">
        <f>IF(B63="","",VLOOKUP(AD63,Varsayımlar!$B:$Q,6,0))</f>
        <v>Sade</v>
      </c>
      <c r="K63" s="160">
        <v>100</v>
      </c>
      <c r="L63" s="160"/>
      <c r="M63" s="160">
        <f>IFERROR(IF(B63="","",K63/VLOOKUP(AD63,Varsayımlar!B:R,17,0)),"")</f>
        <v>1</v>
      </c>
      <c r="N63" s="160"/>
      <c r="O63" s="160">
        <v>3</v>
      </c>
      <c r="P63" s="160">
        <f>IF(B63="","",VLOOKUP(AD63,Varsayımlar!$B:$Q,7,0)*K63)</f>
        <v>1200</v>
      </c>
      <c r="Q63" s="160">
        <f>IF(B63="","",VLOOKUP(AD63,Varsayımlar!$B:$Q,8,0))</f>
        <v>15</v>
      </c>
      <c r="R63" s="160" t="str">
        <f>IF(B63="","",VLOOKUP(AD63,Varsayımlar!$B:$Q,9,0))</f>
        <v>Irak soft</v>
      </c>
      <c r="S63" s="160">
        <f>IF(B63="","",VLOOKUP(AD63,Varsayımlar!$B:$Q,10,0))</f>
        <v>10</v>
      </c>
      <c r="T63" s="160">
        <f>IF(B63="","",VLOOKUP(AD63,Varsayımlar!$B:$Q,11,0))</f>
        <v>12</v>
      </c>
      <c r="U63" s="160">
        <f>IF(B63="","",VLOOKUP(AD63,Varsayımlar!$B:$Q,12,0))</f>
        <v>250</v>
      </c>
      <c r="V63" s="160" t="str">
        <f>IF(B63="","",VLOOKUP(AD63,Varsayımlar!$B:$Q,13,0))</f>
        <v>Yurtiçi</v>
      </c>
      <c r="W63" s="160">
        <f>IF(B63="","",VLOOKUP(AD63,Varsayımlar!$B:$Q,14,0))</f>
        <v>6</v>
      </c>
      <c r="X63" s="163"/>
      <c r="Y63" s="163"/>
      <c r="Z63" s="160"/>
      <c r="AA63" s="160" t="str">
        <f>IF(B63="","",VLOOKUP(AD63,Varsayımlar!$B:$Q,15,0))</f>
        <v>15cm kolisi</v>
      </c>
      <c r="AB63" s="160" t="str">
        <f>IF(B63="","",VLOOKUP(AD63,Varsayımlar!$B:$Q,16,0))</f>
        <v>14-16cm</v>
      </c>
      <c r="AC63" s="75" t="e">
        <f>IF(B63="","",VLOOKUP(Sayfa1!AD119,Varsayımlar!B:S,18,0))</f>
        <v>#N/A</v>
      </c>
      <c r="AD63" s="57" t="str">
        <f>IF(B63="","",CONCATENATE(B63,E63))</f>
        <v>GıdaserTortillove 15cm 10pcs 250g</v>
      </c>
    </row>
    <row r="64" spans="1:30" ht="43.5" customHeight="1" x14ac:dyDescent="0.25">
      <c r="A64" s="8" t="s">
        <v>86</v>
      </c>
      <c r="B64" s="54" t="s">
        <v>575</v>
      </c>
      <c r="C64" s="39">
        <f>IF(B64="","",VLOOKUP(AD64,Varsayımlar!$B:$Q,3,0))</f>
        <v>8698829380698</v>
      </c>
      <c r="D64" s="39"/>
      <c r="E64" s="39" t="s">
        <v>515</v>
      </c>
      <c r="F64" s="54">
        <v>20260701</v>
      </c>
      <c r="G64" s="54"/>
      <c r="H64" s="54" t="str">
        <f>IF(B64="","",VLOOKUP(AD64,Varsayımlar!$B:$Q,5,0))</f>
        <v>Tortillas 15cm</v>
      </c>
      <c r="I64" s="54">
        <f>IF(B64="","",VLOOKUP(AD64,Varsayımlar!B:T,19,0))</f>
        <v>0</v>
      </c>
      <c r="J64" s="54" t="str">
        <f>IF(B64="","",VLOOKUP(AD64,Varsayımlar!$B:$Q,6,0))</f>
        <v>Sade</v>
      </c>
      <c r="K64" s="54">
        <v>100</v>
      </c>
      <c r="L64" s="54"/>
      <c r="M64" s="54"/>
      <c r="N64" s="54"/>
      <c r="O64" s="54">
        <v>35</v>
      </c>
      <c r="P64" s="54">
        <f>IF(B64="","",VLOOKUP(AD64,Varsayımlar!$B:$Q,7,0)*K64)</f>
        <v>1200</v>
      </c>
      <c r="Q64" s="54">
        <f>IF(B64="","",VLOOKUP(AD64,Varsayımlar!$B:$Q,8,0))</f>
        <v>15</v>
      </c>
      <c r="R64" s="54" t="str">
        <f>IF(B64="","",VLOOKUP(AD64,Varsayımlar!$B:$Q,9,0))</f>
        <v>Irak soft</v>
      </c>
      <c r="S64" s="54">
        <f>IF(B64="","",VLOOKUP(AD64,Varsayımlar!$B:$Q,10,0))</f>
        <v>10</v>
      </c>
      <c r="T64" s="54">
        <f>IF(B64="","",VLOOKUP(AD64,Varsayımlar!$B:$Q,11,0))</f>
        <v>12</v>
      </c>
      <c r="U64" s="54">
        <f>IF(B64="","",VLOOKUP(AD64,Varsayımlar!$B:$Q,12,0))</f>
        <v>250</v>
      </c>
      <c r="V64" s="54" t="str">
        <f>IF(B64="","",VLOOKUP(AD64,Varsayımlar!$B:$Q,13,0))</f>
        <v>Yurtiçi</v>
      </c>
      <c r="W64" s="54">
        <f>IF(B64="","",VLOOKUP(AD64,Varsayımlar!$B:$Q,14,0))</f>
        <v>6</v>
      </c>
      <c r="X64" s="56"/>
      <c r="Y64" s="56"/>
      <c r="Z64" s="54"/>
      <c r="AA64" s="54" t="str">
        <f>IF(B64="","",VLOOKUP(AD64,Varsayımlar!$B:$Q,15,0))</f>
        <v>15cm Kolisi</v>
      </c>
      <c r="AB64" s="54" t="str">
        <f>IF(B64="","",VLOOKUP(AD64,Varsayımlar!$B:$Q,16,0))</f>
        <v>14-15cm</v>
      </c>
      <c r="AC64" s="8" t="e">
        <f>IF(B64="","",VLOOKUP(#REF!,#REF!,18,0))</f>
        <v>#REF!</v>
      </c>
      <c r="AD64" s="8" t="str">
        <f>IF(B64="","",CONCATENATE(B64,E64))</f>
        <v>Ceylan DönerTortillas 15cm 10pcs 250g</v>
      </c>
    </row>
    <row r="65" spans="1:28" x14ac:dyDescent="0.25">
      <c r="A65" s="8" t="s">
        <v>87</v>
      </c>
      <c r="B65" s="67"/>
      <c r="C65" s="42" t="str">
        <f>IF(B65="","",VLOOKUP(AD65,#REF!,3,0))</f>
        <v/>
      </c>
      <c r="D65" s="42"/>
      <c r="E65" s="42"/>
      <c r="F65" s="67"/>
      <c r="G65" s="67"/>
      <c r="H65" s="67" t="str">
        <f>IF(B65="","",VLOOKUP(AD65,#REF!,5,0))</f>
        <v/>
      </c>
      <c r="I65" s="67" t="str">
        <f>IF(B65="","",VLOOKUP(AD65,#REF!,19,0))</f>
        <v/>
      </c>
      <c r="J65" s="67" t="str">
        <f>IF(B65="","",VLOOKUP(AD65,#REF!,6,0))</f>
        <v/>
      </c>
      <c r="K65" s="67"/>
      <c r="L65" s="67"/>
      <c r="M65" s="67" t="str">
        <f>IFERROR(IF(B65="","",K65/VLOOKUP(AD65,#REF!,17,0)),"")</f>
        <v/>
      </c>
      <c r="N65" s="67"/>
      <c r="O65" s="67"/>
      <c r="P65" s="67" t="str">
        <f>IF(B65="","",VLOOKUP(AD65,#REF!,7,0)*K65)</f>
        <v/>
      </c>
      <c r="Q65" s="67" t="str">
        <f>IF(B65="","",VLOOKUP(AD65,#REF!,8,0))</f>
        <v/>
      </c>
      <c r="R65" s="67" t="str">
        <f>IF(B65="","",VLOOKUP(AD65,#REF!,9,0))</f>
        <v/>
      </c>
      <c r="S65" s="67" t="str">
        <f>IF(B65="","",VLOOKUP(AD65,#REF!,10,0))</f>
        <v/>
      </c>
      <c r="T65" s="67" t="str">
        <f>IF(B65="","",VLOOKUP(AD65,#REF!,11,0))</f>
        <v/>
      </c>
      <c r="U65" s="67" t="str">
        <f>IF(B65="","",VLOOKUP(AD65,#REF!,12,0))</f>
        <v/>
      </c>
      <c r="V65" s="67" t="str">
        <f>IF(B65="","",VLOOKUP(AD65,#REF!,13,0))</f>
        <v/>
      </c>
      <c r="W65" s="67" t="str">
        <f>IF(B65="","",VLOOKUP(AD65,#REF!,14,0))</f>
        <v/>
      </c>
      <c r="X65" s="69"/>
      <c r="Y65" s="69"/>
      <c r="Z65" s="67"/>
      <c r="AA65" s="67" t="str">
        <f>IF(B65="","",VLOOKUP(AD65,#REF!,15,0))</f>
        <v/>
      </c>
      <c r="AB65" s="67" t="str">
        <f>IF(B65="","",VLOOKUP(AD65,#REF!,16,0))</f>
        <v/>
      </c>
    </row>
    <row r="66" spans="1:28" x14ac:dyDescent="0.25">
      <c r="A66" s="8" t="s">
        <v>88</v>
      </c>
      <c r="B66" s="67"/>
      <c r="C66" s="42" t="str">
        <f>IF(B66="","",VLOOKUP(AD66,#REF!,3,0))</f>
        <v/>
      </c>
      <c r="D66" s="42"/>
      <c r="E66" s="42"/>
      <c r="F66" s="67"/>
      <c r="G66" s="67"/>
      <c r="H66" s="67" t="str">
        <f>IF(B66="","",VLOOKUP(AD66,#REF!,5,0))</f>
        <v/>
      </c>
      <c r="I66" s="67" t="str">
        <f>IF(B66="","",VLOOKUP(AD66,#REF!,19,0))</f>
        <v/>
      </c>
      <c r="J66" s="67" t="str">
        <f>IF(B66="","",VLOOKUP(AD66,#REF!,6,0))</f>
        <v/>
      </c>
      <c r="K66" s="67"/>
      <c r="L66" s="67"/>
      <c r="M66" s="67" t="str">
        <f>IFERROR(IF(B66="","",K66/VLOOKUP(AD66,#REF!,17,0)),"")</f>
        <v/>
      </c>
      <c r="N66" s="67"/>
      <c r="O66" s="67"/>
      <c r="P66" s="67" t="str">
        <f>IF(B66="","",VLOOKUP(AD66,#REF!,7,0)*K66)</f>
        <v/>
      </c>
      <c r="Q66" s="67" t="str">
        <f>IF(B66="","",VLOOKUP(AD66,#REF!,8,0))</f>
        <v/>
      </c>
      <c r="R66" s="67" t="str">
        <f>IF(B66="","",VLOOKUP(AD66,#REF!,9,0))</f>
        <v/>
      </c>
      <c r="S66" s="67" t="str">
        <f>IF(B66="","",VLOOKUP(AD66,#REF!,10,0))</f>
        <v/>
      </c>
      <c r="T66" s="67" t="str">
        <f>IF(B66="","",VLOOKUP(AD66,#REF!,11,0))</f>
        <v/>
      </c>
      <c r="U66" s="67" t="str">
        <f>IF(B66="","",VLOOKUP(AD66,#REF!,12,0))</f>
        <v/>
      </c>
      <c r="V66" s="67" t="str">
        <f>IF(B66="","",VLOOKUP(AD66,#REF!,13,0))</f>
        <v/>
      </c>
      <c r="W66" s="67" t="str">
        <f>IF(B66="","",VLOOKUP(AD66,#REF!,14,0))</f>
        <v/>
      </c>
      <c r="X66" s="69"/>
      <c r="Y66" s="69"/>
      <c r="Z66" s="67"/>
      <c r="AA66" s="67" t="str">
        <f>IF(B66="","",VLOOKUP(AD66,#REF!,15,0))</f>
        <v/>
      </c>
      <c r="AB66" s="67" t="str">
        <f>IF(B66="","",VLOOKUP(AD66,#REF!,16,0))</f>
        <v/>
      </c>
    </row>
    <row r="67" spans="1:28" x14ac:dyDescent="0.25">
      <c r="A67" s="8" t="s">
        <v>89</v>
      </c>
      <c r="B67" s="67"/>
      <c r="C67" s="42" t="str">
        <f>IF(B67="","",VLOOKUP(AD67,#REF!,3,0))</f>
        <v/>
      </c>
      <c r="D67" s="42"/>
      <c r="E67" s="42"/>
      <c r="F67" s="67"/>
      <c r="G67" s="67"/>
      <c r="H67" s="67" t="str">
        <f>IF(B67="","",VLOOKUP(AD67,#REF!,5,0))</f>
        <v/>
      </c>
      <c r="I67" s="67" t="str">
        <f>IF(B67="","",VLOOKUP(AD67,#REF!,19,0))</f>
        <v/>
      </c>
      <c r="J67" s="67" t="str">
        <f>IF(B67="","",VLOOKUP(AD67,#REF!,6,0))</f>
        <v/>
      </c>
      <c r="K67" s="67"/>
      <c r="L67" s="67"/>
      <c r="M67" s="67" t="str">
        <f>IFERROR(IF(B67="","",K67/VLOOKUP(AD67,#REF!,17,0)),"")</f>
        <v/>
      </c>
      <c r="N67" s="67"/>
      <c r="O67" s="67"/>
      <c r="P67" s="67" t="str">
        <f>IF(B67="","",VLOOKUP(AD67,#REF!,7,0)*K67)</f>
        <v/>
      </c>
      <c r="Q67" s="67" t="str">
        <f>IF(B67="","",VLOOKUP(AD67,#REF!,8,0))</f>
        <v/>
      </c>
      <c r="R67" s="67" t="str">
        <f>IF(B67="","",VLOOKUP(AD67,#REF!,9,0))</f>
        <v/>
      </c>
      <c r="S67" s="67" t="str">
        <f>IF(B67="","",VLOOKUP(AD67,#REF!,10,0))</f>
        <v/>
      </c>
      <c r="T67" s="67" t="str">
        <f>IF(B67="","",VLOOKUP(AD67,#REF!,11,0))</f>
        <v/>
      </c>
      <c r="U67" s="67" t="str">
        <f>IF(B67="","",VLOOKUP(AD67,#REF!,12,0))</f>
        <v/>
      </c>
      <c r="V67" s="67" t="str">
        <f>IF(B67="","",VLOOKUP(AD67,#REF!,13,0))</f>
        <v/>
      </c>
      <c r="W67" s="67" t="str">
        <f>IF(B67="","",VLOOKUP(AD67,#REF!,14,0))</f>
        <v/>
      </c>
      <c r="X67" s="69"/>
      <c r="Y67" s="69"/>
      <c r="Z67" s="67"/>
      <c r="AA67" s="67" t="str">
        <f>IF(B67="","",VLOOKUP(AD67,#REF!,15,0))</f>
        <v/>
      </c>
      <c r="AB67" s="67" t="str">
        <f>IF(B67="","",VLOOKUP(AD67,#REF!,16,0))</f>
        <v/>
      </c>
    </row>
    <row r="68" spans="1:28" x14ac:dyDescent="0.25">
      <c r="A68" s="8" t="s">
        <v>90</v>
      </c>
      <c r="B68" s="67"/>
      <c r="C68" s="42" t="str">
        <f>IF(B68="","",VLOOKUP(AD68,#REF!,3,0))</f>
        <v/>
      </c>
      <c r="D68" s="42"/>
      <c r="E68" s="42"/>
      <c r="F68" s="67"/>
      <c r="G68" s="67"/>
      <c r="H68" s="67" t="str">
        <f>IF(B68="","",VLOOKUP(AD68,#REF!,5,0))</f>
        <v/>
      </c>
      <c r="I68" s="67" t="str">
        <f>IF(B68="","",VLOOKUP(AD68,#REF!,19,0))</f>
        <v/>
      </c>
      <c r="J68" s="67" t="str">
        <f>IF(B68="","",VLOOKUP(AD68,#REF!,6,0))</f>
        <v/>
      </c>
      <c r="K68" s="67"/>
      <c r="L68" s="67"/>
      <c r="M68" s="67" t="str">
        <f>IFERROR(IF(B68="","",K68/VLOOKUP(AD68,#REF!,17,0)),"")</f>
        <v/>
      </c>
      <c r="N68" s="67"/>
      <c r="O68" s="67"/>
      <c r="P68" s="67" t="str">
        <f>IF(B68="","",VLOOKUP(AD68,#REF!,7,0)*K68)</f>
        <v/>
      </c>
      <c r="Q68" s="67" t="str">
        <f>IF(B68="","",VLOOKUP(AD68,#REF!,8,0))</f>
        <v/>
      </c>
      <c r="R68" s="67" t="str">
        <f>IF(B68="","",VLOOKUP(AD68,#REF!,9,0))</f>
        <v/>
      </c>
      <c r="S68" s="67" t="str">
        <f>IF(B68="","",VLOOKUP(AD68,#REF!,10,0))</f>
        <v/>
      </c>
      <c r="T68" s="67" t="str">
        <f>IF(B68="","",VLOOKUP(AD68,#REF!,11,0))</f>
        <v/>
      </c>
      <c r="U68" s="67" t="str">
        <f>IF(B68="","",VLOOKUP(AD68,#REF!,12,0))</f>
        <v/>
      </c>
      <c r="V68" s="67" t="str">
        <f>IF(B68="","",VLOOKUP(AD68,#REF!,13,0))</f>
        <v/>
      </c>
      <c r="W68" s="67" t="str">
        <f>IF(B68="","",VLOOKUP(AD68,#REF!,14,0))</f>
        <v/>
      </c>
      <c r="X68" s="69"/>
      <c r="Y68" s="69"/>
      <c r="Z68" s="67"/>
      <c r="AA68" s="67" t="str">
        <f>IF(B68="","",VLOOKUP(AD68,#REF!,15,0))</f>
        <v/>
      </c>
      <c r="AB68" s="67" t="str">
        <f>IF(B68="","",VLOOKUP(AD68,#REF!,16,0))</f>
        <v/>
      </c>
    </row>
    <row r="69" spans="1:28" x14ac:dyDescent="0.25">
      <c r="A69" s="8" t="s">
        <v>91</v>
      </c>
      <c r="B69" s="67"/>
      <c r="C69" s="42" t="str">
        <f>IF(B69="","",VLOOKUP(AD69,#REF!,3,0))</f>
        <v/>
      </c>
      <c r="D69" s="42"/>
      <c r="E69" s="42"/>
      <c r="F69" s="67"/>
      <c r="G69" s="67"/>
      <c r="H69" s="67" t="str">
        <f>IF(B69="","",VLOOKUP(AD69,#REF!,5,0))</f>
        <v/>
      </c>
      <c r="I69" s="67" t="str">
        <f>IF(B69="","",VLOOKUP(AD69,#REF!,19,0))</f>
        <v/>
      </c>
      <c r="J69" s="67" t="str">
        <f>IF(B69="","",VLOOKUP(AD69,#REF!,6,0))</f>
        <v/>
      </c>
      <c r="K69" s="67"/>
      <c r="L69" s="67"/>
      <c r="M69" s="67" t="str">
        <f>IFERROR(IF(B69="","",K69/VLOOKUP(AD69,#REF!,17,0)),"")</f>
        <v/>
      </c>
      <c r="N69" s="67"/>
      <c r="O69" s="67"/>
      <c r="P69" s="67" t="str">
        <f>IF(B69="","",VLOOKUP(AD69,#REF!,7,0)*K69)</f>
        <v/>
      </c>
      <c r="Q69" s="67" t="str">
        <f>IF(B69="","",VLOOKUP(AD69,#REF!,8,0))</f>
        <v/>
      </c>
      <c r="R69" s="67" t="str">
        <f>IF(B69="","",VLOOKUP(AD69,#REF!,9,0))</f>
        <v/>
      </c>
      <c r="S69" s="67" t="str">
        <f>IF(B69="","",VLOOKUP(AD69,#REF!,10,0))</f>
        <v/>
      </c>
      <c r="T69" s="67" t="str">
        <f>IF(B69="","",VLOOKUP(AD69,#REF!,11,0))</f>
        <v/>
      </c>
      <c r="U69" s="67" t="str">
        <f>IF(B69="","",VLOOKUP(AD69,#REF!,12,0))</f>
        <v/>
      </c>
      <c r="V69" s="67" t="str">
        <f>IF(B69="","",VLOOKUP(AD69,#REF!,13,0))</f>
        <v/>
      </c>
      <c r="W69" s="67" t="str">
        <f>IF(B69="","",VLOOKUP(AD69,#REF!,14,0))</f>
        <v/>
      </c>
      <c r="X69" s="69"/>
      <c r="Y69" s="69"/>
      <c r="Z69" s="67"/>
      <c r="AA69" s="67" t="str">
        <f>IF(B69="","",VLOOKUP(AD69,#REF!,15,0))</f>
        <v/>
      </c>
      <c r="AB69" s="67" t="str">
        <f>IF(B69="","",VLOOKUP(AD69,#REF!,16,0))</f>
        <v/>
      </c>
    </row>
    <row r="70" spans="1:28" x14ac:dyDescent="0.25">
      <c r="A70" s="8" t="s">
        <v>92</v>
      </c>
      <c r="B70" s="67"/>
      <c r="C70" s="42" t="str">
        <f>IF(B70="","",VLOOKUP(AD70,#REF!,3,0))</f>
        <v/>
      </c>
      <c r="D70" s="42"/>
      <c r="E70" s="42"/>
      <c r="F70" s="67"/>
      <c r="G70" s="67"/>
      <c r="H70" s="67" t="str">
        <f>IF(B70="","",VLOOKUP(AD70,#REF!,5,0))</f>
        <v/>
      </c>
      <c r="I70" s="67" t="str">
        <f>IF(B70="","",VLOOKUP(AD70,#REF!,19,0))</f>
        <v/>
      </c>
      <c r="J70" s="67" t="str">
        <f>IF(B70="","",VLOOKUP(AD70,#REF!,6,0))</f>
        <v/>
      </c>
      <c r="K70" s="67"/>
      <c r="L70" s="67"/>
      <c r="M70" s="67" t="str">
        <f>IFERROR(IF(B70="","",K70/VLOOKUP(AD70,#REF!,17,0)),"")</f>
        <v/>
      </c>
      <c r="N70" s="67"/>
      <c r="O70" s="67"/>
      <c r="P70" s="67" t="str">
        <f>IF(B70="","",VLOOKUP(AD70,#REF!,7,0)*K70)</f>
        <v/>
      </c>
      <c r="Q70" s="67" t="str">
        <f>IF(B70="","",VLOOKUP(AD70,#REF!,8,0))</f>
        <v/>
      </c>
      <c r="R70" s="67" t="str">
        <f>IF(B70="","",VLOOKUP(AD70,#REF!,9,0))</f>
        <v/>
      </c>
      <c r="S70" s="67" t="str">
        <f>IF(B70="","",VLOOKUP(AD70,#REF!,10,0))</f>
        <v/>
      </c>
      <c r="T70" s="67" t="str">
        <f>IF(B70="","",VLOOKUP(AD70,#REF!,11,0))</f>
        <v/>
      </c>
      <c r="U70" s="67" t="str">
        <f>IF(B70="","",VLOOKUP(AD70,#REF!,12,0))</f>
        <v/>
      </c>
      <c r="V70" s="67" t="str">
        <f>IF(B70="","",VLOOKUP(AD70,#REF!,13,0))</f>
        <v/>
      </c>
      <c r="W70" s="67" t="str">
        <f>IF(B70="","",VLOOKUP(AD70,#REF!,14,0))</f>
        <v/>
      </c>
      <c r="X70" s="69"/>
      <c r="Y70" s="69"/>
      <c r="Z70" s="67"/>
      <c r="AA70" s="67" t="str">
        <f>IF(B70="","",VLOOKUP(AD70,#REF!,15,0))</f>
        <v/>
      </c>
      <c r="AB70" s="67" t="str">
        <f>IF(B70="","",VLOOKUP(AD70,#REF!,16,0))</f>
        <v/>
      </c>
    </row>
    <row r="71" spans="1:28" x14ac:dyDescent="0.25">
      <c r="A71" s="8" t="s">
        <v>93</v>
      </c>
      <c r="B71" s="67"/>
      <c r="C71" s="42" t="str">
        <f>IF(B71="","",VLOOKUP(AD71,#REF!,3,0))</f>
        <v/>
      </c>
      <c r="D71" s="42"/>
      <c r="E71" s="42"/>
      <c r="F71" s="67"/>
      <c r="G71" s="67"/>
      <c r="H71" s="67" t="str">
        <f>IF(B71="","",VLOOKUP(AD71,#REF!,5,0))</f>
        <v/>
      </c>
      <c r="I71" s="67" t="str">
        <f>IF(B71="","",VLOOKUP(AD71,#REF!,19,0))</f>
        <v/>
      </c>
      <c r="J71" s="67" t="str">
        <f>IF(B71="","",VLOOKUP(AD71,#REF!,6,0))</f>
        <v/>
      </c>
      <c r="K71" s="67"/>
      <c r="L71" s="67"/>
      <c r="M71" s="67" t="str">
        <f>IFERROR(IF(B71="","",K71/VLOOKUP(AD71,#REF!,17,0)),"")</f>
        <v/>
      </c>
      <c r="N71" s="67"/>
      <c r="O71" s="67"/>
      <c r="P71" s="67" t="str">
        <f>IF(B71="","",VLOOKUP(AD71,#REF!,7,0)*K71)</f>
        <v/>
      </c>
      <c r="Q71" s="67" t="str">
        <f>IF(B71="","",VLOOKUP(AD71,#REF!,8,0))</f>
        <v/>
      </c>
      <c r="R71" s="67" t="str">
        <f>IF(B71="","",VLOOKUP(AD71,#REF!,9,0))</f>
        <v/>
      </c>
      <c r="S71" s="67" t="str">
        <f>IF(B71="","",VLOOKUP(AD71,#REF!,10,0))</f>
        <v/>
      </c>
      <c r="T71" s="67" t="str">
        <f>IF(B71="","",VLOOKUP(AD71,#REF!,11,0))</f>
        <v/>
      </c>
      <c r="U71" s="67" t="str">
        <f>IF(B71="","",VLOOKUP(AD71,#REF!,12,0))</f>
        <v/>
      </c>
      <c r="V71" s="67" t="str">
        <f>IF(B71="","",VLOOKUP(AD71,#REF!,13,0))</f>
        <v/>
      </c>
      <c r="W71" s="67" t="str">
        <f>IF(B71="","",VLOOKUP(AD71,#REF!,14,0))</f>
        <v/>
      </c>
      <c r="X71" s="69"/>
      <c r="Y71" s="69"/>
      <c r="Z71" s="67"/>
      <c r="AA71" s="67" t="str">
        <f>IF(B71="","",VLOOKUP(AD71,#REF!,15,0))</f>
        <v/>
      </c>
      <c r="AB71" s="67" t="str">
        <f>IF(B71="","",VLOOKUP(AD71,#REF!,16,0))</f>
        <v/>
      </c>
    </row>
  </sheetData>
  <mergeCells count="5">
    <mergeCell ref="A1:AC1"/>
    <mergeCell ref="A2:Z2"/>
    <mergeCell ref="AB2:AC2"/>
    <mergeCell ref="A37:AB37"/>
    <mergeCell ref="A52:AB52"/>
  </mergeCells>
  <phoneticPr fontId="5" type="noConversion"/>
  <pageMargins left="0.31496062992125984" right="0.31496062992125984" top="0.15748031496062992" bottom="0.35433070866141736" header="0.31496062992125984" footer="0.31496062992125984"/>
  <pageSetup paperSize="9" scale="35" fitToHeight="4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8"/>
  <sheetViews>
    <sheetView topLeftCell="A7" zoomScale="85" zoomScaleNormal="85" workbookViewId="0">
      <selection sqref="A1:XFD1048576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customWidth="1"/>
    <col min="6" max="6" width="14" style="140" customWidth="1"/>
    <col min="7" max="7" width="16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4.57031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46205</v>
      </c>
      <c r="AB2" s="185">
        <v>0.375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0" ht="47.25" x14ac:dyDescent="0.25">
      <c r="A4" s="8" t="s">
        <v>26</v>
      </c>
      <c r="B4" s="54" t="s">
        <v>268</v>
      </c>
      <c r="C4" s="39">
        <f>IF(B4="","",VLOOKUP(AD4,Varsayımlar!$B:$Q,3,0))</f>
        <v>8698829380698</v>
      </c>
      <c r="D4" s="39" t="s">
        <v>160</v>
      </c>
      <c r="E4" s="54" t="s">
        <v>276</v>
      </c>
      <c r="F4" s="54" t="s">
        <v>343</v>
      </c>
      <c r="G4" s="39" t="s">
        <v>68</v>
      </c>
      <c r="H4" s="54" t="str">
        <f>IF(B4="","",VLOOKUP(AD4,Varsayımlar!$B:$Q,5,0))</f>
        <v>Tortillas 25cm Ispanaklı</v>
      </c>
      <c r="I4" s="54">
        <f>IF(B4="","",VLOOKUP(AD4,Varsayımlar!B:T,19,0))</f>
        <v>0</v>
      </c>
      <c r="J4" s="54" t="str">
        <f>IF(B4="","",VLOOKUP(AD4,Varsayımlar!$B:$Q,6,0))</f>
        <v>Ispanaklı</v>
      </c>
      <c r="K4" s="54">
        <v>336</v>
      </c>
      <c r="L4" s="54"/>
      <c r="M4" s="54">
        <f>IFERROR(IF(B4="","",K4/VLOOKUP(AD4,Varsayımlar!B:R,17,0)),"")</f>
        <v>4</v>
      </c>
      <c r="N4" s="54"/>
      <c r="O4" s="54">
        <v>6</v>
      </c>
      <c r="P4" s="54">
        <f>IF(B4="","",VLOOKUP(AD4,Varsayımlar!$B:$Q,7,0)*K4)</f>
        <v>10080</v>
      </c>
      <c r="Q4" s="54">
        <f>IF(B4="","",VLOOKUP(AD4,Varsayımlar!$B:$Q,8,0))</f>
        <v>25</v>
      </c>
      <c r="R4" s="54" t="str">
        <f>IF(B4="","",VLOOKUP(AD4,Varsayımlar!$B:$Q,9,0))</f>
        <v>Soft-PA3</v>
      </c>
      <c r="S4" s="54">
        <f>IF(B4="","",VLOOKUP(AD4,Varsayımlar!$B:$Q,10,0))</f>
        <v>4</v>
      </c>
      <c r="T4" s="54">
        <f>IF(B4="","",VLOOKUP(AD4,Varsayımlar!$B:$Q,11,0))</f>
        <v>30</v>
      </c>
      <c r="U4" s="54">
        <f>IF(B4="","",VLOOKUP(AD4,Varsayımlar!$B:$Q,12,0))</f>
        <v>240</v>
      </c>
      <c r="V4" s="54" t="str">
        <f>IF(B4="","",VLOOKUP(AD4,Varsayımlar!$B:$Q,13,0))</f>
        <v>Yurtdışı</v>
      </c>
      <c r="W4" s="54">
        <f>IF(B4="","",VLOOKUP(AD4,Varsayımlar!$B:$Q,14,0))</f>
        <v>12</v>
      </c>
      <c r="X4" s="56">
        <v>46205</v>
      </c>
      <c r="Y4" s="56">
        <v>46570</v>
      </c>
      <c r="Z4" s="54" t="s">
        <v>385</v>
      </c>
      <c r="AA4" s="54" t="str">
        <f>IF(B4="","",VLOOKUP(AD4,Varsayımlar!$B:$Q,15,0))</f>
        <v>25cm Kolisi-Etiketli</v>
      </c>
      <c r="AB4" s="54" t="str">
        <f>IF(B4="","",VLOOKUP(AD4,Varsayımlar!$B:$Q,16,0))</f>
        <v>24-26 cm (Macca Hetto Inkjet Uzun Tarih)</v>
      </c>
      <c r="AC4" s="54" t="str">
        <f>IF(B4="","",VLOOKUP(Sayfa1!AD38,Varsayımlar!B:S,18,0))</f>
        <v>80x120cm</v>
      </c>
      <c r="AD4" s="57" t="str">
        <f t="shared" ref="AD4:AD32" si="0">IF(B4="","",CONCATENATE(B4,E4))</f>
        <v>LAIKYUZHN-BELARUSTortillas 25cm Ispanaklı 4pcs 240g</v>
      </c>
    </row>
    <row r="5" spans="1:30" ht="47.25" x14ac:dyDescent="0.25">
      <c r="A5" s="8" t="s">
        <v>77</v>
      </c>
      <c r="B5" s="54" t="s">
        <v>268</v>
      </c>
      <c r="C5" s="39">
        <f>IF(B5="","",VLOOKUP(AD5,Varsayımlar!$B:$Q,3,0))</f>
        <v>8698829380698</v>
      </c>
      <c r="D5" s="39" t="s">
        <v>160</v>
      </c>
      <c r="E5" s="54" t="s">
        <v>278</v>
      </c>
      <c r="F5" s="54" t="s">
        <v>343</v>
      </c>
      <c r="G5" s="39" t="s">
        <v>68</v>
      </c>
      <c r="H5" s="54" t="str">
        <f>IF(B5="","",VLOOKUP(AD5,Varsayımlar!$B:$Q,5,0))</f>
        <v>Magnit Tortillas 25cm Peynirli</v>
      </c>
      <c r="I5" s="54" t="str">
        <f>IF(B5="","",VLOOKUP(AD5,Varsayımlar!B:T,19,0))</f>
        <v>Etiketli</v>
      </c>
      <c r="J5" s="54" t="str">
        <f>IF(B5="","",VLOOKUP(AD5,Varsayımlar!$B:$Q,6,0))</f>
        <v>Peynirli</v>
      </c>
      <c r="K5" s="54">
        <v>504</v>
      </c>
      <c r="L5" s="54"/>
      <c r="M5" s="54">
        <f>IFERROR(IF(B5="","",K5/VLOOKUP(AD5,Varsayımlar!B:R,17,0)),"")</f>
        <v>6</v>
      </c>
      <c r="N5" s="54"/>
      <c r="O5" s="54">
        <v>9</v>
      </c>
      <c r="P5" s="54">
        <f>IF(B5="","",VLOOKUP(AD5,Varsayımlar!$B:$Q,7,0)*K5)</f>
        <v>15120</v>
      </c>
      <c r="Q5" s="54">
        <f>IF(B5="","",VLOOKUP(AD5,Varsayımlar!$B:$Q,8,0))</f>
        <v>25</v>
      </c>
      <c r="R5" s="54" t="str">
        <f>IF(B5="","",VLOOKUP(AD5,Varsayımlar!$B:$Q,9,0))</f>
        <v>Soft-PA3-AT</v>
      </c>
      <c r="S5" s="54">
        <f>IF(B5="","",VLOOKUP(AD5,Varsayımlar!$B:$Q,10,0))</f>
        <v>4</v>
      </c>
      <c r="T5" s="54">
        <f>IF(B5="","",VLOOKUP(AD5,Varsayımlar!$B:$Q,11,0))</f>
        <v>30</v>
      </c>
      <c r="U5" s="54">
        <f>IF(B5="","",VLOOKUP(AD5,Varsayımlar!$B:$Q,12,0))</f>
        <v>250</v>
      </c>
      <c r="V5" s="54" t="str">
        <f>IF(B5="","",VLOOKUP(AD5,Varsayımlar!$B:$Q,13,0))</f>
        <v>Yurtdışı</v>
      </c>
      <c r="W5" s="54">
        <f>IF(B5="","",VLOOKUP(AD5,Varsayımlar!$B:$Q,14,0))</f>
        <v>9</v>
      </c>
      <c r="X5" s="56">
        <v>46205</v>
      </c>
      <c r="Y5" s="56">
        <v>46479</v>
      </c>
      <c r="Z5" s="54" t="s">
        <v>386</v>
      </c>
      <c r="AA5" s="54" t="str">
        <f>IF(B5="","",VLOOKUP(AD5,Varsayımlar!$B:$Q,15,0))</f>
        <v>25cm Kolisi-Etiketli</v>
      </c>
      <c r="AB5" s="54" t="str">
        <f>IF(B5="","",VLOOKUP(AD5,Varsayımlar!$B:$Q,16,0))</f>
        <v>24-26 cm (Macca Hetto Inkjet Uzun Tarih)</v>
      </c>
      <c r="AC5" s="54" t="str">
        <f>IF(B5="","",VLOOKUP(Sayfa1!AD39,Varsayımlar!B:S,18,0))</f>
        <v>80x120cm</v>
      </c>
      <c r="AD5" s="57" t="str">
        <f t="shared" si="0"/>
        <v>LAIKYUZHN-BELARUSMagnit Tortillas 25cm Peynirli 4pcs 240g</v>
      </c>
    </row>
    <row r="6" spans="1:30" ht="45.75" customHeight="1" x14ac:dyDescent="0.25">
      <c r="A6" s="8" t="s">
        <v>78</v>
      </c>
      <c r="B6" s="130" t="s">
        <v>119</v>
      </c>
      <c r="C6" s="131">
        <f>IF(B6="","",VLOOKUP(AD6,Varsayımlar!$B:$Q,3,0))</f>
        <v>8698829380698</v>
      </c>
      <c r="D6" s="131"/>
      <c r="E6" s="132" t="s">
        <v>120</v>
      </c>
      <c r="F6" s="130"/>
      <c r="G6" s="130"/>
      <c r="H6" s="130" t="str">
        <f>IF(B6="","",VLOOKUP(AD6,Varsayımlar!$B:$Q,5,0))</f>
        <v>Nimet 25 cm</v>
      </c>
      <c r="I6" s="130"/>
      <c r="J6" s="130" t="str">
        <f>IF(B6="","",VLOOKUP(AD6,Varsayımlar!$B:$Q,6,0))</f>
        <v>SADE</v>
      </c>
      <c r="K6" s="130">
        <v>5000</v>
      </c>
      <c r="L6" s="130"/>
      <c r="M6" s="130">
        <f>IFERROR(IF(B6="","",K6/VLOOKUP(AD6,Varsayımlar!B:R,17,0)),"")</f>
        <v>100</v>
      </c>
      <c r="N6" s="130"/>
      <c r="O6" s="130">
        <v>100</v>
      </c>
      <c r="P6" s="130">
        <f>IF(B6="","",VLOOKUP(AD6,Varsayımlar!$B:$Q,7,0)*K6)</f>
        <v>60000</v>
      </c>
      <c r="Q6" s="130">
        <f>IF(B6="","",VLOOKUP(AD6,Varsayımlar!$B:$Q,8,0))</f>
        <v>25</v>
      </c>
      <c r="R6" s="130" t="str">
        <f>IF(B6="","",VLOOKUP(AD6,Varsayımlar!$B:$Q,9,0))</f>
        <v>Standart</v>
      </c>
      <c r="S6" s="130">
        <f>IF(B6="","",VLOOKUP(AD6,Varsayımlar!$B:$Q,10,0))</f>
        <v>12</v>
      </c>
      <c r="T6" s="130">
        <f>IF(B6="","",VLOOKUP(AD6,Varsayımlar!$B:$Q,11,0))</f>
        <v>12</v>
      </c>
      <c r="U6" s="130">
        <f>IF(B6="","",VLOOKUP(AD6,Varsayımlar!$B:$Q,12,0))</f>
        <v>840</v>
      </c>
      <c r="V6" s="130" t="str">
        <f>IF(B6="","",VLOOKUP(AD6,Varsayımlar!$B:$Q,13,0))</f>
        <v>YURTİÇİ</v>
      </c>
      <c r="W6" s="130">
        <f>IF(B6="","",VLOOKUP(AD6,Varsayımlar!$B:$Q,14,0))</f>
        <v>5</v>
      </c>
      <c r="X6" s="133" t="s">
        <v>113</v>
      </c>
      <c r="Y6" s="133" t="s">
        <v>113</v>
      </c>
      <c r="Z6" s="130" t="s">
        <v>113</v>
      </c>
      <c r="AA6" s="130" t="str">
        <f>IF(B6="","",VLOOKUP(AD6,Varsayımlar!$B:$Q,15,0))</f>
        <v>Nimet Kolisi</v>
      </c>
      <c r="AB6" s="130" t="str">
        <f>IF(B6="","",VLOOKUP(AD6,Varsayımlar!$B:$Q,16,0))</f>
        <v>24-26 CM</v>
      </c>
      <c r="AC6" s="64" t="s">
        <v>360</v>
      </c>
      <c r="AD6" s="57" t="str">
        <f t="shared" si="0"/>
        <v>A101Nimet 25cm 12 pcs 840g</v>
      </c>
    </row>
    <row r="7" spans="1:30" ht="31.5" x14ac:dyDescent="0.25">
      <c r="A7" s="8" t="s">
        <v>79</v>
      </c>
      <c r="B7" s="75" t="s">
        <v>218</v>
      </c>
      <c r="C7" s="43">
        <f>IF(B7="","",VLOOKUP(AD7,Varsayımlar!$B:$Q,3,0))</f>
        <v>8698829380698</v>
      </c>
      <c r="D7" s="43" t="s">
        <v>161</v>
      </c>
      <c r="E7" s="75" t="s">
        <v>229</v>
      </c>
      <c r="F7" s="75" t="s">
        <v>561</v>
      </c>
      <c r="G7" s="43"/>
      <c r="H7" s="75" t="str">
        <f>IF(B7="","",VLOOKUP(AD7,Varsayımlar!$B:$Q,5,0))</f>
        <v>Tortillas Avrupa 25cm Tam Buğday (711)</v>
      </c>
      <c r="I7" s="75">
        <f>IF(B7="","",VLOOKUP(AD7,Varsayımlar!B:T,19,0))</f>
        <v>0</v>
      </c>
      <c r="J7" s="75" t="str">
        <f>IF(B7="","",VLOOKUP(AD7,Varsayımlar!$B:$Q,6,0))</f>
        <v>Tam Buğdaylı</v>
      </c>
      <c r="K7" s="75">
        <v>600</v>
      </c>
      <c r="L7" s="75"/>
      <c r="M7" s="75">
        <f>IFERROR(IF(B7="","",K7/VLOOKUP(AD7,Varsayımlar!B:R,17,0)),"")</f>
        <v>5</v>
      </c>
      <c r="N7" s="75"/>
      <c r="O7" s="75">
        <v>7</v>
      </c>
      <c r="P7" s="75">
        <f>IF(B7="","",VLOOKUP(AD7,Varsayımlar!$B:$Q,7,0)*K7)</f>
        <v>4800</v>
      </c>
      <c r="Q7" s="75">
        <f>IF(B7="","",VLOOKUP(AD7,Varsayımlar!$B:$Q,8,0))</f>
        <v>25</v>
      </c>
      <c r="R7" s="75" t="str">
        <f>IF(B7="","",VLOOKUP(AD7,Varsayımlar!$B:$Q,9,0))</f>
        <v>Irak Soft</v>
      </c>
      <c r="S7" s="75">
        <f>IF(B7="","",VLOOKUP(AD7,Varsayımlar!$B:$Q,10,0))</f>
        <v>10</v>
      </c>
      <c r="T7" s="75">
        <f>IF(B7="","",VLOOKUP(AD7,Varsayımlar!$B:$Q,11,0))</f>
        <v>8</v>
      </c>
      <c r="U7" s="75">
        <f>IF(B7="","",VLOOKUP(AD7,Varsayımlar!$B:$Q,12,0))</f>
        <v>650</v>
      </c>
      <c r="V7" s="75" t="str">
        <f>IF(B7="","",VLOOKUP(AD7,Varsayımlar!$B:$Q,13,0))</f>
        <v>Yurtdışı</v>
      </c>
      <c r="W7" s="75">
        <f>IF(B7="","",VLOOKUP(AD7,Varsayımlar!$B:$Q,14,0))</f>
        <v>9</v>
      </c>
      <c r="X7" s="76">
        <v>46213</v>
      </c>
      <c r="Y7" s="76">
        <v>46487</v>
      </c>
      <c r="Z7" s="75" t="s">
        <v>562</v>
      </c>
      <c r="AA7" s="75" t="str">
        <f>IF(B7="","",VLOOKUP(AD7,Varsayımlar!$B:$Q,15,0))</f>
        <v>25cm Perforeli-Bulgarca TB etiket</v>
      </c>
      <c r="AB7" s="75" t="str">
        <f>IF(B7="","",VLOOKUP(AD7,Varsayımlar!$B:$Q,16,0))</f>
        <v>24-26 cm</v>
      </c>
      <c r="AC7" s="75" t="str">
        <f>IF(B7="","",VLOOKUP(Sayfa1!AD63,Varsayımlar!B:S,18,0))</f>
        <v>80x120cm -Epal+Epal</v>
      </c>
      <c r="AD7" s="57" t="str">
        <f t="shared" si="0"/>
        <v>TASTE LAND-BULGARİSTANTortillas 25cm Tam Buğday 10pcs 650g</v>
      </c>
    </row>
    <row r="8" spans="1:30" ht="31.5" x14ac:dyDescent="0.25">
      <c r="A8" s="8" t="s">
        <v>80</v>
      </c>
      <c r="B8" s="75" t="s">
        <v>218</v>
      </c>
      <c r="C8" s="43">
        <f>IF(B8="","",VLOOKUP(AD8,Varsayımlar!$B:$Q,3,0))</f>
        <v>8698829380698</v>
      </c>
      <c r="D8" s="43" t="s">
        <v>161</v>
      </c>
      <c r="E8" s="43" t="s">
        <v>560</v>
      </c>
      <c r="F8" s="75" t="s">
        <v>561</v>
      </c>
      <c r="G8" s="43" t="s">
        <v>564</v>
      </c>
      <c r="H8" s="75" t="str">
        <f>IF(B8="","",VLOOKUP(AD8,Varsayımlar!$B:$Q,5,0))</f>
        <v>Baskısız 30cm</v>
      </c>
      <c r="I8" s="75" t="str">
        <f>IF(B8="","",VLOOKUP(AD8,Varsayımlar!B:T,19,0))</f>
        <v>Etiketli</v>
      </c>
      <c r="J8" s="75" t="str">
        <f>IF(B8="","",VLOOKUP(AD8,Varsayımlar!$B:$Q,6,0))</f>
        <v>Tam Buğdaylı</v>
      </c>
      <c r="K8" s="75">
        <v>252</v>
      </c>
      <c r="L8" s="75"/>
      <c r="M8" s="75">
        <f>IFERROR(IF(B8="","",K8/VLOOKUP(AD8,Varsayımlar!B:R,17,0)),"")</f>
        <v>3</v>
      </c>
      <c r="N8" s="75"/>
      <c r="O8" s="75">
        <v>4</v>
      </c>
      <c r="P8" s="75">
        <f>IF(B8="","",VLOOKUP(AD8,Varsayımlar!$B:$Q,7,0)*K8)</f>
        <v>1512</v>
      </c>
      <c r="Q8" s="75">
        <f>IF(B8="","",VLOOKUP(AD8,Varsayımlar!$B:$Q,8,0))</f>
        <v>25</v>
      </c>
      <c r="R8" s="75" t="str">
        <f>IF(B8="","",VLOOKUP(AD8,Varsayımlar!$B:$Q,9,0))</f>
        <v>Irak soft</v>
      </c>
      <c r="S8" s="75">
        <f>IF(B8="","",VLOOKUP(AD8,Varsayımlar!$B:$Q,10,0))</f>
        <v>18</v>
      </c>
      <c r="T8" s="75">
        <f>IF(B8="","",VLOOKUP(AD8,Varsayımlar!$B:$Q,11,0))</f>
        <v>6</v>
      </c>
      <c r="U8" s="75">
        <f>IF(B8="","",VLOOKUP(AD8,Varsayımlar!$B:$Q,12,0))</f>
        <v>1170</v>
      </c>
      <c r="V8" s="75" t="str">
        <f>IF(B8="","",VLOOKUP(AD8,Varsayımlar!$B:$Q,13,0))</f>
        <v>YURTDIŞI</v>
      </c>
      <c r="W8" s="75">
        <f>IF(B8="","",VLOOKUP(AD8,Varsayımlar!$B:$Q,14,0))</f>
        <v>9</v>
      </c>
      <c r="X8" s="76">
        <v>46213</v>
      </c>
      <c r="Y8" s="76">
        <v>46487</v>
      </c>
      <c r="Z8" s="75" t="s">
        <v>562</v>
      </c>
      <c r="AA8" s="75" t="str">
        <f>IF(B8="","",VLOOKUP(AD8,Varsayımlar!$B:$Q,15,0))</f>
        <v>25cm Kolisi-Etiketli</v>
      </c>
      <c r="AB8" s="75" t="str">
        <f>IF(B8="","",VLOOKUP(AD8,Varsayımlar!$B:$Q,16,0))</f>
        <v>24-26cm</v>
      </c>
      <c r="AC8" s="75" t="str">
        <f>IF(B8="","",VLOOKUP(Sayfa1!AD64,Varsayımlar!B:S,18,0))</f>
        <v>80x120cm -Epal+Epal</v>
      </c>
      <c r="AD8" s="57" t="str">
        <f t="shared" si="0"/>
        <v>TASTE LAND-BULGARİSTANBaskısız 30cm 18pcs 1170g</v>
      </c>
    </row>
    <row r="9" spans="1:30" ht="47.25" x14ac:dyDescent="0.25">
      <c r="A9" s="8" t="s">
        <v>81</v>
      </c>
      <c r="B9" s="75" t="s">
        <v>218</v>
      </c>
      <c r="C9" s="43">
        <f>IF(B9="","",VLOOKUP(AD9,Varsayımlar!$B:$Q,3,0))</f>
        <v>8698829380698</v>
      </c>
      <c r="D9" s="43" t="s">
        <v>161</v>
      </c>
      <c r="E9" s="75" t="s">
        <v>232</v>
      </c>
      <c r="F9" s="75" t="s">
        <v>561</v>
      </c>
      <c r="G9" s="43"/>
      <c r="H9" s="75" t="str">
        <f>IF(B9="","",VLOOKUP(AD9,Varsayımlar!$B:$Q,5,0))</f>
        <v>Tortillas Avrupa 25cm Domatesli (074)</v>
      </c>
      <c r="I9" s="75">
        <f>IF(B9="","",VLOOKUP(AD9,Varsayımlar!B:T,19,0))</f>
        <v>0</v>
      </c>
      <c r="J9" s="75" t="str">
        <f>IF(B9="","",VLOOKUP(AD9,Varsayımlar!$B:$Q,6,0))</f>
        <v>Domatesli</v>
      </c>
      <c r="K9" s="75">
        <v>600</v>
      </c>
      <c r="L9" s="75"/>
      <c r="M9" s="75">
        <f>IFERROR(IF(B9="","",K9/VLOOKUP(AD9,Varsayımlar!B:R,17,0)),"")</f>
        <v>5</v>
      </c>
      <c r="N9" s="75"/>
      <c r="O9" s="75">
        <v>6</v>
      </c>
      <c r="P9" s="75">
        <f>IF(B9="","",VLOOKUP(AD9,Varsayımlar!$B:$Q,7,0)*K9)</f>
        <v>7200</v>
      </c>
      <c r="Q9" s="75">
        <f>IF(B9="","",VLOOKUP(AD9,Varsayımlar!$B:$Q,8,0))</f>
        <v>25</v>
      </c>
      <c r="R9" s="75" t="str">
        <f>IF(B9="","",VLOOKUP(AD9,Varsayımlar!$B:$Q,9,0))</f>
        <v>Irak Soft</v>
      </c>
      <c r="S9" s="75">
        <f>IF(B9="","",VLOOKUP(AD9,Varsayımlar!$B:$Q,10,0))</f>
        <v>6</v>
      </c>
      <c r="T9" s="75">
        <f>IF(B9="","",VLOOKUP(AD9,Varsayımlar!$B:$Q,11,0))</f>
        <v>12</v>
      </c>
      <c r="U9" s="75">
        <f>IF(B9="","",VLOOKUP(AD9,Varsayımlar!$B:$Q,12,0))</f>
        <v>390</v>
      </c>
      <c r="V9" s="75" t="str">
        <f>IF(B9="","",VLOOKUP(AD9,Varsayımlar!$B:$Q,13,0))</f>
        <v>Yurtdışı</v>
      </c>
      <c r="W9" s="75">
        <f>IF(B9="","",VLOOKUP(AD9,Varsayımlar!$B:$Q,14,0))</f>
        <v>9</v>
      </c>
      <c r="X9" s="76">
        <v>46213</v>
      </c>
      <c r="Y9" s="76">
        <v>46487</v>
      </c>
      <c r="Z9" s="75" t="s">
        <v>565</v>
      </c>
      <c r="AA9" s="75" t="str">
        <f>IF(B9="","",VLOOKUP(AD9,Varsayımlar!$B:$Q,15,0))</f>
        <v>25cm Perforeli-Bulgarca Domatesli etiket</v>
      </c>
      <c r="AB9" s="75" t="str">
        <f>IF(B9="","",VLOOKUP(AD9,Varsayımlar!$B:$Q,16,0))</f>
        <v>24-26 cm</v>
      </c>
      <c r="AC9" s="75" t="str">
        <f>IF(B9="","",VLOOKUP(Sayfa1!AD65,Varsayımlar!B:S,18,0))</f>
        <v>80x120cm -Epal+Epal</v>
      </c>
      <c r="AD9" s="57" t="str">
        <f t="shared" si="0"/>
        <v>TASTE LAND-BULGARİSTANTortillas 25cm Domatesli 6pcs 390g</v>
      </c>
    </row>
    <row r="10" spans="1:30" ht="47.25" x14ac:dyDescent="0.25">
      <c r="A10" s="8" t="s">
        <v>82</v>
      </c>
      <c r="B10" s="75" t="s">
        <v>218</v>
      </c>
      <c r="C10" s="43">
        <f>IF(B10="","",VLOOKUP(AD10,Varsayımlar!$B:$Q,3,0))</f>
        <v>8698829380698</v>
      </c>
      <c r="D10" s="43" t="s">
        <v>161</v>
      </c>
      <c r="E10" s="75" t="s">
        <v>235</v>
      </c>
      <c r="F10" s="75" t="s">
        <v>561</v>
      </c>
      <c r="G10" s="43"/>
      <c r="H10" s="75" t="str">
        <f>IF(B10="","",VLOOKUP(AD10,Varsayımlar!$B:$Q,5,0))</f>
        <v>Tortillas Avrupa 25cm Ispanaklı (081)</v>
      </c>
      <c r="I10" s="75">
        <f>IF(B10="","",VLOOKUP(AD10,Varsayımlar!B:T,19,0))</f>
        <v>0</v>
      </c>
      <c r="J10" s="75" t="str">
        <f>IF(B10="","",VLOOKUP(AD10,Varsayımlar!$B:$Q,6,0))</f>
        <v>Ispanaklı</v>
      </c>
      <c r="K10" s="75">
        <v>600</v>
      </c>
      <c r="L10" s="75"/>
      <c r="M10" s="75">
        <f>IFERROR(IF(B10="","",K10/VLOOKUP(AD10,Varsayımlar!B:R,17,0)),"")</f>
        <v>5</v>
      </c>
      <c r="N10" s="75"/>
      <c r="O10" s="75">
        <v>6</v>
      </c>
      <c r="P10" s="75">
        <f>IF(B10="","",VLOOKUP(AD10,Varsayımlar!$B:$Q,7,0)*K10)</f>
        <v>7200</v>
      </c>
      <c r="Q10" s="75">
        <f>IF(B10="","",VLOOKUP(AD10,Varsayımlar!$B:$Q,8,0))</f>
        <v>25</v>
      </c>
      <c r="R10" s="75" t="str">
        <f>IF(B10="","",VLOOKUP(AD10,Varsayımlar!$B:$Q,9,0))</f>
        <v>Irak Soft</v>
      </c>
      <c r="S10" s="75">
        <f>IF(B10="","",VLOOKUP(AD10,Varsayımlar!$B:$Q,10,0))</f>
        <v>6</v>
      </c>
      <c r="T10" s="75">
        <f>IF(B10="","",VLOOKUP(AD10,Varsayımlar!$B:$Q,11,0))</f>
        <v>12</v>
      </c>
      <c r="U10" s="75">
        <f>IF(B10="","",VLOOKUP(AD10,Varsayımlar!$B:$Q,12,0))</f>
        <v>390</v>
      </c>
      <c r="V10" s="75" t="str">
        <f>IF(B10="","",VLOOKUP(AD10,Varsayımlar!$B:$Q,13,0))</f>
        <v>Yurtdışı</v>
      </c>
      <c r="W10" s="75">
        <f>IF(B10="","",VLOOKUP(AD10,Varsayımlar!$B:$Q,14,0))</f>
        <v>9</v>
      </c>
      <c r="X10" s="76">
        <v>46213</v>
      </c>
      <c r="Y10" s="76">
        <v>46487</v>
      </c>
      <c r="Z10" s="75" t="s">
        <v>566</v>
      </c>
      <c r="AA10" s="75" t="str">
        <f>IF(B10="","",VLOOKUP(AD10,Varsayımlar!$B:$Q,15,0))</f>
        <v>25cm Perforeli-Bulgarca Ispanaklı etiket</v>
      </c>
      <c r="AB10" s="75" t="str">
        <f>IF(B10="","",VLOOKUP(AD10,Varsayımlar!$B:$Q,16,0))</f>
        <v>24-26 cm</v>
      </c>
      <c r="AC10" s="75" t="str">
        <f>IF(B10="","",VLOOKUP(Sayfa1!AD66,Varsayımlar!B:S,18,0))</f>
        <v>80x120cm -Epal+Epal</v>
      </c>
      <c r="AD10" s="57" t="str">
        <f t="shared" si="0"/>
        <v>TASTE LAND-BULGARİSTANTortillas 25cm Ispanaklı 6pcs 390g</v>
      </c>
    </row>
    <row r="11" spans="1:30" ht="47.25" x14ac:dyDescent="0.25">
      <c r="A11" s="8" t="s">
        <v>83</v>
      </c>
      <c r="B11" s="75" t="s">
        <v>218</v>
      </c>
      <c r="C11" s="43">
        <f>IF(B11="","",VLOOKUP(AD11,Varsayımlar!$B:$Q,3,0))</f>
        <v>8698829380698</v>
      </c>
      <c r="D11" s="43" t="s">
        <v>161</v>
      </c>
      <c r="E11" s="75" t="s">
        <v>252</v>
      </c>
      <c r="F11" s="75" t="s">
        <v>561</v>
      </c>
      <c r="G11" s="43"/>
      <c r="H11" s="75" t="str">
        <f>IF(B11="","",VLOOKUP(AD11,Varsayımlar!$B:$Q,5,0))</f>
        <v xml:space="preserve">Tortillas 20cm Sade </v>
      </c>
      <c r="I11" s="75" t="str">
        <f>IF(B11="","",VLOOKUP(AD11,Varsayımlar!B:T,19,0))</f>
        <v>Barkod üzerine Barkod Etiketi (104)</v>
      </c>
      <c r="J11" s="75" t="str">
        <f>IF(B11="","",VLOOKUP(AD11,Varsayımlar!$B:$Q,6,0))</f>
        <v>SADE</v>
      </c>
      <c r="K11" s="75">
        <v>120</v>
      </c>
      <c r="L11" s="75"/>
      <c r="M11" s="75">
        <f>IFERROR(IF(B11="","",K11/VLOOKUP(AD11,Varsayımlar!B:R,17,0)),"")</f>
        <v>1</v>
      </c>
      <c r="N11" s="75"/>
      <c r="O11" s="75">
        <v>2</v>
      </c>
      <c r="P11" s="75">
        <f>IF(B11="","",VLOOKUP(AD11,Varsayımlar!$B:$Q,7,0)*K11)</f>
        <v>2160</v>
      </c>
      <c r="Q11" s="75">
        <f>IF(B11="","",VLOOKUP(AD11,Varsayımlar!$B:$Q,8,0))</f>
        <v>20</v>
      </c>
      <c r="R11" s="75" t="str">
        <f>IF(B11="","",VLOOKUP(AD11,Varsayımlar!$B:$Q,9,0))</f>
        <v>Irak Soft</v>
      </c>
      <c r="S11" s="75">
        <f>IF(B11="","",VLOOKUP(AD11,Varsayımlar!$B:$Q,10,0))</f>
        <v>6</v>
      </c>
      <c r="T11" s="75">
        <f>IF(B11="","",VLOOKUP(AD11,Varsayımlar!$B:$Q,11,0))</f>
        <v>18</v>
      </c>
      <c r="U11" s="75">
        <f>IF(B11="","",VLOOKUP(AD11,Varsayımlar!$B:$Q,12,0))</f>
        <v>270</v>
      </c>
      <c r="V11" s="75" t="str">
        <f>IF(B11="","",VLOOKUP(AD11,Varsayımlar!$B:$Q,13,0))</f>
        <v>Yurtdışı</v>
      </c>
      <c r="W11" s="75">
        <f>IF(B11="","",VLOOKUP(AD11,Varsayımlar!$B:$Q,14,0))</f>
        <v>9</v>
      </c>
      <c r="X11" s="76">
        <v>46213</v>
      </c>
      <c r="Y11" s="76">
        <v>46487</v>
      </c>
      <c r="Z11" s="75">
        <v>26071020</v>
      </c>
      <c r="AA11" s="75" t="str">
        <f>IF(B11="","",VLOOKUP(AD11,Varsayımlar!$B:$Q,15,0))</f>
        <v>20cm Lacivert-Bulgarca Etiket</v>
      </c>
      <c r="AB11" s="75" t="str">
        <f>IF(B11="","",VLOOKUP(AD11,Varsayımlar!$B:$Q,16,0))</f>
        <v>19-21 cm</v>
      </c>
      <c r="AC11" s="75" t="str">
        <f>IF(B11="","",VLOOKUP(Sayfa1!AD21,Varsayımlar!B:S,18,0))</f>
        <v>100x120cm-Epal+Epal</v>
      </c>
      <c r="AD11" s="57" t="str">
        <f>IF(B11="","",CONCATENATE(B11,E11))</f>
        <v>TASTE LAND-BULGARİSTANTortillas 20cm Sade 6pcs 270g</v>
      </c>
    </row>
    <row r="12" spans="1:30" ht="55.5" customHeight="1" x14ac:dyDescent="0.25">
      <c r="A12" s="8" t="s">
        <v>84</v>
      </c>
      <c r="B12" s="67" t="s">
        <v>460</v>
      </c>
      <c r="C12" s="42">
        <f>IF(B12="","",VLOOKUP(AD12,Varsayımlar!$B:$Q,3,0))</f>
        <v>8698829380698</v>
      </c>
      <c r="D12" s="67" t="s">
        <v>540</v>
      </c>
      <c r="E12" s="67" t="s">
        <v>464</v>
      </c>
      <c r="F12" s="67">
        <v>20260414</v>
      </c>
      <c r="G12" s="67"/>
      <c r="H12" s="67" t="str">
        <f>IF(B12="","",VLOOKUP(AD12,Varsayımlar!$B:$Q,5,0))</f>
        <v>Tortillove 20cm</v>
      </c>
      <c r="I12" s="67">
        <f>IF(B12="","",VLOOKUP(AD12,Varsayımlar!B:T,19,0))</f>
        <v>0</v>
      </c>
      <c r="J12" s="67" t="str">
        <f>IF(B12="","",VLOOKUP(AD12,Varsayımlar!$B:$Q,6,0))</f>
        <v>SADE</v>
      </c>
      <c r="K12" s="67">
        <v>300</v>
      </c>
      <c r="L12" s="67"/>
      <c r="M12" s="67">
        <f>IFERROR(IF(B12="","",K12/VLOOKUP(AD12,Varsayımlar!B:R,17,0)),"")</f>
        <v>3</v>
      </c>
      <c r="N12" s="67"/>
      <c r="O12" s="67">
        <v>5</v>
      </c>
      <c r="P12" s="67">
        <f>IF(B12="","",VLOOKUP(AD12,Varsayımlar!$B:$Q,7,0)*K12)</f>
        <v>3600</v>
      </c>
      <c r="Q12" s="67">
        <f>IF(B12="","",VLOOKUP(AD12,Varsayımlar!$B:$Q,8,0))</f>
        <v>20</v>
      </c>
      <c r="R12" s="67" t="str">
        <f>IF(B12="","",VLOOKUP(AD12,Varsayımlar!$B:$Q,9,0))</f>
        <v>Irak Soft</v>
      </c>
      <c r="S12" s="67">
        <f>IF(B12="","",VLOOKUP(AD12,Varsayımlar!$B:$Q,10,0))</f>
        <v>10</v>
      </c>
      <c r="T12" s="67">
        <f>IF(B12="","",VLOOKUP(AD12,Varsayımlar!$B:$Q,11,0))</f>
        <v>12</v>
      </c>
      <c r="U12" s="67">
        <f>IF(B12="","",VLOOKUP(AD12,Varsayımlar!$B:$Q,12,0))</f>
        <v>450</v>
      </c>
      <c r="V12" s="67" t="str">
        <f>IF(B12="","",VLOOKUP(AD12,Varsayımlar!$B:$Q,13,0))</f>
        <v>Yurtdışı</v>
      </c>
      <c r="W12" s="67">
        <f>IF(B12="","",VLOOKUP(AD12,Varsayımlar!$B:$Q,14,0))</f>
        <v>6</v>
      </c>
      <c r="X12" s="69">
        <v>46216</v>
      </c>
      <c r="Y12" s="69">
        <v>46400</v>
      </c>
      <c r="Z12" s="67">
        <v>26071320</v>
      </c>
      <c r="AA12" s="67" t="str">
        <f>IF(B12="","",VLOOKUP(AD12,Varsayımlar!$B:$Q,15,0))</f>
        <v>20cm kolisi</v>
      </c>
      <c r="AB12" s="67" t="str">
        <f>IF(B12="","",VLOOKUP(AD12,Varsayımlar!$B:$Q,16,0))</f>
        <v>19-21 cm</v>
      </c>
      <c r="AC12" s="75">
        <f>IF(B12="","",VLOOKUP(Sayfa1!AD69,Varsayımlar!B:S,18,0))</f>
        <v>0</v>
      </c>
      <c r="AD12" s="57" t="str">
        <f t="shared" si="0"/>
        <v>Yüksekbaş GıdaYüksekbaş 20cm 10pcs 450g</v>
      </c>
    </row>
    <row r="13" spans="1:30" ht="51" customHeight="1" x14ac:dyDescent="0.25">
      <c r="A13" s="8" t="s">
        <v>85</v>
      </c>
      <c r="B13" s="164" t="s">
        <v>256</v>
      </c>
      <c r="C13" s="165">
        <f>IF(B13="","",VLOOKUP(AD13,Varsayımlar!$B:$Q,3,0))</f>
        <v>8698829380698</v>
      </c>
      <c r="D13" s="164"/>
      <c r="E13" s="164" t="s">
        <v>551</v>
      </c>
      <c r="F13" s="164">
        <v>20260629</v>
      </c>
      <c r="G13" s="164"/>
      <c r="H13" s="164" t="str">
        <f>IF(B13="","",VLOOKUP(AD13,Varsayımlar!$B:$Q,5,0))</f>
        <v>Tortillove 33 cm</v>
      </c>
      <c r="I13" s="164">
        <f>IF(B13="","",VLOOKUP(AD13,Varsayımlar!B:T,19,0))</f>
        <v>0</v>
      </c>
      <c r="J13" s="164" t="str">
        <f>IF(B13="","",VLOOKUP(AD13,Varsayımlar!$B:$Q,6,0))</f>
        <v>Sade</v>
      </c>
      <c r="K13" s="164">
        <v>110</v>
      </c>
      <c r="L13" s="164"/>
      <c r="M13" s="164" t="str">
        <f>IFERROR(IF(B13="","",K13/VLOOKUP(AD13,Varsayımlar!B:R,17,0)),"")</f>
        <v/>
      </c>
      <c r="N13" s="164"/>
      <c r="O13" s="164">
        <v>2</v>
      </c>
      <c r="P13" s="164">
        <f>IF(B13="","",VLOOKUP(AD13,Varsayımlar!$B:$Q,7,0)*K13)</f>
        <v>1320</v>
      </c>
      <c r="Q13" s="164">
        <f>IF(B13="","",VLOOKUP(AD13,Varsayımlar!$B:$Q,8,0))</f>
        <v>33</v>
      </c>
      <c r="R13" s="164" t="str">
        <f>IF(B13="","",VLOOKUP(AD13,Varsayımlar!$B:$Q,9,0))</f>
        <v>Irak soft</v>
      </c>
      <c r="S13" s="164">
        <f>IF(B13="","",VLOOKUP(AD13,Varsayımlar!$B:$Q,10,0))</f>
        <v>10</v>
      </c>
      <c r="T13" s="164">
        <f>IF(B13="","",VLOOKUP(AD13,Varsayımlar!$B:$Q,11,0))</f>
        <v>12</v>
      </c>
      <c r="U13" s="164">
        <f>IF(B13="","",VLOOKUP(AD13,Varsayımlar!$B:$Q,12,0))</f>
        <v>1000</v>
      </c>
      <c r="V13" s="164" t="str">
        <f>IF(B13="","",VLOOKUP(AD13,Varsayımlar!$B:$Q,13,0))</f>
        <v>Yurtiçi</v>
      </c>
      <c r="W13" s="164">
        <f>IF(B13="","",VLOOKUP(AD13,Varsayımlar!$B:$Q,14,0))</f>
        <v>6</v>
      </c>
      <c r="X13" s="166" t="s">
        <v>113</v>
      </c>
      <c r="Y13" s="166" t="s">
        <v>113</v>
      </c>
      <c r="Z13" s="164" t="s">
        <v>113</v>
      </c>
      <c r="AA13" s="164" t="str">
        <f>IF(B13="","",VLOOKUP(AD13,Varsayımlar!$B:$Q,15,0))</f>
        <v>33cm Kolisi</v>
      </c>
      <c r="AB13" s="164" t="str">
        <f>IF(B13="","",VLOOKUP(AD13,Varsayımlar!$B:$Q,16,0))</f>
        <v>32-34cm</v>
      </c>
      <c r="AC13" s="75">
        <f>IF(B13="","",VLOOKUP(Sayfa1!AD76,Varsayımlar!B:S,18,0))</f>
        <v>0</v>
      </c>
      <c r="AD13" s="57" t="str">
        <f>IF(B13="","",CONCATENATE(B13,E13))</f>
        <v>Ankara KahveTortillove 33cm 10pcs 1000g</v>
      </c>
    </row>
    <row r="14" spans="1:30" ht="51" customHeight="1" x14ac:dyDescent="0.25">
      <c r="A14" s="8" t="s">
        <v>86</v>
      </c>
      <c r="B14" s="164" t="s">
        <v>256</v>
      </c>
      <c r="C14" s="165">
        <f>IF(B14="","",VLOOKUP(AD14,Varsayımlar!$B:$Q,3,0))</f>
        <v>8698829380698</v>
      </c>
      <c r="D14" s="164"/>
      <c r="E14" s="164" t="s">
        <v>556</v>
      </c>
      <c r="F14" s="164">
        <v>20260702</v>
      </c>
      <c r="G14" s="164"/>
      <c r="H14" s="164" t="str">
        <f>IF(B14="","",VLOOKUP(AD14,Varsayımlar!$B:$Q,5,0))</f>
        <v>Tortillove 30cm</v>
      </c>
      <c r="I14" s="164">
        <f>IF(B14="","",VLOOKUP(AD14,Varsayımlar!B:T,19,0))</f>
        <v>0</v>
      </c>
      <c r="J14" s="164" t="str">
        <f>IF(B14="","",VLOOKUP(AD14,Varsayımlar!$B:$Q,6,0))</f>
        <v>Sade</v>
      </c>
      <c r="K14" s="164">
        <v>50</v>
      </c>
      <c r="L14" s="164"/>
      <c r="M14" s="164" t="str">
        <f>IFERROR(IF(B14="","",K14/VLOOKUP(AD14,Varsayımlar!B:R,17,0)),"")</f>
        <v/>
      </c>
      <c r="N14" s="164"/>
      <c r="O14" s="164">
        <v>2</v>
      </c>
      <c r="P14" s="164">
        <f>IF(B14="","",VLOOKUP(AD14,Varsayımlar!$B:$Q,7,0)*K14)</f>
        <v>600</v>
      </c>
      <c r="Q14" s="164">
        <f>IF(B14="","",VLOOKUP(AD14,Varsayımlar!$B:$Q,8,0))</f>
        <v>30</v>
      </c>
      <c r="R14" s="164" t="str">
        <f>IF(B14="","",VLOOKUP(AD14,Varsayımlar!$B:$Q,9,0))</f>
        <v>Irak soft</v>
      </c>
      <c r="S14" s="164">
        <f>IF(B14="","",VLOOKUP(AD14,Varsayımlar!$B:$Q,10,0))</f>
        <v>10</v>
      </c>
      <c r="T14" s="164">
        <f>IF(B14="","",VLOOKUP(AD14,Varsayımlar!$B:$Q,11,0))</f>
        <v>12</v>
      </c>
      <c r="U14" s="164">
        <f>IF(B14="","",VLOOKUP(AD14,Varsayımlar!$B:$Q,12,0))</f>
        <v>950</v>
      </c>
      <c r="V14" s="164" t="str">
        <f>IF(B14="","",VLOOKUP(AD14,Varsayımlar!$B:$Q,13,0))</f>
        <v>Yurtiçi</v>
      </c>
      <c r="W14" s="164">
        <f>IF(B14="","",VLOOKUP(AD14,Varsayımlar!$B:$Q,14,0))</f>
        <v>6</v>
      </c>
      <c r="X14" s="166" t="s">
        <v>113</v>
      </c>
      <c r="Y14" s="166" t="s">
        <v>113</v>
      </c>
      <c r="Z14" s="164" t="s">
        <v>113</v>
      </c>
      <c r="AA14" s="164" t="str">
        <f>IF(B14="","",VLOOKUP(AD14,Varsayımlar!$B:$Q,15,0))</f>
        <v>30cm Kolisi</v>
      </c>
      <c r="AB14" s="164" t="str">
        <f>IF(B14="","",VLOOKUP(AD14,Varsayımlar!$B:$Q,16,0))</f>
        <v>29-31cm</v>
      </c>
      <c r="AC14" s="75">
        <f>IF(B14="","",VLOOKUP(Sayfa1!AD77,Varsayımlar!B:S,18,0))</f>
        <v>0</v>
      </c>
      <c r="AD14" s="57" t="str">
        <f>IF(B14="","",CONCATENATE(B14,E14))</f>
        <v>Ankara KahveTortillove 30cm 10pcs 950g</v>
      </c>
    </row>
    <row r="15" spans="1:30" ht="61.5" customHeight="1" x14ac:dyDescent="0.25">
      <c r="A15" s="8" t="s">
        <v>87</v>
      </c>
      <c r="B15" s="67" t="s">
        <v>460</v>
      </c>
      <c r="C15" s="42">
        <f>IF(B15="","",VLOOKUP(AD15,Varsayımlar!$B:$Q,3,0))</f>
        <v>8698829380698</v>
      </c>
      <c r="D15" s="67" t="s">
        <v>540</v>
      </c>
      <c r="E15" s="67" t="s">
        <v>470</v>
      </c>
      <c r="F15" s="67">
        <v>20260414</v>
      </c>
      <c r="G15" s="67"/>
      <c r="H15" s="67" t="str">
        <f>IF(B15="","",VLOOKUP(AD15,Varsayımlar!$B:$Q,5,0))</f>
        <v>Tortillove 30cm</v>
      </c>
      <c r="I15" s="67">
        <f>IF(B15="","",VLOOKUP(AD15,Varsayımlar!B:T,19,0))</f>
        <v>0</v>
      </c>
      <c r="J15" s="67" t="str">
        <f>IF(B15="","",VLOOKUP(AD15,Varsayımlar!$B:$Q,6,0))</f>
        <v>SADE</v>
      </c>
      <c r="K15" s="67">
        <v>792</v>
      </c>
      <c r="L15" s="67" t="s">
        <v>559</v>
      </c>
      <c r="M15" s="67">
        <f>IFERROR(IF(B15="","",K15/VLOOKUP(AD15,Varsayımlar!B:R,17,0)),"")</f>
        <v>12</v>
      </c>
      <c r="N15" s="67"/>
      <c r="O15" s="67">
        <v>14</v>
      </c>
      <c r="P15" s="67">
        <f>IF(B15="","",VLOOKUP(AD15,Varsayımlar!$B:$Q,7,0)*K15)</f>
        <v>9504</v>
      </c>
      <c r="Q15" s="67">
        <f>IF(B15="","",VLOOKUP(AD15,Varsayımlar!$B:$Q,8,0))</f>
        <v>30</v>
      </c>
      <c r="R15" s="67" t="str">
        <f>IF(B15="","",VLOOKUP(AD15,Varsayımlar!$B:$Q,9,0))</f>
        <v>Irak Soft</v>
      </c>
      <c r="S15" s="67">
        <f>IF(B15="","",VLOOKUP(AD15,Varsayımlar!$B:$Q,10,0))</f>
        <v>10</v>
      </c>
      <c r="T15" s="67">
        <f>IF(B15="","",VLOOKUP(AD15,Varsayımlar!$B:$Q,11,0))</f>
        <v>12</v>
      </c>
      <c r="U15" s="67">
        <f>IF(B15="","",VLOOKUP(AD15,Varsayımlar!$B:$Q,12,0))</f>
        <v>950</v>
      </c>
      <c r="V15" s="67" t="str">
        <f>IF(B15="","",VLOOKUP(AD15,Varsayımlar!$B:$Q,13,0))</f>
        <v>Yurtdışı</v>
      </c>
      <c r="W15" s="67">
        <f>IF(B15="","",VLOOKUP(AD15,Varsayımlar!$B:$Q,14,0))</f>
        <v>6</v>
      </c>
      <c r="X15" s="69">
        <v>46216</v>
      </c>
      <c r="Y15" s="69">
        <v>46400</v>
      </c>
      <c r="Z15" s="67">
        <v>26071330</v>
      </c>
      <c r="AA15" s="67" t="str">
        <f>IF(B15="","",VLOOKUP(AD15,Varsayımlar!$B:$Q,15,0))</f>
        <v>30cm Kolisi</v>
      </c>
      <c r="AB15" s="67" t="str">
        <f>IF(B15="","",VLOOKUP(AD15,Varsayımlar!$B:$Q,16,0))</f>
        <v>29-31 cm</v>
      </c>
      <c r="AC15" s="75">
        <f>IF(B15="","",VLOOKUP(Sayfa1!AD69,Varsayımlar!B:S,18,0))</f>
        <v>0</v>
      </c>
      <c r="AD15" s="57" t="str">
        <f t="shared" si="0"/>
        <v>Yüksekbaş GıdaYüksekbaş 30cm 10pcs 950g</v>
      </c>
    </row>
    <row r="16" spans="1:30" ht="51" customHeight="1" x14ac:dyDescent="0.25">
      <c r="A16" s="8" t="s">
        <v>88</v>
      </c>
      <c r="B16" s="160" t="s">
        <v>553</v>
      </c>
      <c r="C16" s="161">
        <f>IF(B16="","",VLOOKUP(AD16,Varsayımlar!$B:$Q,3,0))</f>
        <v>8698829380698</v>
      </c>
      <c r="D16" s="160"/>
      <c r="E16" s="160" t="s">
        <v>556</v>
      </c>
      <c r="F16" s="160">
        <v>20260629</v>
      </c>
      <c r="G16" s="160" t="s">
        <v>578</v>
      </c>
      <c r="H16" s="160" t="str">
        <f>IF(B16="","",VLOOKUP(AD16,Varsayımlar!$B:$Q,5,0))</f>
        <v>Tortillove 30cm</v>
      </c>
      <c r="I16" s="160">
        <f>IF(B16="","",VLOOKUP(AD16,Varsayımlar!B:T,19,0))</f>
        <v>0</v>
      </c>
      <c r="J16" s="160" t="str">
        <f>IF(B16="","",VLOOKUP(AD16,Varsayımlar!$B:$Q,6,0))</f>
        <v>Sade</v>
      </c>
      <c r="K16" s="160">
        <v>350</v>
      </c>
      <c r="L16" s="160"/>
      <c r="M16" s="160">
        <f>IFERROR(IF(B16="","",K16/VLOOKUP(AD16,Varsayımlar!B:R,17,0)),"")</f>
        <v>7</v>
      </c>
      <c r="N16" s="160"/>
      <c r="O16" s="160">
        <v>7</v>
      </c>
      <c r="P16" s="160">
        <f>IF(B16="","",VLOOKUP(AD16,Varsayımlar!$B:$Q,7,0)*K16)</f>
        <v>4200</v>
      </c>
      <c r="Q16" s="160">
        <f>IF(B16="","",VLOOKUP(AD16,Varsayımlar!$B:$Q,8,0))</f>
        <v>30</v>
      </c>
      <c r="R16" s="160" t="str">
        <f>IF(B16="","",VLOOKUP(AD16,Varsayımlar!$B:$Q,9,0))</f>
        <v>Irak soft</v>
      </c>
      <c r="S16" s="160">
        <f>IF(B16="","",VLOOKUP(AD16,Varsayımlar!$B:$Q,10,0))</f>
        <v>10</v>
      </c>
      <c r="T16" s="160">
        <f>IF(B16="","",VLOOKUP(AD16,Varsayımlar!$B:$Q,11,0))</f>
        <v>12</v>
      </c>
      <c r="U16" s="160">
        <f>IF(B16="","",VLOOKUP(AD16,Varsayımlar!$B:$Q,12,0))</f>
        <v>950</v>
      </c>
      <c r="V16" s="160" t="str">
        <f>IF(B16="","",VLOOKUP(AD16,Varsayımlar!$B:$Q,13,0))</f>
        <v>Yurtiçi</v>
      </c>
      <c r="W16" s="160">
        <f>IF(B16="","",VLOOKUP(AD16,Varsayımlar!$B:$Q,14,0))</f>
        <v>6</v>
      </c>
      <c r="X16" s="160" t="s">
        <v>113</v>
      </c>
      <c r="Y16" s="160" t="s">
        <v>113</v>
      </c>
      <c r="Z16" s="160" t="s">
        <v>113</v>
      </c>
      <c r="AA16" s="160" t="str">
        <f>IF(B16="","",VLOOKUP(AD16,Varsayımlar!$B:$Q,15,0))</f>
        <v>30cm kolisi-Barkod etiketli</v>
      </c>
      <c r="AB16" s="160" t="str">
        <f>IF(B16="","",VLOOKUP(AD16,Varsayımlar!$B:$Q,16,0))</f>
        <v>29-31cm</v>
      </c>
      <c r="AC16" s="75">
        <f>IF(B16="","",VLOOKUP(Sayfa1!AD77,Varsayımlar!B:S,18,0))</f>
        <v>0</v>
      </c>
      <c r="AD16" s="57" t="str">
        <f t="shared" si="0"/>
        <v>GıdaserTortillove 30cm 10pcs 950g</v>
      </c>
    </row>
    <row r="17" spans="1:30" ht="61.5" customHeight="1" x14ac:dyDescent="0.25">
      <c r="A17" s="8" t="s">
        <v>87</v>
      </c>
      <c r="B17" s="167" t="s">
        <v>409</v>
      </c>
      <c r="C17" s="168">
        <f>IF(B17="","",VLOOKUP(AD17,Varsayımlar!$B:$Q,3,0))</f>
        <v>8698829380698</v>
      </c>
      <c r="D17" s="167"/>
      <c r="E17" s="169" t="s">
        <v>410</v>
      </c>
      <c r="F17" s="167">
        <v>20260702</v>
      </c>
      <c r="G17" s="167" t="s">
        <v>578</v>
      </c>
      <c r="H17" s="167" t="str">
        <f>IF(B17="","",VLOOKUP(AD17,Varsayımlar!$B:$Q,5,0))</f>
        <v>Baskısız 30cm</v>
      </c>
      <c r="I17" s="167" t="str">
        <f>IF(B17="","",VLOOKUP(AD17,Varsayımlar!B:T,19,0))</f>
        <v>Donipa 30cm 18pcs 1710g etiketli</v>
      </c>
      <c r="J17" s="167" t="str">
        <f>IF(B17="","",VLOOKUP(AD17,Varsayımlar!$B:$Q,6,0))</f>
        <v>SADE</v>
      </c>
      <c r="K17" s="167">
        <v>100</v>
      </c>
      <c r="L17" s="167"/>
      <c r="M17" s="167" t="str">
        <f>IFERROR(IF(B17="","",K17/VLOOKUP(AD17,Varsayımlar!B:R,17,0)),"")</f>
        <v/>
      </c>
      <c r="N17" s="167"/>
      <c r="O17" s="167">
        <v>2</v>
      </c>
      <c r="P17" s="167">
        <f>IF(B17="","",VLOOKUP(AD17,Varsayımlar!$B:$Q,7,0)*K17)</f>
        <v>600</v>
      </c>
      <c r="Q17" s="167">
        <f>IF(B17="","",VLOOKUP(AD17,Varsayımlar!$B:$Q,8,0))</f>
        <v>30</v>
      </c>
      <c r="R17" s="167" t="str">
        <f>IF(B17="","",VLOOKUP(AD17,Varsayımlar!$B:$Q,9,0))</f>
        <v>Irak soft</v>
      </c>
      <c r="S17" s="167">
        <f>IF(B17="","",VLOOKUP(AD17,Varsayımlar!$B:$Q,10,0))</f>
        <v>18</v>
      </c>
      <c r="T17" s="167">
        <f>IF(B17="","",VLOOKUP(AD17,Varsayımlar!$B:$Q,11,0))</f>
        <v>6</v>
      </c>
      <c r="U17" s="167">
        <f>IF(B17="","",VLOOKUP(AD17,Varsayımlar!$B:$Q,12,0))</f>
        <v>1710</v>
      </c>
      <c r="V17" s="167" t="str">
        <f>IF(B17="","",VLOOKUP(AD17,Varsayımlar!$B:$Q,13,0))</f>
        <v>Yurtiçi</v>
      </c>
      <c r="W17" s="167">
        <f>IF(B17="","",VLOOKUP(AD17,Varsayımlar!$B:$Q,14,0))</f>
        <v>6</v>
      </c>
      <c r="X17" s="170" t="s">
        <v>113</v>
      </c>
      <c r="Y17" s="170" t="s">
        <v>113</v>
      </c>
      <c r="Z17" s="167" t="s">
        <v>113</v>
      </c>
      <c r="AA17" s="167" t="str">
        <f>IF(B17="","",VLOOKUP(AD17,Varsayımlar!$B:$Q,15,0))</f>
        <v>30cm koli-Etiketli</v>
      </c>
      <c r="AB17" s="167" t="str">
        <f>IF(B17="","",VLOOKUP(AD17,Varsayımlar!$B:$Q,16,0))</f>
        <v>29-31 cm</v>
      </c>
      <c r="AC17" s="75">
        <f>IF(B17="","",VLOOKUP(Sayfa1!AD71,Varsayımlar!B:S,18,0))</f>
        <v>0</v>
      </c>
      <c r="AD17" s="57" t="str">
        <f t="shared" ref="AD17" si="1">IF(B17="","",CONCATENATE(B17,E17))</f>
        <v>DonipaDonipa 30cm 18pcs 1710g</v>
      </c>
    </row>
    <row r="18" spans="1:30" ht="61.5" customHeight="1" x14ac:dyDescent="0.25">
      <c r="A18" s="8" t="s">
        <v>87</v>
      </c>
      <c r="B18" s="171" t="s">
        <v>586</v>
      </c>
      <c r="C18" s="172">
        <f>IF(B18="","",VLOOKUP(AD18,Varsayımlar!$B:$Q,3,0))</f>
        <v>8698829380698</v>
      </c>
      <c r="D18" s="171"/>
      <c r="E18" s="171" t="s">
        <v>185</v>
      </c>
      <c r="F18" s="171">
        <v>20260702</v>
      </c>
      <c r="G18" s="171" t="s">
        <v>578</v>
      </c>
      <c r="H18" s="171" t="str">
        <f>IF(B18="","",VLOOKUP(AD18,Varsayımlar!$B:$Q,5,0))</f>
        <v>Tortillas 30cm</v>
      </c>
      <c r="I18" s="171" t="str">
        <f>IF(B18="","",VLOOKUP(AD18,Varsayımlar!B:T,19,0))</f>
        <v>Arka Kısma Bosnaca içerik Etiketli</v>
      </c>
      <c r="J18" s="171" t="str">
        <f>IF(B18="","",VLOOKUP(AD18,Varsayımlar!$B:$Q,6,0))</f>
        <v>Sade</v>
      </c>
      <c r="K18" s="171">
        <v>100</v>
      </c>
      <c r="L18" s="171"/>
      <c r="M18" s="171">
        <f>IFERROR(IF(B18="","",K18/VLOOKUP(AD18,Varsayımlar!B:R,17,0)),"")</f>
        <v>2</v>
      </c>
      <c r="N18" s="171"/>
      <c r="O18" s="171">
        <v>2</v>
      </c>
      <c r="P18" s="171">
        <f>IF(B18="","",VLOOKUP(AD18,Varsayımlar!$B:$Q,7,0)*K18)</f>
        <v>1200</v>
      </c>
      <c r="Q18" s="171">
        <f>IF(B18="","",VLOOKUP(AD18,Varsayımlar!$B:$Q,8,0))</f>
        <v>30</v>
      </c>
      <c r="R18" s="171" t="str">
        <f>IF(B18="","",VLOOKUP(AD18,Varsayımlar!$B:$Q,9,0))</f>
        <v>Irak soft</v>
      </c>
      <c r="S18" s="171">
        <f>IF(B18="","",VLOOKUP(AD18,Varsayımlar!$B:$Q,10,0))</f>
        <v>10</v>
      </c>
      <c r="T18" s="171">
        <f>IF(B18="","",VLOOKUP(AD18,Varsayımlar!$B:$Q,11,0))</f>
        <v>12</v>
      </c>
      <c r="U18" s="171">
        <f>IF(B18="","",VLOOKUP(AD18,Varsayımlar!$B:$Q,12,0))</f>
        <v>900</v>
      </c>
      <c r="V18" s="171" t="str">
        <f>IF(B18="","",VLOOKUP(AD18,Varsayımlar!$B:$Q,13,0))</f>
        <v>Yurtdışı</v>
      </c>
      <c r="W18" s="171">
        <f>IF(B18="","",VLOOKUP(AD18,Varsayımlar!$B:$Q,14,0))</f>
        <v>6</v>
      </c>
      <c r="X18" s="173" t="s">
        <v>113</v>
      </c>
      <c r="Y18" s="173" t="s">
        <v>113</v>
      </c>
      <c r="Z18" s="171" t="s">
        <v>113</v>
      </c>
      <c r="AA18" s="171" t="str">
        <f>IF(B18="","",VLOOKUP(AD18,Varsayımlar!$B:$Q,15,0))</f>
        <v>30cm Kolisi</v>
      </c>
      <c r="AB18" s="171" t="str">
        <f>IF(B18="","",VLOOKUP(AD18,Varsayımlar!$B:$Q,16,0))</f>
        <v>29-31cm</v>
      </c>
      <c r="AC18" s="75">
        <f>IF(B18="","",VLOOKUP(Sayfa1!AD72,Varsayımlar!B:S,18,0))</f>
        <v>0</v>
      </c>
      <c r="AD18" s="57" t="str">
        <f t="shared" ref="AD18" si="2">IF(B18="","",CONCATENATE(B18,E18))</f>
        <v>ArtaneTortillas 30cm 10pcs 900g</v>
      </c>
    </row>
    <row r="19" spans="1:30" ht="43.5" customHeight="1" x14ac:dyDescent="0.25">
      <c r="A19" s="8" t="s">
        <v>89</v>
      </c>
      <c r="B19" s="54" t="s">
        <v>346</v>
      </c>
      <c r="C19" s="139">
        <f>IF(B19="","",VLOOKUP(AD19,Varsayımlar!$B:$Q,3,0))</f>
        <v>8698829380698</v>
      </c>
      <c r="D19" s="39">
        <v>49</v>
      </c>
      <c r="E19" s="55" t="s">
        <v>490</v>
      </c>
      <c r="F19" s="54"/>
      <c r="G19" s="54"/>
      <c r="H19" s="54" t="str">
        <f>IF(B19="","",VLOOKUP(AD19,Varsayımlar!$B:$Q,5,0))</f>
        <v>Tortillas Domatesli 25cm (Germes Bilgileri Ekli)</v>
      </c>
      <c r="I19" s="54">
        <f>IF(B19="","",VLOOKUP(AD19,Varsayımlar!B:T,19,0))</f>
        <v>0</v>
      </c>
      <c r="J19" s="54" t="str">
        <f>IF(B19="","",VLOOKUP(AD19,Varsayımlar!$B:$Q,6,0))</f>
        <v>Domatesli</v>
      </c>
      <c r="K19" s="54">
        <v>420</v>
      </c>
      <c r="L19" s="54"/>
      <c r="M19" s="54" t="str">
        <f>IFERROR(IF(B19="","",K19/VLOOKUP(AD19,Varsayımlar!B:R,17,0)),"")</f>
        <v/>
      </c>
      <c r="N19" s="54"/>
      <c r="O19" s="54">
        <v>8</v>
      </c>
      <c r="P19" s="54">
        <f>IF(B19="","",VLOOKUP(AD19,Varsayımlar!$B:$Q,7,0)*K19)</f>
        <v>12600</v>
      </c>
      <c r="Q19" s="54">
        <f>IF(B19="","",VLOOKUP(AD19,Varsayımlar!$B:$Q,8,0))</f>
        <v>25</v>
      </c>
      <c r="R19" s="54" t="str">
        <f>IF(B19="","",VLOOKUP(AD19,Varsayımlar!$B:$Q,9,0))</f>
        <v>Irak Soft</v>
      </c>
      <c r="S19" s="54">
        <f>IF(B19="","",VLOOKUP(AD19,Varsayımlar!$B:$Q,10,0))</f>
        <v>4</v>
      </c>
      <c r="T19" s="54">
        <f>IF(B19="","",VLOOKUP(AD19,Varsayımlar!$B:$Q,11,0))</f>
        <v>30</v>
      </c>
      <c r="U19" s="54">
        <f>IF(B19="","",VLOOKUP(AD19,Varsayımlar!$B:$Q,12,0))</f>
        <v>250</v>
      </c>
      <c r="V19" s="54" t="str">
        <f>IF(B19="","",VLOOKUP(AD19,Varsayımlar!$B:$Q,13,0))</f>
        <v>Yurtdışı</v>
      </c>
      <c r="W19" s="54">
        <f>IF(B19="","",VLOOKUP(AD19,Varsayımlar!$B:$Q,14,0))</f>
        <v>9</v>
      </c>
      <c r="X19" s="56">
        <v>46226</v>
      </c>
      <c r="Y19" s="56">
        <v>46135</v>
      </c>
      <c r="Z19" s="54" t="s">
        <v>496</v>
      </c>
      <c r="AA19" s="54" t="str">
        <f>IF(B19="","",VLOOKUP(AD19,Varsayımlar!$B:$Q,15,0))</f>
        <v>25cm Kırmızı Koli-Üretim Tarihli Etiketli</v>
      </c>
      <c r="AB19" s="54">
        <f>IF(B19="","",VLOOKUP(AD19,Varsayımlar!$B:$Q,16,0))</f>
        <v>0</v>
      </c>
      <c r="AC19" s="8" t="e">
        <f>IF(B19="","",VLOOKUP(#REF!,#REF!,18,0))</f>
        <v>#REF!</v>
      </c>
      <c r="AD19" s="8" t="str">
        <f t="shared" si="0"/>
        <v xml:space="preserve">GermesTortillas Domatesli 25cm 4pcs 250g </v>
      </c>
    </row>
    <row r="20" spans="1:30" ht="43.5" customHeight="1" x14ac:dyDescent="0.25">
      <c r="A20" s="8" t="s">
        <v>90</v>
      </c>
      <c r="B20" s="54" t="s">
        <v>346</v>
      </c>
      <c r="C20" s="139">
        <f>IF(B20="","",VLOOKUP(AD20,Varsayımlar!$B:$Q,3,0))</f>
        <v>8698829380698</v>
      </c>
      <c r="D20" s="39">
        <v>49</v>
      </c>
      <c r="E20" s="55" t="s">
        <v>492</v>
      </c>
      <c r="F20" s="54"/>
      <c r="G20" s="54"/>
      <c r="H20" s="54" t="str">
        <f>IF(B20="","",VLOOKUP(AD20,Varsayımlar!$B:$Q,5,0))</f>
        <v>Tortillas Ispanaklı 25cm (Germes Bilgileri Ekli)</v>
      </c>
      <c r="I20" s="54">
        <f>IF(B20="","",VLOOKUP(AD20,Varsayımlar!B:T,19,0))</f>
        <v>0</v>
      </c>
      <c r="J20" s="54" t="str">
        <f>IF(B20="","",VLOOKUP(AD20,Varsayımlar!$B:$Q,6,0))</f>
        <v>Ispanaklı</v>
      </c>
      <c r="K20" s="54">
        <v>420</v>
      </c>
      <c r="L20" s="54"/>
      <c r="M20" s="54" t="str">
        <f>IFERROR(IF(B20="","",K20/VLOOKUP(AD20,Varsayımlar!B:R,17,0)),"")</f>
        <v/>
      </c>
      <c r="N20" s="54"/>
      <c r="O20" s="54">
        <v>8</v>
      </c>
      <c r="P20" s="54">
        <f>IF(B20="","",VLOOKUP(AD20,Varsayımlar!$B:$Q,7,0)*K20)</f>
        <v>12600</v>
      </c>
      <c r="Q20" s="54">
        <f>IF(B20="","",VLOOKUP(AD20,Varsayımlar!$B:$Q,8,0))</f>
        <v>25</v>
      </c>
      <c r="R20" s="54" t="str">
        <f>IF(B20="","",VLOOKUP(AD20,Varsayımlar!$B:$Q,9,0))</f>
        <v>Irak Soft</v>
      </c>
      <c r="S20" s="54">
        <f>IF(B20="","",VLOOKUP(AD20,Varsayımlar!$B:$Q,10,0))</f>
        <v>4</v>
      </c>
      <c r="T20" s="54">
        <f>IF(B20="","",VLOOKUP(AD20,Varsayımlar!$B:$Q,11,0))</f>
        <v>30</v>
      </c>
      <c r="U20" s="54">
        <f>IF(B20="","",VLOOKUP(AD20,Varsayımlar!$B:$Q,12,0))</f>
        <v>250</v>
      </c>
      <c r="V20" s="54" t="str">
        <f>IF(B20="","",VLOOKUP(AD20,Varsayımlar!$B:$Q,13,0))</f>
        <v>Yurtdışı</v>
      </c>
      <c r="W20" s="54">
        <f>IF(B20="","",VLOOKUP(AD20,Varsayımlar!$B:$Q,14,0))</f>
        <v>9</v>
      </c>
      <c r="X20" s="56">
        <v>46226</v>
      </c>
      <c r="Y20" s="56">
        <v>46500</v>
      </c>
      <c r="Z20" s="54" t="s">
        <v>497</v>
      </c>
      <c r="AA20" s="54" t="str">
        <f>IF(B20="","",VLOOKUP(AD20,Varsayımlar!$B:$Q,15,0))</f>
        <v>25cm Kırmızı Koli-Üretim Tarihli Etiketli</v>
      </c>
      <c r="AB20" s="54">
        <f>IF(B20="","",VLOOKUP(AD20,Varsayımlar!$B:$Q,16,0))</f>
        <v>0</v>
      </c>
      <c r="AC20" s="8" t="e">
        <f>IF(B20="","",VLOOKUP(#REF!,#REF!,18,0))</f>
        <v>#REF!</v>
      </c>
      <c r="AD20" s="8" t="str">
        <f t="shared" si="0"/>
        <v xml:space="preserve">GermesTortillas Ispanaklı 25cm 4pcs 250g </v>
      </c>
    </row>
    <row r="21" spans="1:30" ht="47.25" x14ac:dyDescent="0.25">
      <c r="A21" s="8" t="s">
        <v>91</v>
      </c>
      <c r="B21" s="54" t="s">
        <v>346</v>
      </c>
      <c r="C21" s="139">
        <f>IF(B21="","",VLOOKUP(AD21,Varsayımlar!$B:$Q,3,0))</f>
        <v>8698829380698</v>
      </c>
      <c r="D21" s="39">
        <v>49</v>
      </c>
      <c r="E21" s="55" t="s">
        <v>162</v>
      </c>
      <c r="F21" s="54"/>
      <c r="G21" s="54"/>
      <c r="H21" s="54" t="str">
        <f>IF(B21="","",VLOOKUP(AD21,Varsayımlar!$B:$Q,5,0))</f>
        <v>Hanami 20cm Sade 4 pcs 166g (067)</v>
      </c>
      <c r="I21" s="54" t="str">
        <f>IF(B21="","",VLOOKUP(AD21,Varsayımlar!B:T,19,0))</f>
        <v>Ambalaj kaç aylık kontrol?</v>
      </c>
      <c r="J21" s="54" t="str">
        <f>IF(B21="","",VLOOKUP(AD21,Varsayımlar!$B:$Q,6,0))</f>
        <v>SADE</v>
      </c>
      <c r="K21" s="54">
        <v>700</v>
      </c>
      <c r="L21" s="54"/>
      <c r="M21" s="54">
        <f>IFERROR(IF(B21="","",K21/VLOOKUP(AD21,Varsayımlar!B:R,17,0)),"")</f>
        <v>5</v>
      </c>
      <c r="N21" s="54"/>
      <c r="O21" s="54">
        <v>12</v>
      </c>
      <c r="P21" s="54">
        <f>IF(B21="","",VLOOKUP(AD21,Varsayımlar!$B:$Q,7,0)*K21)</f>
        <v>21000</v>
      </c>
      <c r="Q21" s="54">
        <f>IF(B21="","",VLOOKUP(AD21,Varsayımlar!$B:$Q,8,0))</f>
        <v>20</v>
      </c>
      <c r="R21" s="54" t="str">
        <f>IF(B21="","",VLOOKUP(AD21,Varsayımlar!$B:$Q,9,0))</f>
        <v>Irak Soft</v>
      </c>
      <c r="S21" s="54">
        <f>IF(B21="","",VLOOKUP(AD21,Varsayımlar!$B:$Q,10,0))</f>
        <v>4</v>
      </c>
      <c r="T21" s="54">
        <f>IF(B21="","",VLOOKUP(AD21,Varsayımlar!$B:$Q,11,0))</f>
        <v>30</v>
      </c>
      <c r="U21" s="54">
        <f>IF(B21="","",VLOOKUP(AD21,Varsayımlar!$B:$Q,12,0))</f>
        <v>166</v>
      </c>
      <c r="V21" s="54" t="str">
        <f>IF(B21="","",VLOOKUP(AD21,Varsayımlar!$B:$Q,13,0))</f>
        <v>Yurtdışı</v>
      </c>
      <c r="W21" s="54">
        <f>IF(B21="","",VLOOKUP(AD21,Varsayımlar!$B:$Q,14,0))</f>
        <v>9</v>
      </c>
      <c r="X21" s="56">
        <v>46226</v>
      </c>
      <c r="Y21" s="56">
        <v>46500</v>
      </c>
      <c r="Z21" s="54">
        <v>26072320</v>
      </c>
      <c r="AA21" s="54" t="str">
        <f>IF(B21="","",VLOOKUP(AD21,Varsayımlar!$B:$Q,15,0))</f>
        <v>Hanami Mavi Koli -Üretim Tarihi+9 AYI KAPATACAK ETİKETLİ</v>
      </c>
      <c r="AB21" s="54" t="str">
        <f>IF(B21="","",VLOOKUP(AD21,Varsayımlar!$B:$Q,16,0))</f>
        <v>19-21 cm</v>
      </c>
      <c r="AC21" s="8" t="e">
        <f>IF(B21="","",VLOOKUP(#REF!,#REF!,18,0))</f>
        <v>#REF!</v>
      </c>
      <c r="AD21" s="8" t="str">
        <f>IF(B21="","",CONCATENATE(B21,E21))</f>
        <v xml:space="preserve">GermesHanami 20cm sade 4pcs 166g </v>
      </c>
    </row>
    <row r="22" spans="1:30" ht="45.75" customHeight="1" x14ac:dyDescent="0.25">
      <c r="A22" s="8" t="s">
        <v>92</v>
      </c>
      <c r="B22" s="130" t="s">
        <v>119</v>
      </c>
      <c r="C22" s="131">
        <f>IF(B22="","",VLOOKUP(AD22,Varsayımlar!$B:$Q,3,0))</f>
        <v>8698829380698</v>
      </c>
      <c r="D22" s="131"/>
      <c r="E22" s="132" t="s">
        <v>120</v>
      </c>
      <c r="F22" s="130"/>
      <c r="G22" s="130"/>
      <c r="H22" s="130" t="str">
        <f>IF(B22="","",VLOOKUP(AD22,Varsayımlar!$B:$Q,5,0))</f>
        <v>Nimet 25 cm</v>
      </c>
      <c r="I22" s="130">
        <f>IF(B22="","",VLOOKUP(AD22,Varsayımlar!B:T,19,0))</f>
        <v>0</v>
      </c>
      <c r="J22" s="130" t="str">
        <f>IF(B22="","",VLOOKUP(AD22,Varsayımlar!$B:$Q,6,0))</f>
        <v>SADE</v>
      </c>
      <c r="K22" s="130">
        <v>5000</v>
      </c>
      <c r="L22" s="130"/>
      <c r="M22" s="130">
        <f>IFERROR(IF(B22="","",K22/VLOOKUP(AD22,Varsayımlar!B:R,17,0)),"")</f>
        <v>100</v>
      </c>
      <c r="N22" s="130"/>
      <c r="O22" s="130">
        <v>100</v>
      </c>
      <c r="P22" s="130">
        <f>IF(B22="","",VLOOKUP(AD22,Varsayımlar!$B:$Q,7,0)*K22)</f>
        <v>60000</v>
      </c>
      <c r="Q22" s="130">
        <f>IF(B22="","",VLOOKUP(AD22,Varsayımlar!$B:$Q,8,0))</f>
        <v>25</v>
      </c>
      <c r="R22" s="130" t="str">
        <f>IF(B22="","",VLOOKUP(AD22,Varsayımlar!$B:$Q,9,0))</f>
        <v>Standart</v>
      </c>
      <c r="S22" s="130">
        <f>IF(B22="","",VLOOKUP(AD22,Varsayımlar!$B:$Q,10,0))</f>
        <v>12</v>
      </c>
      <c r="T22" s="130">
        <f>IF(B22="","",VLOOKUP(AD22,Varsayımlar!$B:$Q,11,0))</f>
        <v>12</v>
      </c>
      <c r="U22" s="130">
        <f>IF(B22="","",VLOOKUP(AD22,Varsayımlar!$B:$Q,12,0))</f>
        <v>840</v>
      </c>
      <c r="V22" s="130" t="str">
        <f>IF(B22="","",VLOOKUP(AD22,Varsayımlar!$B:$Q,13,0))</f>
        <v>YURTİÇİ</v>
      </c>
      <c r="W22" s="130">
        <f>IF(B22="","",VLOOKUP(AD22,Varsayımlar!$B:$Q,14,0))</f>
        <v>5</v>
      </c>
      <c r="X22" s="133" t="s">
        <v>113</v>
      </c>
      <c r="Y22" s="133" t="s">
        <v>113</v>
      </c>
      <c r="Z22" s="130" t="s">
        <v>113</v>
      </c>
      <c r="AA22" s="130" t="str">
        <f>IF(B22="","",VLOOKUP(AD22,Varsayımlar!$B:$Q,15,0))</f>
        <v>Nimet Kolisi</v>
      </c>
      <c r="AB22" s="130" t="str">
        <f>IF(B22="","",VLOOKUP(AD22,Varsayımlar!$B:$Q,16,0))</f>
        <v>24-26 CM</v>
      </c>
      <c r="AC22" s="64" t="s">
        <v>360</v>
      </c>
      <c r="AD22" s="57" t="str">
        <f t="shared" si="0"/>
        <v>A101Nimet 25cm 12 pcs 840g</v>
      </c>
    </row>
    <row r="23" spans="1:30" ht="36" customHeight="1" x14ac:dyDescent="0.25">
      <c r="A23" s="8" t="s">
        <v>93</v>
      </c>
      <c r="B23" s="149" t="s">
        <v>500</v>
      </c>
      <c r="C23" s="149">
        <f>IF(B23="","",VLOOKUP(AD23,Varsayımlar!$B:$Q,3,0))</f>
        <v>8698829380698</v>
      </c>
      <c r="D23" s="149"/>
      <c r="E23" s="149" t="s">
        <v>501</v>
      </c>
      <c r="F23" s="149">
        <v>26062201</v>
      </c>
      <c r="G23" s="149" t="s">
        <v>578</v>
      </c>
      <c r="H23" s="149" t="str">
        <f>IF(B23="","",VLOOKUP(AD23,Varsayımlar!$B:$Q,5,0))</f>
        <v>Tortillas 33cm</v>
      </c>
      <c r="I23" s="149">
        <f>IF(B23="","",VLOOKUP(AD23,Varsayımlar!B:T,19,0))</f>
        <v>0</v>
      </c>
      <c r="J23" s="149" t="str">
        <f>IF(B23="","",VLOOKUP(AD23,Varsayımlar!$B:$Q,6,0))</f>
        <v>Sade</v>
      </c>
      <c r="K23" s="149">
        <v>100</v>
      </c>
      <c r="L23" s="149" t="s">
        <v>528</v>
      </c>
      <c r="M23" s="149">
        <f>IFERROR(IF(B23="","",K23/VLOOKUP(AD23,Varsayımlar!B:R,17,0)),"")</f>
        <v>2</v>
      </c>
      <c r="N23" s="149"/>
      <c r="O23" s="149">
        <v>2</v>
      </c>
      <c r="P23" s="149">
        <f>IF(B23="","",VLOOKUP(AD23,Varsayımlar!$B:$Q,7,0)*K23)</f>
        <v>1200</v>
      </c>
      <c r="Q23" s="149">
        <f>IF(B23="","",VLOOKUP(AD23,Varsayımlar!$B:$Q,8,0))</f>
        <v>33</v>
      </c>
      <c r="R23" s="149" t="str">
        <f>IF(B23="","",VLOOKUP(AD23,Varsayımlar!$B:$Q,9,0))</f>
        <v>Irak Soft</v>
      </c>
      <c r="S23" s="149">
        <f>IF(B23="","",VLOOKUP(AD23,Varsayımlar!$B:$Q,10,0))</f>
        <v>10</v>
      </c>
      <c r="T23" s="149">
        <f>IF(B23="","",VLOOKUP(AD23,Varsayımlar!$B:$Q,11,0))</f>
        <v>12</v>
      </c>
      <c r="U23" s="149">
        <f>IF(B23="","",VLOOKUP(AD23,Varsayımlar!$B:$Q,12,0))</f>
        <v>1000</v>
      </c>
      <c r="V23" s="149" t="str">
        <f>IF(B23="","",VLOOKUP(AD23,Varsayımlar!$B:$Q,13,0))</f>
        <v>Yurtdışı</v>
      </c>
      <c r="W23" s="149">
        <f>IF(B23="","",VLOOKUP(AD23,Varsayımlar!$B:$Q,14,0))</f>
        <v>12</v>
      </c>
      <c r="X23" s="151">
        <v>46231</v>
      </c>
      <c r="Y23" s="151">
        <v>46596</v>
      </c>
      <c r="Z23" s="149">
        <v>26072833</v>
      </c>
      <c r="AA23" s="149" t="str">
        <f>IF(B23="","",VLOOKUP(AD23,Varsayımlar!$B:$Q,15,0))</f>
        <v>33cm Kolisi</v>
      </c>
      <c r="AB23" s="149" t="str">
        <f>IF(B23="","",VLOOKUP(AD23,Varsayımlar!$B:$Q,16,0))</f>
        <v>32-34 cm</v>
      </c>
      <c r="AC23" s="67" t="e">
        <f>IF(B23="","",VLOOKUP(#REF!,#REF!,18,0))</f>
        <v>#REF!</v>
      </c>
      <c r="AD23" s="57" t="str">
        <f t="shared" si="0"/>
        <v>Fama GroupTortillas 33cm 10pcs 1000g</v>
      </c>
    </row>
    <row r="24" spans="1:30" ht="49.5" customHeight="1" x14ac:dyDescent="0.25">
      <c r="A24" s="8" t="s">
        <v>135</v>
      </c>
      <c r="B24" s="152" t="s">
        <v>518</v>
      </c>
      <c r="C24" s="153">
        <f>IF(B24="","",VLOOKUP(AD24,Varsayımlar!$B:$Q,3,0))</f>
        <v>8698829380698</v>
      </c>
      <c r="D24" s="154"/>
      <c r="E24" s="156" t="s">
        <v>501</v>
      </c>
      <c r="F24" s="152">
        <v>26062302</v>
      </c>
      <c r="G24" s="152" t="s">
        <v>578</v>
      </c>
      <c r="H24" s="152" t="str">
        <f>IF(B24="","",VLOOKUP(AD24,Varsayımlar!$B:$Q,5,0))</f>
        <v>Tortillas 33cm</v>
      </c>
      <c r="I24" s="152">
        <f>IF(B24="","",VLOOKUP(AD24,Varsayımlar!B:T,19,0))</f>
        <v>0</v>
      </c>
      <c r="J24" s="152" t="str">
        <f>IF(B24="","",VLOOKUP(AD24,Varsayımlar!$B:$Q,6,0))</f>
        <v>Sade</v>
      </c>
      <c r="K24" s="152">
        <v>25</v>
      </c>
      <c r="L24" s="152"/>
      <c r="M24" s="152">
        <f>IFERROR(IF(B24="","",K24/VLOOKUP(AD24,Varsayımlar!B:R,17,0)),"")</f>
        <v>0.5</v>
      </c>
      <c r="N24" s="152"/>
      <c r="O24" s="152">
        <v>1</v>
      </c>
      <c r="P24" s="152">
        <f>IF(B24="","",VLOOKUP(AD24,Varsayımlar!$B:$Q,7,0)*K24)</f>
        <v>300</v>
      </c>
      <c r="Q24" s="152">
        <f>IF(B24="","",VLOOKUP(AD24,Varsayımlar!$B:$Q,8,0))</f>
        <v>33</v>
      </c>
      <c r="R24" s="152" t="str">
        <f>IF(B24="","",VLOOKUP(AD24,Varsayımlar!$B:$Q,9,0))</f>
        <v>Irak Soft</v>
      </c>
      <c r="S24" s="152">
        <f>IF(B24="","",VLOOKUP(AD24,Varsayımlar!$B:$Q,10,0))</f>
        <v>10</v>
      </c>
      <c r="T24" s="152">
        <f>IF(B24="","",VLOOKUP(AD24,Varsayımlar!$B:$Q,11,0))</f>
        <v>12</v>
      </c>
      <c r="U24" s="152">
        <f>IF(B24="","",VLOOKUP(AD24,Varsayımlar!$B:$Q,12,0))</f>
        <v>1000</v>
      </c>
      <c r="V24" s="152" t="str">
        <f>IF(B24="","",VLOOKUP(AD24,Varsayımlar!$B:$Q,13,0))</f>
        <v>Yurtiçi</v>
      </c>
      <c r="W24" s="152">
        <f>IF(B24="","",VLOOKUP(AD24,Varsayımlar!$B:$Q,14,0))</f>
        <v>6</v>
      </c>
      <c r="X24" s="155">
        <v>46231</v>
      </c>
      <c r="Y24" s="155">
        <v>46415</v>
      </c>
      <c r="Z24" s="152">
        <v>26072833</v>
      </c>
      <c r="AA24" s="152" t="str">
        <f>IF(B24="","",VLOOKUP(AD24,Varsayımlar!$B:$Q,15,0))</f>
        <v>33cm Kolisi</v>
      </c>
      <c r="AB24" s="152" t="str">
        <f>IF(B24="","",VLOOKUP(AD24,Varsayımlar!$B:$Q,16,0))</f>
        <v>32-34cm</v>
      </c>
      <c r="AC24" s="8" t="e">
        <f>IF(B24="","",VLOOKUP(#REF!,#REF!,18,0))</f>
        <v>#REF!</v>
      </c>
      <c r="AD24" s="8" t="str">
        <f t="shared" si="0"/>
        <v>Yusuf KöseTortillas 33cm 10pcs 1000g</v>
      </c>
    </row>
    <row r="25" spans="1:30" ht="49.5" customHeight="1" x14ac:dyDescent="0.25">
      <c r="A25" s="8" t="s">
        <v>136</v>
      </c>
      <c r="B25" s="152" t="s">
        <v>518</v>
      </c>
      <c r="C25" s="153">
        <f>IF(B25="","",VLOOKUP(AD25,Varsayımlar!$B:$Q,3,0))</f>
        <v>8698829380698</v>
      </c>
      <c r="D25" s="154"/>
      <c r="E25" s="152" t="s">
        <v>520</v>
      </c>
      <c r="F25" s="152">
        <v>26062302</v>
      </c>
      <c r="G25" s="152" t="s">
        <v>578</v>
      </c>
      <c r="H25" s="152" t="str">
        <f>IF(B25="","",VLOOKUP(AD25,Varsayımlar!$B:$Q,5,0))</f>
        <v>Tortillas 30cm</v>
      </c>
      <c r="I25" s="152">
        <f>IF(B25="","",VLOOKUP(AD25,Varsayımlar!B:T,19,0))</f>
        <v>0</v>
      </c>
      <c r="J25" s="152" t="str">
        <f>IF(B25="","",VLOOKUP(AD25,Varsayımlar!$B:$Q,6,0))</f>
        <v>Sade</v>
      </c>
      <c r="K25" s="152">
        <v>15</v>
      </c>
      <c r="L25" s="152"/>
      <c r="M25" s="152">
        <f>IFERROR(IF(B25="","",K25/VLOOKUP(AD25,Varsayımlar!B:R,17,0)),"")</f>
        <v>0.3</v>
      </c>
      <c r="N25" s="152"/>
      <c r="O25" s="152">
        <v>0</v>
      </c>
      <c r="P25" s="152">
        <f>IF(B25="","",VLOOKUP(AD25,Varsayımlar!$B:$Q,7,0)*K25)</f>
        <v>180</v>
      </c>
      <c r="Q25" s="152">
        <f>IF(B25="","",VLOOKUP(AD25,Varsayımlar!$B:$Q,8,0))</f>
        <v>30</v>
      </c>
      <c r="R25" s="152" t="str">
        <f>IF(B25="","",VLOOKUP(AD25,Varsayımlar!$B:$Q,9,0))</f>
        <v>Irak Soft</v>
      </c>
      <c r="S25" s="152">
        <f>IF(B25="","",VLOOKUP(AD25,Varsayımlar!$B:$Q,10,0))</f>
        <v>10</v>
      </c>
      <c r="T25" s="152">
        <f>IF(B25="","",VLOOKUP(AD25,Varsayımlar!$B:$Q,11,0))</f>
        <v>12</v>
      </c>
      <c r="U25" s="152">
        <f>IF(B25="","",VLOOKUP(AD25,Varsayımlar!$B:$Q,12,0))</f>
        <v>950</v>
      </c>
      <c r="V25" s="152" t="str">
        <f>IF(B25="","",VLOOKUP(AD25,Varsayımlar!$B:$Q,13,0))</f>
        <v>Yurtiçi</v>
      </c>
      <c r="W25" s="152">
        <f>IF(B25="","",VLOOKUP(AD25,Varsayımlar!$B:$Q,14,0))</f>
        <v>6</v>
      </c>
      <c r="X25" s="155">
        <v>46231</v>
      </c>
      <c r="Y25" s="155">
        <v>46415</v>
      </c>
      <c r="Z25" s="152">
        <v>26072830</v>
      </c>
      <c r="AA25" s="152" t="str">
        <f>IF(B25="","",VLOOKUP(AD25,Varsayımlar!$B:$Q,15,0))</f>
        <v>30cm Kolisi</v>
      </c>
      <c r="AB25" s="152" t="str">
        <f>IF(B25="","",VLOOKUP(AD25,Varsayımlar!$B:$Q,16,0))</f>
        <v>29-31cm</v>
      </c>
      <c r="AC25" s="8" t="e">
        <f>IF(B25="","",VLOOKUP(#REF!,#REF!,18,0))</f>
        <v>#REF!</v>
      </c>
      <c r="AD25" s="8" t="str">
        <f t="shared" si="0"/>
        <v>Yusuf KöseTortillas 30cm 10pcs 950g</v>
      </c>
    </row>
    <row r="26" spans="1:30" ht="36" customHeight="1" x14ac:dyDescent="0.25">
      <c r="A26" s="8" t="s">
        <v>137</v>
      </c>
      <c r="B26" s="149" t="s">
        <v>500</v>
      </c>
      <c r="C26" s="149">
        <f>IF(B26="","",VLOOKUP(AD26,Varsayımlar!$B:$Q,3,0))</f>
        <v>8698829380698</v>
      </c>
      <c r="D26" s="149"/>
      <c r="E26" s="149" t="s">
        <v>509</v>
      </c>
      <c r="F26" s="149">
        <v>26062201</v>
      </c>
      <c r="G26" s="149" t="s">
        <v>578</v>
      </c>
      <c r="H26" s="149" t="str">
        <f>IF(B26="","",VLOOKUP(AD26,Varsayımlar!$B:$Q,5,0))</f>
        <v xml:space="preserve">Tortillas 30cm </v>
      </c>
      <c r="I26" s="149">
        <f>IF(B26="","",VLOOKUP(AD26,Varsayımlar!B:T,19,0))</f>
        <v>0</v>
      </c>
      <c r="J26" s="149" t="str">
        <f>IF(B26="","",VLOOKUP(AD26,Varsayımlar!$B:$Q,6,0))</f>
        <v>Sade</v>
      </c>
      <c r="K26" s="149">
        <v>250</v>
      </c>
      <c r="L26" s="149"/>
      <c r="M26" s="149">
        <f>IFERROR(IF(B26="","",K26/VLOOKUP(AD26,Varsayımlar!B:R,17,0)),"")</f>
        <v>5</v>
      </c>
      <c r="N26" s="149"/>
      <c r="O26" s="149">
        <v>5</v>
      </c>
      <c r="P26" s="149">
        <f>IF(B26="","",VLOOKUP(AD26,Varsayımlar!$B:$Q,7,0)*K26)</f>
        <v>3000</v>
      </c>
      <c r="Q26" s="149">
        <f>IF(B26="","",VLOOKUP(AD26,Varsayımlar!$B:$Q,8,0))</f>
        <v>30</v>
      </c>
      <c r="R26" s="149" t="str">
        <f>IF(B26="","",VLOOKUP(AD26,Varsayımlar!$B:$Q,9,0))</f>
        <v>Irak Soft</v>
      </c>
      <c r="S26" s="149">
        <f>IF(B26="","",VLOOKUP(AD26,Varsayımlar!$B:$Q,10,0))</f>
        <v>10</v>
      </c>
      <c r="T26" s="149">
        <f>IF(B26="","",VLOOKUP(AD26,Varsayımlar!$B:$Q,11,0))</f>
        <v>12</v>
      </c>
      <c r="U26" s="149">
        <f>IF(B26="","",VLOOKUP(AD26,Varsayımlar!$B:$Q,12,0))</f>
        <v>850</v>
      </c>
      <c r="V26" s="149" t="str">
        <f>IF(B26="","",VLOOKUP(AD26,Varsayımlar!$B:$Q,13,0))</f>
        <v>Yurtdışı</v>
      </c>
      <c r="W26" s="149">
        <f>IF(B26="","",VLOOKUP(AD26,Varsayımlar!$B:$Q,14,0))</f>
        <v>12</v>
      </c>
      <c r="X26" s="151">
        <v>46231</v>
      </c>
      <c r="Y26" s="151">
        <v>46596</v>
      </c>
      <c r="Z26" s="149">
        <v>26072830</v>
      </c>
      <c r="AA26" s="151" t="str">
        <f>IF(B26="","",VLOOKUP(AD26,Varsayımlar!$B:$Q,15,0))</f>
        <v>30 cm Kolisi</v>
      </c>
      <c r="AB26" s="151" t="str">
        <f>IF(B26="","",VLOOKUP(AD26,Varsayımlar!$B:$Q,16,0))</f>
        <v>29-31 cm</v>
      </c>
      <c r="AC26" s="67" t="e">
        <f>IF(B26="","",VLOOKUP(#REF!,#REF!,18,0))</f>
        <v>#REF!</v>
      </c>
      <c r="AD26" s="57" t="str">
        <f t="shared" si="0"/>
        <v>Fama GroupTortillas 30cm 10pcs 850g</v>
      </c>
    </row>
    <row r="27" spans="1:30" ht="36" customHeight="1" x14ac:dyDescent="0.25">
      <c r="A27" s="8" t="s">
        <v>138</v>
      </c>
      <c r="B27" s="149" t="s">
        <v>500</v>
      </c>
      <c r="C27" s="149">
        <f>IF(B27="","",VLOOKUP(AD27,Varsayımlar!$B:$Q,3,0))</f>
        <v>8698829380698</v>
      </c>
      <c r="D27" s="149"/>
      <c r="E27" s="149" t="s">
        <v>229</v>
      </c>
      <c r="F27" s="149">
        <v>26062201</v>
      </c>
      <c r="G27" s="149"/>
      <c r="H27" s="149" t="str">
        <f>IF(B27="","",VLOOKUP(AD27,Varsayımlar!$B:$Q,5,0))</f>
        <v>Tortillas 25cm Tam Buğday</v>
      </c>
      <c r="I27" s="149">
        <f>IF(B27="","",VLOOKUP(AD27,Varsayımlar!B:T,19,0))</f>
        <v>0</v>
      </c>
      <c r="J27" s="149" t="str">
        <f>IF(B27="","",VLOOKUP(AD27,Varsayımlar!$B:$Q,6,0))</f>
        <v>Tam Buğdaylı</v>
      </c>
      <c r="K27" s="149">
        <v>50</v>
      </c>
      <c r="L27" s="149"/>
      <c r="M27" s="149">
        <f>IFERROR(IF(B27="","",K27/VLOOKUP(AD27,Varsayımlar!B:R,17,0)),"")</f>
        <v>1</v>
      </c>
      <c r="N27" s="149"/>
      <c r="O27" s="149">
        <v>1</v>
      </c>
      <c r="P27" s="149">
        <f>IF(B27="","",VLOOKUP(AD27,Varsayımlar!$B:$Q,7,0)*K27)</f>
        <v>600</v>
      </c>
      <c r="Q27" s="149">
        <f>IF(B27="","",VLOOKUP(AD27,Varsayımlar!$B:$Q,8,0))</f>
        <v>25</v>
      </c>
      <c r="R27" s="149" t="str">
        <f>IF(B27="","",VLOOKUP(AD27,Varsayımlar!$B:$Q,9,0))</f>
        <v>Irak Soft</v>
      </c>
      <c r="S27" s="149">
        <f>IF(B27="","",VLOOKUP(AD27,Varsayımlar!$B:$Q,10,0))</f>
        <v>10</v>
      </c>
      <c r="T27" s="149">
        <f>IF(B27="","",VLOOKUP(AD27,Varsayımlar!$B:$Q,11,0))</f>
        <v>12</v>
      </c>
      <c r="U27" s="149">
        <f>IF(B27="","",VLOOKUP(AD27,Varsayımlar!$B:$Q,12,0))</f>
        <v>650</v>
      </c>
      <c r="V27" s="149" t="str">
        <f>IF(B27="","",VLOOKUP(AD27,Varsayımlar!$B:$Q,13,0))</f>
        <v>Yurtdışı</v>
      </c>
      <c r="W27" s="149">
        <f>IF(B27="","",VLOOKUP(AD27,Varsayımlar!$B:$Q,14,0))</f>
        <v>12</v>
      </c>
      <c r="X27" s="151">
        <v>46231</v>
      </c>
      <c r="Y27" s="151">
        <v>46596</v>
      </c>
      <c r="Z27" s="149" t="s">
        <v>525</v>
      </c>
      <c r="AA27" s="151" t="str">
        <f>IF(B27="","",VLOOKUP(AD27,Varsayımlar!$B:$Q,15,0))</f>
        <v>25cm Kolisi-Etiketli</v>
      </c>
      <c r="AB27" s="151" t="str">
        <f>IF(B27="","",VLOOKUP(AD27,Varsayımlar!$B:$Q,16,0))</f>
        <v>24-26 cm</v>
      </c>
      <c r="AC27" s="67" t="e">
        <f>IF(B27="","",VLOOKUP(#REF!,#REF!,18,0))</f>
        <v>#REF!</v>
      </c>
      <c r="AD27" s="57" t="str">
        <f t="shared" si="0"/>
        <v>Fama GroupTortillas 25cm Tam Buğday 10pcs 650g</v>
      </c>
    </row>
    <row r="28" spans="1:30" ht="36" customHeight="1" x14ac:dyDescent="0.25">
      <c r="A28" s="8" t="s">
        <v>139</v>
      </c>
      <c r="B28" s="149" t="s">
        <v>500</v>
      </c>
      <c r="C28" s="149">
        <f>IF(B28="","",VLOOKUP(AD28,Varsayımlar!$B:$Q,3,0))</f>
        <v>8698829380698</v>
      </c>
      <c r="D28" s="149"/>
      <c r="E28" s="149" t="s">
        <v>512</v>
      </c>
      <c r="F28" s="149">
        <v>26062201</v>
      </c>
      <c r="G28" s="149"/>
      <c r="H28" s="149" t="str">
        <f>IF(B28="","",VLOOKUP(AD28,Varsayımlar!$B:$Q,5,0))</f>
        <v>Tortillas 20cm</v>
      </c>
      <c r="I28" s="149">
        <f>IF(B28="","",VLOOKUP(AD28,Varsayımlar!B:T,19,0))</f>
        <v>0</v>
      </c>
      <c r="J28" s="149" t="str">
        <f>IF(B28="","",VLOOKUP(AD28,Varsayımlar!$B:$Q,6,0))</f>
        <v>Sade</v>
      </c>
      <c r="K28" s="149">
        <v>50</v>
      </c>
      <c r="L28" s="149"/>
      <c r="M28" s="149">
        <f>IFERROR(IF(B28="","",K28/VLOOKUP(AD28,Varsayımlar!B:R,17,0)),"")</f>
        <v>1</v>
      </c>
      <c r="N28" s="149"/>
      <c r="O28" s="149">
        <v>1</v>
      </c>
      <c r="P28" s="149">
        <f>IF(B28="","",VLOOKUP(AD28,Varsayımlar!$B:$Q,7,0)*K28)</f>
        <v>600</v>
      </c>
      <c r="Q28" s="149">
        <f>IF(B28="","",VLOOKUP(AD28,Varsayımlar!$B:$Q,8,0))</f>
        <v>20</v>
      </c>
      <c r="R28" s="149" t="str">
        <f>IF(B28="","",VLOOKUP(AD28,Varsayımlar!$B:$Q,9,0))</f>
        <v>Irak Soft</v>
      </c>
      <c r="S28" s="149">
        <f>IF(B28="","",VLOOKUP(AD28,Varsayımlar!$B:$Q,10,0))</f>
        <v>10</v>
      </c>
      <c r="T28" s="149">
        <f>IF(B28="","",VLOOKUP(AD28,Varsayımlar!$B:$Q,11,0))</f>
        <v>12</v>
      </c>
      <c r="U28" s="149">
        <f>IF(B28="","",VLOOKUP(AD28,Varsayımlar!$B:$Q,12,0))</f>
        <v>450</v>
      </c>
      <c r="V28" s="149" t="str">
        <f>IF(B28="","",VLOOKUP(AD28,Varsayımlar!$B:$Q,13,0))</f>
        <v>Yurtdışı</v>
      </c>
      <c r="W28" s="149">
        <f>IF(B28="","",VLOOKUP(AD28,Varsayımlar!$B:$Q,14,0))</f>
        <v>12</v>
      </c>
      <c r="X28" s="151">
        <v>46231</v>
      </c>
      <c r="Y28" s="151">
        <v>46596</v>
      </c>
      <c r="Z28" s="149">
        <v>26072820</v>
      </c>
      <c r="AA28" s="151" t="str">
        <f>IF(B28="","",VLOOKUP(AD28,Varsayımlar!$B:$Q,15,0))</f>
        <v>20cm Siyah Koli</v>
      </c>
      <c r="AB28" s="151" t="str">
        <f>IF(B28="","",VLOOKUP(AD28,Varsayımlar!$B:$Q,16,0))</f>
        <v>19-21cm</v>
      </c>
      <c r="AC28" s="67" t="e">
        <f>IF(B28="","",VLOOKUP(#REF!,#REF!,18,0))</f>
        <v>#REF!</v>
      </c>
      <c r="AD28" s="57" t="str">
        <f>IF(B28="","",CONCATENATE(B28,E28))</f>
        <v>Fama GroupTortillas 20cm 10pcs 450g</v>
      </c>
    </row>
    <row r="29" spans="1:30" ht="45.75" customHeight="1" x14ac:dyDescent="0.25">
      <c r="A29" s="8" t="s">
        <v>140</v>
      </c>
      <c r="B29" s="130" t="s">
        <v>119</v>
      </c>
      <c r="C29" s="131">
        <f>IF(B29="","",VLOOKUP(AD29,Varsayımlar!$B:$Q,3,0))</f>
        <v>8698829380698</v>
      </c>
      <c r="D29" s="131"/>
      <c r="E29" s="132" t="s">
        <v>120</v>
      </c>
      <c r="F29" s="130"/>
      <c r="G29" s="130"/>
      <c r="H29" s="130" t="str">
        <f>IF(B29="","",VLOOKUP(AD29,Varsayımlar!$B:$Q,5,0))</f>
        <v>Nimet 25 cm</v>
      </c>
      <c r="I29" s="130">
        <f>IF(B29="","",VLOOKUP(AD29,Varsayımlar!B:T,19,0))</f>
        <v>0</v>
      </c>
      <c r="J29" s="130" t="str">
        <f>IF(B29="","",VLOOKUP(AD29,Varsayımlar!$B:$Q,6,0))</f>
        <v>SADE</v>
      </c>
      <c r="K29" s="130">
        <v>5000</v>
      </c>
      <c r="L29" s="130"/>
      <c r="M29" s="130">
        <f>IFERROR(IF(B29="","",K29/VLOOKUP(AD29,Varsayımlar!B:R,17,0)),"")</f>
        <v>100</v>
      </c>
      <c r="N29" s="130"/>
      <c r="O29" s="130">
        <v>100</v>
      </c>
      <c r="P29" s="130">
        <f>IF(B29="","",VLOOKUP(AD29,Varsayımlar!$B:$Q,7,0)*K29)</f>
        <v>60000</v>
      </c>
      <c r="Q29" s="130">
        <f>IF(B29="","",VLOOKUP(AD29,Varsayımlar!$B:$Q,8,0))</f>
        <v>25</v>
      </c>
      <c r="R29" s="130" t="str">
        <f>IF(B29="","",VLOOKUP(AD29,Varsayımlar!$B:$Q,9,0))</f>
        <v>Standart</v>
      </c>
      <c r="S29" s="130">
        <f>IF(B29="","",VLOOKUP(AD29,Varsayımlar!$B:$Q,10,0))</f>
        <v>12</v>
      </c>
      <c r="T29" s="130">
        <f>IF(B29="","",VLOOKUP(AD29,Varsayımlar!$B:$Q,11,0))</f>
        <v>12</v>
      </c>
      <c r="U29" s="130">
        <f>IF(B29="","",VLOOKUP(AD29,Varsayımlar!$B:$Q,12,0))</f>
        <v>840</v>
      </c>
      <c r="V29" s="130" t="str">
        <f>IF(B29="","",VLOOKUP(AD29,Varsayımlar!$B:$Q,13,0))</f>
        <v>YURTİÇİ</v>
      </c>
      <c r="W29" s="130">
        <f>IF(B29="","",VLOOKUP(AD29,Varsayımlar!$B:$Q,14,0))</f>
        <v>5</v>
      </c>
      <c r="X29" s="133" t="s">
        <v>113</v>
      </c>
      <c r="Y29" s="133" t="s">
        <v>113</v>
      </c>
      <c r="Z29" s="130" t="s">
        <v>113</v>
      </c>
      <c r="AA29" s="130" t="str">
        <f>IF(B29="","",VLOOKUP(AD29,Varsayımlar!$B:$Q,15,0))</f>
        <v>Nimet Kolisi</v>
      </c>
      <c r="AB29" s="130" t="str">
        <f>IF(B29="","",VLOOKUP(AD29,Varsayımlar!$B:$Q,16,0))</f>
        <v>24-26 CM</v>
      </c>
      <c r="AC29" s="64" t="s">
        <v>360</v>
      </c>
      <c r="AD29" s="57" t="str">
        <f t="shared" si="0"/>
        <v>A101Nimet 25cm 12 pcs 840g</v>
      </c>
    </row>
    <row r="30" spans="1:30" ht="32.25" customHeight="1" x14ac:dyDescent="0.25">
      <c r="A30" s="8" t="s">
        <v>141</v>
      </c>
      <c r="B30" s="67" t="s">
        <v>460</v>
      </c>
      <c r="C30" s="42">
        <f>IF(B30="","",VLOOKUP(AD30,Varsayımlar!$B:$Q,3,0))</f>
        <v>8698829380698</v>
      </c>
      <c r="D30" s="67" t="s">
        <v>539</v>
      </c>
      <c r="E30" s="67" t="s">
        <v>464</v>
      </c>
      <c r="F30" s="67">
        <v>20260626</v>
      </c>
      <c r="G30" s="67"/>
      <c r="H30" s="67" t="str">
        <f>IF(B30="","",VLOOKUP(AD30,Varsayımlar!$B:$Q,5,0))</f>
        <v>Tortillove 20cm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400</v>
      </c>
      <c r="L30" s="67"/>
      <c r="M30" s="67">
        <f>IFERROR(IF(B30="","",K30/VLOOKUP(AD30,Varsayımlar!B:R,17,0)),"")</f>
        <v>4</v>
      </c>
      <c r="N30" s="67"/>
      <c r="O30" s="67">
        <v>7</v>
      </c>
      <c r="P30" s="67">
        <f>IF(B30="","",VLOOKUP(AD30,Varsayımlar!$B:$Q,7,0)*K30)</f>
        <v>4800</v>
      </c>
      <c r="Q30" s="67">
        <f>IF(B30="","",VLOOKUP(AD30,Varsayımlar!$B:$Q,8,0))</f>
        <v>20</v>
      </c>
      <c r="R30" s="67" t="str">
        <f>IF(B30="","",VLOOKUP(AD30,Varsayımlar!$B:$Q,9,0))</f>
        <v>Irak Soft</v>
      </c>
      <c r="S30" s="67">
        <f>IF(B30="","",VLOOKUP(AD30,Varsayımlar!$B:$Q,10,0))</f>
        <v>10</v>
      </c>
      <c r="T30" s="67">
        <f>IF(B30="","",VLOOKUP(AD30,Varsayımlar!$B:$Q,11,0))</f>
        <v>12</v>
      </c>
      <c r="U30" s="67">
        <f>IF(B30="","",VLOOKUP(AD30,Varsayımlar!$B:$Q,12,0))</f>
        <v>450</v>
      </c>
      <c r="V30" s="67" t="str">
        <f>IF(B30="","",VLOOKUP(AD30,Varsayımlar!$B:$Q,13,0))</f>
        <v>Yurtdışı</v>
      </c>
      <c r="W30" s="67">
        <f>IF(B30="","",VLOOKUP(AD30,Varsayımlar!$B:$Q,14,0))</f>
        <v>6</v>
      </c>
      <c r="X30" s="69"/>
      <c r="Y30" s="69"/>
      <c r="Z30" s="67"/>
      <c r="AA30" s="67" t="str">
        <f>IF(B30="","",VLOOKUP(AD30,Varsayımlar!$B:$Q,15,0))</f>
        <v>20cm kolisi</v>
      </c>
      <c r="AB30" s="67" t="str">
        <f>IF(B30="","",VLOOKUP(AD30,Varsayımlar!$B:$Q,16,0))</f>
        <v>19-21 cm</v>
      </c>
      <c r="AC30" s="75">
        <f>IF(B30="","",VLOOKUP(Sayfa1!AD84,Varsayımlar!B:S,18,0))</f>
        <v>0</v>
      </c>
      <c r="AD30" s="57" t="str">
        <f t="shared" si="0"/>
        <v>Yüksekbaş GıdaYüksekbaş 20cm 10pcs 450g</v>
      </c>
    </row>
    <row r="31" spans="1:30" ht="32.25" customHeight="1" x14ac:dyDescent="0.25">
      <c r="A31" s="8" t="s">
        <v>142</v>
      </c>
      <c r="B31" s="67" t="s">
        <v>460</v>
      </c>
      <c r="C31" s="42">
        <f>IF(B31="","",VLOOKUP(AD31,Varsayımlar!$B:$Q,3,0))</f>
        <v>8698829380698</v>
      </c>
      <c r="D31" s="67" t="s">
        <v>539</v>
      </c>
      <c r="E31" s="67" t="s">
        <v>470</v>
      </c>
      <c r="F31" s="67">
        <v>20260626</v>
      </c>
      <c r="G31" s="67" t="s">
        <v>578</v>
      </c>
      <c r="H31" s="67" t="str">
        <f>IF(B31="","",VLOOKUP(AD31,Varsayımlar!$B:$Q,5,0))</f>
        <v>Tortillove 30cm</v>
      </c>
      <c r="I31" s="67">
        <f>IF(B31="","",VLOOKUP(AD31,Varsayımlar!B:T,19,0))</f>
        <v>0</v>
      </c>
      <c r="J31" s="67" t="str">
        <f>IF(B31="","",VLOOKUP(AD31,Varsayımlar!$B:$Q,6,0))</f>
        <v>SADE</v>
      </c>
      <c r="K31" s="67">
        <v>660</v>
      </c>
      <c r="L31" s="67"/>
      <c r="M31" s="67">
        <f>IFERROR(IF(B31="","",K31/VLOOKUP(AD31,Varsayımlar!B:R,17,0)),"")</f>
        <v>10</v>
      </c>
      <c r="N31" s="67"/>
      <c r="O31" s="67">
        <v>11</v>
      </c>
      <c r="P31" s="67">
        <f>IF(B31="","",VLOOKUP(AD31,Varsayımlar!$B:$Q,7,0)*K31)</f>
        <v>7920</v>
      </c>
      <c r="Q31" s="67">
        <f>IF(B31="","",VLOOKUP(AD31,Varsayımlar!$B:$Q,8,0))</f>
        <v>30</v>
      </c>
      <c r="R31" s="67" t="str">
        <f>IF(B31="","",VLOOKUP(AD31,Varsayımlar!$B:$Q,9,0))</f>
        <v>Irak Soft</v>
      </c>
      <c r="S31" s="67">
        <f>IF(B31="","",VLOOKUP(AD31,Varsayımlar!$B:$Q,10,0))</f>
        <v>10</v>
      </c>
      <c r="T31" s="67">
        <f>IF(B31="","",VLOOKUP(AD31,Varsayımlar!$B:$Q,11,0))</f>
        <v>12</v>
      </c>
      <c r="U31" s="67">
        <f>IF(B31="","",VLOOKUP(AD31,Varsayımlar!$B:$Q,12,0))</f>
        <v>950</v>
      </c>
      <c r="V31" s="67" t="str">
        <f>IF(B31="","",VLOOKUP(AD31,Varsayımlar!$B:$Q,13,0))</f>
        <v>Yurtdışı</v>
      </c>
      <c r="W31" s="67">
        <f>IF(B31="","",VLOOKUP(AD31,Varsayımlar!$B:$Q,14,0))</f>
        <v>6</v>
      </c>
      <c r="X31" s="69"/>
      <c r="Y31" s="69"/>
      <c r="Z31" s="67"/>
      <c r="AA31" s="67" t="str">
        <f>IF(B31="","",VLOOKUP(AD31,Varsayımlar!$B:$Q,15,0))</f>
        <v>30cm Kolisi</v>
      </c>
      <c r="AB31" s="67" t="str">
        <f>IF(B31="","",VLOOKUP(AD31,Varsayımlar!$B:$Q,16,0))</f>
        <v>29-31 cm</v>
      </c>
      <c r="AC31" s="75">
        <f>IF(B31="","",VLOOKUP(Sayfa1!AD84,Varsayımlar!B:S,18,0))</f>
        <v>0</v>
      </c>
      <c r="AD31" s="57" t="str">
        <f t="shared" si="0"/>
        <v>Yüksekbaş GıdaYüksekbaş 30cm 10pcs 950g</v>
      </c>
    </row>
    <row r="32" spans="1:30" ht="49.5" customHeight="1" x14ac:dyDescent="0.25">
      <c r="A32" s="8" t="s">
        <v>143</v>
      </c>
      <c r="B32" s="152" t="s">
        <v>571</v>
      </c>
      <c r="C32" s="153">
        <f>IF(B32="","",VLOOKUP(AD32,Varsayımlar!$B:$Q,3,0))</f>
        <v>8698829380698</v>
      </c>
      <c r="D32" s="154"/>
      <c r="E32" s="154" t="s">
        <v>572</v>
      </c>
      <c r="F32" s="152">
        <v>20260701</v>
      </c>
      <c r="G32" s="152" t="s">
        <v>578</v>
      </c>
      <c r="H32" s="152" t="str">
        <f>IF(B32="","",VLOOKUP(AD32,Varsayımlar!$B:$Q,5,0))</f>
        <v>Tortillas 30cm</v>
      </c>
      <c r="I32" s="152" t="str">
        <f>IF(B32="","",VLOOKUP(AD32,Varsayımlar!B:T,19,0))</f>
        <v>Azerice Etiketli</v>
      </c>
      <c r="J32" s="152" t="str">
        <f>IF(B32="","",VLOOKUP(AD32,Varsayımlar!$B:$Q,6,0))</f>
        <v>Sade</v>
      </c>
      <c r="K32" s="152">
        <v>204</v>
      </c>
      <c r="L32" s="152"/>
      <c r="M32" s="152">
        <f>IFERROR(IF(B32="","",K32/VLOOKUP(AD32,Varsayımlar!B:R,17,0)),"")</f>
        <v>3</v>
      </c>
      <c r="N32" s="152"/>
      <c r="O32" s="152">
        <v>4</v>
      </c>
      <c r="P32" s="152">
        <f>IF(B32="","",VLOOKUP(AD32,Varsayımlar!$B:$Q,7,0)*K32)</f>
        <v>1224</v>
      </c>
      <c r="Q32" s="152">
        <f>IF(B32="","",VLOOKUP(AD32,Varsayımlar!$B:$Q,8,0))</f>
        <v>30</v>
      </c>
      <c r="R32" s="152" t="str">
        <f>IF(B32="","",VLOOKUP(AD32,Varsayımlar!$B:$Q,9,0))</f>
        <v>Irak soft</v>
      </c>
      <c r="S32" s="152">
        <f>IF(B32="","",VLOOKUP(AD32,Varsayımlar!$B:$Q,10,0))</f>
        <v>18</v>
      </c>
      <c r="T32" s="152">
        <f>IF(B32="","",VLOOKUP(AD32,Varsayımlar!$B:$Q,11,0))</f>
        <v>6</v>
      </c>
      <c r="U32" s="152">
        <f>IF(B32="","",VLOOKUP(AD32,Varsayımlar!$B:$Q,12,0))</f>
        <v>1710</v>
      </c>
      <c r="V32" s="152" t="str">
        <f>IF(B32="","",VLOOKUP(AD32,Varsayımlar!$B:$Q,13,0))</f>
        <v>Yurtdışı</v>
      </c>
      <c r="W32" s="152">
        <f>IF(B32="","",VLOOKUP(AD32,Varsayımlar!$B:$Q,14,0))</f>
        <v>9</v>
      </c>
      <c r="X32" s="155"/>
      <c r="Y32" s="155"/>
      <c r="Z32" s="152"/>
      <c r="AA32" s="152" t="str">
        <f>IF(B32="","",VLOOKUP(AD32,Varsayımlar!$B:$Q,15,0))</f>
        <v>30cm Kolisi</v>
      </c>
      <c r="AB32" s="152" t="str">
        <f>IF(B32="","",VLOOKUP(AD32,Varsayımlar!$B:$Q,16,0))</f>
        <v>29-31cm</v>
      </c>
      <c r="AC32" s="8" t="e">
        <f>IF(B32="","",VLOOKUP(#REF!,#REF!,18,0))</f>
        <v>#REF!</v>
      </c>
      <c r="AD32" s="8" t="str">
        <f t="shared" si="0"/>
        <v>HRC TradeTortillas 30cm 18pcs 1710g</v>
      </c>
    </row>
    <row r="33" spans="1:30" ht="51" customHeight="1" x14ac:dyDescent="0.25">
      <c r="A33" s="8" t="s">
        <v>144</v>
      </c>
      <c r="B33" s="160" t="s">
        <v>579</v>
      </c>
      <c r="C33" s="161">
        <f>IF(B33="","",VLOOKUP(AD33,Varsayımlar!$B:$Q,3,0))</f>
        <v>8698829380698</v>
      </c>
      <c r="D33" s="160"/>
      <c r="E33" s="160" t="s">
        <v>509</v>
      </c>
      <c r="F33" s="160">
        <v>20260701</v>
      </c>
      <c r="G33" s="160" t="s">
        <v>578</v>
      </c>
      <c r="H33" s="160" t="str">
        <f>IF(B33="","",VLOOKUP(AD33,Varsayımlar!$B:$Q,5,0))</f>
        <v>Tortillas 30cm</v>
      </c>
      <c r="I33" s="160" t="str">
        <f>IF(B33="","",VLOOKUP(AD33,Varsayımlar!B:T,19,0))</f>
        <v>Arka Kısma Bosnaca içerik Etiketli</v>
      </c>
      <c r="J33" s="160" t="str">
        <f>IF(B33="","",VLOOKUP(AD33,Varsayımlar!$B:$Q,6,0))</f>
        <v>Sade</v>
      </c>
      <c r="K33" s="160">
        <v>150</v>
      </c>
      <c r="L33" s="160"/>
      <c r="M33" s="160">
        <f>IFERROR(IF(B33="","",K33/VLOOKUP(AD33,Varsayımlar!B:R,17,0)),"")</f>
        <v>3</v>
      </c>
      <c r="N33" s="160"/>
      <c r="O33" s="160">
        <v>3</v>
      </c>
      <c r="P33" s="160">
        <f>IF(B33="","",VLOOKUP(AD33,Varsayımlar!$B:$Q,7,0)*K33)</f>
        <v>1800</v>
      </c>
      <c r="Q33" s="160">
        <f>IF(B33="","",VLOOKUP(AD33,Varsayımlar!$B:$Q,8,0))</f>
        <v>30</v>
      </c>
      <c r="R33" s="160" t="str">
        <f>IF(B33="","",VLOOKUP(AD33,Varsayımlar!$B:$Q,9,0))</f>
        <v>Irak soft</v>
      </c>
      <c r="S33" s="160">
        <f>IF(B33="","",VLOOKUP(AD33,Varsayımlar!$B:$Q,10,0))</f>
        <v>10</v>
      </c>
      <c r="T33" s="160">
        <f>IF(B33="","",VLOOKUP(AD33,Varsayımlar!$B:$Q,11,0))</f>
        <v>12</v>
      </c>
      <c r="U33" s="160">
        <f>IF(B33="","",VLOOKUP(AD33,Varsayımlar!$B:$Q,12,0))</f>
        <v>850</v>
      </c>
      <c r="V33" s="160" t="str">
        <f>IF(B33="","",VLOOKUP(AD33,Varsayımlar!$B:$Q,13,0))</f>
        <v>Yurtdışı</v>
      </c>
      <c r="W33" s="160">
        <f>IF(B33="","",VLOOKUP(AD33,Varsayımlar!$B:$Q,14,0))</f>
        <v>6</v>
      </c>
      <c r="X33" s="160"/>
      <c r="Y33" s="160"/>
      <c r="Z33" s="160"/>
      <c r="AA33" s="160" t="str">
        <f>IF(B33="","",VLOOKUP(AD33,Varsayımlar!$B:$Q,15,0))</f>
        <v>30cm Kolisi</v>
      </c>
      <c r="AB33" s="160" t="str">
        <f>IF(B33="","",VLOOKUP(AD33,Varsayımlar!$B:$Q,16,0))</f>
        <v>29-31cm</v>
      </c>
      <c r="AC33" s="75">
        <f>IF(B33="","",VLOOKUP(Sayfa1!AD92,Varsayımlar!B:S,18,0))</f>
        <v>0</v>
      </c>
      <c r="AD33" s="57" t="str">
        <f t="shared" ref="AD33" si="3">IF(B33="","",CONCATENATE(B33,E33))</f>
        <v>BelamionixTortillas 30cm 10pcs 850g</v>
      </c>
    </row>
    <row r="34" spans="1:30" ht="51" customHeight="1" x14ac:dyDescent="0.25">
      <c r="A34" s="8" t="s">
        <v>145</v>
      </c>
      <c r="B34" s="160" t="s">
        <v>579</v>
      </c>
      <c r="C34" s="161">
        <f>IF(B34="","",VLOOKUP(AD34,Varsayımlar!$B:$Q,3,0))</f>
        <v>8698829380698</v>
      </c>
      <c r="D34" s="160"/>
      <c r="E34" s="160" t="s">
        <v>512</v>
      </c>
      <c r="F34" s="160">
        <v>20260701</v>
      </c>
      <c r="G34" s="160" t="s">
        <v>578</v>
      </c>
      <c r="H34" s="160" t="str">
        <f>IF(B34="","",VLOOKUP(AD34,Varsayımlar!$B:$Q,5,0))</f>
        <v>Tortillas 20cm</v>
      </c>
      <c r="I34" s="160" t="str">
        <f>IF(B34="","",VLOOKUP(AD34,Varsayımlar!B:T,19,0))</f>
        <v>Arka Kısma Bosnaca içerik Etiketli</v>
      </c>
      <c r="J34" s="160" t="str">
        <f>IF(B34="","",VLOOKUP(AD34,Varsayımlar!$B:$Q,6,0))</f>
        <v>Sade</v>
      </c>
      <c r="K34" s="160">
        <v>200</v>
      </c>
      <c r="L34" s="160"/>
      <c r="M34" s="160">
        <f>IFERROR(IF(B34="","",K34/VLOOKUP(AD34,Varsayımlar!B:R,17,0)),"")</f>
        <v>2</v>
      </c>
      <c r="N34" s="160"/>
      <c r="O34" s="160">
        <v>4</v>
      </c>
      <c r="P34" s="160">
        <f>IF(B34="","",VLOOKUP(AD34,Varsayımlar!$B:$Q,7,0)*K34)</f>
        <v>2400</v>
      </c>
      <c r="Q34" s="160">
        <f>IF(B34="","",VLOOKUP(AD34,Varsayımlar!$B:$Q,8,0))</f>
        <v>20</v>
      </c>
      <c r="R34" s="160" t="str">
        <f>IF(B34="","",VLOOKUP(AD34,Varsayımlar!$B:$Q,9,0))</f>
        <v>Irak soft</v>
      </c>
      <c r="S34" s="160">
        <f>IF(B34="","",VLOOKUP(AD34,Varsayımlar!$B:$Q,10,0))</f>
        <v>10</v>
      </c>
      <c r="T34" s="160">
        <f>IF(B34="","",VLOOKUP(AD34,Varsayımlar!$B:$Q,11,0))</f>
        <v>12</v>
      </c>
      <c r="U34" s="160">
        <f>IF(B34="","",VLOOKUP(AD34,Varsayımlar!$B:$Q,12,0))</f>
        <v>450</v>
      </c>
      <c r="V34" s="160" t="str">
        <f>IF(B34="","",VLOOKUP(AD34,Varsayımlar!$B:$Q,13,0))</f>
        <v>Yurtdışı</v>
      </c>
      <c r="W34" s="160">
        <f>IF(B34="","",VLOOKUP(AD34,Varsayımlar!$B:$Q,14,0))</f>
        <v>6</v>
      </c>
      <c r="X34" s="160"/>
      <c r="Y34" s="160"/>
      <c r="Z34" s="160"/>
      <c r="AA34" s="160" t="str">
        <f>IF(B34="","",VLOOKUP(AD34,Varsayımlar!$B:$Q,15,0))</f>
        <v>20cm Kolisi</v>
      </c>
      <c r="AB34" s="160" t="str">
        <f>IF(B34="","",VLOOKUP(AD34,Varsayımlar!$B:$Q,16,0))</f>
        <v>19-21cm</v>
      </c>
      <c r="AC34" s="75">
        <f>IF(B34="","",VLOOKUP(Sayfa1!AD93,Varsayımlar!B:S,18,0))</f>
        <v>0</v>
      </c>
      <c r="AD34" s="57" t="str">
        <f t="shared" ref="AD34" si="4">IF(B34="","",CONCATENATE(B34,E34))</f>
        <v>BelamionixTortillas 20cm 10pcs 450g</v>
      </c>
    </row>
    <row r="35" spans="1:30" ht="51" customHeight="1" x14ac:dyDescent="0.25">
      <c r="A35" s="8" t="s">
        <v>146</v>
      </c>
      <c r="B35" s="160" t="s">
        <v>579</v>
      </c>
      <c r="C35" s="161">
        <f>IF(B35="","",VLOOKUP(AD35,Varsayımlar!$B:$Q,3,0))</f>
        <v>8698829380698</v>
      </c>
      <c r="D35" s="160"/>
      <c r="E35" s="160" t="s">
        <v>585</v>
      </c>
      <c r="F35" s="160">
        <v>20260701</v>
      </c>
      <c r="G35" s="160" t="s">
        <v>578</v>
      </c>
      <c r="H35" s="160" t="str">
        <f>IF(B35="","",VLOOKUP(AD35,Varsayımlar!$B:$Q,5,0))</f>
        <v>Tortillas 25cm Tam Buğday</v>
      </c>
      <c r="I35" s="160" t="str">
        <f>IF(B35="","",VLOOKUP(AD35,Varsayımlar!B:T,19,0))</f>
        <v>Arka Kısma Bosnaca içerik Etiketli</v>
      </c>
      <c r="J35" s="160" t="str">
        <f>IF(B35="","",VLOOKUP(AD35,Varsayımlar!$B:$Q,6,0))</f>
        <v>Tam Buğdaylı</v>
      </c>
      <c r="K35" s="160">
        <v>300</v>
      </c>
      <c r="L35" s="160"/>
      <c r="M35" s="160">
        <f>IFERROR(IF(B35="","",K35/VLOOKUP(AD35,Varsayımlar!B:R,17,0)),"")</f>
        <v>3</v>
      </c>
      <c r="N35" s="160"/>
      <c r="O35" s="160">
        <v>5</v>
      </c>
      <c r="P35" s="160">
        <f>IF(B35="","",VLOOKUP(AD35,Varsayımlar!$B:$Q,7,0)*K35)</f>
        <v>3600</v>
      </c>
      <c r="Q35" s="160">
        <f>IF(B35="","",VLOOKUP(AD35,Varsayımlar!$B:$Q,8,0))</f>
        <v>25</v>
      </c>
      <c r="R35" s="160" t="str">
        <f>IF(B35="","",VLOOKUP(AD35,Varsayımlar!$B:$Q,9,0))</f>
        <v>Irak soft</v>
      </c>
      <c r="S35" s="160">
        <f>IF(B35="","",VLOOKUP(AD35,Varsayımlar!$B:$Q,10,0))</f>
        <v>10</v>
      </c>
      <c r="T35" s="160">
        <f>IF(B35="","",VLOOKUP(AD35,Varsayımlar!$B:$Q,11,0))</f>
        <v>12</v>
      </c>
      <c r="U35" s="160">
        <f>IF(B35="","",VLOOKUP(AD35,Varsayımlar!$B:$Q,12,0))</f>
        <v>650</v>
      </c>
      <c r="V35" s="160" t="str">
        <f>IF(B35="","",VLOOKUP(AD35,Varsayımlar!$B:$Q,13,0))</f>
        <v>Yurtdışı</v>
      </c>
      <c r="W35" s="160">
        <f>IF(B35="","",VLOOKUP(AD35,Varsayımlar!$B:$Q,14,0))</f>
        <v>6</v>
      </c>
      <c r="X35" s="160"/>
      <c r="Y35" s="160"/>
      <c r="Z35" s="160"/>
      <c r="AA35" s="160" t="str">
        <f>IF(B35="","",VLOOKUP(AD35,Varsayımlar!$B:$Q,15,0))</f>
        <v>25cm Kolisi-Etiketli</v>
      </c>
      <c r="AB35" s="160" t="str">
        <f>IF(B35="","",VLOOKUP(AD35,Varsayımlar!$B:$Q,16,0))</f>
        <v>24-26cm</v>
      </c>
      <c r="AC35" s="75">
        <f>IF(B35="","",VLOOKUP(Sayfa1!AD94,Varsayımlar!B:S,18,0))</f>
        <v>0</v>
      </c>
      <c r="AD35" s="57" t="str">
        <f t="shared" ref="AD35" si="5">IF(B35="","",CONCATENATE(B35,E35))</f>
        <v>BelamionixTortillas 25cm TB 10pcs 650g</v>
      </c>
    </row>
    <row r="36" spans="1:30" ht="36" customHeight="1" x14ac:dyDescent="0.25">
      <c r="A36" s="8" t="s">
        <v>147</v>
      </c>
      <c r="B36" s="67"/>
      <c r="C36" s="42" t="str">
        <f>IF(B36="","",VLOOKUP(AD36,#REF!,3,0))</f>
        <v/>
      </c>
      <c r="D36" s="42"/>
      <c r="E36" s="42"/>
      <c r="F36" s="67"/>
      <c r="G36" s="67"/>
      <c r="H36" s="67" t="str">
        <f>IF(B36="","",VLOOKUP(AD36,#REF!,5,0))</f>
        <v/>
      </c>
      <c r="I36" s="67" t="str">
        <f>IF(B36="","",VLOOKUP(AD36,#REF!,19,0))</f>
        <v/>
      </c>
      <c r="J36" s="67" t="str">
        <f>IF(B36="","",VLOOKUP(AD36,#REF!,6,0))</f>
        <v/>
      </c>
      <c r="K36" s="67"/>
      <c r="L36" s="67"/>
      <c r="M36" s="67" t="str">
        <f>IFERROR(IF(B36="","",K36/VLOOKUP(AD36,Varsayımlar!B:R,17,0)),"")</f>
        <v/>
      </c>
      <c r="N36" s="67"/>
      <c r="O36" s="67"/>
      <c r="P36" s="67" t="str">
        <f>IF(B36="","",VLOOKUP(AD36,#REF!,7,0)*K36)</f>
        <v/>
      </c>
      <c r="Q36" s="67" t="str">
        <f>IF(B36="","",VLOOKUP(AD36,#REF!,8,0))</f>
        <v/>
      </c>
      <c r="R36" s="67" t="str">
        <f>IF(B36="","",VLOOKUP(AD36,#REF!,9,0))</f>
        <v/>
      </c>
      <c r="S36" s="67" t="str">
        <f>IF(B36="","",VLOOKUP(AD36,#REF!,10,0))</f>
        <v/>
      </c>
      <c r="T36" s="67" t="str">
        <f>IF(B36="","",VLOOKUP(AD36,#REF!,11,0))</f>
        <v/>
      </c>
      <c r="U36" s="67" t="str">
        <f>IF(B36="","",VLOOKUP(AD36,#REF!,12,0))</f>
        <v/>
      </c>
      <c r="V36" s="67" t="str">
        <f>IF(B36="","",VLOOKUP(AD36,#REF!,13,0))</f>
        <v/>
      </c>
      <c r="W36" s="67" t="str">
        <f>IF(B36="","",VLOOKUP(AD36,#REF!,14,0))</f>
        <v/>
      </c>
      <c r="X36" s="69"/>
      <c r="Y36" s="69"/>
      <c r="Z36" s="67"/>
      <c r="AA36" s="67" t="str">
        <f>IF(B36="","",VLOOKUP(AD36,#REF!,15,0))</f>
        <v/>
      </c>
      <c r="AB36" s="67" t="str">
        <f>IF(B36="","",VLOOKUP(AD36,#REF!,16,0))</f>
        <v/>
      </c>
      <c r="AC36" s="145"/>
      <c r="AD36" s="57"/>
    </row>
    <row r="37" spans="1:30" ht="36" customHeight="1" x14ac:dyDescent="0.25">
      <c r="A37" s="8" t="s">
        <v>148</v>
      </c>
      <c r="B37" s="67"/>
      <c r="C37" s="42" t="str">
        <f>IF(B37="","",VLOOKUP(AD37,#REF!,3,0))</f>
        <v/>
      </c>
      <c r="D37" s="42"/>
      <c r="E37" s="42"/>
      <c r="F37" s="67"/>
      <c r="G37" s="67"/>
      <c r="H37" s="67" t="str">
        <f>IF(B37="","",VLOOKUP(AD37,#REF!,5,0))</f>
        <v/>
      </c>
      <c r="I37" s="67" t="str">
        <f>IF(B37="","",VLOOKUP(AD37,#REF!,19,0))</f>
        <v/>
      </c>
      <c r="J37" s="67" t="str">
        <f>IF(B37="","",VLOOKUP(AD37,#REF!,6,0))</f>
        <v/>
      </c>
      <c r="K37" s="67"/>
      <c r="L37" s="67"/>
      <c r="M37" s="67" t="str">
        <f>IFERROR(IF(B37="","",K37/VLOOKUP(AD37,Varsayımlar!B:R,17,0)),"")</f>
        <v/>
      </c>
      <c r="N37" s="67"/>
      <c r="O37" s="67"/>
      <c r="P37" s="67" t="str">
        <f>IF(B37="","",VLOOKUP(AD37,#REF!,7,0)*K37)</f>
        <v/>
      </c>
      <c r="Q37" s="67" t="str">
        <f>IF(B37="","",VLOOKUP(AD37,#REF!,8,0))</f>
        <v/>
      </c>
      <c r="R37" s="67" t="str">
        <f>IF(B37="","",VLOOKUP(AD37,#REF!,9,0))</f>
        <v/>
      </c>
      <c r="S37" s="67" t="str">
        <f>IF(B37="","",VLOOKUP(AD37,#REF!,10,0))</f>
        <v/>
      </c>
      <c r="T37" s="67" t="str">
        <f>IF(B37="","",VLOOKUP(AD37,#REF!,11,0))</f>
        <v/>
      </c>
      <c r="U37" s="67" t="str">
        <f>IF(B37="","",VLOOKUP(AD37,#REF!,12,0))</f>
        <v/>
      </c>
      <c r="V37" s="67" t="str">
        <f>IF(B37="","",VLOOKUP(AD37,#REF!,13,0))</f>
        <v/>
      </c>
      <c r="W37" s="67" t="str">
        <f>IF(B37="","",VLOOKUP(AD37,#REF!,14,0))</f>
        <v/>
      </c>
      <c r="X37" s="69"/>
      <c r="Y37" s="69"/>
      <c r="Z37" s="67"/>
      <c r="AA37" s="67" t="str">
        <f>IF(B37="","",VLOOKUP(AD37,#REF!,15,0))</f>
        <v/>
      </c>
      <c r="AB37" s="67" t="str">
        <f>IF(B37="","",VLOOKUP(AD37,#REF!,16,0))</f>
        <v/>
      </c>
      <c r="AC37" s="145"/>
      <c r="AD37" s="57"/>
    </row>
    <row r="38" spans="1:30" ht="36" customHeight="1" x14ac:dyDescent="0.25">
      <c r="A38" s="8" t="s">
        <v>149</v>
      </c>
      <c r="B38" s="67"/>
      <c r="C38" s="42" t="str">
        <f>IF(B38="","",VLOOKUP(AD38,#REF!,3,0))</f>
        <v/>
      </c>
      <c r="D38" s="42"/>
      <c r="E38" s="42"/>
      <c r="F38" s="67"/>
      <c r="G38" s="67"/>
      <c r="H38" s="67" t="str">
        <f>IF(B38="","",VLOOKUP(AD38,#REF!,5,0))</f>
        <v/>
      </c>
      <c r="I38" s="67" t="str">
        <f>IF(B38="","",VLOOKUP(AD38,#REF!,19,0))</f>
        <v/>
      </c>
      <c r="J38" s="67" t="str">
        <f>IF(B38="","",VLOOKUP(AD38,#REF!,6,0))</f>
        <v/>
      </c>
      <c r="K38" s="67"/>
      <c r="L38" s="67"/>
      <c r="M38" s="67" t="str">
        <f>IFERROR(IF(B38="","",K38/VLOOKUP(AD38,Varsayımlar!B:R,17,0)),"")</f>
        <v/>
      </c>
      <c r="N38" s="67"/>
      <c r="O38" s="67"/>
      <c r="P38" s="67" t="str">
        <f>IF(B38="","",VLOOKUP(AD38,#REF!,7,0)*K38)</f>
        <v/>
      </c>
      <c r="Q38" s="67" t="str">
        <f>IF(B38="","",VLOOKUP(AD38,#REF!,8,0))</f>
        <v/>
      </c>
      <c r="R38" s="67" t="str">
        <f>IF(B38="","",VLOOKUP(AD38,#REF!,9,0))</f>
        <v/>
      </c>
      <c r="S38" s="67" t="str">
        <f>IF(B38="","",VLOOKUP(AD38,#REF!,10,0))</f>
        <v/>
      </c>
      <c r="T38" s="67" t="str">
        <f>IF(B38="","",VLOOKUP(AD38,#REF!,11,0))</f>
        <v/>
      </c>
      <c r="U38" s="67" t="str">
        <f>IF(B38="","",VLOOKUP(AD38,#REF!,12,0))</f>
        <v/>
      </c>
      <c r="V38" s="67" t="str">
        <f>IF(B38="","",VLOOKUP(AD38,#REF!,13,0))</f>
        <v/>
      </c>
      <c r="W38" s="67" t="str">
        <f>IF(B38="","",VLOOKUP(AD38,#REF!,14,0))</f>
        <v/>
      </c>
      <c r="X38" s="69"/>
      <c r="Y38" s="69"/>
      <c r="Z38" s="67"/>
      <c r="AA38" s="67" t="str">
        <f>IF(B38="","",VLOOKUP(AD38,#REF!,15,0))</f>
        <v/>
      </c>
      <c r="AB38" s="67" t="str">
        <f>IF(B38="","",VLOOKUP(AD38,#REF!,16,0))</f>
        <v/>
      </c>
      <c r="AC38" s="145"/>
      <c r="AD38" s="57"/>
    </row>
    <row r="39" spans="1:30" ht="36" customHeight="1" x14ac:dyDescent="0.25">
      <c r="A39" s="8" t="s">
        <v>150</v>
      </c>
      <c r="B39" s="67"/>
      <c r="C39" s="42" t="str">
        <f>IF(B39="","",VLOOKUP(AD39,#REF!,3,0))</f>
        <v/>
      </c>
      <c r="D39" s="42"/>
      <c r="E39" s="42"/>
      <c r="F39" s="67"/>
      <c r="G39" s="67"/>
      <c r="H39" s="67" t="str">
        <f>IF(B39="","",VLOOKUP(AD39,#REF!,5,0))</f>
        <v/>
      </c>
      <c r="I39" s="67" t="str">
        <f>IF(B39="","",VLOOKUP(AD39,#REF!,19,0))</f>
        <v/>
      </c>
      <c r="J39" s="67" t="str">
        <f>IF(B39="","",VLOOKUP(AD39,#REF!,6,0))</f>
        <v/>
      </c>
      <c r="K39" s="67"/>
      <c r="L39" s="67"/>
      <c r="M39" s="67" t="str">
        <f>IFERROR(IF(B39="","",K39/VLOOKUP(AD39,Varsayımlar!B:R,17,0)),"")</f>
        <v/>
      </c>
      <c r="N39" s="67"/>
      <c r="O39" s="67"/>
      <c r="P39" s="67" t="str">
        <f>IF(B39="","",VLOOKUP(AD39,#REF!,7,0)*K39)</f>
        <v/>
      </c>
      <c r="Q39" s="67" t="str">
        <f>IF(B39="","",VLOOKUP(AD39,#REF!,8,0))</f>
        <v/>
      </c>
      <c r="R39" s="67" t="str">
        <f>IF(B39="","",VLOOKUP(AD39,#REF!,9,0))</f>
        <v/>
      </c>
      <c r="S39" s="67" t="str">
        <f>IF(B39="","",VLOOKUP(AD39,#REF!,10,0))</f>
        <v/>
      </c>
      <c r="T39" s="67" t="str">
        <f>IF(B39="","",VLOOKUP(AD39,#REF!,11,0))</f>
        <v/>
      </c>
      <c r="U39" s="67" t="str">
        <f>IF(B39="","",VLOOKUP(AD39,#REF!,12,0))</f>
        <v/>
      </c>
      <c r="V39" s="67" t="str">
        <f>IF(B39="","",VLOOKUP(AD39,#REF!,13,0))</f>
        <v/>
      </c>
      <c r="W39" s="67" t="str">
        <f>IF(B39="","",VLOOKUP(AD39,#REF!,14,0))</f>
        <v/>
      </c>
      <c r="X39" s="69"/>
      <c r="Y39" s="69"/>
      <c r="Z39" s="67"/>
      <c r="AA39" s="67" t="str">
        <f>IF(B39="","",VLOOKUP(AD39,#REF!,15,0))</f>
        <v/>
      </c>
      <c r="AB39" s="67" t="str">
        <f>IF(B39="","",VLOOKUP(AD39,#REF!,16,0))</f>
        <v/>
      </c>
      <c r="AC39" s="145"/>
      <c r="AD39" s="57"/>
    </row>
    <row r="40" spans="1:30" x14ac:dyDescent="0.25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6"/>
      <c r="Y40" s="136"/>
      <c r="Z40" s="135"/>
      <c r="AA40" s="135"/>
      <c r="AB40" s="137"/>
      <c r="AC40" s="138"/>
      <c r="AD40" s="57"/>
    </row>
    <row r="41" spans="1:30" ht="31.5" customHeight="1" x14ac:dyDescent="0.25">
      <c r="A41" s="182" t="s">
        <v>344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4"/>
      <c r="AC41" s="38"/>
    </row>
    <row r="42" spans="1:30" ht="63" x14ac:dyDescent="0.25">
      <c r="A42" s="8" t="s">
        <v>0</v>
      </c>
      <c r="B42" s="8" t="s">
        <v>1</v>
      </c>
      <c r="C42" s="9" t="s">
        <v>31</v>
      </c>
      <c r="D42" s="9" t="s">
        <v>124</v>
      </c>
      <c r="E42" s="9" t="s">
        <v>36</v>
      </c>
      <c r="F42" s="8" t="s">
        <v>37</v>
      </c>
      <c r="G42" s="8" t="s">
        <v>13</v>
      </c>
      <c r="H42" s="8" t="s">
        <v>2</v>
      </c>
      <c r="I42" s="8" t="s">
        <v>49</v>
      </c>
      <c r="J42" s="8" t="s">
        <v>3</v>
      </c>
      <c r="K42" s="8" t="s">
        <v>21</v>
      </c>
      <c r="L42" s="8" t="s">
        <v>94</v>
      </c>
      <c r="M42" s="8" t="s">
        <v>20</v>
      </c>
      <c r="N42" s="8" t="s">
        <v>165</v>
      </c>
      <c r="O42" s="8" t="s">
        <v>123</v>
      </c>
      <c r="P42" s="8" t="s">
        <v>16</v>
      </c>
      <c r="Q42" s="8" t="s">
        <v>4</v>
      </c>
      <c r="R42" s="8" t="s">
        <v>5</v>
      </c>
      <c r="S42" s="8" t="s">
        <v>6</v>
      </c>
      <c r="T42" s="8" t="s">
        <v>28</v>
      </c>
      <c r="U42" s="8" t="s">
        <v>7</v>
      </c>
      <c r="V42" s="8" t="s">
        <v>8</v>
      </c>
      <c r="W42" s="8" t="s">
        <v>267</v>
      </c>
      <c r="X42" s="8" t="s">
        <v>10</v>
      </c>
      <c r="Y42" s="8" t="s">
        <v>11</v>
      </c>
      <c r="Z42" s="8" t="s">
        <v>12</v>
      </c>
      <c r="AA42" s="8" t="s">
        <v>14</v>
      </c>
      <c r="AB42" s="8" t="s">
        <v>15</v>
      </c>
      <c r="AC42" s="8" t="s">
        <v>208</v>
      </c>
      <c r="AD42" s="140" t="s">
        <v>41</v>
      </c>
    </row>
    <row r="43" spans="1:30" ht="47.25" x14ac:dyDescent="0.25">
      <c r="A43" s="8" t="s">
        <v>26</v>
      </c>
      <c r="B43" s="130" t="s">
        <v>119</v>
      </c>
      <c r="C43" s="130">
        <f>IF(B43="","",VLOOKUP(AD43,Varsayımlar!$B:$Q,3,0))</f>
        <v>8698829380698</v>
      </c>
      <c r="D43" s="130"/>
      <c r="E43" s="130" t="s">
        <v>120</v>
      </c>
      <c r="F43" s="130"/>
      <c r="G43" s="130"/>
      <c r="H43" s="130" t="str">
        <f>IF(B43="","",VLOOKUP(AD43,Varsayımlar!$B:$Q,5,0))</f>
        <v>Nimet 25 cm</v>
      </c>
      <c r="I43" s="130"/>
      <c r="J43" s="130" t="str">
        <f>IF(B43="","",VLOOKUP(AD43,Varsayımlar!$B:$Q,6,0))</f>
        <v>SADE</v>
      </c>
      <c r="K43" s="130">
        <v>4000</v>
      </c>
      <c r="L43" s="130"/>
      <c r="M43" s="130">
        <f>IFERROR(IF(B43="","",K43/VLOOKUP(AD43,Varsayımlar!B:R,17,0)),"")</f>
        <v>80</v>
      </c>
      <c r="N43" s="130"/>
      <c r="O43" s="130">
        <v>60</v>
      </c>
      <c r="P43" s="130">
        <f>IF(B43="","",VLOOKUP(AD43,Varsayımlar!$B:$Q,7,0)*K43)</f>
        <v>48000</v>
      </c>
      <c r="Q43" s="130">
        <f>IF(B43="","",VLOOKUP(AD43,Varsayımlar!$B:$Q,8,0))</f>
        <v>25</v>
      </c>
      <c r="R43" s="130" t="str">
        <f>IF(B43="","",VLOOKUP(AD43,Varsayımlar!$B:$Q,9,0))</f>
        <v>Standart</v>
      </c>
      <c r="S43" s="130">
        <f>IF(B43="","",VLOOKUP(AD43,Varsayımlar!$B:$Q,10,0))</f>
        <v>12</v>
      </c>
      <c r="T43" s="130">
        <f>IF(B43="","",VLOOKUP(AD43,Varsayımlar!$B:$Q,11,0))</f>
        <v>12</v>
      </c>
      <c r="U43" s="130">
        <f>IF(B43="","",VLOOKUP(AD43,Varsayımlar!$B:$Q,12,0))</f>
        <v>840</v>
      </c>
      <c r="V43" s="130" t="str">
        <f>IF(B43="","",VLOOKUP(AD43,Varsayımlar!$B:$Q,13,0))</f>
        <v>YURTİÇİ</v>
      </c>
      <c r="W43" s="130">
        <f>IF(B43="","",VLOOKUP(AD43,Varsayımlar!$B:$Q,14,0))</f>
        <v>5</v>
      </c>
      <c r="X43" s="130" t="s">
        <v>113</v>
      </c>
      <c r="Y43" s="130" t="s">
        <v>113</v>
      </c>
      <c r="Z43" s="130" t="s">
        <v>113</v>
      </c>
      <c r="AA43" s="130" t="str">
        <f>IF(B43="","",VLOOKUP(AD43,Varsayımlar!$B:$Q,15,0))</f>
        <v>Nimet Kolisi</v>
      </c>
      <c r="AB43" s="130" t="str">
        <f>IF(B43="","",VLOOKUP(AD43,Varsayımlar!$B:$Q,16,0))</f>
        <v>24-26 CM</v>
      </c>
      <c r="AC43" s="64" t="s">
        <v>360</v>
      </c>
      <c r="AD43" s="57" t="str">
        <f>IF(B43="","",CONCATENATE(B43,E43))</f>
        <v>A101Nimet 25cm 12 pcs 840g</v>
      </c>
    </row>
    <row r="44" spans="1:30" ht="51.75" customHeight="1" x14ac:dyDescent="0.25">
      <c r="A44" s="8" t="s">
        <v>77</v>
      </c>
      <c r="B44" s="75" t="s">
        <v>218</v>
      </c>
      <c r="C44" s="43">
        <f>IF(B44="","",VLOOKUP(AD44,Varsayımlar!$B:$Q,3,0))</f>
        <v>8698829380698</v>
      </c>
      <c r="D44" s="43" t="s">
        <v>161</v>
      </c>
      <c r="E44" s="75" t="s">
        <v>228</v>
      </c>
      <c r="F44" s="75" t="s">
        <v>561</v>
      </c>
      <c r="G44" s="43" t="s">
        <v>578</v>
      </c>
      <c r="H44" s="75" t="str">
        <f>IF(B44="","",VLOOKUP(AD44,Varsayımlar!$B:$Q,5,0))</f>
        <v>Tortillas Avrupa 25cm (698)</v>
      </c>
      <c r="I44" s="75">
        <f>IF(B44="","",VLOOKUP(AD44,Varsayımlar!B:T,19,0))</f>
        <v>0</v>
      </c>
      <c r="J44" s="75" t="str">
        <f>IF(B44="","",VLOOKUP(AD44,Varsayımlar!$B:$Q,6,0))</f>
        <v>SADE</v>
      </c>
      <c r="K44" s="75">
        <v>600</v>
      </c>
      <c r="L44" s="75"/>
      <c r="M44" s="75">
        <f>IFERROR(IF(B44="","",K44/VLOOKUP(AD44,Varsayımlar!B:R,17,0)),"")</f>
        <v>5</v>
      </c>
      <c r="N44" s="75"/>
      <c r="O44" s="75">
        <v>6</v>
      </c>
      <c r="P44" s="75">
        <f>IF(B44="","",VLOOKUP(AD44,Varsayımlar!$B:$Q,7,0)*K44)</f>
        <v>4800</v>
      </c>
      <c r="Q44" s="75">
        <f>IF(B44="","",VLOOKUP(AD44,Varsayımlar!$B:$Q,8,0))</f>
        <v>25</v>
      </c>
      <c r="R44" s="75" t="str">
        <f>IF(B44="","",VLOOKUP(AD44,Varsayımlar!$B:$Q,9,0))</f>
        <v>Irak Soft</v>
      </c>
      <c r="S44" s="75">
        <f>IF(B44="","",VLOOKUP(AD44,Varsayımlar!$B:$Q,10,0))</f>
        <v>10</v>
      </c>
      <c r="T44" s="75">
        <f>IF(B44="","",VLOOKUP(AD44,Varsayımlar!$B:$Q,11,0))</f>
        <v>8</v>
      </c>
      <c r="U44" s="75">
        <f>IF(B44="","",VLOOKUP(AD44,Varsayımlar!$B:$Q,12,0))</f>
        <v>650</v>
      </c>
      <c r="V44" s="75" t="str">
        <f>IF(B44="","",VLOOKUP(AD44,Varsayımlar!$B:$Q,13,0))</f>
        <v>Yurtdışı</v>
      </c>
      <c r="W44" s="75">
        <f>IF(B44="","",VLOOKUP(AD44,Varsayımlar!$B:$Q,14,0))</f>
        <v>9</v>
      </c>
      <c r="X44" s="76">
        <v>46213</v>
      </c>
      <c r="Y44" s="76">
        <v>46487</v>
      </c>
      <c r="Z44" s="75">
        <v>26071025</v>
      </c>
      <c r="AA44" s="75" t="str">
        <f>IF(B44="","",VLOOKUP(AD44,Varsayımlar!$B:$Q,15,0))</f>
        <v>25cm Perforeli-Bulgarca etiket</v>
      </c>
      <c r="AB44" s="75" t="str">
        <f>IF(B44="","",VLOOKUP(AD44,Varsayımlar!$B:$Q,16,0))</f>
        <v>24-26 cm</v>
      </c>
      <c r="AC44" s="75" t="str">
        <f>IF(B44="","",VLOOKUP(Sayfa1!AD61,Varsayımlar!B:S,18,0))</f>
        <v>80x120cm -Epal+Epal</v>
      </c>
      <c r="AD44" s="57" t="str">
        <f>IF(B44="","",CONCATENATE(B44,E44))</f>
        <v>TASTE LAND-BULGARİSTANTortillas 25cm Sade 10pcs 650g</v>
      </c>
    </row>
    <row r="45" spans="1:30" ht="44.25" customHeight="1" x14ac:dyDescent="0.25">
      <c r="A45" s="8" t="s">
        <v>78</v>
      </c>
      <c r="B45" s="67" t="s">
        <v>460</v>
      </c>
      <c r="C45" s="42">
        <f>IF(B45="","",VLOOKUP(AD45,Varsayımlar!$B:$Q,3,0))</f>
        <v>8698829380698</v>
      </c>
      <c r="D45" s="67" t="s">
        <v>540</v>
      </c>
      <c r="E45" s="67" t="s">
        <v>468</v>
      </c>
      <c r="F45" s="67">
        <v>20260414</v>
      </c>
      <c r="G45" s="67" t="s">
        <v>578</v>
      </c>
      <c r="H45" s="67" t="str">
        <f>IF(B45="","",VLOOKUP(AD45,Varsayımlar!$B:$Q,5,0))</f>
        <v>Tortillove 25cm</v>
      </c>
      <c r="I45" s="67">
        <f>IF(B45="","",VLOOKUP(AD45,Varsayımlar!B:T,19,0))</f>
        <v>0</v>
      </c>
      <c r="J45" s="67" t="str">
        <f>IF(B45="","",VLOOKUP(AD45,Varsayımlar!$B:$Q,6,0))</f>
        <v>SADE</v>
      </c>
      <c r="K45" s="67">
        <v>100</v>
      </c>
      <c r="L45" s="67"/>
      <c r="M45" s="67">
        <f>IFERROR(IF(B45="","",K45/VLOOKUP(AD45,Varsayımlar!B:R,17,0)),"")</f>
        <v>1</v>
      </c>
      <c r="N45" s="67"/>
      <c r="O45" s="67">
        <v>2</v>
      </c>
      <c r="P45" s="67">
        <f>IF(B45="","",VLOOKUP(AD45,Varsayımlar!$B:$Q,7,0)*K45)</f>
        <v>1200</v>
      </c>
      <c r="Q45" s="67">
        <f>IF(B45="","",VLOOKUP(AD45,Varsayımlar!$B:$Q,8,0))</f>
        <v>25</v>
      </c>
      <c r="R45" s="67" t="str">
        <f>IF(B45="","",VLOOKUP(AD45,Varsayımlar!$B:$Q,9,0))</f>
        <v>Irak Soft</v>
      </c>
      <c r="S45" s="67">
        <f>IF(B45="","",VLOOKUP(AD45,Varsayımlar!$B:$Q,10,0))</f>
        <v>10</v>
      </c>
      <c r="T45" s="67">
        <f>IF(B45="","",VLOOKUP(AD45,Varsayımlar!$B:$Q,11,0))</f>
        <v>12</v>
      </c>
      <c r="U45" s="67">
        <f>IF(B45="","",VLOOKUP(AD45,Varsayımlar!$B:$Q,12,0))</f>
        <v>650</v>
      </c>
      <c r="V45" s="67" t="str">
        <f>IF(B45="","",VLOOKUP(AD45,Varsayımlar!$B:$Q,13,0))</f>
        <v>Yurtdışı</v>
      </c>
      <c r="W45" s="67">
        <f>IF(B45="","",VLOOKUP(AD45,Varsayımlar!$B:$Q,14,0))</f>
        <v>6</v>
      </c>
      <c r="X45" s="69">
        <v>46216</v>
      </c>
      <c r="Y45" s="69">
        <v>46400</v>
      </c>
      <c r="Z45" s="67">
        <v>26071325</v>
      </c>
      <c r="AA45" s="67" t="str">
        <f>IF(B45="","",VLOOKUP(AD45,Varsayımlar!$B:$Q,15,0))</f>
        <v>25cm Kırmızı Koli</v>
      </c>
      <c r="AB45" s="67" t="str">
        <f>IF(B45="","",VLOOKUP(AD45,Varsayımlar!$B:$Q,16,0))</f>
        <v>24-26 cm</v>
      </c>
      <c r="AC45" s="75" t="str">
        <f>IF(B45="","",VLOOKUP(Sayfa1!AD64,Varsayımlar!B:S,18,0))</f>
        <v>80x120cm -Epal+Epal</v>
      </c>
      <c r="AD45" s="57" t="str">
        <f>IF(B45="","",CONCATENATE(B45,E45))</f>
        <v>Yüksekbaş GıdaYüksekbaş 25cm 10pcs 650g</v>
      </c>
    </row>
    <row r="46" spans="1:30" ht="44.25" customHeight="1" x14ac:dyDescent="0.25">
      <c r="A46" s="8" t="s">
        <v>79</v>
      </c>
      <c r="B46" s="42" t="s">
        <v>460</v>
      </c>
      <c r="C46" s="42">
        <f>IF(B46="","",VLOOKUP(AD46,Varsayımlar!$B:$Q,3,0))</f>
        <v>8698829380698</v>
      </c>
      <c r="D46" s="42" t="s">
        <v>540</v>
      </c>
      <c r="E46" s="42" t="s">
        <v>471</v>
      </c>
      <c r="F46" s="42">
        <v>20260414</v>
      </c>
      <c r="G46" s="42" t="s">
        <v>578</v>
      </c>
      <c r="H46" s="42" t="str">
        <f>IF(B46="","",VLOOKUP(AD46,Varsayımlar!$B:$Q,5,0))</f>
        <v>Tortillove Tam Buğday 25cm</v>
      </c>
      <c r="I46" s="42">
        <f>IF(B46="","",VLOOKUP(AD46,Varsayımlar!B:T,19,0))</f>
        <v>0</v>
      </c>
      <c r="J46" s="42" t="str">
        <f>IF(B46="","",VLOOKUP(AD46,Varsayımlar!$B:$Q,6,0))</f>
        <v>Tam Buğdaylı</v>
      </c>
      <c r="K46" s="42">
        <v>500</v>
      </c>
      <c r="L46" s="42"/>
      <c r="M46" s="42">
        <f>IFERROR(IF(B46="","",K46/VLOOKUP(AD46,Varsayımlar!B:R,17,0)),"")</f>
        <v>5</v>
      </c>
      <c r="N46" s="42"/>
      <c r="O46" s="42">
        <v>7</v>
      </c>
      <c r="P46" s="42">
        <f>IF(B46="","",VLOOKUP(AD46,Varsayımlar!$B:$Q,7,0)*K46)</f>
        <v>6000</v>
      </c>
      <c r="Q46" s="42">
        <f>IF(B46="","",VLOOKUP(AD46,Varsayımlar!$B:$Q,8,0))</f>
        <v>25</v>
      </c>
      <c r="R46" s="42" t="str">
        <f>IF(B46="","",VLOOKUP(AD46,Varsayımlar!$B:$Q,9,0))</f>
        <v>Irak Soft</v>
      </c>
      <c r="S46" s="42">
        <f>IF(B46="","",VLOOKUP(AD46,Varsayımlar!$B:$Q,10,0))</f>
        <v>10</v>
      </c>
      <c r="T46" s="42">
        <f>IF(B46="","",VLOOKUP(AD46,Varsayımlar!$B:$Q,11,0))</f>
        <v>12</v>
      </c>
      <c r="U46" s="42">
        <f>IF(B46="","",VLOOKUP(AD46,Varsayımlar!$B:$Q,12,0))</f>
        <v>650</v>
      </c>
      <c r="V46" s="42" t="str">
        <f>IF(B46="","",VLOOKUP(AD46,Varsayımlar!$B:$Q,13,0))</f>
        <v>Yurtdışı</v>
      </c>
      <c r="W46" s="42">
        <f>IF(B46="","",VLOOKUP(AD46,Varsayımlar!$B:$Q,14,0))</f>
        <v>6</v>
      </c>
      <c r="X46" s="69">
        <v>46216</v>
      </c>
      <c r="Y46" s="69">
        <v>46400</v>
      </c>
      <c r="Z46" s="42" t="s">
        <v>475</v>
      </c>
      <c r="AA46" s="42" t="str">
        <f>IF(B46="","",VLOOKUP(AD46,Varsayımlar!$B:$Q,15,0))</f>
        <v>25cm Kırmızı Koli-Etiketli</v>
      </c>
      <c r="AB46" s="42" t="str">
        <f>IF(B46="","",VLOOKUP(AD46,Varsayımlar!$B:$Q,16,0))</f>
        <v>24-26 cm</v>
      </c>
      <c r="AC46" s="75" t="str">
        <f>IF(B46="","",VLOOKUP(Sayfa1!AD64,Varsayımlar!B:S,18,0))</f>
        <v>80x120cm -Epal+Epal</v>
      </c>
      <c r="AD46" s="57" t="str">
        <f>IF(B46="","",CONCATENATE(B46,E46))</f>
        <v>Yüksekbaş GıdaYüksekbaş TB 25cm 10pcs 650g</v>
      </c>
    </row>
    <row r="47" spans="1:30" ht="45.75" customHeight="1" x14ac:dyDescent="0.25">
      <c r="A47" s="8" t="s">
        <v>80</v>
      </c>
      <c r="B47" s="130" t="s">
        <v>119</v>
      </c>
      <c r="C47" s="131">
        <f>IF(B47="","",VLOOKUP(AD47,Varsayımlar!$B:$Q,3,0))</f>
        <v>8698829380698</v>
      </c>
      <c r="D47" s="131"/>
      <c r="E47" s="132" t="s">
        <v>120</v>
      </c>
      <c r="F47" s="130"/>
      <c r="G47" s="130"/>
      <c r="H47" s="130" t="str">
        <f>IF(B47="","",VLOOKUP(AD47,Varsayımlar!$B:$Q,5,0))</f>
        <v>Nimet 25 cm</v>
      </c>
      <c r="I47" s="130"/>
      <c r="J47" s="130" t="str">
        <f>IF(B47="","",VLOOKUP(AD47,Varsayımlar!$B:$Q,6,0))</f>
        <v>SADE</v>
      </c>
      <c r="K47" s="130">
        <v>4000</v>
      </c>
      <c r="L47" s="130"/>
      <c r="M47" s="130">
        <f>IFERROR(IF(B47="","",K47/VLOOKUP(AD47,Varsayımlar!B:R,17,0)),"")</f>
        <v>80</v>
      </c>
      <c r="N47" s="130"/>
      <c r="O47" s="130">
        <v>60</v>
      </c>
      <c r="P47" s="130">
        <f>IF(B47="","",VLOOKUP(AD47,Varsayımlar!$B:$Q,7,0)*K47)</f>
        <v>48000</v>
      </c>
      <c r="Q47" s="130">
        <f>IF(B47="","",VLOOKUP(AD47,Varsayımlar!$B:$Q,8,0))</f>
        <v>25</v>
      </c>
      <c r="R47" s="130" t="str">
        <f>IF(B47="","",VLOOKUP(AD47,Varsayımlar!$B:$Q,9,0))</f>
        <v>Standart</v>
      </c>
      <c r="S47" s="130">
        <f>IF(B47="","",VLOOKUP(AD47,Varsayımlar!$B:$Q,10,0))</f>
        <v>12</v>
      </c>
      <c r="T47" s="130">
        <f>IF(B47="","",VLOOKUP(AD47,Varsayımlar!$B:$Q,11,0))</f>
        <v>12</v>
      </c>
      <c r="U47" s="130">
        <f>IF(B47="","",VLOOKUP(AD47,Varsayımlar!$B:$Q,12,0))</f>
        <v>840</v>
      </c>
      <c r="V47" s="130" t="str">
        <f>IF(B47="","",VLOOKUP(AD47,Varsayımlar!$B:$Q,13,0))</f>
        <v>YURTİÇİ</v>
      </c>
      <c r="W47" s="130">
        <f>IF(B47="","",VLOOKUP(AD47,Varsayımlar!$B:$Q,14,0))</f>
        <v>5</v>
      </c>
      <c r="X47" s="133" t="s">
        <v>113</v>
      </c>
      <c r="Y47" s="133" t="s">
        <v>113</v>
      </c>
      <c r="Z47" s="130" t="s">
        <v>113</v>
      </c>
      <c r="AA47" s="130" t="str">
        <f>IF(B47="","",VLOOKUP(AD47,Varsayımlar!$B:$Q,15,0))</f>
        <v>Nimet Kolisi</v>
      </c>
      <c r="AB47" s="130" t="str">
        <f>IF(B47="","",VLOOKUP(AD47,Varsayımlar!$B:$Q,16,0))</f>
        <v>24-26 CM</v>
      </c>
      <c r="AC47" s="64" t="s">
        <v>360</v>
      </c>
      <c r="AD47" s="57" t="str">
        <f>IF(B47="","",CONCATENATE(B47,E47))</f>
        <v>A101Nimet 25cm 12 pcs 840g</v>
      </c>
    </row>
    <row r="48" spans="1:30" ht="36" customHeight="1" x14ac:dyDescent="0.25">
      <c r="A48" s="8" t="s">
        <v>81</v>
      </c>
      <c r="B48" s="149" t="s">
        <v>500</v>
      </c>
      <c r="C48" s="149">
        <f>IF(B48="","",VLOOKUP(AD48,Varsayımlar!$B:$Q,3,0))</f>
        <v>8698829380698</v>
      </c>
      <c r="D48" s="149"/>
      <c r="E48" s="149" t="s">
        <v>193</v>
      </c>
      <c r="F48" s="149">
        <v>26062201</v>
      </c>
      <c r="G48" s="149"/>
      <c r="H48" s="149" t="str">
        <f>IF(B48="","",VLOOKUP(AD48,Varsayımlar!$B:$Q,5,0))</f>
        <v>Tortillas 25cm</v>
      </c>
      <c r="I48" s="149">
        <f>IF(B48="","",VLOOKUP(AD48,Varsayımlar!B:T,19,0))</f>
        <v>0</v>
      </c>
      <c r="J48" s="149" t="str">
        <f>IF(B48="","",VLOOKUP(AD48,Varsayımlar!$B:$Q,6,0))</f>
        <v>Sade</v>
      </c>
      <c r="K48" s="149">
        <v>50</v>
      </c>
      <c r="L48" s="149"/>
      <c r="M48" s="149">
        <f>IFERROR(IF(B48="","",K48/VLOOKUP(AD48,Varsayımlar!B:R,17,0)),"")</f>
        <v>1</v>
      </c>
      <c r="N48" s="149"/>
      <c r="O48" s="149">
        <v>1</v>
      </c>
      <c r="P48" s="149">
        <f>IF(B48="","",VLOOKUP(AD48,Varsayımlar!$B:$Q,7,0)*K48)</f>
        <v>600</v>
      </c>
      <c r="Q48" s="149">
        <f>IF(B48="","",VLOOKUP(AD48,Varsayımlar!$B:$Q,8,0))</f>
        <v>25</v>
      </c>
      <c r="R48" s="149" t="str">
        <f>IF(B48="","",VLOOKUP(AD48,Varsayımlar!$B:$Q,9,0))</f>
        <v>Irak Soft</v>
      </c>
      <c r="S48" s="149">
        <f>IF(B48="","",VLOOKUP(AD48,Varsayımlar!$B:$Q,10,0))</f>
        <v>10</v>
      </c>
      <c r="T48" s="149">
        <f>IF(B48="","",VLOOKUP(AD48,Varsayımlar!$B:$Q,11,0))</f>
        <v>12</v>
      </c>
      <c r="U48" s="149">
        <f>IF(B48="","",VLOOKUP(AD48,Varsayımlar!$B:$Q,12,0))</f>
        <v>650</v>
      </c>
      <c r="V48" s="149" t="str">
        <f>IF(B48="","",VLOOKUP(AD48,Varsayımlar!$B:$Q,13,0))</f>
        <v>Yurtdışı</v>
      </c>
      <c r="W48" s="149">
        <f>IF(B48="","",VLOOKUP(AD48,Varsayımlar!$B:$Q,14,0))</f>
        <v>12</v>
      </c>
      <c r="X48" s="151">
        <v>46231</v>
      </c>
      <c r="Y48" s="151">
        <v>46596</v>
      </c>
      <c r="Z48" s="149">
        <v>26072825</v>
      </c>
      <c r="AA48" s="149" t="str">
        <f>IF(B48="","",VLOOKUP(AD48,Varsayımlar!$B:$Q,15,0))</f>
        <v>25cm Kolisi</v>
      </c>
      <c r="AB48" s="149" t="str">
        <f>IF(B48="","",VLOOKUP(AD48,Varsayımlar!$B:$Q,16,0))</f>
        <v>24-26cm</v>
      </c>
      <c r="AC48" s="67"/>
      <c r="AD48" s="57" t="str">
        <f t="shared" ref="AD48:AD52" si="6">IF(B48="","",CONCATENATE(B48,E48))</f>
        <v>Fama GroupTortillas 25cm 10pcs 650g</v>
      </c>
    </row>
    <row r="49" spans="1:30" ht="33.75" customHeight="1" x14ac:dyDescent="0.25">
      <c r="A49" s="8" t="s">
        <v>82</v>
      </c>
      <c r="B49" s="67" t="s">
        <v>460</v>
      </c>
      <c r="C49" s="42">
        <f>IF(B49="","",VLOOKUP(AD49,Varsayımlar!$B:$Q,3,0))</f>
        <v>8698829380698</v>
      </c>
      <c r="D49" s="67" t="s">
        <v>539</v>
      </c>
      <c r="E49" s="67" t="s">
        <v>468</v>
      </c>
      <c r="F49" s="67">
        <v>20260626</v>
      </c>
      <c r="G49" s="67" t="s">
        <v>578</v>
      </c>
      <c r="H49" s="67" t="str">
        <f>IF(B49="","",VLOOKUP(AD49,Varsayımlar!$B:$Q,5,0))</f>
        <v>Tortillove 25cm</v>
      </c>
      <c r="I49" s="67">
        <f>IF(B49="","",VLOOKUP(AD49,Varsayımlar!B:T,19,0))</f>
        <v>0</v>
      </c>
      <c r="J49" s="67" t="str">
        <f>IF(B49="","",VLOOKUP(AD49,Varsayımlar!$B:$Q,6,0))</f>
        <v>SADE</v>
      </c>
      <c r="K49" s="67">
        <v>100</v>
      </c>
      <c r="L49" s="67"/>
      <c r="M49" s="67">
        <f>IFERROR(IF(B49="","",K49/VLOOKUP(AD49,Varsayımlar!B:R,17,0)),"")</f>
        <v>1</v>
      </c>
      <c r="N49" s="67"/>
      <c r="O49" s="67">
        <v>2</v>
      </c>
      <c r="P49" s="67">
        <f>IF(B49="","",VLOOKUP(AD49,Varsayımlar!$B:$Q,7,0)*K49)</f>
        <v>1200</v>
      </c>
      <c r="Q49" s="67">
        <f>IF(B49="","",VLOOKUP(AD49,Varsayımlar!$B:$Q,8,0))</f>
        <v>25</v>
      </c>
      <c r="R49" s="67" t="str">
        <f>IF(B49="","",VLOOKUP(AD49,Varsayımlar!$B:$Q,9,0))</f>
        <v>Irak Soft</v>
      </c>
      <c r="S49" s="67">
        <f>IF(B49="","",VLOOKUP(AD49,Varsayımlar!$B:$Q,10,0))</f>
        <v>10</v>
      </c>
      <c r="T49" s="67">
        <f>IF(B49="","",VLOOKUP(AD49,Varsayımlar!$B:$Q,11,0))</f>
        <v>12</v>
      </c>
      <c r="U49" s="67">
        <f>IF(B49="","",VLOOKUP(AD49,Varsayımlar!$B:$Q,12,0))</f>
        <v>650</v>
      </c>
      <c r="V49" s="67" t="str">
        <f>IF(B49="","",VLOOKUP(AD49,Varsayımlar!$B:$Q,13,0))</f>
        <v>Yurtdışı</v>
      </c>
      <c r="W49" s="67">
        <f>IF(B49="","",VLOOKUP(AD49,Varsayımlar!$B:$Q,14,0))</f>
        <v>6</v>
      </c>
      <c r="X49" s="69"/>
      <c r="Y49" s="69"/>
      <c r="Z49" s="67"/>
      <c r="AA49" s="67" t="str">
        <f>IF(B49="","",VLOOKUP(AD49,Varsayımlar!$B:$Q,15,0))</f>
        <v>25cm Kırmızı Koli</v>
      </c>
      <c r="AB49" s="67" t="str">
        <f>IF(B49="","",VLOOKUP(AD49,Varsayımlar!$B:$Q,16,0))</f>
        <v>24-26 cm</v>
      </c>
      <c r="AC49" s="75">
        <f>IF(B49="","",VLOOKUP(Sayfa1!AD69,Varsayımlar!B:S,18,0))</f>
        <v>0</v>
      </c>
      <c r="AD49" s="57" t="str">
        <f t="shared" si="6"/>
        <v>Yüksekbaş GıdaYüksekbaş 25cm 10pcs 650g</v>
      </c>
    </row>
    <row r="50" spans="1:30" ht="31.5" x14ac:dyDescent="0.25">
      <c r="A50" s="8" t="s">
        <v>83</v>
      </c>
      <c r="B50" s="42" t="s">
        <v>460</v>
      </c>
      <c r="C50" s="42">
        <f>IF(B50="","",VLOOKUP(AD50,Varsayımlar!$B:$Q,3,0))</f>
        <v>8698829380698</v>
      </c>
      <c r="D50" s="42" t="s">
        <v>539</v>
      </c>
      <c r="E50" s="42" t="s">
        <v>471</v>
      </c>
      <c r="F50" s="42">
        <v>20260626</v>
      </c>
      <c r="G50" s="42" t="s">
        <v>578</v>
      </c>
      <c r="H50" s="42" t="str">
        <f>IF(B50="","",VLOOKUP(AD50,Varsayımlar!$B:$Q,5,0))</f>
        <v>Tortillove Tam Buğday 25cm</v>
      </c>
      <c r="I50" s="42">
        <f>IF(B50="","",VLOOKUP(AD50,Varsayımlar!B:T,19,0))</f>
        <v>0</v>
      </c>
      <c r="J50" s="42" t="str">
        <f>IF(B50="","",VLOOKUP(AD50,Varsayımlar!$B:$Q,6,0))</f>
        <v>Tam Buğdaylı</v>
      </c>
      <c r="K50" s="42">
        <v>500</v>
      </c>
      <c r="L50" s="42"/>
      <c r="M50" s="42">
        <f>IFERROR(IF(B50="","",K50/VLOOKUP(AD50,Varsayımlar!B:R,17,0)),"")</f>
        <v>5</v>
      </c>
      <c r="N50" s="42"/>
      <c r="O50" s="42">
        <v>7</v>
      </c>
      <c r="P50" s="42">
        <f>IF(B50="","",VLOOKUP(AD50,Varsayımlar!$B:$Q,7,0)*K50)</f>
        <v>6000</v>
      </c>
      <c r="Q50" s="42">
        <f>IF(B50="","",VLOOKUP(AD50,Varsayımlar!$B:$Q,8,0))</f>
        <v>25</v>
      </c>
      <c r="R50" s="42" t="str">
        <f>IF(B50="","",VLOOKUP(AD50,Varsayımlar!$B:$Q,9,0))</f>
        <v>Irak Soft</v>
      </c>
      <c r="S50" s="42">
        <f>IF(B50="","",VLOOKUP(AD50,Varsayımlar!$B:$Q,10,0))</f>
        <v>10</v>
      </c>
      <c r="T50" s="42">
        <f>IF(B50="","",VLOOKUP(AD50,Varsayımlar!$B:$Q,11,0))</f>
        <v>12</v>
      </c>
      <c r="U50" s="42">
        <f>IF(B50="","",VLOOKUP(AD50,Varsayımlar!$B:$Q,12,0))</f>
        <v>650</v>
      </c>
      <c r="V50" s="42" t="str">
        <f>IF(B50="","",VLOOKUP(AD50,Varsayımlar!$B:$Q,13,0))</f>
        <v>Yurtdışı</v>
      </c>
      <c r="W50" s="42">
        <f>IF(B50="","",VLOOKUP(AD50,Varsayımlar!$B:$Q,14,0))</f>
        <v>6</v>
      </c>
      <c r="X50" s="69"/>
      <c r="Y50" s="69"/>
      <c r="Z50" s="42"/>
      <c r="AA50" s="42" t="str">
        <f>IF(B50="","",VLOOKUP(AD50,Varsayımlar!$B:$Q,15,0))</f>
        <v>25cm Kırmızı Koli-Etiketli</v>
      </c>
      <c r="AB50" s="42" t="str">
        <f>IF(B50="","",VLOOKUP(AD50,Varsayımlar!$B:$Q,16,0))</f>
        <v>24-26 cm</v>
      </c>
      <c r="AC50" s="75">
        <f>IF(B50="","",VLOOKUP(Sayfa1!AD69,Varsayımlar!B:S,18,0))</f>
        <v>0</v>
      </c>
      <c r="AD50" s="57" t="str">
        <f t="shared" si="6"/>
        <v>Yüksekbaş GıdaYüksekbaş TB 25cm 10pcs 650g</v>
      </c>
    </row>
    <row r="51" spans="1:30" ht="49.5" customHeight="1" x14ac:dyDescent="0.25">
      <c r="A51" s="8" t="s">
        <v>84</v>
      </c>
      <c r="B51" s="152" t="s">
        <v>571</v>
      </c>
      <c r="C51" s="153">
        <f>IF(B51="","",VLOOKUP(AD51,Varsayımlar!$B:$Q,3,0))</f>
        <v>8698829380698</v>
      </c>
      <c r="D51" s="154"/>
      <c r="E51" s="154" t="s">
        <v>574</v>
      </c>
      <c r="F51" s="152">
        <v>20260701</v>
      </c>
      <c r="G51" s="152" t="s">
        <v>578</v>
      </c>
      <c r="H51" s="152" t="str">
        <f>IF(B51="","",VLOOKUP(AD51,Varsayımlar!$B:$Q,5,0))</f>
        <v>Tortillas 25cm</v>
      </c>
      <c r="I51" s="152" t="str">
        <f>IF(B51="","",VLOOKUP(AD51,Varsayımlar!B:T,19,0))</f>
        <v>Azerice Etiketli</v>
      </c>
      <c r="J51" s="152" t="str">
        <f>IF(B51="","",VLOOKUP(AD51,Varsayımlar!$B:$Q,6,0))</f>
        <v>Sade</v>
      </c>
      <c r="K51" s="152">
        <v>80</v>
      </c>
      <c r="L51" s="152"/>
      <c r="M51" s="152">
        <f>IFERROR(IF(B51="","",K51/VLOOKUP(AD51,Varsayımlar!B:R,17,0)),"")</f>
        <v>1</v>
      </c>
      <c r="N51" s="152"/>
      <c r="O51" s="152">
        <v>1</v>
      </c>
      <c r="P51" s="152">
        <f>IF(B51="","",VLOOKUP(AD51,Varsayımlar!$B:$Q,7,0)*K51)</f>
        <v>480</v>
      </c>
      <c r="Q51" s="152">
        <f>IF(B51="","",VLOOKUP(AD51,Varsayımlar!$B:$Q,8,0))</f>
        <v>25</v>
      </c>
      <c r="R51" s="152" t="str">
        <f>IF(B51="","",VLOOKUP(AD51,Varsayımlar!$B:$Q,9,0))</f>
        <v>Irak soft</v>
      </c>
      <c r="S51" s="152">
        <f>IF(B51="","",VLOOKUP(AD51,Varsayımlar!$B:$Q,10,0))</f>
        <v>18</v>
      </c>
      <c r="T51" s="152">
        <f>IF(B51="","",VLOOKUP(AD51,Varsayımlar!$B:$Q,11,0))</f>
        <v>6</v>
      </c>
      <c r="U51" s="152">
        <f>IF(B51="","",VLOOKUP(AD51,Varsayımlar!$B:$Q,12,0))</f>
        <v>1170</v>
      </c>
      <c r="V51" s="152" t="str">
        <f>IF(B51="","",VLOOKUP(AD51,Varsayımlar!$B:$Q,13,0))</f>
        <v>Yurtdışı</v>
      </c>
      <c r="W51" s="152">
        <f>IF(B51="","",VLOOKUP(AD51,Varsayımlar!$B:$Q,14,0))</f>
        <v>9</v>
      </c>
      <c r="X51" s="155"/>
      <c r="Y51" s="155"/>
      <c r="Z51" s="152"/>
      <c r="AA51" s="152" t="str">
        <f>IF(B51="","",VLOOKUP(AD51,Varsayımlar!$B:$Q,15,0))</f>
        <v>25cm Kolisi</v>
      </c>
      <c r="AB51" s="152" t="str">
        <f>IF(B51="","",VLOOKUP(AD51,Varsayımlar!$B:$Q,16,0))</f>
        <v>24-26cm</v>
      </c>
      <c r="AC51" s="8" t="e">
        <f>IF(B51="","",VLOOKUP(#REF!,#REF!,18,0))</f>
        <v>#REF!</v>
      </c>
      <c r="AD51" s="8" t="str">
        <f t="shared" si="6"/>
        <v>HRC TradeTortillas 25cm 18pcs 1170g</v>
      </c>
    </row>
    <row r="52" spans="1:30" ht="51" customHeight="1" x14ac:dyDescent="0.25">
      <c r="A52" s="8" t="s">
        <v>92</v>
      </c>
      <c r="B52" s="160" t="s">
        <v>579</v>
      </c>
      <c r="C52" s="161">
        <f>IF(B52="","",VLOOKUP(AD52,Varsayımlar!$B:$Q,3,0))</f>
        <v>8698829380698</v>
      </c>
      <c r="D52" s="160"/>
      <c r="E52" s="160" t="s">
        <v>193</v>
      </c>
      <c r="F52" s="160">
        <v>20260701</v>
      </c>
      <c r="G52" s="160" t="s">
        <v>578</v>
      </c>
      <c r="H52" s="160" t="str">
        <f>IF(B52="","",VLOOKUP(AD52,Varsayımlar!$B:$Q,5,0))</f>
        <v>Tortillas 25cm</v>
      </c>
      <c r="I52" s="160" t="str">
        <f>IF(B52="","",VLOOKUP(AD52,Varsayımlar!B:T,19,0))</f>
        <v>Arka Kısma Bosnaca içerik Etiketli</v>
      </c>
      <c r="J52" s="160" t="str">
        <f>IF(B52="","",VLOOKUP(AD52,Varsayımlar!$B:$Q,6,0))</f>
        <v>Sade</v>
      </c>
      <c r="K52" s="160">
        <v>400</v>
      </c>
      <c r="L52" s="160"/>
      <c r="M52" s="160">
        <f>IFERROR(IF(B52="","",K52/VLOOKUP(AD52,Varsayımlar!B:R,17,0)),"")</f>
        <v>4</v>
      </c>
      <c r="N52" s="160"/>
      <c r="O52" s="160">
        <v>7</v>
      </c>
      <c r="P52" s="160">
        <f>IF(B52="","",VLOOKUP(AD52,Varsayımlar!$B:$Q,7,0)*K52)</f>
        <v>4800</v>
      </c>
      <c r="Q52" s="160">
        <f>IF(B52="","",VLOOKUP(AD52,Varsayımlar!$B:$Q,8,0))</f>
        <v>25</v>
      </c>
      <c r="R52" s="160" t="str">
        <f>IF(B52="","",VLOOKUP(AD52,Varsayımlar!$B:$Q,9,0))</f>
        <v>Irak soft</v>
      </c>
      <c r="S52" s="160">
        <f>IF(B52="","",VLOOKUP(AD52,Varsayımlar!$B:$Q,10,0))</f>
        <v>10</v>
      </c>
      <c r="T52" s="160">
        <f>IF(B52="","",VLOOKUP(AD52,Varsayımlar!$B:$Q,11,0))</f>
        <v>12</v>
      </c>
      <c r="U52" s="160">
        <f>IF(B52="","",VLOOKUP(AD52,Varsayımlar!$B:$Q,12,0))</f>
        <v>650</v>
      </c>
      <c r="V52" s="160" t="str">
        <f>IF(B52="","",VLOOKUP(AD52,Varsayımlar!$B:$Q,13,0))</f>
        <v>Yurtdışı</v>
      </c>
      <c r="W52" s="160">
        <f>IF(B52="","",VLOOKUP(AD52,Varsayımlar!$B:$Q,14,0))</f>
        <v>6</v>
      </c>
      <c r="X52" s="160"/>
      <c r="Y52" s="160"/>
      <c r="Z52" s="160"/>
      <c r="AA52" s="160" t="str">
        <f>IF(B52="","",VLOOKUP(AD52,Varsayımlar!$B:$Q,15,0))</f>
        <v>25cm Kolisi</v>
      </c>
      <c r="AB52" s="160" t="str">
        <f>IF(B52="","",VLOOKUP(AD52,Varsayımlar!$B:$Q,16,0))</f>
        <v>24-26cm</v>
      </c>
      <c r="AC52" s="75" t="e">
        <f>IF(B52="","",VLOOKUP(Sayfa1!AD111,Varsayımlar!B:S,18,0))</f>
        <v>#N/A</v>
      </c>
      <c r="AD52" s="57" t="str">
        <f t="shared" si="6"/>
        <v>BelamionixTortillas 25cm 10pcs 650g</v>
      </c>
    </row>
    <row r="53" spans="1:30" ht="36" customHeight="1" x14ac:dyDescent="0.25">
      <c r="A53" s="8" t="s">
        <v>85</v>
      </c>
      <c r="B53" s="67"/>
      <c r="C53" s="42" t="str">
        <f>IF(B53="","",VLOOKUP(AD53,#REF!,3,0))</f>
        <v/>
      </c>
      <c r="D53" s="42"/>
      <c r="E53" s="42"/>
      <c r="F53" s="67"/>
      <c r="G53" s="67"/>
      <c r="H53" s="67" t="str">
        <f>IF(B53="","",VLOOKUP(AD53,#REF!,5,0))</f>
        <v/>
      </c>
      <c r="I53" s="67" t="str">
        <f>IF(B53="","",VLOOKUP(AD53,#REF!,19,0))</f>
        <v/>
      </c>
      <c r="J53" s="67" t="str">
        <f>IF(B53="","",VLOOKUP(AD53,#REF!,6,0))</f>
        <v/>
      </c>
      <c r="K53" s="67"/>
      <c r="L53" s="67"/>
      <c r="M53" s="42" t="str">
        <f>IFERROR(IF(B53="","",K53/VLOOKUP(AD53,Varsayımlar!B:R,17,0)),"")</f>
        <v/>
      </c>
      <c r="N53" s="67"/>
      <c r="O53" s="67"/>
      <c r="P53" s="67" t="str">
        <f>IF(B53="","",VLOOKUP(AD53,#REF!,7,0)*K53)</f>
        <v/>
      </c>
      <c r="Q53" s="67" t="str">
        <f>IF(B53="","",VLOOKUP(AD53,#REF!,8,0))</f>
        <v/>
      </c>
      <c r="R53" s="67" t="str">
        <f>IF(B53="","",VLOOKUP(AD53,#REF!,9,0))</f>
        <v/>
      </c>
      <c r="S53" s="67" t="str">
        <f>IF(B53="","",VLOOKUP(AD53,#REF!,10,0))</f>
        <v/>
      </c>
      <c r="T53" s="67" t="str">
        <f>IF(B53="","",VLOOKUP(AD53,#REF!,11,0))</f>
        <v/>
      </c>
      <c r="U53" s="67" t="str">
        <f>IF(B53="","",VLOOKUP(AD53,#REF!,12,0))</f>
        <v/>
      </c>
      <c r="V53" s="67" t="str">
        <f>IF(B53="","",VLOOKUP(AD53,#REF!,13,0))</f>
        <v/>
      </c>
      <c r="W53" s="67" t="str">
        <f>IF(B53="","",VLOOKUP(AD53,#REF!,14,0))</f>
        <v/>
      </c>
      <c r="X53" s="69"/>
      <c r="Y53" s="69"/>
      <c r="Z53" s="67"/>
      <c r="AA53" s="67" t="str">
        <f>IF(B53="","",VLOOKUP(AD53,#REF!,15,0))</f>
        <v/>
      </c>
      <c r="AB53" s="67" t="str">
        <f>IF(B53="","",VLOOKUP(AD53,#REF!,16,0))</f>
        <v/>
      </c>
      <c r="AC53" s="145"/>
      <c r="AD53" s="57"/>
    </row>
    <row r="54" spans="1:30" ht="36" customHeight="1" x14ac:dyDescent="0.25">
      <c r="A54" s="8" t="s">
        <v>86</v>
      </c>
      <c r="B54" s="67"/>
      <c r="C54" s="42" t="str">
        <f>IF(B54="","",VLOOKUP(AD54,#REF!,3,0))</f>
        <v/>
      </c>
      <c r="D54" s="42"/>
      <c r="E54" s="42"/>
      <c r="F54" s="67"/>
      <c r="G54" s="67"/>
      <c r="H54" s="67" t="str">
        <f>IF(B54="","",VLOOKUP(AD54,#REF!,5,0))</f>
        <v/>
      </c>
      <c r="I54" s="67" t="str">
        <f>IF(B54="","",VLOOKUP(AD54,#REF!,19,0))</f>
        <v/>
      </c>
      <c r="J54" s="67" t="str">
        <f>IF(B54="","",VLOOKUP(AD54,#REF!,6,0))</f>
        <v/>
      </c>
      <c r="K54" s="67"/>
      <c r="L54" s="67"/>
      <c r="M54" s="42" t="str">
        <f>IFERROR(IF(B54="","",K54/VLOOKUP(AD54,Varsayımlar!B:R,17,0)),"")</f>
        <v/>
      </c>
      <c r="N54" s="67"/>
      <c r="O54" s="67"/>
      <c r="P54" s="67" t="str">
        <f>IF(B54="","",VLOOKUP(AD54,#REF!,7,0)*K54)</f>
        <v/>
      </c>
      <c r="Q54" s="67" t="str">
        <f>IF(B54="","",VLOOKUP(AD54,#REF!,8,0))</f>
        <v/>
      </c>
      <c r="R54" s="67" t="str">
        <f>IF(B54="","",VLOOKUP(AD54,#REF!,9,0))</f>
        <v/>
      </c>
      <c r="S54" s="67" t="str">
        <f>IF(B54="","",VLOOKUP(AD54,#REF!,10,0))</f>
        <v/>
      </c>
      <c r="T54" s="67" t="str">
        <f>IF(B54="","",VLOOKUP(AD54,#REF!,11,0))</f>
        <v/>
      </c>
      <c r="U54" s="67" t="str">
        <f>IF(B54="","",VLOOKUP(AD54,#REF!,12,0))</f>
        <v/>
      </c>
      <c r="V54" s="67" t="str">
        <f>IF(B54="","",VLOOKUP(AD54,#REF!,13,0))</f>
        <v/>
      </c>
      <c r="W54" s="67" t="str">
        <f>IF(B54="","",VLOOKUP(AD54,#REF!,14,0))</f>
        <v/>
      </c>
      <c r="X54" s="69"/>
      <c r="Y54" s="69"/>
      <c r="Z54" s="67"/>
      <c r="AA54" s="67" t="str">
        <f>IF(B54="","",VLOOKUP(AD54,#REF!,15,0))</f>
        <v/>
      </c>
      <c r="AB54" s="67" t="str">
        <f>IF(B54="","",VLOOKUP(AD54,#REF!,16,0))</f>
        <v/>
      </c>
      <c r="AC54" s="145"/>
      <c r="AD54" s="57"/>
    </row>
    <row r="55" spans="1:30" ht="36" customHeight="1" x14ac:dyDescent="0.25">
      <c r="A55" s="8" t="s">
        <v>87</v>
      </c>
      <c r="B55" s="67"/>
      <c r="C55" s="42" t="str">
        <f>IF(B55="","",VLOOKUP(AD55,#REF!,3,0))</f>
        <v/>
      </c>
      <c r="D55" s="42"/>
      <c r="E55" s="42"/>
      <c r="F55" s="67"/>
      <c r="G55" s="67"/>
      <c r="H55" s="67" t="str">
        <f>IF(B55="","",VLOOKUP(AD55,#REF!,5,0))</f>
        <v/>
      </c>
      <c r="I55" s="67" t="str">
        <f>IF(B55="","",VLOOKUP(AD55,#REF!,19,0))</f>
        <v/>
      </c>
      <c r="J55" s="67" t="str">
        <f>IF(B55="","",VLOOKUP(AD55,#REF!,6,0))</f>
        <v/>
      </c>
      <c r="K55" s="67"/>
      <c r="L55" s="67"/>
      <c r="M55" s="42" t="str">
        <f>IFERROR(IF(B55="","",K55/VLOOKUP(AD55,Varsayımlar!B:R,17,0)),"")</f>
        <v/>
      </c>
      <c r="N55" s="67"/>
      <c r="O55" s="67"/>
      <c r="P55" s="67" t="str">
        <f>IF(B55="","",VLOOKUP(AD55,#REF!,7,0)*K55)</f>
        <v/>
      </c>
      <c r="Q55" s="67" t="str">
        <f>IF(B55="","",VLOOKUP(AD55,#REF!,8,0))</f>
        <v/>
      </c>
      <c r="R55" s="67" t="str">
        <f>IF(B55="","",VLOOKUP(AD55,#REF!,9,0))</f>
        <v/>
      </c>
      <c r="S55" s="67" t="str">
        <f>IF(B55="","",VLOOKUP(AD55,#REF!,10,0))</f>
        <v/>
      </c>
      <c r="T55" s="67" t="str">
        <f>IF(B55="","",VLOOKUP(AD55,#REF!,11,0))</f>
        <v/>
      </c>
      <c r="U55" s="67" t="str">
        <f>IF(B55="","",VLOOKUP(AD55,#REF!,12,0))</f>
        <v/>
      </c>
      <c r="V55" s="67" t="str">
        <f>IF(B55="","",VLOOKUP(AD55,#REF!,13,0))</f>
        <v/>
      </c>
      <c r="W55" s="67" t="str">
        <f>IF(B55="","",VLOOKUP(AD55,#REF!,14,0))</f>
        <v/>
      </c>
      <c r="X55" s="69"/>
      <c r="Y55" s="69"/>
      <c r="Z55" s="67"/>
      <c r="AA55" s="67" t="str">
        <f>IF(B55="","",VLOOKUP(AD55,#REF!,15,0))</f>
        <v/>
      </c>
      <c r="AB55" s="67" t="str">
        <f>IF(B55="","",VLOOKUP(AD55,#REF!,16,0))</f>
        <v/>
      </c>
      <c r="AC55" s="145"/>
      <c r="AD55" s="57"/>
    </row>
    <row r="56" spans="1:30" x14ac:dyDescent="0.25">
      <c r="C56" s="141" t="str">
        <f>IF(B56="","",VLOOKUP(AD56,Varsayımlar!$B:$Q,3,0))</f>
        <v/>
      </c>
      <c r="H56" s="140" t="str">
        <f>IF(B56="","",VLOOKUP(AD56,Varsayımlar!$B:$Q,5,0))</f>
        <v/>
      </c>
      <c r="J56" s="140" t="str">
        <f>IF(B56="","",VLOOKUP(AD56,Varsayımlar!$B:$Q,6,0))</f>
        <v/>
      </c>
      <c r="P56" s="140" t="str">
        <f>IF(B56="","",VLOOKUP(AD56,Varsayımlar!$B:$Q,7,0)*K56)</f>
        <v/>
      </c>
      <c r="Q56" s="140" t="str">
        <f>IF(B56="","",VLOOKUP(AD56,Varsayımlar!$B:$Q,8,0))</f>
        <v/>
      </c>
      <c r="R56" s="140" t="str">
        <f>IF(B56="","",VLOOKUP(AD56,Varsayımlar!$B:$Q,9,0))</f>
        <v/>
      </c>
      <c r="S56" s="140" t="str">
        <f>IF(B56="","",VLOOKUP(AD56,Varsayımlar!$B:$Q,10,0))</f>
        <v/>
      </c>
      <c r="T56" s="140" t="str">
        <f>IF(B56="","",VLOOKUP(AD56,Varsayımlar!$B:$Q,11,0))</f>
        <v/>
      </c>
      <c r="U56" s="140" t="str">
        <f>IF(B56="","",VLOOKUP(AD56,Varsayımlar!$B:$Q,12,0))</f>
        <v/>
      </c>
      <c r="V56" s="140" t="str">
        <f>IF(B56="","",VLOOKUP(AD56,Varsayımlar!$B:$Q,13,0))</f>
        <v/>
      </c>
      <c r="W56" s="140" t="str">
        <f>IF(B56="","",VLOOKUP(AD56,Varsayımlar!$B:$Q,14,0))</f>
        <v/>
      </c>
      <c r="AA56" s="140" t="str">
        <f>IF(B56="","",VLOOKUP(AD56,Varsayımlar!$B:$Q,15,0))</f>
        <v/>
      </c>
      <c r="AB56" s="140" t="str">
        <f>IF(B56="","",VLOOKUP(AD56,Varsayımlar!$B:$Q,16,0))</f>
        <v/>
      </c>
      <c r="AD56" s="140" t="str">
        <f>IF(B56="","",CONCATENATE(B56,E56))</f>
        <v/>
      </c>
    </row>
    <row r="57" spans="1:30" ht="31.5" customHeight="1" x14ac:dyDescent="0.25">
      <c r="A57" s="182" t="s">
        <v>345</v>
      </c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4"/>
      <c r="AC57" s="38"/>
    </row>
    <row r="58" spans="1:30" ht="63" x14ac:dyDescent="0.25">
      <c r="A58" s="8" t="s">
        <v>0</v>
      </c>
      <c r="B58" s="8" t="s">
        <v>1</v>
      </c>
      <c r="C58" s="9" t="s">
        <v>31</v>
      </c>
      <c r="D58" s="9" t="s">
        <v>124</v>
      </c>
      <c r="E58" s="9" t="s">
        <v>36</v>
      </c>
      <c r="F58" s="8" t="s">
        <v>37</v>
      </c>
      <c r="G58" s="8" t="s">
        <v>13</v>
      </c>
      <c r="H58" s="8" t="s">
        <v>2</v>
      </c>
      <c r="I58" s="8" t="s">
        <v>49</v>
      </c>
      <c r="J58" s="8" t="s">
        <v>3</v>
      </c>
      <c r="K58" s="8" t="s">
        <v>21</v>
      </c>
      <c r="L58" s="8" t="s">
        <v>94</v>
      </c>
      <c r="M58" s="8" t="s">
        <v>20</v>
      </c>
      <c r="N58" s="8" t="s">
        <v>165</v>
      </c>
      <c r="O58" s="8" t="s">
        <v>123</v>
      </c>
      <c r="P58" s="8" t="s">
        <v>16</v>
      </c>
      <c r="Q58" s="8" t="s">
        <v>4</v>
      </c>
      <c r="R58" s="8" t="s">
        <v>5</v>
      </c>
      <c r="S58" s="8" t="s">
        <v>6</v>
      </c>
      <c r="T58" s="8" t="s">
        <v>28</v>
      </c>
      <c r="U58" s="8" t="s">
        <v>7</v>
      </c>
      <c r="V58" s="8" t="s">
        <v>8</v>
      </c>
      <c r="W58" s="8" t="s">
        <v>9</v>
      </c>
      <c r="X58" s="8" t="s">
        <v>10</v>
      </c>
      <c r="Y58" s="8" t="s">
        <v>11</v>
      </c>
      <c r="Z58" s="8" t="s">
        <v>12</v>
      </c>
      <c r="AA58" s="8" t="s">
        <v>14</v>
      </c>
      <c r="AB58" s="8" t="s">
        <v>15</v>
      </c>
      <c r="AC58" s="8" t="s">
        <v>208</v>
      </c>
      <c r="AD58" s="140" t="s">
        <v>41</v>
      </c>
    </row>
    <row r="59" spans="1:30" ht="47.25" x14ac:dyDescent="0.25">
      <c r="A59" s="8" t="s">
        <v>26</v>
      </c>
      <c r="B59" s="130" t="s">
        <v>119</v>
      </c>
      <c r="C59" s="130">
        <f>IF(B59="","",VLOOKUP(AD59,Varsayımlar!$B:$Q,3,0))</f>
        <v>8698829380698</v>
      </c>
      <c r="D59" s="130"/>
      <c r="E59" s="130" t="s">
        <v>120</v>
      </c>
      <c r="F59" s="130"/>
      <c r="G59" s="130"/>
      <c r="H59" s="130" t="str">
        <f>IF(B59="","",VLOOKUP(AD59,Varsayımlar!$B:$Q,5,0))</f>
        <v>Nimet 25 cm</v>
      </c>
      <c r="I59" s="130"/>
      <c r="J59" s="130" t="str">
        <f>IF(B59="","",VLOOKUP(AD59,Varsayımlar!$B:$Q,6,0))</f>
        <v>SADE</v>
      </c>
      <c r="K59" s="130">
        <v>4000</v>
      </c>
      <c r="L59" s="130"/>
      <c r="M59" s="130">
        <f>IFERROR(IF(B59="","",K59/VLOOKUP(AD59,Varsayımlar!B:R,17,0)),"")</f>
        <v>80</v>
      </c>
      <c r="N59" s="130"/>
      <c r="O59" s="130">
        <v>60</v>
      </c>
      <c r="P59" s="130">
        <f>IF(B59="","",VLOOKUP(AD59,Varsayımlar!$B:$Q,7,0)*K59)</f>
        <v>48000</v>
      </c>
      <c r="Q59" s="130">
        <f>IF(B59="","",VLOOKUP(AD59,Varsayımlar!$B:$Q,8,0))</f>
        <v>25</v>
      </c>
      <c r="R59" s="130" t="str">
        <f>IF(B59="","",VLOOKUP(AD59,Varsayımlar!$B:$Q,9,0))</f>
        <v>Standart</v>
      </c>
      <c r="S59" s="130">
        <f>IF(B59="","",VLOOKUP(AD59,Varsayımlar!$B:$Q,10,0))</f>
        <v>12</v>
      </c>
      <c r="T59" s="130">
        <f>IF(B59="","",VLOOKUP(AD59,Varsayımlar!$B:$Q,11,0))</f>
        <v>12</v>
      </c>
      <c r="U59" s="130">
        <f>IF(B59="","",VLOOKUP(AD59,Varsayımlar!$B:$Q,12,0))</f>
        <v>840</v>
      </c>
      <c r="V59" s="130" t="str">
        <f>IF(B59="","",VLOOKUP(AD59,Varsayımlar!$B:$Q,13,0))</f>
        <v>YURTİÇİ</v>
      </c>
      <c r="W59" s="130">
        <f>IF(B59="","",VLOOKUP(AD59,Varsayımlar!$B:$Q,14,0))</f>
        <v>5</v>
      </c>
      <c r="X59" s="130" t="s">
        <v>113</v>
      </c>
      <c r="Y59" s="130" t="s">
        <v>113</v>
      </c>
      <c r="Z59" s="130" t="s">
        <v>113</v>
      </c>
      <c r="AA59" s="130" t="str">
        <f>IF(B59="","",VLOOKUP(AD59,Varsayımlar!$B:$Q,15,0))</f>
        <v>Nimet Kolisi</v>
      </c>
      <c r="AB59" s="130" t="str">
        <f>IF(B59="","",VLOOKUP(AD59,Varsayımlar!$B:$Q,16,0))</f>
        <v>24-26 CM</v>
      </c>
      <c r="AC59" s="64" t="s">
        <v>360</v>
      </c>
      <c r="AD59" s="57" t="str">
        <f t="shared" ref="AD59:AD61" si="7">IF(B59="","",CONCATENATE(B59,E59))</f>
        <v>A101Nimet 25cm 12 pcs 840g</v>
      </c>
    </row>
    <row r="60" spans="1:30" ht="94.5" x14ac:dyDescent="0.25">
      <c r="A60" s="8" t="s">
        <v>77</v>
      </c>
      <c r="B60" s="75" t="s">
        <v>218</v>
      </c>
      <c r="C60" s="43">
        <f>IF(B60="","",VLOOKUP(AD60,Varsayımlar!$B:$Q,3,0))</f>
        <v>8698829380698</v>
      </c>
      <c r="D60" s="43" t="s">
        <v>161</v>
      </c>
      <c r="E60" s="75" t="s">
        <v>244</v>
      </c>
      <c r="F60" s="75" t="s">
        <v>561</v>
      </c>
      <c r="G60" s="43"/>
      <c r="H60" s="75" t="str">
        <f>IF(B60="","",VLOOKUP(AD60,Varsayımlar!$B:$Q,5,0))</f>
        <v>Tortillas Avrupa Pizza 26cm (742)</v>
      </c>
      <c r="I60" s="75">
        <f>IF(B60="","",VLOOKUP(AD60,Varsayımlar!B:T,19,0))</f>
        <v>0</v>
      </c>
      <c r="J60" s="75" t="str">
        <f>IF(B60="","",VLOOKUP(AD60,Varsayımlar!$B:$Q,6,0))</f>
        <v>SADE</v>
      </c>
      <c r="K60" s="75">
        <v>840</v>
      </c>
      <c r="L60" s="75"/>
      <c r="M60" s="75">
        <f>IFERROR(IF(B60="","",K60/VLOOKUP(AD60,Varsayımlar!B:R,17,0)),"")</f>
        <v>7</v>
      </c>
      <c r="N60" s="75"/>
      <c r="O60" s="75">
        <v>11</v>
      </c>
      <c r="P60" s="75">
        <f>IF(B60="","",VLOOKUP(AD60,Varsayımlar!$B:$Q,7,0)*K60)</f>
        <v>6720</v>
      </c>
      <c r="Q60" s="75">
        <f>IF(B60="","",VLOOKUP(AD60,Varsayımlar!$B:$Q,8,0))</f>
        <v>26</v>
      </c>
      <c r="R60" s="75" t="str">
        <f>IF(B60="","",VLOOKUP(AD60,Varsayımlar!$B:$Q,9,0))</f>
        <v>Irak Soft</v>
      </c>
      <c r="S60" s="75">
        <f>IF(B60="","",VLOOKUP(AD60,Varsayımlar!$B:$Q,10,0))</f>
        <v>4</v>
      </c>
      <c r="T60" s="75">
        <f>IF(B60="","",VLOOKUP(AD60,Varsayımlar!$B:$Q,11,0))</f>
        <v>8</v>
      </c>
      <c r="U60" s="75">
        <f>IF(B60="","",VLOOKUP(AD60,Varsayımlar!$B:$Q,12,0))</f>
        <v>480</v>
      </c>
      <c r="V60" s="75" t="str">
        <f>IF(B60="","",VLOOKUP(AD60,Varsayımlar!$B:$Q,13,0))</f>
        <v>Yurtdışı</v>
      </c>
      <c r="W60" s="75">
        <f>IF(B60="","",VLOOKUP(AD60,Varsayımlar!$B:$Q,14,0))</f>
        <v>9</v>
      </c>
      <c r="X60" s="76">
        <v>46213</v>
      </c>
      <c r="Y60" s="76">
        <v>46487</v>
      </c>
      <c r="Z60" s="75">
        <v>26071026</v>
      </c>
      <c r="AA60" s="75" t="str">
        <f>IF(B60="","",VLOOKUP(AD60,Varsayımlar!$B:$Q,15,0))</f>
        <v>26cm Pizza Perforeli-Bulgarca Etiket</v>
      </c>
      <c r="AB60" s="75" t="str">
        <f>IF(B60="","",VLOOKUP(AD60,Varsayımlar!$B:$Q,16,0))</f>
        <v>26 cm kesme -Beze 145-150g, Kesilmmeiş çap 27-28cm, Kesilmemiş ağı: 520-540g, Kesilmiş:475-485g</v>
      </c>
      <c r="AC60" s="75" t="str">
        <f>IF(B60="","",VLOOKUP(Sayfa1!AD81,Varsayımlar!B:S,18,0))</f>
        <v>80x120cm -Epal+Epal</v>
      </c>
      <c r="AD60" s="57" t="str">
        <f t="shared" si="7"/>
        <v>TASTE LAND-BULGARİSTANTortillas Pizza 26cm 4pcs 480g</v>
      </c>
    </row>
    <row r="61" spans="1:30" ht="46.5" customHeight="1" x14ac:dyDescent="0.25">
      <c r="A61" s="8" t="s">
        <v>78</v>
      </c>
      <c r="B61" s="67" t="s">
        <v>460</v>
      </c>
      <c r="C61" s="42">
        <f>IF(B61="","",VLOOKUP(AD61,Varsayımlar!$B:$Q,3,0))</f>
        <v>8698829380698</v>
      </c>
      <c r="D61" s="67" t="s">
        <v>540</v>
      </c>
      <c r="E61" s="67" t="s">
        <v>461</v>
      </c>
      <c r="F61" s="67">
        <v>20260414</v>
      </c>
      <c r="G61" s="67"/>
      <c r="H61" s="67" t="str">
        <f>IF(B61="","",VLOOKUP(AD61,Varsayımlar!$B:$Q,5,0))</f>
        <v xml:space="preserve">Tortillove 15cm </v>
      </c>
      <c r="I61" s="67">
        <f>IF(B61="","",VLOOKUP(AD61,Varsayımlar!B:T,19,0))</f>
        <v>0</v>
      </c>
      <c r="J61" s="67" t="str">
        <f>IF(B61="","",VLOOKUP(AD61,Varsayımlar!$B:$Q,6,0))</f>
        <v>SADE</v>
      </c>
      <c r="K61" s="67">
        <v>300</v>
      </c>
      <c r="L61" s="67" t="s">
        <v>532</v>
      </c>
      <c r="M61" s="67">
        <f>IFERROR(IF(B61="","",K61/VLOOKUP(AD61,Varsayımlar!B:R,17,0)),"")</f>
        <v>3</v>
      </c>
      <c r="N61" s="67"/>
      <c r="O61" s="67">
        <v>9</v>
      </c>
      <c r="P61" s="67">
        <f>IF(B61="","",VLOOKUP(AD61,Varsayımlar!$B:$Q,7,0)*K61)</f>
        <v>3600</v>
      </c>
      <c r="Q61" s="67">
        <f>IF(B61="","",VLOOKUP(AD61,Varsayımlar!$B:$Q,8,0))</f>
        <v>15</v>
      </c>
      <c r="R61" s="67" t="str">
        <f>IF(B61="","",VLOOKUP(AD61,Varsayımlar!$B:$Q,9,0))</f>
        <v>Irak Soft</v>
      </c>
      <c r="S61" s="67">
        <f>IF(B61="","",VLOOKUP(AD61,Varsayımlar!$B:$Q,10,0))</f>
        <v>10</v>
      </c>
      <c r="T61" s="67">
        <f>IF(B61="","",VLOOKUP(AD61,Varsayımlar!$B:$Q,11,0))</f>
        <v>12</v>
      </c>
      <c r="U61" s="67">
        <f>IF(B61="","",VLOOKUP(AD61,Varsayımlar!$B:$Q,12,0))</f>
        <v>250</v>
      </c>
      <c r="V61" s="67" t="str">
        <f>IF(B61="","",VLOOKUP(AD61,Varsayımlar!$B:$Q,13,0))</f>
        <v>Yurtdışı</v>
      </c>
      <c r="W61" s="67">
        <f>IF(B61="","",VLOOKUP(AD61,Varsayımlar!$B:$Q,14,0))</f>
        <v>6</v>
      </c>
      <c r="X61" s="69">
        <v>46216</v>
      </c>
      <c r="Y61" s="69">
        <v>46400</v>
      </c>
      <c r="Z61" s="67">
        <v>26071315</v>
      </c>
      <c r="AA61" s="67" t="str">
        <f>IF(B61="","",VLOOKUP(AD61,Varsayımlar!$B:$Q,15,0))</f>
        <v>15cm koli</v>
      </c>
      <c r="AB61" s="67" t="str">
        <f>IF(B61="","",VLOOKUP(AD61,Varsayımlar!$B:$Q,16,0))</f>
        <v>14-16 cm</v>
      </c>
      <c r="AC61" s="80">
        <f>IF(B61="","",VLOOKUP(Sayfa1!AD85,Varsayımlar!B:S,18,0))</f>
        <v>0</v>
      </c>
      <c r="AD61" s="57" t="str">
        <f t="shared" si="7"/>
        <v>Yüksekbaş GıdaYüksekbaş 15cm 10 pcs 250g</v>
      </c>
    </row>
    <row r="62" spans="1:30" ht="51" customHeight="1" x14ac:dyDescent="0.25">
      <c r="A62" s="8" t="s">
        <v>91</v>
      </c>
      <c r="B62" s="164" t="s">
        <v>256</v>
      </c>
      <c r="C62" s="165">
        <f>IF(B62="","",VLOOKUP(AD62,Varsayımlar!$B:$Q,3,0))</f>
        <v>8698829380698</v>
      </c>
      <c r="D62" s="164"/>
      <c r="E62" s="164" t="s">
        <v>554</v>
      </c>
      <c r="F62" s="164">
        <v>20260702</v>
      </c>
      <c r="G62" s="164"/>
      <c r="H62" s="164" t="str">
        <f>IF(B62="","",VLOOKUP(AD62,Varsayımlar!$B:$Q,5,0))</f>
        <v xml:space="preserve">Tortillove 15cm </v>
      </c>
      <c r="I62" s="164">
        <f>IF(B62="","",VLOOKUP(AD62,Varsayımlar!B:T,19,0))</f>
        <v>0</v>
      </c>
      <c r="J62" s="164" t="str">
        <f>IF(B62="","",VLOOKUP(AD62,Varsayımlar!$B:$Q,6,0))</f>
        <v>Sade</v>
      </c>
      <c r="K62" s="164">
        <v>10</v>
      </c>
      <c r="L62" s="164"/>
      <c r="M62" s="164" t="str">
        <f>IFERROR(IF(B62="","",K62/VLOOKUP(AD62,Varsayımlar!B:R,17,0)),"")</f>
        <v/>
      </c>
      <c r="N62" s="164"/>
      <c r="O62" s="164">
        <v>2</v>
      </c>
      <c r="P62" s="164">
        <f>IF(B62="","",VLOOKUP(AD62,Varsayımlar!$B:$Q,7,0)*K62)</f>
        <v>120</v>
      </c>
      <c r="Q62" s="164">
        <f>IF(B62="","",VLOOKUP(AD62,Varsayımlar!$B:$Q,8,0))</f>
        <v>15</v>
      </c>
      <c r="R62" s="164" t="str">
        <f>IF(B62="","",VLOOKUP(AD62,Varsayımlar!$B:$Q,9,0))</f>
        <v>Irak soft</v>
      </c>
      <c r="S62" s="164">
        <f>IF(B62="","",VLOOKUP(AD62,Varsayımlar!$B:$Q,10,0))</f>
        <v>10</v>
      </c>
      <c r="T62" s="164">
        <f>IF(B62="","",VLOOKUP(AD62,Varsayımlar!$B:$Q,11,0))</f>
        <v>12</v>
      </c>
      <c r="U62" s="164">
        <f>IF(B62="","",VLOOKUP(AD62,Varsayımlar!$B:$Q,12,0))</f>
        <v>250</v>
      </c>
      <c r="V62" s="164" t="str">
        <f>IF(B62="","",VLOOKUP(AD62,Varsayımlar!$B:$Q,13,0))</f>
        <v>Yurtiçi</v>
      </c>
      <c r="W62" s="164">
        <f>IF(B62="","",VLOOKUP(AD62,Varsayımlar!$B:$Q,14,0))</f>
        <v>6</v>
      </c>
      <c r="X62" s="166" t="s">
        <v>113</v>
      </c>
      <c r="Y62" s="166" t="s">
        <v>113</v>
      </c>
      <c r="Z62" s="164" t="s">
        <v>113</v>
      </c>
      <c r="AA62" s="164" t="str">
        <f>IF(B62="","",VLOOKUP(AD62,Varsayımlar!$B:$Q,15,0))</f>
        <v>15cm Kolisi</v>
      </c>
      <c r="AB62" s="164" t="str">
        <f>IF(B62="","",VLOOKUP(AD62,Varsayımlar!$B:$Q,16,0))</f>
        <v>14-16cm</v>
      </c>
      <c r="AC62" s="75" t="e">
        <f>IF(B62="","",VLOOKUP(Sayfa1!AD119,Varsayımlar!B:S,18,0))</f>
        <v>#N/A</v>
      </c>
      <c r="AD62" s="57" t="str">
        <f>IF(B62="","",CONCATENATE(B62,E62))</f>
        <v>Ankara KahveTortillove 15cm 10pcs 250g</v>
      </c>
    </row>
    <row r="63" spans="1:30" ht="43.5" customHeight="1" x14ac:dyDescent="0.25">
      <c r="A63" s="8" t="s">
        <v>79</v>
      </c>
      <c r="B63" s="54" t="s">
        <v>346</v>
      </c>
      <c r="C63" s="39">
        <f>IF(B63="","",VLOOKUP(AD63,Varsayımlar!$B:$Q,3,0))</f>
        <v>8698829380698</v>
      </c>
      <c r="D63" s="39">
        <v>49</v>
      </c>
      <c r="E63" s="55" t="s">
        <v>325</v>
      </c>
      <c r="F63" s="54"/>
      <c r="G63" s="54"/>
      <c r="H63" s="54" t="str">
        <f>IF(B63="","",VLOOKUP(AD63,Varsayımlar!$B:$Q,5,0))</f>
        <v>Hanami Tako 15cm</v>
      </c>
      <c r="I63" s="54" t="str">
        <f>IF(B63="","",VLOOKUP(AD63,Varsayımlar!B:T,19,0))</f>
        <v>Ambalaj kaç aylık kontrol?</v>
      </c>
      <c r="J63" s="54" t="str">
        <f>IF(B63="","",VLOOKUP(AD63,Varsayımlar!$B:$Q,6,0))</f>
        <v>SADE</v>
      </c>
      <c r="K63" s="54">
        <v>1248</v>
      </c>
      <c r="L63" s="54"/>
      <c r="M63" s="54"/>
      <c r="N63" s="54"/>
      <c r="O63" s="54">
        <v>35</v>
      </c>
      <c r="P63" s="54">
        <f>IF(B63="","",VLOOKUP(AD63,Varsayımlar!$B:$Q,7,0)*K63)</f>
        <v>24960</v>
      </c>
      <c r="Q63" s="54">
        <f>IF(B63="","",VLOOKUP(AD63,Varsayımlar!$B:$Q,8,0))</f>
        <v>15</v>
      </c>
      <c r="R63" s="54" t="str">
        <f>IF(B63="","",VLOOKUP(AD63,Varsayımlar!$B:$Q,9,0))</f>
        <v>Irak Soft</v>
      </c>
      <c r="S63" s="54">
        <f>IF(B63="","",VLOOKUP(AD63,Varsayımlar!$B:$Q,10,0))</f>
        <v>6</v>
      </c>
      <c r="T63" s="54">
        <f>IF(B63="","",VLOOKUP(AD63,Varsayımlar!$B:$Q,11,0))</f>
        <v>20</v>
      </c>
      <c r="U63" s="54">
        <f>IF(B63="","",VLOOKUP(AD63,Varsayımlar!$B:$Q,12,0))</f>
        <v>150</v>
      </c>
      <c r="V63" s="54" t="str">
        <f>IF(B63="","",VLOOKUP(AD63,Varsayımlar!$B:$Q,13,0))</f>
        <v>Yurtdışı</v>
      </c>
      <c r="W63" s="54">
        <f>IF(B63="","",VLOOKUP(AD63,Varsayımlar!$B:$Q,14,0))</f>
        <v>9</v>
      </c>
      <c r="X63" s="56">
        <v>46226</v>
      </c>
      <c r="Y63" s="56">
        <v>46500</v>
      </c>
      <c r="Z63" s="54">
        <v>26072315</v>
      </c>
      <c r="AA63" s="54" t="str">
        <f>IF(B63="","",VLOOKUP(AD63,Varsayımlar!$B:$Q,15,0))</f>
        <v>Hanami Tako 15cm-Üretim Tarihi Atılacak</v>
      </c>
      <c r="AB63" s="54" t="str">
        <f>IF(B63="","",VLOOKUP(AD63,Varsayımlar!$B:$Q,16,0))</f>
        <v>14-16 cm</v>
      </c>
      <c r="AC63" s="8" t="e">
        <f>IF(B63="","",VLOOKUP(#REF!,#REF!,18,0))</f>
        <v>#REF!</v>
      </c>
      <c r="AD63" s="8" t="str">
        <f>IF(B63="","",CONCATENATE(B63,E63))</f>
        <v>GermesHanami Germes Tako 15cm 6pcs 150g</v>
      </c>
    </row>
    <row r="64" spans="1:30" ht="49.5" customHeight="1" x14ac:dyDescent="0.25">
      <c r="A64" s="8" t="s">
        <v>80</v>
      </c>
      <c r="B64" s="152" t="s">
        <v>518</v>
      </c>
      <c r="C64" s="153">
        <f>IF(B64="","",VLOOKUP(AD64,Varsayımlar!$B:$Q,3,0))</f>
        <v>8698829380698</v>
      </c>
      <c r="D64" s="154"/>
      <c r="E64" s="154" t="s">
        <v>515</v>
      </c>
      <c r="F64" s="152">
        <v>26062302</v>
      </c>
      <c r="G64" s="152"/>
      <c r="H64" s="152" t="str">
        <f>IF(B64="","",VLOOKUP(AD64,Varsayımlar!$B:$Q,5,0))</f>
        <v>Tortillas 15cm</v>
      </c>
      <c r="I64" s="152">
        <f>IF(B64="","",VLOOKUP(AD64,Varsayımlar!B:T,19,0))</f>
        <v>0</v>
      </c>
      <c r="J64" s="152" t="str">
        <f>IF(B64="","",VLOOKUP(AD64,Varsayımlar!$B:$Q,6,0))</f>
        <v>Sade</v>
      </c>
      <c r="K64" s="152">
        <v>10</v>
      </c>
      <c r="L64" s="152"/>
      <c r="M64" s="152" t="s">
        <v>424</v>
      </c>
      <c r="N64" s="152"/>
      <c r="O64" s="152">
        <v>0</v>
      </c>
      <c r="P64" s="152">
        <f>IF(B64="","",VLOOKUP(AD64,Varsayımlar!$B:$Q,7,0)*K64)</f>
        <v>120</v>
      </c>
      <c r="Q64" s="152">
        <f>IF(B64="","",VLOOKUP(AD64,Varsayımlar!$B:$Q,8,0))</f>
        <v>15</v>
      </c>
      <c r="R64" s="152" t="str">
        <f>IF(B64="","",VLOOKUP(AD64,Varsayımlar!$B:$Q,9,0))</f>
        <v>Irak Soft</v>
      </c>
      <c r="S64" s="152">
        <f>IF(B64="","",VLOOKUP(AD64,Varsayımlar!$B:$Q,10,0))</f>
        <v>10</v>
      </c>
      <c r="T64" s="152">
        <f>IF(B64="","",VLOOKUP(AD64,Varsayımlar!$B:$Q,11,0))</f>
        <v>12</v>
      </c>
      <c r="U64" s="152">
        <f>IF(B64="","",VLOOKUP(AD64,Varsayımlar!$B:$Q,12,0))</f>
        <v>250</v>
      </c>
      <c r="V64" s="152" t="str">
        <f>IF(B64="","",VLOOKUP(AD64,Varsayımlar!$B:$Q,13,0))</f>
        <v>Yurtiçi</v>
      </c>
      <c r="W64" s="152">
        <f>IF(B64="","",VLOOKUP(AD64,Varsayımlar!$B:$Q,14,0))</f>
        <v>6</v>
      </c>
      <c r="X64" s="155">
        <v>46231</v>
      </c>
      <c r="Y64" s="155">
        <v>46415</v>
      </c>
      <c r="Z64" s="152">
        <v>26072815</v>
      </c>
      <c r="AA64" s="152" t="str">
        <f>IF(B64="","",VLOOKUP(AD64,Varsayımlar!$B:$Q,15,0))</f>
        <v>15cm koli</v>
      </c>
      <c r="AB64" s="152" t="str">
        <f>IF(B64="","",VLOOKUP(AD64,Varsayımlar!$B:$Q,16,0))</f>
        <v>14-16cm</v>
      </c>
      <c r="AC64" s="8" t="e">
        <f>IF(B64="","",VLOOKUP(#REF!,#REF!,18,0))</f>
        <v>#REF!</v>
      </c>
      <c r="AD64" s="8" t="str">
        <f t="shared" ref="AD64:AD65" si="8">IF(B64="","",CONCATENATE(B64,E64))</f>
        <v>Yusuf KöseTortillas 15cm 10pcs 250g</v>
      </c>
    </row>
    <row r="65" spans="1:30" ht="54" customHeight="1" x14ac:dyDescent="0.25">
      <c r="A65" s="8" t="s">
        <v>81</v>
      </c>
      <c r="B65" s="148" t="s">
        <v>500</v>
      </c>
      <c r="C65" s="149">
        <f>IF(B65="","",VLOOKUP(AD65,Varsayımlar!$B:$Q,3,0))</f>
        <v>8698829380698</v>
      </c>
      <c r="D65" s="149"/>
      <c r="E65" s="150" t="s">
        <v>515</v>
      </c>
      <c r="F65" s="148">
        <v>26062201</v>
      </c>
      <c r="G65" s="148"/>
      <c r="H65" s="148" t="str">
        <f>IF(B65="","",VLOOKUP(AD65,Varsayımlar!$B:$Q,5,0))</f>
        <v>Tortillas 15cm</v>
      </c>
      <c r="I65" s="148">
        <f>IF(B65="","",VLOOKUP(AD65,Varsayımlar!B:T,19,0))</f>
        <v>0</v>
      </c>
      <c r="J65" s="148" t="str">
        <f>IF(B65="","",VLOOKUP(AD65,Varsayımlar!$B:$Q,6,0))</f>
        <v>Sade</v>
      </c>
      <c r="K65" s="148">
        <v>50</v>
      </c>
      <c r="L65" s="148"/>
      <c r="M65" s="148" t="str">
        <f>IFERROR(IF(B65="","",K65/VLOOKUP(AD65,#REF!,17,0)),"")</f>
        <v/>
      </c>
      <c r="N65" s="148"/>
      <c r="O65" s="148">
        <v>2</v>
      </c>
      <c r="P65" s="148">
        <f>IF(B65="","",VLOOKUP(AD65,Varsayımlar!$B:$Q,7,0)*K65)</f>
        <v>600</v>
      </c>
      <c r="Q65" s="148">
        <f>IF(B65="","",VLOOKUP(AD65,Varsayımlar!$B:$Q,8,0))</f>
        <v>15</v>
      </c>
      <c r="R65" s="148" t="str">
        <f>IF(B65="","",VLOOKUP(AD65,Varsayımlar!$B:$Q,9,0))</f>
        <v>Irak Soft</v>
      </c>
      <c r="S65" s="148">
        <f>IF(B65="","",VLOOKUP(AD65,Varsayımlar!$B:$Q,10,0))</f>
        <v>10</v>
      </c>
      <c r="T65" s="148">
        <f>IF(B65="","",VLOOKUP(AD65,Varsayımlar!$B:$Q,11,0))</f>
        <v>12</v>
      </c>
      <c r="U65" s="148">
        <f>IF(B65="","",VLOOKUP(AD65,Varsayımlar!$B:$Q,12,0))</f>
        <v>250</v>
      </c>
      <c r="V65" s="148" t="str">
        <f>IF(B65="","",VLOOKUP(AD65,Varsayımlar!$B:$Q,13,0))</f>
        <v>Yurtdışı</v>
      </c>
      <c r="W65" s="148">
        <f>IF(B65="","",VLOOKUP(AD65,Varsayımlar!$B:$Q,14,0))</f>
        <v>12</v>
      </c>
      <c r="X65" s="151">
        <v>46231</v>
      </c>
      <c r="Y65" s="151">
        <v>46596</v>
      </c>
      <c r="Z65" s="148">
        <v>26072815</v>
      </c>
      <c r="AA65" s="148" t="str">
        <f>IF(B65="","",VLOOKUP(AD65,Varsayımlar!$B:$Q,15,0))</f>
        <v>15cm koli</v>
      </c>
      <c r="AB65" s="148" t="str">
        <f>IF(B65="","",VLOOKUP(AD65,Varsayımlar!$B:$Q,16,0))</f>
        <v>14-16cm</v>
      </c>
      <c r="AC65" s="67"/>
      <c r="AD65" s="57" t="str">
        <f t="shared" si="8"/>
        <v>Fama GroupTortillas 15cm 10pcs 250g</v>
      </c>
    </row>
    <row r="66" spans="1:30" ht="48" customHeight="1" x14ac:dyDescent="0.25">
      <c r="A66" s="8" t="s">
        <v>82</v>
      </c>
      <c r="B66" s="149" t="s">
        <v>500</v>
      </c>
      <c r="C66" s="149">
        <f>IF(B66="","",VLOOKUP(AD66,Varsayımlar!$B:$Q,3,0))</f>
        <v>8698829380698</v>
      </c>
      <c r="D66" s="149"/>
      <c r="E66" s="149" t="s">
        <v>244</v>
      </c>
      <c r="F66" s="149">
        <v>26062201</v>
      </c>
      <c r="G66" s="149"/>
      <c r="H66" s="148" t="str">
        <f>IF(B66="","",VLOOKUP(AD66,Varsayımlar!$B:$Q,5,0))</f>
        <v xml:space="preserve">Tortillas Pizza 26cm </v>
      </c>
      <c r="I66" s="148">
        <f>IF(B66="","",VLOOKUP(AD66,Varsayımlar!B:T,19,0))</f>
        <v>0</v>
      </c>
      <c r="J66" s="148" t="str">
        <f>IF(B66="","",VLOOKUP(AD66,Varsayımlar!$B:$Q,6,0))</f>
        <v>Sade</v>
      </c>
      <c r="K66" s="149">
        <v>50</v>
      </c>
      <c r="L66" s="149"/>
      <c r="M66" s="149" t="str">
        <f>IFERROR(IF(B66="","",K66/VLOOKUP(AD66,#REF!,17,0)),"")</f>
        <v/>
      </c>
      <c r="N66" s="149"/>
      <c r="O66" s="149">
        <v>1</v>
      </c>
      <c r="P66" s="148">
        <f>IF(B66="","",VLOOKUP(AD66,Varsayımlar!$B:$Q,7,0)*K66)</f>
        <v>300</v>
      </c>
      <c r="Q66" s="148">
        <f>IF(B66="","",VLOOKUP(AD66,Varsayımlar!$B:$Q,8,0))</f>
        <v>26</v>
      </c>
      <c r="R66" s="148" t="str">
        <f>IF(B66="","",VLOOKUP(AD66,Varsayımlar!$B:$Q,9,0))</f>
        <v>Irak Soft</v>
      </c>
      <c r="S66" s="148">
        <f>IF(B66="","",VLOOKUP(AD66,Varsayımlar!$B:$Q,10,0))</f>
        <v>4</v>
      </c>
      <c r="T66" s="148">
        <f>IF(B66="","",VLOOKUP(AD66,Varsayımlar!$B:$Q,11,0))</f>
        <v>6</v>
      </c>
      <c r="U66" s="148">
        <f>IF(B66="","",VLOOKUP(AD66,Varsayımlar!$B:$Q,12,0))</f>
        <v>480</v>
      </c>
      <c r="V66" s="148" t="str">
        <f>IF(B66="","",VLOOKUP(AD66,Varsayımlar!$B:$Q,13,0))</f>
        <v>Yurtdışı</v>
      </c>
      <c r="W66" s="148">
        <f>IF(B66="","",VLOOKUP(AD66,Varsayımlar!$B:$Q,14,0))</f>
        <v>12</v>
      </c>
      <c r="X66" s="151">
        <v>46231</v>
      </c>
      <c r="Y66" s="151">
        <v>46596</v>
      </c>
      <c r="Z66" s="149">
        <v>26072826</v>
      </c>
      <c r="AA66" s="148" t="str">
        <f>IF(B66="","",VLOOKUP(AD66,Varsayımlar!$B:$Q,15,0))</f>
        <v>Pizza Kolisi-ETİKETLİ</v>
      </c>
      <c r="AB66" s="148" t="str">
        <f>IF(B66="","",VLOOKUP(AD66,Varsayımlar!$B:$Q,16,0))</f>
        <v>25-27 cm</v>
      </c>
      <c r="AC66" s="140">
        <f>IF(B66="","",VLOOKUP(Sayfa1!AD94,Varsayımlar!B:S,18,0))</f>
        <v>0</v>
      </c>
      <c r="AD66" s="140" t="str">
        <f>IF(B66="","",CONCATENATE(B66,E66))</f>
        <v>Fama GroupTortillas Pizza 26cm 4pcs 480g</v>
      </c>
    </row>
    <row r="67" spans="1:30" ht="94.5" x14ac:dyDescent="0.25">
      <c r="A67" s="8" t="s">
        <v>83</v>
      </c>
      <c r="B67" s="62" t="s">
        <v>456</v>
      </c>
      <c r="C67" s="32">
        <f>IF(B67="","",VLOOKUP(AD67,Varsayımlar!$B:$Q,3,0))</f>
        <v>8698829380698</v>
      </c>
      <c r="D67" s="32"/>
      <c r="E67" s="61" t="s">
        <v>484</v>
      </c>
      <c r="F67" s="159" t="s">
        <v>546</v>
      </c>
      <c r="G67" s="62"/>
      <c r="H67" s="62" t="str">
        <f>IF(B67="","",VLOOKUP(AD67,Varsayımlar!$B:$Q,5,0))</f>
        <v>Willifood 26 cm Pizza</v>
      </c>
      <c r="I67" s="62">
        <f>IF(B67="","",VLOOKUP(AD67,Varsayımlar!B:T,19,0))</f>
        <v>0</v>
      </c>
      <c r="J67" s="62" t="str">
        <f>IF(B67="","",VLOOKUP(AD67,Varsayımlar!$B:$Q,6,0))</f>
        <v>Pizza</v>
      </c>
      <c r="K67" s="62">
        <v>2250</v>
      </c>
      <c r="L67" s="62"/>
      <c r="M67" s="62" t="str">
        <f>IFERROR(IF(B67="","",K67/VLOOKUP(AD67,#REF!,17,0)),"")</f>
        <v/>
      </c>
      <c r="N67" s="62"/>
      <c r="O67" s="62">
        <v>25</v>
      </c>
      <c r="P67" s="62">
        <f>IF(B67="","",VLOOKUP(AD67,Varsayımlar!$B:$Q,7,0)*K67)</f>
        <v>27000</v>
      </c>
      <c r="Q67" s="62">
        <f>IF(B67="","",VLOOKUP(AD67,Varsayımlar!$B:$Q,8,0))</f>
        <v>26</v>
      </c>
      <c r="R67" s="62" t="str">
        <f>IF(B67="","",VLOOKUP(AD67,Varsayımlar!$B:$Q,9,0))</f>
        <v>Irak Soft</v>
      </c>
      <c r="S67" s="62">
        <f>IF(B67="","",VLOOKUP(AD67,Varsayımlar!$B:$Q,10,0))</f>
        <v>4</v>
      </c>
      <c r="T67" s="62">
        <f>IF(B67="","",VLOOKUP(AD67,Varsayımlar!$B:$Q,11,0))</f>
        <v>12</v>
      </c>
      <c r="U67" s="62">
        <f>IF(B67="","",VLOOKUP(AD67,Varsayımlar!$B:$Q,12,0))</f>
        <v>480</v>
      </c>
      <c r="V67" s="62" t="str">
        <f>IF(B67="","",VLOOKUP(AD67,Varsayımlar!$B:$Q,13,0))</f>
        <v>Yurtdışı</v>
      </c>
      <c r="W67" s="62">
        <f>IF(B67="","",VLOOKUP(AD67,Varsayımlar!$B:$Q,14,0))</f>
        <v>18</v>
      </c>
      <c r="X67" s="63"/>
      <c r="Y67" s="146" t="s">
        <v>523</v>
      </c>
      <c r="Z67" s="146" t="s">
        <v>522</v>
      </c>
      <c r="AA67" s="63" t="str">
        <f>IF(B67="","",VLOOKUP(AD67,Varsayımlar!$B:$Q,15,0))</f>
        <v>Dürümek Kolisi-Çift Etiket</v>
      </c>
      <c r="AB67" s="63" t="str">
        <f>IF(B67="","",VLOOKUP(AD67,Varsayımlar!$B:$Q,16,0))</f>
        <v>Kesme.Bezeler 145-150 g.Kesilmemiş 27-28 cm. Kesilmemiş ağ 520-540g. Kesilmiş ağ 475-485 g</v>
      </c>
      <c r="AC67" s="73" t="e">
        <f>IF(B67="","",VLOOKUP(#REF!,#REF!,18,0))</f>
        <v>#REF!</v>
      </c>
      <c r="AD67" s="73" t="str">
        <f>IF(B67="","",CONCATENATE(B67,E67))</f>
        <v>WillifoodWillifood Pizza 26cm 4 pcs 480g</v>
      </c>
    </row>
    <row r="68" spans="1:30" ht="33.75" customHeight="1" x14ac:dyDescent="0.25">
      <c r="A68" s="8" t="s">
        <v>84</v>
      </c>
      <c r="B68" s="67" t="s">
        <v>460</v>
      </c>
      <c r="C68" s="42">
        <f>IF(B68="","",VLOOKUP(AD68,Varsayımlar!$B:$Q,3,0))</f>
        <v>8698829380698</v>
      </c>
      <c r="D68" s="67" t="s">
        <v>539</v>
      </c>
      <c r="E68" s="67" t="s">
        <v>461</v>
      </c>
      <c r="F68" s="67">
        <v>20260626</v>
      </c>
      <c r="G68" s="67"/>
      <c r="H68" s="67" t="str">
        <f>IF(B68="","",VLOOKUP(AD68,Varsayımlar!$B:$Q,5,0))</f>
        <v xml:space="preserve">Tortillove 15cm </v>
      </c>
      <c r="I68" s="67">
        <f>IF(B68="","",VLOOKUP(AD68,Varsayımlar!B:T,19,0))</f>
        <v>0</v>
      </c>
      <c r="J68" s="67" t="str">
        <f>IF(B68="","",VLOOKUP(AD68,Varsayımlar!$B:$Q,6,0))</f>
        <v>SADE</v>
      </c>
      <c r="K68" s="67">
        <v>400</v>
      </c>
      <c r="L68" s="67"/>
      <c r="M68" s="67">
        <f>IFERROR(IF(B68="","",K68/VLOOKUP(AD68,Varsayımlar!B:R,17,0)),"")</f>
        <v>4</v>
      </c>
      <c r="N68" s="67"/>
      <c r="O68" s="67">
        <v>11</v>
      </c>
      <c r="P68" s="67">
        <f>IF(B68="","",VLOOKUP(AD68,Varsayımlar!$B:$Q,7,0)*K68)</f>
        <v>4800</v>
      </c>
      <c r="Q68" s="67">
        <f>IF(B68="","",VLOOKUP(AD68,Varsayımlar!$B:$Q,8,0))</f>
        <v>15</v>
      </c>
      <c r="R68" s="67" t="str">
        <f>IF(B68="","",VLOOKUP(AD68,Varsayımlar!$B:$Q,9,0))</f>
        <v>Irak Soft</v>
      </c>
      <c r="S68" s="67">
        <f>IF(B68="","",VLOOKUP(AD68,Varsayımlar!$B:$Q,10,0))</f>
        <v>10</v>
      </c>
      <c r="T68" s="67">
        <f>IF(B68="","",VLOOKUP(AD68,Varsayımlar!$B:$Q,11,0))</f>
        <v>12</v>
      </c>
      <c r="U68" s="67">
        <f>IF(B68="","",VLOOKUP(AD68,Varsayımlar!$B:$Q,12,0))</f>
        <v>250</v>
      </c>
      <c r="V68" s="67" t="str">
        <f>IF(B68="","",VLOOKUP(AD68,Varsayımlar!$B:$Q,13,0))</f>
        <v>Yurtdışı</v>
      </c>
      <c r="W68" s="67">
        <f>IF(B68="","",VLOOKUP(AD68,Varsayımlar!$B:$Q,14,0))</f>
        <v>6</v>
      </c>
      <c r="X68" s="69"/>
      <c r="Y68" s="69"/>
      <c r="Z68" s="67"/>
      <c r="AA68" s="67" t="str">
        <f>IF(B68="","",VLOOKUP(AD68,Varsayımlar!$B:$Q,15,0))</f>
        <v>15cm koli</v>
      </c>
      <c r="AB68" s="67" t="str">
        <f>IF(B68="","",VLOOKUP(AD68,Varsayımlar!$B:$Q,16,0))</f>
        <v>14-16 cm</v>
      </c>
      <c r="AC68" s="80">
        <f>IF(B68="","",VLOOKUP(Sayfa1!AD91,Varsayımlar!B:S,18,0))</f>
        <v>0</v>
      </c>
      <c r="AD68" s="57" t="str">
        <f t="shared" ref="AD68" si="9">IF(B68="","",CONCATENATE(B68,E68))</f>
        <v>Yüksekbaş GıdaYüksekbaş 15cm 10 pcs 250g</v>
      </c>
    </row>
    <row r="69" spans="1:30" ht="51" customHeight="1" x14ac:dyDescent="0.25">
      <c r="A69" s="8" t="s">
        <v>85</v>
      </c>
      <c r="B69" s="160" t="s">
        <v>553</v>
      </c>
      <c r="C69" s="161">
        <f>IF(B69="","",VLOOKUP(AD69,Varsayımlar!$B:$Q,3,0))</f>
        <v>8698829380698</v>
      </c>
      <c r="D69" s="160"/>
      <c r="E69" s="162" t="s">
        <v>554</v>
      </c>
      <c r="F69" s="160">
        <v>20260629</v>
      </c>
      <c r="G69" s="160" t="s">
        <v>578</v>
      </c>
      <c r="H69" s="160" t="str">
        <f>IF(B69="","",VLOOKUP(AD69,Varsayımlar!$B:$Q,5,0))</f>
        <v xml:space="preserve">Tortillove 15cm </v>
      </c>
      <c r="I69" s="160">
        <f>IF(B69="","",VLOOKUP(AD69,Varsayımlar!B:T,19,0))</f>
        <v>0</v>
      </c>
      <c r="J69" s="160" t="str">
        <f>IF(B69="","",VLOOKUP(AD69,Varsayımlar!$B:$Q,6,0))</f>
        <v>Sade</v>
      </c>
      <c r="K69" s="160">
        <v>100</v>
      </c>
      <c r="L69" s="160"/>
      <c r="M69" s="160">
        <f>IFERROR(IF(B69="","",K69/VLOOKUP(AD69,Varsayımlar!B:R,17,0)),"")</f>
        <v>1</v>
      </c>
      <c r="N69" s="160"/>
      <c r="O69" s="160">
        <v>3</v>
      </c>
      <c r="P69" s="160">
        <f>IF(B69="","",VLOOKUP(AD69,Varsayımlar!$B:$Q,7,0)*K69)</f>
        <v>1200</v>
      </c>
      <c r="Q69" s="160">
        <f>IF(B69="","",VLOOKUP(AD69,Varsayımlar!$B:$Q,8,0))</f>
        <v>15</v>
      </c>
      <c r="R69" s="160" t="str">
        <f>IF(B69="","",VLOOKUP(AD69,Varsayımlar!$B:$Q,9,0))</f>
        <v>Irak soft</v>
      </c>
      <c r="S69" s="160">
        <f>IF(B69="","",VLOOKUP(AD69,Varsayımlar!$B:$Q,10,0))</f>
        <v>10</v>
      </c>
      <c r="T69" s="160">
        <f>IF(B69="","",VLOOKUP(AD69,Varsayımlar!$B:$Q,11,0))</f>
        <v>12</v>
      </c>
      <c r="U69" s="160">
        <f>IF(B69="","",VLOOKUP(AD69,Varsayımlar!$B:$Q,12,0))</f>
        <v>250</v>
      </c>
      <c r="V69" s="160" t="str">
        <f>IF(B69="","",VLOOKUP(AD69,Varsayımlar!$B:$Q,13,0))</f>
        <v>Yurtiçi</v>
      </c>
      <c r="W69" s="160">
        <f>IF(B69="","",VLOOKUP(AD69,Varsayımlar!$B:$Q,14,0))</f>
        <v>6</v>
      </c>
      <c r="X69" s="163"/>
      <c r="Y69" s="163"/>
      <c r="Z69" s="160"/>
      <c r="AA69" s="160" t="str">
        <f>IF(B69="","",VLOOKUP(AD69,Varsayımlar!$B:$Q,15,0))</f>
        <v>15cm kolisi</v>
      </c>
      <c r="AB69" s="160" t="str">
        <f>IF(B69="","",VLOOKUP(AD69,Varsayımlar!$B:$Q,16,0))</f>
        <v>14-16cm</v>
      </c>
      <c r="AC69" s="75" t="e">
        <f>IF(B69="","",VLOOKUP(Sayfa1!AD119,Varsayımlar!B:S,18,0))</f>
        <v>#N/A</v>
      </c>
      <c r="AD69" s="57" t="str">
        <f>IF(B69="","",CONCATENATE(B69,E69))</f>
        <v>GıdaserTortillove 15cm 10pcs 250g</v>
      </c>
    </row>
    <row r="70" spans="1:30" ht="43.5" customHeight="1" x14ac:dyDescent="0.25">
      <c r="A70" s="8" t="s">
        <v>86</v>
      </c>
      <c r="B70" s="54" t="s">
        <v>575</v>
      </c>
      <c r="C70" s="39">
        <f>IF(B70="","",VLOOKUP(AD70,Varsayımlar!$B:$Q,3,0))</f>
        <v>8698829380698</v>
      </c>
      <c r="D70" s="39"/>
      <c r="E70" s="39" t="s">
        <v>515</v>
      </c>
      <c r="F70" s="54">
        <v>20260701</v>
      </c>
      <c r="G70" s="54"/>
      <c r="H70" s="54" t="str">
        <f>IF(B70="","",VLOOKUP(AD70,Varsayımlar!$B:$Q,5,0))</f>
        <v>Tortillas 15cm</v>
      </c>
      <c r="I70" s="54">
        <f>IF(B70="","",VLOOKUP(AD70,Varsayımlar!B:T,19,0))</f>
        <v>0</v>
      </c>
      <c r="J70" s="54" t="str">
        <f>IF(B70="","",VLOOKUP(AD70,Varsayımlar!$B:$Q,6,0))</f>
        <v>Sade</v>
      </c>
      <c r="K70" s="54">
        <v>100</v>
      </c>
      <c r="L70" s="54"/>
      <c r="M70" s="54"/>
      <c r="N70" s="54"/>
      <c r="O70" s="54">
        <v>35</v>
      </c>
      <c r="P70" s="54">
        <f>IF(B70="","",VLOOKUP(AD70,Varsayımlar!$B:$Q,7,0)*K70)</f>
        <v>1200</v>
      </c>
      <c r="Q70" s="54">
        <f>IF(B70="","",VLOOKUP(AD70,Varsayımlar!$B:$Q,8,0))</f>
        <v>15</v>
      </c>
      <c r="R70" s="54" t="str">
        <f>IF(B70="","",VLOOKUP(AD70,Varsayımlar!$B:$Q,9,0))</f>
        <v>Irak soft</v>
      </c>
      <c r="S70" s="54">
        <f>IF(B70="","",VLOOKUP(AD70,Varsayımlar!$B:$Q,10,0))</f>
        <v>10</v>
      </c>
      <c r="T70" s="54">
        <f>IF(B70="","",VLOOKUP(AD70,Varsayımlar!$B:$Q,11,0))</f>
        <v>12</v>
      </c>
      <c r="U70" s="54">
        <f>IF(B70="","",VLOOKUP(AD70,Varsayımlar!$B:$Q,12,0))</f>
        <v>250</v>
      </c>
      <c r="V70" s="54" t="str">
        <f>IF(B70="","",VLOOKUP(AD70,Varsayımlar!$B:$Q,13,0))</f>
        <v>Yurtiçi</v>
      </c>
      <c r="W70" s="54">
        <f>IF(B70="","",VLOOKUP(AD70,Varsayımlar!$B:$Q,14,0))</f>
        <v>6</v>
      </c>
      <c r="X70" s="56"/>
      <c r="Y70" s="56"/>
      <c r="Z70" s="54"/>
      <c r="AA70" s="54" t="str">
        <f>IF(B70="","",VLOOKUP(AD70,Varsayımlar!$B:$Q,15,0))</f>
        <v>15cm Kolisi</v>
      </c>
      <c r="AB70" s="54" t="str">
        <f>IF(B70="","",VLOOKUP(AD70,Varsayımlar!$B:$Q,16,0))</f>
        <v>14-15cm</v>
      </c>
      <c r="AC70" s="8" t="e">
        <f>IF(B70="","",VLOOKUP(#REF!,#REF!,18,0))</f>
        <v>#REF!</v>
      </c>
      <c r="AD70" s="8" t="str">
        <f>IF(B70="","",CONCATENATE(B70,E70))</f>
        <v>Ceylan DönerTortillas 15cm 10pcs 250g</v>
      </c>
    </row>
    <row r="71" spans="1:30" ht="51" customHeight="1" x14ac:dyDescent="0.25">
      <c r="A71" s="8" t="s">
        <v>92</v>
      </c>
      <c r="B71" s="160" t="s">
        <v>579</v>
      </c>
      <c r="C71" s="161">
        <f>IF(B71="","",VLOOKUP(AD71,Varsayımlar!$B:$Q,3,0))</f>
        <v>8698829380698</v>
      </c>
      <c r="D71" s="160"/>
      <c r="E71" s="160" t="s">
        <v>257</v>
      </c>
      <c r="F71" s="160">
        <v>20260701</v>
      </c>
      <c r="G71" s="160" t="s">
        <v>578</v>
      </c>
      <c r="H71" s="160" t="str">
        <f>IF(B71="","",VLOOKUP(AD71,Varsayımlar!$B:$Q,5,0))</f>
        <v xml:space="preserve">Tortillas Pizza 26cm </v>
      </c>
      <c r="I71" s="160" t="str">
        <f>IF(B71="","",VLOOKUP(AD71,Varsayımlar!B:T,19,0))</f>
        <v>Arka Kısma Bosnaca içerik Etiketli</v>
      </c>
      <c r="J71" s="160" t="str">
        <f>IF(B71="","",VLOOKUP(AD71,Varsayımlar!$B:$Q,6,0))</f>
        <v>Pizza</v>
      </c>
      <c r="K71" s="160">
        <v>300</v>
      </c>
      <c r="L71" s="160"/>
      <c r="M71" s="160">
        <f>IFERROR(IF(B71="","",K71/VLOOKUP(AD71,Varsayımlar!B:R,17,0)),"")</f>
        <v>2</v>
      </c>
      <c r="N71" s="160"/>
      <c r="O71" s="160">
        <v>7</v>
      </c>
      <c r="P71" s="160">
        <f>IF(B71="","",VLOOKUP(AD71,Varsayımlar!$B:$Q,7,0)*K71)</f>
        <v>1800</v>
      </c>
      <c r="Q71" s="160">
        <f>IF(B71="","",VLOOKUP(AD71,Varsayımlar!$B:$Q,8,0))</f>
        <v>26</v>
      </c>
      <c r="R71" s="160" t="str">
        <f>IF(B71="","",VLOOKUP(AD71,Varsayımlar!$B:$Q,9,0))</f>
        <v>Irak soft</v>
      </c>
      <c r="S71" s="160">
        <f>IF(B71="","",VLOOKUP(AD71,Varsayımlar!$B:$Q,10,0))</f>
        <v>4</v>
      </c>
      <c r="T71" s="160">
        <f>IF(B71="","",VLOOKUP(AD71,Varsayımlar!$B:$Q,11,0))</f>
        <v>6</v>
      </c>
      <c r="U71" s="160">
        <f>IF(B71="","",VLOOKUP(AD71,Varsayımlar!$B:$Q,12,0))</f>
        <v>480</v>
      </c>
      <c r="V71" s="160" t="str">
        <f>IF(B71="","",VLOOKUP(AD71,Varsayımlar!$B:$Q,13,0))</f>
        <v>Yurtdışı</v>
      </c>
      <c r="W71" s="160">
        <f>IF(B71="","",VLOOKUP(AD71,Varsayımlar!$B:$Q,14,0))</f>
        <v>6</v>
      </c>
      <c r="X71" s="160"/>
      <c r="Y71" s="160"/>
      <c r="Z71" s="160"/>
      <c r="AA71" s="160" t="str">
        <f>IF(B71="","",VLOOKUP(AD71,Varsayımlar!$B:$Q,15,0))</f>
        <v>Pizza Kolisi</v>
      </c>
      <c r="AB71" s="160" t="str">
        <f>IF(B71="","",VLOOKUP(AD71,Varsayımlar!$B:$Q,16,0))</f>
        <v>25-27cm</v>
      </c>
      <c r="AC71" s="75" t="e">
        <f>IF(B71="","",VLOOKUP(Sayfa1!AD130,Varsayımlar!B:S,18,0))</f>
        <v>#N/A</v>
      </c>
      <c r="AD71" s="57" t="str">
        <f t="shared" ref="AD71" si="10">IF(B71="","",CONCATENATE(B71,E71))</f>
        <v>BelamionixTortillas 26cm Pizza 4pcs 480g</v>
      </c>
    </row>
    <row r="72" spans="1:30" x14ac:dyDescent="0.25">
      <c r="A72" s="8" t="s">
        <v>87</v>
      </c>
      <c r="B72" s="67"/>
      <c r="C72" s="42" t="str">
        <f>IF(B72="","",VLOOKUP(AD72,#REF!,3,0))</f>
        <v/>
      </c>
      <c r="D72" s="42"/>
      <c r="E72" s="42"/>
      <c r="F72" s="67"/>
      <c r="G72" s="67"/>
      <c r="H72" s="67" t="str">
        <f>IF(B72="","",VLOOKUP(AD72,#REF!,5,0))</f>
        <v/>
      </c>
      <c r="I72" s="67" t="str">
        <f>IF(B72="","",VLOOKUP(AD72,#REF!,19,0))</f>
        <v/>
      </c>
      <c r="J72" s="67" t="str">
        <f>IF(B72="","",VLOOKUP(AD72,#REF!,6,0))</f>
        <v/>
      </c>
      <c r="K72" s="67"/>
      <c r="L72" s="67"/>
      <c r="M72" s="67" t="str">
        <f>IFERROR(IF(B72="","",K72/VLOOKUP(AD72,#REF!,17,0)),"")</f>
        <v/>
      </c>
      <c r="N72" s="67"/>
      <c r="O72" s="67"/>
      <c r="P72" s="67" t="str">
        <f>IF(B72="","",VLOOKUP(AD72,#REF!,7,0)*K72)</f>
        <v/>
      </c>
      <c r="Q72" s="67" t="str">
        <f>IF(B72="","",VLOOKUP(AD72,#REF!,8,0))</f>
        <v/>
      </c>
      <c r="R72" s="67" t="str">
        <f>IF(B72="","",VLOOKUP(AD72,#REF!,9,0))</f>
        <v/>
      </c>
      <c r="S72" s="67" t="str">
        <f>IF(B72="","",VLOOKUP(AD72,#REF!,10,0))</f>
        <v/>
      </c>
      <c r="T72" s="67" t="str">
        <f>IF(B72="","",VLOOKUP(AD72,#REF!,11,0))</f>
        <v/>
      </c>
      <c r="U72" s="67" t="str">
        <f>IF(B72="","",VLOOKUP(AD72,#REF!,12,0))</f>
        <v/>
      </c>
      <c r="V72" s="67" t="str">
        <f>IF(B72="","",VLOOKUP(AD72,#REF!,13,0))</f>
        <v/>
      </c>
      <c r="W72" s="67" t="str">
        <f>IF(B72="","",VLOOKUP(AD72,#REF!,14,0))</f>
        <v/>
      </c>
      <c r="X72" s="69"/>
      <c r="Y72" s="69"/>
      <c r="Z72" s="67"/>
      <c r="AA72" s="67" t="str">
        <f>IF(B72="","",VLOOKUP(AD72,#REF!,15,0))</f>
        <v/>
      </c>
      <c r="AB72" s="67" t="str">
        <f>IF(B72="","",VLOOKUP(AD72,#REF!,16,0))</f>
        <v/>
      </c>
    </row>
    <row r="73" spans="1:30" x14ac:dyDescent="0.25">
      <c r="A73" s="8" t="s">
        <v>88</v>
      </c>
      <c r="B73" s="67"/>
      <c r="C73" s="42" t="str">
        <f>IF(B73="","",VLOOKUP(AD73,#REF!,3,0))</f>
        <v/>
      </c>
      <c r="D73" s="42"/>
      <c r="E73" s="42"/>
      <c r="F73" s="67"/>
      <c r="G73" s="67"/>
      <c r="H73" s="67" t="str">
        <f>IF(B73="","",VLOOKUP(AD73,#REF!,5,0))</f>
        <v/>
      </c>
      <c r="I73" s="67" t="str">
        <f>IF(B73="","",VLOOKUP(AD73,#REF!,19,0))</f>
        <v/>
      </c>
      <c r="J73" s="67" t="str">
        <f>IF(B73="","",VLOOKUP(AD73,#REF!,6,0))</f>
        <v/>
      </c>
      <c r="K73" s="67"/>
      <c r="L73" s="67"/>
      <c r="M73" s="67" t="str">
        <f>IFERROR(IF(B73="","",K73/VLOOKUP(AD73,#REF!,17,0)),"")</f>
        <v/>
      </c>
      <c r="N73" s="67"/>
      <c r="O73" s="67"/>
      <c r="P73" s="67" t="str">
        <f>IF(B73="","",VLOOKUP(AD73,#REF!,7,0)*K73)</f>
        <v/>
      </c>
      <c r="Q73" s="67" t="str">
        <f>IF(B73="","",VLOOKUP(AD73,#REF!,8,0))</f>
        <v/>
      </c>
      <c r="R73" s="67" t="str">
        <f>IF(B73="","",VLOOKUP(AD73,#REF!,9,0))</f>
        <v/>
      </c>
      <c r="S73" s="67" t="str">
        <f>IF(B73="","",VLOOKUP(AD73,#REF!,10,0))</f>
        <v/>
      </c>
      <c r="T73" s="67" t="str">
        <f>IF(B73="","",VLOOKUP(AD73,#REF!,11,0))</f>
        <v/>
      </c>
      <c r="U73" s="67" t="str">
        <f>IF(B73="","",VLOOKUP(AD73,#REF!,12,0))</f>
        <v/>
      </c>
      <c r="V73" s="67" t="str">
        <f>IF(B73="","",VLOOKUP(AD73,#REF!,13,0))</f>
        <v/>
      </c>
      <c r="W73" s="67" t="str">
        <f>IF(B73="","",VLOOKUP(AD73,#REF!,14,0))</f>
        <v/>
      </c>
      <c r="X73" s="69"/>
      <c r="Y73" s="69"/>
      <c r="Z73" s="67"/>
      <c r="AA73" s="67" t="str">
        <f>IF(B73="","",VLOOKUP(AD73,#REF!,15,0))</f>
        <v/>
      </c>
      <c r="AB73" s="67" t="str">
        <f>IF(B73="","",VLOOKUP(AD73,#REF!,16,0))</f>
        <v/>
      </c>
    </row>
    <row r="74" spans="1:30" x14ac:dyDescent="0.25">
      <c r="A74" s="8" t="s">
        <v>89</v>
      </c>
      <c r="B74" s="67"/>
      <c r="C74" s="42" t="str">
        <f>IF(B74="","",VLOOKUP(AD74,#REF!,3,0))</f>
        <v/>
      </c>
      <c r="D74" s="42"/>
      <c r="E74" s="42"/>
      <c r="F74" s="67"/>
      <c r="G74" s="67"/>
      <c r="H74" s="67" t="str">
        <f>IF(B74="","",VLOOKUP(AD74,#REF!,5,0))</f>
        <v/>
      </c>
      <c r="I74" s="67" t="str">
        <f>IF(B74="","",VLOOKUP(AD74,#REF!,19,0))</f>
        <v/>
      </c>
      <c r="J74" s="67" t="str">
        <f>IF(B74="","",VLOOKUP(AD74,#REF!,6,0))</f>
        <v/>
      </c>
      <c r="K74" s="67"/>
      <c r="L74" s="67"/>
      <c r="M74" s="67" t="str">
        <f>IFERROR(IF(B74="","",K74/VLOOKUP(AD74,#REF!,17,0)),"")</f>
        <v/>
      </c>
      <c r="N74" s="67"/>
      <c r="O74" s="67"/>
      <c r="P74" s="67" t="str">
        <f>IF(B74="","",VLOOKUP(AD74,#REF!,7,0)*K74)</f>
        <v/>
      </c>
      <c r="Q74" s="67" t="str">
        <f>IF(B74="","",VLOOKUP(AD74,#REF!,8,0))</f>
        <v/>
      </c>
      <c r="R74" s="67" t="str">
        <f>IF(B74="","",VLOOKUP(AD74,#REF!,9,0))</f>
        <v/>
      </c>
      <c r="S74" s="67" t="str">
        <f>IF(B74="","",VLOOKUP(AD74,#REF!,10,0))</f>
        <v/>
      </c>
      <c r="T74" s="67" t="str">
        <f>IF(B74="","",VLOOKUP(AD74,#REF!,11,0))</f>
        <v/>
      </c>
      <c r="U74" s="67" t="str">
        <f>IF(B74="","",VLOOKUP(AD74,#REF!,12,0))</f>
        <v/>
      </c>
      <c r="V74" s="67" t="str">
        <f>IF(B74="","",VLOOKUP(AD74,#REF!,13,0))</f>
        <v/>
      </c>
      <c r="W74" s="67" t="str">
        <f>IF(B74="","",VLOOKUP(AD74,#REF!,14,0))</f>
        <v/>
      </c>
      <c r="X74" s="69"/>
      <c r="Y74" s="69"/>
      <c r="Z74" s="67"/>
      <c r="AA74" s="67" t="str">
        <f>IF(B74="","",VLOOKUP(AD74,#REF!,15,0))</f>
        <v/>
      </c>
      <c r="AB74" s="67" t="str">
        <f>IF(B74="","",VLOOKUP(AD74,#REF!,16,0))</f>
        <v/>
      </c>
    </row>
    <row r="75" spans="1:30" x14ac:dyDescent="0.25">
      <c r="A75" s="8" t="s">
        <v>90</v>
      </c>
      <c r="B75" s="67"/>
      <c r="C75" s="42" t="str">
        <f>IF(B75="","",VLOOKUP(AD75,#REF!,3,0))</f>
        <v/>
      </c>
      <c r="D75" s="42"/>
      <c r="E75" s="42"/>
      <c r="F75" s="67"/>
      <c r="G75" s="67"/>
      <c r="H75" s="67" t="str">
        <f>IF(B75="","",VLOOKUP(AD75,#REF!,5,0))</f>
        <v/>
      </c>
      <c r="I75" s="67" t="str">
        <f>IF(B75="","",VLOOKUP(AD75,#REF!,19,0))</f>
        <v/>
      </c>
      <c r="J75" s="67" t="str">
        <f>IF(B75="","",VLOOKUP(AD75,#REF!,6,0))</f>
        <v/>
      </c>
      <c r="K75" s="67"/>
      <c r="L75" s="67"/>
      <c r="M75" s="67" t="str">
        <f>IFERROR(IF(B75="","",K75/VLOOKUP(AD75,#REF!,17,0)),"")</f>
        <v/>
      </c>
      <c r="N75" s="67"/>
      <c r="O75" s="67"/>
      <c r="P75" s="67" t="str">
        <f>IF(B75="","",VLOOKUP(AD75,#REF!,7,0)*K75)</f>
        <v/>
      </c>
      <c r="Q75" s="67" t="str">
        <f>IF(B75="","",VLOOKUP(AD75,#REF!,8,0))</f>
        <v/>
      </c>
      <c r="R75" s="67" t="str">
        <f>IF(B75="","",VLOOKUP(AD75,#REF!,9,0))</f>
        <v/>
      </c>
      <c r="S75" s="67" t="str">
        <f>IF(B75="","",VLOOKUP(AD75,#REF!,10,0))</f>
        <v/>
      </c>
      <c r="T75" s="67" t="str">
        <f>IF(B75="","",VLOOKUP(AD75,#REF!,11,0))</f>
        <v/>
      </c>
      <c r="U75" s="67" t="str">
        <f>IF(B75="","",VLOOKUP(AD75,#REF!,12,0))</f>
        <v/>
      </c>
      <c r="V75" s="67" t="str">
        <f>IF(B75="","",VLOOKUP(AD75,#REF!,13,0))</f>
        <v/>
      </c>
      <c r="W75" s="67" t="str">
        <f>IF(B75="","",VLOOKUP(AD75,#REF!,14,0))</f>
        <v/>
      </c>
      <c r="X75" s="69"/>
      <c r="Y75" s="69"/>
      <c r="Z75" s="67"/>
      <c r="AA75" s="67" t="str">
        <f>IF(B75="","",VLOOKUP(AD75,#REF!,15,0))</f>
        <v/>
      </c>
      <c r="AB75" s="67" t="str">
        <f>IF(B75="","",VLOOKUP(AD75,#REF!,16,0))</f>
        <v/>
      </c>
    </row>
    <row r="76" spans="1:30" x14ac:dyDescent="0.25">
      <c r="A76" s="8" t="s">
        <v>91</v>
      </c>
      <c r="B76" s="67"/>
      <c r="C76" s="42" t="str">
        <f>IF(B76="","",VLOOKUP(AD76,#REF!,3,0))</f>
        <v/>
      </c>
      <c r="D76" s="42"/>
      <c r="E76" s="42"/>
      <c r="F76" s="67"/>
      <c r="G76" s="67"/>
      <c r="H76" s="67" t="str">
        <f>IF(B76="","",VLOOKUP(AD76,#REF!,5,0))</f>
        <v/>
      </c>
      <c r="I76" s="67" t="str">
        <f>IF(B76="","",VLOOKUP(AD76,#REF!,19,0))</f>
        <v/>
      </c>
      <c r="J76" s="67" t="str">
        <f>IF(B76="","",VLOOKUP(AD76,#REF!,6,0))</f>
        <v/>
      </c>
      <c r="K76" s="67"/>
      <c r="L76" s="67"/>
      <c r="M76" s="67" t="str">
        <f>IFERROR(IF(B76="","",K76/VLOOKUP(AD76,#REF!,17,0)),"")</f>
        <v/>
      </c>
      <c r="N76" s="67"/>
      <c r="O76" s="67"/>
      <c r="P76" s="67" t="str">
        <f>IF(B76="","",VLOOKUP(AD76,#REF!,7,0)*K76)</f>
        <v/>
      </c>
      <c r="Q76" s="67" t="str">
        <f>IF(B76="","",VLOOKUP(AD76,#REF!,8,0))</f>
        <v/>
      </c>
      <c r="R76" s="67" t="str">
        <f>IF(B76="","",VLOOKUP(AD76,#REF!,9,0))</f>
        <v/>
      </c>
      <c r="S76" s="67" t="str">
        <f>IF(B76="","",VLOOKUP(AD76,#REF!,10,0))</f>
        <v/>
      </c>
      <c r="T76" s="67" t="str">
        <f>IF(B76="","",VLOOKUP(AD76,#REF!,11,0))</f>
        <v/>
      </c>
      <c r="U76" s="67" t="str">
        <f>IF(B76="","",VLOOKUP(AD76,#REF!,12,0))</f>
        <v/>
      </c>
      <c r="V76" s="67" t="str">
        <f>IF(B76="","",VLOOKUP(AD76,#REF!,13,0))</f>
        <v/>
      </c>
      <c r="W76" s="67" t="str">
        <f>IF(B76="","",VLOOKUP(AD76,#REF!,14,0))</f>
        <v/>
      </c>
      <c r="X76" s="69"/>
      <c r="Y76" s="69"/>
      <c r="Z76" s="67"/>
      <c r="AA76" s="67" t="str">
        <f>IF(B76="","",VLOOKUP(AD76,#REF!,15,0))</f>
        <v/>
      </c>
      <c r="AB76" s="67" t="str">
        <f>IF(B76="","",VLOOKUP(AD76,#REF!,16,0))</f>
        <v/>
      </c>
    </row>
    <row r="77" spans="1:30" x14ac:dyDescent="0.25">
      <c r="A77" s="8" t="s">
        <v>92</v>
      </c>
      <c r="B77" s="67"/>
      <c r="C77" s="42" t="str">
        <f>IF(B77="","",VLOOKUP(AD77,#REF!,3,0))</f>
        <v/>
      </c>
      <c r="D77" s="42"/>
      <c r="E77" s="42"/>
      <c r="F77" s="67"/>
      <c r="G77" s="67"/>
      <c r="H77" s="67" t="str">
        <f>IF(B77="","",VLOOKUP(AD77,#REF!,5,0))</f>
        <v/>
      </c>
      <c r="I77" s="67" t="str">
        <f>IF(B77="","",VLOOKUP(AD77,#REF!,19,0))</f>
        <v/>
      </c>
      <c r="J77" s="67" t="str">
        <f>IF(B77="","",VLOOKUP(AD77,#REF!,6,0))</f>
        <v/>
      </c>
      <c r="K77" s="67"/>
      <c r="L77" s="67"/>
      <c r="M77" s="67" t="str">
        <f>IFERROR(IF(B77="","",K77/VLOOKUP(AD77,#REF!,17,0)),"")</f>
        <v/>
      </c>
      <c r="N77" s="67"/>
      <c r="O77" s="67"/>
      <c r="P77" s="67" t="str">
        <f>IF(B77="","",VLOOKUP(AD77,#REF!,7,0)*K77)</f>
        <v/>
      </c>
      <c r="Q77" s="67" t="str">
        <f>IF(B77="","",VLOOKUP(AD77,#REF!,8,0))</f>
        <v/>
      </c>
      <c r="R77" s="67" t="str">
        <f>IF(B77="","",VLOOKUP(AD77,#REF!,9,0))</f>
        <v/>
      </c>
      <c r="S77" s="67" t="str">
        <f>IF(B77="","",VLOOKUP(AD77,#REF!,10,0))</f>
        <v/>
      </c>
      <c r="T77" s="67" t="str">
        <f>IF(B77="","",VLOOKUP(AD77,#REF!,11,0))</f>
        <v/>
      </c>
      <c r="U77" s="67" t="str">
        <f>IF(B77="","",VLOOKUP(AD77,#REF!,12,0))</f>
        <v/>
      </c>
      <c r="V77" s="67" t="str">
        <f>IF(B77="","",VLOOKUP(AD77,#REF!,13,0))</f>
        <v/>
      </c>
      <c r="W77" s="67" t="str">
        <f>IF(B77="","",VLOOKUP(AD77,#REF!,14,0))</f>
        <v/>
      </c>
      <c r="X77" s="69"/>
      <c r="Y77" s="69"/>
      <c r="Z77" s="67"/>
      <c r="AA77" s="67" t="str">
        <f>IF(B77="","",VLOOKUP(AD77,#REF!,15,0))</f>
        <v/>
      </c>
      <c r="AB77" s="67" t="str">
        <f>IF(B77="","",VLOOKUP(AD77,#REF!,16,0))</f>
        <v/>
      </c>
    </row>
    <row r="78" spans="1:30" x14ac:dyDescent="0.25">
      <c r="A78" s="8" t="s">
        <v>93</v>
      </c>
      <c r="B78" s="67"/>
      <c r="C78" s="42" t="str">
        <f>IF(B78="","",VLOOKUP(AD78,#REF!,3,0))</f>
        <v/>
      </c>
      <c r="D78" s="42"/>
      <c r="E78" s="42"/>
      <c r="F78" s="67"/>
      <c r="G78" s="67"/>
      <c r="H78" s="67" t="str">
        <f>IF(B78="","",VLOOKUP(AD78,#REF!,5,0))</f>
        <v/>
      </c>
      <c r="I78" s="67" t="str">
        <f>IF(B78="","",VLOOKUP(AD78,#REF!,19,0))</f>
        <v/>
      </c>
      <c r="J78" s="67" t="str">
        <f>IF(B78="","",VLOOKUP(AD78,#REF!,6,0))</f>
        <v/>
      </c>
      <c r="K78" s="67"/>
      <c r="L78" s="67"/>
      <c r="M78" s="67" t="str">
        <f>IFERROR(IF(B78="","",K78/VLOOKUP(AD78,#REF!,17,0)),"")</f>
        <v/>
      </c>
      <c r="N78" s="67"/>
      <c r="O78" s="67"/>
      <c r="P78" s="67" t="str">
        <f>IF(B78="","",VLOOKUP(AD78,#REF!,7,0)*K78)</f>
        <v/>
      </c>
      <c r="Q78" s="67" t="str">
        <f>IF(B78="","",VLOOKUP(AD78,#REF!,8,0))</f>
        <v/>
      </c>
      <c r="R78" s="67" t="str">
        <f>IF(B78="","",VLOOKUP(AD78,#REF!,9,0))</f>
        <v/>
      </c>
      <c r="S78" s="67" t="str">
        <f>IF(B78="","",VLOOKUP(AD78,#REF!,10,0))</f>
        <v/>
      </c>
      <c r="T78" s="67" t="str">
        <f>IF(B78="","",VLOOKUP(AD78,#REF!,11,0))</f>
        <v/>
      </c>
      <c r="U78" s="67" t="str">
        <f>IF(B78="","",VLOOKUP(AD78,#REF!,12,0))</f>
        <v/>
      </c>
      <c r="V78" s="67" t="str">
        <f>IF(B78="","",VLOOKUP(AD78,#REF!,13,0))</f>
        <v/>
      </c>
      <c r="W78" s="67" t="str">
        <f>IF(B78="","",VLOOKUP(AD78,#REF!,14,0))</f>
        <v/>
      </c>
      <c r="X78" s="69"/>
      <c r="Y78" s="69"/>
      <c r="Z78" s="67"/>
      <c r="AA78" s="67" t="str">
        <f>IF(B78="","",VLOOKUP(AD78,#REF!,15,0))</f>
        <v/>
      </c>
      <c r="AB78" s="67" t="str">
        <f>IF(B78="","",VLOOKUP(AD78,#REF!,16,0))</f>
        <v/>
      </c>
    </row>
  </sheetData>
  <mergeCells count="5">
    <mergeCell ref="A1:AC1"/>
    <mergeCell ref="A2:Z2"/>
    <mergeCell ref="AB2:AC2"/>
    <mergeCell ref="A41:AB41"/>
    <mergeCell ref="A57:AB57"/>
  </mergeCells>
  <phoneticPr fontId="5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0"/>
  <sheetViews>
    <sheetView zoomScale="70" zoomScaleNormal="70" workbookViewId="0">
      <selection sqref="A1:XFD1048576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customWidth="1"/>
    <col min="6" max="6" width="14" style="140" customWidth="1"/>
    <col min="7" max="7" width="16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4.57031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46205</v>
      </c>
      <c r="AB2" s="185">
        <v>0.375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0" ht="47.25" x14ac:dyDescent="0.25">
      <c r="A4" s="8" t="s">
        <v>26</v>
      </c>
      <c r="B4" s="54" t="s">
        <v>268</v>
      </c>
      <c r="C4" s="39">
        <f>IF(B4="","",VLOOKUP(AD4,Varsayımlar!$B:$Q,3,0))</f>
        <v>8698829380698</v>
      </c>
      <c r="D4" s="39" t="s">
        <v>160</v>
      </c>
      <c r="E4" s="54" t="s">
        <v>278</v>
      </c>
      <c r="F4" s="54" t="s">
        <v>343</v>
      </c>
      <c r="G4" s="39" t="s">
        <v>68</v>
      </c>
      <c r="H4" s="54" t="str">
        <f>IF(B4="","",VLOOKUP(AD4,Varsayımlar!$B:$Q,5,0))</f>
        <v>Magnit Tortillas 25cm Peynirli</v>
      </c>
      <c r="I4" s="54" t="str">
        <f>IF(B4="","",VLOOKUP(AD4,Varsayımlar!B:T,19,0))</f>
        <v>Etiketli</v>
      </c>
      <c r="J4" s="54" t="str">
        <f>IF(B4="","",VLOOKUP(AD4,Varsayımlar!$B:$Q,6,0))</f>
        <v>Peynirli</v>
      </c>
      <c r="K4" s="54">
        <v>504</v>
      </c>
      <c r="L4" s="54"/>
      <c r="M4" s="54">
        <f>IFERROR(IF(B4="","",K4/VLOOKUP(AD4,Varsayımlar!B:R,17,0)),"")</f>
        <v>6</v>
      </c>
      <c r="N4" s="54"/>
      <c r="O4" s="54">
        <v>9</v>
      </c>
      <c r="P4" s="54">
        <f>IF(B4="","",VLOOKUP(AD4,Varsayımlar!$B:$Q,7,0)*K4)</f>
        <v>15120</v>
      </c>
      <c r="Q4" s="54">
        <f>IF(B4="","",VLOOKUP(AD4,Varsayımlar!$B:$Q,8,0))</f>
        <v>25</v>
      </c>
      <c r="R4" s="54" t="str">
        <f>IF(B4="","",VLOOKUP(AD4,Varsayımlar!$B:$Q,9,0))</f>
        <v>Soft-PA3-AT</v>
      </c>
      <c r="S4" s="54">
        <f>IF(B4="","",VLOOKUP(AD4,Varsayımlar!$B:$Q,10,0))</f>
        <v>4</v>
      </c>
      <c r="T4" s="54">
        <f>IF(B4="","",VLOOKUP(AD4,Varsayımlar!$B:$Q,11,0))</f>
        <v>30</v>
      </c>
      <c r="U4" s="54">
        <f>IF(B4="","",VLOOKUP(AD4,Varsayımlar!$B:$Q,12,0))</f>
        <v>250</v>
      </c>
      <c r="V4" s="54" t="str">
        <f>IF(B4="","",VLOOKUP(AD4,Varsayımlar!$B:$Q,13,0))</f>
        <v>Yurtdışı</v>
      </c>
      <c r="W4" s="54">
        <f>IF(B4="","",VLOOKUP(AD4,Varsayımlar!$B:$Q,14,0))</f>
        <v>9</v>
      </c>
      <c r="X4" s="56">
        <v>46205</v>
      </c>
      <c r="Y4" s="56">
        <v>46479</v>
      </c>
      <c r="Z4" s="54" t="s">
        <v>386</v>
      </c>
      <c r="AA4" s="54" t="str">
        <f>IF(B4="","",VLOOKUP(AD4,Varsayımlar!$B:$Q,15,0))</f>
        <v>25cm Kolisi-Etiketli</v>
      </c>
      <c r="AB4" s="54" t="str">
        <f>IF(B4="","",VLOOKUP(AD4,Varsayımlar!$B:$Q,16,0))</f>
        <v>24-26 cm (Macca Hetto Inkjet Uzun Tarih)</v>
      </c>
      <c r="AC4" s="54" t="str">
        <f>IF(B4="","",VLOOKUP(Sayfa1!AD39,Varsayımlar!B:S,18,0))</f>
        <v>80x120cm</v>
      </c>
      <c r="AD4" s="57" t="str">
        <f t="shared" ref="AD4:AD35" si="0">IF(B4="","",CONCATENATE(B4,E4))</f>
        <v>LAIKYUZHN-BELARUSMagnit Tortillas 25cm Peynirli 4pcs 240g</v>
      </c>
    </row>
    <row r="5" spans="1:30" ht="45.75" customHeight="1" x14ac:dyDescent="0.25">
      <c r="A5" s="8" t="s">
        <v>77</v>
      </c>
      <c r="B5" s="130" t="s">
        <v>119</v>
      </c>
      <c r="C5" s="131">
        <f>IF(B5="","",VLOOKUP(AD5,Varsayımlar!$B:$Q,3,0))</f>
        <v>8698829380698</v>
      </c>
      <c r="D5" s="131"/>
      <c r="E5" s="132" t="s">
        <v>120</v>
      </c>
      <c r="F5" s="130"/>
      <c r="G5" s="130"/>
      <c r="H5" s="130" t="str">
        <f>IF(B5="","",VLOOKUP(AD5,Varsayımlar!$B:$Q,5,0))</f>
        <v>Nimet 25 cm</v>
      </c>
      <c r="I5" s="130"/>
      <c r="J5" s="130" t="str">
        <f>IF(B5="","",VLOOKUP(AD5,Varsayımlar!$B:$Q,6,0))</f>
        <v>SADE</v>
      </c>
      <c r="K5" s="130">
        <v>5000</v>
      </c>
      <c r="L5" s="130"/>
      <c r="M5" s="130">
        <f>IFERROR(IF(B5="","",K5/VLOOKUP(AD5,Varsayımlar!B:R,17,0)),"")</f>
        <v>100</v>
      </c>
      <c r="N5" s="130"/>
      <c r="O5" s="130">
        <v>100</v>
      </c>
      <c r="P5" s="130">
        <f>IF(B5="","",VLOOKUP(AD5,Varsayımlar!$B:$Q,7,0)*K5)</f>
        <v>60000</v>
      </c>
      <c r="Q5" s="130">
        <f>IF(B5="","",VLOOKUP(AD5,Varsayımlar!$B:$Q,8,0))</f>
        <v>25</v>
      </c>
      <c r="R5" s="130" t="str">
        <f>IF(B5="","",VLOOKUP(AD5,Varsayımlar!$B:$Q,9,0))</f>
        <v>Standart</v>
      </c>
      <c r="S5" s="130">
        <f>IF(B5="","",VLOOKUP(AD5,Varsayımlar!$B:$Q,10,0))</f>
        <v>12</v>
      </c>
      <c r="T5" s="130">
        <f>IF(B5="","",VLOOKUP(AD5,Varsayımlar!$B:$Q,11,0))</f>
        <v>12</v>
      </c>
      <c r="U5" s="130">
        <f>IF(B5="","",VLOOKUP(AD5,Varsayımlar!$B:$Q,12,0))</f>
        <v>840</v>
      </c>
      <c r="V5" s="130" t="str">
        <f>IF(B5="","",VLOOKUP(AD5,Varsayımlar!$B:$Q,13,0))</f>
        <v>YURTİÇİ</v>
      </c>
      <c r="W5" s="130">
        <f>IF(B5="","",VLOOKUP(AD5,Varsayımlar!$B:$Q,14,0))</f>
        <v>5</v>
      </c>
      <c r="X5" s="133" t="s">
        <v>113</v>
      </c>
      <c r="Y5" s="133" t="s">
        <v>113</v>
      </c>
      <c r="Z5" s="130" t="s">
        <v>113</v>
      </c>
      <c r="AA5" s="130" t="str">
        <f>IF(B5="","",VLOOKUP(AD5,Varsayımlar!$B:$Q,15,0))</f>
        <v>Nimet Kolisi</v>
      </c>
      <c r="AB5" s="130" t="str">
        <f>IF(B5="","",VLOOKUP(AD5,Varsayımlar!$B:$Q,16,0))</f>
        <v>24-26 CM</v>
      </c>
      <c r="AC5" s="64" t="s">
        <v>360</v>
      </c>
      <c r="AD5" s="57" t="str">
        <f t="shared" si="0"/>
        <v>A101Nimet 25cm 12 pcs 840g</v>
      </c>
    </row>
    <row r="6" spans="1:30" ht="45.75" customHeight="1" x14ac:dyDescent="0.25">
      <c r="A6" s="8"/>
      <c r="B6" s="193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5"/>
      <c r="AC6" s="64"/>
      <c r="AD6" s="57"/>
    </row>
    <row r="7" spans="1:30" ht="31.5" x14ac:dyDescent="0.25">
      <c r="A7" s="8" t="s">
        <v>78</v>
      </c>
      <c r="B7" s="75" t="s">
        <v>218</v>
      </c>
      <c r="C7" s="43">
        <f>IF(B7="","",VLOOKUP(AD7,Varsayımlar!$B:$Q,3,0))</f>
        <v>8698829380698</v>
      </c>
      <c r="D7" s="43" t="s">
        <v>161</v>
      </c>
      <c r="E7" s="75" t="s">
        <v>229</v>
      </c>
      <c r="F7" s="75" t="s">
        <v>561</v>
      </c>
      <c r="G7" s="43"/>
      <c r="H7" s="75" t="str">
        <f>IF(B7="","",VLOOKUP(AD7,Varsayımlar!$B:$Q,5,0))</f>
        <v>Tortillas Avrupa 25cm Tam Buğday (711)</v>
      </c>
      <c r="I7" s="75">
        <f>IF(B7="","",VLOOKUP(AD7,Varsayımlar!B:T,19,0))</f>
        <v>0</v>
      </c>
      <c r="J7" s="75" t="str">
        <f>IF(B7="","",VLOOKUP(AD7,Varsayımlar!$B:$Q,6,0))</f>
        <v>Tam Buğdaylı</v>
      </c>
      <c r="K7" s="75">
        <v>600</v>
      </c>
      <c r="L7" s="75"/>
      <c r="M7" s="75">
        <f>IFERROR(IF(B7="","",K7/VLOOKUP(AD7,Varsayımlar!B:R,17,0)),"")</f>
        <v>5</v>
      </c>
      <c r="N7" s="75"/>
      <c r="O7" s="75">
        <v>7</v>
      </c>
      <c r="P7" s="75">
        <f>IF(B7="","",VLOOKUP(AD7,Varsayımlar!$B:$Q,7,0)*K7)</f>
        <v>4800</v>
      </c>
      <c r="Q7" s="75">
        <f>IF(B7="","",VLOOKUP(AD7,Varsayımlar!$B:$Q,8,0))</f>
        <v>25</v>
      </c>
      <c r="R7" s="75" t="str">
        <f>IF(B7="","",VLOOKUP(AD7,Varsayımlar!$B:$Q,9,0))</f>
        <v>Irak Soft</v>
      </c>
      <c r="S7" s="75">
        <f>IF(B7="","",VLOOKUP(AD7,Varsayımlar!$B:$Q,10,0))</f>
        <v>10</v>
      </c>
      <c r="T7" s="75">
        <f>IF(B7="","",VLOOKUP(AD7,Varsayımlar!$B:$Q,11,0))</f>
        <v>8</v>
      </c>
      <c r="U7" s="75">
        <f>IF(B7="","",VLOOKUP(AD7,Varsayımlar!$B:$Q,12,0))</f>
        <v>650</v>
      </c>
      <c r="V7" s="75" t="str">
        <f>IF(B7="","",VLOOKUP(AD7,Varsayımlar!$B:$Q,13,0))</f>
        <v>Yurtdışı</v>
      </c>
      <c r="W7" s="75">
        <f>IF(B7="","",VLOOKUP(AD7,Varsayımlar!$B:$Q,14,0))</f>
        <v>9</v>
      </c>
      <c r="X7" s="76">
        <v>46213</v>
      </c>
      <c r="Y7" s="76">
        <v>46487</v>
      </c>
      <c r="Z7" s="75" t="s">
        <v>562</v>
      </c>
      <c r="AA7" s="75" t="str">
        <f>IF(B7="","",VLOOKUP(AD7,Varsayımlar!$B:$Q,15,0))</f>
        <v>25cm Perforeli-Bulgarca TB etiket</v>
      </c>
      <c r="AB7" s="75" t="str">
        <f>IF(B7="","",VLOOKUP(AD7,Varsayımlar!$B:$Q,16,0))</f>
        <v>24-26 cm</v>
      </c>
      <c r="AC7" s="75" t="str">
        <f>IF(B7="","",VLOOKUP(Sayfa1!AD63,Varsayımlar!B:S,18,0))</f>
        <v>80x120cm -Epal+Epal</v>
      </c>
      <c r="AD7" s="57" t="str">
        <f t="shared" si="0"/>
        <v>TASTE LAND-BULGARİSTANTortillas 25cm Tam Buğday 10pcs 650g</v>
      </c>
    </row>
    <row r="8" spans="1:30" ht="31.5" x14ac:dyDescent="0.25">
      <c r="A8" s="8" t="s">
        <v>79</v>
      </c>
      <c r="B8" s="75" t="s">
        <v>218</v>
      </c>
      <c r="C8" s="43">
        <f>IF(B8="","",VLOOKUP(AD8,Varsayımlar!$B:$Q,3,0))</f>
        <v>8698829380698</v>
      </c>
      <c r="D8" s="43" t="s">
        <v>161</v>
      </c>
      <c r="E8" s="43" t="s">
        <v>560</v>
      </c>
      <c r="F8" s="75" t="s">
        <v>561</v>
      </c>
      <c r="G8" s="43" t="s">
        <v>564</v>
      </c>
      <c r="H8" s="75" t="str">
        <f>IF(B8="","",VLOOKUP(AD8,Varsayımlar!$B:$Q,5,0))</f>
        <v>Baskısız 30cm</v>
      </c>
      <c r="I8" s="75" t="str">
        <f>IF(B8="","",VLOOKUP(AD8,Varsayımlar!B:T,19,0))</f>
        <v>Etiketli</v>
      </c>
      <c r="J8" s="75" t="str">
        <f>IF(B8="","",VLOOKUP(AD8,Varsayımlar!$B:$Q,6,0))</f>
        <v>Tam Buğdaylı</v>
      </c>
      <c r="K8" s="75">
        <v>252</v>
      </c>
      <c r="L8" s="75"/>
      <c r="M8" s="75">
        <f>IFERROR(IF(B8="","",K8/VLOOKUP(AD8,Varsayımlar!B:R,17,0)),"")</f>
        <v>3</v>
      </c>
      <c r="N8" s="75"/>
      <c r="O8" s="75">
        <v>4</v>
      </c>
      <c r="P8" s="75">
        <f>IF(B8="","",VLOOKUP(AD8,Varsayımlar!$B:$Q,7,0)*K8)</f>
        <v>1512</v>
      </c>
      <c r="Q8" s="75">
        <f>IF(B8="","",VLOOKUP(AD8,Varsayımlar!$B:$Q,8,0))</f>
        <v>25</v>
      </c>
      <c r="R8" s="75" t="str">
        <f>IF(B8="","",VLOOKUP(AD8,Varsayımlar!$B:$Q,9,0))</f>
        <v>Irak soft</v>
      </c>
      <c r="S8" s="75">
        <f>IF(B8="","",VLOOKUP(AD8,Varsayımlar!$B:$Q,10,0))</f>
        <v>18</v>
      </c>
      <c r="T8" s="75">
        <f>IF(B8="","",VLOOKUP(AD8,Varsayımlar!$B:$Q,11,0))</f>
        <v>6</v>
      </c>
      <c r="U8" s="75">
        <f>IF(B8="","",VLOOKUP(AD8,Varsayımlar!$B:$Q,12,0))</f>
        <v>1170</v>
      </c>
      <c r="V8" s="75" t="str">
        <f>IF(B8="","",VLOOKUP(AD8,Varsayımlar!$B:$Q,13,0))</f>
        <v>YURTDIŞI</v>
      </c>
      <c r="W8" s="75">
        <f>IF(B8="","",VLOOKUP(AD8,Varsayımlar!$B:$Q,14,0))</f>
        <v>9</v>
      </c>
      <c r="X8" s="76">
        <v>46213</v>
      </c>
      <c r="Y8" s="76">
        <v>46487</v>
      </c>
      <c r="Z8" s="75" t="s">
        <v>562</v>
      </c>
      <c r="AA8" s="75" t="str">
        <f>IF(B8="","",VLOOKUP(AD8,Varsayımlar!$B:$Q,15,0))</f>
        <v>25cm Kolisi-Etiketli</v>
      </c>
      <c r="AB8" s="75" t="str">
        <f>IF(B8="","",VLOOKUP(AD8,Varsayımlar!$B:$Q,16,0))</f>
        <v>24-26cm</v>
      </c>
      <c r="AC8" s="75" t="str">
        <f>IF(B8="","",VLOOKUP(Sayfa1!AD64,Varsayımlar!B:S,18,0))</f>
        <v>80x120cm -Epal+Epal</v>
      </c>
      <c r="AD8" s="57" t="str">
        <f t="shared" si="0"/>
        <v>TASTE LAND-BULGARİSTANBaskısız 30cm 18pcs 1170g</v>
      </c>
    </row>
    <row r="9" spans="1:30" ht="47.25" x14ac:dyDescent="0.25">
      <c r="A9" s="8" t="s">
        <v>80</v>
      </c>
      <c r="B9" s="75" t="s">
        <v>218</v>
      </c>
      <c r="C9" s="43">
        <f>IF(B9="","",VLOOKUP(AD9,Varsayımlar!$B:$Q,3,0))</f>
        <v>8698829380698</v>
      </c>
      <c r="D9" s="43" t="s">
        <v>161</v>
      </c>
      <c r="E9" s="75" t="s">
        <v>232</v>
      </c>
      <c r="F9" s="75" t="s">
        <v>561</v>
      </c>
      <c r="G9" s="43"/>
      <c r="H9" s="75" t="str">
        <f>IF(B9="","",VLOOKUP(AD9,Varsayımlar!$B:$Q,5,0))</f>
        <v>Tortillas Avrupa 25cm Domatesli (074)</v>
      </c>
      <c r="I9" s="75">
        <f>IF(B9="","",VLOOKUP(AD9,Varsayımlar!B:T,19,0))</f>
        <v>0</v>
      </c>
      <c r="J9" s="75" t="str">
        <f>IF(B9="","",VLOOKUP(AD9,Varsayımlar!$B:$Q,6,0))</f>
        <v>Domatesli</v>
      </c>
      <c r="K9" s="75">
        <v>600</v>
      </c>
      <c r="L9" s="75"/>
      <c r="M9" s="75">
        <f>IFERROR(IF(B9="","",K9/VLOOKUP(AD9,Varsayımlar!B:R,17,0)),"")</f>
        <v>5</v>
      </c>
      <c r="N9" s="75"/>
      <c r="O9" s="75">
        <v>6</v>
      </c>
      <c r="P9" s="75">
        <f>IF(B9="","",VLOOKUP(AD9,Varsayımlar!$B:$Q,7,0)*K9)</f>
        <v>7200</v>
      </c>
      <c r="Q9" s="75">
        <f>IF(B9="","",VLOOKUP(AD9,Varsayımlar!$B:$Q,8,0))</f>
        <v>25</v>
      </c>
      <c r="R9" s="75" t="str">
        <f>IF(B9="","",VLOOKUP(AD9,Varsayımlar!$B:$Q,9,0))</f>
        <v>Irak Soft</v>
      </c>
      <c r="S9" s="75">
        <f>IF(B9="","",VLOOKUP(AD9,Varsayımlar!$B:$Q,10,0))</f>
        <v>6</v>
      </c>
      <c r="T9" s="75">
        <f>IF(B9="","",VLOOKUP(AD9,Varsayımlar!$B:$Q,11,0))</f>
        <v>12</v>
      </c>
      <c r="U9" s="75">
        <f>IF(B9="","",VLOOKUP(AD9,Varsayımlar!$B:$Q,12,0))</f>
        <v>390</v>
      </c>
      <c r="V9" s="75" t="str">
        <f>IF(B9="","",VLOOKUP(AD9,Varsayımlar!$B:$Q,13,0))</f>
        <v>Yurtdışı</v>
      </c>
      <c r="W9" s="75">
        <f>IF(B9="","",VLOOKUP(AD9,Varsayımlar!$B:$Q,14,0))</f>
        <v>9</v>
      </c>
      <c r="X9" s="76">
        <v>46213</v>
      </c>
      <c r="Y9" s="76">
        <v>46487</v>
      </c>
      <c r="Z9" s="75" t="s">
        <v>565</v>
      </c>
      <c r="AA9" s="75" t="str">
        <f>IF(B9="","",VLOOKUP(AD9,Varsayımlar!$B:$Q,15,0))</f>
        <v>25cm Perforeli-Bulgarca Domatesli etiket</v>
      </c>
      <c r="AB9" s="75" t="str">
        <f>IF(B9="","",VLOOKUP(AD9,Varsayımlar!$B:$Q,16,0))</f>
        <v>24-26 cm</v>
      </c>
      <c r="AC9" s="75" t="str">
        <f>IF(B9="","",VLOOKUP(Sayfa1!AD65,Varsayımlar!B:S,18,0))</f>
        <v>80x120cm -Epal+Epal</v>
      </c>
      <c r="AD9" s="57" t="str">
        <f t="shared" si="0"/>
        <v>TASTE LAND-BULGARİSTANTortillas 25cm Domatesli 6pcs 390g</v>
      </c>
    </row>
    <row r="10" spans="1:30" ht="47.25" x14ac:dyDescent="0.25">
      <c r="A10" s="8" t="s">
        <v>81</v>
      </c>
      <c r="B10" s="75" t="s">
        <v>218</v>
      </c>
      <c r="C10" s="43">
        <f>IF(B10="","",VLOOKUP(AD10,Varsayımlar!$B:$Q,3,0))</f>
        <v>8698829380698</v>
      </c>
      <c r="D10" s="43" t="s">
        <v>161</v>
      </c>
      <c r="E10" s="75" t="s">
        <v>235</v>
      </c>
      <c r="F10" s="75" t="s">
        <v>561</v>
      </c>
      <c r="G10" s="43"/>
      <c r="H10" s="75" t="str">
        <f>IF(B10="","",VLOOKUP(AD10,Varsayımlar!$B:$Q,5,0))</f>
        <v>Tortillas Avrupa 25cm Ispanaklı (081)</v>
      </c>
      <c r="I10" s="75">
        <f>IF(B10="","",VLOOKUP(AD10,Varsayımlar!B:T,19,0))</f>
        <v>0</v>
      </c>
      <c r="J10" s="75" t="str">
        <f>IF(B10="","",VLOOKUP(AD10,Varsayımlar!$B:$Q,6,0))</f>
        <v>Ispanaklı</v>
      </c>
      <c r="K10" s="75">
        <v>600</v>
      </c>
      <c r="L10" s="75"/>
      <c r="M10" s="75">
        <f>IFERROR(IF(B10="","",K10/VLOOKUP(AD10,Varsayımlar!B:R,17,0)),"")</f>
        <v>5</v>
      </c>
      <c r="N10" s="75"/>
      <c r="O10" s="75">
        <v>6</v>
      </c>
      <c r="P10" s="75">
        <f>IF(B10="","",VLOOKUP(AD10,Varsayımlar!$B:$Q,7,0)*K10)</f>
        <v>7200</v>
      </c>
      <c r="Q10" s="75">
        <f>IF(B10="","",VLOOKUP(AD10,Varsayımlar!$B:$Q,8,0))</f>
        <v>25</v>
      </c>
      <c r="R10" s="75" t="str">
        <f>IF(B10="","",VLOOKUP(AD10,Varsayımlar!$B:$Q,9,0))</f>
        <v>Irak Soft</v>
      </c>
      <c r="S10" s="75">
        <f>IF(B10="","",VLOOKUP(AD10,Varsayımlar!$B:$Q,10,0))</f>
        <v>6</v>
      </c>
      <c r="T10" s="75">
        <f>IF(B10="","",VLOOKUP(AD10,Varsayımlar!$B:$Q,11,0))</f>
        <v>12</v>
      </c>
      <c r="U10" s="75">
        <f>IF(B10="","",VLOOKUP(AD10,Varsayımlar!$B:$Q,12,0))</f>
        <v>390</v>
      </c>
      <c r="V10" s="75" t="str">
        <f>IF(B10="","",VLOOKUP(AD10,Varsayımlar!$B:$Q,13,0))</f>
        <v>Yurtdışı</v>
      </c>
      <c r="W10" s="75">
        <f>IF(B10="","",VLOOKUP(AD10,Varsayımlar!$B:$Q,14,0))</f>
        <v>9</v>
      </c>
      <c r="X10" s="76">
        <v>46213</v>
      </c>
      <c r="Y10" s="76">
        <v>46487</v>
      </c>
      <c r="Z10" s="75" t="s">
        <v>566</v>
      </c>
      <c r="AA10" s="75" t="str">
        <f>IF(B10="","",VLOOKUP(AD10,Varsayımlar!$B:$Q,15,0))</f>
        <v>25cm Perforeli-Bulgarca Ispanaklı etiket</v>
      </c>
      <c r="AB10" s="75" t="str">
        <f>IF(B10="","",VLOOKUP(AD10,Varsayımlar!$B:$Q,16,0))</f>
        <v>24-26 cm</v>
      </c>
      <c r="AC10" s="75" t="str">
        <f>IF(B10="","",VLOOKUP(Sayfa1!AD66,Varsayımlar!B:S,18,0))</f>
        <v>80x120cm -Epal+Epal</v>
      </c>
      <c r="AD10" s="57" t="str">
        <f t="shared" si="0"/>
        <v>TASTE LAND-BULGARİSTANTortillas 25cm Ispanaklı 6pcs 390g</v>
      </c>
    </row>
    <row r="11" spans="1:30" ht="47.25" x14ac:dyDescent="0.25">
      <c r="A11" s="8" t="s">
        <v>82</v>
      </c>
      <c r="B11" s="75" t="s">
        <v>218</v>
      </c>
      <c r="C11" s="43">
        <f>IF(B11="","",VLOOKUP(AD11,Varsayımlar!$B:$Q,3,0))</f>
        <v>8698829380698</v>
      </c>
      <c r="D11" s="43" t="s">
        <v>161</v>
      </c>
      <c r="E11" s="75" t="s">
        <v>252</v>
      </c>
      <c r="F11" s="75" t="s">
        <v>561</v>
      </c>
      <c r="G11" s="43"/>
      <c r="H11" s="75" t="str">
        <f>IF(B11="","",VLOOKUP(AD11,Varsayımlar!$B:$Q,5,0))</f>
        <v xml:space="preserve">Tortillas 20cm Sade </v>
      </c>
      <c r="I11" s="75" t="str">
        <f>IF(B11="","",VLOOKUP(AD11,Varsayımlar!B:T,19,0))</f>
        <v>Barkod üzerine Barkod Etiketi (104)</v>
      </c>
      <c r="J11" s="75" t="str">
        <f>IF(B11="","",VLOOKUP(AD11,Varsayımlar!$B:$Q,6,0))</f>
        <v>SADE</v>
      </c>
      <c r="K11" s="75">
        <v>120</v>
      </c>
      <c r="L11" s="75"/>
      <c r="M11" s="75">
        <f>IFERROR(IF(B11="","",K11/VLOOKUP(AD11,Varsayımlar!B:R,17,0)),"")</f>
        <v>1</v>
      </c>
      <c r="N11" s="75"/>
      <c r="O11" s="75">
        <v>2</v>
      </c>
      <c r="P11" s="75">
        <f>IF(B11="","",VLOOKUP(AD11,Varsayımlar!$B:$Q,7,0)*K11)</f>
        <v>2160</v>
      </c>
      <c r="Q11" s="75">
        <f>IF(B11="","",VLOOKUP(AD11,Varsayımlar!$B:$Q,8,0))</f>
        <v>20</v>
      </c>
      <c r="R11" s="75" t="str">
        <f>IF(B11="","",VLOOKUP(AD11,Varsayımlar!$B:$Q,9,0))</f>
        <v>Irak Soft</v>
      </c>
      <c r="S11" s="75">
        <f>IF(B11="","",VLOOKUP(AD11,Varsayımlar!$B:$Q,10,0))</f>
        <v>6</v>
      </c>
      <c r="T11" s="75">
        <f>IF(B11="","",VLOOKUP(AD11,Varsayımlar!$B:$Q,11,0))</f>
        <v>18</v>
      </c>
      <c r="U11" s="75">
        <f>IF(B11="","",VLOOKUP(AD11,Varsayımlar!$B:$Q,12,0))</f>
        <v>270</v>
      </c>
      <c r="V11" s="75" t="str">
        <f>IF(B11="","",VLOOKUP(AD11,Varsayımlar!$B:$Q,13,0))</f>
        <v>Yurtdışı</v>
      </c>
      <c r="W11" s="75">
        <f>IF(B11="","",VLOOKUP(AD11,Varsayımlar!$B:$Q,14,0))</f>
        <v>9</v>
      </c>
      <c r="X11" s="76">
        <v>46213</v>
      </c>
      <c r="Y11" s="76">
        <v>46487</v>
      </c>
      <c r="Z11" s="75">
        <v>26071020</v>
      </c>
      <c r="AA11" s="75" t="str">
        <f>IF(B11="","",VLOOKUP(AD11,Varsayımlar!$B:$Q,15,0))</f>
        <v>20cm Lacivert-Bulgarca Etiket</v>
      </c>
      <c r="AB11" s="75" t="str">
        <f>IF(B11="","",VLOOKUP(AD11,Varsayımlar!$B:$Q,16,0))</f>
        <v>19-21 cm</v>
      </c>
      <c r="AC11" s="75" t="str">
        <f>IF(B11="","",VLOOKUP(Sayfa1!AD21,Varsayımlar!B:S,18,0))</f>
        <v>100x120cm-Epal+Epal</v>
      </c>
      <c r="AD11" s="57" t="str">
        <f>IF(B11="","",CONCATENATE(B11,E11))</f>
        <v>TASTE LAND-BULGARİSTANTortillas 20cm Sade 6pcs 270g</v>
      </c>
    </row>
    <row r="12" spans="1:30" ht="55.5" customHeight="1" x14ac:dyDescent="0.25">
      <c r="A12" s="8" t="s">
        <v>83</v>
      </c>
      <c r="B12" s="67" t="s">
        <v>460</v>
      </c>
      <c r="C12" s="42">
        <f>IF(B12="","",VLOOKUP(AD12,Varsayımlar!$B:$Q,3,0))</f>
        <v>8698829380698</v>
      </c>
      <c r="D12" s="67" t="s">
        <v>540</v>
      </c>
      <c r="E12" s="67" t="s">
        <v>464</v>
      </c>
      <c r="F12" s="67">
        <v>20260414</v>
      </c>
      <c r="G12" s="67"/>
      <c r="H12" s="67" t="str">
        <f>IF(B12="","",VLOOKUP(AD12,Varsayımlar!$B:$Q,5,0))</f>
        <v>Tortillove 20cm</v>
      </c>
      <c r="I12" s="67">
        <f>IF(B12="","",VLOOKUP(AD12,Varsayımlar!B:T,19,0))</f>
        <v>0</v>
      </c>
      <c r="J12" s="67" t="str">
        <f>IF(B12="","",VLOOKUP(AD12,Varsayımlar!$B:$Q,6,0))</f>
        <v>SADE</v>
      </c>
      <c r="K12" s="67">
        <v>300</v>
      </c>
      <c r="L12" s="67"/>
      <c r="M12" s="67">
        <f>IFERROR(IF(B12="","",K12/VLOOKUP(AD12,Varsayımlar!B:R,17,0)),"")</f>
        <v>3</v>
      </c>
      <c r="N12" s="67"/>
      <c r="O12" s="67">
        <v>5</v>
      </c>
      <c r="P12" s="67">
        <f>IF(B12="","",VLOOKUP(AD12,Varsayımlar!$B:$Q,7,0)*K12)</f>
        <v>3600</v>
      </c>
      <c r="Q12" s="67">
        <f>IF(B12="","",VLOOKUP(AD12,Varsayımlar!$B:$Q,8,0))</f>
        <v>20</v>
      </c>
      <c r="R12" s="67" t="str">
        <f>IF(B12="","",VLOOKUP(AD12,Varsayımlar!$B:$Q,9,0))</f>
        <v>Irak Soft</v>
      </c>
      <c r="S12" s="67">
        <f>IF(B12="","",VLOOKUP(AD12,Varsayımlar!$B:$Q,10,0))</f>
        <v>10</v>
      </c>
      <c r="T12" s="67">
        <f>IF(B12="","",VLOOKUP(AD12,Varsayımlar!$B:$Q,11,0))</f>
        <v>12</v>
      </c>
      <c r="U12" s="67">
        <f>IF(B12="","",VLOOKUP(AD12,Varsayımlar!$B:$Q,12,0))</f>
        <v>450</v>
      </c>
      <c r="V12" s="67" t="str">
        <f>IF(B12="","",VLOOKUP(AD12,Varsayımlar!$B:$Q,13,0))</f>
        <v>Yurtdışı</v>
      </c>
      <c r="W12" s="67">
        <f>IF(B12="","",VLOOKUP(AD12,Varsayımlar!$B:$Q,14,0))</f>
        <v>6</v>
      </c>
      <c r="X12" s="69">
        <v>46216</v>
      </c>
      <c r="Y12" s="69">
        <v>46400</v>
      </c>
      <c r="Z12" s="67">
        <v>26071320</v>
      </c>
      <c r="AA12" s="67" t="str">
        <f>IF(B12="","",VLOOKUP(AD12,Varsayımlar!$B:$Q,15,0))</f>
        <v>20cm kolisi</v>
      </c>
      <c r="AB12" s="67" t="str">
        <f>IF(B12="","",VLOOKUP(AD12,Varsayımlar!$B:$Q,16,0))</f>
        <v>19-21 cm</v>
      </c>
      <c r="AC12" s="75">
        <f>IF(B12="","",VLOOKUP(Sayfa1!AD69,Varsayımlar!B:S,18,0))</f>
        <v>0</v>
      </c>
      <c r="AD12" s="57" t="str">
        <f t="shared" si="0"/>
        <v>Yüksekbaş GıdaYüksekbaş 20cm 10pcs 450g</v>
      </c>
    </row>
    <row r="13" spans="1:30" ht="51" customHeight="1" x14ac:dyDescent="0.25">
      <c r="A13" s="8" t="s">
        <v>84</v>
      </c>
      <c r="B13" s="164" t="s">
        <v>256</v>
      </c>
      <c r="C13" s="165">
        <f>IF(B13="","",VLOOKUP(AD13,Varsayımlar!$B:$Q,3,0))</f>
        <v>8698829380698</v>
      </c>
      <c r="D13" s="164"/>
      <c r="E13" s="164" t="s">
        <v>551</v>
      </c>
      <c r="F13" s="164">
        <v>20260629</v>
      </c>
      <c r="G13" s="164"/>
      <c r="H13" s="164" t="str">
        <f>IF(B13="","",VLOOKUP(AD13,Varsayımlar!$B:$Q,5,0))</f>
        <v>Tortillove 33 cm</v>
      </c>
      <c r="I13" s="164">
        <f>IF(B13="","",VLOOKUP(AD13,Varsayımlar!B:T,19,0))</f>
        <v>0</v>
      </c>
      <c r="J13" s="164" t="str">
        <f>IF(B13="","",VLOOKUP(AD13,Varsayımlar!$B:$Q,6,0))</f>
        <v>Sade</v>
      </c>
      <c r="K13" s="164">
        <v>110</v>
      </c>
      <c r="L13" s="164"/>
      <c r="M13" s="164" t="str">
        <f>IFERROR(IF(B13="","",K13/VLOOKUP(AD13,Varsayımlar!B:R,17,0)),"")</f>
        <v/>
      </c>
      <c r="N13" s="164"/>
      <c r="O13" s="164">
        <v>2</v>
      </c>
      <c r="P13" s="164">
        <f>IF(B13="","",VLOOKUP(AD13,Varsayımlar!$B:$Q,7,0)*K13)</f>
        <v>1320</v>
      </c>
      <c r="Q13" s="164">
        <f>IF(B13="","",VLOOKUP(AD13,Varsayımlar!$B:$Q,8,0))</f>
        <v>33</v>
      </c>
      <c r="R13" s="164" t="str">
        <f>IF(B13="","",VLOOKUP(AD13,Varsayımlar!$B:$Q,9,0))</f>
        <v>Irak soft</v>
      </c>
      <c r="S13" s="164">
        <f>IF(B13="","",VLOOKUP(AD13,Varsayımlar!$B:$Q,10,0))</f>
        <v>10</v>
      </c>
      <c r="T13" s="164">
        <f>IF(B13="","",VLOOKUP(AD13,Varsayımlar!$B:$Q,11,0))</f>
        <v>12</v>
      </c>
      <c r="U13" s="164">
        <f>IF(B13="","",VLOOKUP(AD13,Varsayımlar!$B:$Q,12,0))</f>
        <v>1000</v>
      </c>
      <c r="V13" s="164" t="str">
        <f>IF(B13="","",VLOOKUP(AD13,Varsayımlar!$B:$Q,13,0))</f>
        <v>Yurtiçi</v>
      </c>
      <c r="W13" s="164">
        <f>IF(B13="","",VLOOKUP(AD13,Varsayımlar!$B:$Q,14,0))</f>
        <v>6</v>
      </c>
      <c r="X13" s="166" t="s">
        <v>113</v>
      </c>
      <c r="Y13" s="166" t="s">
        <v>113</v>
      </c>
      <c r="Z13" s="164" t="s">
        <v>113</v>
      </c>
      <c r="AA13" s="164" t="str">
        <f>IF(B13="","",VLOOKUP(AD13,Varsayımlar!$B:$Q,15,0))</f>
        <v>33cm Kolisi</v>
      </c>
      <c r="AB13" s="164" t="str">
        <f>IF(B13="","",VLOOKUP(AD13,Varsayımlar!$B:$Q,16,0))</f>
        <v>32-34cm</v>
      </c>
      <c r="AC13" s="75">
        <f>IF(B13="","",VLOOKUP(Sayfa1!AD76,Varsayımlar!B:S,18,0))</f>
        <v>0</v>
      </c>
      <c r="AD13" s="57" t="str">
        <f>IF(B13="","",CONCATENATE(B13,E13))</f>
        <v>Ankara KahveTortillove 33cm 10pcs 1000g</v>
      </c>
    </row>
    <row r="14" spans="1:30" ht="36" customHeight="1" x14ac:dyDescent="0.25">
      <c r="A14" s="8" t="s">
        <v>85</v>
      </c>
      <c r="B14" s="149" t="s">
        <v>500</v>
      </c>
      <c r="C14" s="149">
        <f>IF(B14="","",VLOOKUP(AD14,Varsayımlar!$B:$Q,3,0))</f>
        <v>8698829380698</v>
      </c>
      <c r="D14" s="149"/>
      <c r="E14" s="149" t="s">
        <v>501</v>
      </c>
      <c r="F14" s="149">
        <v>26062201</v>
      </c>
      <c r="G14" s="149" t="s">
        <v>578</v>
      </c>
      <c r="H14" s="149" t="str">
        <f>IF(B14="","",VLOOKUP(AD14,Varsayımlar!$B:$Q,5,0))</f>
        <v>Tortillas 33cm</v>
      </c>
      <c r="I14" s="149">
        <f>IF(B14="","",VLOOKUP(AD14,Varsayımlar!B:T,19,0))</f>
        <v>0</v>
      </c>
      <c r="J14" s="149" t="str">
        <f>IF(B14="","",VLOOKUP(AD14,Varsayımlar!$B:$Q,6,0))</f>
        <v>Sade</v>
      </c>
      <c r="K14" s="149">
        <v>100</v>
      </c>
      <c r="L14" s="149" t="s">
        <v>528</v>
      </c>
      <c r="M14" s="149">
        <f>IFERROR(IF(B14="","",K14/VLOOKUP(AD14,Varsayımlar!B:R,17,0)),"")</f>
        <v>2</v>
      </c>
      <c r="N14" s="149"/>
      <c r="O14" s="149">
        <v>2</v>
      </c>
      <c r="P14" s="149">
        <f>IF(B14="","",VLOOKUP(AD14,Varsayımlar!$B:$Q,7,0)*K14)</f>
        <v>1200</v>
      </c>
      <c r="Q14" s="149">
        <f>IF(B14="","",VLOOKUP(AD14,Varsayımlar!$B:$Q,8,0))</f>
        <v>33</v>
      </c>
      <c r="R14" s="149" t="str">
        <f>IF(B14="","",VLOOKUP(AD14,Varsayımlar!$B:$Q,9,0))</f>
        <v>Irak Soft</v>
      </c>
      <c r="S14" s="149">
        <f>IF(B14="","",VLOOKUP(AD14,Varsayımlar!$B:$Q,10,0))</f>
        <v>10</v>
      </c>
      <c r="T14" s="149">
        <f>IF(B14="","",VLOOKUP(AD14,Varsayımlar!$B:$Q,11,0))</f>
        <v>12</v>
      </c>
      <c r="U14" s="149">
        <f>IF(B14="","",VLOOKUP(AD14,Varsayımlar!$B:$Q,12,0))</f>
        <v>1000</v>
      </c>
      <c r="V14" s="149" t="str">
        <f>IF(B14="","",VLOOKUP(AD14,Varsayımlar!$B:$Q,13,0))</f>
        <v>Yurtdışı</v>
      </c>
      <c r="W14" s="149">
        <f>IF(B14="","",VLOOKUP(AD14,Varsayımlar!$B:$Q,14,0))</f>
        <v>12</v>
      </c>
      <c r="X14" s="151"/>
      <c r="Y14" s="151"/>
      <c r="Z14" s="149"/>
      <c r="AA14" s="149" t="str">
        <f>IF(B14="","",VLOOKUP(AD14,Varsayımlar!$B:$Q,15,0))</f>
        <v>33cm Kolisi</v>
      </c>
      <c r="AB14" s="149" t="str">
        <f>IF(B14="","",VLOOKUP(AD14,Varsayımlar!$B:$Q,16,0))</f>
        <v>32-34 cm</v>
      </c>
      <c r="AC14" s="67" t="e">
        <f>IF(B14="","",VLOOKUP(#REF!,#REF!,18,0))</f>
        <v>#REF!</v>
      </c>
      <c r="AD14" s="57" t="str">
        <f>IF(B14="","",CONCATENATE(B14,E14))</f>
        <v>Fama GroupTortillas 33cm 10pcs 1000g</v>
      </c>
    </row>
    <row r="15" spans="1:30" ht="49.5" customHeight="1" x14ac:dyDescent="0.25">
      <c r="A15" s="8" t="s">
        <v>86</v>
      </c>
      <c r="B15" s="152" t="s">
        <v>518</v>
      </c>
      <c r="C15" s="153">
        <f>IF(B15="","",VLOOKUP(AD15,Varsayımlar!$B:$Q,3,0))</f>
        <v>8698829380698</v>
      </c>
      <c r="D15" s="154"/>
      <c r="E15" s="156" t="s">
        <v>501</v>
      </c>
      <c r="F15" s="152">
        <v>26062302</v>
      </c>
      <c r="G15" s="152" t="s">
        <v>578</v>
      </c>
      <c r="H15" s="152" t="str">
        <f>IF(B15="","",VLOOKUP(AD15,Varsayımlar!$B:$Q,5,0))</f>
        <v>Tortillas 33cm</v>
      </c>
      <c r="I15" s="152">
        <f>IF(B15="","",VLOOKUP(AD15,Varsayımlar!B:T,19,0))</f>
        <v>0</v>
      </c>
      <c r="J15" s="152" t="str">
        <f>IF(B15="","",VLOOKUP(AD15,Varsayımlar!$B:$Q,6,0))</f>
        <v>Sade</v>
      </c>
      <c r="K15" s="152">
        <v>25</v>
      </c>
      <c r="L15" s="152"/>
      <c r="M15" s="152">
        <f>IFERROR(IF(B15="","",K15/VLOOKUP(AD15,Varsayımlar!B:R,17,0)),"")</f>
        <v>0.5</v>
      </c>
      <c r="N15" s="152"/>
      <c r="O15" s="152">
        <v>1</v>
      </c>
      <c r="P15" s="152">
        <f>IF(B15="","",VLOOKUP(AD15,Varsayımlar!$B:$Q,7,0)*K15)</f>
        <v>300</v>
      </c>
      <c r="Q15" s="152">
        <f>IF(B15="","",VLOOKUP(AD15,Varsayımlar!$B:$Q,8,0))</f>
        <v>33</v>
      </c>
      <c r="R15" s="152" t="str">
        <f>IF(B15="","",VLOOKUP(AD15,Varsayımlar!$B:$Q,9,0))</f>
        <v>Irak Soft</v>
      </c>
      <c r="S15" s="152">
        <f>IF(B15="","",VLOOKUP(AD15,Varsayımlar!$B:$Q,10,0))</f>
        <v>10</v>
      </c>
      <c r="T15" s="152">
        <f>IF(B15="","",VLOOKUP(AD15,Varsayımlar!$B:$Q,11,0))</f>
        <v>12</v>
      </c>
      <c r="U15" s="152">
        <f>IF(B15="","",VLOOKUP(AD15,Varsayımlar!$B:$Q,12,0))</f>
        <v>1000</v>
      </c>
      <c r="V15" s="152" t="str">
        <f>IF(B15="","",VLOOKUP(AD15,Varsayımlar!$B:$Q,13,0))</f>
        <v>Yurtiçi</v>
      </c>
      <c r="W15" s="152">
        <f>IF(B15="","",VLOOKUP(AD15,Varsayımlar!$B:$Q,14,0))</f>
        <v>6</v>
      </c>
      <c r="X15" s="155"/>
      <c r="Y15" s="155"/>
      <c r="Z15" s="152"/>
      <c r="AA15" s="152" t="str">
        <f>IF(B15="","",VLOOKUP(AD15,Varsayımlar!$B:$Q,15,0))</f>
        <v>33cm Kolisi</v>
      </c>
      <c r="AB15" s="152" t="str">
        <f>IF(B15="","",VLOOKUP(AD15,Varsayımlar!$B:$Q,16,0))</f>
        <v>32-34cm</v>
      </c>
      <c r="AC15" s="8" t="e">
        <f>IF(B15="","",VLOOKUP(#REF!,#REF!,18,0))</f>
        <v>#REF!</v>
      </c>
      <c r="AD15" s="8" t="str">
        <f>IF(B15="","",CONCATENATE(B15,E15))</f>
        <v>Yusuf KöseTortillas 33cm 10pcs 1000g</v>
      </c>
    </row>
    <row r="16" spans="1:30" ht="49.5" customHeight="1" x14ac:dyDescent="0.25">
      <c r="A16" s="8" t="s">
        <v>87</v>
      </c>
      <c r="B16" s="152" t="s">
        <v>518</v>
      </c>
      <c r="C16" s="153">
        <f>IF(B16="","",VLOOKUP(AD16,Varsayımlar!$B:$Q,3,0))</f>
        <v>8698829380698</v>
      </c>
      <c r="D16" s="154"/>
      <c r="E16" s="152" t="s">
        <v>520</v>
      </c>
      <c r="F16" s="152">
        <v>26062302</v>
      </c>
      <c r="G16" s="152" t="s">
        <v>578</v>
      </c>
      <c r="H16" s="152" t="str">
        <f>IF(B16="","",VLOOKUP(AD16,Varsayımlar!$B:$Q,5,0))</f>
        <v>Tortillas 30cm</v>
      </c>
      <c r="I16" s="152">
        <f>IF(B16="","",VLOOKUP(AD16,Varsayımlar!B:T,19,0))</f>
        <v>0</v>
      </c>
      <c r="J16" s="152" t="str">
        <f>IF(B16="","",VLOOKUP(AD16,Varsayımlar!$B:$Q,6,0))</f>
        <v>Sade</v>
      </c>
      <c r="K16" s="152">
        <v>15</v>
      </c>
      <c r="L16" s="152"/>
      <c r="M16" s="152">
        <f>IFERROR(IF(B16="","",K16/VLOOKUP(AD16,Varsayımlar!B:R,17,0)),"")</f>
        <v>0.3</v>
      </c>
      <c r="N16" s="152"/>
      <c r="O16" s="152">
        <v>0</v>
      </c>
      <c r="P16" s="152">
        <f>IF(B16="","",VLOOKUP(AD16,Varsayımlar!$B:$Q,7,0)*K16)</f>
        <v>180</v>
      </c>
      <c r="Q16" s="152">
        <f>IF(B16="","",VLOOKUP(AD16,Varsayımlar!$B:$Q,8,0))</f>
        <v>30</v>
      </c>
      <c r="R16" s="152" t="str">
        <f>IF(B16="","",VLOOKUP(AD16,Varsayımlar!$B:$Q,9,0))</f>
        <v>Irak Soft</v>
      </c>
      <c r="S16" s="152">
        <f>IF(B16="","",VLOOKUP(AD16,Varsayımlar!$B:$Q,10,0))</f>
        <v>10</v>
      </c>
      <c r="T16" s="152">
        <f>IF(B16="","",VLOOKUP(AD16,Varsayımlar!$B:$Q,11,0))</f>
        <v>12</v>
      </c>
      <c r="U16" s="152">
        <f>IF(B16="","",VLOOKUP(AD16,Varsayımlar!$B:$Q,12,0))</f>
        <v>950</v>
      </c>
      <c r="V16" s="152" t="str">
        <f>IF(B16="","",VLOOKUP(AD16,Varsayımlar!$B:$Q,13,0))</f>
        <v>Yurtiçi</v>
      </c>
      <c r="W16" s="152">
        <f>IF(B16="","",VLOOKUP(AD16,Varsayımlar!$B:$Q,14,0))</f>
        <v>6</v>
      </c>
      <c r="X16" s="155"/>
      <c r="Y16" s="155"/>
      <c r="Z16" s="152"/>
      <c r="AA16" s="152" t="str">
        <f>IF(B16="","",VLOOKUP(AD16,Varsayımlar!$B:$Q,15,0))</f>
        <v>30cm Kolisi</v>
      </c>
      <c r="AB16" s="152" t="str">
        <f>IF(B16="","",VLOOKUP(AD16,Varsayımlar!$B:$Q,16,0))</f>
        <v>29-31cm</v>
      </c>
      <c r="AC16" s="8" t="e">
        <f>IF(B16="","",VLOOKUP(#REF!,#REF!,18,0))</f>
        <v>#REF!</v>
      </c>
      <c r="AD16" s="8" t="str">
        <f>IF(B16="","",CONCATENATE(B16,E16))</f>
        <v>Yusuf KöseTortillas 30cm 10pcs 950g</v>
      </c>
    </row>
    <row r="17" spans="1:30" ht="51" customHeight="1" x14ac:dyDescent="0.25">
      <c r="A17" s="8" t="s">
        <v>88</v>
      </c>
      <c r="B17" s="164" t="s">
        <v>256</v>
      </c>
      <c r="C17" s="165">
        <f>IF(B17="","",VLOOKUP(AD17,Varsayımlar!$B:$Q,3,0))</f>
        <v>8698829380698</v>
      </c>
      <c r="D17" s="164"/>
      <c r="E17" s="164" t="s">
        <v>556</v>
      </c>
      <c r="F17" s="164">
        <v>20260702</v>
      </c>
      <c r="G17" s="164"/>
      <c r="H17" s="164" t="str">
        <f>IF(B17="","",VLOOKUP(AD17,Varsayımlar!$B:$Q,5,0))</f>
        <v>Tortillove 30cm</v>
      </c>
      <c r="I17" s="164">
        <f>IF(B17="","",VLOOKUP(AD17,Varsayımlar!B:T,19,0))</f>
        <v>0</v>
      </c>
      <c r="J17" s="164" t="str">
        <f>IF(B17="","",VLOOKUP(AD17,Varsayımlar!$B:$Q,6,0))</f>
        <v>Sade</v>
      </c>
      <c r="K17" s="164">
        <v>50</v>
      </c>
      <c r="L17" s="164"/>
      <c r="M17" s="164" t="str">
        <f>IFERROR(IF(B17="","",K17/VLOOKUP(AD17,Varsayımlar!B:R,17,0)),"")</f>
        <v/>
      </c>
      <c r="N17" s="164"/>
      <c r="O17" s="164">
        <v>2</v>
      </c>
      <c r="P17" s="164">
        <f>IF(B17="","",VLOOKUP(AD17,Varsayımlar!$B:$Q,7,0)*K17)</f>
        <v>600</v>
      </c>
      <c r="Q17" s="164">
        <f>IF(B17="","",VLOOKUP(AD17,Varsayımlar!$B:$Q,8,0))</f>
        <v>30</v>
      </c>
      <c r="R17" s="164" t="str">
        <f>IF(B17="","",VLOOKUP(AD17,Varsayımlar!$B:$Q,9,0))</f>
        <v>Irak soft</v>
      </c>
      <c r="S17" s="164">
        <f>IF(B17="","",VLOOKUP(AD17,Varsayımlar!$B:$Q,10,0))</f>
        <v>10</v>
      </c>
      <c r="T17" s="164">
        <f>IF(B17="","",VLOOKUP(AD17,Varsayımlar!$B:$Q,11,0))</f>
        <v>12</v>
      </c>
      <c r="U17" s="164">
        <f>IF(B17="","",VLOOKUP(AD17,Varsayımlar!$B:$Q,12,0))</f>
        <v>950</v>
      </c>
      <c r="V17" s="164" t="str">
        <f>IF(B17="","",VLOOKUP(AD17,Varsayımlar!$B:$Q,13,0))</f>
        <v>Yurtiçi</v>
      </c>
      <c r="W17" s="164">
        <f>IF(B17="","",VLOOKUP(AD17,Varsayımlar!$B:$Q,14,0))</f>
        <v>6</v>
      </c>
      <c r="X17" s="166" t="s">
        <v>113</v>
      </c>
      <c r="Y17" s="166" t="s">
        <v>113</v>
      </c>
      <c r="Z17" s="164" t="s">
        <v>113</v>
      </c>
      <c r="AA17" s="164" t="str">
        <f>IF(B17="","",VLOOKUP(AD17,Varsayımlar!$B:$Q,15,0))</f>
        <v>30cm Kolisi</v>
      </c>
      <c r="AB17" s="164" t="str">
        <f>IF(B17="","",VLOOKUP(AD17,Varsayımlar!$B:$Q,16,0))</f>
        <v>29-31cm</v>
      </c>
      <c r="AC17" s="75">
        <f>IF(B17="","",VLOOKUP(Sayfa1!AD77,Varsayımlar!B:S,18,0))</f>
        <v>0</v>
      </c>
      <c r="AD17" s="57" t="str">
        <f>IF(B17="","",CONCATENATE(B17,E17))</f>
        <v>Ankara KahveTortillove 30cm 10pcs 950g</v>
      </c>
    </row>
    <row r="18" spans="1:30" ht="61.5" customHeight="1" x14ac:dyDescent="0.25">
      <c r="A18" s="8" t="s">
        <v>89</v>
      </c>
      <c r="B18" s="67" t="s">
        <v>460</v>
      </c>
      <c r="C18" s="42">
        <f>IF(B18="","",VLOOKUP(AD18,Varsayımlar!$B:$Q,3,0))</f>
        <v>8698829380698</v>
      </c>
      <c r="D18" s="67" t="s">
        <v>540</v>
      </c>
      <c r="E18" s="67" t="s">
        <v>470</v>
      </c>
      <c r="F18" s="67">
        <v>20260414</v>
      </c>
      <c r="G18" s="67"/>
      <c r="H18" s="67" t="str">
        <f>IF(B18="","",VLOOKUP(AD18,Varsayımlar!$B:$Q,5,0))</f>
        <v>Tortillove 30cm</v>
      </c>
      <c r="I18" s="67">
        <f>IF(B18="","",VLOOKUP(AD18,Varsayımlar!B:T,19,0))</f>
        <v>0</v>
      </c>
      <c r="J18" s="67" t="str">
        <f>IF(B18="","",VLOOKUP(AD18,Varsayımlar!$B:$Q,6,0))</f>
        <v>SADE</v>
      </c>
      <c r="K18" s="67">
        <v>792</v>
      </c>
      <c r="L18" s="67" t="s">
        <v>559</v>
      </c>
      <c r="M18" s="67">
        <f>IFERROR(IF(B18="","",K18/VLOOKUP(AD18,Varsayımlar!B:R,17,0)),"")</f>
        <v>12</v>
      </c>
      <c r="N18" s="67"/>
      <c r="O18" s="67">
        <v>14</v>
      </c>
      <c r="P18" s="67">
        <f>IF(B18="","",VLOOKUP(AD18,Varsayımlar!$B:$Q,7,0)*K18)</f>
        <v>9504</v>
      </c>
      <c r="Q18" s="67">
        <f>IF(B18="","",VLOOKUP(AD18,Varsayımlar!$B:$Q,8,0))</f>
        <v>30</v>
      </c>
      <c r="R18" s="67" t="str">
        <f>IF(B18="","",VLOOKUP(AD18,Varsayımlar!$B:$Q,9,0))</f>
        <v>Irak Soft</v>
      </c>
      <c r="S18" s="67">
        <f>IF(B18="","",VLOOKUP(AD18,Varsayımlar!$B:$Q,10,0))</f>
        <v>10</v>
      </c>
      <c r="T18" s="67">
        <f>IF(B18="","",VLOOKUP(AD18,Varsayımlar!$B:$Q,11,0))</f>
        <v>12</v>
      </c>
      <c r="U18" s="67">
        <f>IF(B18="","",VLOOKUP(AD18,Varsayımlar!$B:$Q,12,0))</f>
        <v>950</v>
      </c>
      <c r="V18" s="67" t="str">
        <f>IF(B18="","",VLOOKUP(AD18,Varsayımlar!$B:$Q,13,0))</f>
        <v>Yurtdışı</v>
      </c>
      <c r="W18" s="67">
        <f>IF(B18="","",VLOOKUP(AD18,Varsayımlar!$B:$Q,14,0))</f>
        <v>6</v>
      </c>
      <c r="X18" s="69">
        <v>46216</v>
      </c>
      <c r="Y18" s="69">
        <v>46400</v>
      </c>
      <c r="Z18" s="67">
        <v>26071330</v>
      </c>
      <c r="AA18" s="67" t="str">
        <f>IF(B18="","",VLOOKUP(AD18,Varsayımlar!$B:$Q,15,0))</f>
        <v>30cm Kolisi</v>
      </c>
      <c r="AB18" s="67" t="str">
        <f>IF(B18="","",VLOOKUP(AD18,Varsayımlar!$B:$Q,16,0))</f>
        <v>29-31 cm</v>
      </c>
      <c r="AC18" s="75">
        <f>IF(B18="","",VLOOKUP(Sayfa1!AD69,Varsayımlar!B:S,18,0))</f>
        <v>0</v>
      </c>
      <c r="AD18" s="57" t="str">
        <f t="shared" si="0"/>
        <v>Yüksekbaş GıdaYüksekbaş 30cm 10pcs 950g</v>
      </c>
    </row>
    <row r="19" spans="1:30" ht="51" customHeight="1" x14ac:dyDescent="0.25">
      <c r="A19" s="8" t="s">
        <v>90</v>
      </c>
      <c r="B19" s="160" t="s">
        <v>553</v>
      </c>
      <c r="C19" s="161">
        <f>IF(B19="","",VLOOKUP(AD19,Varsayımlar!$B:$Q,3,0))</f>
        <v>8698829380698</v>
      </c>
      <c r="D19" s="160"/>
      <c r="E19" s="160" t="s">
        <v>556</v>
      </c>
      <c r="F19" s="160">
        <v>20260629</v>
      </c>
      <c r="G19" s="160" t="s">
        <v>578</v>
      </c>
      <c r="H19" s="160" t="str">
        <f>IF(B19="","",VLOOKUP(AD19,Varsayımlar!$B:$Q,5,0))</f>
        <v>Tortillove 30cm</v>
      </c>
      <c r="I19" s="160">
        <f>IF(B19="","",VLOOKUP(AD19,Varsayımlar!B:T,19,0))</f>
        <v>0</v>
      </c>
      <c r="J19" s="160" t="str">
        <f>IF(B19="","",VLOOKUP(AD19,Varsayımlar!$B:$Q,6,0))</f>
        <v>Sade</v>
      </c>
      <c r="K19" s="160">
        <v>350</v>
      </c>
      <c r="L19" s="160"/>
      <c r="M19" s="160">
        <f>IFERROR(IF(B19="","",K19/VLOOKUP(AD19,Varsayımlar!B:R,17,0)),"")</f>
        <v>7</v>
      </c>
      <c r="N19" s="160"/>
      <c r="O19" s="160">
        <v>7</v>
      </c>
      <c r="P19" s="160">
        <f>IF(B19="","",VLOOKUP(AD19,Varsayımlar!$B:$Q,7,0)*K19)</f>
        <v>4200</v>
      </c>
      <c r="Q19" s="160">
        <f>IF(B19="","",VLOOKUP(AD19,Varsayımlar!$B:$Q,8,0))</f>
        <v>30</v>
      </c>
      <c r="R19" s="160" t="str">
        <f>IF(B19="","",VLOOKUP(AD19,Varsayımlar!$B:$Q,9,0))</f>
        <v>Irak soft</v>
      </c>
      <c r="S19" s="160">
        <f>IF(B19="","",VLOOKUP(AD19,Varsayımlar!$B:$Q,10,0))</f>
        <v>10</v>
      </c>
      <c r="T19" s="160">
        <f>IF(B19="","",VLOOKUP(AD19,Varsayımlar!$B:$Q,11,0))</f>
        <v>12</v>
      </c>
      <c r="U19" s="160">
        <f>IF(B19="","",VLOOKUP(AD19,Varsayımlar!$B:$Q,12,0))</f>
        <v>950</v>
      </c>
      <c r="V19" s="160" t="str">
        <f>IF(B19="","",VLOOKUP(AD19,Varsayımlar!$B:$Q,13,0))</f>
        <v>Yurtiçi</v>
      </c>
      <c r="W19" s="160">
        <f>IF(B19="","",VLOOKUP(AD19,Varsayımlar!$B:$Q,14,0))</f>
        <v>6</v>
      </c>
      <c r="X19" s="160" t="s">
        <v>113</v>
      </c>
      <c r="Y19" s="160" t="s">
        <v>113</v>
      </c>
      <c r="Z19" s="160" t="s">
        <v>113</v>
      </c>
      <c r="AA19" s="160" t="str">
        <f>IF(B19="","",VLOOKUP(AD19,Varsayımlar!$B:$Q,15,0))</f>
        <v>30cm kolisi-Barkod etiketli</v>
      </c>
      <c r="AB19" s="160" t="str">
        <f>IF(B19="","",VLOOKUP(AD19,Varsayımlar!$B:$Q,16,0))</f>
        <v>29-31cm</v>
      </c>
      <c r="AC19" s="75">
        <f>IF(B19="","",VLOOKUP(Sayfa1!AD77,Varsayımlar!B:S,18,0))</f>
        <v>0</v>
      </c>
      <c r="AD19" s="57" t="str">
        <f t="shared" si="0"/>
        <v>GıdaserTortillove 30cm 10pcs 950g</v>
      </c>
    </row>
    <row r="20" spans="1:30" ht="61.5" customHeight="1" x14ac:dyDescent="0.25">
      <c r="A20" s="8" t="s">
        <v>91</v>
      </c>
      <c r="B20" s="167" t="s">
        <v>409</v>
      </c>
      <c r="C20" s="168">
        <f>IF(B20="","",VLOOKUP(AD20,Varsayımlar!$B:$Q,3,0))</f>
        <v>8698829380698</v>
      </c>
      <c r="D20" s="167"/>
      <c r="E20" s="169" t="s">
        <v>410</v>
      </c>
      <c r="F20" s="167">
        <v>20260702</v>
      </c>
      <c r="G20" s="167" t="s">
        <v>578</v>
      </c>
      <c r="H20" s="167" t="str">
        <f>IF(B20="","",VLOOKUP(AD20,Varsayımlar!$B:$Q,5,0))</f>
        <v>Baskısız 30cm</v>
      </c>
      <c r="I20" s="167" t="str">
        <f>IF(B20="","",VLOOKUP(AD20,Varsayımlar!B:T,19,0))</f>
        <v>Donipa 30cm 18pcs 1710g etiketli</v>
      </c>
      <c r="J20" s="167" t="str">
        <f>IF(B20="","",VLOOKUP(AD20,Varsayımlar!$B:$Q,6,0))</f>
        <v>SADE</v>
      </c>
      <c r="K20" s="167">
        <v>100</v>
      </c>
      <c r="L20" s="167"/>
      <c r="M20" s="167" t="str">
        <f>IFERROR(IF(B20="","",K20/VLOOKUP(AD20,Varsayımlar!B:R,17,0)),"")</f>
        <v/>
      </c>
      <c r="N20" s="167"/>
      <c r="O20" s="167">
        <v>2</v>
      </c>
      <c r="P20" s="167">
        <f>IF(B20="","",VLOOKUP(AD20,Varsayımlar!$B:$Q,7,0)*K20)</f>
        <v>600</v>
      </c>
      <c r="Q20" s="167">
        <f>IF(B20="","",VLOOKUP(AD20,Varsayımlar!$B:$Q,8,0))</f>
        <v>30</v>
      </c>
      <c r="R20" s="167" t="str">
        <f>IF(B20="","",VLOOKUP(AD20,Varsayımlar!$B:$Q,9,0))</f>
        <v>Irak soft</v>
      </c>
      <c r="S20" s="167">
        <f>IF(B20="","",VLOOKUP(AD20,Varsayımlar!$B:$Q,10,0))</f>
        <v>18</v>
      </c>
      <c r="T20" s="167">
        <f>IF(B20="","",VLOOKUP(AD20,Varsayımlar!$B:$Q,11,0))</f>
        <v>6</v>
      </c>
      <c r="U20" s="167">
        <f>IF(B20="","",VLOOKUP(AD20,Varsayımlar!$B:$Q,12,0))</f>
        <v>1710</v>
      </c>
      <c r="V20" s="167" t="str">
        <f>IF(B20="","",VLOOKUP(AD20,Varsayımlar!$B:$Q,13,0))</f>
        <v>Yurtiçi</v>
      </c>
      <c r="W20" s="167">
        <f>IF(B20="","",VLOOKUP(AD20,Varsayımlar!$B:$Q,14,0))</f>
        <v>6</v>
      </c>
      <c r="X20" s="170" t="s">
        <v>113</v>
      </c>
      <c r="Y20" s="170" t="s">
        <v>113</v>
      </c>
      <c r="Z20" s="167" t="s">
        <v>113</v>
      </c>
      <c r="AA20" s="167" t="str">
        <f>IF(B20="","",VLOOKUP(AD20,Varsayımlar!$B:$Q,15,0))</f>
        <v>30cm koli-Etiketli</v>
      </c>
      <c r="AB20" s="167" t="str">
        <f>IF(B20="","",VLOOKUP(AD20,Varsayımlar!$B:$Q,16,0))</f>
        <v>29-31 cm</v>
      </c>
      <c r="AC20" s="75">
        <f>IF(B20="","",VLOOKUP(Sayfa1!AD71,Varsayımlar!B:S,18,0))</f>
        <v>0</v>
      </c>
      <c r="AD20" s="57" t="str">
        <f t="shared" si="0"/>
        <v>DonipaDonipa 30cm 18pcs 1710g</v>
      </c>
    </row>
    <row r="21" spans="1:30" ht="61.5" customHeight="1" x14ac:dyDescent="0.25">
      <c r="A21" s="8" t="s">
        <v>92</v>
      </c>
      <c r="B21" s="171" t="s">
        <v>586</v>
      </c>
      <c r="C21" s="172">
        <f>IF(B21="","",VLOOKUP(AD21,Varsayımlar!$B:$Q,3,0))</f>
        <v>8698829380698</v>
      </c>
      <c r="D21" s="171"/>
      <c r="E21" s="171" t="s">
        <v>185</v>
      </c>
      <c r="F21" s="171">
        <v>20260702</v>
      </c>
      <c r="G21" s="171" t="s">
        <v>578</v>
      </c>
      <c r="H21" s="171" t="str">
        <f>IF(B21="","",VLOOKUP(AD21,Varsayımlar!$B:$Q,5,0))</f>
        <v>Tortillas 30cm</v>
      </c>
      <c r="I21" s="171" t="str">
        <f>IF(B21="","",VLOOKUP(AD21,Varsayımlar!B:T,19,0))</f>
        <v>Arka Kısma Bosnaca içerik Etiketli</v>
      </c>
      <c r="J21" s="171" t="str">
        <f>IF(B21="","",VLOOKUP(AD21,Varsayımlar!$B:$Q,6,0))</f>
        <v>Sade</v>
      </c>
      <c r="K21" s="171">
        <v>100</v>
      </c>
      <c r="L21" s="171"/>
      <c r="M21" s="171">
        <f>IFERROR(IF(B21="","",K21/VLOOKUP(AD21,Varsayımlar!B:R,17,0)),"")</f>
        <v>2</v>
      </c>
      <c r="N21" s="171"/>
      <c r="O21" s="171">
        <v>2</v>
      </c>
      <c r="P21" s="171">
        <f>IF(B21="","",VLOOKUP(AD21,Varsayımlar!$B:$Q,7,0)*K21)</f>
        <v>1200</v>
      </c>
      <c r="Q21" s="171">
        <f>IF(B21="","",VLOOKUP(AD21,Varsayımlar!$B:$Q,8,0))</f>
        <v>30</v>
      </c>
      <c r="R21" s="171" t="str">
        <f>IF(B21="","",VLOOKUP(AD21,Varsayımlar!$B:$Q,9,0))</f>
        <v>Irak soft</v>
      </c>
      <c r="S21" s="171">
        <f>IF(B21="","",VLOOKUP(AD21,Varsayımlar!$B:$Q,10,0))</f>
        <v>10</v>
      </c>
      <c r="T21" s="171">
        <f>IF(B21="","",VLOOKUP(AD21,Varsayımlar!$B:$Q,11,0))</f>
        <v>12</v>
      </c>
      <c r="U21" s="171">
        <f>IF(B21="","",VLOOKUP(AD21,Varsayımlar!$B:$Q,12,0))</f>
        <v>900</v>
      </c>
      <c r="V21" s="171" t="str">
        <f>IF(B21="","",VLOOKUP(AD21,Varsayımlar!$B:$Q,13,0))</f>
        <v>Yurtdışı</v>
      </c>
      <c r="W21" s="171">
        <f>IF(B21="","",VLOOKUP(AD21,Varsayımlar!$B:$Q,14,0))</f>
        <v>6</v>
      </c>
      <c r="X21" s="173" t="s">
        <v>113</v>
      </c>
      <c r="Y21" s="173" t="s">
        <v>113</v>
      </c>
      <c r="Z21" s="171" t="s">
        <v>113</v>
      </c>
      <c r="AA21" s="171" t="str">
        <f>IF(B21="","",VLOOKUP(AD21,Varsayımlar!$B:$Q,15,0))</f>
        <v>30cm Kolisi</v>
      </c>
      <c r="AB21" s="171" t="str">
        <f>IF(B21="","",VLOOKUP(AD21,Varsayımlar!$B:$Q,16,0))</f>
        <v>29-31cm</v>
      </c>
      <c r="AC21" s="75">
        <f>IF(B21="","",VLOOKUP(Sayfa1!AD72,Varsayımlar!B:S,18,0))</f>
        <v>0</v>
      </c>
      <c r="AD21" s="57" t="str">
        <f t="shared" si="0"/>
        <v>ArtaneTortillas 30cm 10pcs 900g</v>
      </c>
    </row>
    <row r="22" spans="1:30" ht="36" customHeight="1" x14ac:dyDescent="0.25">
      <c r="A22" s="8" t="s">
        <v>93</v>
      </c>
      <c r="B22" s="149" t="s">
        <v>500</v>
      </c>
      <c r="C22" s="149">
        <f>IF(B22="","",VLOOKUP(AD22,Varsayımlar!$B:$Q,3,0))</f>
        <v>8698829380698</v>
      </c>
      <c r="D22" s="149"/>
      <c r="E22" s="149" t="s">
        <v>509</v>
      </c>
      <c r="F22" s="149">
        <v>26062201</v>
      </c>
      <c r="G22" s="149" t="s">
        <v>578</v>
      </c>
      <c r="H22" s="149" t="str">
        <f>IF(B22="","",VLOOKUP(AD22,Varsayımlar!$B:$Q,5,0))</f>
        <v xml:space="preserve">Tortillas 30cm </v>
      </c>
      <c r="I22" s="149">
        <f>IF(B22="","",VLOOKUP(AD22,Varsayımlar!B:T,19,0))</f>
        <v>0</v>
      </c>
      <c r="J22" s="149" t="str">
        <f>IF(B22="","",VLOOKUP(AD22,Varsayımlar!$B:$Q,6,0))</f>
        <v>Sade</v>
      </c>
      <c r="K22" s="149">
        <v>250</v>
      </c>
      <c r="L22" s="149"/>
      <c r="M22" s="149">
        <f>IFERROR(IF(B22="","",K22/VLOOKUP(AD22,Varsayımlar!B:R,17,0)),"")</f>
        <v>5</v>
      </c>
      <c r="N22" s="149"/>
      <c r="O22" s="149">
        <v>5</v>
      </c>
      <c r="P22" s="149">
        <f>IF(B22="","",VLOOKUP(AD22,Varsayımlar!$B:$Q,7,0)*K22)</f>
        <v>3000</v>
      </c>
      <c r="Q22" s="149">
        <f>IF(B22="","",VLOOKUP(AD22,Varsayımlar!$B:$Q,8,0))</f>
        <v>30</v>
      </c>
      <c r="R22" s="149" t="str">
        <f>IF(B22="","",VLOOKUP(AD22,Varsayımlar!$B:$Q,9,0))</f>
        <v>Irak Soft</v>
      </c>
      <c r="S22" s="149">
        <f>IF(B22="","",VLOOKUP(AD22,Varsayımlar!$B:$Q,10,0))</f>
        <v>10</v>
      </c>
      <c r="T22" s="149">
        <f>IF(B22="","",VLOOKUP(AD22,Varsayımlar!$B:$Q,11,0))</f>
        <v>12</v>
      </c>
      <c r="U22" s="149">
        <f>IF(B22="","",VLOOKUP(AD22,Varsayımlar!$B:$Q,12,0))</f>
        <v>850</v>
      </c>
      <c r="V22" s="149" t="str">
        <f>IF(B22="","",VLOOKUP(AD22,Varsayımlar!$B:$Q,13,0))</f>
        <v>Yurtdışı</v>
      </c>
      <c r="W22" s="149">
        <f>IF(B22="","",VLOOKUP(AD22,Varsayımlar!$B:$Q,14,0))</f>
        <v>12</v>
      </c>
      <c r="X22" s="151">
        <v>46231</v>
      </c>
      <c r="Y22" s="151">
        <v>46596</v>
      </c>
      <c r="Z22" s="149">
        <v>26072830</v>
      </c>
      <c r="AA22" s="151" t="str">
        <f>IF(B22="","",VLOOKUP(AD22,Varsayımlar!$B:$Q,15,0))</f>
        <v>30 cm Kolisi</v>
      </c>
      <c r="AB22" s="151" t="str">
        <f>IF(B22="","",VLOOKUP(AD22,Varsayımlar!$B:$Q,16,0))</f>
        <v>29-31 cm</v>
      </c>
      <c r="AC22" s="67" t="e">
        <f>IF(B22="","",VLOOKUP(#REF!,#REF!,18,0))</f>
        <v>#REF!</v>
      </c>
      <c r="AD22" s="57" t="str">
        <f>IF(B22="","",CONCATENATE(B22,E22))</f>
        <v>Fama GroupTortillas 30cm 10pcs 850g</v>
      </c>
    </row>
    <row r="23" spans="1:30" ht="36" customHeight="1" x14ac:dyDescent="0.25">
      <c r="A23" s="8" t="s">
        <v>135</v>
      </c>
      <c r="B23" s="149" t="s">
        <v>500</v>
      </c>
      <c r="C23" s="149">
        <f>IF(B23="","",VLOOKUP(AD23,Varsayımlar!$B:$Q,3,0))</f>
        <v>8698829380698</v>
      </c>
      <c r="D23" s="149"/>
      <c r="E23" s="149" t="s">
        <v>229</v>
      </c>
      <c r="F23" s="149">
        <v>26062201</v>
      </c>
      <c r="G23" s="149"/>
      <c r="H23" s="149" t="str">
        <f>IF(B23="","",VLOOKUP(AD23,Varsayımlar!$B:$Q,5,0))</f>
        <v>Tortillas 25cm Tam Buğday</v>
      </c>
      <c r="I23" s="149">
        <f>IF(B23="","",VLOOKUP(AD23,Varsayımlar!B:T,19,0))</f>
        <v>0</v>
      </c>
      <c r="J23" s="149" t="str">
        <f>IF(B23="","",VLOOKUP(AD23,Varsayımlar!$B:$Q,6,0))</f>
        <v>Tam Buğdaylı</v>
      </c>
      <c r="K23" s="149">
        <v>50</v>
      </c>
      <c r="L23" s="149"/>
      <c r="M23" s="149">
        <f>IFERROR(IF(B23="","",K23/VLOOKUP(AD23,Varsayımlar!B:R,17,0)),"")</f>
        <v>1</v>
      </c>
      <c r="N23" s="149"/>
      <c r="O23" s="149">
        <v>1</v>
      </c>
      <c r="P23" s="149">
        <f>IF(B23="","",VLOOKUP(AD23,Varsayımlar!$B:$Q,7,0)*K23)</f>
        <v>600</v>
      </c>
      <c r="Q23" s="149">
        <f>IF(B23="","",VLOOKUP(AD23,Varsayımlar!$B:$Q,8,0))</f>
        <v>25</v>
      </c>
      <c r="R23" s="149" t="str">
        <f>IF(B23="","",VLOOKUP(AD23,Varsayımlar!$B:$Q,9,0))</f>
        <v>Irak Soft</v>
      </c>
      <c r="S23" s="149">
        <f>IF(B23="","",VLOOKUP(AD23,Varsayımlar!$B:$Q,10,0))</f>
        <v>10</v>
      </c>
      <c r="T23" s="149">
        <f>IF(B23="","",VLOOKUP(AD23,Varsayımlar!$B:$Q,11,0))</f>
        <v>12</v>
      </c>
      <c r="U23" s="149">
        <f>IF(B23="","",VLOOKUP(AD23,Varsayımlar!$B:$Q,12,0))</f>
        <v>650</v>
      </c>
      <c r="V23" s="149" t="str">
        <f>IF(B23="","",VLOOKUP(AD23,Varsayımlar!$B:$Q,13,0))</f>
        <v>Yurtdışı</v>
      </c>
      <c r="W23" s="149">
        <f>IF(B23="","",VLOOKUP(AD23,Varsayımlar!$B:$Q,14,0))</f>
        <v>12</v>
      </c>
      <c r="X23" s="151">
        <v>46231</v>
      </c>
      <c r="Y23" s="151">
        <v>46596</v>
      </c>
      <c r="Z23" s="149" t="s">
        <v>525</v>
      </c>
      <c r="AA23" s="151" t="str">
        <f>IF(B23="","",VLOOKUP(AD23,Varsayımlar!$B:$Q,15,0))</f>
        <v>25cm Kolisi-Etiketli</v>
      </c>
      <c r="AB23" s="151" t="str">
        <f>IF(B23="","",VLOOKUP(AD23,Varsayımlar!$B:$Q,16,0))</f>
        <v>24-26 cm</v>
      </c>
      <c r="AC23" s="67" t="e">
        <f>IF(B23="","",VLOOKUP(#REF!,#REF!,18,0))</f>
        <v>#REF!</v>
      </c>
      <c r="AD23" s="57" t="str">
        <f>IF(B23="","",CONCATENATE(B23,E23))</f>
        <v>Fama GroupTortillas 25cm Tam Buğday 10pcs 650g</v>
      </c>
    </row>
    <row r="24" spans="1:30" ht="36" customHeight="1" x14ac:dyDescent="0.25">
      <c r="A24" s="8" t="s">
        <v>136</v>
      </c>
      <c r="B24" s="149" t="s">
        <v>500</v>
      </c>
      <c r="C24" s="149">
        <f>IF(B24="","",VLOOKUP(AD24,Varsayımlar!$B:$Q,3,0))</f>
        <v>8698829380698</v>
      </c>
      <c r="D24" s="149"/>
      <c r="E24" s="149" t="s">
        <v>512</v>
      </c>
      <c r="F24" s="149">
        <v>26062201</v>
      </c>
      <c r="G24" s="149"/>
      <c r="H24" s="149" t="str">
        <f>IF(B24="","",VLOOKUP(AD24,Varsayımlar!$B:$Q,5,0))</f>
        <v>Tortillas 20cm</v>
      </c>
      <c r="I24" s="149">
        <f>IF(B24="","",VLOOKUP(AD24,Varsayımlar!B:T,19,0))</f>
        <v>0</v>
      </c>
      <c r="J24" s="149" t="str">
        <f>IF(B24="","",VLOOKUP(AD24,Varsayımlar!$B:$Q,6,0))</f>
        <v>Sade</v>
      </c>
      <c r="K24" s="149">
        <v>50</v>
      </c>
      <c r="L24" s="149"/>
      <c r="M24" s="149">
        <f>IFERROR(IF(B24="","",K24/VLOOKUP(AD24,Varsayımlar!B:R,17,0)),"")</f>
        <v>1</v>
      </c>
      <c r="N24" s="149"/>
      <c r="O24" s="149">
        <v>1</v>
      </c>
      <c r="P24" s="149">
        <f>IF(B24="","",VLOOKUP(AD24,Varsayımlar!$B:$Q,7,0)*K24)</f>
        <v>600</v>
      </c>
      <c r="Q24" s="149">
        <f>IF(B24="","",VLOOKUP(AD24,Varsayımlar!$B:$Q,8,0))</f>
        <v>20</v>
      </c>
      <c r="R24" s="149" t="str">
        <f>IF(B24="","",VLOOKUP(AD24,Varsayımlar!$B:$Q,9,0))</f>
        <v>Irak Soft</v>
      </c>
      <c r="S24" s="149">
        <f>IF(B24="","",VLOOKUP(AD24,Varsayımlar!$B:$Q,10,0))</f>
        <v>10</v>
      </c>
      <c r="T24" s="149">
        <f>IF(B24="","",VLOOKUP(AD24,Varsayımlar!$B:$Q,11,0))</f>
        <v>12</v>
      </c>
      <c r="U24" s="149">
        <f>IF(B24="","",VLOOKUP(AD24,Varsayımlar!$B:$Q,12,0))</f>
        <v>450</v>
      </c>
      <c r="V24" s="149" t="str">
        <f>IF(B24="","",VLOOKUP(AD24,Varsayımlar!$B:$Q,13,0))</f>
        <v>Yurtdışı</v>
      </c>
      <c r="W24" s="149">
        <f>IF(B24="","",VLOOKUP(AD24,Varsayımlar!$B:$Q,14,0))</f>
        <v>12</v>
      </c>
      <c r="X24" s="151">
        <v>46231</v>
      </c>
      <c r="Y24" s="151">
        <v>46596</v>
      </c>
      <c r="Z24" s="149">
        <v>26072820</v>
      </c>
      <c r="AA24" s="151" t="str">
        <f>IF(B24="","",VLOOKUP(AD24,Varsayımlar!$B:$Q,15,0))</f>
        <v>20cm Siyah Koli</v>
      </c>
      <c r="AB24" s="151" t="str">
        <f>IF(B24="","",VLOOKUP(AD24,Varsayımlar!$B:$Q,16,0))</f>
        <v>19-21cm</v>
      </c>
      <c r="AC24" s="67" t="e">
        <f>IF(B24="","",VLOOKUP(#REF!,#REF!,18,0))</f>
        <v>#REF!</v>
      </c>
      <c r="AD24" s="57" t="str">
        <f>IF(B24="","",CONCATENATE(B24,E24))</f>
        <v>Fama GroupTortillas 20cm 10pcs 450g</v>
      </c>
    </row>
    <row r="25" spans="1:30" ht="45.75" customHeight="1" x14ac:dyDescent="0.25">
      <c r="A25" s="8" t="s">
        <v>137</v>
      </c>
      <c r="B25" s="130" t="s">
        <v>119</v>
      </c>
      <c r="C25" s="131">
        <f>IF(B25="","",VLOOKUP(AD25,Varsayımlar!$B:$Q,3,0))</f>
        <v>8698829380698</v>
      </c>
      <c r="D25" s="131"/>
      <c r="E25" s="132" t="s">
        <v>120</v>
      </c>
      <c r="F25" s="130"/>
      <c r="G25" s="130"/>
      <c r="H25" s="130" t="str">
        <f>IF(B25="","",VLOOKUP(AD25,Varsayımlar!$B:$Q,5,0))</f>
        <v>Nimet 25 cm</v>
      </c>
      <c r="I25" s="130">
        <f>IF(B25="","",VLOOKUP(AD25,Varsayımlar!B:T,19,0))</f>
        <v>0</v>
      </c>
      <c r="J25" s="130" t="str">
        <f>IF(B25="","",VLOOKUP(AD25,Varsayımlar!$B:$Q,6,0))</f>
        <v>SADE</v>
      </c>
      <c r="K25" s="130">
        <v>5000</v>
      </c>
      <c r="L25" s="130"/>
      <c r="M25" s="130">
        <f>IFERROR(IF(B25="","",K25/VLOOKUP(AD25,Varsayımlar!B:R,17,0)),"")</f>
        <v>100</v>
      </c>
      <c r="N25" s="130"/>
      <c r="O25" s="130">
        <v>100</v>
      </c>
      <c r="P25" s="130">
        <f>IF(B25="","",VLOOKUP(AD25,Varsayımlar!$B:$Q,7,0)*K25)</f>
        <v>60000</v>
      </c>
      <c r="Q25" s="130">
        <f>IF(B25="","",VLOOKUP(AD25,Varsayımlar!$B:$Q,8,0))</f>
        <v>25</v>
      </c>
      <c r="R25" s="130" t="str">
        <f>IF(B25="","",VLOOKUP(AD25,Varsayımlar!$B:$Q,9,0))</f>
        <v>Standart</v>
      </c>
      <c r="S25" s="130">
        <f>IF(B25="","",VLOOKUP(AD25,Varsayımlar!$B:$Q,10,0))</f>
        <v>12</v>
      </c>
      <c r="T25" s="130">
        <f>IF(B25="","",VLOOKUP(AD25,Varsayımlar!$B:$Q,11,0))</f>
        <v>12</v>
      </c>
      <c r="U25" s="130">
        <f>IF(B25="","",VLOOKUP(AD25,Varsayımlar!$B:$Q,12,0))</f>
        <v>840</v>
      </c>
      <c r="V25" s="130" t="str">
        <f>IF(B25="","",VLOOKUP(AD25,Varsayımlar!$B:$Q,13,0))</f>
        <v>YURTİÇİ</v>
      </c>
      <c r="W25" s="130">
        <f>IF(B25="","",VLOOKUP(AD25,Varsayımlar!$B:$Q,14,0))</f>
        <v>5</v>
      </c>
      <c r="X25" s="133" t="s">
        <v>113</v>
      </c>
      <c r="Y25" s="133" t="s">
        <v>113</v>
      </c>
      <c r="Z25" s="130" t="s">
        <v>113</v>
      </c>
      <c r="AA25" s="130" t="str">
        <f>IF(B25="","",VLOOKUP(AD25,Varsayımlar!$B:$Q,15,0))</f>
        <v>Nimet Kolisi</v>
      </c>
      <c r="AB25" s="130" t="str">
        <f>IF(B25="","",VLOOKUP(AD25,Varsayımlar!$B:$Q,16,0))</f>
        <v>24-26 CM</v>
      </c>
      <c r="AC25" s="64" t="s">
        <v>360</v>
      </c>
      <c r="AD25" s="57" t="str">
        <f>IF(B25="","",CONCATENATE(B25,E25))</f>
        <v>A101Nimet 25cm 12 pcs 840g</v>
      </c>
    </row>
    <row r="26" spans="1:30" ht="43.5" customHeight="1" x14ac:dyDescent="0.25">
      <c r="A26" s="8" t="s">
        <v>138</v>
      </c>
      <c r="B26" s="54" t="s">
        <v>346</v>
      </c>
      <c r="C26" s="139">
        <f>IF(B26="","",VLOOKUP(AD26,Varsayımlar!$B:$Q,3,0))</f>
        <v>8698829380698</v>
      </c>
      <c r="D26" s="39">
        <v>49</v>
      </c>
      <c r="E26" s="55" t="s">
        <v>490</v>
      </c>
      <c r="F26" s="54"/>
      <c r="G26" s="54"/>
      <c r="H26" s="54" t="str">
        <f>IF(B26="","",VLOOKUP(AD26,Varsayımlar!$B:$Q,5,0))</f>
        <v>Tortillas Domatesli 25cm (Germes Bilgileri Ekli)</v>
      </c>
      <c r="I26" s="54">
        <f>IF(B26="","",VLOOKUP(AD26,Varsayımlar!B:T,19,0))</f>
        <v>0</v>
      </c>
      <c r="J26" s="54" t="str">
        <f>IF(B26="","",VLOOKUP(AD26,Varsayımlar!$B:$Q,6,0))</f>
        <v>Domatesli</v>
      </c>
      <c r="K26" s="54">
        <v>420</v>
      </c>
      <c r="L26" s="54"/>
      <c r="M26" s="54" t="str">
        <f>IFERROR(IF(B26="","",K26/VLOOKUP(AD26,Varsayımlar!B:R,17,0)),"")</f>
        <v/>
      </c>
      <c r="N26" s="54"/>
      <c r="O26" s="54">
        <v>8</v>
      </c>
      <c r="P26" s="54">
        <f>IF(B26="","",VLOOKUP(AD26,Varsayımlar!$B:$Q,7,0)*K26)</f>
        <v>12600</v>
      </c>
      <c r="Q26" s="54">
        <f>IF(B26="","",VLOOKUP(AD26,Varsayımlar!$B:$Q,8,0))</f>
        <v>25</v>
      </c>
      <c r="R26" s="54" t="str">
        <f>IF(B26="","",VLOOKUP(AD26,Varsayımlar!$B:$Q,9,0))</f>
        <v>Irak Soft</v>
      </c>
      <c r="S26" s="54">
        <f>IF(B26="","",VLOOKUP(AD26,Varsayımlar!$B:$Q,10,0))</f>
        <v>4</v>
      </c>
      <c r="T26" s="54">
        <f>IF(B26="","",VLOOKUP(AD26,Varsayımlar!$B:$Q,11,0))</f>
        <v>30</v>
      </c>
      <c r="U26" s="54">
        <f>IF(B26="","",VLOOKUP(AD26,Varsayımlar!$B:$Q,12,0))</f>
        <v>250</v>
      </c>
      <c r="V26" s="54" t="str">
        <f>IF(B26="","",VLOOKUP(AD26,Varsayımlar!$B:$Q,13,0))</f>
        <v>Yurtdışı</v>
      </c>
      <c r="W26" s="54">
        <f>IF(B26="","",VLOOKUP(AD26,Varsayımlar!$B:$Q,14,0))</f>
        <v>9</v>
      </c>
      <c r="X26" s="56">
        <v>46226</v>
      </c>
      <c r="Y26" s="56">
        <v>46135</v>
      </c>
      <c r="Z26" s="54" t="s">
        <v>496</v>
      </c>
      <c r="AA26" s="54" t="str">
        <f>IF(B26="","",VLOOKUP(AD26,Varsayımlar!$B:$Q,15,0))</f>
        <v>25cm Kırmızı Koli-Üretim Tarihli Etiketli</v>
      </c>
      <c r="AB26" s="54">
        <f>IF(B26="","",VLOOKUP(AD26,Varsayımlar!$B:$Q,16,0))</f>
        <v>0</v>
      </c>
      <c r="AC26" s="8" t="e">
        <f>IF(B26="","",VLOOKUP(#REF!,#REF!,18,0))</f>
        <v>#REF!</v>
      </c>
      <c r="AD26" s="8" t="str">
        <f t="shared" si="0"/>
        <v xml:space="preserve">GermesTortillas Domatesli 25cm 4pcs 250g </v>
      </c>
    </row>
    <row r="27" spans="1:30" ht="43.5" customHeight="1" x14ac:dyDescent="0.25">
      <c r="A27" s="8" t="s">
        <v>139</v>
      </c>
      <c r="B27" s="54" t="s">
        <v>346</v>
      </c>
      <c r="C27" s="139">
        <f>IF(B27="","",VLOOKUP(AD27,Varsayımlar!$B:$Q,3,0))</f>
        <v>8698829380698</v>
      </c>
      <c r="D27" s="39">
        <v>49</v>
      </c>
      <c r="E27" s="55" t="s">
        <v>492</v>
      </c>
      <c r="F27" s="54"/>
      <c r="G27" s="54"/>
      <c r="H27" s="54" t="str">
        <f>IF(B27="","",VLOOKUP(AD27,Varsayımlar!$B:$Q,5,0))</f>
        <v>Tortillas Ispanaklı 25cm (Germes Bilgileri Ekli)</v>
      </c>
      <c r="I27" s="54">
        <f>IF(B27="","",VLOOKUP(AD27,Varsayımlar!B:T,19,0))</f>
        <v>0</v>
      </c>
      <c r="J27" s="54" t="str">
        <f>IF(B27="","",VLOOKUP(AD27,Varsayımlar!$B:$Q,6,0))</f>
        <v>Ispanaklı</v>
      </c>
      <c r="K27" s="54">
        <v>420</v>
      </c>
      <c r="L27" s="54"/>
      <c r="M27" s="54" t="str">
        <f>IFERROR(IF(B27="","",K27/VLOOKUP(AD27,Varsayımlar!B:R,17,0)),"")</f>
        <v/>
      </c>
      <c r="N27" s="54"/>
      <c r="O27" s="54">
        <v>8</v>
      </c>
      <c r="P27" s="54">
        <f>IF(B27="","",VLOOKUP(AD27,Varsayımlar!$B:$Q,7,0)*K27)</f>
        <v>12600</v>
      </c>
      <c r="Q27" s="54">
        <f>IF(B27="","",VLOOKUP(AD27,Varsayımlar!$B:$Q,8,0))</f>
        <v>25</v>
      </c>
      <c r="R27" s="54" t="str">
        <f>IF(B27="","",VLOOKUP(AD27,Varsayımlar!$B:$Q,9,0))</f>
        <v>Irak Soft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250</v>
      </c>
      <c r="V27" s="54" t="str">
        <f>IF(B27="","",VLOOKUP(AD27,Varsayımlar!$B:$Q,13,0))</f>
        <v>Yurtdışı</v>
      </c>
      <c r="W27" s="54">
        <f>IF(B27="","",VLOOKUP(AD27,Varsayımlar!$B:$Q,14,0))</f>
        <v>9</v>
      </c>
      <c r="X27" s="56">
        <v>46226</v>
      </c>
      <c r="Y27" s="56">
        <v>46500</v>
      </c>
      <c r="Z27" s="54" t="s">
        <v>497</v>
      </c>
      <c r="AA27" s="54" t="str">
        <f>IF(B27="","",VLOOKUP(AD27,Varsayımlar!$B:$Q,15,0))</f>
        <v>25cm Kırmızı Koli-Üretim Tarihli Etiketli</v>
      </c>
      <c r="AB27" s="54">
        <f>IF(B27="","",VLOOKUP(AD27,Varsayımlar!$B:$Q,16,0))</f>
        <v>0</v>
      </c>
      <c r="AC27" s="8" t="e">
        <f>IF(B27="","",VLOOKUP(#REF!,#REF!,18,0))</f>
        <v>#REF!</v>
      </c>
      <c r="AD27" s="8" t="str">
        <f t="shared" si="0"/>
        <v xml:space="preserve">GermesTortillas Ispanaklı 25cm 4pcs 250g </v>
      </c>
    </row>
    <row r="28" spans="1:30" ht="47.25" x14ac:dyDescent="0.25">
      <c r="A28" s="8" t="s">
        <v>140</v>
      </c>
      <c r="B28" s="54" t="s">
        <v>346</v>
      </c>
      <c r="C28" s="139">
        <f>IF(B28="","",VLOOKUP(AD28,Varsayımlar!$B:$Q,3,0))</f>
        <v>8698829380698</v>
      </c>
      <c r="D28" s="39">
        <v>49</v>
      </c>
      <c r="E28" s="55" t="s">
        <v>162</v>
      </c>
      <c r="F28" s="54"/>
      <c r="G28" s="54"/>
      <c r="H28" s="54" t="str">
        <f>IF(B28="","",VLOOKUP(AD28,Varsayımlar!$B:$Q,5,0))</f>
        <v>Hanami 20cm Sade 4 pcs 166g (067)</v>
      </c>
      <c r="I28" s="54" t="str">
        <f>IF(B28="","",VLOOKUP(AD28,Varsayımlar!B:T,19,0))</f>
        <v>Ambalaj kaç aylık kontrol?</v>
      </c>
      <c r="J28" s="54" t="str">
        <f>IF(B28="","",VLOOKUP(AD28,Varsayımlar!$B:$Q,6,0))</f>
        <v>SADE</v>
      </c>
      <c r="K28" s="54">
        <v>700</v>
      </c>
      <c r="L28" s="54"/>
      <c r="M28" s="54">
        <f>IFERROR(IF(B28="","",K28/VLOOKUP(AD28,Varsayımlar!B:R,17,0)),"")</f>
        <v>5</v>
      </c>
      <c r="N28" s="54"/>
      <c r="O28" s="54">
        <v>12</v>
      </c>
      <c r="P28" s="54">
        <f>IF(B28="","",VLOOKUP(AD28,Varsayımlar!$B:$Q,7,0)*K28)</f>
        <v>21000</v>
      </c>
      <c r="Q28" s="54">
        <f>IF(B28="","",VLOOKUP(AD28,Varsayımlar!$B:$Q,8,0))</f>
        <v>20</v>
      </c>
      <c r="R28" s="54" t="str">
        <f>IF(B28="","",VLOOKUP(AD28,Varsayımlar!$B:$Q,9,0))</f>
        <v>Irak Soft</v>
      </c>
      <c r="S28" s="54">
        <f>IF(B28="","",VLOOKUP(AD28,Varsayımlar!$B:$Q,10,0))</f>
        <v>4</v>
      </c>
      <c r="T28" s="54">
        <f>IF(B28="","",VLOOKUP(AD28,Varsayımlar!$B:$Q,11,0))</f>
        <v>30</v>
      </c>
      <c r="U28" s="54">
        <f>IF(B28="","",VLOOKUP(AD28,Varsayımlar!$B:$Q,12,0))</f>
        <v>166</v>
      </c>
      <c r="V28" s="54" t="str">
        <f>IF(B28="","",VLOOKUP(AD28,Varsayımlar!$B:$Q,13,0))</f>
        <v>Yurtdışı</v>
      </c>
      <c r="W28" s="54">
        <f>IF(B28="","",VLOOKUP(AD28,Varsayımlar!$B:$Q,14,0))</f>
        <v>9</v>
      </c>
      <c r="X28" s="56">
        <v>46226</v>
      </c>
      <c r="Y28" s="56">
        <v>46500</v>
      </c>
      <c r="Z28" s="54">
        <v>26072320</v>
      </c>
      <c r="AA28" s="54" t="str">
        <f>IF(B28="","",VLOOKUP(AD28,Varsayımlar!$B:$Q,15,0))</f>
        <v>Hanami Mavi Koli -Üretim Tarihi+9 AYI KAPATACAK ETİKETLİ</v>
      </c>
      <c r="AB28" s="54" t="str">
        <f>IF(B28="","",VLOOKUP(AD28,Varsayımlar!$B:$Q,16,0))</f>
        <v>19-21 cm</v>
      </c>
      <c r="AC28" s="8" t="e">
        <f>IF(B28="","",VLOOKUP(#REF!,#REF!,18,0))</f>
        <v>#REF!</v>
      </c>
      <c r="AD28" s="8" t="str">
        <f>IF(B28="","",CONCATENATE(B28,E28))</f>
        <v xml:space="preserve">GermesHanami 20cm sade 4pcs 166g </v>
      </c>
    </row>
    <row r="29" spans="1:30" ht="45.75" customHeight="1" x14ac:dyDescent="0.25">
      <c r="A29" s="8" t="s">
        <v>141</v>
      </c>
      <c r="B29" s="130" t="s">
        <v>119</v>
      </c>
      <c r="C29" s="131">
        <f>IF(B29="","",VLOOKUP(AD29,Varsayımlar!$B:$Q,3,0))</f>
        <v>8698829380698</v>
      </c>
      <c r="D29" s="131"/>
      <c r="E29" s="132" t="s">
        <v>120</v>
      </c>
      <c r="F29" s="130"/>
      <c r="G29" s="130"/>
      <c r="H29" s="130" t="str">
        <f>IF(B29="","",VLOOKUP(AD29,Varsayımlar!$B:$Q,5,0))</f>
        <v>Nimet 25 cm</v>
      </c>
      <c r="I29" s="130">
        <f>IF(B29="","",VLOOKUP(AD29,Varsayımlar!B:T,19,0))</f>
        <v>0</v>
      </c>
      <c r="J29" s="130" t="str">
        <f>IF(B29="","",VLOOKUP(AD29,Varsayımlar!$B:$Q,6,0))</f>
        <v>SADE</v>
      </c>
      <c r="K29" s="130">
        <v>5000</v>
      </c>
      <c r="L29" s="130"/>
      <c r="M29" s="130">
        <f>IFERROR(IF(B29="","",K29/VLOOKUP(AD29,Varsayımlar!B:R,17,0)),"")</f>
        <v>100</v>
      </c>
      <c r="N29" s="130"/>
      <c r="O29" s="130">
        <v>100</v>
      </c>
      <c r="P29" s="130">
        <f>IF(B29="","",VLOOKUP(AD29,Varsayımlar!$B:$Q,7,0)*K29)</f>
        <v>60000</v>
      </c>
      <c r="Q29" s="130">
        <f>IF(B29="","",VLOOKUP(AD29,Varsayımlar!$B:$Q,8,0))</f>
        <v>25</v>
      </c>
      <c r="R29" s="130" t="str">
        <f>IF(B29="","",VLOOKUP(AD29,Varsayımlar!$B:$Q,9,0))</f>
        <v>Standart</v>
      </c>
      <c r="S29" s="130">
        <f>IF(B29="","",VLOOKUP(AD29,Varsayımlar!$B:$Q,10,0))</f>
        <v>12</v>
      </c>
      <c r="T29" s="130">
        <f>IF(B29="","",VLOOKUP(AD29,Varsayımlar!$B:$Q,11,0))</f>
        <v>12</v>
      </c>
      <c r="U29" s="130">
        <f>IF(B29="","",VLOOKUP(AD29,Varsayımlar!$B:$Q,12,0))</f>
        <v>840</v>
      </c>
      <c r="V29" s="130" t="str">
        <f>IF(B29="","",VLOOKUP(AD29,Varsayımlar!$B:$Q,13,0))</f>
        <v>YURTİÇİ</v>
      </c>
      <c r="W29" s="130">
        <f>IF(B29="","",VLOOKUP(AD29,Varsayımlar!$B:$Q,14,0))</f>
        <v>5</v>
      </c>
      <c r="X29" s="133" t="s">
        <v>113</v>
      </c>
      <c r="Y29" s="133" t="s">
        <v>113</v>
      </c>
      <c r="Z29" s="130" t="s">
        <v>113</v>
      </c>
      <c r="AA29" s="130" t="str">
        <f>IF(B29="","",VLOOKUP(AD29,Varsayımlar!$B:$Q,15,0))</f>
        <v>Nimet Kolisi</v>
      </c>
      <c r="AB29" s="130" t="str">
        <f>IF(B29="","",VLOOKUP(AD29,Varsayımlar!$B:$Q,16,0))</f>
        <v>24-26 CM</v>
      </c>
      <c r="AC29" s="64" t="s">
        <v>360</v>
      </c>
      <c r="AD29" s="57" t="str">
        <f t="shared" si="0"/>
        <v>A101Nimet 25cm 12 pcs 840g</v>
      </c>
    </row>
    <row r="30" spans="1:30" ht="32.25" customHeight="1" x14ac:dyDescent="0.25">
      <c r="A30" s="8" t="s">
        <v>142</v>
      </c>
      <c r="B30" s="67" t="s">
        <v>460</v>
      </c>
      <c r="C30" s="42">
        <f>IF(B30="","",VLOOKUP(AD30,Varsayımlar!$B:$Q,3,0))</f>
        <v>8698829380698</v>
      </c>
      <c r="D30" s="67" t="s">
        <v>539</v>
      </c>
      <c r="E30" s="67" t="s">
        <v>464</v>
      </c>
      <c r="F30" s="67">
        <v>20260626</v>
      </c>
      <c r="G30" s="67"/>
      <c r="H30" s="67" t="str">
        <f>IF(B30="","",VLOOKUP(AD30,Varsayımlar!$B:$Q,5,0))</f>
        <v>Tortillove 20cm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400</v>
      </c>
      <c r="L30" s="67"/>
      <c r="M30" s="67">
        <f>IFERROR(IF(B30="","",K30/VLOOKUP(AD30,Varsayımlar!B:R,17,0)),"")</f>
        <v>4</v>
      </c>
      <c r="N30" s="67"/>
      <c r="O30" s="67">
        <v>7</v>
      </c>
      <c r="P30" s="67">
        <f>IF(B30="","",VLOOKUP(AD30,Varsayımlar!$B:$Q,7,0)*K30)</f>
        <v>4800</v>
      </c>
      <c r="Q30" s="67">
        <f>IF(B30="","",VLOOKUP(AD30,Varsayımlar!$B:$Q,8,0))</f>
        <v>20</v>
      </c>
      <c r="R30" s="67" t="str">
        <f>IF(B30="","",VLOOKUP(AD30,Varsayımlar!$B:$Q,9,0))</f>
        <v>Irak Soft</v>
      </c>
      <c r="S30" s="67">
        <f>IF(B30="","",VLOOKUP(AD30,Varsayımlar!$B:$Q,10,0))</f>
        <v>10</v>
      </c>
      <c r="T30" s="67">
        <f>IF(B30="","",VLOOKUP(AD30,Varsayımlar!$B:$Q,11,0))</f>
        <v>12</v>
      </c>
      <c r="U30" s="67">
        <f>IF(B30="","",VLOOKUP(AD30,Varsayımlar!$B:$Q,12,0))</f>
        <v>450</v>
      </c>
      <c r="V30" s="67" t="str">
        <f>IF(B30="","",VLOOKUP(AD30,Varsayımlar!$B:$Q,13,0))</f>
        <v>Yurtdışı</v>
      </c>
      <c r="W30" s="67">
        <f>IF(B30="","",VLOOKUP(AD30,Varsayımlar!$B:$Q,14,0))</f>
        <v>6</v>
      </c>
      <c r="X30" s="69"/>
      <c r="Y30" s="69"/>
      <c r="Z30" s="67"/>
      <c r="AA30" s="67" t="str">
        <f>IF(B30="","",VLOOKUP(AD30,Varsayımlar!$B:$Q,15,0))</f>
        <v>20cm kolisi</v>
      </c>
      <c r="AB30" s="67" t="str">
        <f>IF(B30="","",VLOOKUP(AD30,Varsayımlar!$B:$Q,16,0))</f>
        <v>19-21 cm</v>
      </c>
      <c r="AC30" s="75">
        <f>IF(B30="","",VLOOKUP(Sayfa1!AD84,Varsayımlar!B:S,18,0))</f>
        <v>0</v>
      </c>
      <c r="AD30" s="57" t="str">
        <f t="shared" si="0"/>
        <v>Yüksekbaş GıdaYüksekbaş 20cm 10pcs 450g</v>
      </c>
    </row>
    <row r="31" spans="1:30" ht="32.25" customHeight="1" x14ac:dyDescent="0.25">
      <c r="A31" s="8" t="s">
        <v>143</v>
      </c>
      <c r="B31" s="67" t="s">
        <v>460</v>
      </c>
      <c r="C31" s="42">
        <f>IF(B31="","",VLOOKUP(AD31,Varsayımlar!$B:$Q,3,0))</f>
        <v>8698829380698</v>
      </c>
      <c r="D31" s="67" t="s">
        <v>539</v>
      </c>
      <c r="E31" s="67" t="s">
        <v>470</v>
      </c>
      <c r="F31" s="67">
        <v>20260626</v>
      </c>
      <c r="G31" s="67" t="s">
        <v>578</v>
      </c>
      <c r="H31" s="67" t="str">
        <f>IF(B31="","",VLOOKUP(AD31,Varsayımlar!$B:$Q,5,0))</f>
        <v>Tortillove 30cm</v>
      </c>
      <c r="I31" s="67">
        <f>IF(B31="","",VLOOKUP(AD31,Varsayımlar!B:T,19,0))</f>
        <v>0</v>
      </c>
      <c r="J31" s="67" t="str">
        <f>IF(B31="","",VLOOKUP(AD31,Varsayımlar!$B:$Q,6,0))</f>
        <v>SADE</v>
      </c>
      <c r="K31" s="67">
        <v>660</v>
      </c>
      <c r="L31" s="67"/>
      <c r="M31" s="67">
        <f>IFERROR(IF(B31="","",K31/VLOOKUP(AD31,Varsayımlar!B:R,17,0)),"")</f>
        <v>10</v>
      </c>
      <c r="N31" s="67"/>
      <c r="O31" s="67">
        <v>11</v>
      </c>
      <c r="P31" s="67">
        <f>IF(B31="","",VLOOKUP(AD31,Varsayımlar!$B:$Q,7,0)*K31)</f>
        <v>7920</v>
      </c>
      <c r="Q31" s="67">
        <f>IF(B31="","",VLOOKUP(AD31,Varsayımlar!$B:$Q,8,0))</f>
        <v>30</v>
      </c>
      <c r="R31" s="67" t="str">
        <f>IF(B31="","",VLOOKUP(AD31,Varsayımlar!$B:$Q,9,0))</f>
        <v>Irak Soft</v>
      </c>
      <c r="S31" s="67">
        <f>IF(B31="","",VLOOKUP(AD31,Varsayımlar!$B:$Q,10,0))</f>
        <v>10</v>
      </c>
      <c r="T31" s="67">
        <f>IF(B31="","",VLOOKUP(AD31,Varsayımlar!$B:$Q,11,0))</f>
        <v>12</v>
      </c>
      <c r="U31" s="67">
        <f>IF(B31="","",VLOOKUP(AD31,Varsayımlar!$B:$Q,12,0))</f>
        <v>950</v>
      </c>
      <c r="V31" s="67" t="str">
        <f>IF(B31="","",VLOOKUP(AD31,Varsayımlar!$B:$Q,13,0))</f>
        <v>Yurtdışı</v>
      </c>
      <c r="W31" s="67">
        <f>IF(B31="","",VLOOKUP(AD31,Varsayımlar!$B:$Q,14,0))</f>
        <v>6</v>
      </c>
      <c r="X31" s="69"/>
      <c r="Y31" s="69"/>
      <c r="Z31" s="67"/>
      <c r="AA31" s="67" t="str">
        <f>IF(B31="","",VLOOKUP(AD31,Varsayımlar!$B:$Q,15,0))</f>
        <v>30cm Kolisi</v>
      </c>
      <c r="AB31" s="67" t="str">
        <f>IF(B31="","",VLOOKUP(AD31,Varsayımlar!$B:$Q,16,0))</f>
        <v>29-31 cm</v>
      </c>
      <c r="AC31" s="75">
        <f>IF(B31="","",VLOOKUP(Sayfa1!AD84,Varsayımlar!B:S,18,0))</f>
        <v>0</v>
      </c>
      <c r="AD31" s="57" t="str">
        <f t="shared" si="0"/>
        <v>Yüksekbaş GıdaYüksekbaş 30cm 10pcs 950g</v>
      </c>
    </row>
    <row r="32" spans="1:30" ht="49.5" customHeight="1" x14ac:dyDescent="0.25">
      <c r="A32" s="8" t="s">
        <v>144</v>
      </c>
      <c r="B32" s="152" t="s">
        <v>571</v>
      </c>
      <c r="C32" s="153">
        <f>IF(B32="","",VLOOKUP(AD32,Varsayımlar!$B:$Q,3,0))</f>
        <v>8698829380698</v>
      </c>
      <c r="D32" s="154"/>
      <c r="E32" s="154" t="s">
        <v>572</v>
      </c>
      <c r="F32" s="152">
        <v>20260701</v>
      </c>
      <c r="G32" s="152" t="s">
        <v>578</v>
      </c>
      <c r="H32" s="152" t="str">
        <f>IF(B32="","",VLOOKUP(AD32,Varsayımlar!$B:$Q,5,0))</f>
        <v>Tortillas 30cm</v>
      </c>
      <c r="I32" s="152" t="str">
        <f>IF(B32="","",VLOOKUP(AD32,Varsayımlar!B:T,19,0))</f>
        <v>Azerice Etiketli</v>
      </c>
      <c r="J32" s="152" t="str">
        <f>IF(B32="","",VLOOKUP(AD32,Varsayımlar!$B:$Q,6,0))</f>
        <v>Sade</v>
      </c>
      <c r="K32" s="152">
        <v>204</v>
      </c>
      <c r="L32" s="152"/>
      <c r="M32" s="152">
        <f>IFERROR(IF(B32="","",K32/VLOOKUP(AD32,Varsayımlar!B:R,17,0)),"")</f>
        <v>3</v>
      </c>
      <c r="N32" s="152"/>
      <c r="O32" s="152">
        <v>4</v>
      </c>
      <c r="P32" s="152">
        <f>IF(B32="","",VLOOKUP(AD32,Varsayımlar!$B:$Q,7,0)*K32)</f>
        <v>1224</v>
      </c>
      <c r="Q32" s="152">
        <f>IF(B32="","",VLOOKUP(AD32,Varsayımlar!$B:$Q,8,0))</f>
        <v>30</v>
      </c>
      <c r="R32" s="152" t="str">
        <f>IF(B32="","",VLOOKUP(AD32,Varsayımlar!$B:$Q,9,0))</f>
        <v>Irak soft</v>
      </c>
      <c r="S32" s="152">
        <f>IF(B32="","",VLOOKUP(AD32,Varsayımlar!$B:$Q,10,0))</f>
        <v>18</v>
      </c>
      <c r="T32" s="152">
        <f>IF(B32="","",VLOOKUP(AD32,Varsayımlar!$B:$Q,11,0))</f>
        <v>6</v>
      </c>
      <c r="U32" s="152">
        <f>IF(B32="","",VLOOKUP(AD32,Varsayımlar!$B:$Q,12,0))</f>
        <v>1710</v>
      </c>
      <c r="V32" s="152" t="str">
        <f>IF(B32="","",VLOOKUP(AD32,Varsayımlar!$B:$Q,13,0))</f>
        <v>Yurtdışı</v>
      </c>
      <c r="W32" s="152">
        <f>IF(B32="","",VLOOKUP(AD32,Varsayımlar!$B:$Q,14,0))</f>
        <v>9</v>
      </c>
      <c r="X32" s="155"/>
      <c r="Y32" s="155"/>
      <c r="Z32" s="152"/>
      <c r="AA32" s="152" t="str">
        <f>IF(B32="","",VLOOKUP(AD32,Varsayımlar!$B:$Q,15,0))</f>
        <v>30cm Kolisi</v>
      </c>
      <c r="AB32" s="152" t="str">
        <f>IF(B32="","",VLOOKUP(AD32,Varsayımlar!$B:$Q,16,0))</f>
        <v>29-31cm</v>
      </c>
      <c r="AC32" s="8" t="e">
        <f>IF(B32="","",VLOOKUP(#REF!,#REF!,18,0))</f>
        <v>#REF!</v>
      </c>
      <c r="AD32" s="8" t="str">
        <f t="shared" si="0"/>
        <v>HRC TradeTortillas 30cm 18pcs 1710g</v>
      </c>
    </row>
    <row r="33" spans="1:30" ht="51" customHeight="1" x14ac:dyDescent="0.25">
      <c r="A33" s="8" t="s">
        <v>145</v>
      </c>
      <c r="B33" s="160" t="s">
        <v>579</v>
      </c>
      <c r="C33" s="161">
        <f>IF(B33="","",VLOOKUP(AD33,Varsayımlar!$B:$Q,3,0))</f>
        <v>8698829380698</v>
      </c>
      <c r="D33" s="160"/>
      <c r="E33" s="160" t="s">
        <v>509</v>
      </c>
      <c r="F33" s="160">
        <v>20260701</v>
      </c>
      <c r="G33" s="160" t="s">
        <v>578</v>
      </c>
      <c r="H33" s="160" t="str">
        <f>IF(B33="","",VLOOKUP(AD33,Varsayımlar!$B:$Q,5,0))</f>
        <v>Tortillas 30cm</v>
      </c>
      <c r="I33" s="160" t="str">
        <f>IF(B33="","",VLOOKUP(AD33,Varsayımlar!B:T,19,0))</f>
        <v>Arka Kısma Bosnaca içerik Etiketli</v>
      </c>
      <c r="J33" s="160" t="str">
        <f>IF(B33="","",VLOOKUP(AD33,Varsayımlar!$B:$Q,6,0))</f>
        <v>Sade</v>
      </c>
      <c r="K33" s="160">
        <v>150</v>
      </c>
      <c r="L33" s="160"/>
      <c r="M33" s="160">
        <f>IFERROR(IF(B33="","",K33/VLOOKUP(AD33,Varsayımlar!B:R,17,0)),"")</f>
        <v>3</v>
      </c>
      <c r="N33" s="160"/>
      <c r="O33" s="160">
        <v>3</v>
      </c>
      <c r="P33" s="160">
        <f>IF(B33="","",VLOOKUP(AD33,Varsayımlar!$B:$Q,7,0)*K33)</f>
        <v>1800</v>
      </c>
      <c r="Q33" s="160">
        <f>IF(B33="","",VLOOKUP(AD33,Varsayımlar!$B:$Q,8,0))</f>
        <v>30</v>
      </c>
      <c r="R33" s="160" t="str">
        <f>IF(B33="","",VLOOKUP(AD33,Varsayımlar!$B:$Q,9,0))</f>
        <v>Irak soft</v>
      </c>
      <c r="S33" s="160">
        <f>IF(B33="","",VLOOKUP(AD33,Varsayımlar!$B:$Q,10,0))</f>
        <v>10</v>
      </c>
      <c r="T33" s="160">
        <f>IF(B33="","",VLOOKUP(AD33,Varsayımlar!$B:$Q,11,0))</f>
        <v>12</v>
      </c>
      <c r="U33" s="160">
        <f>IF(B33="","",VLOOKUP(AD33,Varsayımlar!$B:$Q,12,0))</f>
        <v>850</v>
      </c>
      <c r="V33" s="160" t="str">
        <f>IF(B33="","",VLOOKUP(AD33,Varsayımlar!$B:$Q,13,0))</f>
        <v>Yurtdışı</v>
      </c>
      <c r="W33" s="160">
        <f>IF(B33="","",VLOOKUP(AD33,Varsayımlar!$B:$Q,14,0))</f>
        <v>6</v>
      </c>
      <c r="X33" s="160"/>
      <c r="Y33" s="160"/>
      <c r="Z33" s="160"/>
      <c r="AA33" s="160" t="str">
        <f>IF(B33="","",VLOOKUP(AD33,Varsayımlar!$B:$Q,15,0))</f>
        <v>30cm Kolisi</v>
      </c>
      <c r="AB33" s="160" t="str">
        <f>IF(B33="","",VLOOKUP(AD33,Varsayımlar!$B:$Q,16,0))</f>
        <v>29-31cm</v>
      </c>
      <c r="AC33" s="75">
        <f>IF(B33="","",VLOOKUP(Sayfa1!AD92,Varsayımlar!B:S,18,0))</f>
        <v>0</v>
      </c>
      <c r="AD33" s="57" t="str">
        <f t="shared" si="0"/>
        <v>BelamionixTortillas 30cm 10pcs 850g</v>
      </c>
    </row>
    <row r="34" spans="1:30" ht="51" customHeight="1" x14ac:dyDescent="0.25">
      <c r="A34" s="8" t="s">
        <v>146</v>
      </c>
      <c r="B34" s="160" t="s">
        <v>579</v>
      </c>
      <c r="C34" s="161">
        <f>IF(B34="","",VLOOKUP(AD34,Varsayımlar!$B:$Q,3,0))</f>
        <v>8698829380698</v>
      </c>
      <c r="D34" s="160"/>
      <c r="E34" s="160" t="s">
        <v>512</v>
      </c>
      <c r="F34" s="160">
        <v>20260701</v>
      </c>
      <c r="G34" s="160" t="s">
        <v>578</v>
      </c>
      <c r="H34" s="160" t="str">
        <f>IF(B34="","",VLOOKUP(AD34,Varsayımlar!$B:$Q,5,0))</f>
        <v>Tortillas 20cm</v>
      </c>
      <c r="I34" s="160" t="str">
        <f>IF(B34="","",VLOOKUP(AD34,Varsayımlar!B:T,19,0))</f>
        <v>Arka Kısma Bosnaca içerik Etiketli</v>
      </c>
      <c r="J34" s="160" t="str">
        <f>IF(B34="","",VLOOKUP(AD34,Varsayımlar!$B:$Q,6,0))</f>
        <v>Sade</v>
      </c>
      <c r="K34" s="160">
        <v>200</v>
      </c>
      <c r="L34" s="160"/>
      <c r="M34" s="160">
        <f>IFERROR(IF(B34="","",K34/VLOOKUP(AD34,Varsayımlar!B:R,17,0)),"")</f>
        <v>2</v>
      </c>
      <c r="N34" s="160"/>
      <c r="O34" s="160">
        <v>4</v>
      </c>
      <c r="P34" s="160">
        <f>IF(B34="","",VLOOKUP(AD34,Varsayımlar!$B:$Q,7,0)*K34)</f>
        <v>2400</v>
      </c>
      <c r="Q34" s="160">
        <f>IF(B34="","",VLOOKUP(AD34,Varsayımlar!$B:$Q,8,0))</f>
        <v>20</v>
      </c>
      <c r="R34" s="160" t="str">
        <f>IF(B34="","",VLOOKUP(AD34,Varsayımlar!$B:$Q,9,0))</f>
        <v>Irak soft</v>
      </c>
      <c r="S34" s="160">
        <f>IF(B34="","",VLOOKUP(AD34,Varsayımlar!$B:$Q,10,0))</f>
        <v>10</v>
      </c>
      <c r="T34" s="160">
        <f>IF(B34="","",VLOOKUP(AD34,Varsayımlar!$B:$Q,11,0))</f>
        <v>12</v>
      </c>
      <c r="U34" s="160">
        <f>IF(B34="","",VLOOKUP(AD34,Varsayımlar!$B:$Q,12,0))</f>
        <v>450</v>
      </c>
      <c r="V34" s="160" t="str">
        <f>IF(B34="","",VLOOKUP(AD34,Varsayımlar!$B:$Q,13,0))</f>
        <v>Yurtdışı</v>
      </c>
      <c r="W34" s="160">
        <f>IF(B34="","",VLOOKUP(AD34,Varsayımlar!$B:$Q,14,0))</f>
        <v>6</v>
      </c>
      <c r="X34" s="160"/>
      <c r="Y34" s="160"/>
      <c r="Z34" s="160"/>
      <c r="AA34" s="160" t="str">
        <f>IF(B34="","",VLOOKUP(AD34,Varsayımlar!$B:$Q,15,0))</f>
        <v>20cm Kolisi</v>
      </c>
      <c r="AB34" s="160" t="str">
        <f>IF(B34="","",VLOOKUP(AD34,Varsayımlar!$B:$Q,16,0))</f>
        <v>19-21cm</v>
      </c>
      <c r="AC34" s="75">
        <f>IF(B34="","",VLOOKUP(Sayfa1!AD93,Varsayımlar!B:S,18,0))</f>
        <v>0</v>
      </c>
      <c r="AD34" s="57" t="str">
        <f t="shared" si="0"/>
        <v>BelamionixTortillas 20cm 10pcs 450g</v>
      </c>
    </row>
    <row r="35" spans="1:30" ht="51" customHeight="1" x14ac:dyDescent="0.25">
      <c r="A35" s="8" t="s">
        <v>147</v>
      </c>
      <c r="B35" s="160" t="s">
        <v>579</v>
      </c>
      <c r="C35" s="161">
        <f>IF(B35="","",VLOOKUP(AD35,Varsayımlar!$B:$Q,3,0))</f>
        <v>8698829380698</v>
      </c>
      <c r="D35" s="160"/>
      <c r="E35" s="160" t="s">
        <v>585</v>
      </c>
      <c r="F35" s="160">
        <v>20260701</v>
      </c>
      <c r="G35" s="160" t="s">
        <v>578</v>
      </c>
      <c r="H35" s="160" t="str">
        <f>IF(B35="","",VLOOKUP(AD35,Varsayımlar!$B:$Q,5,0))</f>
        <v>Tortillas 25cm Tam Buğday</v>
      </c>
      <c r="I35" s="160" t="str">
        <f>IF(B35="","",VLOOKUP(AD35,Varsayımlar!B:T,19,0))</f>
        <v>Arka Kısma Bosnaca içerik Etiketli</v>
      </c>
      <c r="J35" s="160" t="str">
        <f>IF(B35="","",VLOOKUP(AD35,Varsayımlar!$B:$Q,6,0))</f>
        <v>Tam Buğdaylı</v>
      </c>
      <c r="K35" s="160">
        <v>300</v>
      </c>
      <c r="L35" s="160"/>
      <c r="M35" s="160">
        <f>IFERROR(IF(B35="","",K35/VLOOKUP(AD35,Varsayımlar!B:R,17,0)),"")</f>
        <v>3</v>
      </c>
      <c r="N35" s="160"/>
      <c r="O35" s="160">
        <v>5</v>
      </c>
      <c r="P35" s="160">
        <f>IF(B35="","",VLOOKUP(AD35,Varsayımlar!$B:$Q,7,0)*K35)</f>
        <v>3600</v>
      </c>
      <c r="Q35" s="160">
        <f>IF(B35="","",VLOOKUP(AD35,Varsayımlar!$B:$Q,8,0))</f>
        <v>25</v>
      </c>
      <c r="R35" s="160" t="str">
        <f>IF(B35="","",VLOOKUP(AD35,Varsayımlar!$B:$Q,9,0))</f>
        <v>Irak soft</v>
      </c>
      <c r="S35" s="160">
        <f>IF(B35="","",VLOOKUP(AD35,Varsayımlar!$B:$Q,10,0))</f>
        <v>10</v>
      </c>
      <c r="T35" s="160">
        <f>IF(B35="","",VLOOKUP(AD35,Varsayımlar!$B:$Q,11,0))</f>
        <v>12</v>
      </c>
      <c r="U35" s="160">
        <f>IF(B35="","",VLOOKUP(AD35,Varsayımlar!$B:$Q,12,0))</f>
        <v>650</v>
      </c>
      <c r="V35" s="160" t="str">
        <f>IF(B35="","",VLOOKUP(AD35,Varsayımlar!$B:$Q,13,0))</f>
        <v>Yurtdışı</v>
      </c>
      <c r="W35" s="160">
        <f>IF(B35="","",VLOOKUP(AD35,Varsayımlar!$B:$Q,14,0))</f>
        <v>6</v>
      </c>
      <c r="X35" s="160"/>
      <c r="Y35" s="160"/>
      <c r="Z35" s="160"/>
      <c r="AA35" s="160" t="str">
        <f>IF(B35="","",VLOOKUP(AD35,Varsayımlar!$B:$Q,15,0))</f>
        <v>25cm Kolisi-Etiketli</v>
      </c>
      <c r="AB35" s="160" t="str">
        <f>IF(B35="","",VLOOKUP(AD35,Varsayımlar!$B:$Q,16,0))</f>
        <v>24-26cm</v>
      </c>
      <c r="AC35" s="75">
        <f>IF(B35="","",VLOOKUP(Sayfa1!AD94,Varsayımlar!B:S,18,0))</f>
        <v>0</v>
      </c>
      <c r="AD35" s="57" t="str">
        <f t="shared" si="0"/>
        <v>BelamionixTortillas 25cm TB 10pcs 650g</v>
      </c>
    </row>
    <row r="36" spans="1:30" ht="36" customHeight="1" x14ac:dyDescent="0.25">
      <c r="A36" s="8" t="s">
        <v>148</v>
      </c>
      <c r="B36" s="67"/>
      <c r="C36" s="42" t="str">
        <f>IF(B36="","",VLOOKUP(AD36,#REF!,3,0))</f>
        <v/>
      </c>
      <c r="D36" s="42"/>
      <c r="E36" s="42"/>
      <c r="F36" s="67"/>
      <c r="G36" s="67"/>
      <c r="H36" s="67" t="str">
        <f>IF(B36="","",VLOOKUP(AD36,#REF!,5,0))</f>
        <v/>
      </c>
      <c r="I36" s="67" t="str">
        <f>IF(B36="","",VLOOKUP(AD36,#REF!,19,0))</f>
        <v/>
      </c>
      <c r="J36" s="67" t="str">
        <f>IF(B36="","",VLOOKUP(AD36,#REF!,6,0))</f>
        <v/>
      </c>
      <c r="K36" s="67"/>
      <c r="L36" s="67"/>
      <c r="M36" s="67" t="str">
        <f>IFERROR(IF(B36="","",K36/VLOOKUP(AD36,Varsayımlar!B:R,17,0)),"")</f>
        <v/>
      </c>
      <c r="N36" s="67"/>
      <c r="O36" s="67"/>
      <c r="P36" s="67" t="str">
        <f>IF(B36="","",VLOOKUP(AD36,#REF!,7,0)*K36)</f>
        <v/>
      </c>
      <c r="Q36" s="67" t="str">
        <f>IF(B36="","",VLOOKUP(AD36,#REF!,8,0))</f>
        <v/>
      </c>
      <c r="R36" s="67" t="str">
        <f>IF(B36="","",VLOOKUP(AD36,#REF!,9,0))</f>
        <v/>
      </c>
      <c r="S36" s="67" t="str">
        <f>IF(B36="","",VLOOKUP(AD36,#REF!,10,0))</f>
        <v/>
      </c>
      <c r="T36" s="67" t="str">
        <f>IF(B36="","",VLOOKUP(AD36,#REF!,11,0))</f>
        <v/>
      </c>
      <c r="U36" s="67" t="str">
        <f>IF(B36="","",VLOOKUP(AD36,#REF!,12,0))</f>
        <v/>
      </c>
      <c r="V36" s="67" t="str">
        <f>IF(B36="","",VLOOKUP(AD36,#REF!,13,0))</f>
        <v/>
      </c>
      <c r="W36" s="67" t="str">
        <f>IF(B36="","",VLOOKUP(AD36,#REF!,14,0))</f>
        <v/>
      </c>
      <c r="X36" s="69"/>
      <c r="Y36" s="69"/>
      <c r="Z36" s="67"/>
      <c r="AA36" s="67" t="str">
        <f>IF(B36="","",VLOOKUP(AD36,#REF!,15,0))</f>
        <v/>
      </c>
      <c r="AB36" s="67" t="str">
        <f>IF(B36="","",VLOOKUP(AD36,#REF!,16,0))</f>
        <v/>
      </c>
      <c r="AC36" s="145"/>
      <c r="AD36" s="57"/>
    </row>
    <row r="37" spans="1:30" ht="36" customHeight="1" x14ac:dyDescent="0.25">
      <c r="A37" s="8" t="s">
        <v>149</v>
      </c>
      <c r="B37" s="67"/>
      <c r="C37" s="42" t="str">
        <f>IF(B37="","",VLOOKUP(AD37,#REF!,3,0))</f>
        <v/>
      </c>
      <c r="D37" s="42"/>
      <c r="E37" s="42"/>
      <c r="F37" s="67"/>
      <c r="G37" s="67"/>
      <c r="H37" s="67" t="str">
        <f>IF(B37="","",VLOOKUP(AD37,#REF!,5,0))</f>
        <v/>
      </c>
      <c r="I37" s="67" t="str">
        <f>IF(B37="","",VLOOKUP(AD37,#REF!,19,0))</f>
        <v/>
      </c>
      <c r="J37" s="67" t="str">
        <f>IF(B37="","",VLOOKUP(AD37,#REF!,6,0))</f>
        <v/>
      </c>
      <c r="K37" s="67"/>
      <c r="L37" s="67"/>
      <c r="M37" s="67" t="str">
        <f>IFERROR(IF(B37="","",K37/VLOOKUP(AD37,Varsayımlar!B:R,17,0)),"")</f>
        <v/>
      </c>
      <c r="N37" s="67"/>
      <c r="O37" s="67"/>
      <c r="P37" s="67" t="str">
        <f>IF(B37="","",VLOOKUP(AD37,#REF!,7,0)*K37)</f>
        <v/>
      </c>
      <c r="Q37" s="67" t="str">
        <f>IF(B37="","",VLOOKUP(AD37,#REF!,8,0))</f>
        <v/>
      </c>
      <c r="R37" s="67" t="str">
        <f>IF(B37="","",VLOOKUP(AD37,#REF!,9,0))</f>
        <v/>
      </c>
      <c r="S37" s="67" t="str">
        <f>IF(B37="","",VLOOKUP(AD37,#REF!,10,0))</f>
        <v/>
      </c>
      <c r="T37" s="67" t="str">
        <f>IF(B37="","",VLOOKUP(AD37,#REF!,11,0))</f>
        <v/>
      </c>
      <c r="U37" s="67" t="str">
        <f>IF(B37="","",VLOOKUP(AD37,#REF!,12,0))</f>
        <v/>
      </c>
      <c r="V37" s="67" t="str">
        <f>IF(B37="","",VLOOKUP(AD37,#REF!,13,0))</f>
        <v/>
      </c>
      <c r="W37" s="67" t="str">
        <f>IF(B37="","",VLOOKUP(AD37,#REF!,14,0))</f>
        <v/>
      </c>
      <c r="X37" s="69"/>
      <c r="Y37" s="69"/>
      <c r="Z37" s="67"/>
      <c r="AA37" s="67" t="str">
        <f>IF(B37="","",VLOOKUP(AD37,#REF!,15,0))</f>
        <v/>
      </c>
      <c r="AB37" s="67" t="str">
        <f>IF(B37="","",VLOOKUP(AD37,#REF!,16,0))</f>
        <v/>
      </c>
      <c r="AC37" s="145"/>
      <c r="AD37" s="57"/>
    </row>
    <row r="38" spans="1:30" ht="36" customHeight="1" x14ac:dyDescent="0.25">
      <c r="A38" s="8" t="s">
        <v>150</v>
      </c>
      <c r="B38" s="67"/>
      <c r="C38" s="42" t="str">
        <f>IF(B38="","",VLOOKUP(AD38,#REF!,3,0))</f>
        <v/>
      </c>
      <c r="D38" s="42"/>
      <c r="E38" s="42"/>
      <c r="F38" s="67"/>
      <c r="G38" s="67"/>
      <c r="H38" s="67" t="str">
        <f>IF(B38="","",VLOOKUP(AD38,#REF!,5,0))</f>
        <v/>
      </c>
      <c r="I38" s="67" t="str">
        <f>IF(B38="","",VLOOKUP(AD38,#REF!,19,0))</f>
        <v/>
      </c>
      <c r="J38" s="67" t="str">
        <f>IF(B38="","",VLOOKUP(AD38,#REF!,6,0))</f>
        <v/>
      </c>
      <c r="K38" s="67"/>
      <c r="L38" s="67"/>
      <c r="M38" s="67" t="str">
        <f>IFERROR(IF(B38="","",K38/VLOOKUP(AD38,Varsayımlar!B:R,17,0)),"")</f>
        <v/>
      </c>
      <c r="N38" s="67"/>
      <c r="O38" s="67"/>
      <c r="P38" s="67" t="str">
        <f>IF(B38="","",VLOOKUP(AD38,#REF!,7,0)*K38)</f>
        <v/>
      </c>
      <c r="Q38" s="67" t="str">
        <f>IF(B38="","",VLOOKUP(AD38,#REF!,8,0))</f>
        <v/>
      </c>
      <c r="R38" s="67" t="str">
        <f>IF(B38="","",VLOOKUP(AD38,#REF!,9,0))</f>
        <v/>
      </c>
      <c r="S38" s="67" t="str">
        <f>IF(B38="","",VLOOKUP(AD38,#REF!,10,0))</f>
        <v/>
      </c>
      <c r="T38" s="67" t="str">
        <f>IF(B38="","",VLOOKUP(AD38,#REF!,11,0))</f>
        <v/>
      </c>
      <c r="U38" s="67" t="str">
        <f>IF(B38="","",VLOOKUP(AD38,#REF!,12,0))</f>
        <v/>
      </c>
      <c r="V38" s="67" t="str">
        <f>IF(B38="","",VLOOKUP(AD38,#REF!,13,0))</f>
        <v/>
      </c>
      <c r="W38" s="67" t="str">
        <f>IF(B38="","",VLOOKUP(AD38,#REF!,14,0))</f>
        <v/>
      </c>
      <c r="X38" s="69"/>
      <c r="Y38" s="69"/>
      <c r="Z38" s="67"/>
      <c r="AA38" s="67" t="str">
        <f>IF(B38="","",VLOOKUP(AD38,#REF!,15,0))</f>
        <v/>
      </c>
      <c r="AB38" s="67" t="str">
        <f>IF(B38="","",VLOOKUP(AD38,#REF!,16,0))</f>
        <v/>
      </c>
      <c r="AC38" s="145"/>
      <c r="AD38" s="57"/>
    </row>
    <row r="39" spans="1:30" ht="36" customHeight="1" x14ac:dyDescent="0.25">
      <c r="A39" s="8" t="s">
        <v>151</v>
      </c>
      <c r="B39" s="67"/>
      <c r="C39" s="42" t="str">
        <f>IF(B39="","",VLOOKUP(AD39,#REF!,3,0))</f>
        <v/>
      </c>
      <c r="D39" s="42"/>
      <c r="E39" s="42"/>
      <c r="F39" s="67"/>
      <c r="G39" s="67"/>
      <c r="H39" s="67" t="str">
        <f>IF(B39="","",VLOOKUP(AD39,#REF!,5,0))</f>
        <v/>
      </c>
      <c r="I39" s="67" t="str">
        <f>IF(B39="","",VLOOKUP(AD39,#REF!,19,0))</f>
        <v/>
      </c>
      <c r="J39" s="67" t="str">
        <f>IF(B39="","",VLOOKUP(AD39,#REF!,6,0))</f>
        <v/>
      </c>
      <c r="K39" s="67"/>
      <c r="L39" s="67"/>
      <c r="M39" s="67" t="str">
        <f>IFERROR(IF(B39="","",K39/VLOOKUP(AD39,Varsayımlar!B:R,17,0)),"")</f>
        <v/>
      </c>
      <c r="N39" s="67"/>
      <c r="O39" s="67"/>
      <c r="P39" s="67" t="str">
        <f>IF(B39="","",VLOOKUP(AD39,#REF!,7,0)*K39)</f>
        <v/>
      </c>
      <c r="Q39" s="67" t="str">
        <f>IF(B39="","",VLOOKUP(AD39,#REF!,8,0))</f>
        <v/>
      </c>
      <c r="R39" s="67" t="str">
        <f>IF(B39="","",VLOOKUP(AD39,#REF!,9,0))</f>
        <v/>
      </c>
      <c r="S39" s="67" t="str">
        <f>IF(B39="","",VLOOKUP(AD39,#REF!,10,0))</f>
        <v/>
      </c>
      <c r="T39" s="67" t="str">
        <f>IF(B39="","",VLOOKUP(AD39,#REF!,11,0))</f>
        <v/>
      </c>
      <c r="U39" s="67" t="str">
        <f>IF(B39="","",VLOOKUP(AD39,#REF!,12,0))</f>
        <v/>
      </c>
      <c r="V39" s="67" t="str">
        <f>IF(B39="","",VLOOKUP(AD39,#REF!,13,0))</f>
        <v/>
      </c>
      <c r="W39" s="67" t="str">
        <f>IF(B39="","",VLOOKUP(AD39,#REF!,14,0))</f>
        <v/>
      </c>
      <c r="X39" s="69"/>
      <c r="Y39" s="69"/>
      <c r="Z39" s="67"/>
      <c r="AA39" s="67" t="str">
        <f>IF(B39="","",VLOOKUP(AD39,#REF!,15,0))</f>
        <v/>
      </c>
      <c r="AB39" s="67" t="str">
        <f>IF(B39="","",VLOOKUP(AD39,#REF!,16,0))</f>
        <v/>
      </c>
      <c r="AC39" s="145"/>
      <c r="AD39" s="57"/>
    </row>
    <row r="40" spans="1:30" x14ac:dyDescent="0.25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6"/>
      <c r="Y40" s="136"/>
      <c r="Z40" s="135"/>
      <c r="AA40" s="135"/>
      <c r="AB40" s="137"/>
      <c r="AC40" s="138"/>
      <c r="AD40" s="57"/>
    </row>
    <row r="41" spans="1:30" ht="31.5" customHeight="1" x14ac:dyDescent="0.25">
      <c r="A41" s="182" t="s">
        <v>344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4"/>
      <c r="AC41" s="38"/>
    </row>
    <row r="42" spans="1:30" ht="63" x14ac:dyDescent="0.25">
      <c r="A42" s="8" t="s">
        <v>0</v>
      </c>
      <c r="B42" s="8" t="s">
        <v>1</v>
      </c>
      <c r="C42" s="9" t="s">
        <v>31</v>
      </c>
      <c r="D42" s="9" t="s">
        <v>124</v>
      </c>
      <c r="E42" s="9" t="s">
        <v>36</v>
      </c>
      <c r="F42" s="8" t="s">
        <v>37</v>
      </c>
      <c r="G42" s="8" t="s">
        <v>13</v>
      </c>
      <c r="H42" s="8" t="s">
        <v>2</v>
      </c>
      <c r="I42" s="8" t="s">
        <v>49</v>
      </c>
      <c r="J42" s="8" t="s">
        <v>3</v>
      </c>
      <c r="K42" s="8" t="s">
        <v>21</v>
      </c>
      <c r="L42" s="8" t="s">
        <v>94</v>
      </c>
      <c r="M42" s="8" t="s">
        <v>20</v>
      </c>
      <c r="N42" s="8" t="s">
        <v>165</v>
      </c>
      <c r="O42" s="8" t="s">
        <v>123</v>
      </c>
      <c r="P42" s="8" t="s">
        <v>16</v>
      </c>
      <c r="Q42" s="8" t="s">
        <v>4</v>
      </c>
      <c r="R42" s="8" t="s">
        <v>5</v>
      </c>
      <c r="S42" s="8" t="s">
        <v>6</v>
      </c>
      <c r="T42" s="8" t="s">
        <v>28</v>
      </c>
      <c r="U42" s="8" t="s">
        <v>7</v>
      </c>
      <c r="V42" s="8" t="s">
        <v>8</v>
      </c>
      <c r="W42" s="8" t="s">
        <v>267</v>
      </c>
      <c r="X42" s="8" t="s">
        <v>10</v>
      </c>
      <c r="Y42" s="8" t="s">
        <v>11</v>
      </c>
      <c r="Z42" s="8" t="s">
        <v>12</v>
      </c>
      <c r="AA42" s="8" t="s">
        <v>14</v>
      </c>
      <c r="AB42" s="8" t="s">
        <v>15</v>
      </c>
      <c r="AC42" s="8" t="s">
        <v>208</v>
      </c>
      <c r="AD42" s="140" t="s">
        <v>41</v>
      </c>
    </row>
    <row r="43" spans="1:30" ht="54.75" customHeight="1" x14ac:dyDescent="0.25">
      <c r="A43" s="8" t="s">
        <v>26</v>
      </c>
      <c r="B43" s="73" t="s">
        <v>95</v>
      </c>
      <c r="C43" s="71">
        <f>IF(B43="","",VLOOKUP(AD43,Varsayımlar!$B:$Q,3,0))</f>
        <v>8698829380698</v>
      </c>
      <c r="D43" s="71"/>
      <c r="E43" s="157" t="s">
        <v>114</v>
      </c>
      <c r="F43" s="73"/>
      <c r="G43" s="73" t="s">
        <v>587</v>
      </c>
      <c r="H43" s="73" t="str">
        <f>IF(B43="","",VLOOKUP(AD43,Varsayımlar!$B:$Q,5,0))</f>
        <v>Bisto 25 cm</v>
      </c>
      <c r="I43" s="73"/>
      <c r="J43" s="73" t="str">
        <f>IF(B43="","",VLOOKUP(AD43,Varsayımlar!$B:$Q,6,0))</f>
        <v>SADE</v>
      </c>
      <c r="K43" s="73">
        <v>240</v>
      </c>
      <c r="L43" s="73"/>
      <c r="M43" s="73">
        <f>IFERROR(IF(B43="","",K43/VLOOKUP(AD43,Varsayımlar!B:R,17,0)),"")</f>
        <v>5</v>
      </c>
      <c r="N43" s="73"/>
      <c r="O43" s="73">
        <v>11</v>
      </c>
      <c r="P43" s="73">
        <f>IF(B43="","",VLOOKUP(AD43,Varsayımlar!$B:$Q,7,0)*K43)</f>
        <v>2880</v>
      </c>
      <c r="Q43" s="73">
        <f>IF(B43="","",VLOOKUP(AD43,Varsayımlar!$B:$Q,8,0))</f>
        <v>25</v>
      </c>
      <c r="R43" s="73" t="str">
        <f>IF(B43="","",VLOOKUP(AD43,Varsayımlar!$B:$Q,9,0))</f>
        <v>Standart</v>
      </c>
      <c r="S43" s="73">
        <f>IF(B43="","",VLOOKUP(AD43,Varsayımlar!$B:$Q,10,0))</f>
        <v>12</v>
      </c>
      <c r="T43" s="73">
        <f>IF(B43="","",VLOOKUP(AD43,Varsayımlar!$B:$Q,11,0))</f>
        <v>12</v>
      </c>
      <c r="U43" s="73">
        <f>IF(B43="","",VLOOKUP(AD43,Varsayımlar!$B:$Q,12,0))</f>
        <v>840</v>
      </c>
      <c r="V43" s="73" t="str">
        <f>IF(B43="","",VLOOKUP(AD43,Varsayımlar!$B:$Q,13,0))</f>
        <v>Yurtiçi</v>
      </c>
      <c r="W43" s="73">
        <f>IF(B43="","",VLOOKUP(AD43,Varsayımlar!$B:$Q,14,0))</f>
        <v>6</v>
      </c>
      <c r="X43" s="158" t="s">
        <v>113</v>
      </c>
      <c r="Y43" s="158" t="s">
        <v>113</v>
      </c>
      <c r="Z43" s="73" t="s">
        <v>113</v>
      </c>
      <c r="AA43" s="73" t="str">
        <f>IF(B43="","",VLOOKUP(AD43,Varsayımlar!$B:$Q,15,0))</f>
        <v>Bisto Kolisi</v>
      </c>
      <c r="AB43" s="73" t="str">
        <f>IF(B43="","",VLOOKUP(AD43,Varsayımlar!$B:$Q,16,0))</f>
        <v>24-26 Cm</v>
      </c>
      <c r="AC43" s="64" t="s">
        <v>362</v>
      </c>
      <c r="AD43" s="57" t="str">
        <f t="shared" ref="AD43" si="1">IF(B43="","",CONCATENATE(B43,E43))</f>
        <v>Şok MarketBisto 25 cm 12 pcs 840g</v>
      </c>
    </row>
    <row r="44" spans="1:30" ht="47.25" x14ac:dyDescent="0.25">
      <c r="A44" s="8" t="s">
        <v>77</v>
      </c>
      <c r="B44" s="130" t="s">
        <v>119</v>
      </c>
      <c r="C44" s="130">
        <f>IF(B44="","",VLOOKUP(AD44,Varsayımlar!$B:$Q,3,0))</f>
        <v>8698829380698</v>
      </c>
      <c r="D44" s="130"/>
      <c r="E44" s="130" t="s">
        <v>120</v>
      </c>
      <c r="F44" s="130"/>
      <c r="G44" s="130"/>
      <c r="H44" s="130" t="str">
        <f>IF(B44="","",VLOOKUP(AD44,Varsayımlar!$B:$Q,5,0))</f>
        <v>Nimet 25 cm</v>
      </c>
      <c r="I44" s="130"/>
      <c r="J44" s="130" t="str">
        <f>IF(B44="","",VLOOKUP(AD44,Varsayımlar!$B:$Q,6,0))</f>
        <v>SADE</v>
      </c>
      <c r="K44" s="130">
        <v>4000</v>
      </c>
      <c r="L44" s="130"/>
      <c r="M44" s="130">
        <f>IFERROR(IF(B44="","",K44/VLOOKUP(AD44,Varsayımlar!B:R,17,0)),"")</f>
        <v>80</v>
      </c>
      <c r="N44" s="130"/>
      <c r="O44" s="130">
        <v>60</v>
      </c>
      <c r="P44" s="130">
        <f>IF(B44="","",VLOOKUP(AD44,Varsayımlar!$B:$Q,7,0)*K44)</f>
        <v>48000</v>
      </c>
      <c r="Q44" s="130">
        <f>IF(B44="","",VLOOKUP(AD44,Varsayımlar!$B:$Q,8,0))</f>
        <v>25</v>
      </c>
      <c r="R44" s="130" t="str">
        <f>IF(B44="","",VLOOKUP(AD44,Varsayımlar!$B:$Q,9,0))</f>
        <v>Standart</v>
      </c>
      <c r="S44" s="130">
        <f>IF(B44="","",VLOOKUP(AD44,Varsayımlar!$B:$Q,10,0))</f>
        <v>12</v>
      </c>
      <c r="T44" s="130">
        <f>IF(B44="","",VLOOKUP(AD44,Varsayımlar!$B:$Q,11,0))</f>
        <v>12</v>
      </c>
      <c r="U44" s="130">
        <f>IF(B44="","",VLOOKUP(AD44,Varsayımlar!$B:$Q,12,0))</f>
        <v>840</v>
      </c>
      <c r="V44" s="130" t="str">
        <f>IF(B44="","",VLOOKUP(AD44,Varsayımlar!$B:$Q,13,0))</f>
        <v>YURTİÇİ</v>
      </c>
      <c r="W44" s="130">
        <f>IF(B44="","",VLOOKUP(AD44,Varsayımlar!$B:$Q,14,0))</f>
        <v>5</v>
      </c>
      <c r="X44" s="130" t="s">
        <v>113</v>
      </c>
      <c r="Y44" s="130" t="s">
        <v>113</v>
      </c>
      <c r="Z44" s="130" t="s">
        <v>113</v>
      </c>
      <c r="AA44" s="130" t="str">
        <f>IF(B44="","",VLOOKUP(AD44,Varsayımlar!$B:$Q,15,0))</f>
        <v>Nimet Kolisi</v>
      </c>
      <c r="AB44" s="130" t="str">
        <f>IF(B44="","",VLOOKUP(AD44,Varsayımlar!$B:$Q,16,0))</f>
        <v>24-26 CM</v>
      </c>
      <c r="AC44" s="64" t="s">
        <v>360</v>
      </c>
      <c r="AD44" s="57" t="str">
        <f t="shared" ref="AD44:AD49" si="2">IF(B44="","",CONCATENATE(B44,E44))</f>
        <v>A101Nimet 25cm 12 pcs 840g</v>
      </c>
    </row>
    <row r="45" spans="1:30" ht="51.75" customHeight="1" x14ac:dyDescent="0.25">
      <c r="A45" s="8" t="s">
        <v>78</v>
      </c>
      <c r="B45" s="75" t="s">
        <v>218</v>
      </c>
      <c r="C45" s="43">
        <f>IF(B45="","",VLOOKUP(AD45,Varsayımlar!$B:$Q,3,0))</f>
        <v>8698829380698</v>
      </c>
      <c r="D45" s="43" t="s">
        <v>161</v>
      </c>
      <c r="E45" s="75" t="s">
        <v>228</v>
      </c>
      <c r="F45" s="75" t="s">
        <v>561</v>
      </c>
      <c r="G45" s="43" t="s">
        <v>578</v>
      </c>
      <c r="H45" s="75" t="str">
        <f>IF(B45="","",VLOOKUP(AD45,Varsayımlar!$B:$Q,5,0))</f>
        <v>Tortillas Avrupa 25cm (698)</v>
      </c>
      <c r="I45" s="75">
        <f>IF(B45="","",VLOOKUP(AD45,Varsayımlar!B:T,19,0))</f>
        <v>0</v>
      </c>
      <c r="J45" s="75" t="str">
        <f>IF(B45="","",VLOOKUP(AD45,Varsayımlar!$B:$Q,6,0))</f>
        <v>SADE</v>
      </c>
      <c r="K45" s="75">
        <v>600</v>
      </c>
      <c r="L45" s="75"/>
      <c r="M45" s="75">
        <f>IFERROR(IF(B45="","",K45/VLOOKUP(AD45,Varsayımlar!B:R,17,0)),"")</f>
        <v>5</v>
      </c>
      <c r="N45" s="75"/>
      <c r="O45" s="75">
        <v>6</v>
      </c>
      <c r="P45" s="75">
        <f>IF(B45="","",VLOOKUP(AD45,Varsayımlar!$B:$Q,7,0)*K45)</f>
        <v>4800</v>
      </c>
      <c r="Q45" s="75">
        <f>IF(B45="","",VLOOKUP(AD45,Varsayımlar!$B:$Q,8,0))</f>
        <v>25</v>
      </c>
      <c r="R45" s="75" t="str">
        <f>IF(B45="","",VLOOKUP(AD45,Varsayımlar!$B:$Q,9,0))</f>
        <v>Irak Soft</v>
      </c>
      <c r="S45" s="75">
        <f>IF(B45="","",VLOOKUP(AD45,Varsayımlar!$B:$Q,10,0))</f>
        <v>10</v>
      </c>
      <c r="T45" s="75">
        <f>IF(B45="","",VLOOKUP(AD45,Varsayımlar!$B:$Q,11,0))</f>
        <v>8</v>
      </c>
      <c r="U45" s="75">
        <f>IF(B45="","",VLOOKUP(AD45,Varsayımlar!$B:$Q,12,0))</f>
        <v>650</v>
      </c>
      <c r="V45" s="75" t="str">
        <f>IF(B45="","",VLOOKUP(AD45,Varsayımlar!$B:$Q,13,0))</f>
        <v>Yurtdışı</v>
      </c>
      <c r="W45" s="75">
        <f>IF(B45="","",VLOOKUP(AD45,Varsayımlar!$B:$Q,14,0))</f>
        <v>9</v>
      </c>
      <c r="X45" s="76">
        <v>46213</v>
      </c>
      <c r="Y45" s="76">
        <v>46487</v>
      </c>
      <c r="Z45" s="75">
        <v>26071025</v>
      </c>
      <c r="AA45" s="75" t="str">
        <f>IF(B45="","",VLOOKUP(AD45,Varsayımlar!$B:$Q,15,0))</f>
        <v>25cm Perforeli-Bulgarca etiket</v>
      </c>
      <c r="AB45" s="75" t="str">
        <f>IF(B45="","",VLOOKUP(AD45,Varsayımlar!$B:$Q,16,0))</f>
        <v>24-26 cm</v>
      </c>
      <c r="AC45" s="75" t="str">
        <f>IF(B45="","",VLOOKUP(Sayfa1!AD61,Varsayımlar!B:S,18,0))</f>
        <v>80x120cm -Epal+Epal</v>
      </c>
      <c r="AD45" s="57" t="str">
        <f t="shared" si="2"/>
        <v>TASTE LAND-BULGARİSTANTortillas 25cm Sade 10pcs 650g</v>
      </c>
    </row>
    <row r="46" spans="1:30" ht="36" customHeight="1" x14ac:dyDescent="0.25">
      <c r="A46" s="8" t="s">
        <v>79</v>
      </c>
      <c r="B46" s="149" t="s">
        <v>500</v>
      </c>
      <c r="C46" s="149">
        <f>IF(B46="","",VLOOKUP(AD46,Varsayımlar!$B:$Q,3,0))</f>
        <v>8698829380698</v>
      </c>
      <c r="D46" s="149"/>
      <c r="E46" s="149" t="s">
        <v>193</v>
      </c>
      <c r="F46" s="149">
        <v>26062201</v>
      </c>
      <c r="G46" s="149"/>
      <c r="H46" s="149" t="str">
        <f>IF(B46="","",VLOOKUP(AD46,Varsayımlar!$B:$Q,5,0))</f>
        <v>Tortillas 25cm</v>
      </c>
      <c r="I46" s="149">
        <f>IF(B46="","",VLOOKUP(AD46,Varsayımlar!B:T,19,0))</f>
        <v>0</v>
      </c>
      <c r="J46" s="149" t="str">
        <f>IF(B46="","",VLOOKUP(AD46,Varsayımlar!$B:$Q,6,0))</f>
        <v>Sade</v>
      </c>
      <c r="K46" s="149">
        <v>50</v>
      </c>
      <c r="L46" s="149"/>
      <c r="M46" s="149">
        <f>IFERROR(IF(B46="","",K46/VLOOKUP(AD46,Varsayımlar!B:R,17,0)),"")</f>
        <v>1</v>
      </c>
      <c r="N46" s="149"/>
      <c r="O46" s="149">
        <v>1</v>
      </c>
      <c r="P46" s="149">
        <f>IF(B46="","",VLOOKUP(AD46,Varsayımlar!$B:$Q,7,0)*K46)</f>
        <v>600</v>
      </c>
      <c r="Q46" s="149">
        <f>IF(B46="","",VLOOKUP(AD46,Varsayımlar!$B:$Q,8,0))</f>
        <v>25</v>
      </c>
      <c r="R46" s="149" t="str">
        <f>IF(B46="","",VLOOKUP(AD46,Varsayımlar!$B:$Q,9,0))</f>
        <v>Irak Soft</v>
      </c>
      <c r="S46" s="149">
        <f>IF(B46="","",VLOOKUP(AD46,Varsayımlar!$B:$Q,10,0))</f>
        <v>10</v>
      </c>
      <c r="T46" s="149">
        <f>IF(B46="","",VLOOKUP(AD46,Varsayımlar!$B:$Q,11,0))</f>
        <v>12</v>
      </c>
      <c r="U46" s="149">
        <f>IF(B46="","",VLOOKUP(AD46,Varsayımlar!$B:$Q,12,0))</f>
        <v>650</v>
      </c>
      <c r="V46" s="149" t="str">
        <f>IF(B46="","",VLOOKUP(AD46,Varsayımlar!$B:$Q,13,0))</f>
        <v>Yurtdışı</v>
      </c>
      <c r="W46" s="149">
        <f>IF(B46="","",VLOOKUP(AD46,Varsayımlar!$B:$Q,14,0))</f>
        <v>12</v>
      </c>
      <c r="X46" s="151"/>
      <c r="Y46" s="151"/>
      <c r="Z46" s="149"/>
      <c r="AA46" s="149" t="str">
        <f>IF(B46="","",VLOOKUP(AD46,Varsayımlar!$B:$Q,15,0))</f>
        <v>25cm Kolisi</v>
      </c>
      <c r="AB46" s="149" t="str">
        <f>IF(B46="","",VLOOKUP(AD46,Varsayımlar!$B:$Q,16,0))</f>
        <v>24-26cm</v>
      </c>
      <c r="AC46" s="67"/>
      <c r="AD46" s="57" t="str">
        <f t="shared" si="2"/>
        <v>Fama GroupTortillas 25cm 10pcs 650g</v>
      </c>
    </row>
    <row r="47" spans="1:30" ht="44.25" customHeight="1" x14ac:dyDescent="0.25">
      <c r="A47" s="8" t="s">
        <v>80</v>
      </c>
      <c r="B47" s="67" t="s">
        <v>460</v>
      </c>
      <c r="C47" s="42">
        <f>IF(B47="","",VLOOKUP(AD47,Varsayımlar!$B:$Q,3,0))</f>
        <v>8698829380698</v>
      </c>
      <c r="D47" s="67" t="s">
        <v>540</v>
      </c>
      <c r="E47" s="67" t="s">
        <v>468</v>
      </c>
      <c r="F47" s="67">
        <v>20260414</v>
      </c>
      <c r="G47" s="67" t="s">
        <v>578</v>
      </c>
      <c r="H47" s="67" t="str">
        <f>IF(B47="","",VLOOKUP(AD47,Varsayımlar!$B:$Q,5,0))</f>
        <v>Tortillove 25cm</v>
      </c>
      <c r="I47" s="67">
        <f>IF(B47="","",VLOOKUP(AD47,Varsayımlar!B:T,19,0))</f>
        <v>0</v>
      </c>
      <c r="J47" s="67" t="str">
        <f>IF(B47="","",VLOOKUP(AD47,Varsayımlar!$B:$Q,6,0))</f>
        <v>SADE</v>
      </c>
      <c r="K47" s="67">
        <v>100</v>
      </c>
      <c r="L47" s="67"/>
      <c r="M47" s="67">
        <f>IFERROR(IF(B47="","",K47/VLOOKUP(AD47,Varsayımlar!B:R,17,0)),"")</f>
        <v>1</v>
      </c>
      <c r="N47" s="67"/>
      <c r="O47" s="67">
        <v>2</v>
      </c>
      <c r="P47" s="67">
        <f>IF(B47="","",VLOOKUP(AD47,Varsayımlar!$B:$Q,7,0)*K47)</f>
        <v>1200</v>
      </c>
      <c r="Q47" s="67">
        <f>IF(B47="","",VLOOKUP(AD47,Varsayımlar!$B:$Q,8,0))</f>
        <v>25</v>
      </c>
      <c r="R47" s="67" t="str">
        <f>IF(B47="","",VLOOKUP(AD47,Varsayımlar!$B:$Q,9,0))</f>
        <v>Irak Soft</v>
      </c>
      <c r="S47" s="67">
        <f>IF(B47="","",VLOOKUP(AD47,Varsayımlar!$B:$Q,10,0))</f>
        <v>10</v>
      </c>
      <c r="T47" s="67">
        <f>IF(B47="","",VLOOKUP(AD47,Varsayımlar!$B:$Q,11,0))</f>
        <v>12</v>
      </c>
      <c r="U47" s="67">
        <f>IF(B47="","",VLOOKUP(AD47,Varsayımlar!$B:$Q,12,0))</f>
        <v>650</v>
      </c>
      <c r="V47" s="67" t="str">
        <f>IF(B47="","",VLOOKUP(AD47,Varsayımlar!$B:$Q,13,0))</f>
        <v>Yurtdışı</v>
      </c>
      <c r="W47" s="67">
        <f>IF(B47="","",VLOOKUP(AD47,Varsayımlar!$B:$Q,14,0))</f>
        <v>6</v>
      </c>
      <c r="X47" s="69">
        <v>46216</v>
      </c>
      <c r="Y47" s="69">
        <v>46400</v>
      </c>
      <c r="Z47" s="67">
        <v>26071325</v>
      </c>
      <c r="AA47" s="67" t="str">
        <f>IF(B47="","",VLOOKUP(AD47,Varsayımlar!$B:$Q,15,0))</f>
        <v>25cm Kırmızı Koli</v>
      </c>
      <c r="AB47" s="67" t="str">
        <f>IF(B47="","",VLOOKUP(AD47,Varsayımlar!$B:$Q,16,0))</f>
        <v>24-26 cm</v>
      </c>
      <c r="AC47" s="75" t="str">
        <f>IF(B47="","",VLOOKUP(Sayfa1!AD64,Varsayımlar!B:S,18,0))</f>
        <v>80x120cm -Epal+Epal</v>
      </c>
      <c r="AD47" s="57" t="str">
        <f t="shared" si="2"/>
        <v>Yüksekbaş GıdaYüksekbaş 25cm 10pcs 650g</v>
      </c>
    </row>
    <row r="48" spans="1:30" ht="44.25" customHeight="1" x14ac:dyDescent="0.25">
      <c r="A48" s="8" t="s">
        <v>81</v>
      </c>
      <c r="B48" s="42" t="s">
        <v>460</v>
      </c>
      <c r="C48" s="42">
        <f>IF(B48="","",VLOOKUP(AD48,Varsayımlar!$B:$Q,3,0))</f>
        <v>8698829380698</v>
      </c>
      <c r="D48" s="42" t="s">
        <v>540</v>
      </c>
      <c r="E48" s="42" t="s">
        <v>471</v>
      </c>
      <c r="F48" s="42">
        <v>20260414</v>
      </c>
      <c r="G48" s="42" t="s">
        <v>578</v>
      </c>
      <c r="H48" s="42" t="str">
        <f>IF(B48="","",VLOOKUP(AD48,Varsayımlar!$B:$Q,5,0))</f>
        <v>Tortillove Tam Buğday 25cm</v>
      </c>
      <c r="I48" s="42">
        <f>IF(B48="","",VLOOKUP(AD48,Varsayımlar!B:T,19,0))</f>
        <v>0</v>
      </c>
      <c r="J48" s="42" t="str">
        <f>IF(B48="","",VLOOKUP(AD48,Varsayımlar!$B:$Q,6,0))</f>
        <v>Tam Buğdaylı</v>
      </c>
      <c r="K48" s="42">
        <v>500</v>
      </c>
      <c r="L48" s="42"/>
      <c r="M48" s="42">
        <f>IFERROR(IF(B48="","",K48/VLOOKUP(AD48,Varsayımlar!B:R,17,0)),"")</f>
        <v>5</v>
      </c>
      <c r="N48" s="42"/>
      <c r="O48" s="42">
        <v>7</v>
      </c>
      <c r="P48" s="42">
        <f>IF(B48="","",VLOOKUP(AD48,Varsayımlar!$B:$Q,7,0)*K48)</f>
        <v>6000</v>
      </c>
      <c r="Q48" s="42">
        <f>IF(B48="","",VLOOKUP(AD48,Varsayımlar!$B:$Q,8,0))</f>
        <v>25</v>
      </c>
      <c r="R48" s="42" t="str">
        <f>IF(B48="","",VLOOKUP(AD48,Varsayımlar!$B:$Q,9,0))</f>
        <v>Irak Soft</v>
      </c>
      <c r="S48" s="42">
        <f>IF(B48="","",VLOOKUP(AD48,Varsayımlar!$B:$Q,10,0))</f>
        <v>10</v>
      </c>
      <c r="T48" s="42">
        <f>IF(B48="","",VLOOKUP(AD48,Varsayımlar!$B:$Q,11,0))</f>
        <v>12</v>
      </c>
      <c r="U48" s="42">
        <f>IF(B48="","",VLOOKUP(AD48,Varsayımlar!$B:$Q,12,0))</f>
        <v>650</v>
      </c>
      <c r="V48" s="42" t="str">
        <f>IF(B48="","",VLOOKUP(AD48,Varsayımlar!$B:$Q,13,0))</f>
        <v>Yurtdışı</v>
      </c>
      <c r="W48" s="42">
        <f>IF(B48="","",VLOOKUP(AD48,Varsayımlar!$B:$Q,14,0))</f>
        <v>6</v>
      </c>
      <c r="X48" s="69">
        <v>46216</v>
      </c>
      <c r="Y48" s="69">
        <v>46400</v>
      </c>
      <c r="Z48" s="42" t="s">
        <v>475</v>
      </c>
      <c r="AA48" s="42" t="str">
        <f>IF(B48="","",VLOOKUP(AD48,Varsayımlar!$B:$Q,15,0))</f>
        <v>25cm Kırmızı Koli-Etiketli</v>
      </c>
      <c r="AB48" s="42" t="str">
        <f>IF(B48="","",VLOOKUP(AD48,Varsayımlar!$B:$Q,16,0))</f>
        <v>24-26 cm</v>
      </c>
      <c r="AC48" s="75" t="str">
        <f>IF(B48="","",VLOOKUP(Sayfa1!AD64,Varsayımlar!B:S,18,0))</f>
        <v>80x120cm -Epal+Epal</v>
      </c>
      <c r="AD48" s="57" t="str">
        <f t="shared" si="2"/>
        <v>Yüksekbaş GıdaYüksekbaş TB 25cm 10pcs 650g</v>
      </c>
    </row>
    <row r="49" spans="1:30" ht="45.75" customHeight="1" x14ac:dyDescent="0.25">
      <c r="A49" s="8" t="s">
        <v>82</v>
      </c>
      <c r="B49" s="130" t="s">
        <v>119</v>
      </c>
      <c r="C49" s="131">
        <f>IF(B49="","",VLOOKUP(AD49,Varsayımlar!$B:$Q,3,0))</f>
        <v>8698829380698</v>
      </c>
      <c r="D49" s="131"/>
      <c r="E49" s="132" t="s">
        <v>120</v>
      </c>
      <c r="F49" s="130"/>
      <c r="G49" s="130"/>
      <c r="H49" s="130" t="str">
        <f>IF(B49="","",VLOOKUP(AD49,Varsayımlar!$B:$Q,5,0))</f>
        <v>Nimet 25 cm</v>
      </c>
      <c r="I49" s="130"/>
      <c r="J49" s="130" t="str">
        <f>IF(B49="","",VLOOKUP(AD49,Varsayımlar!$B:$Q,6,0))</f>
        <v>SADE</v>
      </c>
      <c r="K49" s="130">
        <v>4000</v>
      </c>
      <c r="L49" s="130"/>
      <c r="M49" s="130">
        <f>IFERROR(IF(B49="","",K49/VLOOKUP(AD49,Varsayımlar!B:R,17,0)),"")</f>
        <v>80</v>
      </c>
      <c r="N49" s="130"/>
      <c r="O49" s="130">
        <v>60</v>
      </c>
      <c r="P49" s="130">
        <f>IF(B49="","",VLOOKUP(AD49,Varsayımlar!$B:$Q,7,0)*K49)</f>
        <v>48000</v>
      </c>
      <c r="Q49" s="130">
        <f>IF(B49="","",VLOOKUP(AD49,Varsayımlar!$B:$Q,8,0))</f>
        <v>25</v>
      </c>
      <c r="R49" s="130" t="str">
        <f>IF(B49="","",VLOOKUP(AD49,Varsayımlar!$B:$Q,9,0))</f>
        <v>Standart</v>
      </c>
      <c r="S49" s="130">
        <f>IF(B49="","",VLOOKUP(AD49,Varsayımlar!$B:$Q,10,0))</f>
        <v>12</v>
      </c>
      <c r="T49" s="130">
        <f>IF(B49="","",VLOOKUP(AD49,Varsayımlar!$B:$Q,11,0))</f>
        <v>12</v>
      </c>
      <c r="U49" s="130">
        <f>IF(B49="","",VLOOKUP(AD49,Varsayımlar!$B:$Q,12,0))</f>
        <v>840</v>
      </c>
      <c r="V49" s="130" t="str">
        <f>IF(B49="","",VLOOKUP(AD49,Varsayımlar!$B:$Q,13,0))</f>
        <v>YURTİÇİ</v>
      </c>
      <c r="W49" s="130">
        <f>IF(B49="","",VLOOKUP(AD49,Varsayımlar!$B:$Q,14,0))</f>
        <v>5</v>
      </c>
      <c r="X49" s="133" t="s">
        <v>113</v>
      </c>
      <c r="Y49" s="133" t="s">
        <v>113</v>
      </c>
      <c r="Z49" s="130" t="s">
        <v>113</v>
      </c>
      <c r="AA49" s="130" t="str">
        <f>IF(B49="","",VLOOKUP(AD49,Varsayımlar!$B:$Q,15,0))</f>
        <v>Nimet Kolisi</v>
      </c>
      <c r="AB49" s="130" t="str">
        <f>IF(B49="","",VLOOKUP(AD49,Varsayımlar!$B:$Q,16,0))</f>
        <v>24-26 CM</v>
      </c>
      <c r="AC49" s="64" t="s">
        <v>360</v>
      </c>
      <c r="AD49" s="57" t="str">
        <f t="shared" si="2"/>
        <v>A101Nimet 25cm 12 pcs 840g</v>
      </c>
    </row>
    <row r="50" spans="1:30" ht="33.75" customHeight="1" x14ac:dyDescent="0.25">
      <c r="A50" s="8" t="s">
        <v>83</v>
      </c>
      <c r="B50" s="67" t="s">
        <v>460</v>
      </c>
      <c r="C50" s="42">
        <f>IF(B50="","",VLOOKUP(AD50,Varsayımlar!$B:$Q,3,0))</f>
        <v>8698829380698</v>
      </c>
      <c r="D50" s="67" t="s">
        <v>539</v>
      </c>
      <c r="E50" s="67" t="s">
        <v>468</v>
      </c>
      <c r="F50" s="67">
        <v>20260626</v>
      </c>
      <c r="G50" s="67" t="s">
        <v>578</v>
      </c>
      <c r="H50" s="67" t="str">
        <f>IF(B50="","",VLOOKUP(AD50,Varsayımlar!$B:$Q,5,0))</f>
        <v>Tortillove 25cm</v>
      </c>
      <c r="I50" s="67">
        <f>IF(B50="","",VLOOKUP(AD50,Varsayımlar!B:T,19,0))</f>
        <v>0</v>
      </c>
      <c r="J50" s="67" t="str">
        <f>IF(B50="","",VLOOKUP(AD50,Varsayımlar!$B:$Q,6,0))</f>
        <v>SADE</v>
      </c>
      <c r="K50" s="67">
        <v>100</v>
      </c>
      <c r="L50" s="67"/>
      <c r="M50" s="67">
        <f>IFERROR(IF(B50="","",K50/VLOOKUP(AD50,Varsayımlar!B:R,17,0)),"")</f>
        <v>1</v>
      </c>
      <c r="N50" s="67"/>
      <c r="O50" s="67">
        <v>2</v>
      </c>
      <c r="P50" s="67">
        <f>IF(B50="","",VLOOKUP(AD50,Varsayımlar!$B:$Q,7,0)*K50)</f>
        <v>1200</v>
      </c>
      <c r="Q50" s="67">
        <f>IF(B50="","",VLOOKUP(AD50,Varsayımlar!$B:$Q,8,0))</f>
        <v>25</v>
      </c>
      <c r="R50" s="67" t="str">
        <f>IF(B50="","",VLOOKUP(AD50,Varsayımlar!$B:$Q,9,0))</f>
        <v>Irak Soft</v>
      </c>
      <c r="S50" s="67">
        <f>IF(B50="","",VLOOKUP(AD50,Varsayımlar!$B:$Q,10,0))</f>
        <v>10</v>
      </c>
      <c r="T50" s="67">
        <f>IF(B50="","",VLOOKUP(AD50,Varsayımlar!$B:$Q,11,0))</f>
        <v>12</v>
      </c>
      <c r="U50" s="67">
        <f>IF(B50="","",VLOOKUP(AD50,Varsayımlar!$B:$Q,12,0))</f>
        <v>650</v>
      </c>
      <c r="V50" s="67" t="str">
        <f>IF(B50="","",VLOOKUP(AD50,Varsayımlar!$B:$Q,13,0))</f>
        <v>Yurtdışı</v>
      </c>
      <c r="W50" s="67">
        <f>IF(B50="","",VLOOKUP(AD50,Varsayımlar!$B:$Q,14,0))</f>
        <v>6</v>
      </c>
      <c r="X50" s="69"/>
      <c r="Y50" s="69"/>
      <c r="Z50" s="67"/>
      <c r="AA50" s="67" t="str">
        <f>IF(B50="","",VLOOKUP(AD50,Varsayımlar!$B:$Q,15,0))</f>
        <v>25cm Kırmızı Koli</v>
      </c>
      <c r="AB50" s="67" t="str">
        <f>IF(B50="","",VLOOKUP(AD50,Varsayımlar!$B:$Q,16,0))</f>
        <v>24-26 cm</v>
      </c>
      <c r="AC50" s="75">
        <f>IF(B50="","",VLOOKUP(Sayfa1!AD69,Varsayımlar!B:S,18,0))</f>
        <v>0</v>
      </c>
      <c r="AD50" s="57" t="str">
        <f t="shared" ref="AD50:AD53" si="3">IF(B50="","",CONCATENATE(B50,E50))</f>
        <v>Yüksekbaş GıdaYüksekbaş 25cm 10pcs 650g</v>
      </c>
    </row>
    <row r="51" spans="1:30" ht="31.5" x14ac:dyDescent="0.25">
      <c r="A51" s="8" t="s">
        <v>84</v>
      </c>
      <c r="B51" s="42" t="s">
        <v>460</v>
      </c>
      <c r="C51" s="42">
        <f>IF(B51="","",VLOOKUP(AD51,Varsayımlar!$B:$Q,3,0))</f>
        <v>8698829380698</v>
      </c>
      <c r="D51" s="42" t="s">
        <v>539</v>
      </c>
      <c r="E51" s="42" t="s">
        <v>471</v>
      </c>
      <c r="F51" s="42">
        <v>20260626</v>
      </c>
      <c r="G51" s="42" t="s">
        <v>578</v>
      </c>
      <c r="H51" s="42" t="str">
        <f>IF(B51="","",VLOOKUP(AD51,Varsayımlar!$B:$Q,5,0))</f>
        <v>Tortillove Tam Buğday 25cm</v>
      </c>
      <c r="I51" s="42">
        <f>IF(B51="","",VLOOKUP(AD51,Varsayımlar!B:T,19,0))</f>
        <v>0</v>
      </c>
      <c r="J51" s="42" t="str">
        <f>IF(B51="","",VLOOKUP(AD51,Varsayımlar!$B:$Q,6,0))</f>
        <v>Tam Buğdaylı</v>
      </c>
      <c r="K51" s="42">
        <v>500</v>
      </c>
      <c r="L51" s="42"/>
      <c r="M51" s="42">
        <f>IFERROR(IF(B51="","",K51/VLOOKUP(AD51,Varsayımlar!B:R,17,0)),"")</f>
        <v>5</v>
      </c>
      <c r="N51" s="42"/>
      <c r="O51" s="42">
        <v>7</v>
      </c>
      <c r="P51" s="42">
        <f>IF(B51="","",VLOOKUP(AD51,Varsayımlar!$B:$Q,7,0)*K51)</f>
        <v>6000</v>
      </c>
      <c r="Q51" s="42">
        <f>IF(B51="","",VLOOKUP(AD51,Varsayımlar!$B:$Q,8,0))</f>
        <v>25</v>
      </c>
      <c r="R51" s="42" t="str">
        <f>IF(B51="","",VLOOKUP(AD51,Varsayımlar!$B:$Q,9,0))</f>
        <v>Irak Soft</v>
      </c>
      <c r="S51" s="42">
        <f>IF(B51="","",VLOOKUP(AD51,Varsayımlar!$B:$Q,10,0))</f>
        <v>10</v>
      </c>
      <c r="T51" s="42">
        <f>IF(B51="","",VLOOKUP(AD51,Varsayımlar!$B:$Q,11,0))</f>
        <v>12</v>
      </c>
      <c r="U51" s="42">
        <f>IF(B51="","",VLOOKUP(AD51,Varsayımlar!$B:$Q,12,0))</f>
        <v>650</v>
      </c>
      <c r="V51" s="42" t="str">
        <f>IF(B51="","",VLOOKUP(AD51,Varsayımlar!$B:$Q,13,0))</f>
        <v>Yurtdışı</v>
      </c>
      <c r="W51" s="42">
        <f>IF(B51="","",VLOOKUP(AD51,Varsayımlar!$B:$Q,14,0))</f>
        <v>6</v>
      </c>
      <c r="X51" s="69"/>
      <c r="Y51" s="69"/>
      <c r="Z51" s="42"/>
      <c r="AA51" s="42" t="str">
        <f>IF(B51="","",VLOOKUP(AD51,Varsayımlar!$B:$Q,15,0))</f>
        <v>25cm Kırmızı Koli-Etiketli</v>
      </c>
      <c r="AB51" s="42" t="str">
        <f>IF(B51="","",VLOOKUP(AD51,Varsayımlar!$B:$Q,16,0))</f>
        <v>24-26 cm</v>
      </c>
      <c r="AC51" s="75">
        <f>IF(B51="","",VLOOKUP(Sayfa1!AD69,Varsayımlar!B:S,18,0))</f>
        <v>0</v>
      </c>
      <c r="AD51" s="57" t="str">
        <f t="shared" si="3"/>
        <v>Yüksekbaş GıdaYüksekbaş TB 25cm 10pcs 650g</v>
      </c>
    </row>
    <row r="52" spans="1:30" ht="49.5" customHeight="1" x14ac:dyDescent="0.25">
      <c r="A52" s="8" t="s">
        <v>85</v>
      </c>
      <c r="B52" s="152" t="s">
        <v>571</v>
      </c>
      <c r="C52" s="153">
        <f>IF(B52="","",VLOOKUP(AD52,Varsayımlar!$B:$Q,3,0))</f>
        <v>8698829380698</v>
      </c>
      <c r="D52" s="154"/>
      <c r="E52" s="154" t="s">
        <v>574</v>
      </c>
      <c r="F52" s="152">
        <v>20260701</v>
      </c>
      <c r="G52" s="152" t="s">
        <v>578</v>
      </c>
      <c r="H52" s="152" t="str">
        <f>IF(B52="","",VLOOKUP(AD52,Varsayımlar!$B:$Q,5,0))</f>
        <v>Tortillas 25cm</v>
      </c>
      <c r="I52" s="152" t="str">
        <f>IF(B52="","",VLOOKUP(AD52,Varsayımlar!B:T,19,0))</f>
        <v>Azerice Etiketli</v>
      </c>
      <c r="J52" s="152" t="str">
        <f>IF(B52="","",VLOOKUP(AD52,Varsayımlar!$B:$Q,6,0))</f>
        <v>Sade</v>
      </c>
      <c r="K52" s="152">
        <v>80</v>
      </c>
      <c r="L52" s="152"/>
      <c r="M52" s="152">
        <f>IFERROR(IF(B52="","",K52/VLOOKUP(AD52,Varsayımlar!B:R,17,0)),"")</f>
        <v>1</v>
      </c>
      <c r="N52" s="152"/>
      <c r="O52" s="152">
        <v>1</v>
      </c>
      <c r="P52" s="152">
        <f>IF(B52="","",VLOOKUP(AD52,Varsayımlar!$B:$Q,7,0)*K52)</f>
        <v>480</v>
      </c>
      <c r="Q52" s="152">
        <f>IF(B52="","",VLOOKUP(AD52,Varsayımlar!$B:$Q,8,0))</f>
        <v>25</v>
      </c>
      <c r="R52" s="152" t="str">
        <f>IF(B52="","",VLOOKUP(AD52,Varsayımlar!$B:$Q,9,0))</f>
        <v>Irak soft</v>
      </c>
      <c r="S52" s="152">
        <f>IF(B52="","",VLOOKUP(AD52,Varsayımlar!$B:$Q,10,0))</f>
        <v>18</v>
      </c>
      <c r="T52" s="152">
        <f>IF(B52="","",VLOOKUP(AD52,Varsayımlar!$B:$Q,11,0))</f>
        <v>6</v>
      </c>
      <c r="U52" s="152">
        <f>IF(B52="","",VLOOKUP(AD52,Varsayımlar!$B:$Q,12,0))</f>
        <v>1170</v>
      </c>
      <c r="V52" s="152" t="str">
        <f>IF(B52="","",VLOOKUP(AD52,Varsayımlar!$B:$Q,13,0))</f>
        <v>Yurtdışı</v>
      </c>
      <c r="W52" s="152">
        <f>IF(B52="","",VLOOKUP(AD52,Varsayımlar!$B:$Q,14,0))</f>
        <v>9</v>
      </c>
      <c r="X52" s="155"/>
      <c r="Y52" s="155"/>
      <c r="Z52" s="152"/>
      <c r="AA52" s="152" t="str">
        <f>IF(B52="","",VLOOKUP(AD52,Varsayımlar!$B:$Q,15,0))</f>
        <v>25cm Kolisi</v>
      </c>
      <c r="AB52" s="152" t="str">
        <f>IF(B52="","",VLOOKUP(AD52,Varsayımlar!$B:$Q,16,0))</f>
        <v>24-26cm</v>
      </c>
      <c r="AC52" s="8" t="e">
        <f>IF(B52="","",VLOOKUP(#REF!,#REF!,18,0))</f>
        <v>#REF!</v>
      </c>
      <c r="AD52" s="8" t="str">
        <f t="shared" si="3"/>
        <v>HRC TradeTortillas 25cm 18pcs 1170g</v>
      </c>
    </row>
    <row r="53" spans="1:30" ht="51" customHeight="1" x14ac:dyDescent="0.25">
      <c r="A53" s="8" t="s">
        <v>86</v>
      </c>
      <c r="B53" s="160" t="s">
        <v>579</v>
      </c>
      <c r="C53" s="161">
        <f>IF(B53="","",VLOOKUP(AD53,Varsayımlar!$B:$Q,3,0))</f>
        <v>8698829380698</v>
      </c>
      <c r="D53" s="160"/>
      <c r="E53" s="160" t="s">
        <v>193</v>
      </c>
      <c r="F53" s="160">
        <v>20260701</v>
      </c>
      <c r="G53" s="160" t="s">
        <v>578</v>
      </c>
      <c r="H53" s="160" t="str">
        <f>IF(B53="","",VLOOKUP(AD53,Varsayımlar!$B:$Q,5,0))</f>
        <v>Tortillas 25cm</v>
      </c>
      <c r="I53" s="160" t="str">
        <f>IF(B53="","",VLOOKUP(AD53,Varsayımlar!B:T,19,0))</f>
        <v>Arka Kısma Bosnaca içerik Etiketli</v>
      </c>
      <c r="J53" s="160" t="str">
        <f>IF(B53="","",VLOOKUP(AD53,Varsayımlar!$B:$Q,6,0))</f>
        <v>Sade</v>
      </c>
      <c r="K53" s="160">
        <v>400</v>
      </c>
      <c r="L53" s="160"/>
      <c r="M53" s="160">
        <f>IFERROR(IF(B53="","",K53/VLOOKUP(AD53,Varsayımlar!B:R,17,0)),"")</f>
        <v>4</v>
      </c>
      <c r="N53" s="160"/>
      <c r="O53" s="160">
        <v>7</v>
      </c>
      <c r="P53" s="160">
        <f>IF(B53="","",VLOOKUP(AD53,Varsayımlar!$B:$Q,7,0)*K53)</f>
        <v>4800</v>
      </c>
      <c r="Q53" s="160">
        <f>IF(B53="","",VLOOKUP(AD53,Varsayımlar!$B:$Q,8,0))</f>
        <v>25</v>
      </c>
      <c r="R53" s="160" t="str">
        <f>IF(B53="","",VLOOKUP(AD53,Varsayımlar!$B:$Q,9,0))</f>
        <v>Irak soft</v>
      </c>
      <c r="S53" s="160">
        <f>IF(B53="","",VLOOKUP(AD53,Varsayımlar!$B:$Q,10,0))</f>
        <v>10</v>
      </c>
      <c r="T53" s="160">
        <f>IF(B53="","",VLOOKUP(AD53,Varsayımlar!$B:$Q,11,0))</f>
        <v>12</v>
      </c>
      <c r="U53" s="160">
        <f>IF(B53="","",VLOOKUP(AD53,Varsayımlar!$B:$Q,12,0))</f>
        <v>650</v>
      </c>
      <c r="V53" s="160" t="str">
        <f>IF(B53="","",VLOOKUP(AD53,Varsayımlar!$B:$Q,13,0))</f>
        <v>Yurtdışı</v>
      </c>
      <c r="W53" s="160">
        <f>IF(B53="","",VLOOKUP(AD53,Varsayımlar!$B:$Q,14,0))</f>
        <v>6</v>
      </c>
      <c r="X53" s="160"/>
      <c r="Y53" s="160"/>
      <c r="Z53" s="160"/>
      <c r="AA53" s="160" t="str">
        <f>IF(B53="","",VLOOKUP(AD53,Varsayımlar!$B:$Q,15,0))</f>
        <v>25cm Kolisi</v>
      </c>
      <c r="AB53" s="160" t="str">
        <f>IF(B53="","",VLOOKUP(AD53,Varsayımlar!$B:$Q,16,0))</f>
        <v>24-26cm</v>
      </c>
      <c r="AC53" s="75" t="e">
        <f>IF(B53="","",VLOOKUP(Sayfa1!AD111,Varsayımlar!B:S,18,0))</f>
        <v>#N/A</v>
      </c>
      <c r="AD53" s="57" t="str">
        <f t="shared" si="3"/>
        <v>BelamionixTortillas 25cm 10pcs 650g</v>
      </c>
    </row>
    <row r="54" spans="1:30" ht="36" customHeight="1" x14ac:dyDescent="0.25">
      <c r="A54" s="8" t="s">
        <v>87</v>
      </c>
      <c r="B54" s="67"/>
      <c r="C54" s="42" t="str">
        <f>IF(B54="","",VLOOKUP(AD54,#REF!,3,0))</f>
        <v/>
      </c>
      <c r="D54" s="42"/>
      <c r="E54" s="42"/>
      <c r="F54" s="67"/>
      <c r="G54" s="67"/>
      <c r="H54" s="67" t="str">
        <f>IF(B54="","",VLOOKUP(AD54,#REF!,5,0))</f>
        <v/>
      </c>
      <c r="I54" s="67" t="str">
        <f>IF(B54="","",VLOOKUP(AD54,#REF!,19,0))</f>
        <v/>
      </c>
      <c r="J54" s="67" t="str">
        <f>IF(B54="","",VLOOKUP(AD54,#REF!,6,0))</f>
        <v/>
      </c>
      <c r="K54" s="67"/>
      <c r="L54" s="67"/>
      <c r="M54" s="42" t="str">
        <f>IFERROR(IF(B54="","",K54/VLOOKUP(AD54,Varsayımlar!B:R,17,0)),"")</f>
        <v/>
      </c>
      <c r="N54" s="67"/>
      <c r="O54" s="67"/>
      <c r="P54" s="67" t="str">
        <f>IF(B54="","",VLOOKUP(AD54,#REF!,7,0)*K54)</f>
        <v/>
      </c>
      <c r="Q54" s="67" t="str">
        <f>IF(B54="","",VLOOKUP(AD54,#REF!,8,0))</f>
        <v/>
      </c>
      <c r="R54" s="67" t="str">
        <f>IF(B54="","",VLOOKUP(AD54,#REF!,9,0))</f>
        <v/>
      </c>
      <c r="S54" s="67" t="str">
        <f>IF(B54="","",VLOOKUP(AD54,#REF!,10,0))</f>
        <v/>
      </c>
      <c r="T54" s="67" t="str">
        <f>IF(B54="","",VLOOKUP(AD54,#REF!,11,0))</f>
        <v/>
      </c>
      <c r="U54" s="67" t="str">
        <f>IF(B54="","",VLOOKUP(AD54,#REF!,12,0))</f>
        <v/>
      </c>
      <c r="V54" s="67" t="str">
        <f>IF(B54="","",VLOOKUP(AD54,#REF!,13,0))</f>
        <v/>
      </c>
      <c r="W54" s="67" t="str">
        <f>IF(B54="","",VLOOKUP(AD54,#REF!,14,0))</f>
        <v/>
      </c>
      <c r="X54" s="69"/>
      <c r="Y54" s="69"/>
      <c r="Z54" s="67"/>
      <c r="AA54" s="67" t="str">
        <f>IF(B54="","",VLOOKUP(AD54,#REF!,15,0))</f>
        <v/>
      </c>
      <c r="AB54" s="67" t="str">
        <f>IF(B54="","",VLOOKUP(AD54,#REF!,16,0))</f>
        <v/>
      </c>
      <c r="AC54" s="145"/>
      <c r="AD54" s="57"/>
    </row>
    <row r="55" spans="1:30" ht="36" customHeight="1" x14ac:dyDescent="0.25">
      <c r="A55" s="8" t="s">
        <v>88</v>
      </c>
      <c r="B55" s="67"/>
      <c r="C55" s="42" t="str">
        <f>IF(B55="","",VLOOKUP(AD55,#REF!,3,0))</f>
        <v/>
      </c>
      <c r="D55" s="42"/>
      <c r="E55" s="42"/>
      <c r="F55" s="67"/>
      <c r="G55" s="67"/>
      <c r="H55" s="67" t="str">
        <f>IF(B55="","",VLOOKUP(AD55,#REF!,5,0))</f>
        <v/>
      </c>
      <c r="I55" s="67" t="str">
        <f>IF(B55="","",VLOOKUP(AD55,#REF!,19,0))</f>
        <v/>
      </c>
      <c r="J55" s="67" t="str">
        <f>IF(B55="","",VLOOKUP(AD55,#REF!,6,0))</f>
        <v/>
      </c>
      <c r="K55" s="67"/>
      <c r="L55" s="67"/>
      <c r="M55" s="42" t="str">
        <f>IFERROR(IF(B55="","",K55/VLOOKUP(AD55,Varsayımlar!B:R,17,0)),"")</f>
        <v/>
      </c>
      <c r="N55" s="67"/>
      <c r="O55" s="67"/>
      <c r="P55" s="67" t="str">
        <f>IF(B55="","",VLOOKUP(AD55,#REF!,7,0)*K55)</f>
        <v/>
      </c>
      <c r="Q55" s="67" t="str">
        <f>IF(B55="","",VLOOKUP(AD55,#REF!,8,0))</f>
        <v/>
      </c>
      <c r="R55" s="67" t="str">
        <f>IF(B55="","",VLOOKUP(AD55,#REF!,9,0))</f>
        <v/>
      </c>
      <c r="S55" s="67" t="str">
        <f>IF(B55="","",VLOOKUP(AD55,#REF!,10,0))</f>
        <v/>
      </c>
      <c r="T55" s="67" t="str">
        <f>IF(B55="","",VLOOKUP(AD55,#REF!,11,0))</f>
        <v/>
      </c>
      <c r="U55" s="67" t="str">
        <f>IF(B55="","",VLOOKUP(AD55,#REF!,12,0))</f>
        <v/>
      </c>
      <c r="V55" s="67" t="str">
        <f>IF(B55="","",VLOOKUP(AD55,#REF!,13,0))</f>
        <v/>
      </c>
      <c r="W55" s="67" t="str">
        <f>IF(B55="","",VLOOKUP(AD55,#REF!,14,0))</f>
        <v/>
      </c>
      <c r="X55" s="69"/>
      <c r="Y55" s="69"/>
      <c r="Z55" s="67"/>
      <c r="AA55" s="67" t="str">
        <f>IF(B55="","",VLOOKUP(AD55,#REF!,15,0))</f>
        <v/>
      </c>
      <c r="AB55" s="67" t="str">
        <f>IF(B55="","",VLOOKUP(AD55,#REF!,16,0))</f>
        <v/>
      </c>
      <c r="AC55" s="145"/>
      <c r="AD55" s="57"/>
    </row>
    <row r="56" spans="1:30" ht="36" customHeight="1" x14ac:dyDescent="0.25">
      <c r="A56" s="8" t="s">
        <v>89</v>
      </c>
      <c r="B56" s="67"/>
      <c r="C56" s="42" t="str">
        <f>IF(B56="","",VLOOKUP(AD56,#REF!,3,0))</f>
        <v/>
      </c>
      <c r="D56" s="42"/>
      <c r="E56" s="42"/>
      <c r="F56" s="67"/>
      <c r="G56" s="67"/>
      <c r="H56" s="67" t="str">
        <f>IF(B56="","",VLOOKUP(AD56,#REF!,5,0))</f>
        <v/>
      </c>
      <c r="I56" s="67" t="str">
        <f>IF(B56="","",VLOOKUP(AD56,#REF!,19,0))</f>
        <v/>
      </c>
      <c r="J56" s="67" t="str">
        <f>IF(B56="","",VLOOKUP(AD56,#REF!,6,0))</f>
        <v/>
      </c>
      <c r="K56" s="67"/>
      <c r="L56" s="67"/>
      <c r="M56" s="42" t="str">
        <f>IFERROR(IF(B56="","",K56/VLOOKUP(AD56,Varsayımlar!B:R,17,0)),"")</f>
        <v/>
      </c>
      <c r="N56" s="67"/>
      <c r="O56" s="67"/>
      <c r="P56" s="67" t="str">
        <f>IF(B56="","",VLOOKUP(AD56,#REF!,7,0)*K56)</f>
        <v/>
      </c>
      <c r="Q56" s="67" t="str">
        <f>IF(B56="","",VLOOKUP(AD56,#REF!,8,0))</f>
        <v/>
      </c>
      <c r="R56" s="67" t="str">
        <f>IF(B56="","",VLOOKUP(AD56,#REF!,9,0))</f>
        <v/>
      </c>
      <c r="S56" s="67" t="str">
        <f>IF(B56="","",VLOOKUP(AD56,#REF!,10,0))</f>
        <v/>
      </c>
      <c r="T56" s="67" t="str">
        <f>IF(B56="","",VLOOKUP(AD56,#REF!,11,0))</f>
        <v/>
      </c>
      <c r="U56" s="67" t="str">
        <f>IF(B56="","",VLOOKUP(AD56,#REF!,12,0))</f>
        <v/>
      </c>
      <c r="V56" s="67" t="str">
        <f>IF(B56="","",VLOOKUP(AD56,#REF!,13,0))</f>
        <v/>
      </c>
      <c r="W56" s="67" t="str">
        <f>IF(B56="","",VLOOKUP(AD56,#REF!,14,0))</f>
        <v/>
      </c>
      <c r="X56" s="69"/>
      <c r="Y56" s="69"/>
      <c r="Z56" s="67"/>
      <c r="AA56" s="67" t="str">
        <f>IF(B56="","",VLOOKUP(AD56,#REF!,15,0))</f>
        <v/>
      </c>
      <c r="AB56" s="67" t="str">
        <f>IF(B56="","",VLOOKUP(AD56,#REF!,16,0))</f>
        <v/>
      </c>
      <c r="AC56" s="145"/>
      <c r="AD56" s="57"/>
    </row>
    <row r="57" spans="1:30" x14ac:dyDescent="0.25">
      <c r="C57" s="141" t="str">
        <f>IF(B57="","",VLOOKUP(AD57,Varsayımlar!$B:$Q,3,0))</f>
        <v/>
      </c>
      <c r="H57" s="140" t="str">
        <f>IF(B57="","",VLOOKUP(AD57,Varsayımlar!$B:$Q,5,0))</f>
        <v/>
      </c>
      <c r="J57" s="140" t="str">
        <f>IF(B57="","",VLOOKUP(AD57,Varsayımlar!$B:$Q,6,0))</f>
        <v/>
      </c>
      <c r="P57" s="140" t="str">
        <f>IF(B57="","",VLOOKUP(AD57,Varsayımlar!$B:$Q,7,0)*K57)</f>
        <v/>
      </c>
      <c r="Q57" s="140" t="str">
        <f>IF(B57="","",VLOOKUP(AD57,Varsayımlar!$B:$Q,8,0))</f>
        <v/>
      </c>
      <c r="R57" s="140" t="str">
        <f>IF(B57="","",VLOOKUP(AD57,Varsayımlar!$B:$Q,9,0))</f>
        <v/>
      </c>
      <c r="S57" s="140" t="str">
        <f>IF(B57="","",VLOOKUP(AD57,Varsayımlar!$B:$Q,10,0))</f>
        <v/>
      </c>
      <c r="T57" s="140" t="str">
        <f>IF(B57="","",VLOOKUP(AD57,Varsayımlar!$B:$Q,11,0))</f>
        <v/>
      </c>
      <c r="U57" s="140" t="str">
        <f>IF(B57="","",VLOOKUP(AD57,Varsayımlar!$B:$Q,12,0))</f>
        <v/>
      </c>
      <c r="V57" s="140" t="str">
        <f>IF(B57="","",VLOOKUP(AD57,Varsayımlar!$B:$Q,13,0))</f>
        <v/>
      </c>
      <c r="W57" s="140" t="str">
        <f>IF(B57="","",VLOOKUP(AD57,Varsayımlar!$B:$Q,14,0))</f>
        <v/>
      </c>
      <c r="AA57" s="140" t="str">
        <f>IF(B57="","",VLOOKUP(AD57,Varsayımlar!$B:$Q,15,0))</f>
        <v/>
      </c>
      <c r="AB57" s="140" t="str">
        <f>IF(B57="","",VLOOKUP(AD57,Varsayımlar!$B:$Q,16,0))</f>
        <v/>
      </c>
      <c r="AD57" s="140" t="str">
        <f>IF(B57="","",CONCATENATE(B57,E57))</f>
        <v/>
      </c>
    </row>
    <row r="58" spans="1:30" ht="31.5" customHeight="1" x14ac:dyDescent="0.25">
      <c r="A58" s="182" t="s">
        <v>345</v>
      </c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4"/>
      <c r="AC58" s="38"/>
    </row>
    <row r="59" spans="1:30" ht="63" x14ac:dyDescent="0.25">
      <c r="A59" s="8" t="s">
        <v>0</v>
      </c>
      <c r="B59" s="8" t="s">
        <v>1</v>
      </c>
      <c r="C59" s="9" t="s">
        <v>31</v>
      </c>
      <c r="D59" s="9" t="s">
        <v>124</v>
      </c>
      <c r="E59" s="9" t="s">
        <v>36</v>
      </c>
      <c r="F59" s="8" t="s">
        <v>37</v>
      </c>
      <c r="G59" s="8" t="s">
        <v>13</v>
      </c>
      <c r="H59" s="8" t="s">
        <v>2</v>
      </c>
      <c r="I59" s="8" t="s">
        <v>49</v>
      </c>
      <c r="J59" s="8" t="s">
        <v>3</v>
      </c>
      <c r="K59" s="8" t="s">
        <v>21</v>
      </c>
      <c r="L59" s="8" t="s">
        <v>94</v>
      </c>
      <c r="M59" s="8" t="s">
        <v>20</v>
      </c>
      <c r="N59" s="8" t="s">
        <v>165</v>
      </c>
      <c r="O59" s="8" t="s">
        <v>123</v>
      </c>
      <c r="P59" s="8" t="s">
        <v>16</v>
      </c>
      <c r="Q59" s="8" t="s">
        <v>4</v>
      </c>
      <c r="R59" s="8" t="s">
        <v>5</v>
      </c>
      <c r="S59" s="8" t="s">
        <v>6</v>
      </c>
      <c r="T59" s="8" t="s">
        <v>28</v>
      </c>
      <c r="U59" s="8" t="s">
        <v>7</v>
      </c>
      <c r="V59" s="8" t="s">
        <v>8</v>
      </c>
      <c r="W59" s="8" t="s">
        <v>9</v>
      </c>
      <c r="X59" s="8" t="s">
        <v>10</v>
      </c>
      <c r="Y59" s="8" t="s">
        <v>11</v>
      </c>
      <c r="Z59" s="8" t="s">
        <v>12</v>
      </c>
      <c r="AA59" s="8" t="s">
        <v>14</v>
      </c>
      <c r="AB59" s="8" t="s">
        <v>15</v>
      </c>
      <c r="AC59" s="8" t="s">
        <v>208</v>
      </c>
      <c r="AD59" s="140" t="s">
        <v>41</v>
      </c>
    </row>
    <row r="60" spans="1:30" ht="54.75" customHeight="1" x14ac:dyDescent="0.25">
      <c r="A60" s="8" t="s">
        <v>26</v>
      </c>
      <c r="B60" s="73" t="s">
        <v>95</v>
      </c>
      <c r="C60" s="71">
        <f>IF(B60="","",VLOOKUP(AD60,Varsayımlar!$B:$Q,3,0))</f>
        <v>8698829380698</v>
      </c>
      <c r="D60" s="71"/>
      <c r="E60" s="157" t="s">
        <v>114</v>
      </c>
      <c r="F60" s="73"/>
      <c r="G60" s="73" t="s">
        <v>587</v>
      </c>
      <c r="H60" s="73" t="str">
        <f>IF(B60="","",VLOOKUP(AD60,Varsayımlar!$B:$Q,5,0))</f>
        <v>Bisto 25 cm</v>
      </c>
      <c r="I60" s="73"/>
      <c r="J60" s="73" t="str">
        <f>IF(B60="","",VLOOKUP(AD60,Varsayımlar!$B:$Q,6,0))</f>
        <v>SADE</v>
      </c>
      <c r="K60" s="73">
        <v>240</v>
      </c>
      <c r="L60" s="73"/>
      <c r="M60" s="73">
        <f>IFERROR(IF(B60="","",K60/VLOOKUP(AD60,Varsayımlar!B:R,17,0)),"")</f>
        <v>5</v>
      </c>
      <c r="N60" s="73"/>
      <c r="O60" s="73">
        <v>11</v>
      </c>
      <c r="P60" s="73">
        <f>IF(B60="","",VLOOKUP(AD60,Varsayımlar!$B:$Q,7,0)*K60)</f>
        <v>2880</v>
      </c>
      <c r="Q60" s="73">
        <f>IF(B60="","",VLOOKUP(AD60,Varsayımlar!$B:$Q,8,0))</f>
        <v>25</v>
      </c>
      <c r="R60" s="73" t="str">
        <f>IF(B60="","",VLOOKUP(AD60,Varsayımlar!$B:$Q,9,0))</f>
        <v>Standart</v>
      </c>
      <c r="S60" s="73">
        <f>IF(B60="","",VLOOKUP(AD60,Varsayımlar!$B:$Q,10,0))</f>
        <v>12</v>
      </c>
      <c r="T60" s="73">
        <f>IF(B60="","",VLOOKUP(AD60,Varsayımlar!$B:$Q,11,0))</f>
        <v>12</v>
      </c>
      <c r="U60" s="73">
        <f>IF(B60="","",VLOOKUP(AD60,Varsayımlar!$B:$Q,12,0))</f>
        <v>840</v>
      </c>
      <c r="V60" s="73" t="str">
        <f>IF(B60="","",VLOOKUP(AD60,Varsayımlar!$B:$Q,13,0))</f>
        <v>Yurtiçi</v>
      </c>
      <c r="W60" s="73">
        <f>IF(B60="","",VLOOKUP(AD60,Varsayımlar!$B:$Q,14,0))</f>
        <v>6</v>
      </c>
      <c r="X60" s="158" t="s">
        <v>113</v>
      </c>
      <c r="Y60" s="158" t="s">
        <v>113</v>
      </c>
      <c r="Z60" s="73" t="s">
        <v>113</v>
      </c>
      <c r="AA60" s="73" t="str">
        <f>IF(B60="","",VLOOKUP(AD60,Varsayımlar!$B:$Q,15,0))</f>
        <v>Bisto Kolisi</v>
      </c>
      <c r="AB60" s="73" t="str">
        <f>IF(B60="","",VLOOKUP(AD60,Varsayımlar!$B:$Q,16,0))</f>
        <v>24-26 Cm</v>
      </c>
      <c r="AC60" s="64" t="s">
        <v>362</v>
      </c>
      <c r="AD60" s="57" t="str">
        <f t="shared" ref="AD60" si="4">IF(B60="","",CONCATENATE(B60,E60))</f>
        <v>Şok MarketBisto 25 cm 12 pcs 840g</v>
      </c>
    </row>
    <row r="61" spans="1:30" ht="47.25" x14ac:dyDescent="0.25">
      <c r="A61" s="8" t="s">
        <v>77</v>
      </c>
      <c r="B61" s="130" t="s">
        <v>119</v>
      </c>
      <c r="C61" s="130">
        <f>IF(B61="","",VLOOKUP(AD61,Varsayımlar!$B:$Q,3,0))</f>
        <v>8698829380698</v>
      </c>
      <c r="D61" s="130"/>
      <c r="E61" s="130" t="s">
        <v>120</v>
      </c>
      <c r="F61" s="130"/>
      <c r="G61" s="130"/>
      <c r="H61" s="130" t="str">
        <f>IF(B61="","",VLOOKUP(AD61,Varsayımlar!$B:$Q,5,0))</f>
        <v>Nimet 25 cm</v>
      </c>
      <c r="I61" s="130"/>
      <c r="J61" s="130" t="str">
        <f>IF(B61="","",VLOOKUP(AD61,Varsayımlar!$B:$Q,6,0))</f>
        <v>SADE</v>
      </c>
      <c r="K61" s="130">
        <v>4000</v>
      </c>
      <c r="L61" s="130"/>
      <c r="M61" s="130">
        <f>IFERROR(IF(B61="","",K61/VLOOKUP(AD61,Varsayımlar!B:R,17,0)),"")</f>
        <v>80</v>
      </c>
      <c r="N61" s="130"/>
      <c r="O61" s="130">
        <v>60</v>
      </c>
      <c r="P61" s="130">
        <f>IF(B61="","",VLOOKUP(AD61,Varsayımlar!$B:$Q,7,0)*K61)</f>
        <v>48000</v>
      </c>
      <c r="Q61" s="130">
        <f>IF(B61="","",VLOOKUP(AD61,Varsayımlar!$B:$Q,8,0))</f>
        <v>25</v>
      </c>
      <c r="R61" s="130" t="str">
        <f>IF(B61="","",VLOOKUP(AD61,Varsayımlar!$B:$Q,9,0))</f>
        <v>Standart</v>
      </c>
      <c r="S61" s="130">
        <f>IF(B61="","",VLOOKUP(AD61,Varsayımlar!$B:$Q,10,0))</f>
        <v>12</v>
      </c>
      <c r="T61" s="130">
        <f>IF(B61="","",VLOOKUP(AD61,Varsayımlar!$B:$Q,11,0))</f>
        <v>12</v>
      </c>
      <c r="U61" s="130">
        <f>IF(B61="","",VLOOKUP(AD61,Varsayımlar!$B:$Q,12,0))</f>
        <v>840</v>
      </c>
      <c r="V61" s="130" t="str">
        <f>IF(B61="","",VLOOKUP(AD61,Varsayımlar!$B:$Q,13,0))</f>
        <v>YURTİÇİ</v>
      </c>
      <c r="W61" s="130">
        <f>IF(B61="","",VLOOKUP(AD61,Varsayımlar!$B:$Q,14,0))</f>
        <v>5</v>
      </c>
      <c r="X61" s="130" t="s">
        <v>113</v>
      </c>
      <c r="Y61" s="130" t="s">
        <v>113</v>
      </c>
      <c r="Z61" s="130" t="s">
        <v>113</v>
      </c>
      <c r="AA61" s="130" t="str">
        <f>IF(B61="","",VLOOKUP(AD61,Varsayımlar!$B:$Q,15,0))</f>
        <v>Nimet Kolisi</v>
      </c>
      <c r="AB61" s="130" t="str">
        <f>IF(B61="","",VLOOKUP(AD61,Varsayımlar!$B:$Q,16,0))</f>
        <v>24-26 CM</v>
      </c>
      <c r="AC61" s="64" t="s">
        <v>360</v>
      </c>
      <c r="AD61" s="57" t="str">
        <f t="shared" ref="AD61:AD67" si="5">IF(B61="","",CONCATENATE(B61,E61))</f>
        <v>A101Nimet 25cm 12 pcs 840g</v>
      </c>
    </row>
    <row r="62" spans="1:30" ht="94.5" x14ac:dyDescent="0.25">
      <c r="A62" s="8" t="s">
        <v>78</v>
      </c>
      <c r="B62" s="75" t="s">
        <v>218</v>
      </c>
      <c r="C62" s="43">
        <f>IF(B62="","",VLOOKUP(AD62,Varsayımlar!$B:$Q,3,0))</f>
        <v>8698829380698</v>
      </c>
      <c r="D62" s="43" t="s">
        <v>161</v>
      </c>
      <c r="E62" s="75" t="s">
        <v>244</v>
      </c>
      <c r="F62" s="75" t="s">
        <v>561</v>
      </c>
      <c r="G62" s="43"/>
      <c r="H62" s="75" t="str">
        <f>IF(B62="","",VLOOKUP(AD62,Varsayımlar!$B:$Q,5,0))</f>
        <v>Tortillas Avrupa Pizza 26cm (742)</v>
      </c>
      <c r="I62" s="75">
        <f>IF(B62="","",VLOOKUP(AD62,Varsayımlar!B:T,19,0))</f>
        <v>0</v>
      </c>
      <c r="J62" s="75" t="str">
        <f>IF(B62="","",VLOOKUP(AD62,Varsayımlar!$B:$Q,6,0))</f>
        <v>SADE</v>
      </c>
      <c r="K62" s="75">
        <v>840</v>
      </c>
      <c r="L62" s="75"/>
      <c r="M62" s="75">
        <f>IFERROR(IF(B62="","",K62/VLOOKUP(AD62,Varsayımlar!B:R,17,0)),"")</f>
        <v>7</v>
      </c>
      <c r="N62" s="75"/>
      <c r="O62" s="75">
        <v>11</v>
      </c>
      <c r="P62" s="75">
        <f>IF(B62="","",VLOOKUP(AD62,Varsayımlar!$B:$Q,7,0)*K62)</f>
        <v>6720</v>
      </c>
      <c r="Q62" s="75">
        <f>IF(B62="","",VLOOKUP(AD62,Varsayımlar!$B:$Q,8,0))</f>
        <v>26</v>
      </c>
      <c r="R62" s="75" t="str">
        <f>IF(B62="","",VLOOKUP(AD62,Varsayımlar!$B:$Q,9,0))</f>
        <v>Irak Soft</v>
      </c>
      <c r="S62" s="75">
        <f>IF(B62="","",VLOOKUP(AD62,Varsayımlar!$B:$Q,10,0))</f>
        <v>4</v>
      </c>
      <c r="T62" s="75">
        <f>IF(B62="","",VLOOKUP(AD62,Varsayımlar!$B:$Q,11,0))</f>
        <v>8</v>
      </c>
      <c r="U62" s="75">
        <f>IF(B62="","",VLOOKUP(AD62,Varsayımlar!$B:$Q,12,0))</f>
        <v>480</v>
      </c>
      <c r="V62" s="75" t="str">
        <f>IF(B62="","",VLOOKUP(AD62,Varsayımlar!$B:$Q,13,0))</f>
        <v>Yurtdışı</v>
      </c>
      <c r="W62" s="75">
        <f>IF(B62="","",VLOOKUP(AD62,Varsayımlar!$B:$Q,14,0))</f>
        <v>9</v>
      </c>
      <c r="X62" s="76">
        <v>46213</v>
      </c>
      <c r="Y62" s="76">
        <v>46487</v>
      </c>
      <c r="Z62" s="75">
        <v>26071026</v>
      </c>
      <c r="AA62" s="75" t="str">
        <f>IF(B62="","",VLOOKUP(AD62,Varsayımlar!$B:$Q,15,0))</f>
        <v>26cm Pizza Perforeli-Bulgarca Etiket</v>
      </c>
      <c r="AB62" s="75" t="str">
        <f>IF(B62="","",VLOOKUP(AD62,Varsayımlar!$B:$Q,16,0))</f>
        <v>26 cm kesme -Beze 145-150g, Kesilmmeiş çap 27-28cm, Kesilmemiş ağı: 520-540g, Kesilmiş:475-485g</v>
      </c>
      <c r="AC62" s="75" t="str">
        <f>IF(B62="","",VLOOKUP(Sayfa1!AD81,Varsayımlar!B:S,18,0))</f>
        <v>80x120cm -Epal+Epal</v>
      </c>
      <c r="AD62" s="57" t="str">
        <f t="shared" si="5"/>
        <v>TASTE LAND-BULGARİSTANTortillas Pizza 26cm 4pcs 480g</v>
      </c>
    </row>
    <row r="63" spans="1:30" ht="48" customHeight="1" x14ac:dyDescent="0.25">
      <c r="A63" s="8" t="s">
        <v>79</v>
      </c>
      <c r="B63" s="149" t="s">
        <v>500</v>
      </c>
      <c r="C63" s="149">
        <f>IF(B63="","",VLOOKUP(AD63,Varsayımlar!$B:$Q,3,0))</f>
        <v>8698829380698</v>
      </c>
      <c r="D63" s="149"/>
      <c r="E63" s="149" t="s">
        <v>244</v>
      </c>
      <c r="F63" s="149">
        <v>26062201</v>
      </c>
      <c r="G63" s="149"/>
      <c r="H63" s="148" t="str">
        <f>IF(B63="","",VLOOKUP(AD63,Varsayımlar!$B:$Q,5,0))</f>
        <v xml:space="preserve">Tortillas Pizza 26cm </v>
      </c>
      <c r="I63" s="148">
        <f>IF(B63="","",VLOOKUP(AD63,Varsayımlar!B:T,19,0))</f>
        <v>0</v>
      </c>
      <c r="J63" s="148" t="str">
        <f>IF(B63="","",VLOOKUP(AD63,Varsayımlar!$B:$Q,6,0))</f>
        <v>Sade</v>
      </c>
      <c r="K63" s="149">
        <v>50</v>
      </c>
      <c r="L63" s="149"/>
      <c r="M63" s="149" t="str">
        <f>IFERROR(IF(B63="","",K63/VLOOKUP(AD63,#REF!,17,0)),"")</f>
        <v/>
      </c>
      <c r="N63" s="149"/>
      <c r="O63" s="149">
        <v>1</v>
      </c>
      <c r="P63" s="148">
        <f>IF(B63="","",VLOOKUP(AD63,Varsayımlar!$B:$Q,7,0)*K63)</f>
        <v>300</v>
      </c>
      <c r="Q63" s="148">
        <f>IF(B63="","",VLOOKUP(AD63,Varsayımlar!$B:$Q,8,0))</f>
        <v>26</v>
      </c>
      <c r="R63" s="148" t="str">
        <f>IF(B63="","",VLOOKUP(AD63,Varsayımlar!$B:$Q,9,0))</f>
        <v>Irak Soft</v>
      </c>
      <c r="S63" s="148">
        <f>IF(B63="","",VLOOKUP(AD63,Varsayımlar!$B:$Q,10,0))</f>
        <v>4</v>
      </c>
      <c r="T63" s="148">
        <f>IF(B63="","",VLOOKUP(AD63,Varsayımlar!$B:$Q,11,0))</f>
        <v>6</v>
      </c>
      <c r="U63" s="148">
        <f>IF(B63="","",VLOOKUP(AD63,Varsayımlar!$B:$Q,12,0))</f>
        <v>480</v>
      </c>
      <c r="V63" s="148" t="str">
        <f>IF(B63="","",VLOOKUP(AD63,Varsayımlar!$B:$Q,13,0))</f>
        <v>Yurtdışı</v>
      </c>
      <c r="W63" s="148">
        <f>IF(B63="","",VLOOKUP(AD63,Varsayımlar!$B:$Q,14,0))</f>
        <v>12</v>
      </c>
      <c r="X63" s="151">
        <v>46231</v>
      </c>
      <c r="Y63" s="151">
        <v>46596</v>
      </c>
      <c r="Z63" s="149">
        <v>26072826</v>
      </c>
      <c r="AA63" s="148" t="str">
        <f>IF(B63="","",VLOOKUP(AD63,Varsayımlar!$B:$Q,15,0))</f>
        <v>Pizza Kolisi-ETİKETLİ</v>
      </c>
      <c r="AB63" s="148" t="str">
        <f>IF(B63="","",VLOOKUP(AD63,Varsayımlar!$B:$Q,16,0))</f>
        <v>25-27 cm</v>
      </c>
      <c r="AC63" s="140">
        <f>IF(B63="","",VLOOKUP(Sayfa1!AD94,Varsayımlar!B:S,18,0))</f>
        <v>0</v>
      </c>
      <c r="AD63" s="140" t="str">
        <f>IF(B63="","",CONCATENATE(B63,E63))</f>
        <v>Fama GroupTortillas Pizza 26cm 4pcs 480g</v>
      </c>
    </row>
    <row r="64" spans="1:30" ht="54" customHeight="1" x14ac:dyDescent="0.25">
      <c r="A64" s="8" t="s">
        <v>80</v>
      </c>
      <c r="B64" s="148" t="s">
        <v>500</v>
      </c>
      <c r="C64" s="149">
        <f>IF(B64="","",VLOOKUP(AD64,Varsayımlar!$B:$Q,3,0))</f>
        <v>8698829380698</v>
      </c>
      <c r="D64" s="149"/>
      <c r="E64" s="150" t="s">
        <v>515</v>
      </c>
      <c r="F64" s="148">
        <v>26062201</v>
      </c>
      <c r="G64" s="148"/>
      <c r="H64" s="148" t="str">
        <f>IF(B64="","",VLOOKUP(AD64,Varsayımlar!$B:$Q,5,0))</f>
        <v>Tortillas 15cm</v>
      </c>
      <c r="I64" s="148">
        <f>IF(B64="","",VLOOKUP(AD64,Varsayımlar!B:T,19,0))</f>
        <v>0</v>
      </c>
      <c r="J64" s="148" t="str">
        <f>IF(B64="","",VLOOKUP(AD64,Varsayımlar!$B:$Q,6,0))</f>
        <v>Sade</v>
      </c>
      <c r="K64" s="148">
        <v>50</v>
      </c>
      <c r="L64" s="148"/>
      <c r="M64" s="148" t="str">
        <f>IFERROR(IF(B64="","",K64/VLOOKUP(AD64,#REF!,17,0)),"")</f>
        <v/>
      </c>
      <c r="N64" s="148"/>
      <c r="O64" s="148">
        <v>2</v>
      </c>
      <c r="P64" s="148">
        <f>IF(B64="","",VLOOKUP(AD64,Varsayımlar!$B:$Q,7,0)*K64)</f>
        <v>600</v>
      </c>
      <c r="Q64" s="148">
        <f>IF(B64="","",VLOOKUP(AD64,Varsayımlar!$B:$Q,8,0))</f>
        <v>15</v>
      </c>
      <c r="R64" s="148" t="str">
        <f>IF(B64="","",VLOOKUP(AD64,Varsayımlar!$B:$Q,9,0))</f>
        <v>Irak Soft</v>
      </c>
      <c r="S64" s="148">
        <f>IF(B64="","",VLOOKUP(AD64,Varsayımlar!$B:$Q,10,0))</f>
        <v>10</v>
      </c>
      <c r="T64" s="148">
        <f>IF(B64="","",VLOOKUP(AD64,Varsayımlar!$B:$Q,11,0))</f>
        <v>12</v>
      </c>
      <c r="U64" s="148">
        <f>IF(B64="","",VLOOKUP(AD64,Varsayımlar!$B:$Q,12,0))</f>
        <v>250</v>
      </c>
      <c r="V64" s="148" t="str">
        <f>IF(B64="","",VLOOKUP(AD64,Varsayımlar!$B:$Q,13,0))</f>
        <v>Yurtdışı</v>
      </c>
      <c r="W64" s="148">
        <f>IF(B64="","",VLOOKUP(AD64,Varsayımlar!$B:$Q,14,0))</f>
        <v>12</v>
      </c>
      <c r="X64" s="151">
        <v>46231</v>
      </c>
      <c r="Y64" s="151">
        <v>46596</v>
      </c>
      <c r="Z64" s="148">
        <v>26072815</v>
      </c>
      <c r="AA64" s="148" t="str">
        <f>IF(B64="","",VLOOKUP(AD64,Varsayımlar!$B:$Q,15,0))</f>
        <v>15cm koli</v>
      </c>
      <c r="AB64" s="148" t="str">
        <f>IF(B64="","",VLOOKUP(AD64,Varsayımlar!$B:$Q,16,0))</f>
        <v>14-16cm</v>
      </c>
      <c r="AC64" s="67"/>
      <c r="AD64" s="57" t="str">
        <f>IF(B64="","",CONCATENATE(B64,E64))</f>
        <v>Fama GroupTortillas 15cm 10pcs 250g</v>
      </c>
    </row>
    <row r="65" spans="1:30" ht="49.5" customHeight="1" x14ac:dyDescent="0.25">
      <c r="A65" s="8" t="s">
        <v>81</v>
      </c>
      <c r="B65" s="152" t="s">
        <v>518</v>
      </c>
      <c r="C65" s="153">
        <f>IF(B65="","",VLOOKUP(AD65,Varsayımlar!$B:$Q,3,0))</f>
        <v>8698829380698</v>
      </c>
      <c r="D65" s="154"/>
      <c r="E65" s="154" t="s">
        <v>515</v>
      </c>
      <c r="F65" s="152">
        <v>26062302</v>
      </c>
      <c r="G65" s="152"/>
      <c r="H65" s="152" t="str">
        <f>IF(B65="","",VLOOKUP(AD65,Varsayımlar!$B:$Q,5,0))</f>
        <v>Tortillas 15cm</v>
      </c>
      <c r="I65" s="152">
        <f>IF(B65="","",VLOOKUP(AD65,Varsayımlar!B:T,19,0))</f>
        <v>0</v>
      </c>
      <c r="J65" s="152" t="str">
        <f>IF(B65="","",VLOOKUP(AD65,Varsayımlar!$B:$Q,6,0))</f>
        <v>Sade</v>
      </c>
      <c r="K65" s="152">
        <v>10</v>
      </c>
      <c r="L65" s="152"/>
      <c r="M65" s="152" t="s">
        <v>424</v>
      </c>
      <c r="N65" s="152"/>
      <c r="O65" s="152">
        <v>0</v>
      </c>
      <c r="P65" s="152">
        <f>IF(B65="","",VLOOKUP(AD65,Varsayımlar!$B:$Q,7,0)*K65)</f>
        <v>120</v>
      </c>
      <c r="Q65" s="152">
        <f>IF(B65="","",VLOOKUP(AD65,Varsayımlar!$B:$Q,8,0))</f>
        <v>15</v>
      </c>
      <c r="R65" s="152" t="str">
        <f>IF(B65="","",VLOOKUP(AD65,Varsayımlar!$B:$Q,9,0))</f>
        <v>Irak Soft</v>
      </c>
      <c r="S65" s="152">
        <f>IF(B65="","",VLOOKUP(AD65,Varsayımlar!$B:$Q,10,0))</f>
        <v>10</v>
      </c>
      <c r="T65" s="152">
        <f>IF(B65="","",VLOOKUP(AD65,Varsayımlar!$B:$Q,11,0))</f>
        <v>12</v>
      </c>
      <c r="U65" s="152">
        <f>IF(B65="","",VLOOKUP(AD65,Varsayımlar!$B:$Q,12,0))</f>
        <v>250</v>
      </c>
      <c r="V65" s="152" t="str">
        <f>IF(B65="","",VLOOKUP(AD65,Varsayımlar!$B:$Q,13,0))</f>
        <v>Yurtiçi</v>
      </c>
      <c r="W65" s="152">
        <f>IF(B65="","",VLOOKUP(AD65,Varsayımlar!$B:$Q,14,0))</f>
        <v>6</v>
      </c>
      <c r="X65" s="155">
        <v>46231</v>
      </c>
      <c r="Y65" s="155">
        <v>46415</v>
      </c>
      <c r="Z65" s="152">
        <v>26072815</v>
      </c>
      <c r="AA65" s="152" t="str">
        <f>IF(B65="","",VLOOKUP(AD65,Varsayımlar!$B:$Q,15,0))</f>
        <v>15cm koli</v>
      </c>
      <c r="AB65" s="152" t="str">
        <f>IF(B65="","",VLOOKUP(AD65,Varsayımlar!$B:$Q,16,0))</f>
        <v>14-16cm</v>
      </c>
      <c r="AC65" s="8" t="e">
        <f>IF(B65="","",VLOOKUP(#REF!,#REF!,18,0))</f>
        <v>#REF!</v>
      </c>
      <c r="AD65" s="8" t="str">
        <f t="shared" ref="AD65" si="6">IF(B65="","",CONCATENATE(B65,E65))</f>
        <v>Yusuf KöseTortillas 15cm 10pcs 250g</v>
      </c>
    </row>
    <row r="66" spans="1:30" ht="51" customHeight="1" x14ac:dyDescent="0.25">
      <c r="A66" s="8" t="s">
        <v>82</v>
      </c>
      <c r="B66" s="164" t="s">
        <v>256</v>
      </c>
      <c r="C66" s="165">
        <f>IF(B66="","",VLOOKUP(AD66,Varsayımlar!$B:$Q,3,0))</f>
        <v>8698829380698</v>
      </c>
      <c r="D66" s="164"/>
      <c r="E66" s="164" t="s">
        <v>554</v>
      </c>
      <c r="F66" s="164">
        <v>20260702</v>
      </c>
      <c r="G66" s="164"/>
      <c r="H66" s="164" t="str">
        <f>IF(B66="","",VLOOKUP(AD66,Varsayımlar!$B:$Q,5,0))</f>
        <v xml:space="preserve">Tortillove 15cm </v>
      </c>
      <c r="I66" s="164">
        <f>IF(B66="","",VLOOKUP(AD66,Varsayımlar!B:T,19,0))</f>
        <v>0</v>
      </c>
      <c r="J66" s="164" t="str">
        <f>IF(B66="","",VLOOKUP(AD66,Varsayımlar!$B:$Q,6,0))</f>
        <v>Sade</v>
      </c>
      <c r="K66" s="164">
        <v>10</v>
      </c>
      <c r="L66" s="164"/>
      <c r="M66" s="164" t="str">
        <f>IFERROR(IF(B66="","",K66/VLOOKUP(AD66,Varsayımlar!B:R,17,0)),"")</f>
        <v/>
      </c>
      <c r="N66" s="164"/>
      <c r="O66" s="164">
        <v>0</v>
      </c>
      <c r="P66" s="164">
        <f>IF(B66="","",VLOOKUP(AD66,Varsayımlar!$B:$Q,7,0)*K66)</f>
        <v>120</v>
      </c>
      <c r="Q66" s="164">
        <f>IF(B66="","",VLOOKUP(AD66,Varsayımlar!$B:$Q,8,0))</f>
        <v>15</v>
      </c>
      <c r="R66" s="164" t="str">
        <f>IF(B66="","",VLOOKUP(AD66,Varsayımlar!$B:$Q,9,0))</f>
        <v>Irak soft</v>
      </c>
      <c r="S66" s="164">
        <f>IF(B66="","",VLOOKUP(AD66,Varsayımlar!$B:$Q,10,0))</f>
        <v>10</v>
      </c>
      <c r="T66" s="164">
        <f>IF(B66="","",VLOOKUP(AD66,Varsayımlar!$B:$Q,11,0))</f>
        <v>12</v>
      </c>
      <c r="U66" s="164">
        <f>IF(B66="","",VLOOKUP(AD66,Varsayımlar!$B:$Q,12,0))</f>
        <v>250</v>
      </c>
      <c r="V66" s="164" t="str">
        <f>IF(B66="","",VLOOKUP(AD66,Varsayımlar!$B:$Q,13,0))</f>
        <v>Yurtiçi</v>
      </c>
      <c r="W66" s="164">
        <f>IF(B66="","",VLOOKUP(AD66,Varsayımlar!$B:$Q,14,0))</f>
        <v>6</v>
      </c>
      <c r="X66" s="166" t="s">
        <v>113</v>
      </c>
      <c r="Y66" s="166" t="s">
        <v>113</v>
      </c>
      <c r="Z66" s="164" t="s">
        <v>113</v>
      </c>
      <c r="AA66" s="164" t="str">
        <f>IF(B66="","",VLOOKUP(AD66,Varsayımlar!$B:$Q,15,0))</f>
        <v>15cm Kolisi</v>
      </c>
      <c r="AB66" s="164" t="str">
        <f>IF(B66="","",VLOOKUP(AD66,Varsayımlar!$B:$Q,16,0))</f>
        <v>14-16cm</v>
      </c>
      <c r="AC66" s="75" t="e">
        <f>IF(B66="","",VLOOKUP(Sayfa1!AD119,Varsayımlar!B:S,18,0))</f>
        <v>#N/A</v>
      </c>
      <c r="AD66" s="57" t="str">
        <f>IF(B66="","",CONCATENATE(B66,E66))</f>
        <v>Ankara KahveTortillove 15cm 10pcs 250g</v>
      </c>
    </row>
    <row r="67" spans="1:30" ht="46.5" customHeight="1" x14ac:dyDescent="0.25">
      <c r="A67" s="8" t="s">
        <v>83</v>
      </c>
      <c r="B67" s="67" t="s">
        <v>460</v>
      </c>
      <c r="C67" s="42">
        <f>IF(B67="","",VLOOKUP(AD67,Varsayımlar!$B:$Q,3,0))</f>
        <v>8698829380698</v>
      </c>
      <c r="D67" s="67" t="s">
        <v>540</v>
      </c>
      <c r="E67" s="67" t="s">
        <v>461</v>
      </c>
      <c r="F67" s="67">
        <v>20260414</v>
      </c>
      <c r="G67" s="67"/>
      <c r="H67" s="67" t="str">
        <f>IF(B67="","",VLOOKUP(AD67,Varsayımlar!$B:$Q,5,0))</f>
        <v xml:space="preserve">Tortillove 15cm </v>
      </c>
      <c r="I67" s="67">
        <f>IF(B67="","",VLOOKUP(AD67,Varsayımlar!B:T,19,0))</f>
        <v>0</v>
      </c>
      <c r="J67" s="67" t="str">
        <f>IF(B67="","",VLOOKUP(AD67,Varsayımlar!$B:$Q,6,0))</f>
        <v>SADE</v>
      </c>
      <c r="K67" s="67">
        <v>300</v>
      </c>
      <c r="L67" s="67" t="s">
        <v>532</v>
      </c>
      <c r="M67" s="67">
        <f>IFERROR(IF(B67="","",K67/VLOOKUP(AD67,Varsayımlar!B:R,17,0)),"")</f>
        <v>3</v>
      </c>
      <c r="N67" s="67"/>
      <c r="O67" s="67">
        <v>9</v>
      </c>
      <c r="P67" s="67">
        <f>IF(B67="","",VLOOKUP(AD67,Varsayımlar!$B:$Q,7,0)*K67)</f>
        <v>3600</v>
      </c>
      <c r="Q67" s="67">
        <f>IF(B67="","",VLOOKUP(AD67,Varsayımlar!$B:$Q,8,0))</f>
        <v>15</v>
      </c>
      <c r="R67" s="67" t="str">
        <f>IF(B67="","",VLOOKUP(AD67,Varsayımlar!$B:$Q,9,0))</f>
        <v>Irak Soft</v>
      </c>
      <c r="S67" s="67">
        <f>IF(B67="","",VLOOKUP(AD67,Varsayımlar!$B:$Q,10,0))</f>
        <v>10</v>
      </c>
      <c r="T67" s="67">
        <f>IF(B67="","",VLOOKUP(AD67,Varsayımlar!$B:$Q,11,0))</f>
        <v>12</v>
      </c>
      <c r="U67" s="67">
        <f>IF(B67="","",VLOOKUP(AD67,Varsayımlar!$B:$Q,12,0))</f>
        <v>250</v>
      </c>
      <c r="V67" s="67" t="str">
        <f>IF(B67="","",VLOOKUP(AD67,Varsayımlar!$B:$Q,13,0))</f>
        <v>Yurtdışı</v>
      </c>
      <c r="W67" s="67">
        <f>IF(B67="","",VLOOKUP(AD67,Varsayımlar!$B:$Q,14,0))</f>
        <v>6</v>
      </c>
      <c r="X67" s="69">
        <v>46216</v>
      </c>
      <c r="Y67" s="69">
        <v>46400</v>
      </c>
      <c r="Z67" s="67">
        <v>26071315</v>
      </c>
      <c r="AA67" s="67" t="str">
        <f>IF(B67="","",VLOOKUP(AD67,Varsayımlar!$B:$Q,15,0))</f>
        <v>15cm koli</v>
      </c>
      <c r="AB67" s="67" t="str">
        <f>IF(B67="","",VLOOKUP(AD67,Varsayımlar!$B:$Q,16,0))</f>
        <v>14-16 cm</v>
      </c>
      <c r="AC67" s="80">
        <f>IF(B67="","",VLOOKUP(Sayfa1!AD85,Varsayımlar!B:S,18,0))</f>
        <v>0</v>
      </c>
      <c r="AD67" s="57" t="str">
        <f t="shared" si="5"/>
        <v>Yüksekbaş GıdaYüksekbaş 15cm 10 pcs 250g</v>
      </c>
    </row>
    <row r="68" spans="1:30" ht="51" customHeight="1" x14ac:dyDescent="0.25">
      <c r="A68" s="8" t="s">
        <v>87</v>
      </c>
      <c r="B68" s="160" t="s">
        <v>553</v>
      </c>
      <c r="C68" s="161">
        <f>IF(B68="","",VLOOKUP(AD68,Varsayımlar!$B:$Q,3,0))</f>
        <v>8698829380698</v>
      </c>
      <c r="D68" s="160"/>
      <c r="E68" s="162" t="s">
        <v>554</v>
      </c>
      <c r="F68" s="160">
        <v>20260629</v>
      </c>
      <c r="G68" s="160" t="s">
        <v>578</v>
      </c>
      <c r="H68" s="160" t="str">
        <f>IF(B68="","",VLOOKUP(AD68,Varsayımlar!$B:$Q,5,0))</f>
        <v xml:space="preserve">Tortillove 15cm </v>
      </c>
      <c r="I68" s="160">
        <f>IF(B68="","",VLOOKUP(AD68,Varsayımlar!B:T,19,0))</f>
        <v>0</v>
      </c>
      <c r="J68" s="160" t="str">
        <f>IF(B68="","",VLOOKUP(AD68,Varsayımlar!$B:$Q,6,0))</f>
        <v>Sade</v>
      </c>
      <c r="K68" s="160">
        <v>100</v>
      </c>
      <c r="L68" s="160"/>
      <c r="M68" s="160">
        <f>IFERROR(IF(B68="","",K68/VLOOKUP(AD68,Varsayımlar!B:R,17,0)),"")</f>
        <v>1</v>
      </c>
      <c r="N68" s="160"/>
      <c r="O68" s="160">
        <v>3</v>
      </c>
      <c r="P68" s="160">
        <f>IF(B68="","",VLOOKUP(AD68,Varsayımlar!$B:$Q,7,0)*K68)</f>
        <v>1200</v>
      </c>
      <c r="Q68" s="160">
        <f>IF(B68="","",VLOOKUP(AD68,Varsayımlar!$B:$Q,8,0))</f>
        <v>15</v>
      </c>
      <c r="R68" s="160" t="str">
        <f>IF(B68="","",VLOOKUP(AD68,Varsayımlar!$B:$Q,9,0))</f>
        <v>Irak soft</v>
      </c>
      <c r="S68" s="160">
        <f>IF(B68="","",VLOOKUP(AD68,Varsayımlar!$B:$Q,10,0))</f>
        <v>10</v>
      </c>
      <c r="T68" s="160">
        <f>IF(B68="","",VLOOKUP(AD68,Varsayımlar!$B:$Q,11,0))</f>
        <v>12</v>
      </c>
      <c r="U68" s="160">
        <f>IF(B68="","",VLOOKUP(AD68,Varsayımlar!$B:$Q,12,0))</f>
        <v>250</v>
      </c>
      <c r="V68" s="160" t="str">
        <f>IF(B68="","",VLOOKUP(AD68,Varsayımlar!$B:$Q,13,0))</f>
        <v>Yurtiçi</v>
      </c>
      <c r="W68" s="160">
        <f>IF(B68="","",VLOOKUP(AD68,Varsayımlar!$B:$Q,14,0))</f>
        <v>6</v>
      </c>
      <c r="X68" s="163">
        <v>46217</v>
      </c>
      <c r="Y68" s="163">
        <v>46401</v>
      </c>
      <c r="Z68" s="160">
        <v>26071430</v>
      </c>
      <c r="AA68" s="160" t="str">
        <f>IF(B68="","",VLOOKUP(AD68,Varsayımlar!$B:$Q,15,0))</f>
        <v>15cm kolisi</v>
      </c>
      <c r="AB68" s="160" t="str">
        <f>IF(B68="","",VLOOKUP(AD68,Varsayımlar!$B:$Q,16,0))</f>
        <v>14-16cm</v>
      </c>
      <c r="AC68" s="75" t="e">
        <f>IF(B68="","",VLOOKUP(Sayfa1!AD119,Varsayımlar!B:S,18,0))</f>
        <v>#N/A</v>
      </c>
      <c r="AD68" s="57" t="str">
        <f>IF(B68="","",CONCATENATE(B68,E68))</f>
        <v>GıdaserTortillove 15cm 10pcs 250g</v>
      </c>
    </row>
    <row r="69" spans="1:30" ht="43.5" customHeight="1" x14ac:dyDescent="0.25">
      <c r="A69" s="8" t="s">
        <v>84</v>
      </c>
      <c r="B69" s="54" t="s">
        <v>346</v>
      </c>
      <c r="C69" s="39">
        <f>IF(B69="","",VLOOKUP(AD69,Varsayımlar!$B:$Q,3,0))</f>
        <v>8698829380698</v>
      </c>
      <c r="D69" s="39">
        <v>49</v>
      </c>
      <c r="E69" s="55" t="s">
        <v>325</v>
      </c>
      <c r="F69" s="54"/>
      <c r="G69" s="54"/>
      <c r="H69" s="54" t="str">
        <f>IF(B69="","",VLOOKUP(AD69,Varsayımlar!$B:$Q,5,0))</f>
        <v>Hanami Tako 15cm</v>
      </c>
      <c r="I69" s="54" t="str">
        <f>IF(B69="","",VLOOKUP(AD69,Varsayımlar!B:T,19,0))</f>
        <v>Ambalaj kaç aylık kontrol?</v>
      </c>
      <c r="J69" s="54" t="str">
        <f>IF(B69="","",VLOOKUP(AD69,Varsayımlar!$B:$Q,6,0))</f>
        <v>SADE</v>
      </c>
      <c r="K69" s="54">
        <v>1248</v>
      </c>
      <c r="L69" s="54"/>
      <c r="M69" s="54"/>
      <c r="N69" s="54"/>
      <c r="O69" s="54">
        <v>35</v>
      </c>
      <c r="P69" s="54">
        <f>IF(B69="","",VLOOKUP(AD69,Varsayımlar!$B:$Q,7,0)*K69)</f>
        <v>24960</v>
      </c>
      <c r="Q69" s="54">
        <f>IF(B69="","",VLOOKUP(AD69,Varsayımlar!$B:$Q,8,0))</f>
        <v>15</v>
      </c>
      <c r="R69" s="54" t="str">
        <f>IF(B69="","",VLOOKUP(AD69,Varsayımlar!$B:$Q,9,0))</f>
        <v>Irak Soft</v>
      </c>
      <c r="S69" s="54">
        <f>IF(B69="","",VLOOKUP(AD69,Varsayımlar!$B:$Q,10,0))</f>
        <v>6</v>
      </c>
      <c r="T69" s="54">
        <f>IF(B69="","",VLOOKUP(AD69,Varsayımlar!$B:$Q,11,0))</f>
        <v>20</v>
      </c>
      <c r="U69" s="54">
        <f>IF(B69="","",VLOOKUP(AD69,Varsayımlar!$B:$Q,12,0))</f>
        <v>150</v>
      </c>
      <c r="V69" s="54" t="str">
        <f>IF(B69="","",VLOOKUP(AD69,Varsayımlar!$B:$Q,13,0))</f>
        <v>Yurtdışı</v>
      </c>
      <c r="W69" s="54">
        <f>IF(B69="","",VLOOKUP(AD69,Varsayımlar!$B:$Q,14,0))</f>
        <v>9</v>
      </c>
      <c r="X69" s="56">
        <v>46226</v>
      </c>
      <c r="Y69" s="56">
        <v>46500</v>
      </c>
      <c r="Z69" s="54">
        <v>26072315</v>
      </c>
      <c r="AA69" s="54" t="str">
        <f>IF(B69="","",VLOOKUP(AD69,Varsayımlar!$B:$Q,15,0))</f>
        <v>Hanami Tako 15cm-Üretim Tarihi Atılacak</v>
      </c>
      <c r="AB69" s="54" t="str">
        <f>IF(B69="","",VLOOKUP(AD69,Varsayımlar!$B:$Q,16,0))</f>
        <v>14-16 cm</v>
      </c>
      <c r="AC69" s="8" t="e">
        <f>IF(B69="","",VLOOKUP(#REF!,#REF!,18,0))</f>
        <v>#REF!</v>
      </c>
      <c r="AD69" s="8" t="str">
        <f>IF(B69="","",CONCATENATE(B69,E69))</f>
        <v>GermesHanami Germes Tako 15cm 6pcs 150g</v>
      </c>
    </row>
    <row r="70" spans="1:30" ht="94.5" x14ac:dyDescent="0.25">
      <c r="A70" s="8" t="s">
        <v>85</v>
      </c>
      <c r="B70" s="62" t="s">
        <v>456</v>
      </c>
      <c r="C70" s="32">
        <f>IF(B70="","",VLOOKUP(AD70,Varsayımlar!$B:$Q,3,0))</f>
        <v>8698829380698</v>
      </c>
      <c r="D70" s="32"/>
      <c r="E70" s="61" t="s">
        <v>484</v>
      </c>
      <c r="F70" s="159" t="s">
        <v>546</v>
      </c>
      <c r="G70" s="62"/>
      <c r="H70" s="62" t="str">
        <f>IF(B70="","",VLOOKUP(AD70,Varsayımlar!$B:$Q,5,0))</f>
        <v>Willifood 26 cm Pizza</v>
      </c>
      <c r="I70" s="62">
        <f>IF(B70="","",VLOOKUP(AD70,Varsayımlar!B:T,19,0))</f>
        <v>0</v>
      </c>
      <c r="J70" s="62" t="str">
        <f>IF(B70="","",VLOOKUP(AD70,Varsayımlar!$B:$Q,6,0))</f>
        <v>Pizza</v>
      </c>
      <c r="K70" s="62">
        <v>2250</v>
      </c>
      <c r="L70" s="62"/>
      <c r="M70" s="62" t="str">
        <f>IFERROR(IF(B70="","",K70/VLOOKUP(AD70,#REF!,17,0)),"")</f>
        <v/>
      </c>
      <c r="N70" s="62"/>
      <c r="O70" s="62">
        <v>25</v>
      </c>
      <c r="P70" s="62">
        <f>IF(B70="","",VLOOKUP(AD70,Varsayımlar!$B:$Q,7,0)*K70)</f>
        <v>27000</v>
      </c>
      <c r="Q70" s="62">
        <f>IF(B70="","",VLOOKUP(AD70,Varsayımlar!$B:$Q,8,0))</f>
        <v>26</v>
      </c>
      <c r="R70" s="62" t="str">
        <f>IF(B70="","",VLOOKUP(AD70,Varsayımlar!$B:$Q,9,0))</f>
        <v>Irak Soft</v>
      </c>
      <c r="S70" s="62">
        <f>IF(B70="","",VLOOKUP(AD70,Varsayımlar!$B:$Q,10,0))</f>
        <v>4</v>
      </c>
      <c r="T70" s="62">
        <f>IF(B70="","",VLOOKUP(AD70,Varsayımlar!$B:$Q,11,0))</f>
        <v>12</v>
      </c>
      <c r="U70" s="62">
        <f>IF(B70="","",VLOOKUP(AD70,Varsayımlar!$B:$Q,12,0))</f>
        <v>480</v>
      </c>
      <c r="V70" s="62" t="str">
        <f>IF(B70="","",VLOOKUP(AD70,Varsayımlar!$B:$Q,13,0))</f>
        <v>Yurtdışı</v>
      </c>
      <c r="W70" s="62">
        <f>IF(B70="","",VLOOKUP(AD70,Varsayımlar!$B:$Q,14,0))</f>
        <v>18</v>
      </c>
      <c r="X70" s="63"/>
      <c r="Y70" s="146" t="s">
        <v>523</v>
      </c>
      <c r="Z70" s="146" t="s">
        <v>522</v>
      </c>
      <c r="AA70" s="63" t="str">
        <f>IF(B70="","",VLOOKUP(AD70,Varsayımlar!$B:$Q,15,0))</f>
        <v>Dürümek Kolisi-Çift Etiket</v>
      </c>
      <c r="AB70" s="63" t="str">
        <f>IF(B70="","",VLOOKUP(AD70,Varsayımlar!$B:$Q,16,0))</f>
        <v>Kesme.Bezeler 145-150 g.Kesilmemiş 27-28 cm. Kesilmemiş ağ 520-540g. Kesilmiş ağ 475-485 g</v>
      </c>
      <c r="AC70" s="73" t="e">
        <f>IF(B70="","",VLOOKUP(#REF!,#REF!,18,0))</f>
        <v>#REF!</v>
      </c>
      <c r="AD70" s="73" t="str">
        <f>IF(B70="","",CONCATENATE(B70,E70))</f>
        <v>WillifoodWillifood Pizza 26cm 4 pcs 480g</v>
      </c>
    </row>
    <row r="71" spans="1:30" ht="33.75" customHeight="1" x14ac:dyDescent="0.25">
      <c r="A71" s="8" t="s">
        <v>86</v>
      </c>
      <c r="B71" s="67" t="s">
        <v>460</v>
      </c>
      <c r="C71" s="42">
        <f>IF(B71="","",VLOOKUP(AD71,Varsayımlar!$B:$Q,3,0))</f>
        <v>8698829380698</v>
      </c>
      <c r="D71" s="67" t="s">
        <v>539</v>
      </c>
      <c r="E71" s="67" t="s">
        <v>461</v>
      </c>
      <c r="F71" s="67">
        <v>20260626</v>
      </c>
      <c r="G71" s="67"/>
      <c r="H71" s="67" t="str">
        <f>IF(B71="","",VLOOKUP(AD71,Varsayımlar!$B:$Q,5,0))</f>
        <v xml:space="preserve">Tortillove 15cm </v>
      </c>
      <c r="I71" s="67">
        <f>IF(B71="","",VLOOKUP(AD71,Varsayımlar!B:T,19,0))</f>
        <v>0</v>
      </c>
      <c r="J71" s="67" t="str">
        <f>IF(B71="","",VLOOKUP(AD71,Varsayımlar!$B:$Q,6,0))</f>
        <v>SADE</v>
      </c>
      <c r="K71" s="67">
        <v>400</v>
      </c>
      <c r="L71" s="67"/>
      <c r="M71" s="67">
        <f>IFERROR(IF(B71="","",K71/VLOOKUP(AD71,Varsayımlar!B:R,17,0)),"")</f>
        <v>4</v>
      </c>
      <c r="N71" s="67"/>
      <c r="O71" s="67">
        <v>11</v>
      </c>
      <c r="P71" s="67">
        <f>IF(B71="","",VLOOKUP(AD71,Varsayımlar!$B:$Q,7,0)*K71)</f>
        <v>4800</v>
      </c>
      <c r="Q71" s="67">
        <f>IF(B71="","",VLOOKUP(AD71,Varsayımlar!$B:$Q,8,0))</f>
        <v>15</v>
      </c>
      <c r="R71" s="67" t="str">
        <f>IF(B71="","",VLOOKUP(AD71,Varsayımlar!$B:$Q,9,0))</f>
        <v>Irak Soft</v>
      </c>
      <c r="S71" s="67">
        <f>IF(B71="","",VLOOKUP(AD71,Varsayımlar!$B:$Q,10,0))</f>
        <v>10</v>
      </c>
      <c r="T71" s="67">
        <f>IF(B71="","",VLOOKUP(AD71,Varsayımlar!$B:$Q,11,0))</f>
        <v>12</v>
      </c>
      <c r="U71" s="67">
        <f>IF(B71="","",VLOOKUP(AD71,Varsayımlar!$B:$Q,12,0))</f>
        <v>250</v>
      </c>
      <c r="V71" s="67" t="str">
        <f>IF(B71="","",VLOOKUP(AD71,Varsayımlar!$B:$Q,13,0))</f>
        <v>Yurtdışı</v>
      </c>
      <c r="W71" s="67">
        <f>IF(B71="","",VLOOKUP(AD71,Varsayımlar!$B:$Q,14,0))</f>
        <v>6</v>
      </c>
      <c r="X71" s="69"/>
      <c r="Y71" s="69"/>
      <c r="Z71" s="67"/>
      <c r="AA71" s="67" t="str">
        <f>IF(B71="","",VLOOKUP(AD71,Varsayımlar!$B:$Q,15,0))</f>
        <v>15cm koli</v>
      </c>
      <c r="AB71" s="67" t="str">
        <f>IF(B71="","",VLOOKUP(AD71,Varsayımlar!$B:$Q,16,0))</f>
        <v>14-16 cm</v>
      </c>
      <c r="AC71" s="80">
        <f>IF(B71="","",VLOOKUP(Sayfa1!AD91,Varsayımlar!B:S,18,0))</f>
        <v>0</v>
      </c>
      <c r="AD71" s="57" t="str">
        <f t="shared" ref="AD71" si="7">IF(B71="","",CONCATENATE(B71,E71))</f>
        <v>Yüksekbaş GıdaYüksekbaş 15cm 10 pcs 250g</v>
      </c>
    </row>
    <row r="72" spans="1:30" ht="43.5" customHeight="1" x14ac:dyDescent="0.25">
      <c r="A72" s="8" t="s">
        <v>88</v>
      </c>
      <c r="B72" s="54" t="s">
        <v>575</v>
      </c>
      <c r="C72" s="39">
        <f>IF(B72="","",VLOOKUP(AD72,Varsayımlar!$B:$Q,3,0))</f>
        <v>8698829380698</v>
      </c>
      <c r="D72" s="39"/>
      <c r="E72" s="39" t="s">
        <v>515</v>
      </c>
      <c r="F72" s="54">
        <v>20260701</v>
      </c>
      <c r="G72" s="54"/>
      <c r="H72" s="54" t="str">
        <f>IF(B72="","",VLOOKUP(AD72,Varsayımlar!$B:$Q,5,0))</f>
        <v>Tortillas 15cm</v>
      </c>
      <c r="I72" s="54">
        <f>IF(B72="","",VLOOKUP(AD72,Varsayımlar!B:T,19,0))</f>
        <v>0</v>
      </c>
      <c r="J72" s="54" t="str">
        <f>IF(B72="","",VLOOKUP(AD72,Varsayımlar!$B:$Q,6,0))</f>
        <v>Sade</v>
      </c>
      <c r="K72" s="54">
        <v>100</v>
      </c>
      <c r="L72" s="54"/>
      <c r="M72" s="54"/>
      <c r="N72" s="54"/>
      <c r="O72" s="54">
        <v>35</v>
      </c>
      <c r="P72" s="54">
        <f>IF(B72="","",VLOOKUP(AD72,Varsayımlar!$B:$Q,7,0)*K72)</f>
        <v>1200</v>
      </c>
      <c r="Q72" s="54">
        <f>IF(B72="","",VLOOKUP(AD72,Varsayımlar!$B:$Q,8,0))</f>
        <v>15</v>
      </c>
      <c r="R72" s="54" t="str">
        <f>IF(B72="","",VLOOKUP(AD72,Varsayımlar!$B:$Q,9,0))</f>
        <v>Irak soft</v>
      </c>
      <c r="S72" s="54">
        <f>IF(B72="","",VLOOKUP(AD72,Varsayımlar!$B:$Q,10,0))</f>
        <v>10</v>
      </c>
      <c r="T72" s="54">
        <f>IF(B72="","",VLOOKUP(AD72,Varsayımlar!$B:$Q,11,0))</f>
        <v>12</v>
      </c>
      <c r="U72" s="54">
        <f>IF(B72="","",VLOOKUP(AD72,Varsayımlar!$B:$Q,12,0))</f>
        <v>250</v>
      </c>
      <c r="V72" s="54" t="str">
        <f>IF(B72="","",VLOOKUP(AD72,Varsayımlar!$B:$Q,13,0))</f>
        <v>Yurtiçi</v>
      </c>
      <c r="W72" s="54">
        <f>IF(B72="","",VLOOKUP(AD72,Varsayımlar!$B:$Q,14,0))</f>
        <v>6</v>
      </c>
      <c r="X72" s="56"/>
      <c r="Y72" s="56"/>
      <c r="Z72" s="54"/>
      <c r="AA72" s="54" t="str">
        <f>IF(B72="","",VLOOKUP(AD72,Varsayımlar!$B:$Q,15,0))</f>
        <v>15cm Kolisi</v>
      </c>
      <c r="AB72" s="54" t="str">
        <f>IF(B72="","",VLOOKUP(AD72,Varsayımlar!$B:$Q,16,0))</f>
        <v>14-15cm</v>
      </c>
      <c r="AC72" s="8" t="e">
        <f>IF(B72="","",VLOOKUP(#REF!,#REF!,18,0))</f>
        <v>#REF!</v>
      </c>
      <c r="AD72" s="8" t="str">
        <f>IF(B72="","",CONCATENATE(B72,E72))</f>
        <v>Ceylan DönerTortillas 15cm 10pcs 250g</v>
      </c>
    </row>
    <row r="73" spans="1:30" ht="51" customHeight="1" x14ac:dyDescent="0.25">
      <c r="A73" s="8" t="s">
        <v>89</v>
      </c>
      <c r="B73" s="160" t="s">
        <v>579</v>
      </c>
      <c r="C73" s="161">
        <f>IF(B73="","",VLOOKUP(AD73,Varsayımlar!$B:$Q,3,0))</f>
        <v>8698829380698</v>
      </c>
      <c r="D73" s="160"/>
      <c r="E73" s="160" t="s">
        <v>257</v>
      </c>
      <c r="F73" s="160">
        <v>20260701</v>
      </c>
      <c r="G73" s="160" t="s">
        <v>578</v>
      </c>
      <c r="H73" s="160" t="str">
        <f>IF(B73="","",VLOOKUP(AD73,Varsayımlar!$B:$Q,5,0))</f>
        <v xml:space="preserve">Tortillas Pizza 26cm </v>
      </c>
      <c r="I73" s="160" t="str">
        <f>IF(B73="","",VLOOKUP(AD73,Varsayımlar!B:T,19,0))</f>
        <v>Arka Kısma Bosnaca içerik Etiketli</v>
      </c>
      <c r="J73" s="160" t="str">
        <f>IF(B73="","",VLOOKUP(AD73,Varsayımlar!$B:$Q,6,0))</f>
        <v>Pizza</v>
      </c>
      <c r="K73" s="160">
        <v>300</v>
      </c>
      <c r="L73" s="160"/>
      <c r="M73" s="160">
        <f>IFERROR(IF(B73="","",K73/VLOOKUP(AD73,Varsayımlar!B:R,17,0)),"")</f>
        <v>2</v>
      </c>
      <c r="N73" s="160"/>
      <c r="O73" s="160">
        <v>7</v>
      </c>
      <c r="P73" s="160">
        <f>IF(B73="","",VLOOKUP(AD73,Varsayımlar!$B:$Q,7,0)*K73)</f>
        <v>1800</v>
      </c>
      <c r="Q73" s="160">
        <f>IF(B73="","",VLOOKUP(AD73,Varsayımlar!$B:$Q,8,0))</f>
        <v>26</v>
      </c>
      <c r="R73" s="160" t="str">
        <f>IF(B73="","",VLOOKUP(AD73,Varsayımlar!$B:$Q,9,0))</f>
        <v>Irak soft</v>
      </c>
      <c r="S73" s="160">
        <f>IF(B73="","",VLOOKUP(AD73,Varsayımlar!$B:$Q,10,0))</f>
        <v>4</v>
      </c>
      <c r="T73" s="160">
        <f>IF(B73="","",VLOOKUP(AD73,Varsayımlar!$B:$Q,11,0))</f>
        <v>6</v>
      </c>
      <c r="U73" s="160">
        <f>IF(B73="","",VLOOKUP(AD73,Varsayımlar!$B:$Q,12,0))</f>
        <v>480</v>
      </c>
      <c r="V73" s="160" t="str">
        <f>IF(B73="","",VLOOKUP(AD73,Varsayımlar!$B:$Q,13,0))</f>
        <v>Yurtdışı</v>
      </c>
      <c r="W73" s="160">
        <f>IF(B73="","",VLOOKUP(AD73,Varsayımlar!$B:$Q,14,0))</f>
        <v>6</v>
      </c>
      <c r="X73" s="160"/>
      <c r="Y73" s="160"/>
      <c r="Z73" s="160"/>
      <c r="AA73" s="160" t="str">
        <f>IF(B73="","",VLOOKUP(AD73,Varsayımlar!$B:$Q,15,0))</f>
        <v>Pizza Kolisi</v>
      </c>
      <c r="AB73" s="160" t="str">
        <f>IF(B73="","",VLOOKUP(AD73,Varsayımlar!$B:$Q,16,0))</f>
        <v>25-27cm</v>
      </c>
      <c r="AC73" s="75" t="e">
        <f>IF(B73="","",VLOOKUP(Sayfa1!AD130,Varsayımlar!B:S,18,0))</f>
        <v>#N/A</v>
      </c>
      <c r="AD73" s="57" t="str">
        <f t="shared" ref="AD73" si="8">IF(B73="","",CONCATENATE(B73,E73))</f>
        <v>BelamionixTortillas 26cm Pizza 4pcs 480g</v>
      </c>
    </row>
    <row r="74" spans="1:30" x14ac:dyDescent="0.25">
      <c r="A74" s="8" t="s">
        <v>90</v>
      </c>
      <c r="B74" s="67"/>
      <c r="C74" s="42" t="str">
        <f>IF(B74="","",VLOOKUP(AD74,#REF!,3,0))</f>
        <v/>
      </c>
      <c r="D74" s="42"/>
      <c r="E74" s="42"/>
      <c r="F74" s="67"/>
      <c r="G74" s="67"/>
      <c r="H74" s="67" t="str">
        <f>IF(B74="","",VLOOKUP(AD74,#REF!,5,0))</f>
        <v/>
      </c>
      <c r="I74" s="67" t="str">
        <f>IF(B74="","",VLOOKUP(AD74,#REF!,19,0))</f>
        <v/>
      </c>
      <c r="J74" s="67" t="str">
        <f>IF(B74="","",VLOOKUP(AD74,#REF!,6,0))</f>
        <v/>
      </c>
      <c r="K74" s="67"/>
      <c r="L74" s="67"/>
      <c r="M74" s="67" t="str">
        <f>IFERROR(IF(B74="","",K74/VLOOKUP(AD74,#REF!,17,0)),"")</f>
        <v/>
      </c>
      <c r="N74" s="67"/>
      <c r="O74" s="67"/>
      <c r="P74" s="67" t="str">
        <f>IF(B74="","",VLOOKUP(AD74,#REF!,7,0)*K74)</f>
        <v/>
      </c>
      <c r="Q74" s="67" t="str">
        <f>IF(B74="","",VLOOKUP(AD74,#REF!,8,0))</f>
        <v/>
      </c>
      <c r="R74" s="67" t="str">
        <f>IF(B74="","",VLOOKUP(AD74,#REF!,9,0))</f>
        <v/>
      </c>
      <c r="S74" s="67" t="str">
        <f>IF(B74="","",VLOOKUP(AD74,#REF!,10,0))</f>
        <v/>
      </c>
      <c r="T74" s="67" t="str">
        <f>IF(B74="","",VLOOKUP(AD74,#REF!,11,0))</f>
        <v/>
      </c>
      <c r="U74" s="67" t="str">
        <f>IF(B74="","",VLOOKUP(AD74,#REF!,12,0))</f>
        <v/>
      </c>
      <c r="V74" s="67" t="str">
        <f>IF(B74="","",VLOOKUP(AD74,#REF!,13,0))</f>
        <v/>
      </c>
      <c r="W74" s="67" t="str">
        <f>IF(B74="","",VLOOKUP(AD74,#REF!,14,0))</f>
        <v/>
      </c>
      <c r="X74" s="69"/>
      <c r="Y74" s="69"/>
      <c r="Z74" s="67"/>
      <c r="AA74" s="67" t="str">
        <f>IF(B74="","",VLOOKUP(AD74,#REF!,15,0))</f>
        <v/>
      </c>
      <c r="AB74" s="67" t="str">
        <f>IF(B74="","",VLOOKUP(AD74,#REF!,16,0))</f>
        <v/>
      </c>
    </row>
    <row r="75" spans="1:30" x14ac:dyDescent="0.25">
      <c r="A75" s="8" t="s">
        <v>91</v>
      </c>
      <c r="B75" s="67"/>
      <c r="C75" s="42" t="str">
        <f>IF(B75="","",VLOOKUP(AD75,#REF!,3,0))</f>
        <v/>
      </c>
      <c r="D75" s="42"/>
      <c r="E75" s="42"/>
      <c r="F75" s="67"/>
      <c r="G75" s="67"/>
      <c r="H75" s="67" t="str">
        <f>IF(B75="","",VLOOKUP(AD75,#REF!,5,0))</f>
        <v/>
      </c>
      <c r="I75" s="67" t="str">
        <f>IF(B75="","",VLOOKUP(AD75,#REF!,19,0))</f>
        <v/>
      </c>
      <c r="J75" s="67" t="str">
        <f>IF(B75="","",VLOOKUP(AD75,#REF!,6,0))</f>
        <v/>
      </c>
      <c r="K75" s="67"/>
      <c r="L75" s="67"/>
      <c r="M75" s="67" t="str">
        <f>IFERROR(IF(B75="","",K75/VLOOKUP(AD75,#REF!,17,0)),"")</f>
        <v/>
      </c>
      <c r="N75" s="67"/>
      <c r="O75" s="67"/>
      <c r="P75" s="67" t="str">
        <f>IF(B75="","",VLOOKUP(AD75,#REF!,7,0)*K75)</f>
        <v/>
      </c>
      <c r="Q75" s="67" t="str">
        <f>IF(B75="","",VLOOKUP(AD75,#REF!,8,0))</f>
        <v/>
      </c>
      <c r="R75" s="67" t="str">
        <f>IF(B75="","",VLOOKUP(AD75,#REF!,9,0))</f>
        <v/>
      </c>
      <c r="S75" s="67" t="str">
        <f>IF(B75="","",VLOOKUP(AD75,#REF!,10,0))</f>
        <v/>
      </c>
      <c r="T75" s="67" t="str">
        <f>IF(B75="","",VLOOKUP(AD75,#REF!,11,0))</f>
        <v/>
      </c>
      <c r="U75" s="67" t="str">
        <f>IF(B75="","",VLOOKUP(AD75,#REF!,12,0))</f>
        <v/>
      </c>
      <c r="V75" s="67" t="str">
        <f>IF(B75="","",VLOOKUP(AD75,#REF!,13,0))</f>
        <v/>
      </c>
      <c r="W75" s="67" t="str">
        <f>IF(B75="","",VLOOKUP(AD75,#REF!,14,0))</f>
        <v/>
      </c>
      <c r="X75" s="69"/>
      <c r="Y75" s="69"/>
      <c r="Z75" s="67"/>
      <c r="AA75" s="67" t="str">
        <f>IF(B75="","",VLOOKUP(AD75,#REF!,15,0))</f>
        <v/>
      </c>
      <c r="AB75" s="67" t="str">
        <f>IF(B75="","",VLOOKUP(AD75,#REF!,16,0))</f>
        <v/>
      </c>
    </row>
    <row r="76" spans="1:30" x14ac:dyDescent="0.25">
      <c r="A76" s="8" t="s">
        <v>92</v>
      </c>
      <c r="B76" s="67"/>
      <c r="C76" s="42" t="str">
        <f>IF(B76="","",VLOOKUP(AD76,#REF!,3,0))</f>
        <v/>
      </c>
      <c r="D76" s="42"/>
      <c r="E76" s="42"/>
      <c r="F76" s="67"/>
      <c r="G76" s="67"/>
      <c r="H76" s="67" t="str">
        <f>IF(B76="","",VLOOKUP(AD76,#REF!,5,0))</f>
        <v/>
      </c>
      <c r="I76" s="67" t="str">
        <f>IF(B76="","",VLOOKUP(AD76,#REF!,19,0))</f>
        <v/>
      </c>
      <c r="J76" s="67" t="str">
        <f>IF(B76="","",VLOOKUP(AD76,#REF!,6,0))</f>
        <v/>
      </c>
      <c r="K76" s="67"/>
      <c r="L76" s="67"/>
      <c r="M76" s="67" t="str">
        <f>IFERROR(IF(B76="","",K76/VLOOKUP(AD76,#REF!,17,0)),"")</f>
        <v/>
      </c>
      <c r="N76" s="67"/>
      <c r="O76" s="67"/>
      <c r="P76" s="67" t="str">
        <f>IF(B76="","",VLOOKUP(AD76,#REF!,7,0)*K76)</f>
        <v/>
      </c>
      <c r="Q76" s="67" t="str">
        <f>IF(B76="","",VLOOKUP(AD76,#REF!,8,0))</f>
        <v/>
      </c>
      <c r="R76" s="67" t="str">
        <f>IF(B76="","",VLOOKUP(AD76,#REF!,9,0))</f>
        <v/>
      </c>
      <c r="S76" s="67" t="str">
        <f>IF(B76="","",VLOOKUP(AD76,#REF!,10,0))</f>
        <v/>
      </c>
      <c r="T76" s="67" t="str">
        <f>IF(B76="","",VLOOKUP(AD76,#REF!,11,0))</f>
        <v/>
      </c>
      <c r="U76" s="67" t="str">
        <f>IF(B76="","",VLOOKUP(AD76,#REF!,12,0))</f>
        <v/>
      </c>
      <c r="V76" s="67" t="str">
        <f>IF(B76="","",VLOOKUP(AD76,#REF!,13,0))</f>
        <v/>
      </c>
      <c r="W76" s="67" t="str">
        <f>IF(B76="","",VLOOKUP(AD76,#REF!,14,0))</f>
        <v/>
      </c>
      <c r="X76" s="69"/>
      <c r="Y76" s="69"/>
      <c r="Z76" s="67"/>
      <c r="AA76" s="67" t="str">
        <f>IF(B76="","",VLOOKUP(AD76,#REF!,15,0))</f>
        <v/>
      </c>
      <c r="AB76" s="67" t="str">
        <f>IF(B76="","",VLOOKUP(AD76,#REF!,16,0))</f>
        <v/>
      </c>
    </row>
    <row r="77" spans="1:30" x14ac:dyDescent="0.25">
      <c r="A77" s="8" t="s">
        <v>93</v>
      </c>
      <c r="B77" s="67"/>
      <c r="C77" s="42" t="str">
        <f>IF(B77="","",VLOOKUP(AD77,#REF!,3,0))</f>
        <v/>
      </c>
      <c r="D77" s="42"/>
      <c r="E77" s="42"/>
      <c r="F77" s="67"/>
      <c r="G77" s="67"/>
      <c r="H77" s="67" t="str">
        <f>IF(B77="","",VLOOKUP(AD77,#REF!,5,0))</f>
        <v/>
      </c>
      <c r="I77" s="67" t="str">
        <f>IF(B77="","",VLOOKUP(AD77,#REF!,19,0))</f>
        <v/>
      </c>
      <c r="J77" s="67" t="str">
        <f>IF(B77="","",VLOOKUP(AD77,#REF!,6,0))</f>
        <v/>
      </c>
      <c r="K77" s="67"/>
      <c r="L77" s="67"/>
      <c r="M77" s="67" t="str">
        <f>IFERROR(IF(B77="","",K77/VLOOKUP(AD77,#REF!,17,0)),"")</f>
        <v/>
      </c>
      <c r="N77" s="67"/>
      <c r="O77" s="67"/>
      <c r="P77" s="67" t="str">
        <f>IF(B77="","",VLOOKUP(AD77,#REF!,7,0)*K77)</f>
        <v/>
      </c>
      <c r="Q77" s="67" t="str">
        <f>IF(B77="","",VLOOKUP(AD77,#REF!,8,0))</f>
        <v/>
      </c>
      <c r="R77" s="67" t="str">
        <f>IF(B77="","",VLOOKUP(AD77,#REF!,9,0))</f>
        <v/>
      </c>
      <c r="S77" s="67" t="str">
        <f>IF(B77="","",VLOOKUP(AD77,#REF!,10,0))</f>
        <v/>
      </c>
      <c r="T77" s="67" t="str">
        <f>IF(B77="","",VLOOKUP(AD77,#REF!,11,0))</f>
        <v/>
      </c>
      <c r="U77" s="67" t="str">
        <f>IF(B77="","",VLOOKUP(AD77,#REF!,12,0))</f>
        <v/>
      </c>
      <c r="V77" s="67" t="str">
        <f>IF(B77="","",VLOOKUP(AD77,#REF!,13,0))</f>
        <v/>
      </c>
      <c r="W77" s="67" t="str">
        <f>IF(B77="","",VLOOKUP(AD77,#REF!,14,0))</f>
        <v/>
      </c>
      <c r="X77" s="69"/>
      <c r="Y77" s="69"/>
      <c r="Z77" s="67"/>
      <c r="AA77" s="67" t="str">
        <f>IF(B77="","",VLOOKUP(AD77,#REF!,15,0))</f>
        <v/>
      </c>
      <c r="AB77" s="67" t="str">
        <f>IF(B77="","",VLOOKUP(AD77,#REF!,16,0))</f>
        <v/>
      </c>
    </row>
    <row r="78" spans="1:30" x14ac:dyDescent="0.25">
      <c r="A78" s="8" t="s">
        <v>135</v>
      </c>
      <c r="B78" s="67"/>
      <c r="C78" s="42" t="str">
        <f>IF(B78="","",VLOOKUP(AD78,#REF!,3,0))</f>
        <v/>
      </c>
      <c r="D78" s="42"/>
      <c r="E78" s="42"/>
      <c r="F78" s="67"/>
      <c r="G78" s="67"/>
      <c r="H78" s="67" t="str">
        <f>IF(B78="","",VLOOKUP(AD78,#REF!,5,0))</f>
        <v/>
      </c>
      <c r="I78" s="67" t="str">
        <f>IF(B78="","",VLOOKUP(AD78,#REF!,19,0))</f>
        <v/>
      </c>
      <c r="J78" s="67" t="str">
        <f>IF(B78="","",VLOOKUP(AD78,#REF!,6,0))</f>
        <v/>
      </c>
      <c r="K78" s="67"/>
      <c r="L78" s="67"/>
      <c r="M78" s="67" t="str">
        <f>IFERROR(IF(B78="","",K78/VLOOKUP(AD78,#REF!,17,0)),"")</f>
        <v/>
      </c>
      <c r="N78" s="67"/>
      <c r="O78" s="67"/>
      <c r="P78" s="67" t="str">
        <f>IF(B78="","",VLOOKUP(AD78,#REF!,7,0)*K78)</f>
        <v/>
      </c>
      <c r="Q78" s="67" t="str">
        <f>IF(B78="","",VLOOKUP(AD78,#REF!,8,0))</f>
        <v/>
      </c>
      <c r="R78" s="67" t="str">
        <f>IF(B78="","",VLOOKUP(AD78,#REF!,9,0))</f>
        <v/>
      </c>
      <c r="S78" s="67" t="str">
        <f>IF(B78="","",VLOOKUP(AD78,#REF!,10,0))</f>
        <v/>
      </c>
      <c r="T78" s="67" t="str">
        <f>IF(B78="","",VLOOKUP(AD78,#REF!,11,0))</f>
        <v/>
      </c>
      <c r="U78" s="67" t="str">
        <f>IF(B78="","",VLOOKUP(AD78,#REF!,12,0))</f>
        <v/>
      </c>
      <c r="V78" s="67" t="str">
        <f>IF(B78="","",VLOOKUP(AD78,#REF!,13,0))</f>
        <v/>
      </c>
      <c r="W78" s="67" t="str">
        <f>IF(B78="","",VLOOKUP(AD78,#REF!,14,0))</f>
        <v/>
      </c>
      <c r="X78" s="69"/>
      <c r="Y78" s="69"/>
      <c r="Z78" s="67"/>
      <c r="AA78" s="67" t="str">
        <f>IF(B78="","",VLOOKUP(AD78,#REF!,15,0))</f>
        <v/>
      </c>
      <c r="AB78" s="67" t="str">
        <f>IF(B78="","",VLOOKUP(AD78,#REF!,16,0))</f>
        <v/>
      </c>
    </row>
    <row r="79" spans="1:30" x14ac:dyDescent="0.25">
      <c r="A79" s="8" t="s">
        <v>136</v>
      </c>
      <c r="B79" s="67"/>
      <c r="C79" s="42" t="str">
        <f>IF(B79="","",VLOOKUP(AD79,#REF!,3,0))</f>
        <v/>
      </c>
      <c r="D79" s="42"/>
      <c r="E79" s="42"/>
      <c r="F79" s="67"/>
      <c r="G79" s="67"/>
      <c r="H79" s="67" t="str">
        <f>IF(B79="","",VLOOKUP(AD79,#REF!,5,0))</f>
        <v/>
      </c>
      <c r="I79" s="67" t="str">
        <f>IF(B79="","",VLOOKUP(AD79,#REF!,19,0))</f>
        <v/>
      </c>
      <c r="J79" s="67" t="str">
        <f>IF(B79="","",VLOOKUP(AD79,#REF!,6,0))</f>
        <v/>
      </c>
      <c r="K79" s="67"/>
      <c r="L79" s="67"/>
      <c r="M79" s="67" t="str">
        <f>IFERROR(IF(B79="","",K79/VLOOKUP(AD79,#REF!,17,0)),"")</f>
        <v/>
      </c>
      <c r="N79" s="67"/>
      <c r="O79" s="67"/>
      <c r="P79" s="67" t="str">
        <f>IF(B79="","",VLOOKUP(AD79,#REF!,7,0)*K79)</f>
        <v/>
      </c>
      <c r="Q79" s="67" t="str">
        <f>IF(B79="","",VLOOKUP(AD79,#REF!,8,0))</f>
        <v/>
      </c>
      <c r="R79" s="67" t="str">
        <f>IF(B79="","",VLOOKUP(AD79,#REF!,9,0))</f>
        <v/>
      </c>
      <c r="S79" s="67" t="str">
        <f>IF(B79="","",VLOOKUP(AD79,#REF!,10,0))</f>
        <v/>
      </c>
      <c r="T79" s="67" t="str">
        <f>IF(B79="","",VLOOKUP(AD79,#REF!,11,0))</f>
        <v/>
      </c>
      <c r="U79" s="67" t="str">
        <f>IF(B79="","",VLOOKUP(AD79,#REF!,12,0))</f>
        <v/>
      </c>
      <c r="V79" s="67" t="str">
        <f>IF(B79="","",VLOOKUP(AD79,#REF!,13,0))</f>
        <v/>
      </c>
      <c r="W79" s="67" t="str">
        <f>IF(B79="","",VLOOKUP(AD79,#REF!,14,0))</f>
        <v/>
      </c>
      <c r="X79" s="69"/>
      <c r="Y79" s="69"/>
      <c r="Z79" s="67"/>
      <c r="AA79" s="67" t="str">
        <f>IF(B79="","",VLOOKUP(AD79,#REF!,15,0))</f>
        <v/>
      </c>
      <c r="AB79" s="67" t="str">
        <f>IF(B79="","",VLOOKUP(AD79,#REF!,16,0))</f>
        <v/>
      </c>
    </row>
    <row r="80" spans="1:30" x14ac:dyDescent="0.25">
      <c r="A80" s="8" t="s">
        <v>137</v>
      </c>
      <c r="B80" s="67"/>
      <c r="C80" s="42" t="str">
        <f>IF(B80="","",VLOOKUP(AD80,#REF!,3,0))</f>
        <v/>
      </c>
      <c r="D80" s="42"/>
      <c r="E80" s="42"/>
      <c r="F80" s="67"/>
      <c r="G80" s="67"/>
      <c r="H80" s="67" t="str">
        <f>IF(B80="","",VLOOKUP(AD80,#REF!,5,0))</f>
        <v/>
      </c>
      <c r="I80" s="67" t="str">
        <f>IF(B80="","",VLOOKUP(AD80,#REF!,19,0))</f>
        <v/>
      </c>
      <c r="J80" s="67" t="str">
        <f>IF(B80="","",VLOOKUP(AD80,#REF!,6,0))</f>
        <v/>
      </c>
      <c r="K80" s="67"/>
      <c r="L80" s="67"/>
      <c r="M80" s="67" t="str">
        <f>IFERROR(IF(B80="","",K80/VLOOKUP(AD80,#REF!,17,0)),"")</f>
        <v/>
      </c>
      <c r="N80" s="67"/>
      <c r="O80" s="67"/>
      <c r="P80" s="67" t="str">
        <f>IF(B80="","",VLOOKUP(AD80,#REF!,7,0)*K80)</f>
        <v/>
      </c>
      <c r="Q80" s="67" t="str">
        <f>IF(B80="","",VLOOKUP(AD80,#REF!,8,0))</f>
        <v/>
      </c>
      <c r="R80" s="67" t="str">
        <f>IF(B80="","",VLOOKUP(AD80,#REF!,9,0))</f>
        <v/>
      </c>
      <c r="S80" s="67" t="str">
        <f>IF(B80="","",VLOOKUP(AD80,#REF!,10,0))</f>
        <v/>
      </c>
      <c r="T80" s="67" t="str">
        <f>IF(B80="","",VLOOKUP(AD80,#REF!,11,0))</f>
        <v/>
      </c>
      <c r="U80" s="67" t="str">
        <f>IF(B80="","",VLOOKUP(AD80,#REF!,12,0))</f>
        <v/>
      </c>
      <c r="V80" s="67" t="str">
        <f>IF(B80="","",VLOOKUP(AD80,#REF!,13,0))</f>
        <v/>
      </c>
      <c r="W80" s="67" t="str">
        <f>IF(B80="","",VLOOKUP(AD80,#REF!,14,0))</f>
        <v/>
      </c>
      <c r="X80" s="69"/>
      <c r="Y80" s="69"/>
      <c r="Z80" s="67"/>
      <c r="AA80" s="67" t="str">
        <f>IF(B80="","",VLOOKUP(AD80,#REF!,15,0))</f>
        <v/>
      </c>
      <c r="AB80" s="67" t="str">
        <f>IF(B80="","",VLOOKUP(AD80,#REF!,16,0))</f>
        <v/>
      </c>
    </row>
  </sheetData>
  <mergeCells count="6">
    <mergeCell ref="A1:AC1"/>
    <mergeCell ref="A2:Z2"/>
    <mergeCell ref="AB2:AC2"/>
    <mergeCell ref="A41:AB41"/>
    <mergeCell ref="A58:AB58"/>
    <mergeCell ref="B6:AB6"/>
  </mergeCells>
  <phoneticPr fontId="5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"/>
  <sheetViews>
    <sheetView tabSelected="1" topLeftCell="A55" zoomScale="57" zoomScaleNormal="57" workbookViewId="0">
      <selection activeCell="E64" sqref="E64"/>
    </sheetView>
  </sheetViews>
  <sheetFormatPr defaultRowHeight="15.75" x14ac:dyDescent="0.25"/>
  <cols>
    <col min="1" max="1" width="5.85546875" style="140" bestFit="1" customWidth="1"/>
    <col min="2" max="2" width="17" style="140" bestFit="1" customWidth="1"/>
    <col min="3" max="3" width="26.5703125" style="141" hidden="1" customWidth="1"/>
    <col min="4" max="4" width="10.85546875" style="141" customWidth="1"/>
    <col min="5" max="5" width="42" style="141" customWidth="1"/>
    <col min="6" max="6" width="14" style="140" customWidth="1"/>
    <col min="7" max="7" width="16" style="140" customWidth="1"/>
    <col min="8" max="8" width="30.5703125" style="140" customWidth="1"/>
    <col min="9" max="9" width="17" style="140" customWidth="1"/>
    <col min="10" max="10" width="14.28515625" style="140" bestFit="1" customWidth="1"/>
    <col min="11" max="11" width="12.5703125" style="140" customWidth="1"/>
    <col min="12" max="12" width="14.5703125" style="140" customWidth="1"/>
    <col min="13" max="13" width="10.42578125" style="140" customWidth="1"/>
    <col min="14" max="14" width="13.28515625" style="140" customWidth="1"/>
    <col min="15" max="15" width="6.28515625" style="140" customWidth="1"/>
    <col min="16" max="16" width="11.5703125" style="140" customWidth="1"/>
    <col min="17" max="17" width="8.5703125" style="140" bestFit="1" customWidth="1"/>
    <col min="18" max="18" width="12" style="140" customWidth="1"/>
    <col min="19" max="19" width="8.5703125" style="140" bestFit="1" customWidth="1"/>
    <col min="20" max="20" width="9.28515625" style="140" bestFit="1" customWidth="1"/>
    <col min="21" max="21" width="11.28515625" style="140" bestFit="1" customWidth="1"/>
    <col min="22" max="22" width="11.42578125" style="140" customWidth="1"/>
    <col min="23" max="23" width="8.5703125" style="140" bestFit="1" customWidth="1"/>
    <col min="24" max="24" width="13.140625" style="140" bestFit="1" customWidth="1"/>
    <col min="25" max="25" width="16" style="140" customWidth="1"/>
    <col min="26" max="26" width="14.140625" style="140" customWidth="1"/>
    <col min="27" max="27" width="23.85546875" style="140" customWidth="1"/>
    <col min="28" max="28" width="20.7109375" style="140" customWidth="1"/>
    <col min="29" max="29" width="18.42578125" style="140" hidden="1" customWidth="1"/>
    <col min="30" max="30" width="62.140625" style="140" hidden="1" customWidth="1"/>
    <col min="31" max="31" width="15.140625" style="140" customWidth="1"/>
    <col min="32" max="16384" width="9.140625" style="140"/>
  </cols>
  <sheetData>
    <row r="1" spans="1:30" ht="31.5" customHeight="1" x14ac:dyDescent="0.25">
      <c r="A1" s="179" t="s">
        <v>349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1"/>
    </row>
    <row r="2" spans="1:30" ht="31.5" customHeight="1" x14ac:dyDescent="0.25">
      <c r="A2" s="182" t="s">
        <v>35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4"/>
      <c r="AA2" s="56">
        <v>46205</v>
      </c>
      <c r="AB2" s="185">
        <v>0.375</v>
      </c>
      <c r="AC2" s="186"/>
    </row>
    <row r="3" spans="1:30" ht="74.25" customHeight="1" x14ac:dyDescent="0.25">
      <c r="A3" s="8" t="s">
        <v>0</v>
      </c>
      <c r="B3" s="8" t="s">
        <v>1</v>
      </c>
      <c r="C3" s="9" t="s">
        <v>31</v>
      </c>
      <c r="D3" s="9" t="s">
        <v>124</v>
      </c>
      <c r="E3" s="9" t="s">
        <v>36</v>
      </c>
      <c r="F3" s="8" t="s">
        <v>37</v>
      </c>
      <c r="G3" s="8" t="s">
        <v>13</v>
      </c>
      <c r="H3" s="8" t="s">
        <v>2</v>
      </c>
      <c r="I3" s="8" t="s">
        <v>49</v>
      </c>
      <c r="J3" s="8" t="s">
        <v>3</v>
      </c>
      <c r="K3" s="8" t="s">
        <v>21</v>
      </c>
      <c r="L3" s="8" t="s">
        <v>94</v>
      </c>
      <c r="M3" s="8" t="s">
        <v>20</v>
      </c>
      <c r="N3" s="8" t="s">
        <v>165</v>
      </c>
      <c r="O3" s="8" t="s">
        <v>123</v>
      </c>
      <c r="P3" s="8" t="s">
        <v>16</v>
      </c>
      <c r="Q3" s="8" t="s">
        <v>4</v>
      </c>
      <c r="R3" s="8" t="s">
        <v>5</v>
      </c>
      <c r="S3" s="8" t="s">
        <v>6</v>
      </c>
      <c r="T3" s="8" t="s">
        <v>28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A3" s="8" t="s">
        <v>14</v>
      </c>
      <c r="AB3" s="8" t="s">
        <v>15</v>
      </c>
      <c r="AC3" s="8" t="s">
        <v>208</v>
      </c>
      <c r="AD3" s="140" t="s">
        <v>41</v>
      </c>
    </row>
    <row r="4" spans="1:30" ht="45.75" customHeight="1" x14ac:dyDescent="0.25">
      <c r="A4" s="8" t="s">
        <v>26</v>
      </c>
      <c r="B4" s="130" t="s">
        <v>119</v>
      </c>
      <c r="C4" s="131">
        <f>IF(B4="","",VLOOKUP(AD4,Varsayımlar!$B:$Q,3,0))</f>
        <v>8698829380698</v>
      </c>
      <c r="D4" s="131"/>
      <c r="E4" s="132" t="s">
        <v>120</v>
      </c>
      <c r="F4" s="130"/>
      <c r="G4" s="130"/>
      <c r="H4" s="130" t="str">
        <f>IF(B4="","",VLOOKUP(AD4,Varsayımlar!$B:$Q,5,0))</f>
        <v>Nimet 25 cm</v>
      </c>
      <c r="I4" s="130"/>
      <c r="J4" s="130" t="str">
        <f>IF(B4="","",VLOOKUP(AD4,Varsayımlar!$B:$Q,6,0))</f>
        <v>SADE</v>
      </c>
      <c r="K4" s="130">
        <v>5000</v>
      </c>
      <c r="L4" s="130"/>
      <c r="M4" s="130">
        <f>IFERROR(IF(B4="","",K4/VLOOKUP(AD4,Varsayımlar!B:R,17,0)),"")</f>
        <v>100</v>
      </c>
      <c r="N4" s="130"/>
      <c r="O4" s="130">
        <v>100</v>
      </c>
      <c r="P4" s="130">
        <f>IF(B4="","",VLOOKUP(AD4,Varsayımlar!$B:$Q,7,0)*K4)</f>
        <v>60000</v>
      </c>
      <c r="Q4" s="130">
        <f>IF(B4="","",VLOOKUP(AD4,Varsayımlar!$B:$Q,8,0))</f>
        <v>25</v>
      </c>
      <c r="R4" s="130" t="str">
        <f>IF(B4="","",VLOOKUP(AD4,Varsayımlar!$B:$Q,9,0))</f>
        <v>Standart</v>
      </c>
      <c r="S4" s="130">
        <f>IF(B4="","",VLOOKUP(AD4,Varsayımlar!$B:$Q,10,0))</f>
        <v>12</v>
      </c>
      <c r="T4" s="130">
        <f>IF(B4="","",VLOOKUP(AD4,Varsayımlar!$B:$Q,11,0))</f>
        <v>12</v>
      </c>
      <c r="U4" s="130">
        <f>IF(B4="","",VLOOKUP(AD4,Varsayımlar!$B:$Q,12,0))</f>
        <v>840</v>
      </c>
      <c r="V4" s="130" t="str">
        <f>IF(B4="","",VLOOKUP(AD4,Varsayımlar!$B:$Q,13,0))</f>
        <v>YURTİÇİ</v>
      </c>
      <c r="W4" s="130">
        <f>IF(B4="","",VLOOKUP(AD4,Varsayımlar!$B:$Q,14,0))</f>
        <v>5</v>
      </c>
      <c r="X4" s="133" t="s">
        <v>113</v>
      </c>
      <c r="Y4" s="133" t="s">
        <v>113</v>
      </c>
      <c r="Z4" s="130" t="s">
        <v>113</v>
      </c>
      <c r="AA4" s="130" t="str">
        <f>IF(B4="","",VLOOKUP(AD4,Varsayımlar!$B:$Q,15,0))</f>
        <v>Nimet Kolisi</v>
      </c>
      <c r="AB4" s="130" t="str">
        <f>IF(B4="","",VLOOKUP(AD4,Varsayımlar!$B:$Q,16,0))</f>
        <v>24-26 CM</v>
      </c>
      <c r="AC4" s="64" t="s">
        <v>360</v>
      </c>
      <c r="AD4" s="57" t="str">
        <f t="shared" ref="AD4:AD34" si="0">IF(B4="","",CONCATENATE(B4,E4))</f>
        <v>A101Nimet 25cm 12 pcs 840g</v>
      </c>
    </row>
    <row r="5" spans="1:30" ht="45.75" customHeight="1" x14ac:dyDescent="0.25">
      <c r="A5" s="8"/>
      <c r="B5" s="193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5"/>
      <c r="AC5" s="64"/>
      <c r="AD5" s="57"/>
    </row>
    <row r="6" spans="1:30" ht="31.5" x14ac:dyDescent="0.25">
      <c r="A6" s="8" t="s">
        <v>77</v>
      </c>
      <c r="B6" s="75" t="s">
        <v>218</v>
      </c>
      <c r="C6" s="43">
        <f>IF(B6="","",VLOOKUP(AD6,Varsayımlar!$B:$Q,3,0))</f>
        <v>8698829380698</v>
      </c>
      <c r="D6" s="43" t="s">
        <v>161</v>
      </c>
      <c r="E6" s="75" t="s">
        <v>229</v>
      </c>
      <c r="F6" s="75" t="s">
        <v>561</v>
      </c>
      <c r="G6" s="43"/>
      <c r="H6" s="75" t="str">
        <f>IF(B6="","",VLOOKUP(AD6,Varsayımlar!$B:$Q,5,0))</f>
        <v>Tortillas Avrupa 25cm Tam Buğday (711)</v>
      </c>
      <c r="I6" s="75">
        <f>IF(B6="","",VLOOKUP(AD6,Varsayımlar!B:T,19,0))</f>
        <v>0</v>
      </c>
      <c r="J6" s="75" t="str">
        <f>IF(B6="","",VLOOKUP(AD6,Varsayımlar!$B:$Q,6,0))</f>
        <v>Tam Buğdaylı</v>
      </c>
      <c r="K6" s="75">
        <v>600</v>
      </c>
      <c r="L6" s="75"/>
      <c r="M6" s="75">
        <f>IFERROR(IF(B6="","",K6/VLOOKUP(AD6,Varsayımlar!B:R,17,0)),"")</f>
        <v>5</v>
      </c>
      <c r="N6" s="75"/>
      <c r="O6" s="75">
        <v>7</v>
      </c>
      <c r="P6" s="75">
        <f>IF(B6="","",VLOOKUP(AD6,Varsayımlar!$B:$Q,7,0)*K6)</f>
        <v>4800</v>
      </c>
      <c r="Q6" s="75">
        <f>IF(B6="","",VLOOKUP(AD6,Varsayımlar!$B:$Q,8,0))</f>
        <v>25</v>
      </c>
      <c r="R6" s="75" t="str">
        <f>IF(B6="","",VLOOKUP(AD6,Varsayımlar!$B:$Q,9,0))</f>
        <v>Irak Soft</v>
      </c>
      <c r="S6" s="75">
        <f>IF(B6="","",VLOOKUP(AD6,Varsayımlar!$B:$Q,10,0))</f>
        <v>10</v>
      </c>
      <c r="T6" s="75">
        <f>IF(B6="","",VLOOKUP(AD6,Varsayımlar!$B:$Q,11,0))</f>
        <v>8</v>
      </c>
      <c r="U6" s="75">
        <f>IF(B6="","",VLOOKUP(AD6,Varsayımlar!$B:$Q,12,0))</f>
        <v>650</v>
      </c>
      <c r="V6" s="75" t="str">
        <f>IF(B6="","",VLOOKUP(AD6,Varsayımlar!$B:$Q,13,0))</f>
        <v>Yurtdışı</v>
      </c>
      <c r="W6" s="75">
        <f>IF(B6="","",VLOOKUP(AD6,Varsayımlar!$B:$Q,14,0))</f>
        <v>9</v>
      </c>
      <c r="X6" s="76">
        <v>46213</v>
      </c>
      <c r="Y6" s="76">
        <v>46487</v>
      </c>
      <c r="Z6" s="75" t="s">
        <v>562</v>
      </c>
      <c r="AA6" s="75" t="str">
        <f>IF(B6="","",VLOOKUP(AD6,Varsayımlar!$B:$Q,15,0))</f>
        <v>25cm Perforeli-Bulgarca TB etiket</v>
      </c>
      <c r="AB6" s="75" t="str">
        <f>IF(B6="","",VLOOKUP(AD6,Varsayımlar!$B:$Q,16,0))</f>
        <v>24-26 cm</v>
      </c>
      <c r="AC6" s="75" t="str">
        <f>IF(B6="","",VLOOKUP(Sayfa1!AD63,Varsayımlar!B:S,18,0))</f>
        <v>80x120cm -Epal+Epal</v>
      </c>
      <c r="AD6" s="57" t="str">
        <f t="shared" si="0"/>
        <v>TASTE LAND-BULGARİSTANTortillas 25cm Tam Buğday 10pcs 650g</v>
      </c>
    </row>
    <row r="7" spans="1:30" ht="31.5" x14ac:dyDescent="0.25">
      <c r="A7" s="8" t="s">
        <v>78</v>
      </c>
      <c r="B7" s="75" t="s">
        <v>218</v>
      </c>
      <c r="C7" s="43">
        <f>IF(B7="","",VLOOKUP(AD7,Varsayımlar!$B:$Q,3,0))</f>
        <v>8698829380698</v>
      </c>
      <c r="D7" s="43" t="s">
        <v>161</v>
      </c>
      <c r="E7" s="43" t="s">
        <v>560</v>
      </c>
      <c r="F7" s="75" t="s">
        <v>561</v>
      </c>
      <c r="G7" s="43" t="s">
        <v>564</v>
      </c>
      <c r="H7" s="75" t="str">
        <f>IF(B7="","",VLOOKUP(AD7,Varsayımlar!$B:$Q,5,0))</f>
        <v>Baskısız 30cm</v>
      </c>
      <c r="I7" s="75" t="str">
        <f>IF(B7="","",VLOOKUP(AD7,Varsayımlar!B:T,19,0))</f>
        <v>Etiketli</v>
      </c>
      <c r="J7" s="75" t="str">
        <f>IF(B7="","",VLOOKUP(AD7,Varsayımlar!$B:$Q,6,0))</f>
        <v>Tam Buğdaylı</v>
      </c>
      <c r="K7" s="75">
        <v>252</v>
      </c>
      <c r="L7" s="75"/>
      <c r="M7" s="75">
        <f>IFERROR(IF(B7="","",K7/VLOOKUP(AD7,Varsayımlar!B:R,17,0)),"")</f>
        <v>3</v>
      </c>
      <c r="N7" s="75"/>
      <c r="O7" s="75">
        <v>4</v>
      </c>
      <c r="P7" s="75">
        <f>IF(B7="","",VLOOKUP(AD7,Varsayımlar!$B:$Q,7,0)*K7)</f>
        <v>1512</v>
      </c>
      <c r="Q7" s="75">
        <f>IF(B7="","",VLOOKUP(AD7,Varsayımlar!$B:$Q,8,0))</f>
        <v>25</v>
      </c>
      <c r="R7" s="75" t="str">
        <f>IF(B7="","",VLOOKUP(AD7,Varsayımlar!$B:$Q,9,0))</f>
        <v>Irak soft</v>
      </c>
      <c r="S7" s="75">
        <f>IF(B7="","",VLOOKUP(AD7,Varsayımlar!$B:$Q,10,0))</f>
        <v>18</v>
      </c>
      <c r="T7" s="75">
        <f>IF(B7="","",VLOOKUP(AD7,Varsayımlar!$B:$Q,11,0))</f>
        <v>6</v>
      </c>
      <c r="U7" s="75">
        <f>IF(B7="","",VLOOKUP(AD7,Varsayımlar!$B:$Q,12,0))</f>
        <v>1170</v>
      </c>
      <c r="V7" s="75" t="str">
        <f>IF(B7="","",VLOOKUP(AD7,Varsayımlar!$B:$Q,13,0))</f>
        <v>YURTDIŞI</v>
      </c>
      <c r="W7" s="75">
        <f>IF(B7="","",VLOOKUP(AD7,Varsayımlar!$B:$Q,14,0))</f>
        <v>9</v>
      </c>
      <c r="X7" s="76">
        <v>46213</v>
      </c>
      <c r="Y7" s="76">
        <v>46487</v>
      </c>
      <c r="Z7" s="75" t="s">
        <v>562</v>
      </c>
      <c r="AA7" s="75" t="str">
        <f>IF(B7="","",VLOOKUP(AD7,Varsayımlar!$B:$Q,15,0))</f>
        <v>25cm Kolisi-Etiketli</v>
      </c>
      <c r="AB7" s="75" t="str">
        <f>IF(B7="","",VLOOKUP(AD7,Varsayımlar!$B:$Q,16,0))</f>
        <v>24-26cm</v>
      </c>
      <c r="AC7" s="75" t="str">
        <f>IF(B7="","",VLOOKUP(Sayfa1!AD64,Varsayımlar!B:S,18,0))</f>
        <v>80x120cm -Epal+Epal</v>
      </c>
      <c r="AD7" s="57" t="str">
        <f t="shared" si="0"/>
        <v>TASTE LAND-BULGARİSTANBaskısız 30cm 18pcs 1170g</v>
      </c>
    </row>
    <row r="8" spans="1:30" ht="47.25" x14ac:dyDescent="0.25">
      <c r="A8" s="8" t="s">
        <v>79</v>
      </c>
      <c r="B8" s="75" t="s">
        <v>218</v>
      </c>
      <c r="C8" s="43">
        <f>IF(B8="","",VLOOKUP(AD8,Varsayımlar!$B:$Q,3,0))</f>
        <v>8698829380698</v>
      </c>
      <c r="D8" s="43" t="s">
        <v>161</v>
      </c>
      <c r="E8" s="75" t="s">
        <v>232</v>
      </c>
      <c r="F8" s="75" t="s">
        <v>561</v>
      </c>
      <c r="G8" s="43"/>
      <c r="H8" s="75" t="str">
        <f>IF(B8="","",VLOOKUP(AD8,Varsayımlar!$B:$Q,5,0))</f>
        <v>Tortillas Avrupa 25cm Domatesli (074)</v>
      </c>
      <c r="I8" s="75">
        <f>IF(B8="","",VLOOKUP(AD8,Varsayımlar!B:T,19,0))</f>
        <v>0</v>
      </c>
      <c r="J8" s="75" t="str">
        <f>IF(B8="","",VLOOKUP(AD8,Varsayımlar!$B:$Q,6,0))</f>
        <v>Domatesli</v>
      </c>
      <c r="K8" s="75">
        <v>600</v>
      </c>
      <c r="L8" s="75"/>
      <c r="M8" s="75">
        <f>IFERROR(IF(B8="","",K8/VLOOKUP(AD8,Varsayımlar!B:R,17,0)),"")</f>
        <v>5</v>
      </c>
      <c r="N8" s="75"/>
      <c r="O8" s="75">
        <v>6</v>
      </c>
      <c r="P8" s="75">
        <f>IF(B8="","",VLOOKUP(AD8,Varsayımlar!$B:$Q,7,0)*K8)</f>
        <v>7200</v>
      </c>
      <c r="Q8" s="75">
        <f>IF(B8="","",VLOOKUP(AD8,Varsayımlar!$B:$Q,8,0))</f>
        <v>25</v>
      </c>
      <c r="R8" s="75" t="str">
        <f>IF(B8="","",VLOOKUP(AD8,Varsayımlar!$B:$Q,9,0))</f>
        <v>Irak Soft</v>
      </c>
      <c r="S8" s="75">
        <f>IF(B8="","",VLOOKUP(AD8,Varsayımlar!$B:$Q,10,0))</f>
        <v>6</v>
      </c>
      <c r="T8" s="75">
        <f>IF(B8="","",VLOOKUP(AD8,Varsayımlar!$B:$Q,11,0))</f>
        <v>12</v>
      </c>
      <c r="U8" s="75">
        <f>IF(B8="","",VLOOKUP(AD8,Varsayımlar!$B:$Q,12,0))</f>
        <v>390</v>
      </c>
      <c r="V8" s="75" t="str">
        <f>IF(B8="","",VLOOKUP(AD8,Varsayımlar!$B:$Q,13,0))</f>
        <v>Yurtdışı</v>
      </c>
      <c r="W8" s="75">
        <f>IF(B8="","",VLOOKUP(AD8,Varsayımlar!$B:$Q,14,0))</f>
        <v>9</v>
      </c>
      <c r="X8" s="76">
        <v>46213</v>
      </c>
      <c r="Y8" s="76">
        <v>46487</v>
      </c>
      <c r="Z8" s="75" t="s">
        <v>565</v>
      </c>
      <c r="AA8" s="75" t="str">
        <f>IF(B8="","",VLOOKUP(AD8,Varsayımlar!$B:$Q,15,0))</f>
        <v>25cm Perforeli-Bulgarca Domatesli etiket</v>
      </c>
      <c r="AB8" s="75" t="str">
        <f>IF(B8="","",VLOOKUP(AD8,Varsayımlar!$B:$Q,16,0))</f>
        <v>24-26 cm</v>
      </c>
      <c r="AC8" s="75" t="str">
        <f>IF(B8="","",VLOOKUP(Sayfa1!AD65,Varsayımlar!B:S,18,0))</f>
        <v>80x120cm -Epal+Epal</v>
      </c>
      <c r="AD8" s="57" t="str">
        <f t="shared" si="0"/>
        <v>TASTE LAND-BULGARİSTANTortillas 25cm Domatesli 6pcs 390g</v>
      </c>
    </row>
    <row r="9" spans="1:30" ht="47.25" x14ac:dyDescent="0.25">
      <c r="A9" s="8" t="s">
        <v>80</v>
      </c>
      <c r="B9" s="75" t="s">
        <v>218</v>
      </c>
      <c r="C9" s="43">
        <f>IF(B9="","",VLOOKUP(AD9,Varsayımlar!$B:$Q,3,0))</f>
        <v>8698829380698</v>
      </c>
      <c r="D9" s="43" t="s">
        <v>161</v>
      </c>
      <c r="E9" s="75" t="s">
        <v>235</v>
      </c>
      <c r="F9" s="75" t="s">
        <v>561</v>
      </c>
      <c r="G9" s="43"/>
      <c r="H9" s="75" t="str">
        <f>IF(B9="","",VLOOKUP(AD9,Varsayımlar!$B:$Q,5,0))</f>
        <v>Tortillas Avrupa 25cm Ispanaklı (081)</v>
      </c>
      <c r="I9" s="75">
        <f>IF(B9="","",VLOOKUP(AD9,Varsayımlar!B:T,19,0))</f>
        <v>0</v>
      </c>
      <c r="J9" s="75" t="str">
        <f>IF(B9="","",VLOOKUP(AD9,Varsayımlar!$B:$Q,6,0))</f>
        <v>Ispanaklı</v>
      </c>
      <c r="K9" s="75">
        <v>600</v>
      </c>
      <c r="L9" s="75"/>
      <c r="M9" s="75">
        <f>IFERROR(IF(B9="","",K9/VLOOKUP(AD9,Varsayımlar!B:R,17,0)),"")</f>
        <v>5</v>
      </c>
      <c r="N9" s="75"/>
      <c r="O9" s="75">
        <v>6</v>
      </c>
      <c r="P9" s="75">
        <f>IF(B9="","",VLOOKUP(AD9,Varsayımlar!$B:$Q,7,0)*K9)</f>
        <v>7200</v>
      </c>
      <c r="Q9" s="75">
        <f>IF(B9="","",VLOOKUP(AD9,Varsayımlar!$B:$Q,8,0))</f>
        <v>25</v>
      </c>
      <c r="R9" s="75" t="str">
        <f>IF(B9="","",VLOOKUP(AD9,Varsayımlar!$B:$Q,9,0))</f>
        <v>Irak Soft</v>
      </c>
      <c r="S9" s="75">
        <f>IF(B9="","",VLOOKUP(AD9,Varsayımlar!$B:$Q,10,0))</f>
        <v>6</v>
      </c>
      <c r="T9" s="75">
        <f>IF(B9="","",VLOOKUP(AD9,Varsayımlar!$B:$Q,11,0))</f>
        <v>12</v>
      </c>
      <c r="U9" s="75">
        <f>IF(B9="","",VLOOKUP(AD9,Varsayımlar!$B:$Q,12,0))</f>
        <v>390</v>
      </c>
      <c r="V9" s="75" t="str">
        <f>IF(B9="","",VLOOKUP(AD9,Varsayımlar!$B:$Q,13,0))</f>
        <v>Yurtdışı</v>
      </c>
      <c r="W9" s="75">
        <f>IF(B9="","",VLOOKUP(AD9,Varsayımlar!$B:$Q,14,0))</f>
        <v>9</v>
      </c>
      <c r="X9" s="76">
        <v>46213</v>
      </c>
      <c r="Y9" s="76">
        <v>46487</v>
      </c>
      <c r="Z9" s="75" t="s">
        <v>566</v>
      </c>
      <c r="AA9" s="75" t="str">
        <f>IF(B9="","",VLOOKUP(AD9,Varsayımlar!$B:$Q,15,0))</f>
        <v>25cm Perforeli-Bulgarca Ispanaklı etiket</v>
      </c>
      <c r="AB9" s="75" t="str">
        <f>IF(B9="","",VLOOKUP(AD9,Varsayımlar!$B:$Q,16,0))</f>
        <v>24-26 cm</v>
      </c>
      <c r="AC9" s="75" t="str">
        <f>IF(B9="","",VLOOKUP(Sayfa1!AD66,Varsayımlar!B:S,18,0))</f>
        <v>80x120cm -Epal+Epal</v>
      </c>
      <c r="AD9" s="57" t="str">
        <f t="shared" si="0"/>
        <v>TASTE LAND-BULGARİSTANTortillas 25cm Ispanaklı 6pcs 390g</v>
      </c>
    </row>
    <row r="10" spans="1:30" ht="47.25" x14ac:dyDescent="0.25">
      <c r="A10" s="8" t="s">
        <v>81</v>
      </c>
      <c r="B10" s="75" t="s">
        <v>218</v>
      </c>
      <c r="C10" s="43">
        <f>IF(B10="","",VLOOKUP(AD10,Varsayımlar!$B:$Q,3,0))</f>
        <v>8698829380698</v>
      </c>
      <c r="D10" s="43" t="s">
        <v>161</v>
      </c>
      <c r="E10" s="75" t="s">
        <v>252</v>
      </c>
      <c r="F10" s="75" t="s">
        <v>561</v>
      </c>
      <c r="G10" s="43"/>
      <c r="H10" s="75" t="str">
        <f>IF(B10="","",VLOOKUP(AD10,Varsayımlar!$B:$Q,5,0))</f>
        <v xml:space="preserve">Tortillas 20cm Sade </v>
      </c>
      <c r="I10" s="75" t="str">
        <f>IF(B10="","",VLOOKUP(AD10,Varsayımlar!B:T,19,0))</f>
        <v>Barkod üzerine Barkod Etiketi (104)</v>
      </c>
      <c r="J10" s="75" t="str">
        <f>IF(B10="","",VLOOKUP(AD10,Varsayımlar!$B:$Q,6,0))</f>
        <v>SADE</v>
      </c>
      <c r="K10" s="75">
        <v>120</v>
      </c>
      <c r="L10" s="75"/>
      <c r="M10" s="75">
        <f>IFERROR(IF(B10="","",K10/VLOOKUP(AD10,Varsayımlar!B:R,17,0)),"")</f>
        <v>1</v>
      </c>
      <c r="N10" s="75"/>
      <c r="O10" s="75">
        <v>2</v>
      </c>
      <c r="P10" s="75">
        <f>IF(B10="","",VLOOKUP(AD10,Varsayımlar!$B:$Q,7,0)*K10)</f>
        <v>2160</v>
      </c>
      <c r="Q10" s="75">
        <f>IF(B10="","",VLOOKUP(AD10,Varsayımlar!$B:$Q,8,0))</f>
        <v>20</v>
      </c>
      <c r="R10" s="75" t="str">
        <f>IF(B10="","",VLOOKUP(AD10,Varsayımlar!$B:$Q,9,0))</f>
        <v>Irak Soft</v>
      </c>
      <c r="S10" s="75">
        <f>IF(B10="","",VLOOKUP(AD10,Varsayımlar!$B:$Q,10,0))</f>
        <v>6</v>
      </c>
      <c r="T10" s="75">
        <f>IF(B10="","",VLOOKUP(AD10,Varsayımlar!$B:$Q,11,0))</f>
        <v>18</v>
      </c>
      <c r="U10" s="75">
        <f>IF(B10="","",VLOOKUP(AD10,Varsayımlar!$B:$Q,12,0))</f>
        <v>270</v>
      </c>
      <c r="V10" s="75" t="str">
        <f>IF(B10="","",VLOOKUP(AD10,Varsayımlar!$B:$Q,13,0))</f>
        <v>Yurtdışı</v>
      </c>
      <c r="W10" s="75">
        <f>IF(B10="","",VLOOKUP(AD10,Varsayımlar!$B:$Q,14,0))</f>
        <v>9</v>
      </c>
      <c r="X10" s="76">
        <v>46213</v>
      </c>
      <c r="Y10" s="76">
        <v>46487</v>
      </c>
      <c r="Z10" s="75">
        <v>26071020</v>
      </c>
      <c r="AA10" s="75" t="str">
        <f>IF(B10="","",VLOOKUP(AD10,Varsayımlar!$B:$Q,15,0))</f>
        <v>20cm Lacivert-Bulgarca Etiket</v>
      </c>
      <c r="AB10" s="75" t="str">
        <f>IF(B10="","",VLOOKUP(AD10,Varsayımlar!$B:$Q,16,0))</f>
        <v>19-21 cm</v>
      </c>
      <c r="AC10" s="75" t="str">
        <f>IF(B10="","",VLOOKUP(Sayfa1!AD21,Varsayımlar!B:S,18,0))</f>
        <v>100x120cm-Epal+Epal</v>
      </c>
      <c r="AD10" s="57" t="str">
        <f>IF(B10="","",CONCATENATE(B10,E10))</f>
        <v>TASTE LAND-BULGARİSTANTortillas 20cm Sade 6pcs 270g</v>
      </c>
    </row>
    <row r="11" spans="1:30" ht="55.5" customHeight="1" x14ac:dyDescent="0.25">
      <c r="A11" s="8" t="s">
        <v>82</v>
      </c>
      <c r="B11" s="67" t="s">
        <v>460</v>
      </c>
      <c r="C11" s="42">
        <f>IF(B11="","",VLOOKUP(AD11,Varsayımlar!$B:$Q,3,0))</f>
        <v>8698829380698</v>
      </c>
      <c r="D11" s="67" t="s">
        <v>540</v>
      </c>
      <c r="E11" s="67" t="s">
        <v>464</v>
      </c>
      <c r="F11" s="67">
        <v>20260414</v>
      </c>
      <c r="G11" s="67"/>
      <c r="H11" s="67" t="str">
        <f>IF(B11="","",VLOOKUP(AD11,Varsayımlar!$B:$Q,5,0))</f>
        <v>Tortillove 20cm</v>
      </c>
      <c r="I11" s="67">
        <f>IF(B11="","",VLOOKUP(AD11,Varsayımlar!B:T,19,0))</f>
        <v>0</v>
      </c>
      <c r="J11" s="67" t="str">
        <f>IF(B11="","",VLOOKUP(AD11,Varsayımlar!$B:$Q,6,0))</f>
        <v>SADE</v>
      </c>
      <c r="K11" s="67">
        <v>300</v>
      </c>
      <c r="L11" s="67"/>
      <c r="M11" s="67">
        <f>IFERROR(IF(B11="","",K11/VLOOKUP(AD11,Varsayımlar!B:R,17,0)),"")</f>
        <v>3</v>
      </c>
      <c r="N11" s="67"/>
      <c r="O11" s="67">
        <v>5</v>
      </c>
      <c r="P11" s="67">
        <f>IF(B11="","",VLOOKUP(AD11,Varsayımlar!$B:$Q,7,0)*K11)</f>
        <v>3600</v>
      </c>
      <c r="Q11" s="67">
        <f>IF(B11="","",VLOOKUP(AD11,Varsayımlar!$B:$Q,8,0))</f>
        <v>20</v>
      </c>
      <c r="R11" s="67" t="str">
        <f>IF(B11="","",VLOOKUP(AD11,Varsayımlar!$B:$Q,9,0))</f>
        <v>Irak Soft</v>
      </c>
      <c r="S11" s="67">
        <f>IF(B11="","",VLOOKUP(AD11,Varsayımlar!$B:$Q,10,0))</f>
        <v>10</v>
      </c>
      <c r="T11" s="67">
        <f>IF(B11="","",VLOOKUP(AD11,Varsayımlar!$B:$Q,11,0))</f>
        <v>12</v>
      </c>
      <c r="U11" s="67">
        <f>IF(B11="","",VLOOKUP(AD11,Varsayımlar!$B:$Q,12,0))</f>
        <v>450</v>
      </c>
      <c r="V11" s="67" t="str">
        <f>IF(B11="","",VLOOKUP(AD11,Varsayımlar!$B:$Q,13,0))</f>
        <v>Yurtdışı</v>
      </c>
      <c r="W11" s="67">
        <f>IF(B11="","",VLOOKUP(AD11,Varsayımlar!$B:$Q,14,0))</f>
        <v>6</v>
      </c>
      <c r="X11" s="69">
        <v>46216</v>
      </c>
      <c r="Y11" s="69">
        <v>46400</v>
      </c>
      <c r="Z11" s="67">
        <v>26071320</v>
      </c>
      <c r="AA11" s="67" t="str">
        <f>IF(B11="","",VLOOKUP(AD11,Varsayımlar!$B:$Q,15,0))</f>
        <v>20cm kolisi</v>
      </c>
      <c r="AB11" s="67" t="str">
        <f>IF(B11="","",VLOOKUP(AD11,Varsayımlar!$B:$Q,16,0))</f>
        <v>19-21 cm</v>
      </c>
      <c r="AC11" s="75">
        <f>IF(B11="","",VLOOKUP(Sayfa1!AD69,Varsayımlar!B:S,18,0))</f>
        <v>0</v>
      </c>
      <c r="AD11" s="57" t="str">
        <f t="shared" si="0"/>
        <v>Yüksekbaş GıdaYüksekbaş 20cm 10pcs 450g</v>
      </c>
    </row>
    <row r="12" spans="1:30" ht="51" customHeight="1" x14ac:dyDescent="0.25">
      <c r="A12" s="8" t="s">
        <v>83</v>
      </c>
      <c r="B12" s="164" t="s">
        <v>256</v>
      </c>
      <c r="C12" s="165">
        <f>IF(B12="","",VLOOKUP(AD12,Varsayımlar!$B:$Q,3,0))</f>
        <v>8698829380698</v>
      </c>
      <c r="D12" s="164"/>
      <c r="E12" s="164" t="s">
        <v>551</v>
      </c>
      <c r="F12" s="164">
        <v>20260629</v>
      </c>
      <c r="G12" s="164"/>
      <c r="H12" s="164" t="str">
        <f>IF(B12="","",VLOOKUP(AD12,Varsayımlar!$B:$Q,5,0))</f>
        <v>Tortillove 33 cm</v>
      </c>
      <c r="I12" s="164">
        <f>IF(B12="","",VLOOKUP(AD12,Varsayımlar!B:T,19,0))</f>
        <v>0</v>
      </c>
      <c r="J12" s="164" t="str">
        <f>IF(B12="","",VLOOKUP(AD12,Varsayımlar!$B:$Q,6,0))</f>
        <v>Sade</v>
      </c>
      <c r="K12" s="164">
        <v>110</v>
      </c>
      <c r="L12" s="164"/>
      <c r="M12" s="164" t="str">
        <f>IFERROR(IF(B12="","",K12/VLOOKUP(AD12,Varsayımlar!B:R,17,0)),"")</f>
        <v/>
      </c>
      <c r="N12" s="164"/>
      <c r="O12" s="164">
        <v>2</v>
      </c>
      <c r="P12" s="164">
        <f>IF(B12="","",VLOOKUP(AD12,Varsayımlar!$B:$Q,7,0)*K12)</f>
        <v>1320</v>
      </c>
      <c r="Q12" s="164">
        <f>IF(B12="","",VLOOKUP(AD12,Varsayımlar!$B:$Q,8,0))</f>
        <v>33</v>
      </c>
      <c r="R12" s="164" t="str">
        <f>IF(B12="","",VLOOKUP(AD12,Varsayımlar!$B:$Q,9,0))</f>
        <v>Irak soft</v>
      </c>
      <c r="S12" s="164">
        <f>IF(B12="","",VLOOKUP(AD12,Varsayımlar!$B:$Q,10,0))</f>
        <v>10</v>
      </c>
      <c r="T12" s="164">
        <f>IF(B12="","",VLOOKUP(AD12,Varsayımlar!$B:$Q,11,0))</f>
        <v>12</v>
      </c>
      <c r="U12" s="164">
        <f>IF(B12="","",VLOOKUP(AD12,Varsayımlar!$B:$Q,12,0))</f>
        <v>1000</v>
      </c>
      <c r="V12" s="164" t="str">
        <f>IF(B12="","",VLOOKUP(AD12,Varsayımlar!$B:$Q,13,0))</f>
        <v>Yurtiçi</v>
      </c>
      <c r="W12" s="164">
        <f>IF(B12="","",VLOOKUP(AD12,Varsayımlar!$B:$Q,14,0))</f>
        <v>6</v>
      </c>
      <c r="X12" s="166" t="s">
        <v>113</v>
      </c>
      <c r="Y12" s="166" t="s">
        <v>113</v>
      </c>
      <c r="Z12" s="164" t="s">
        <v>113</v>
      </c>
      <c r="AA12" s="164" t="str">
        <f>IF(B12="","",VLOOKUP(AD12,Varsayımlar!$B:$Q,15,0))</f>
        <v>33cm Kolisi</v>
      </c>
      <c r="AB12" s="164" t="str">
        <f>IF(B12="","",VLOOKUP(AD12,Varsayımlar!$B:$Q,16,0))</f>
        <v>32-34cm</v>
      </c>
      <c r="AC12" s="75">
        <f>IF(B12="","",VLOOKUP(Sayfa1!AD76,Varsayımlar!B:S,18,0))</f>
        <v>0</v>
      </c>
      <c r="AD12" s="57" t="str">
        <f>IF(B12="","",CONCATENATE(B12,E12))</f>
        <v>Ankara KahveTortillove 33cm 10pcs 1000g</v>
      </c>
    </row>
    <row r="13" spans="1:30" ht="36" customHeight="1" x14ac:dyDescent="0.25">
      <c r="A13" s="8" t="s">
        <v>84</v>
      </c>
      <c r="B13" s="149" t="s">
        <v>500</v>
      </c>
      <c r="C13" s="149">
        <f>IF(B13="","",VLOOKUP(AD13,Varsayımlar!$B:$Q,3,0))</f>
        <v>8698829380698</v>
      </c>
      <c r="D13" s="149"/>
      <c r="E13" s="149" t="s">
        <v>501</v>
      </c>
      <c r="F13" s="149">
        <v>26062201</v>
      </c>
      <c r="G13" s="149" t="s">
        <v>578</v>
      </c>
      <c r="H13" s="149" t="str">
        <f>IF(B13="","",VLOOKUP(AD13,Varsayımlar!$B:$Q,5,0))</f>
        <v>Tortillas 33cm</v>
      </c>
      <c r="I13" s="149">
        <f>IF(B13="","",VLOOKUP(AD13,Varsayımlar!B:T,19,0))</f>
        <v>0</v>
      </c>
      <c r="J13" s="149" t="str">
        <f>IF(B13="","",VLOOKUP(AD13,Varsayımlar!$B:$Q,6,0))</f>
        <v>Sade</v>
      </c>
      <c r="K13" s="149">
        <v>100</v>
      </c>
      <c r="L13" s="149" t="s">
        <v>528</v>
      </c>
      <c r="M13" s="149">
        <f>IFERROR(IF(B13="","",K13/VLOOKUP(AD13,Varsayımlar!B:R,17,0)),"")</f>
        <v>2</v>
      </c>
      <c r="N13" s="149"/>
      <c r="O13" s="149">
        <v>2</v>
      </c>
      <c r="P13" s="149">
        <f>IF(B13="","",VLOOKUP(AD13,Varsayımlar!$B:$Q,7,0)*K13)</f>
        <v>1200</v>
      </c>
      <c r="Q13" s="149">
        <f>IF(B13="","",VLOOKUP(AD13,Varsayımlar!$B:$Q,8,0))</f>
        <v>33</v>
      </c>
      <c r="R13" s="149" t="str">
        <f>IF(B13="","",VLOOKUP(AD13,Varsayımlar!$B:$Q,9,0))</f>
        <v>Irak Soft</v>
      </c>
      <c r="S13" s="149">
        <f>IF(B13="","",VLOOKUP(AD13,Varsayımlar!$B:$Q,10,0))</f>
        <v>10</v>
      </c>
      <c r="T13" s="149">
        <f>IF(B13="","",VLOOKUP(AD13,Varsayımlar!$B:$Q,11,0))</f>
        <v>12</v>
      </c>
      <c r="U13" s="149">
        <f>IF(B13="","",VLOOKUP(AD13,Varsayımlar!$B:$Q,12,0))</f>
        <v>1000</v>
      </c>
      <c r="V13" s="149" t="str">
        <f>IF(B13="","",VLOOKUP(AD13,Varsayımlar!$B:$Q,13,0))</f>
        <v>Yurtdışı</v>
      </c>
      <c r="W13" s="149">
        <f>IF(B13="","",VLOOKUP(AD13,Varsayımlar!$B:$Q,14,0))</f>
        <v>12</v>
      </c>
      <c r="X13" s="151">
        <v>46216</v>
      </c>
      <c r="Y13" s="151">
        <v>46581</v>
      </c>
      <c r="Z13" s="149">
        <v>26071333</v>
      </c>
      <c r="AA13" s="149" t="str">
        <f>IF(B13="","",VLOOKUP(AD13,Varsayımlar!$B:$Q,15,0))</f>
        <v>33cm Kolisi</v>
      </c>
      <c r="AB13" s="149" t="str">
        <f>IF(B13="","",VLOOKUP(AD13,Varsayımlar!$B:$Q,16,0))</f>
        <v>32-34 cm</v>
      </c>
      <c r="AC13" s="67" t="e">
        <f>IF(B13="","",VLOOKUP(#REF!,#REF!,18,0))</f>
        <v>#REF!</v>
      </c>
      <c r="AD13" s="57" t="str">
        <f>IF(B13="","",CONCATENATE(B13,E13))</f>
        <v>Fama GroupTortillas 33cm 10pcs 1000g</v>
      </c>
    </row>
    <row r="14" spans="1:30" ht="49.5" customHeight="1" x14ac:dyDescent="0.25">
      <c r="A14" s="8" t="s">
        <v>85</v>
      </c>
      <c r="B14" s="152" t="s">
        <v>518</v>
      </c>
      <c r="C14" s="153">
        <f>IF(B14="","",VLOOKUP(AD14,Varsayımlar!$B:$Q,3,0))</f>
        <v>8698829380698</v>
      </c>
      <c r="D14" s="154"/>
      <c r="E14" s="156" t="s">
        <v>501</v>
      </c>
      <c r="F14" s="152">
        <v>26062302</v>
      </c>
      <c r="G14" s="152" t="s">
        <v>578</v>
      </c>
      <c r="H14" s="152" t="str">
        <f>IF(B14="","",VLOOKUP(AD14,Varsayımlar!$B:$Q,5,0))</f>
        <v>Tortillas 33cm</v>
      </c>
      <c r="I14" s="152">
        <f>IF(B14="","",VLOOKUP(AD14,Varsayımlar!B:T,19,0))</f>
        <v>0</v>
      </c>
      <c r="J14" s="152" t="str">
        <f>IF(B14="","",VLOOKUP(AD14,Varsayımlar!$B:$Q,6,0))</f>
        <v>Sade</v>
      </c>
      <c r="K14" s="152">
        <v>25</v>
      </c>
      <c r="L14" s="152"/>
      <c r="M14" s="152">
        <f>IFERROR(IF(B14="","",K14/VLOOKUP(AD14,Varsayımlar!B:R,17,0)),"")</f>
        <v>0.5</v>
      </c>
      <c r="N14" s="152"/>
      <c r="O14" s="152">
        <v>1</v>
      </c>
      <c r="P14" s="152">
        <f>IF(B14="","",VLOOKUP(AD14,Varsayımlar!$B:$Q,7,0)*K14)</f>
        <v>300</v>
      </c>
      <c r="Q14" s="152">
        <f>IF(B14="","",VLOOKUP(AD14,Varsayımlar!$B:$Q,8,0))</f>
        <v>33</v>
      </c>
      <c r="R14" s="152" t="str">
        <f>IF(B14="","",VLOOKUP(AD14,Varsayımlar!$B:$Q,9,0))</f>
        <v>Irak Soft</v>
      </c>
      <c r="S14" s="152">
        <f>IF(B14="","",VLOOKUP(AD14,Varsayımlar!$B:$Q,10,0))</f>
        <v>10</v>
      </c>
      <c r="T14" s="152">
        <f>IF(B14="","",VLOOKUP(AD14,Varsayımlar!$B:$Q,11,0))</f>
        <v>12</v>
      </c>
      <c r="U14" s="152">
        <f>IF(B14="","",VLOOKUP(AD14,Varsayımlar!$B:$Q,12,0))</f>
        <v>1000</v>
      </c>
      <c r="V14" s="152" t="str">
        <f>IF(B14="","",VLOOKUP(AD14,Varsayımlar!$B:$Q,13,0))</f>
        <v>Yurtiçi</v>
      </c>
      <c r="W14" s="152">
        <f>IF(B14="","",VLOOKUP(AD14,Varsayımlar!$B:$Q,14,0))</f>
        <v>6</v>
      </c>
      <c r="X14" s="155">
        <v>46216</v>
      </c>
      <c r="Y14" s="155">
        <v>46400</v>
      </c>
      <c r="Z14" s="152">
        <v>26071333</v>
      </c>
      <c r="AA14" s="152" t="str">
        <f>IF(B14="","",VLOOKUP(AD14,Varsayımlar!$B:$Q,15,0))</f>
        <v>33cm Kolisi</v>
      </c>
      <c r="AB14" s="152" t="str">
        <f>IF(B14="","",VLOOKUP(AD14,Varsayımlar!$B:$Q,16,0))</f>
        <v>32-34cm</v>
      </c>
      <c r="AC14" s="8" t="e">
        <f>IF(B14="","",VLOOKUP(#REF!,#REF!,18,0))</f>
        <v>#REF!</v>
      </c>
      <c r="AD14" s="8" t="str">
        <f>IF(B14="","",CONCATENATE(B14,E14))</f>
        <v>Yusuf KöseTortillas 33cm 10pcs 1000g</v>
      </c>
    </row>
    <row r="15" spans="1:30" ht="49.5" customHeight="1" x14ac:dyDescent="0.25">
      <c r="A15" s="8" t="s">
        <v>86</v>
      </c>
      <c r="B15" s="152" t="s">
        <v>518</v>
      </c>
      <c r="C15" s="153">
        <f>IF(B15="","",VLOOKUP(AD15,Varsayımlar!$B:$Q,3,0))</f>
        <v>8698829380698</v>
      </c>
      <c r="D15" s="154"/>
      <c r="E15" s="152" t="s">
        <v>520</v>
      </c>
      <c r="F15" s="152">
        <v>26062302</v>
      </c>
      <c r="G15" s="152" t="s">
        <v>578</v>
      </c>
      <c r="H15" s="152" t="str">
        <f>IF(B15="","",VLOOKUP(AD15,Varsayımlar!$B:$Q,5,0))</f>
        <v>Tortillas 30cm</v>
      </c>
      <c r="I15" s="152">
        <f>IF(B15="","",VLOOKUP(AD15,Varsayımlar!B:T,19,0))</f>
        <v>0</v>
      </c>
      <c r="J15" s="152" t="str">
        <f>IF(B15="","",VLOOKUP(AD15,Varsayımlar!$B:$Q,6,0))</f>
        <v>Sade</v>
      </c>
      <c r="K15" s="152">
        <v>15</v>
      </c>
      <c r="L15" s="152"/>
      <c r="M15" s="152">
        <f>IFERROR(IF(B15="","",K15/VLOOKUP(AD15,Varsayımlar!B:R,17,0)),"")</f>
        <v>0.3</v>
      </c>
      <c r="N15" s="152"/>
      <c r="O15" s="152">
        <v>0</v>
      </c>
      <c r="P15" s="152">
        <f>IF(B15="","",VLOOKUP(AD15,Varsayımlar!$B:$Q,7,0)*K15)</f>
        <v>180</v>
      </c>
      <c r="Q15" s="152">
        <f>IF(B15="","",VLOOKUP(AD15,Varsayımlar!$B:$Q,8,0))</f>
        <v>30</v>
      </c>
      <c r="R15" s="152" t="str">
        <f>IF(B15="","",VLOOKUP(AD15,Varsayımlar!$B:$Q,9,0))</f>
        <v>Irak Soft</v>
      </c>
      <c r="S15" s="152">
        <f>IF(B15="","",VLOOKUP(AD15,Varsayımlar!$B:$Q,10,0))</f>
        <v>10</v>
      </c>
      <c r="T15" s="152">
        <f>IF(B15="","",VLOOKUP(AD15,Varsayımlar!$B:$Q,11,0))</f>
        <v>12</v>
      </c>
      <c r="U15" s="152">
        <f>IF(B15="","",VLOOKUP(AD15,Varsayımlar!$B:$Q,12,0))</f>
        <v>950</v>
      </c>
      <c r="V15" s="152" t="str">
        <f>IF(B15="","",VLOOKUP(AD15,Varsayımlar!$B:$Q,13,0))</f>
        <v>Yurtiçi</v>
      </c>
      <c r="W15" s="152">
        <f>IF(B15="","",VLOOKUP(AD15,Varsayımlar!$B:$Q,14,0))</f>
        <v>6</v>
      </c>
      <c r="X15" s="155">
        <v>46216</v>
      </c>
      <c r="Y15" s="155">
        <v>46400</v>
      </c>
      <c r="Z15" s="152">
        <v>26071333</v>
      </c>
      <c r="AA15" s="152" t="str">
        <f>IF(B15="","",VLOOKUP(AD15,Varsayımlar!$B:$Q,15,0))</f>
        <v>30cm Kolisi</v>
      </c>
      <c r="AB15" s="152" t="str">
        <f>IF(B15="","",VLOOKUP(AD15,Varsayımlar!$B:$Q,16,0))</f>
        <v>29-31cm</v>
      </c>
      <c r="AC15" s="8" t="e">
        <f>IF(B15="","",VLOOKUP(#REF!,#REF!,18,0))</f>
        <v>#REF!</v>
      </c>
      <c r="AD15" s="8" t="str">
        <f>IF(B15="","",CONCATENATE(B15,E15))</f>
        <v>Yusuf KöseTortillas 30cm 10pcs 950g</v>
      </c>
    </row>
    <row r="16" spans="1:30" ht="51" customHeight="1" x14ac:dyDescent="0.25">
      <c r="A16" s="8" t="s">
        <v>87</v>
      </c>
      <c r="B16" s="164" t="s">
        <v>256</v>
      </c>
      <c r="C16" s="165">
        <f>IF(B16="","",VLOOKUP(AD16,Varsayımlar!$B:$Q,3,0))</f>
        <v>8698829380698</v>
      </c>
      <c r="D16" s="164"/>
      <c r="E16" s="164" t="s">
        <v>556</v>
      </c>
      <c r="F16" s="164">
        <v>20260702</v>
      </c>
      <c r="G16" s="164"/>
      <c r="H16" s="164" t="str">
        <f>IF(B16="","",VLOOKUP(AD16,Varsayımlar!$B:$Q,5,0))</f>
        <v>Tortillove 30cm</v>
      </c>
      <c r="I16" s="164">
        <f>IF(B16="","",VLOOKUP(AD16,Varsayımlar!B:T,19,0))</f>
        <v>0</v>
      </c>
      <c r="J16" s="164" t="str">
        <f>IF(B16="","",VLOOKUP(AD16,Varsayımlar!$B:$Q,6,0))</f>
        <v>Sade</v>
      </c>
      <c r="K16" s="164">
        <v>50</v>
      </c>
      <c r="L16" s="164"/>
      <c r="M16" s="164" t="str">
        <f>IFERROR(IF(B16="","",K16/VLOOKUP(AD16,Varsayımlar!B:R,17,0)),"")</f>
        <v/>
      </c>
      <c r="N16" s="164"/>
      <c r="O16" s="164">
        <v>2</v>
      </c>
      <c r="P16" s="164">
        <f>IF(B16="","",VLOOKUP(AD16,Varsayımlar!$B:$Q,7,0)*K16)</f>
        <v>600</v>
      </c>
      <c r="Q16" s="164">
        <f>IF(B16="","",VLOOKUP(AD16,Varsayımlar!$B:$Q,8,0))</f>
        <v>30</v>
      </c>
      <c r="R16" s="164" t="str">
        <f>IF(B16="","",VLOOKUP(AD16,Varsayımlar!$B:$Q,9,0))</f>
        <v>Irak soft</v>
      </c>
      <c r="S16" s="164">
        <f>IF(B16="","",VLOOKUP(AD16,Varsayımlar!$B:$Q,10,0))</f>
        <v>10</v>
      </c>
      <c r="T16" s="164">
        <f>IF(B16="","",VLOOKUP(AD16,Varsayımlar!$B:$Q,11,0))</f>
        <v>12</v>
      </c>
      <c r="U16" s="164">
        <f>IF(B16="","",VLOOKUP(AD16,Varsayımlar!$B:$Q,12,0))</f>
        <v>950</v>
      </c>
      <c r="V16" s="164" t="str">
        <f>IF(B16="","",VLOOKUP(AD16,Varsayımlar!$B:$Q,13,0))</f>
        <v>Yurtiçi</v>
      </c>
      <c r="W16" s="164">
        <f>IF(B16="","",VLOOKUP(AD16,Varsayımlar!$B:$Q,14,0))</f>
        <v>6</v>
      </c>
      <c r="X16" s="166" t="s">
        <v>113</v>
      </c>
      <c r="Y16" s="166" t="s">
        <v>113</v>
      </c>
      <c r="Z16" s="164" t="s">
        <v>113</v>
      </c>
      <c r="AA16" s="164" t="str">
        <f>IF(B16="","",VLOOKUP(AD16,Varsayımlar!$B:$Q,15,0))</f>
        <v>30cm Kolisi</v>
      </c>
      <c r="AB16" s="164" t="str">
        <f>IF(B16="","",VLOOKUP(AD16,Varsayımlar!$B:$Q,16,0))</f>
        <v>29-31cm</v>
      </c>
      <c r="AC16" s="75">
        <f>IF(B16="","",VLOOKUP(Sayfa1!AD77,Varsayımlar!B:S,18,0))</f>
        <v>0</v>
      </c>
      <c r="AD16" s="57" t="str">
        <f>IF(B16="","",CONCATENATE(B16,E16))</f>
        <v>Ankara KahveTortillove 30cm 10pcs 950g</v>
      </c>
    </row>
    <row r="17" spans="1:30" ht="61.5" customHeight="1" x14ac:dyDescent="0.25">
      <c r="A17" s="8" t="s">
        <v>88</v>
      </c>
      <c r="B17" s="67" t="s">
        <v>460</v>
      </c>
      <c r="C17" s="42">
        <f>IF(B17="","",VLOOKUP(AD17,Varsayımlar!$B:$Q,3,0))</f>
        <v>8698829380698</v>
      </c>
      <c r="D17" s="67" t="s">
        <v>540</v>
      </c>
      <c r="E17" s="67" t="s">
        <v>470</v>
      </c>
      <c r="F17" s="67">
        <v>20260414</v>
      </c>
      <c r="G17" s="67" t="s">
        <v>588</v>
      </c>
      <c r="H17" s="67" t="str">
        <f>IF(B17="","",VLOOKUP(AD17,Varsayımlar!$B:$Q,5,0))</f>
        <v>Tortillove 30cm</v>
      </c>
      <c r="I17" s="67">
        <f>IF(B17="","",VLOOKUP(AD17,Varsayımlar!B:T,19,0))</f>
        <v>0</v>
      </c>
      <c r="J17" s="67" t="str">
        <f>IF(B17="","",VLOOKUP(AD17,Varsayımlar!$B:$Q,6,0))</f>
        <v>SADE</v>
      </c>
      <c r="K17" s="67">
        <v>792</v>
      </c>
      <c r="L17" s="67" t="s">
        <v>559</v>
      </c>
      <c r="M17" s="67">
        <f>IFERROR(IF(B17="","",K17/VLOOKUP(AD17,Varsayımlar!B:R,17,0)),"")</f>
        <v>12</v>
      </c>
      <c r="N17" s="67"/>
      <c r="O17" s="67">
        <v>14</v>
      </c>
      <c r="P17" s="67">
        <f>IF(B17="","",VLOOKUP(AD17,Varsayımlar!$B:$Q,7,0)*K17)</f>
        <v>9504</v>
      </c>
      <c r="Q17" s="67">
        <f>IF(B17="","",VLOOKUP(AD17,Varsayımlar!$B:$Q,8,0))</f>
        <v>30</v>
      </c>
      <c r="R17" s="67" t="str">
        <f>IF(B17="","",VLOOKUP(AD17,Varsayımlar!$B:$Q,9,0))</f>
        <v>Irak Soft</v>
      </c>
      <c r="S17" s="67">
        <f>IF(B17="","",VLOOKUP(AD17,Varsayımlar!$B:$Q,10,0))</f>
        <v>10</v>
      </c>
      <c r="T17" s="67">
        <f>IF(B17="","",VLOOKUP(AD17,Varsayımlar!$B:$Q,11,0))</f>
        <v>12</v>
      </c>
      <c r="U17" s="67">
        <f>IF(B17="","",VLOOKUP(AD17,Varsayımlar!$B:$Q,12,0))</f>
        <v>950</v>
      </c>
      <c r="V17" s="67" t="str">
        <f>IF(B17="","",VLOOKUP(AD17,Varsayımlar!$B:$Q,13,0))</f>
        <v>Yurtdışı</v>
      </c>
      <c r="W17" s="67">
        <f>IF(B17="","",VLOOKUP(AD17,Varsayımlar!$B:$Q,14,0))</f>
        <v>6</v>
      </c>
      <c r="X17" s="69">
        <v>46216</v>
      </c>
      <c r="Y17" s="69">
        <v>46400</v>
      </c>
      <c r="Z17" s="67">
        <v>26071330</v>
      </c>
      <c r="AA17" s="67" t="str">
        <f>IF(B17="","",VLOOKUP(AD17,Varsayımlar!$B:$Q,15,0))</f>
        <v>30cm Kolisi</v>
      </c>
      <c r="AB17" s="67" t="str">
        <f>IF(B17="","",VLOOKUP(AD17,Varsayımlar!$B:$Q,16,0))</f>
        <v>29-31 cm</v>
      </c>
      <c r="AC17" s="75">
        <f>IF(B17="","",VLOOKUP(Sayfa1!AD69,Varsayımlar!B:S,18,0))</f>
        <v>0</v>
      </c>
      <c r="AD17" s="57" t="str">
        <f t="shared" si="0"/>
        <v>Yüksekbaş GıdaYüksekbaş 30cm 10pcs 950g</v>
      </c>
    </row>
    <row r="18" spans="1:30" ht="51" customHeight="1" x14ac:dyDescent="0.25">
      <c r="A18" s="8" t="s">
        <v>89</v>
      </c>
      <c r="B18" s="160" t="s">
        <v>553</v>
      </c>
      <c r="C18" s="161">
        <f>IF(B18="","",VLOOKUP(AD18,Varsayımlar!$B:$Q,3,0))</f>
        <v>8698829380698</v>
      </c>
      <c r="D18" s="160"/>
      <c r="E18" s="160" t="s">
        <v>556</v>
      </c>
      <c r="F18" s="160">
        <v>20260629</v>
      </c>
      <c r="G18" s="160" t="s">
        <v>578</v>
      </c>
      <c r="H18" s="160" t="str">
        <f>IF(B18="","",VLOOKUP(AD18,Varsayımlar!$B:$Q,5,0))</f>
        <v>Tortillove 30cm</v>
      </c>
      <c r="I18" s="160">
        <f>IF(B18="","",VLOOKUP(AD18,Varsayımlar!B:T,19,0))</f>
        <v>0</v>
      </c>
      <c r="J18" s="160" t="str">
        <f>IF(B18="","",VLOOKUP(AD18,Varsayımlar!$B:$Q,6,0))</f>
        <v>Sade</v>
      </c>
      <c r="K18" s="160">
        <v>350</v>
      </c>
      <c r="L18" s="160"/>
      <c r="M18" s="160">
        <f>IFERROR(IF(B18="","",K18/VLOOKUP(AD18,Varsayımlar!B:R,17,0)),"")</f>
        <v>7</v>
      </c>
      <c r="N18" s="160"/>
      <c r="O18" s="160">
        <v>7</v>
      </c>
      <c r="P18" s="160">
        <f>IF(B18="","",VLOOKUP(AD18,Varsayımlar!$B:$Q,7,0)*K18)</f>
        <v>4200</v>
      </c>
      <c r="Q18" s="160">
        <f>IF(B18="","",VLOOKUP(AD18,Varsayımlar!$B:$Q,8,0))</f>
        <v>30</v>
      </c>
      <c r="R18" s="160" t="str">
        <f>IF(B18="","",VLOOKUP(AD18,Varsayımlar!$B:$Q,9,0))</f>
        <v>Irak soft</v>
      </c>
      <c r="S18" s="160">
        <f>IF(B18="","",VLOOKUP(AD18,Varsayımlar!$B:$Q,10,0))</f>
        <v>10</v>
      </c>
      <c r="T18" s="160">
        <f>IF(B18="","",VLOOKUP(AD18,Varsayımlar!$B:$Q,11,0))</f>
        <v>12</v>
      </c>
      <c r="U18" s="160">
        <f>IF(B18="","",VLOOKUP(AD18,Varsayımlar!$B:$Q,12,0))</f>
        <v>950</v>
      </c>
      <c r="V18" s="160" t="str">
        <f>IF(B18="","",VLOOKUP(AD18,Varsayımlar!$B:$Q,13,0))</f>
        <v>Yurtiçi</v>
      </c>
      <c r="W18" s="160">
        <f>IF(B18="","",VLOOKUP(AD18,Varsayımlar!$B:$Q,14,0))</f>
        <v>6</v>
      </c>
      <c r="X18" s="160" t="s">
        <v>113</v>
      </c>
      <c r="Y18" s="160" t="s">
        <v>113</v>
      </c>
      <c r="Z18" s="160" t="s">
        <v>113</v>
      </c>
      <c r="AA18" s="160" t="str">
        <f>IF(B18="","",VLOOKUP(AD18,Varsayımlar!$B:$Q,15,0))</f>
        <v>30cm kolisi-Barkod etiketli</v>
      </c>
      <c r="AB18" s="160" t="str">
        <f>IF(B18="","",VLOOKUP(AD18,Varsayımlar!$B:$Q,16,0))</f>
        <v>29-31cm</v>
      </c>
      <c r="AC18" s="75">
        <f>IF(B18="","",VLOOKUP(Sayfa1!AD77,Varsayımlar!B:S,18,0))</f>
        <v>0</v>
      </c>
      <c r="AD18" s="57" t="str">
        <f t="shared" si="0"/>
        <v>GıdaserTortillove 30cm 10pcs 950g</v>
      </c>
    </row>
    <row r="19" spans="1:30" ht="61.5" customHeight="1" x14ac:dyDescent="0.25">
      <c r="A19" s="8" t="s">
        <v>90</v>
      </c>
      <c r="B19" s="167" t="s">
        <v>409</v>
      </c>
      <c r="C19" s="168">
        <f>IF(B19="","",VLOOKUP(AD19,Varsayımlar!$B:$Q,3,0))</f>
        <v>8698829380698</v>
      </c>
      <c r="D19" s="167"/>
      <c r="E19" s="169" t="s">
        <v>410</v>
      </c>
      <c r="F19" s="167">
        <v>20260702</v>
      </c>
      <c r="G19" s="167" t="s">
        <v>578</v>
      </c>
      <c r="H19" s="167" t="str">
        <f>IF(B19="","",VLOOKUP(AD19,Varsayımlar!$B:$Q,5,0))</f>
        <v>Baskısız 30cm</v>
      </c>
      <c r="I19" s="167" t="str">
        <f>IF(B19="","",VLOOKUP(AD19,Varsayımlar!B:T,19,0))</f>
        <v>Donipa 30cm 18pcs 1710g etiketli</v>
      </c>
      <c r="J19" s="167" t="str">
        <f>IF(B19="","",VLOOKUP(AD19,Varsayımlar!$B:$Q,6,0))</f>
        <v>SADE</v>
      </c>
      <c r="K19" s="167">
        <v>100</v>
      </c>
      <c r="L19" s="167"/>
      <c r="M19" s="167" t="str">
        <f>IFERROR(IF(B19="","",K19/VLOOKUP(AD19,Varsayımlar!B:R,17,0)),"")</f>
        <v/>
      </c>
      <c r="N19" s="167"/>
      <c r="O19" s="167">
        <v>2</v>
      </c>
      <c r="P19" s="167">
        <f>IF(B19="","",VLOOKUP(AD19,Varsayımlar!$B:$Q,7,0)*K19)</f>
        <v>600</v>
      </c>
      <c r="Q19" s="167">
        <f>IF(B19="","",VLOOKUP(AD19,Varsayımlar!$B:$Q,8,0))</f>
        <v>30</v>
      </c>
      <c r="R19" s="167" t="str">
        <f>IF(B19="","",VLOOKUP(AD19,Varsayımlar!$B:$Q,9,0))</f>
        <v>Irak soft</v>
      </c>
      <c r="S19" s="167">
        <f>IF(B19="","",VLOOKUP(AD19,Varsayımlar!$B:$Q,10,0))</f>
        <v>18</v>
      </c>
      <c r="T19" s="167">
        <f>IF(B19="","",VLOOKUP(AD19,Varsayımlar!$B:$Q,11,0))</f>
        <v>6</v>
      </c>
      <c r="U19" s="167">
        <f>IF(B19="","",VLOOKUP(AD19,Varsayımlar!$B:$Q,12,0))</f>
        <v>1710</v>
      </c>
      <c r="V19" s="167" t="str">
        <f>IF(B19="","",VLOOKUP(AD19,Varsayımlar!$B:$Q,13,0))</f>
        <v>Yurtiçi</v>
      </c>
      <c r="W19" s="167">
        <f>IF(B19="","",VLOOKUP(AD19,Varsayımlar!$B:$Q,14,0))</f>
        <v>6</v>
      </c>
      <c r="X19" s="170" t="s">
        <v>113</v>
      </c>
      <c r="Y19" s="170" t="s">
        <v>113</v>
      </c>
      <c r="Z19" s="167" t="s">
        <v>113</v>
      </c>
      <c r="AA19" s="167" t="str">
        <f>IF(B19="","",VLOOKUP(AD19,Varsayımlar!$B:$Q,15,0))</f>
        <v>30cm koli-Etiketli</v>
      </c>
      <c r="AB19" s="167" t="str">
        <f>IF(B19="","",VLOOKUP(AD19,Varsayımlar!$B:$Q,16,0))</f>
        <v>29-31 cm</v>
      </c>
      <c r="AC19" s="75">
        <f>IF(B19="","",VLOOKUP(Sayfa1!AD71,Varsayımlar!B:S,18,0))</f>
        <v>0</v>
      </c>
      <c r="AD19" s="57" t="str">
        <f t="shared" si="0"/>
        <v>DonipaDonipa 30cm 18pcs 1710g</v>
      </c>
    </row>
    <row r="20" spans="1:30" ht="61.5" customHeight="1" x14ac:dyDescent="0.25">
      <c r="A20" s="8" t="s">
        <v>91</v>
      </c>
      <c r="B20" s="171" t="s">
        <v>586</v>
      </c>
      <c r="C20" s="172">
        <f>IF(B20="","",VLOOKUP(AD20,Varsayımlar!$B:$Q,3,0))</f>
        <v>8698829380698</v>
      </c>
      <c r="D20" s="171"/>
      <c r="E20" s="171" t="s">
        <v>185</v>
      </c>
      <c r="F20" s="171">
        <v>20260702</v>
      </c>
      <c r="G20" s="171" t="s">
        <v>578</v>
      </c>
      <c r="H20" s="171" t="str">
        <f>IF(B20="","",VLOOKUP(AD20,Varsayımlar!$B:$Q,5,0))</f>
        <v>Tortillas 30cm</v>
      </c>
      <c r="I20" s="171" t="str">
        <f>IF(B20="","",VLOOKUP(AD20,Varsayımlar!B:T,19,0))</f>
        <v>Arka Kısma Bosnaca içerik Etiketli</v>
      </c>
      <c r="J20" s="171" t="str">
        <f>IF(B20="","",VLOOKUP(AD20,Varsayımlar!$B:$Q,6,0))</f>
        <v>Sade</v>
      </c>
      <c r="K20" s="171">
        <v>100</v>
      </c>
      <c r="L20" s="171"/>
      <c r="M20" s="171">
        <f>IFERROR(IF(B20="","",K20/VLOOKUP(AD20,Varsayımlar!B:R,17,0)),"")</f>
        <v>2</v>
      </c>
      <c r="N20" s="171"/>
      <c r="O20" s="171">
        <v>2</v>
      </c>
      <c r="P20" s="171">
        <f>IF(B20="","",VLOOKUP(AD20,Varsayımlar!$B:$Q,7,0)*K20)</f>
        <v>1200</v>
      </c>
      <c r="Q20" s="171">
        <f>IF(B20="","",VLOOKUP(AD20,Varsayımlar!$B:$Q,8,0))</f>
        <v>30</v>
      </c>
      <c r="R20" s="171" t="str">
        <f>IF(B20="","",VLOOKUP(AD20,Varsayımlar!$B:$Q,9,0))</f>
        <v>Irak soft</v>
      </c>
      <c r="S20" s="171">
        <f>IF(B20="","",VLOOKUP(AD20,Varsayımlar!$B:$Q,10,0))</f>
        <v>10</v>
      </c>
      <c r="T20" s="171">
        <f>IF(B20="","",VLOOKUP(AD20,Varsayımlar!$B:$Q,11,0))</f>
        <v>12</v>
      </c>
      <c r="U20" s="171">
        <f>IF(B20="","",VLOOKUP(AD20,Varsayımlar!$B:$Q,12,0))</f>
        <v>900</v>
      </c>
      <c r="V20" s="171" t="str">
        <f>IF(B20="","",VLOOKUP(AD20,Varsayımlar!$B:$Q,13,0))</f>
        <v>Yurtdışı</v>
      </c>
      <c r="W20" s="171">
        <f>IF(B20="","",VLOOKUP(AD20,Varsayımlar!$B:$Q,14,0))</f>
        <v>6</v>
      </c>
      <c r="X20" s="173" t="s">
        <v>113</v>
      </c>
      <c r="Y20" s="173" t="s">
        <v>113</v>
      </c>
      <c r="Z20" s="171" t="s">
        <v>113</v>
      </c>
      <c r="AA20" s="171" t="str">
        <f>IF(B20="","",VLOOKUP(AD20,Varsayımlar!$B:$Q,15,0))</f>
        <v>30cm Kolisi</v>
      </c>
      <c r="AB20" s="171" t="str">
        <f>IF(B20="","",VLOOKUP(AD20,Varsayımlar!$B:$Q,16,0))</f>
        <v>29-31cm</v>
      </c>
      <c r="AC20" s="75">
        <f>IF(B20="","",VLOOKUP(Sayfa1!AD72,Varsayımlar!B:S,18,0))</f>
        <v>0</v>
      </c>
      <c r="AD20" s="57" t="str">
        <f t="shared" si="0"/>
        <v>ArtaneTortillas 30cm 10pcs 900g</v>
      </c>
    </row>
    <row r="21" spans="1:30" ht="36" customHeight="1" x14ac:dyDescent="0.25">
      <c r="A21" s="8" t="s">
        <v>92</v>
      </c>
      <c r="B21" s="149" t="s">
        <v>500</v>
      </c>
      <c r="C21" s="149">
        <f>IF(B21="","",VLOOKUP(AD21,Varsayımlar!$B:$Q,3,0))</f>
        <v>8698829380698</v>
      </c>
      <c r="D21" s="149"/>
      <c r="E21" s="149" t="s">
        <v>509</v>
      </c>
      <c r="F21" s="149">
        <v>26062201</v>
      </c>
      <c r="G21" s="149" t="s">
        <v>578</v>
      </c>
      <c r="H21" s="149" t="str">
        <f>IF(B21="","",VLOOKUP(AD21,Varsayımlar!$B:$Q,5,0))</f>
        <v xml:space="preserve">Tortillas 30cm </v>
      </c>
      <c r="I21" s="149">
        <f>IF(B21="","",VLOOKUP(AD21,Varsayımlar!B:T,19,0))</f>
        <v>0</v>
      </c>
      <c r="J21" s="149" t="str">
        <f>IF(B21="","",VLOOKUP(AD21,Varsayımlar!$B:$Q,6,0))</f>
        <v>Sade</v>
      </c>
      <c r="K21" s="149">
        <v>250</v>
      </c>
      <c r="L21" s="149"/>
      <c r="M21" s="149">
        <f>IFERROR(IF(B21="","",K21/VLOOKUP(AD21,Varsayımlar!B:R,17,0)),"")</f>
        <v>5</v>
      </c>
      <c r="N21" s="149"/>
      <c r="O21" s="149">
        <v>5</v>
      </c>
      <c r="P21" s="149">
        <f>IF(B21="","",VLOOKUP(AD21,Varsayımlar!$B:$Q,7,0)*K21)</f>
        <v>3000</v>
      </c>
      <c r="Q21" s="149">
        <f>IF(B21="","",VLOOKUP(AD21,Varsayımlar!$B:$Q,8,0))</f>
        <v>30</v>
      </c>
      <c r="R21" s="149" t="str">
        <f>IF(B21="","",VLOOKUP(AD21,Varsayımlar!$B:$Q,9,0))</f>
        <v>Irak Soft</v>
      </c>
      <c r="S21" s="149">
        <f>IF(B21="","",VLOOKUP(AD21,Varsayımlar!$B:$Q,10,0))</f>
        <v>10</v>
      </c>
      <c r="T21" s="149">
        <f>IF(B21="","",VLOOKUP(AD21,Varsayımlar!$B:$Q,11,0))</f>
        <v>12</v>
      </c>
      <c r="U21" s="149">
        <f>IF(B21="","",VLOOKUP(AD21,Varsayımlar!$B:$Q,12,0))</f>
        <v>850</v>
      </c>
      <c r="V21" s="149" t="str">
        <f>IF(B21="","",VLOOKUP(AD21,Varsayımlar!$B:$Q,13,0))</f>
        <v>Yurtdışı</v>
      </c>
      <c r="W21" s="149">
        <f>IF(B21="","",VLOOKUP(AD21,Varsayımlar!$B:$Q,14,0))</f>
        <v>12</v>
      </c>
      <c r="X21" s="151">
        <v>46231</v>
      </c>
      <c r="Y21" s="151">
        <v>46596</v>
      </c>
      <c r="Z21" s="149">
        <v>26072830</v>
      </c>
      <c r="AA21" s="151" t="str">
        <f>IF(B21="","",VLOOKUP(AD21,Varsayımlar!$B:$Q,15,0))</f>
        <v>30 cm Kolisi</v>
      </c>
      <c r="AB21" s="151" t="str">
        <f>IF(B21="","",VLOOKUP(AD21,Varsayımlar!$B:$Q,16,0))</f>
        <v>29-31 cm</v>
      </c>
      <c r="AC21" s="67" t="e">
        <f>IF(B21="","",VLOOKUP(#REF!,#REF!,18,0))</f>
        <v>#REF!</v>
      </c>
      <c r="AD21" s="57" t="str">
        <f>IF(B21="","",CONCATENATE(B21,E21))</f>
        <v>Fama GroupTortillas 30cm 10pcs 850g</v>
      </c>
    </row>
    <row r="22" spans="1:30" ht="36" customHeight="1" x14ac:dyDescent="0.25">
      <c r="A22" s="8" t="s">
        <v>93</v>
      </c>
      <c r="B22" s="149" t="s">
        <v>500</v>
      </c>
      <c r="C22" s="149">
        <f>IF(B22="","",VLOOKUP(AD22,Varsayımlar!$B:$Q,3,0))</f>
        <v>8698829380698</v>
      </c>
      <c r="D22" s="149"/>
      <c r="E22" s="149" t="s">
        <v>229</v>
      </c>
      <c r="F22" s="149">
        <v>26062201</v>
      </c>
      <c r="G22" s="149"/>
      <c r="H22" s="149" t="str">
        <f>IF(B22="","",VLOOKUP(AD22,Varsayımlar!$B:$Q,5,0))</f>
        <v>Tortillas 25cm Tam Buğday</v>
      </c>
      <c r="I22" s="149">
        <f>IF(B22="","",VLOOKUP(AD22,Varsayımlar!B:T,19,0))</f>
        <v>0</v>
      </c>
      <c r="J22" s="149" t="str">
        <f>IF(B22="","",VLOOKUP(AD22,Varsayımlar!$B:$Q,6,0))</f>
        <v>Tam Buğdaylı</v>
      </c>
      <c r="K22" s="149">
        <v>50</v>
      </c>
      <c r="L22" s="149"/>
      <c r="M22" s="149">
        <f>IFERROR(IF(B22="","",K22/VLOOKUP(AD22,Varsayımlar!B:R,17,0)),"")</f>
        <v>1</v>
      </c>
      <c r="N22" s="149"/>
      <c r="O22" s="149">
        <v>1</v>
      </c>
      <c r="P22" s="149">
        <f>IF(B22="","",VLOOKUP(AD22,Varsayımlar!$B:$Q,7,0)*K22)</f>
        <v>600</v>
      </c>
      <c r="Q22" s="149">
        <f>IF(B22="","",VLOOKUP(AD22,Varsayımlar!$B:$Q,8,0))</f>
        <v>25</v>
      </c>
      <c r="R22" s="149" t="str">
        <f>IF(B22="","",VLOOKUP(AD22,Varsayımlar!$B:$Q,9,0))</f>
        <v>Irak Soft</v>
      </c>
      <c r="S22" s="149">
        <f>IF(B22="","",VLOOKUP(AD22,Varsayımlar!$B:$Q,10,0))</f>
        <v>10</v>
      </c>
      <c r="T22" s="149">
        <f>IF(B22="","",VLOOKUP(AD22,Varsayımlar!$B:$Q,11,0))</f>
        <v>12</v>
      </c>
      <c r="U22" s="149">
        <f>IF(B22="","",VLOOKUP(AD22,Varsayımlar!$B:$Q,12,0))</f>
        <v>650</v>
      </c>
      <c r="V22" s="149" t="str">
        <f>IF(B22="","",VLOOKUP(AD22,Varsayımlar!$B:$Q,13,0))</f>
        <v>Yurtdışı</v>
      </c>
      <c r="W22" s="149">
        <f>IF(B22="","",VLOOKUP(AD22,Varsayımlar!$B:$Q,14,0))</f>
        <v>12</v>
      </c>
      <c r="X22" s="151">
        <v>46231</v>
      </c>
      <c r="Y22" s="151">
        <v>46596</v>
      </c>
      <c r="Z22" s="149" t="s">
        <v>525</v>
      </c>
      <c r="AA22" s="151" t="str">
        <f>IF(B22="","",VLOOKUP(AD22,Varsayımlar!$B:$Q,15,0))</f>
        <v>25cm Kolisi-Etiketli</v>
      </c>
      <c r="AB22" s="151" t="str">
        <f>IF(B22="","",VLOOKUP(AD22,Varsayımlar!$B:$Q,16,0))</f>
        <v>24-26 cm</v>
      </c>
      <c r="AC22" s="67" t="e">
        <f>IF(B22="","",VLOOKUP(#REF!,#REF!,18,0))</f>
        <v>#REF!</v>
      </c>
      <c r="AD22" s="57" t="str">
        <f>IF(B22="","",CONCATENATE(B22,E22))</f>
        <v>Fama GroupTortillas 25cm Tam Buğday 10pcs 650g</v>
      </c>
    </row>
    <row r="23" spans="1:30" ht="36" customHeight="1" x14ac:dyDescent="0.25">
      <c r="A23" s="8" t="s">
        <v>135</v>
      </c>
      <c r="B23" s="149" t="s">
        <v>500</v>
      </c>
      <c r="C23" s="149">
        <f>IF(B23="","",VLOOKUP(AD23,Varsayımlar!$B:$Q,3,0))</f>
        <v>8698829380698</v>
      </c>
      <c r="D23" s="149"/>
      <c r="E23" s="149" t="s">
        <v>512</v>
      </c>
      <c r="F23" s="149">
        <v>26062201</v>
      </c>
      <c r="G23" s="149"/>
      <c r="H23" s="149" t="str">
        <f>IF(B23="","",VLOOKUP(AD23,Varsayımlar!$B:$Q,5,0))</f>
        <v>Tortillas 20cm</v>
      </c>
      <c r="I23" s="149">
        <f>IF(B23="","",VLOOKUP(AD23,Varsayımlar!B:T,19,0))</f>
        <v>0</v>
      </c>
      <c r="J23" s="149" t="str">
        <f>IF(B23="","",VLOOKUP(AD23,Varsayımlar!$B:$Q,6,0))</f>
        <v>Sade</v>
      </c>
      <c r="K23" s="149">
        <v>50</v>
      </c>
      <c r="L23" s="149"/>
      <c r="M23" s="149">
        <f>IFERROR(IF(B23="","",K23/VLOOKUP(AD23,Varsayımlar!B:R,17,0)),"")</f>
        <v>1</v>
      </c>
      <c r="N23" s="149"/>
      <c r="O23" s="149">
        <v>1</v>
      </c>
      <c r="P23" s="149">
        <f>IF(B23="","",VLOOKUP(AD23,Varsayımlar!$B:$Q,7,0)*K23)</f>
        <v>600</v>
      </c>
      <c r="Q23" s="149">
        <f>IF(B23="","",VLOOKUP(AD23,Varsayımlar!$B:$Q,8,0))</f>
        <v>20</v>
      </c>
      <c r="R23" s="149" t="str">
        <f>IF(B23="","",VLOOKUP(AD23,Varsayımlar!$B:$Q,9,0))</f>
        <v>Irak Soft</v>
      </c>
      <c r="S23" s="149">
        <f>IF(B23="","",VLOOKUP(AD23,Varsayımlar!$B:$Q,10,0))</f>
        <v>10</v>
      </c>
      <c r="T23" s="149">
        <f>IF(B23="","",VLOOKUP(AD23,Varsayımlar!$B:$Q,11,0))</f>
        <v>12</v>
      </c>
      <c r="U23" s="149">
        <f>IF(B23="","",VLOOKUP(AD23,Varsayımlar!$B:$Q,12,0))</f>
        <v>450</v>
      </c>
      <c r="V23" s="149" t="str">
        <f>IF(B23="","",VLOOKUP(AD23,Varsayımlar!$B:$Q,13,0))</f>
        <v>Yurtdışı</v>
      </c>
      <c r="W23" s="149">
        <f>IF(B23="","",VLOOKUP(AD23,Varsayımlar!$B:$Q,14,0))</f>
        <v>12</v>
      </c>
      <c r="X23" s="151">
        <v>46231</v>
      </c>
      <c r="Y23" s="151">
        <v>46596</v>
      </c>
      <c r="Z23" s="149">
        <v>26072820</v>
      </c>
      <c r="AA23" s="151" t="str">
        <f>IF(B23="","",VLOOKUP(AD23,Varsayımlar!$B:$Q,15,0))</f>
        <v>20cm Siyah Koli</v>
      </c>
      <c r="AB23" s="151" t="str">
        <f>IF(B23="","",VLOOKUP(AD23,Varsayımlar!$B:$Q,16,0))</f>
        <v>19-21cm</v>
      </c>
      <c r="AC23" s="67" t="e">
        <f>IF(B23="","",VLOOKUP(#REF!,#REF!,18,0))</f>
        <v>#REF!</v>
      </c>
      <c r="AD23" s="57" t="str">
        <f>IF(B23="","",CONCATENATE(B23,E23))</f>
        <v>Fama GroupTortillas 20cm 10pcs 450g</v>
      </c>
    </row>
    <row r="24" spans="1:30" ht="45.75" customHeight="1" x14ac:dyDescent="0.25">
      <c r="A24" s="8" t="s">
        <v>136</v>
      </c>
      <c r="B24" s="130" t="s">
        <v>119</v>
      </c>
      <c r="C24" s="131">
        <f>IF(B24="","",VLOOKUP(AD24,Varsayımlar!$B:$Q,3,0))</f>
        <v>8698829380698</v>
      </c>
      <c r="D24" s="131"/>
      <c r="E24" s="132" t="s">
        <v>120</v>
      </c>
      <c r="F24" s="130"/>
      <c r="G24" s="130"/>
      <c r="H24" s="130" t="str">
        <f>IF(B24="","",VLOOKUP(AD24,Varsayımlar!$B:$Q,5,0))</f>
        <v>Nimet 25 cm</v>
      </c>
      <c r="I24" s="130">
        <f>IF(B24="","",VLOOKUP(AD24,Varsayımlar!B:T,19,0))</f>
        <v>0</v>
      </c>
      <c r="J24" s="130" t="str">
        <f>IF(B24="","",VLOOKUP(AD24,Varsayımlar!$B:$Q,6,0))</f>
        <v>SADE</v>
      </c>
      <c r="K24" s="130">
        <v>5000</v>
      </c>
      <c r="L24" s="130"/>
      <c r="M24" s="130">
        <f>IFERROR(IF(B24="","",K24/VLOOKUP(AD24,Varsayımlar!B:R,17,0)),"")</f>
        <v>100</v>
      </c>
      <c r="N24" s="130"/>
      <c r="O24" s="130">
        <v>100</v>
      </c>
      <c r="P24" s="130">
        <f>IF(B24="","",VLOOKUP(AD24,Varsayımlar!$B:$Q,7,0)*K24)</f>
        <v>60000</v>
      </c>
      <c r="Q24" s="130">
        <f>IF(B24="","",VLOOKUP(AD24,Varsayımlar!$B:$Q,8,0))</f>
        <v>25</v>
      </c>
      <c r="R24" s="130" t="str">
        <f>IF(B24="","",VLOOKUP(AD24,Varsayımlar!$B:$Q,9,0))</f>
        <v>Standart</v>
      </c>
      <c r="S24" s="130">
        <f>IF(B24="","",VLOOKUP(AD24,Varsayımlar!$B:$Q,10,0))</f>
        <v>12</v>
      </c>
      <c r="T24" s="130">
        <f>IF(B24="","",VLOOKUP(AD24,Varsayımlar!$B:$Q,11,0))</f>
        <v>12</v>
      </c>
      <c r="U24" s="130">
        <f>IF(B24="","",VLOOKUP(AD24,Varsayımlar!$B:$Q,12,0))</f>
        <v>840</v>
      </c>
      <c r="V24" s="130" t="str">
        <f>IF(B24="","",VLOOKUP(AD24,Varsayımlar!$B:$Q,13,0))</f>
        <v>YURTİÇİ</v>
      </c>
      <c r="W24" s="130">
        <f>IF(B24="","",VLOOKUP(AD24,Varsayımlar!$B:$Q,14,0))</f>
        <v>5</v>
      </c>
      <c r="X24" s="133" t="s">
        <v>113</v>
      </c>
      <c r="Y24" s="133" t="s">
        <v>113</v>
      </c>
      <c r="Z24" s="130" t="s">
        <v>113</v>
      </c>
      <c r="AA24" s="130" t="str">
        <f>IF(B24="","",VLOOKUP(AD24,Varsayımlar!$B:$Q,15,0))</f>
        <v>Nimet Kolisi</v>
      </c>
      <c r="AB24" s="130" t="str">
        <f>IF(B24="","",VLOOKUP(AD24,Varsayımlar!$B:$Q,16,0))</f>
        <v>24-26 CM</v>
      </c>
      <c r="AC24" s="64" t="s">
        <v>360</v>
      </c>
      <c r="AD24" s="57" t="str">
        <f>IF(B24="","",CONCATENATE(B24,E24))</f>
        <v>A101Nimet 25cm 12 pcs 840g</v>
      </c>
    </row>
    <row r="25" spans="1:30" ht="43.5" customHeight="1" x14ac:dyDescent="0.25">
      <c r="A25" s="8" t="s">
        <v>137</v>
      </c>
      <c r="B25" s="54" t="s">
        <v>346</v>
      </c>
      <c r="C25" s="139">
        <f>IF(B25="","",VLOOKUP(AD25,Varsayımlar!$B:$Q,3,0))</f>
        <v>8698829380698</v>
      </c>
      <c r="D25" s="39">
        <v>49</v>
      </c>
      <c r="E25" s="55" t="s">
        <v>490</v>
      </c>
      <c r="F25" s="54"/>
      <c r="G25" s="54"/>
      <c r="H25" s="54" t="str">
        <f>IF(B25="","",VLOOKUP(AD25,Varsayımlar!$B:$Q,5,0))</f>
        <v>Tortillas Domatesli 25cm (Germes Bilgileri Ekli)</v>
      </c>
      <c r="I25" s="54">
        <f>IF(B25="","",VLOOKUP(AD25,Varsayımlar!B:T,19,0))</f>
        <v>0</v>
      </c>
      <c r="J25" s="54" t="str">
        <f>IF(B25="","",VLOOKUP(AD25,Varsayımlar!$B:$Q,6,0))</f>
        <v>Domatesli</v>
      </c>
      <c r="K25" s="54">
        <v>420</v>
      </c>
      <c r="L25" s="54"/>
      <c r="M25" s="54" t="str">
        <f>IFERROR(IF(B25="","",K25/VLOOKUP(AD25,Varsayımlar!B:R,17,0)),"")</f>
        <v/>
      </c>
      <c r="N25" s="54"/>
      <c r="O25" s="54">
        <v>8</v>
      </c>
      <c r="P25" s="54">
        <f>IF(B25="","",VLOOKUP(AD25,Varsayımlar!$B:$Q,7,0)*K25)</f>
        <v>12600</v>
      </c>
      <c r="Q25" s="54">
        <f>IF(B25="","",VLOOKUP(AD25,Varsayımlar!$B:$Q,8,0))</f>
        <v>25</v>
      </c>
      <c r="R25" s="54" t="str">
        <f>IF(B25="","",VLOOKUP(AD25,Varsayımlar!$B:$Q,9,0))</f>
        <v>Irak Soft</v>
      </c>
      <c r="S25" s="54">
        <f>IF(B25="","",VLOOKUP(AD25,Varsayımlar!$B:$Q,10,0))</f>
        <v>4</v>
      </c>
      <c r="T25" s="54">
        <f>IF(B25="","",VLOOKUP(AD25,Varsayımlar!$B:$Q,11,0))</f>
        <v>30</v>
      </c>
      <c r="U25" s="54">
        <f>IF(B25="","",VLOOKUP(AD25,Varsayımlar!$B:$Q,12,0))</f>
        <v>250</v>
      </c>
      <c r="V25" s="54" t="str">
        <f>IF(B25="","",VLOOKUP(AD25,Varsayımlar!$B:$Q,13,0))</f>
        <v>Yurtdışı</v>
      </c>
      <c r="W25" s="54">
        <f>IF(B25="","",VLOOKUP(AD25,Varsayımlar!$B:$Q,14,0))</f>
        <v>9</v>
      </c>
      <c r="X25" s="56">
        <v>46226</v>
      </c>
      <c r="Y25" s="56">
        <v>46135</v>
      </c>
      <c r="Z25" s="54" t="s">
        <v>496</v>
      </c>
      <c r="AA25" s="54" t="str">
        <f>IF(B25="","",VLOOKUP(AD25,Varsayımlar!$B:$Q,15,0))</f>
        <v>25cm Kırmızı Koli-Üretim Tarihli Etiketli</v>
      </c>
      <c r="AB25" s="54">
        <f>IF(B25="","",VLOOKUP(AD25,Varsayımlar!$B:$Q,16,0))</f>
        <v>0</v>
      </c>
      <c r="AC25" s="8" t="e">
        <f>IF(B25="","",VLOOKUP(#REF!,#REF!,18,0))</f>
        <v>#REF!</v>
      </c>
      <c r="AD25" s="8" t="str">
        <f t="shared" si="0"/>
        <v xml:space="preserve">GermesTortillas Domatesli 25cm 4pcs 250g </v>
      </c>
    </row>
    <row r="26" spans="1:30" ht="43.5" customHeight="1" x14ac:dyDescent="0.25">
      <c r="A26" s="8" t="s">
        <v>138</v>
      </c>
      <c r="B26" s="54" t="s">
        <v>346</v>
      </c>
      <c r="C26" s="139">
        <f>IF(B26="","",VLOOKUP(AD26,Varsayımlar!$B:$Q,3,0))</f>
        <v>8698829380698</v>
      </c>
      <c r="D26" s="39">
        <v>49</v>
      </c>
      <c r="E26" s="55" t="s">
        <v>492</v>
      </c>
      <c r="F26" s="54"/>
      <c r="G26" s="54"/>
      <c r="H26" s="54" t="str">
        <f>IF(B26="","",VLOOKUP(AD26,Varsayımlar!$B:$Q,5,0))</f>
        <v>Tortillas Ispanaklı 25cm (Germes Bilgileri Ekli)</v>
      </c>
      <c r="I26" s="54">
        <f>IF(B26="","",VLOOKUP(AD26,Varsayımlar!B:T,19,0))</f>
        <v>0</v>
      </c>
      <c r="J26" s="54" t="str">
        <f>IF(B26="","",VLOOKUP(AD26,Varsayımlar!$B:$Q,6,0))</f>
        <v>Ispanaklı</v>
      </c>
      <c r="K26" s="54">
        <v>420</v>
      </c>
      <c r="L26" s="54"/>
      <c r="M26" s="54" t="str">
        <f>IFERROR(IF(B26="","",K26/VLOOKUP(AD26,Varsayımlar!B:R,17,0)),"")</f>
        <v/>
      </c>
      <c r="N26" s="54"/>
      <c r="O26" s="54">
        <v>8</v>
      </c>
      <c r="P26" s="54">
        <f>IF(B26="","",VLOOKUP(AD26,Varsayımlar!$B:$Q,7,0)*K26)</f>
        <v>12600</v>
      </c>
      <c r="Q26" s="54">
        <f>IF(B26="","",VLOOKUP(AD26,Varsayımlar!$B:$Q,8,0))</f>
        <v>25</v>
      </c>
      <c r="R26" s="54" t="str">
        <f>IF(B26="","",VLOOKUP(AD26,Varsayımlar!$B:$Q,9,0))</f>
        <v>Irak Soft</v>
      </c>
      <c r="S26" s="54">
        <f>IF(B26="","",VLOOKUP(AD26,Varsayımlar!$B:$Q,10,0))</f>
        <v>4</v>
      </c>
      <c r="T26" s="54">
        <f>IF(B26="","",VLOOKUP(AD26,Varsayımlar!$B:$Q,11,0))</f>
        <v>30</v>
      </c>
      <c r="U26" s="54">
        <f>IF(B26="","",VLOOKUP(AD26,Varsayımlar!$B:$Q,12,0))</f>
        <v>250</v>
      </c>
      <c r="V26" s="54" t="str">
        <f>IF(B26="","",VLOOKUP(AD26,Varsayımlar!$B:$Q,13,0))</f>
        <v>Yurtdışı</v>
      </c>
      <c r="W26" s="54">
        <f>IF(B26="","",VLOOKUP(AD26,Varsayımlar!$B:$Q,14,0))</f>
        <v>9</v>
      </c>
      <c r="X26" s="56">
        <v>46226</v>
      </c>
      <c r="Y26" s="56">
        <v>46500</v>
      </c>
      <c r="Z26" s="54" t="s">
        <v>497</v>
      </c>
      <c r="AA26" s="54" t="str">
        <f>IF(B26="","",VLOOKUP(AD26,Varsayımlar!$B:$Q,15,0))</f>
        <v>25cm Kırmızı Koli-Üretim Tarihli Etiketli</v>
      </c>
      <c r="AB26" s="54">
        <f>IF(B26="","",VLOOKUP(AD26,Varsayımlar!$B:$Q,16,0))</f>
        <v>0</v>
      </c>
      <c r="AC26" s="8" t="e">
        <f>IF(B26="","",VLOOKUP(#REF!,#REF!,18,0))</f>
        <v>#REF!</v>
      </c>
      <c r="AD26" s="8" t="str">
        <f t="shared" si="0"/>
        <v xml:space="preserve">GermesTortillas Ispanaklı 25cm 4pcs 250g </v>
      </c>
    </row>
    <row r="27" spans="1:30" ht="47.25" x14ac:dyDescent="0.25">
      <c r="A27" s="8" t="s">
        <v>139</v>
      </c>
      <c r="B27" s="54" t="s">
        <v>346</v>
      </c>
      <c r="C27" s="139">
        <f>IF(B27="","",VLOOKUP(AD27,Varsayımlar!$B:$Q,3,0))</f>
        <v>8698829380698</v>
      </c>
      <c r="D27" s="39">
        <v>49</v>
      </c>
      <c r="E27" s="55" t="s">
        <v>162</v>
      </c>
      <c r="F27" s="54"/>
      <c r="G27" s="54"/>
      <c r="H27" s="54" t="str">
        <f>IF(B27="","",VLOOKUP(AD27,Varsayımlar!$B:$Q,5,0))</f>
        <v>Hanami 20cm Sade 4 pcs 166g (067)</v>
      </c>
      <c r="I27" s="54" t="str">
        <f>IF(B27="","",VLOOKUP(AD27,Varsayımlar!B:T,19,0))</f>
        <v>Ambalaj kaç aylık kontrol?</v>
      </c>
      <c r="J27" s="54" t="str">
        <f>IF(B27="","",VLOOKUP(AD27,Varsayımlar!$B:$Q,6,0))</f>
        <v>SADE</v>
      </c>
      <c r="K27" s="54">
        <v>700</v>
      </c>
      <c r="L27" s="54"/>
      <c r="M27" s="54">
        <f>IFERROR(IF(B27="","",K27/VLOOKUP(AD27,Varsayımlar!B:R,17,0)),"")</f>
        <v>5</v>
      </c>
      <c r="N27" s="54"/>
      <c r="O27" s="54">
        <v>12</v>
      </c>
      <c r="P27" s="54">
        <f>IF(B27="","",VLOOKUP(AD27,Varsayımlar!$B:$Q,7,0)*K27)</f>
        <v>21000</v>
      </c>
      <c r="Q27" s="54">
        <f>IF(B27="","",VLOOKUP(AD27,Varsayımlar!$B:$Q,8,0))</f>
        <v>20</v>
      </c>
      <c r="R27" s="54" t="str">
        <f>IF(B27="","",VLOOKUP(AD27,Varsayımlar!$B:$Q,9,0))</f>
        <v>Irak Soft</v>
      </c>
      <c r="S27" s="54">
        <f>IF(B27="","",VLOOKUP(AD27,Varsayımlar!$B:$Q,10,0))</f>
        <v>4</v>
      </c>
      <c r="T27" s="54">
        <f>IF(B27="","",VLOOKUP(AD27,Varsayımlar!$B:$Q,11,0))</f>
        <v>30</v>
      </c>
      <c r="U27" s="54">
        <f>IF(B27="","",VLOOKUP(AD27,Varsayımlar!$B:$Q,12,0))</f>
        <v>166</v>
      </c>
      <c r="V27" s="54" t="str">
        <f>IF(B27="","",VLOOKUP(AD27,Varsayımlar!$B:$Q,13,0))</f>
        <v>Yurtdışı</v>
      </c>
      <c r="W27" s="54">
        <f>IF(B27="","",VLOOKUP(AD27,Varsayımlar!$B:$Q,14,0))</f>
        <v>9</v>
      </c>
      <c r="X27" s="56">
        <v>46226</v>
      </c>
      <c r="Y27" s="56">
        <v>46500</v>
      </c>
      <c r="Z27" s="54">
        <v>26072320</v>
      </c>
      <c r="AA27" s="54" t="str">
        <f>IF(B27="","",VLOOKUP(AD27,Varsayımlar!$B:$Q,15,0))</f>
        <v>Hanami Mavi Koli -Üretim Tarihi+9 AYI KAPATACAK ETİKETLİ</v>
      </c>
      <c r="AB27" s="54" t="str">
        <f>IF(B27="","",VLOOKUP(AD27,Varsayımlar!$B:$Q,16,0))</f>
        <v>19-21 cm</v>
      </c>
      <c r="AC27" s="8" t="e">
        <f>IF(B27="","",VLOOKUP(#REF!,#REF!,18,0))</f>
        <v>#REF!</v>
      </c>
      <c r="AD27" s="8" t="str">
        <f>IF(B27="","",CONCATENATE(B27,E27))</f>
        <v xml:space="preserve">GermesHanami 20cm sade 4pcs 166g </v>
      </c>
    </row>
    <row r="28" spans="1:30" ht="45.75" customHeight="1" x14ac:dyDescent="0.25">
      <c r="A28" s="8" t="s">
        <v>140</v>
      </c>
      <c r="B28" s="130" t="s">
        <v>119</v>
      </c>
      <c r="C28" s="131">
        <f>IF(B28="","",VLOOKUP(AD28,Varsayımlar!$B:$Q,3,0))</f>
        <v>8698829380698</v>
      </c>
      <c r="D28" s="131"/>
      <c r="E28" s="132" t="s">
        <v>120</v>
      </c>
      <c r="F28" s="130"/>
      <c r="G28" s="130"/>
      <c r="H28" s="130" t="str">
        <f>IF(B28="","",VLOOKUP(AD28,Varsayımlar!$B:$Q,5,0))</f>
        <v>Nimet 25 cm</v>
      </c>
      <c r="I28" s="130">
        <f>IF(B28="","",VLOOKUP(AD28,Varsayımlar!B:T,19,0))</f>
        <v>0</v>
      </c>
      <c r="J28" s="130" t="str">
        <f>IF(B28="","",VLOOKUP(AD28,Varsayımlar!$B:$Q,6,0))</f>
        <v>SADE</v>
      </c>
      <c r="K28" s="130">
        <v>5000</v>
      </c>
      <c r="L28" s="130"/>
      <c r="M28" s="130">
        <f>IFERROR(IF(B28="","",K28/VLOOKUP(AD28,Varsayımlar!B:R,17,0)),"")</f>
        <v>100</v>
      </c>
      <c r="N28" s="130"/>
      <c r="O28" s="130">
        <v>100</v>
      </c>
      <c r="P28" s="130">
        <f>IF(B28="","",VLOOKUP(AD28,Varsayımlar!$B:$Q,7,0)*K28)</f>
        <v>60000</v>
      </c>
      <c r="Q28" s="130">
        <f>IF(B28="","",VLOOKUP(AD28,Varsayımlar!$B:$Q,8,0))</f>
        <v>25</v>
      </c>
      <c r="R28" s="130" t="str">
        <f>IF(B28="","",VLOOKUP(AD28,Varsayımlar!$B:$Q,9,0))</f>
        <v>Standart</v>
      </c>
      <c r="S28" s="130">
        <f>IF(B28="","",VLOOKUP(AD28,Varsayımlar!$B:$Q,10,0))</f>
        <v>12</v>
      </c>
      <c r="T28" s="130">
        <f>IF(B28="","",VLOOKUP(AD28,Varsayımlar!$B:$Q,11,0))</f>
        <v>12</v>
      </c>
      <c r="U28" s="130">
        <f>IF(B28="","",VLOOKUP(AD28,Varsayımlar!$B:$Q,12,0))</f>
        <v>840</v>
      </c>
      <c r="V28" s="130" t="str">
        <f>IF(B28="","",VLOOKUP(AD28,Varsayımlar!$B:$Q,13,0))</f>
        <v>YURTİÇİ</v>
      </c>
      <c r="W28" s="130">
        <f>IF(B28="","",VLOOKUP(AD28,Varsayımlar!$B:$Q,14,0))</f>
        <v>5</v>
      </c>
      <c r="X28" s="133" t="s">
        <v>113</v>
      </c>
      <c r="Y28" s="133" t="s">
        <v>113</v>
      </c>
      <c r="Z28" s="130" t="s">
        <v>113</v>
      </c>
      <c r="AA28" s="130" t="str">
        <f>IF(B28="","",VLOOKUP(AD28,Varsayımlar!$B:$Q,15,0))</f>
        <v>Nimet Kolisi</v>
      </c>
      <c r="AB28" s="130" t="str">
        <f>IF(B28="","",VLOOKUP(AD28,Varsayımlar!$B:$Q,16,0))</f>
        <v>24-26 CM</v>
      </c>
      <c r="AC28" s="64" t="s">
        <v>360</v>
      </c>
      <c r="AD28" s="57" t="str">
        <f t="shared" si="0"/>
        <v>A101Nimet 25cm 12 pcs 840g</v>
      </c>
    </row>
    <row r="29" spans="1:30" ht="32.25" customHeight="1" x14ac:dyDescent="0.25">
      <c r="A29" s="8" t="s">
        <v>141</v>
      </c>
      <c r="B29" s="67" t="s">
        <v>460</v>
      </c>
      <c r="C29" s="42">
        <f>IF(B29="","",VLOOKUP(AD29,Varsayımlar!$B:$Q,3,0))</f>
        <v>8698829380698</v>
      </c>
      <c r="D29" s="67" t="s">
        <v>539</v>
      </c>
      <c r="E29" s="67" t="s">
        <v>464</v>
      </c>
      <c r="F29" s="67">
        <v>20260626</v>
      </c>
      <c r="G29" s="67"/>
      <c r="H29" s="67" t="str">
        <f>IF(B29="","",VLOOKUP(AD29,Varsayımlar!$B:$Q,5,0))</f>
        <v>Tortillove 20cm</v>
      </c>
      <c r="I29" s="67">
        <f>IF(B29="","",VLOOKUP(AD29,Varsayımlar!B:T,19,0))</f>
        <v>0</v>
      </c>
      <c r="J29" s="67" t="str">
        <f>IF(B29="","",VLOOKUP(AD29,Varsayımlar!$B:$Q,6,0))</f>
        <v>SADE</v>
      </c>
      <c r="K29" s="67">
        <v>400</v>
      </c>
      <c r="L29" s="67"/>
      <c r="M29" s="67">
        <f>IFERROR(IF(B29="","",K29/VLOOKUP(AD29,Varsayımlar!B:R,17,0)),"")</f>
        <v>4</v>
      </c>
      <c r="N29" s="67"/>
      <c r="O29" s="67">
        <v>7</v>
      </c>
      <c r="P29" s="67">
        <f>IF(B29="","",VLOOKUP(AD29,Varsayımlar!$B:$Q,7,0)*K29)</f>
        <v>4800</v>
      </c>
      <c r="Q29" s="67">
        <f>IF(B29="","",VLOOKUP(AD29,Varsayımlar!$B:$Q,8,0))</f>
        <v>20</v>
      </c>
      <c r="R29" s="67" t="str">
        <f>IF(B29="","",VLOOKUP(AD29,Varsayımlar!$B:$Q,9,0))</f>
        <v>Irak Soft</v>
      </c>
      <c r="S29" s="67">
        <f>IF(B29="","",VLOOKUP(AD29,Varsayımlar!$B:$Q,10,0))</f>
        <v>10</v>
      </c>
      <c r="T29" s="67">
        <f>IF(B29="","",VLOOKUP(AD29,Varsayımlar!$B:$Q,11,0))</f>
        <v>12</v>
      </c>
      <c r="U29" s="67">
        <f>IF(B29="","",VLOOKUP(AD29,Varsayımlar!$B:$Q,12,0))</f>
        <v>450</v>
      </c>
      <c r="V29" s="67" t="str">
        <f>IF(B29="","",VLOOKUP(AD29,Varsayımlar!$B:$Q,13,0))</f>
        <v>Yurtdışı</v>
      </c>
      <c r="W29" s="67">
        <f>IF(B29="","",VLOOKUP(AD29,Varsayımlar!$B:$Q,14,0))</f>
        <v>6</v>
      </c>
      <c r="X29" s="69"/>
      <c r="Y29" s="69"/>
      <c r="Z29" s="67"/>
      <c r="AA29" s="67" t="str">
        <f>IF(B29="","",VLOOKUP(AD29,Varsayımlar!$B:$Q,15,0))</f>
        <v>20cm kolisi</v>
      </c>
      <c r="AB29" s="67" t="str">
        <f>IF(B29="","",VLOOKUP(AD29,Varsayımlar!$B:$Q,16,0))</f>
        <v>19-21 cm</v>
      </c>
      <c r="AC29" s="75">
        <f>IF(B29="","",VLOOKUP(Sayfa1!AD84,Varsayımlar!B:S,18,0))</f>
        <v>0</v>
      </c>
      <c r="AD29" s="57" t="str">
        <f t="shared" si="0"/>
        <v>Yüksekbaş GıdaYüksekbaş 20cm 10pcs 450g</v>
      </c>
    </row>
    <row r="30" spans="1:30" ht="32.25" customHeight="1" x14ac:dyDescent="0.25">
      <c r="A30" s="8" t="s">
        <v>142</v>
      </c>
      <c r="B30" s="67" t="s">
        <v>460</v>
      </c>
      <c r="C30" s="42">
        <f>IF(B30="","",VLOOKUP(AD30,Varsayımlar!$B:$Q,3,0))</f>
        <v>8698829380698</v>
      </c>
      <c r="D30" s="67" t="s">
        <v>539</v>
      </c>
      <c r="E30" s="67" t="s">
        <v>470</v>
      </c>
      <c r="F30" s="67">
        <v>20260626</v>
      </c>
      <c r="G30" s="67" t="s">
        <v>578</v>
      </c>
      <c r="H30" s="67" t="str">
        <f>IF(B30="","",VLOOKUP(AD30,Varsayımlar!$B:$Q,5,0))</f>
        <v>Tortillove 30cm</v>
      </c>
      <c r="I30" s="67">
        <f>IF(B30="","",VLOOKUP(AD30,Varsayımlar!B:T,19,0))</f>
        <v>0</v>
      </c>
      <c r="J30" s="67" t="str">
        <f>IF(B30="","",VLOOKUP(AD30,Varsayımlar!$B:$Q,6,0))</f>
        <v>SADE</v>
      </c>
      <c r="K30" s="67">
        <v>660</v>
      </c>
      <c r="L30" s="67"/>
      <c r="M30" s="67">
        <f>IFERROR(IF(B30="","",K30/VLOOKUP(AD30,Varsayımlar!B:R,17,0)),"")</f>
        <v>10</v>
      </c>
      <c r="N30" s="67"/>
      <c r="O30" s="67">
        <v>11</v>
      </c>
      <c r="P30" s="67">
        <f>IF(B30="","",VLOOKUP(AD30,Varsayımlar!$B:$Q,7,0)*K30)</f>
        <v>7920</v>
      </c>
      <c r="Q30" s="67">
        <f>IF(B30="","",VLOOKUP(AD30,Varsayımlar!$B:$Q,8,0))</f>
        <v>30</v>
      </c>
      <c r="R30" s="67" t="str">
        <f>IF(B30="","",VLOOKUP(AD30,Varsayımlar!$B:$Q,9,0))</f>
        <v>Irak Soft</v>
      </c>
      <c r="S30" s="67">
        <f>IF(B30="","",VLOOKUP(AD30,Varsayımlar!$B:$Q,10,0))</f>
        <v>10</v>
      </c>
      <c r="T30" s="67">
        <f>IF(B30="","",VLOOKUP(AD30,Varsayımlar!$B:$Q,11,0))</f>
        <v>12</v>
      </c>
      <c r="U30" s="67">
        <f>IF(B30="","",VLOOKUP(AD30,Varsayımlar!$B:$Q,12,0))</f>
        <v>950</v>
      </c>
      <c r="V30" s="67" t="str">
        <f>IF(B30="","",VLOOKUP(AD30,Varsayımlar!$B:$Q,13,0))</f>
        <v>Yurtdışı</v>
      </c>
      <c r="W30" s="67">
        <f>IF(B30="","",VLOOKUP(AD30,Varsayımlar!$B:$Q,14,0))</f>
        <v>6</v>
      </c>
      <c r="X30" s="69"/>
      <c r="Y30" s="69"/>
      <c r="Z30" s="67"/>
      <c r="AA30" s="67" t="str">
        <f>IF(B30="","",VLOOKUP(AD30,Varsayımlar!$B:$Q,15,0))</f>
        <v>30cm Kolisi</v>
      </c>
      <c r="AB30" s="67" t="str">
        <f>IF(B30="","",VLOOKUP(AD30,Varsayımlar!$B:$Q,16,0))</f>
        <v>29-31 cm</v>
      </c>
      <c r="AC30" s="75">
        <f>IF(B30="","",VLOOKUP(Sayfa1!AD84,Varsayımlar!B:S,18,0))</f>
        <v>0</v>
      </c>
      <c r="AD30" s="57" t="str">
        <f t="shared" si="0"/>
        <v>Yüksekbaş GıdaYüksekbaş 30cm 10pcs 950g</v>
      </c>
    </row>
    <row r="31" spans="1:30" ht="49.5" customHeight="1" x14ac:dyDescent="0.25">
      <c r="A31" s="8" t="s">
        <v>143</v>
      </c>
      <c r="B31" s="152" t="s">
        <v>571</v>
      </c>
      <c r="C31" s="153">
        <f>IF(B31="","",VLOOKUP(AD31,Varsayımlar!$B:$Q,3,0))</f>
        <v>8698829380698</v>
      </c>
      <c r="D31" s="154"/>
      <c r="E31" s="154" t="s">
        <v>572</v>
      </c>
      <c r="F31" s="152">
        <v>20260701</v>
      </c>
      <c r="G31" s="152" t="s">
        <v>578</v>
      </c>
      <c r="H31" s="152" t="str">
        <f>IF(B31="","",VLOOKUP(AD31,Varsayımlar!$B:$Q,5,0))</f>
        <v>Tortillas 30cm</v>
      </c>
      <c r="I31" s="152" t="str">
        <f>IF(B31="","",VLOOKUP(AD31,Varsayımlar!B:T,19,0))</f>
        <v>Azerice Etiketli</v>
      </c>
      <c r="J31" s="152" t="str">
        <f>IF(B31="","",VLOOKUP(AD31,Varsayımlar!$B:$Q,6,0))</f>
        <v>Sade</v>
      </c>
      <c r="K31" s="152">
        <v>204</v>
      </c>
      <c r="L31" s="152"/>
      <c r="M31" s="152">
        <f>IFERROR(IF(B31="","",K31/VLOOKUP(AD31,Varsayımlar!B:R,17,0)),"")</f>
        <v>3</v>
      </c>
      <c r="N31" s="152"/>
      <c r="O31" s="152">
        <v>4</v>
      </c>
      <c r="P31" s="152">
        <f>IF(B31="","",VLOOKUP(AD31,Varsayımlar!$B:$Q,7,0)*K31)</f>
        <v>1224</v>
      </c>
      <c r="Q31" s="152">
        <f>IF(B31="","",VLOOKUP(AD31,Varsayımlar!$B:$Q,8,0))</f>
        <v>30</v>
      </c>
      <c r="R31" s="152" t="str">
        <f>IF(B31="","",VLOOKUP(AD31,Varsayımlar!$B:$Q,9,0))</f>
        <v>Irak soft</v>
      </c>
      <c r="S31" s="152">
        <f>IF(B31="","",VLOOKUP(AD31,Varsayımlar!$B:$Q,10,0))</f>
        <v>18</v>
      </c>
      <c r="T31" s="152">
        <f>IF(B31="","",VLOOKUP(AD31,Varsayımlar!$B:$Q,11,0))</f>
        <v>6</v>
      </c>
      <c r="U31" s="152">
        <f>IF(B31="","",VLOOKUP(AD31,Varsayımlar!$B:$Q,12,0))</f>
        <v>1710</v>
      </c>
      <c r="V31" s="152" t="str">
        <f>IF(B31="","",VLOOKUP(AD31,Varsayımlar!$B:$Q,13,0))</f>
        <v>Yurtdışı</v>
      </c>
      <c r="W31" s="152">
        <f>IF(B31="","",VLOOKUP(AD31,Varsayımlar!$B:$Q,14,0))</f>
        <v>9</v>
      </c>
      <c r="X31" s="155"/>
      <c r="Y31" s="155"/>
      <c r="Z31" s="152"/>
      <c r="AA31" s="152" t="str">
        <f>IF(B31="","",VLOOKUP(AD31,Varsayımlar!$B:$Q,15,0))</f>
        <v>30cm Kolisi</v>
      </c>
      <c r="AB31" s="152" t="str">
        <f>IF(B31="","",VLOOKUP(AD31,Varsayımlar!$B:$Q,16,0))</f>
        <v>29-31cm</v>
      </c>
      <c r="AC31" s="8" t="e">
        <f>IF(B31="","",VLOOKUP(#REF!,#REF!,18,0))</f>
        <v>#REF!</v>
      </c>
      <c r="AD31" s="8" t="str">
        <f t="shared" si="0"/>
        <v>HRC TradeTortillas 30cm 18pcs 1710g</v>
      </c>
    </row>
    <row r="32" spans="1:30" ht="51" customHeight="1" x14ac:dyDescent="0.25">
      <c r="A32" s="8" t="s">
        <v>144</v>
      </c>
      <c r="B32" s="160" t="s">
        <v>579</v>
      </c>
      <c r="C32" s="161">
        <f>IF(B32="","",VLOOKUP(AD32,Varsayımlar!$B:$Q,3,0))</f>
        <v>8698829380698</v>
      </c>
      <c r="D32" s="160"/>
      <c r="E32" s="160" t="s">
        <v>509</v>
      </c>
      <c r="F32" s="160">
        <v>20260701</v>
      </c>
      <c r="G32" s="160" t="s">
        <v>578</v>
      </c>
      <c r="H32" s="160" t="str">
        <f>IF(B32="","",VLOOKUP(AD32,Varsayımlar!$B:$Q,5,0))</f>
        <v>Tortillas 30cm</v>
      </c>
      <c r="I32" s="160" t="str">
        <f>IF(B32="","",VLOOKUP(AD32,Varsayımlar!B:T,19,0))</f>
        <v>Arka Kısma Bosnaca içerik Etiketli</v>
      </c>
      <c r="J32" s="160" t="str">
        <f>IF(B32="","",VLOOKUP(AD32,Varsayımlar!$B:$Q,6,0))</f>
        <v>Sade</v>
      </c>
      <c r="K32" s="160">
        <v>150</v>
      </c>
      <c r="L32" s="160"/>
      <c r="M32" s="160">
        <f>IFERROR(IF(B32="","",K32/VLOOKUP(AD32,Varsayımlar!B:R,17,0)),"")</f>
        <v>3</v>
      </c>
      <c r="N32" s="160"/>
      <c r="O32" s="160">
        <v>3</v>
      </c>
      <c r="P32" s="160">
        <f>IF(B32="","",VLOOKUP(AD32,Varsayımlar!$B:$Q,7,0)*K32)</f>
        <v>1800</v>
      </c>
      <c r="Q32" s="160">
        <f>IF(B32="","",VLOOKUP(AD32,Varsayımlar!$B:$Q,8,0))</f>
        <v>30</v>
      </c>
      <c r="R32" s="160" t="str">
        <f>IF(B32="","",VLOOKUP(AD32,Varsayımlar!$B:$Q,9,0))</f>
        <v>Irak soft</v>
      </c>
      <c r="S32" s="160">
        <f>IF(B32="","",VLOOKUP(AD32,Varsayımlar!$B:$Q,10,0))</f>
        <v>10</v>
      </c>
      <c r="T32" s="160">
        <f>IF(B32="","",VLOOKUP(AD32,Varsayımlar!$B:$Q,11,0))</f>
        <v>12</v>
      </c>
      <c r="U32" s="160">
        <f>IF(B32="","",VLOOKUP(AD32,Varsayımlar!$B:$Q,12,0))</f>
        <v>850</v>
      </c>
      <c r="V32" s="160" t="str">
        <f>IF(B32="","",VLOOKUP(AD32,Varsayımlar!$B:$Q,13,0))</f>
        <v>Yurtdışı</v>
      </c>
      <c r="W32" s="160">
        <f>IF(B32="","",VLOOKUP(AD32,Varsayımlar!$B:$Q,14,0))</f>
        <v>6</v>
      </c>
      <c r="X32" s="160"/>
      <c r="Y32" s="160"/>
      <c r="Z32" s="160"/>
      <c r="AA32" s="160" t="str">
        <f>IF(B32="","",VLOOKUP(AD32,Varsayımlar!$B:$Q,15,0))</f>
        <v>30cm Kolisi</v>
      </c>
      <c r="AB32" s="160" t="str">
        <f>IF(B32="","",VLOOKUP(AD32,Varsayımlar!$B:$Q,16,0))</f>
        <v>29-31cm</v>
      </c>
      <c r="AC32" s="75">
        <f>IF(B32="","",VLOOKUP(Sayfa1!AD92,Varsayımlar!B:S,18,0))</f>
        <v>0</v>
      </c>
      <c r="AD32" s="57" t="str">
        <f t="shared" si="0"/>
        <v>BelamionixTortillas 30cm 10pcs 850g</v>
      </c>
    </row>
    <row r="33" spans="1:30" ht="51" customHeight="1" x14ac:dyDescent="0.25">
      <c r="A33" s="8" t="s">
        <v>145</v>
      </c>
      <c r="B33" s="160" t="s">
        <v>579</v>
      </c>
      <c r="C33" s="161">
        <f>IF(B33="","",VLOOKUP(AD33,Varsayımlar!$B:$Q,3,0))</f>
        <v>8698829380698</v>
      </c>
      <c r="D33" s="160"/>
      <c r="E33" s="160" t="s">
        <v>512</v>
      </c>
      <c r="F33" s="160">
        <v>20260701</v>
      </c>
      <c r="G33" s="160" t="s">
        <v>578</v>
      </c>
      <c r="H33" s="160" t="str">
        <f>IF(B33="","",VLOOKUP(AD33,Varsayımlar!$B:$Q,5,0))</f>
        <v>Tortillas 20cm</v>
      </c>
      <c r="I33" s="160" t="str">
        <f>IF(B33="","",VLOOKUP(AD33,Varsayımlar!B:T,19,0))</f>
        <v>Arka Kısma Bosnaca içerik Etiketli</v>
      </c>
      <c r="J33" s="160" t="str">
        <f>IF(B33="","",VLOOKUP(AD33,Varsayımlar!$B:$Q,6,0))</f>
        <v>Sade</v>
      </c>
      <c r="K33" s="160">
        <v>200</v>
      </c>
      <c r="L33" s="160"/>
      <c r="M33" s="160">
        <f>IFERROR(IF(B33="","",K33/VLOOKUP(AD33,Varsayımlar!B:R,17,0)),"")</f>
        <v>2</v>
      </c>
      <c r="N33" s="160"/>
      <c r="O33" s="160">
        <v>4</v>
      </c>
      <c r="P33" s="160">
        <f>IF(B33="","",VLOOKUP(AD33,Varsayımlar!$B:$Q,7,0)*K33)</f>
        <v>2400</v>
      </c>
      <c r="Q33" s="160">
        <f>IF(B33="","",VLOOKUP(AD33,Varsayımlar!$B:$Q,8,0))</f>
        <v>20</v>
      </c>
      <c r="R33" s="160" t="str">
        <f>IF(B33="","",VLOOKUP(AD33,Varsayımlar!$B:$Q,9,0))</f>
        <v>Irak soft</v>
      </c>
      <c r="S33" s="160">
        <f>IF(B33="","",VLOOKUP(AD33,Varsayımlar!$B:$Q,10,0))</f>
        <v>10</v>
      </c>
      <c r="T33" s="160">
        <f>IF(B33="","",VLOOKUP(AD33,Varsayımlar!$B:$Q,11,0))</f>
        <v>12</v>
      </c>
      <c r="U33" s="160">
        <f>IF(B33="","",VLOOKUP(AD33,Varsayımlar!$B:$Q,12,0))</f>
        <v>450</v>
      </c>
      <c r="V33" s="160" t="str">
        <f>IF(B33="","",VLOOKUP(AD33,Varsayımlar!$B:$Q,13,0))</f>
        <v>Yurtdışı</v>
      </c>
      <c r="W33" s="160">
        <f>IF(B33="","",VLOOKUP(AD33,Varsayımlar!$B:$Q,14,0))</f>
        <v>6</v>
      </c>
      <c r="X33" s="160"/>
      <c r="Y33" s="160"/>
      <c r="Z33" s="160"/>
      <c r="AA33" s="160" t="str">
        <f>IF(B33="","",VLOOKUP(AD33,Varsayımlar!$B:$Q,15,0))</f>
        <v>20cm Kolisi</v>
      </c>
      <c r="AB33" s="160" t="str">
        <f>IF(B33="","",VLOOKUP(AD33,Varsayımlar!$B:$Q,16,0))</f>
        <v>19-21cm</v>
      </c>
      <c r="AC33" s="75">
        <f>IF(B33="","",VLOOKUP(Sayfa1!AD93,Varsayımlar!B:S,18,0))</f>
        <v>0</v>
      </c>
      <c r="AD33" s="57" t="str">
        <f t="shared" si="0"/>
        <v>BelamionixTortillas 20cm 10pcs 450g</v>
      </c>
    </row>
    <row r="34" spans="1:30" ht="51" customHeight="1" x14ac:dyDescent="0.25">
      <c r="A34" s="8" t="s">
        <v>146</v>
      </c>
      <c r="B34" s="160" t="s">
        <v>579</v>
      </c>
      <c r="C34" s="161">
        <f>IF(B34="","",VLOOKUP(AD34,Varsayımlar!$B:$Q,3,0))</f>
        <v>8698829380698</v>
      </c>
      <c r="D34" s="160"/>
      <c r="E34" s="160" t="s">
        <v>585</v>
      </c>
      <c r="F34" s="160">
        <v>20260701</v>
      </c>
      <c r="G34" s="160" t="s">
        <v>578</v>
      </c>
      <c r="H34" s="160" t="str">
        <f>IF(B34="","",VLOOKUP(AD34,Varsayımlar!$B:$Q,5,0))</f>
        <v>Tortillas 25cm Tam Buğday</v>
      </c>
      <c r="I34" s="160" t="str">
        <f>IF(B34="","",VLOOKUP(AD34,Varsayımlar!B:T,19,0))</f>
        <v>Arka Kısma Bosnaca içerik Etiketli</v>
      </c>
      <c r="J34" s="160" t="str">
        <f>IF(B34="","",VLOOKUP(AD34,Varsayımlar!$B:$Q,6,0))</f>
        <v>Tam Buğdaylı</v>
      </c>
      <c r="K34" s="160">
        <v>300</v>
      </c>
      <c r="L34" s="160"/>
      <c r="M34" s="160">
        <f>IFERROR(IF(B34="","",K34/VLOOKUP(AD34,Varsayımlar!B:R,17,0)),"")</f>
        <v>3</v>
      </c>
      <c r="N34" s="160"/>
      <c r="O34" s="160">
        <v>5</v>
      </c>
      <c r="P34" s="160">
        <f>IF(B34="","",VLOOKUP(AD34,Varsayımlar!$B:$Q,7,0)*K34)</f>
        <v>3600</v>
      </c>
      <c r="Q34" s="160">
        <f>IF(B34="","",VLOOKUP(AD34,Varsayımlar!$B:$Q,8,0))</f>
        <v>25</v>
      </c>
      <c r="R34" s="160" t="str">
        <f>IF(B34="","",VLOOKUP(AD34,Varsayımlar!$B:$Q,9,0))</f>
        <v>Irak soft</v>
      </c>
      <c r="S34" s="160">
        <f>IF(B34="","",VLOOKUP(AD34,Varsayımlar!$B:$Q,10,0))</f>
        <v>10</v>
      </c>
      <c r="T34" s="160">
        <f>IF(B34="","",VLOOKUP(AD34,Varsayımlar!$B:$Q,11,0))</f>
        <v>12</v>
      </c>
      <c r="U34" s="160">
        <f>IF(B34="","",VLOOKUP(AD34,Varsayımlar!$B:$Q,12,0))</f>
        <v>650</v>
      </c>
      <c r="V34" s="160" t="str">
        <f>IF(B34="","",VLOOKUP(AD34,Varsayımlar!$B:$Q,13,0))</f>
        <v>Yurtdışı</v>
      </c>
      <c r="W34" s="160">
        <f>IF(B34="","",VLOOKUP(AD34,Varsayımlar!$B:$Q,14,0))</f>
        <v>6</v>
      </c>
      <c r="X34" s="160"/>
      <c r="Y34" s="160"/>
      <c r="Z34" s="160"/>
      <c r="AA34" s="160" t="str">
        <f>IF(B34="","",VLOOKUP(AD34,Varsayımlar!$B:$Q,15,0))</f>
        <v>25cm Kolisi-Etiketli</v>
      </c>
      <c r="AB34" s="160" t="str">
        <f>IF(B34="","",VLOOKUP(AD34,Varsayımlar!$B:$Q,16,0))</f>
        <v>24-26cm</v>
      </c>
      <c r="AC34" s="75">
        <f>IF(B34="","",VLOOKUP(Sayfa1!AD94,Varsayımlar!B:S,18,0))</f>
        <v>0</v>
      </c>
      <c r="AD34" s="57" t="str">
        <f t="shared" si="0"/>
        <v>BelamionixTortillas 25cm TB 10pcs 650g</v>
      </c>
    </row>
    <row r="35" spans="1:30" ht="36" customHeight="1" x14ac:dyDescent="0.25">
      <c r="A35" s="8" t="s">
        <v>147</v>
      </c>
      <c r="B35" s="67"/>
      <c r="C35" s="42" t="str">
        <f>IF(B35="","",VLOOKUP(AD35,#REF!,3,0))</f>
        <v/>
      </c>
      <c r="D35" s="42"/>
      <c r="E35" s="42"/>
      <c r="F35" s="67"/>
      <c r="G35" s="67"/>
      <c r="H35" s="67" t="str">
        <f>IF(B35="","",VLOOKUP(AD35,#REF!,5,0))</f>
        <v/>
      </c>
      <c r="I35" s="67" t="str">
        <f>IF(B35="","",VLOOKUP(AD35,#REF!,19,0))</f>
        <v/>
      </c>
      <c r="J35" s="67" t="str">
        <f>IF(B35="","",VLOOKUP(AD35,#REF!,6,0))</f>
        <v/>
      </c>
      <c r="K35" s="67"/>
      <c r="L35" s="67"/>
      <c r="M35" s="67" t="str">
        <f>IFERROR(IF(B35="","",K35/VLOOKUP(AD35,Varsayımlar!B:R,17,0)),"")</f>
        <v/>
      </c>
      <c r="N35" s="67"/>
      <c r="O35" s="67"/>
      <c r="P35" s="67" t="str">
        <f>IF(B35="","",VLOOKUP(AD35,#REF!,7,0)*K35)</f>
        <v/>
      </c>
      <c r="Q35" s="67" t="str">
        <f>IF(B35="","",VLOOKUP(AD35,#REF!,8,0))</f>
        <v/>
      </c>
      <c r="R35" s="67" t="str">
        <f>IF(B35="","",VLOOKUP(AD35,#REF!,9,0))</f>
        <v/>
      </c>
      <c r="S35" s="67" t="str">
        <f>IF(B35="","",VLOOKUP(AD35,#REF!,10,0))</f>
        <v/>
      </c>
      <c r="T35" s="67" t="str">
        <f>IF(B35="","",VLOOKUP(AD35,#REF!,11,0))</f>
        <v/>
      </c>
      <c r="U35" s="67" t="str">
        <f>IF(B35="","",VLOOKUP(AD35,#REF!,12,0))</f>
        <v/>
      </c>
      <c r="V35" s="67" t="str">
        <f>IF(B35="","",VLOOKUP(AD35,#REF!,13,0))</f>
        <v/>
      </c>
      <c r="W35" s="67" t="str">
        <f>IF(B35="","",VLOOKUP(AD35,#REF!,14,0))</f>
        <v/>
      </c>
      <c r="X35" s="69"/>
      <c r="Y35" s="69"/>
      <c r="Z35" s="67"/>
      <c r="AA35" s="67" t="str">
        <f>IF(B35="","",VLOOKUP(AD35,#REF!,15,0))</f>
        <v/>
      </c>
      <c r="AB35" s="67" t="str">
        <f>IF(B35="","",VLOOKUP(AD35,#REF!,16,0))</f>
        <v/>
      </c>
      <c r="AC35" s="145"/>
      <c r="AD35" s="57"/>
    </row>
    <row r="36" spans="1:30" ht="36" customHeight="1" x14ac:dyDescent="0.25">
      <c r="A36" s="8" t="s">
        <v>148</v>
      </c>
      <c r="B36" s="67"/>
      <c r="C36" s="42" t="str">
        <f>IF(B36="","",VLOOKUP(AD36,#REF!,3,0))</f>
        <v/>
      </c>
      <c r="D36" s="42"/>
      <c r="E36" s="42"/>
      <c r="F36" s="67"/>
      <c r="G36" s="67"/>
      <c r="H36" s="67" t="str">
        <f>IF(B36="","",VLOOKUP(AD36,#REF!,5,0))</f>
        <v/>
      </c>
      <c r="I36" s="67" t="str">
        <f>IF(B36="","",VLOOKUP(AD36,#REF!,19,0))</f>
        <v/>
      </c>
      <c r="J36" s="67" t="str">
        <f>IF(B36="","",VLOOKUP(AD36,#REF!,6,0))</f>
        <v/>
      </c>
      <c r="K36" s="67"/>
      <c r="L36" s="67"/>
      <c r="M36" s="67" t="str">
        <f>IFERROR(IF(B36="","",K36/VLOOKUP(AD36,Varsayımlar!B:R,17,0)),"")</f>
        <v/>
      </c>
      <c r="N36" s="67"/>
      <c r="O36" s="67"/>
      <c r="P36" s="67" t="str">
        <f>IF(B36="","",VLOOKUP(AD36,#REF!,7,0)*K36)</f>
        <v/>
      </c>
      <c r="Q36" s="67" t="str">
        <f>IF(B36="","",VLOOKUP(AD36,#REF!,8,0))</f>
        <v/>
      </c>
      <c r="R36" s="67" t="str">
        <f>IF(B36="","",VLOOKUP(AD36,#REF!,9,0))</f>
        <v/>
      </c>
      <c r="S36" s="67" t="str">
        <f>IF(B36="","",VLOOKUP(AD36,#REF!,10,0))</f>
        <v/>
      </c>
      <c r="T36" s="67" t="str">
        <f>IF(B36="","",VLOOKUP(AD36,#REF!,11,0))</f>
        <v/>
      </c>
      <c r="U36" s="67" t="str">
        <f>IF(B36="","",VLOOKUP(AD36,#REF!,12,0))</f>
        <v/>
      </c>
      <c r="V36" s="67" t="str">
        <f>IF(B36="","",VLOOKUP(AD36,#REF!,13,0))</f>
        <v/>
      </c>
      <c r="W36" s="67" t="str">
        <f>IF(B36="","",VLOOKUP(AD36,#REF!,14,0))</f>
        <v/>
      </c>
      <c r="X36" s="69"/>
      <c r="Y36" s="69"/>
      <c r="Z36" s="67"/>
      <c r="AA36" s="67" t="str">
        <f>IF(B36="","",VLOOKUP(AD36,#REF!,15,0))</f>
        <v/>
      </c>
      <c r="AB36" s="67" t="str">
        <f>IF(B36="","",VLOOKUP(AD36,#REF!,16,0))</f>
        <v/>
      </c>
      <c r="AC36" s="145"/>
      <c r="AD36" s="57"/>
    </row>
    <row r="37" spans="1:30" ht="36" customHeight="1" x14ac:dyDescent="0.25">
      <c r="A37" s="8" t="s">
        <v>149</v>
      </c>
      <c r="B37" s="67"/>
      <c r="C37" s="42" t="str">
        <f>IF(B37="","",VLOOKUP(AD37,#REF!,3,0))</f>
        <v/>
      </c>
      <c r="D37" s="42"/>
      <c r="E37" s="42"/>
      <c r="F37" s="67"/>
      <c r="G37" s="67"/>
      <c r="H37" s="67" t="str">
        <f>IF(B37="","",VLOOKUP(AD37,#REF!,5,0))</f>
        <v/>
      </c>
      <c r="I37" s="67" t="str">
        <f>IF(B37="","",VLOOKUP(AD37,#REF!,19,0))</f>
        <v/>
      </c>
      <c r="J37" s="67" t="str">
        <f>IF(B37="","",VLOOKUP(AD37,#REF!,6,0))</f>
        <v/>
      </c>
      <c r="K37" s="67"/>
      <c r="L37" s="67"/>
      <c r="M37" s="67" t="str">
        <f>IFERROR(IF(B37="","",K37/VLOOKUP(AD37,Varsayımlar!B:R,17,0)),"")</f>
        <v/>
      </c>
      <c r="N37" s="67"/>
      <c r="O37" s="67"/>
      <c r="P37" s="67" t="str">
        <f>IF(B37="","",VLOOKUP(AD37,#REF!,7,0)*K37)</f>
        <v/>
      </c>
      <c r="Q37" s="67" t="str">
        <f>IF(B37="","",VLOOKUP(AD37,#REF!,8,0))</f>
        <v/>
      </c>
      <c r="R37" s="67" t="str">
        <f>IF(B37="","",VLOOKUP(AD37,#REF!,9,0))</f>
        <v/>
      </c>
      <c r="S37" s="67" t="str">
        <f>IF(B37="","",VLOOKUP(AD37,#REF!,10,0))</f>
        <v/>
      </c>
      <c r="T37" s="67" t="str">
        <f>IF(B37="","",VLOOKUP(AD37,#REF!,11,0))</f>
        <v/>
      </c>
      <c r="U37" s="67" t="str">
        <f>IF(B37="","",VLOOKUP(AD37,#REF!,12,0))</f>
        <v/>
      </c>
      <c r="V37" s="67" t="str">
        <f>IF(B37="","",VLOOKUP(AD37,#REF!,13,0))</f>
        <v/>
      </c>
      <c r="W37" s="67" t="str">
        <f>IF(B37="","",VLOOKUP(AD37,#REF!,14,0))</f>
        <v/>
      </c>
      <c r="X37" s="69"/>
      <c r="Y37" s="69"/>
      <c r="Z37" s="67"/>
      <c r="AA37" s="67" t="str">
        <f>IF(B37="","",VLOOKUP(AD37,#REF!,15,0))</f>
        <v/>
      </c>
      <c r="AB37" s="67" t="str">
        <f>IF(B37="","",VLOOKUP(AD37,#REF!,16,0))</f>
        <v/>
      </c>
      <c r="AC37" s="145"/>
      <c r="AD37" s="57"/>
    </row>
    <row r="38" spans="1:30" ht="36" customHeight="1" x14ac:dyDescent="0.25">
      <c r="A38" s="8" t="s">
        <v>150</v>
      </c>
      <c r="B38" s="67"/>
      <c r="C38" s="42" t="str">
        <f>IF(B38="","",VLOOKUP(AD38,#REF!,3,0))</f>
        <v/>
      </c>
      <c r="D38" s="42"/>
      <c r="E38" s="42"/>
      <c r="F38" s="67"/>
      <c r="G38" s="67"/>
      <c r="H38" s="67" t="str">
        <f>IF(B38="","",VLOOKUP(AD38,#REF!,5,0))</f>
        <v/>
      </c>
      <c r="I38" s="67" t="str">
        <f>IF(B38="","",VLOOKUP(AD38,#REF!,19,0))</f>
        <v/>
      </c>
      <c r="J38" s="67" t="str">
        <f>IF(B38="","",VLOOKUP(AD38,#REF!,6,0))</f>
        <v/>
      </c>
      <c r="K38" s="67"/>
      <c r="L38" s="67"/>
      <c r="M38" s="67" t="str">
        <f>IFERROR(IF(B38="","",K38/VLOOKUP(AD38,Varsayımlar!B:R,17,0)),"")</f>
        <v/>
      </c>
      <c r="N38" s="67"/>
      <c r="O38" s="67"/>
      <c r="P38" s="67" t="str">
        <f>IF(B38="","",VLOOKUP(AD38,#REF!,7,0)*K38)</f>
        <v/>
      </c>
      <c r="Q38" s="67" t="str">
        <f>IF(B38="","",VLOOKUP(AD38,#REF!,8,0))</f>
        <v/>
      </c>
      <c r="R38" s="67" t="str">
        <f>IF(B38="","",VLOOKUP(AD38,#REF!,9,0))</f>
        <v/>
      </c>
      <c r="S38" s="67" t="str">
        <f>IF(B38="","",VLOOKUP(AD38,#REF!,10,0))</f>
        <v/>
      </c>
      <c r="T38" s="67" t="str">
        <f>IF(B38="","",VLOOKUP(AD38,#REF!,11,0))</f>
        <v/>
      </c>
      <c r="U38" s="67" t="str">
        <f>IF(B38="","",VLOOKUP(AD38,#REF!,12,0))</f>
        <v/>
      </c>
      <c r="V38" s="67" t="str">
        <f>IF(B38="","",VLOOKUP(AD38,#REF!,13,0))</f>
        <v/>
      </c>
      <c r="W38" s="67" t="str">
        <f>IF(B38="","",VLOOKUP(AD38,#REF!,14,0))</f>
        <v/>
      </c>
      <c r="X38" s="69"/>
      <c r="Y38" s="69"/>
      <c r="Z38" s="67"/>
      <c r="AA38" s="67" t="str">
        <f>IF(B38="","",VLOOKUP(AD38,#REF!,15,0))</f>
        <v/>
      </c>
      <c r="AB38" s="67" t="str">
        <f>IF(B38="","",VLOOKUP(AD38,#REF!,16,0))</f>
        <v/>
      </c>
      <c r="AC38" s="145"/>
      <c r="AD38" s="57"/>
    </row>
    <row r="39" spans="1:30" x14ac:dyDescent="0.25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6"/>
      <c r="Y39" s="136"/>
      <c r="Z39" s="135"/>
      <c r="AA39" s="135"/>
      <c r="AB39" s="137"/>
      <c r="AC39" s="138"/>
      <c r="AD39" s="57"/>
    </row>
    <row r="40" spans="1:30" ht="31.5" customHeight="1" x14ac:dyDescent="0.25">
      <c r="A40" s="182" t="s">
        <v>344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4"/>
      <c r="AC40" s="38"/>
    </row>
    <row r="41" spans="1:30" ht="63" x14ac:dyDescent="0.25">
      <c r="A41" s="8" t="s">
        <v>0</v>
      </c>
      <c r="B41" s="8" t="s">
        <v>1</v>
      </c>
      <c r="C41" s="9" t="s">
        <v>31</v>
      </c>
      <c r="D41" s="9" t="s">
        <v>124</v>
      </c>
      <c r="E41" s="9" t="s">
        <v>36</v>
      </c>
      <c r="F41" s="8" t="s">
        <v>37</v>
      </c>
      <c r="G41" s="8" t="s">
        <v>13</v>
      </c>
      <c r="H41" s="8" t="s">
        <v>2</v>
      </c>
      <c r="I41" s="8" t="s">
        <v>49</v>
      </c>
      <c r="J41" s="8" t="s">
        <v>3</v>
      </c>
      <c r="K41" s="8" t="s">
        <v>21</v>
      </c>
      <c r="L41" s="8" t="s">
        <v>94</v>
      </c>
      <c r="M41" s="8" t="s">
        <v>20</v>
      </c>
      <c r="N41" s="8" t="s">
        <v>165</v>
      </c>
      <c r="O41" s="8" t="s">
        <v>123</v>
      </c>
      <c r="P41" s="8" t="s">
        <v>16</v>
      </c>
      <c r="Q41" s="8" t="s">
        <v>4</v>
      </c>
      <c r="R41" s="8" t="s">
        <v>5</v>
      </c>
      <c r="S41" s="8" t="s">
        <v>6</v>
      </c>
      <c r="T41" s="8" t="s">
        <v>28</v>
      </c>
      <c r="U41" s="8" t="s">
        <v>7</v>
      </c>
      <c r="V41" s="8" t="s">
        <v>8</v>
      </c>
      <c r="W41" s="8" t="s">
        <v>267</v>
      </c>
      <c r="X41" s="8" t="s">
        <v>10</v>
      </c>
      <c r="Y41" s="8" t="s">
        <v>11</v>
      </c>
      <c r="Z41" s="8" t="s">
        <v>12</v>
      </c>
      <c r="AA41" s="8" t="s">
        <v>14</v>
      </c>
      <c r="AB41" s="8" t="s">
        <v>15</v>
      </c>
      <c r="AC41" s="8" t="s">
        <v>208</v>
      </c>
      <c r="AD41" s="140" t="s">
        <v>41</v>
      </c>
    </row>
    <row r="42" spans="1:30" ht="47.25" x14ac:dyDescent="0.25">
      <c r="A42" s="8" t="s">
        <v>77</v>
      </c>
      <c r="B42" s="130" t="s">
        <v>119</v>
      </c>
      <c r="C42" s="130">
        <f>IF(B42="","",VLOOKUP(AD42,Varsayımlar!$B:$Q,3,0))</f>
        <v>8698829380698</v>
      </c>
      <c r="D42" s="130"/>
      <c r="E42" s="130" t="s">
        <v>120</v>
      </c>
      <c r="F42" s="130"/>
      <c r="G42" s="130"/>
      <c r="H42" s="130" t="str">
        <f>IF(B42="","",VLOOKUP(AD42,Varsayımlar!$B:$Q,5,0))</f>
        <v>Nimet 25 cm</v>
      </c>
      <c r="I42" s="130"/>
      <c r="J42" s="130" t="str">
        <f>IF(B42="","",VLOOKUP(AD42,Varsayımlar!$B:$Q,6,0))</f>
        <v>SADE</v>
      </c>
      <c r="K42" s="130">
        <v>4000</v>
      </c>
      <c r="L42" s="130"/>
      <c r="M42" s="130">
        <f>IFERROR(IF(B42="","",K42/VLOOKUP(AD42,Varsayımlar!B:R,17,0)),"")</f>
        <v>80</v>
      </c>
      <c r="N42" s="130"/>
      <c r="O42" s="130">
        <v>60</v>
      </c>
      <c r="P42" s="130">
        <f>IF(B42="","",VLOOKUP(AD42,Varsayımlar!$B:$Q,7,0)*K42)</f>
        <v>48000</v>
      </c>
      <c r="Q42" s="130">
        <f>IF(B42="","",VLOOKUP(AD42,Varsayımlar!$B:$Q,8,0))</f>
        <v>25</v>
      </c>
      <c r="R42" s="130" t="str">
        <f>IF(B42="","",VLOOKUP(AD42,Varsayımlar!$B:$Q,9,0))</f>
        <v>Standart</v>
      </c>
      <c r="S42" s="130">
        <f>IF(B42="","",VLOOKUP(AD42,Varsayımlar!$B:$Q,10,0))</f>
        <v>12</v>
      </c>
      <c r="T42" s="130">
        <f>IF(B42="","",VLOOKUP(AD42,Varsayımlar!$B:$Q,11,0))</f>
        <v>12</v>
      </c>
      <c r="U42" s="130">
        <f>IF(B42="","",VLOOKUP(AD42,Varsayımlar!$B:$Q,12,0))</f>
        <v>840</v>
      </c>
      <c r="V42" s="130" t="str">
        <f>IF(B42="","",VLOOKUP(AD42,Varsayımlar!$B:$Q,13,0))</f>
        <v>YURTİÇİ</v>
      </c>
      <c r="W42" s="130">
        <f>IF(B42="","",VLOOKUP(AD42,Varsayımlar!$B:$Q,14,0))</f>
        <v>5</v>
      </c>
      <c r="X42" s="130" t="s">
        <v>113</v>
      </c>
      <c r="Y42" s="130" t="s">
        <v>113</v>
      </c>
      <c r="Z42" s="130" t="s">
        <v>113</v>
      </c>
      <c r="AA42" s="130" t="str">
        <f>IF(B42="","",VLOOKUP(AD42,Varsayımlar!$B:$Q,15,0))</f>
        <v>Nimet Kolisi</v>
      </c>
      <c r="AB42" s="130" t="str">
        <f>IF(B42="","",VLOOKUP(AD42,Varsayımlar!$B:$Q,16,0))</f>
        <v>24-26 CM</v>
      </c>
      <c r="AC42" s="64" t="s">
        <v>360</v>
      </c>
      <c r="AD42" s="57" t="str">
        <f t="shared" ref="AD42:AD51" si="1">IF(B42="","",CONCATENATE(B42,E42))</f>
        <v>A101Nimet 25cm 12 pcs 840g</v>
      </c>
    </row>
    <row r="43" spans="1:30" ht="51.75" customHeight="1" x14ac:dyDescent="0.25">
      <c r="A43" s="8" t="s">
        <v>78</v>
      </c>
      <c r="B43" s="75" t="s">
        <v>218</v>
      </c>
      <c r="C43" s="43">
        <f>IF(B43="","",VLOOKUP(AD43,Varsayımlar!$B:$Q,3,0))</f>
        <v>8698829380698</v>
      </c>
      <c r="D43" s="43" t="s">
        <v>161</v>
      </c>
      <c r="E43" s="75" t="s">
        <v>228</v>
      </c>
      <c r="F43" s="75" t="s">
        <v>561</v>
      </c>
      <c r="G43" s="43" t="s">
        <v>578</v>
      </c>
      <c r="H43" s="75" t="str">
        <f>IF(B43="","",VLOOKUP(AD43,Varsayımlar!$B:$Q,5,0))</f>
        <v>Tortillas Avrupa 25cm (698)</v>
      </c>
      <c r="I43" s="75">
        <f>IF(B43="","",VLOOKUP(AD43,Varsayımlar!B:T,19,0))</f>
        <v>0</v>
      </c>
      <c r="J43" s="75" t="str">
        <f>IF(B43="","",VLOOKUP(AD43,Varsayımlar!$B:$Q,6,0))</f>
        <v>SADE</v>
      </c>
      <c r="K43" s="75">
        <v>600</v>
      </c>
      <c r="L43" s="75"/>
      <c r="M43" s="75">
        <f>IFERROR(IF(B43="","",K43/VLOOKUP(AD43,Varsayımlar!B:R,17,0)),"")</f>
        <v>5</v>
      </c>
      <c r="N43" s="75"/>
      <c r="O43" s="75">
        <v>6</v>
      </c>
      <c r="P43" s="75">
        <f>IF(B43="","",VLOOKUP(AD43,Varsayımlar!$B:$Q,7,0)*K43)</f>
        <v>4800</v>
      </c>
      <c r="Q43" s="75">
        <f>IF(B43="","",VLOOKUP(AD43,Varsayımlar!$B:$Q,8,0))</f>
        <v>25</v>
      </c>
      <c r="R43" s="75" t="str">
        <f>IF(B43="","",VLOOKUP(AD43,Varsayımlar!$B:$Q,9,0))</f>
        <v>Irak Soft</v>
      </c>
      <c r="S43" s="75">
        <f>IF(B43="","",VLOOKUP(AD43,Varsayımlar!$B:$Q,10,0))</f>
        <v>10</v>
      </c>
      <c r="T43" s="75">
        <f>IF(B43="","",VLOOKUP(AD43,Varsayımlar!$B:$Q,11,0))</f>
        <v>8</v>
      </c>
      <c r="U43" s="75">
        <f>IF(B43="","",VLOOKUP(AD43,Varsayımlar!$B:$Q,12,0))</f>
        <v>650</v>
      </c>
      <c r="V43" s="75" t="str">
        <f>IF(B43="","",VLOOKUP(AD43,Varsayımlar!$B:$Q,13,0))</f>
        <v>Yurtdışı</v>
      </c>
      <c r="W43" s="75">
        <f>IF(B43="","",VLOOKUP(AD43,Varsayımlar!$B:$Q,14,0))</f>
        <v>9</v>
      </c>
      <c r="X43" s="76">
        <v>46213</v>
      </c>
      <c r="Y43" s="76">
        <v>46487</v>
      </c>
      <c r="Z43" s="75">
        <v>26071025</v>
      </c>
      <c r="AA43" s="75" t="str">
        <f>IF(B43="","",VLOOKUP(AD43,Varsayımlar!$B:$Q,15,0))</f>
        <v>25cm Perforeli-Bulgarca etiket</v>
      </c>
      <c r="AB43" s="75" t="str">
        <f>IF(B43="","",VLOOKUP(AD43,Varsayımlar!$B:$Q,16,0))</f>
        <v>24-26 cm</v>
      </c>
      <c r="AC43" s="75" t="str">
        <f>IF(B43="","",VLOOKUP(Sayfa1!AD61,Varsayımlar!B:S,18,0))</f>
        <v>80x120cm -Epal+Epal</v>
      </c>
      <c r="AD43" s="57" t="str">
        <f t="shared" si="1"/>
        <v>TASTE LAND-BULGARİSTANTortillas 25cm Sade 10pcs 650g</v>
      </c>
    </row>
    <row r="44" spans="1:30" ht="36" customHeight="1" x14ac:dyDescent="0.25">
      <c r="A44" s="8" t="s">
        <v>79</v>
      </c>
      <c r="B44" s="149" t="s">
        <v>500</v>
      </c>
      <c r="C44" s="149">
        <f>IF(B44="","",VLOOKUP(AD44,Varsayımlar!$B:$Q,3,0))</f>
        <v>8698829380698</v>
      </c>
      <c r="D44" s="149"/>
      <c r="E44" s="149" t="s">
        <v>193</v>
      </c>
      <c r="F44" s="149">
        <v>26062201</v>
      </c>
      <c r="G44" s="149"/>
      <c r="H44" s="149" t="str">
        <f>IF(B44="","",VLOOKUP(AD44,Varsayımlar!$B:$Q,5,0))</f>
        <v>Tortillas 25cm</v>
      </c>
      <c r="I44" s="149">
        <f>IF(B44="","",VLOOKUP(AD44,Varsayımlar!B:T,19,0))</f>
        <v>0</v>
      </c>
      <c r="J44" s="149" t="str">
        <f>IF(B44="","",VLOOKUP(AD44,Varsayımlar!$B:$Q,6,0))</f>
        <v>Sade</v>
      </c>
      <c r="K44" s="149">
        <v>50</v>
      </c>
      <c r="L44" s="149"/>
      <c r="M44" s="149">
        <f>IFERROR(IF(B44="","",K44/VLOOKUP(AD44,Varsayımlar!B:R,17,0)),"")</f>
        <v>1</v>
      </c>
      <c r="N44" s="149"/>
      <c r="O44" s="149">
        <v>1</v>
      </c>
      <c r="P44" s="149">
        <f>IF(B44="","",VLOOKUP(AD44,Varsayımlar!$B:$Q,7,0)*K44)</f>
        <v>600</v>
      </c>
      <c r="Q44" s="149">
        <f>IF(B44="","",VLOOKUP(AD44,Varsayımlar!$B:$Q,8,0))</f>
        <v>25</v>
      </c>
      <c r="R44" s="149" t="str">
        <f>IF(B44="","",VLOOKUP(AD44,Varsayımlar!$B:$Q,9,0))</f>
        <v>Irak Soft</v>
      </c>
      <c r="S44" s="149">
        <f>IF(B44="","",VLOOKUP(AD44,Varsayımlar!$B:$Q,10,0))</f>
        <v>10</v>
      </c>
      <c r="T44" s="149">
        <f>IF(B44="","",VLOOKUP(AD44,Varsayımlar!$B:$Q,11,0))</f>
        <v>12</v>
      </c>
      <c r="U44" s="149">
        <f>IF(B44="","",VLOOKUP(AD44,Varsayımlar!$B:$Q,12,0))</f>
        <v>650</v>
      </c>
      <c r="V44" s="149" t="str">
        <f>IF(B44="","",VLOOKUP(AD44,Varsayımlar!$B:$Q,13,0))</f>
        <v>Yurtdışı</v>
      </c>
      <c r="W44" s="149">
        <f>IF(B44="","",VLOOKUP(AD44,Varsayımlar!$B:$Q,14,0))</f>
        <v>12</v>
      </c>
      <c r="X44" s="151"/>
      <c r="Y44" s="151"/>
      <c r="Z44" s="149"/>
      <c r="AA44" s="149" t="str">
        <f>IF(B44="","",VLOOKUP(AD44,Varsayımlar!$B:$Q,15,0))</f>
        <v>25cm Kolisi</v>
      </c>
      <c r="AB44" s="149" t="str">
        <f>IF(B44="","",VLOOKUP(AD44,Varsayımlar!$B:$Q,16,0))</f>
        <v>24-26cm</v>
      </c>
      <c r="AC44" s="67"/>
      <c r="AD44" s="57" t="str">
        <f t="shared" si="1"/>
        <v>Fama GroupTortillas 25cm 10pcs 650g</v>
      </c>
    </row>
    <row r="45" spans="1:30" ht="44.25" customHeight="1" x14ac:dyDescent="0.25">
      <c r="A45" s="8" t="s">
        <v>80</v>
      </c>
      <c r="B45" s="67" t="s">
        <v>460</v>
      </c>
      <c r="C45" s="42">
        <f>IF(B45="","",VLOOKUP(AD45,Varsayımlar!$B:$Q,3,0))</f>
        <v>8698829380698</v>
      </c>
      <c r="D45" s="67" t="s">
        <v>540</v>
      </c>
      <c r="E45" s="67" t="s">
        <v>468</v>
      </c>
      <c r="F45" s="67">
        <v>20260414</v>
      </c>
      <c r="G45" s="67" t="s">
        <v>578</v>
      </c>
      <c r="H45" s="67" t="str">
        <f>IF(B45="","",VLOOKUP(AD45,Varsayımlar!$B:$Q,5,0))</f>
        <v>Tortillove 25cm</v>
      </c>
      <c r="I45" s="67">
        <f>IF(B45="","",VLOOKUP(AD45,Varsayımlar!B:T,19,0))</f>
        <v>0</v>
      </c>
      <c r="J45" s="67" t="str">
        <f>IF(B45="","",VLOOKUP(AD45,Varsayımlar!$B:$Q,6,0))</f>
        <v>SADE</v>
      </c>
      <c r="K45" s="67">
        <v>100</v>
      </c>
      <c r="L45" s="67"/>
      <c r="M45" s="67">
        <f>IFERROR(IF(B45="","",K45/VLOOKUP(AD45,Varsayımlar!B:R,17,0)),"")</f>
        <v>1</v>
      </c>
      <c r="N45" s="67"/>
      <c r="O45" s="67">
        <v>2</v>
      </c>
      <c r="P45" s="67">
        <f>IF(B45="","",VLOOKUP(AD45,Varsayımlar!$B:$Q,7,0)*K45)</f>
        <v>1200</v>
      </c>
      <c r="Q45" s="67">
        <f>IF(B45="","",VLOOKUP(AD45,Varsayımlar!$B:$Q,8,0))</f>
        <v>25</v>
      </c>
      <c r="R45" s="67" t="str">
        <f>IF(B45="","",VLOOKUP(AD45,Varsayımlar!$B:$Q,9,0))</f>
        <v>Irak Soft</v>
      </c>
      <c r="S45" s="67">
        <f>IF(B45="","",VLOOKUP(AD45,Varsayımlar!$B:$Q,10,0))</f>
        <v>10</v>
      </c>
      <c r="T45" s="67">
        <f>IF(B45="","",VLOOKUP(AD45,Varsayımlar!$B:$Q,11,0))</f>
        <v>12</v>
      </c>
      <c r="U45" s="67">
        <f>IF(B45="","",VLOOKUP(AD45,Varsayımlar!$B:$Q,12,0))</f>
        <v>650</v>
      </c>
      <c r="V45" s="67" t="str">
        <f>IF(B45="","",VLOOKUP(AD45,Varsayımlar!$B:$Q,13,0))</f>
        <v>Yurtdışı</v>
      </c>
      <c r="W45" s="67">
        <f>IF(B45="","",VLOOKUP(AD45,Varsayımlar!$B:$Q,14,0))</f>
        <v>6</v>
      </c>
      <c r="X45" s="69">
        <v>46216</v>
      </c>
      <c r="Y45" s="69">
        <v>46400</v>
      </c>
      <c r="Z45" s="67">
        <v>26071325</v>
      </c>
      <c r="AA45" s="67" t="str">
        <f>IF(B45="","",VLOOKUP(AD45,Varsayımlar!$B:$Q,15,0))</f>
        <v>25cm Kırmızı Koli</v>
      </c>
      <c r="AB45" s="67" t="str">
        <f>IF(B45="","",VLOOKUP(AD45,Varsayımlar!$B:$Q,16,0))</f>
        <v>24-26 cm</v>
      </c>
      <c r="AC45" s="75" t="str">
        <f>IF(B45="","",VLOOKUP(Sayfa1!AD64,Varsayımlar!B:S,18,0))</f>
        <v>80x120cm -Epal+Epal</v>
      </c>
      <c r="AD45" s="57" t="str">
        <f t="shared" si="1"/>
        <v>Yüksekbaş GıdaYüksekbaş 25cm 10pcs 650g</v>
      </c>
    </row>
    <row r="46" spans="1:30" ht="44.25" customHeight="1" x14ac:dyDescent="0.25">
      <c r="A46" s="8" t="s">
        <v>81</v>
      </c>
      <c r="B46" s="42" t="s">
        <v>460</v>
      </c>
      <c r="C46" s="42">
        <f>IF(B46="","",VLOOKUP(AD46,Varsayımlar!$B:$Q,3,0))</f>
        <v>8698829380698</v>
      </c>
      <c r="D46" s="42" t="s">
        <v>540</v>
      </c>
      <c r="E46" s="42" t="s">
        <v>471</v>
      </c>
      <c r="F46" s="42">
        <v>20260414</v>
      </c>
      <c r="G46" s="42" t="s">
        <v>578</v>
      </c>
      <c r="H46" s="42" t="str">
        <f>IF(B46="","",VLOOKUP(AD46,Varsayımlar!$B:$Q,5,0))</f>
        <v>Tortillove Tam Buğday 25cm</v>
      </c>
      <c r="I46" s="42">
        <f>IF(B46="","",VLOOKUP(AD46,Varsayımlar!B:T,19,0))</f>
        <v>0</v>
      </c>
      <c r="J46" s="42" t="str">
        <f>IF(B46="","",VLOOKUP(AD46,Varsayımlar!$B:$Q,6,0))</f>
        <v>Tam Buğdaylı</v>
      </c>
      <c r="K46" s="42">
        <v>500</v>
      </c>
      <c r="L46" s="42"/>
      <c r="M46" s="42">
        <f>IFERROR(IF(B46="","",K46/VLOOKUP(AD46,Varsayımlar!B:R,17,0)),"")</f>
        <v>5</v>
      </c>
      <c r="N46" s="42"/>
      <c r="O46" s="42">
        <v>7</v>
      </c>
      <c r="P46" s="42">
        <f>IF(B46="","",VLOOKUP(AD46,Varsayımlar!$B:$Q,7,0)*K46)</f>
        <v>6000</v>
      </c>
      <c r="Q46" s="42">
        <f>IF(B46="","",VLOOKUP(AD46,Varsayımlar!$B:$Q,8,0))</f>
        <v>25</v>
      </c>
      <c r="R46" s="42" t="str">
        <f>IF(B46="","",VLOOKUP(AD46,Varsayımlar!$B:$Q,9,0))</f>
        <v>Irak Soft</v>
      </c>
      <c r="S46" s="42">
        <f>IF(B46="","",VLOOKUP(AD46,Varsayımlar!$B:$Q,10,0))</f>
        <v>10</v>
      </c>
      <c r="T46" s="42">
        <f>IF(B46="","",VLOOKUP(AD46,Varsayımlar!$B:$Q,11,0))</f>
        <v>12</v>
      </c>
      <c r="U46" s="42">
        <f>IF(B46="","",VLOOKUP(AD46,Varsayımlar!$B:$Q,12,0))</f>
        <v>650</v>
      </c>
      <c r="V46" s="42" t="str">
        <f>IF(B46="","",VLOOKUP(AD46,Varsayımlar!$B:$Q,13,0))</f>
        <v>Yurtdışı</v>
      </c>
      <c r="W46" s="42">
        <f>IF(B46="","",VLOOKUP(AD46,Varsayımlar!$B:$Q,14,0))</f>
        <v>6</v>
      </c>
      <c r="X46" s="69">
        <v>46216</v>
      </c>
      <c r="Y46" s="69">
        <v>46400</v>
      </c>
      <c r="Z46" s="42" t="s">
        <v>475</v>
      </c>
      <c r="AA46" s="42" t="str">
        <f>IF(B46="","",VLOOKUP(AD46,Varsayımlar!$B:$Q,15,0))</f>
        <v>25cm Kırmızı Koli-Etiketli</v>
      </c>
      <c r="AB46" s="42" t="str">
        <f>IF(B46="","",VLOOKUP(AD46,Varsayımlar!$B:$Q,16,0))</f>
        <v>24-26 cm</v>
      </c>
      <c r="AC46" s="75" t="str">
        <f>IF(B46="","",VLOOKUP(Sayfa1!AD64,Varsayımlar!B:S,18,0))</f>
        <v>80x120cm -Epal+Epal</v>
      </c>
      <c r="AD46" s="57" t="str">
        <f t="shared" si="1"/>
        <v>Yüksekbaş GıdaYüksekbaş TB 25cm 10pcs 650g</v>
      </c>
    </row>
    <row r="47" spans="1:30" ht="45.75" customHeight="1" x14ac:dyDescent="0.25">
      <c r="A47" s="8" t="s">
        <v>82</v>
      </c>
      <c r="B47" s="130" t="s">
        <v>119</v>
      </c>
      <c r="C47" s="131">
        <f>IF(B47="","",VLOOKUP(AD47,Varsayımlar!$B:$Q,3,0))</f>
        <v>8698829380698</v>
      </c>
      <c r="D47" s="131"/>
      <c r="E47" s="132" t="s">
        <v>120</v>
      </c>
      <c r="F47" s="130"/>
      <c r="G47" s="130"/>
      <c r="H47" s="130" t="str">
        <f>IF(B47="","",VLOOKUP(AD47,Varsayımlar!$B:$Q,5,0))</f>
        <v>Nimet 25 cm</v>
      </c>
      <c r="I47" s="130"/>
      <c r="J47" s="130" t="str">
        <f>IF(B47="","",VLOOKUP(AD47,Varsayımlar!$B:$Q,6,0))</f>
        <v>SADE</v>
      </c>
      <c r="K47" s="130">
        <v>4000</v>
      </c>
      <c r="L47" s="130"/>
      <c r="M47" s="130">
        <f>IFERROR(IF(B47="","",K47/VLOOKUP(AD47,Varsayımlar!B:R,17,0)),"")</f>
        <v>80</v>
      </c>
      <c r="N47" s="130"/>
      <c r="O47" s="130">
        <v>60</v>
      </c>
      <c r="P47" s="130">
        <f>IF(B47="","",VLOOKUP(AD47,Varsayımlar!$B:$Q,7,0)*K47)</f>
        <v>48000</v>
      </c>
      <c r="Q47" s="130">
        <f>IF(B47="","",VLOOKUP(AD47,Varsayımlar!$B:$Q,8,0))</f>
        <v>25</v>
      </c>
      <c r="R47" s="130" t="str">
        <f>IF(B47="","",VLOOKUP(AD47,Varsayımlar!$B:$Q,9,0))</f>
        <v>Standart</v>
      </c>
      <c r="S47" s="130">
        <f>IF(B47="","",VLOOKUP(AD47,Varsayımlar!$B:$Q,10,0))</f>
        <v>12</v>
      </c>
      <c r="T47" s="130">
        <f>IF(B47="","",VLOOKUP(AD47,Varsayımlar!$B:$Q,11,0))</f>
        <v>12</v>
      </c>
      <c r="U47" s="130">
        <f>IF(B47="","",VLOOKUP(AD47,Varsayımlar!$B:$Q,12,0))</f>
        <v>840</v>
      </c>
      <c r="V47" s="130" t="str">
        <f>IF(B47="","",VLOOKUP(AD47,Varsayımlar!$B:$Q,13,0))</f>
        <v>YURTİÇİ</v>
      </c>
      <c r="W47" s="130">
        <f>IF(B47="","",VLOOKUP(AD47,Varsayımlar!$B:$Q,14,0))</f>
        <v>5</v>
      </c>
      <c r="X47" s="133" t="s">
        <v>113</v>
      </c>
      <c r="Y47" s="133" t="s">
        <v>113</v>
      </c>
      <c r="Z47" s="130" t="s">
        <v>113</v>
      </c>
      <c r="AA47" s="130" t="str">
        <f>IF(B47="","",VLOOKUP(AD47,Varsayımlar!$B:$Q,15,0))</f>
        <v>Nimet Kolisi</v>
      </c>
      <c r="AB47" s="130" t="str">
        <f>IF(B47="","",VLOOKUP(AD47,Varsayımlar!$B:$Q,16,0))</f>
        <v>24-26 CM</v>
      </c>
      <c r="AC47" s="64" t="s">
        <v>360</v>
      </c>
      <c r="AD47" s="57" t="str">
        <f t="shared" si="1"/>
        <v>A101Nimet 25cm 12 pcs 840g</v>
      </c>
    </row>
    <row r="48" spans="1:30" ht="33.75" customHeight="1" x14ac:dyDescent="0.25">
      <c r="A48" s="8" t="s">
        <v>83</v>
      </c>
      <c r="B48" s="67" t="s">
        <v>460</v>
      </c>
      <c r="C48" s="42">
        <f>IF(B48="","",VLOOKUP(AD48,Varsayımlar!$B:$Q,3,0))</f>
        <v>8698829380698</v>
      </c>
      <c r="D48" s="67" t="s">
        <v>539</v>
      </c>
      <c r="E48" s="67" t="s">
        <v>468</v>
      </c>
      <c r="F48" s="67">
        <v>20260626</v>
      </c>
      <c r="G48" s="67" t="s">
        <v>578</v>
      </c>
      <c r="H48" s="67" t="str">
        <f>IF(B48="","",VLOOKUP(AD48,Varsayımlar!$B:$Q,5,0))</f>
        <v>Tortillove 25cm</v>
      </c>
      <c r="I48" s="67">
        <f>IF(B48="","",VLOOKUP(AD48,Varsayımlar!B:T,19,0))</f>
        <v>0</v>
      </c>
      <c r="J48" s="67" t="str">
        <f>IF(B48="","",VLOOKUP(AD48,Varsayımlar!$B:$Q,6,0))</f>
        <v>SADE</v>
      </c>
      <c r="K48" s="67">
        <v>100</v>
      </c>
      <c r="L48" s="67"/>
      <c r="M48" s="67">
        <f>IFERROR(IF(B48="","",K48/VLOOKUP(AD48,Varsayımlar!B:R,17,0)),"")</f>
        <v>1</v>
      </c>
      <c r="N48" s="67"/>
      <c r="O48" s="67">
        <v>2</v>
      </c>
      <c r="P48" s="67">
        <f>IF(B48="","",VLOOKUP(AD48,Varsayımlar!$B:$Q,7,0)*K48)</f>
        <v>1200</v>
      </c>
      <c r="Q48" s="67">
        <f>IF(B48="","",VLOOKUP(AD48,Varsayımlar!$B:$Q,8,0))</f>
        <v>25</v>
      </c>
      <c r="R48" s="67" t="str">
        <f>IF(B48="","",VLOOKUP(AD48,Varsayımlar!$B:$Q,9,0))</f>
        <v>Irak Soft</v>
      </c>
      <c r="S48" s="67">
        <f>IF(B48="","",VLOOKUP(AD48,Varsayımlar!$B:$Q,10,0))</f>
        <v>10</v>
      </c>
      <c r="T48" s="67">
        <f>IF(B48="","",VLOOKUP(AD48,Varsayımlar!$B:$Q,11,0))</f>
        <v>12</v>
      </c>
      <c r="U48" s="67">
        <f>IF(B48="","",VLOOKUP(AD48,Varsayımlar!$B:$Q,12,0))</f>
        <v>650</v>
      </c>
      <c r="V48" s="67" t="str">
        <f>IF(B48="","",VLOOKUP(AD48,Varsayımlar!$B:$Q,13,0))</f>
        <v>Yurtdışı</v>
      </c>
      <c r="W48" s="67">
        <f>IF(B48="","",VLOOKUP(AD48,Varsayımlar!$B:$Q,14,0))</f>
        <v>6</v>
      </c>
      <c r="X48" s="69"/>
      <c r="Y48" s="69"/>
      <c r="Z48" s="67"/>
      <c r="AA48" s="67" t="str">
        <f>IF(B48="","",VLOOKUP(AD48,Varsayımlar!$B:$Q,15,0))</f>
        <v>25cm Kırmızı Koli</v>
      </c>
      <c r="AB48" s="67" t="str">
        <f>IF(B48="","",VLOOKUP(AD48,Varsayımlar!$B:$Q,16,0))</f>
        <v>24-26 cm</v>
      </c>
      <c r="AC48" s="75">
        <f>IF(B48="","",VLOOKUP(Sayfa1!AD69,Varsayımlar!B:S,18,0))</f>
        <v>0</v>
      </c>
      <c r="AD48" s="57" t="str">
        <f t="shared" si="1"/>
        <v>Yüksekbaş GıdaYüksekbaş 25cm 10pcs 650g</v>
      </c>
    </row>
    <row r="49" spans="1:30" ht="31.5" x14ac:dyDescent="0.25">
      <c r="A49" s="8" t="s">
        <v>84</v>
      </c>
      <c r="B49" s="42" t="s">
        <v>460</v>
      </c>
      <c r="C49" s="42">
        <f>IF(B49="","",VLOOKUP(AD49,Varsayımlar!$B:$Q,3,0))</f>
        <v>8698829380698</v>
      </c>
      <c r="D49" s="42" t="s">
        <v>539</v>
      </c>
      <c r="E49" s="42" t="s">
        <v>471</v>
      </c>
      <c r="F49" s="42">
        <v>20260626</v>
      </c>
      <c r="G49" s="42" t="s">
        <v>578</v>
      </c>
      <c r="H49" s="42" t="str">
        <f>IF(B49="","",VLOOKUP(AD49,Varsayımlar!$B:$Q,5,0))</f>
        <v>Tortillove Tam Buğday 25cm</v>
      </c>
      <c r="I49" s="42">
        <f>IF(B49="","",VLOOKUP(AD49,Varsayımlar!B:T,19,0))</f>
        <v>0</v>
      </c>
      <c r="J49" s="42" t="str">
        <f>IF(B49="","",VLOOKUP(AD49,Varsayımlar!$B:$Q,6,0))</f>
        <v>Tam Buğdaylı</v>
      </c>
      <c r="K49" s="42">
        <v>500</v>
      </c>
      <c r="L49" s="42"/>
      <c r="M49" s="42">
        <f>IFERROR(IF(B49="","",K49/VLOOKUP(AD49,Varsayımlar!B:R,17,0)),"")</f>
        <v>5</v>
      </c>
      <c r="N49" s="42"/>
      <c r="O49" s="42">
        <v>7</v>
      </c>
      <c r="P49" s="42">
        <f>IF(B49="","",VLOOKUP(AD49,Varsayımlar!$B:$Q,7,0)*K49)</f>
        <v>6000</v>
      </c>
      <c r="Q49" s="42">
        <f>IF(B49="","",VLOOKUP(AD49,Varsayımlar!$B:$Q,8,0))</f>
        <v>25</v>
      </c>
      <c r="R49" s="42" t="str">
        <f>IF(B49="","",VLOOKUP(AD49,Varsayımlar!$B:$Q,9,0))</f>
        <v>Irak Soft</v>
      </c>
      <c r="S49" s="42">
        <f>IF(B49="","",VLOOKUP(AD49,Varsayımlar!$B:$Q,10,0))</f>
        <v>10</v>
      </c>
      <c r="T49" s="42">
        <f>IF(B49="","",VLOOKUP(AD49,Varsayımlar!$B:$Q,11,0))</f>
        <v>12</v>
      </c>
      <c r="U49" s="42">
        <f>IF(B49="","",VLOOKUP(AD49,Varsayımlar!$B:$Q,12,0))</f>
        <v>650</v>
      </c>
      <c r="V49" s="42" t="str">
        <f>IF(B49="","",VLOOKUP(AD49,Varsayımlar!$B:$Q,13,0))</f>
        <v>Yurtdışı</v>
      </c>
      <c r="W49" s="42">
        <f>IF(B49="","",VLOOKUP(AD49,Varsayımlar!$B:$Q,14,0))</f>
        <v>6</v>
      </c>
      <c r="X49" s="69"/>
      <c r="Y49" s="69"/>
      <c r="Z49" s="42"/>
      <c r="AA49" s="42" t="str">
        <f>IF(B49="","",VLOOKUP(AD49,Varsayımlar!$B:$Q,15,0))</f>
        <v>25cm Kırmızı Koli-Etiketli</v>
      </c>
      <c r="AB49" s="42" t="str">
        <f>IF(B49="","",VLOOKUP(AD49,Varsayımlar!$B:$Q,16,0))</f>
        <v>24-26 cm</v>
      </c>
      <c r="AC49" s="75">
        <f>IF(B49="","",VLOOKUP(Sayfa1!AD69,Varsayımlar!B:S,18,0))</f>
        <v>0</v>
      </c>
      <c r="AD49" s="57" t="str">
        <f t="shared" si="1"/>
        <v>Yüksekbaş GıdaYüksekbaş TB 25cm 10pcs 650g</v>
      </c>
    </row>
    <row r="50" spans="1:30" ht="49.5" customHeight="1" x14ac:dyDescent="0.25">
      <c r="A50" s="8" t="s">
        <v>85</v>
      </c>
      <c r="B50" s="152" t="s">
        <v>571</v>
      </c>
      <c r="C50" s="153">
        <f>IF(B50="","",VLOOKUP(AD50,Varsayımlar!$B:$Q,3,0))</f>
        <v>8698829380698</v>
      </c>
      <c r="D50" s="154"/>
      <c r="E50" s="154" t="s">
        <v>574</v>
      </c>
      <c r="F50" s="152">
        <v>20260701</v>
      </c>
      <c r="G50" s="152" t="s">
        <v>578</v>
      </c>
      <c r="H50" s="152" t="str">
        <f>IF(B50="","",VLOOKUP(AD50,Varsayımlar!$B:$Q,5,0))</f>
        <v>Tortillas 25cm</v>
      </c>
      <c r="I50" s="152" t="str">
        <f>IF(B50="","",VLOOKUP(AD50,Varsayımlar!B:T,19,0))</f>
        <v>Azerice Etiketli</v>
      </c>
      <c r="J50" s="152" t="str">
        <f>IF(B50="","",VLOOKUP(AD50,Varsayımlar!$B:$Q,6,0))</f>
        <v>Sade</v>
      </c>
      <c r="K50" s="152">
        <v>80</v>
      </c>
      <c r="L50" s="152"/>
      <c r="M50" s="152">
        <f>IFERROR(IF(B50="","",K50/VLOOKUP(AD50,Varsayımlar!B:R,17,0)),"")</f>
        <v>1</v>
      </c>
      <c r="N50" s="152"/>
      <c r="O50" s="152">
        <v>1</v>
      </c>
      <c r="P50" s="152">
        <f>IF(B50="","",VLOOKUP(AD50,Varsayımlar!$B:$Q,7,0)*K50)</f>
        <v>480</v>
      </c>
      <c r="Q50" s="152">
        <f>IF(B50="","",VLOOKUP(AD50,Varsayımlar!$B:$Q,8,0))</f>
        <v>25</v>
      </c>
      <c r="R50" s="152" t="str">
        <f>IF(B50="","",VLOOKUP(AD50,Varsayımlar!$B:$Q,9,0))</f>
        <v>Irak soft</v>
      </c>
      <c r="S50" s="152">
        <f>IF(B50="","",VLOOKUP(AD50,Varsayımlar!$B:$Q,10,0))</f>
        <v>18</v>
      </c>
      <c r="T50" s="152">
        <f>IF(B50="","",VLOOKUP(AD50,Varsayımlar!$B:$Q,11,0))</f>
        <v>6</v>
      </c>
      <c r="U50" s="152">
        <f>IF(B50="","",VLOOKUP(AD50,Varsayımlar!$B:$Q,12,0))</f>
        <v>1170</v>
      </c>
      <c r="V50" s="152" t="str">
        <f>IF(B50="","",VLOOKUP(AD50,Varsayımlar!$B:$Q,13,0))</f>
        <v>Yurtdışı</v>
      </c>
      <c r="W50" s="152">
        <f>IF(B50="","",VLOOKUP(AD50,Varsayımlar!$B:$Q,14,0))</f>
        <v>9</v>
      </c>
      <c r="X50" s="155"/>
      <c r="Y50" s="155"/>
      <c r="Z50" s="152"/>
      <c r="AA50" s="152" t="str">
        <f>IF(B50="","",VLOOKUP(AD50,Varsayımlar!$B:$Q,15,0))</f>
        <v>25cm Kolisi</v>
      </c>
      <c r="AB50" s="152" t="str">
        <f>IF(B50="","",VLOOKUP(AD50,Varsayımlar!$B:$Q,16,0))</f>
        <v>24-26cm</v>
      </c>
      <c r="AC50" s="8" t="e">
        <f>IF(B50="","",VLOOKUP(#REF!,#REF!,18,0))</f>
        <v>#REF!</v>
      </c>
      <c r="AD50" s="8" t="str">
        <f t="shared" si="1"/>
        <v>HRC TradeTortillas 25cm 18pcs 1170g</v>
      </c>
    </row>
    <row r="51" spans="1:30" ht="51" customHeight="1" x14ac:dyDescent="0.25">
      <c r="A51" s="8" t="s">
        <v>86</v>
      </c>
      <c r="B51" s="160" t="s">
        <v>579</v>
      </c>
      <c r="C51" s="161">
        <f>IF(B51="","",VLOOKUP(AD51,Varsayımlar!$B:$Q,3,0))</f>
        <v>8698829380698</v>
      </c>
      <c r="D51" s="160"/>
      <c r="E51" s="160" t="s">
        <v>193</v>
      </c>
      <c r="F51" s="160">
        <v>20260701</v>
      </c>
      <c r="G51" s="160" t="s">
        <v>578</v>
      </c>
      <c r="H51" s="160" t="str">
        <f>IF(B51="","",VLOOKUP(AD51,Varsayımlar!$B:$Q,5,0))</f>
        <v>Tortillas 25cm</v>
      </c>
      <c r="I51" s="160" t="str">
        <f>IF(B51="","",VLOOKUP(AD51,Varsayımlar!B:T,19,0))</f>
        <v>Arka Kısma Bosnaca içerik Etiketli</v>
      </c>
      <c r="J51" s="160" t="str">
        <f>IF(B51="","",VLOOKUP(AD51,Varsayımlar!$B:$Q,6,0))</f>
        <v>Sade</v>
      </c>
      <c r="K51" s="160">
        <v>400</v>
      </c>
      <c r="L51" s="160"/>
      <c r="M51" s="160">
        <f>IFERROR(IF(B51="","",K51/VLOOKUP(AD51,Varsayımlar!B:R,17,0)),"")</f>
        <v>4</v>
      </c>
      <c r="N51" s="160"/>
      <c r="O51" s="160">
        <v>7</v>
      </c>
      <c r="P51" s="160">
        <f>IF(B51="","",VLOOKUP(AD51,Varsayımlar!$B:$Q,7,0)*K51)</f>
        <v>4800</v>
      </c>
      <c r="Q51" s="160">
        <f>IF(B51="","",VLOOKUP(AD51,Varsayımlar!$B:$Q,8,0))</f>
        <v>25</v>
      </c>
      <c r="R51" s="160" t="str">
        <f>IF(B51="","",VLOOKUP(AD51,Varsayımlar!$B:$Q,9,0))</f>
        <v>Irak soft</v>
      </c>
      <c r="S51" s="160">
        <f>IF(B51="","",VLOOKUP(AD51,Varsayımlar!$B:$Q,10,0))</f>
        <v>10</v>
      </c>
      <c r="T51" s="160">
        <f>IF(B51="","",VLOOKUP(AD51,Varsayımlar!$B:$Q,11,0))</f>
        <v>12</v>
      </c>
      <c r="U51" s="160">
        <f>IF(B51="","",VLOOKUP(AD51,Varsayımlar!$B:$Q,12,0))</f>
        <v>650</v>
      </c>
      <c r="V51" s="160" t="str">
        <f>IF(B51="","",VLOOKUP(AD51,Varsayımlar!$B:$Q,13,0))</f>
        <v>Yurtdışı</v>
      </c>
      <c r="W51" s="160">
        <f>IF(B51="","",VLOOKUP(AD51,Varsayımlar!$B:$Q,14,0))</f>
        <v>6</v>
      </c>
      <c r="X51" s="160"/>
      <c r="Y51" s="160"/>
      <c r="Z51" s="160"/>
      <c r="AA51" s="160" t="str">
        <f>IF(B51="","",VLOOKUP(AD51,Varsayımlar!$B:$Q,15,0))</f>
        <v>25cm Kolisi</v>
      </c>
      <c r="AB51" s="160" t="str">
        <f>IF(B51="","",VLOOKUP(AD51,Varsayımlar!$B:$Q,16,0))</f>
        <v>24-26cm</v>
      </c>
      <c r="AC51" s="75" t="e">
        <f>IF(B51="","",VLOOKUP(Sayfa1!AD111,Varsayımlar!B:S,18,0))</f>
        <v>#N/A</v>
      </c>
      <c r="AD51" s="57" t="str">
        <f t="shared" si="1"/>
        <v>BelamionixTortillas 25cm 10pcs 650g</v>
      </c>
    </row>
    <row r="52" spans="1:30" ht="36" customHeight="1" x14ac:dyDescent="0.25">
      <c r="A52" s="8" t="s">
        <v>87</v>
      </c>
      <c r="B52" s="67"/>
      <c r="C52" s="42" t="str">
        <f>IF(B52="","",VLOOKUP(AD52,#REF!,3,0))</f>
        <v/>
      </c>
      <c r="D52" s="42"/>
      <c r="E52" s="42"/>
      <c r="F52" s="67"/>
      <c r="G52" s="67"/>
      <c r="H52" s="67" t="str">
        <f>IF(B52="","",VLOOKUP(AD52,#REF!,5,0))</f>
        <v/>
      </c>
      <c r="I52" s="67" t="str">
        <f>IF(B52="","",VLOOKUP(AD52,#REF!,19,0))</f>
        <v/>
      </c>
      <c r="J52" s="67" t="str">
        <f>IF(B52="","",VLOOKUP(AD52,#REF!,6,0))</f>
        <v/>
      </c>
      <c r="K52" s="67"/>
      <c r="L52" s="67"/>
      <c r="M52" s="42" t="str">
        <f>IFERROR(IF(B52="","",K52/VLOOKUP(AD52,Varsayımlar!B:R,17,0)),"")</f>
        <v/>
      </c>
      <c r="N52" s="67"/>
      <c r="O52" s="67"/>
      <c r="P52" s="67" t="str">
        <f>IF(B52="","",VLOOKUP(AD52,#REF!,7,0)*K52)</f>
        <v/>
      </c>
      <c r="Q52" s="67" t="str">
        <f>IF(B52="","",VLOOKUP(AD52,#REF!,8,0))</f>
        <v/>
      </c>
      <c r="R52" s="67" t="str">
        <f>IF(B52="","",VLOOKUP(AD52,#REF!,9,0))</f>
        <v/>
      </c>
      <c r="S52" s="67" t="str">
        <f>IF(B52="","",VLOOKUP(AD52,#REF!,10,0))</f>
        <v/>
      </c>
      <c r="T52" s="67" t="str">
        <f>IF(B52="","",VLOOKUP(AD52,#REF!,11,0))</f>
        <v/>
      </c>
      <c r="U52" s="67" t="str">
        <f>IF(B52="","",VLOOKUP(AD52,#REF!,12,0))</f>
        <v/>
      </c>
      <c r="V52" s="67" t="str">
        <f>IF(B52="","",VLOOKUP(AD52,#REF!,13,0))</f>
        <v/>
      </c>
      <c r="W52" s="67" t="str">
        <f>IF(B52="","",VLOOKUP(AD52,#REF!,14,0))</f>
        <v/>
      </c>
      <c r="X52" s="69"/>
      <c r="Y52" s="69"/>
      <c r="Z52" s="67"/>
      <c r="AA52" s="67" t="str">
        <f>IF(B52="","",VLOOKUP(AD52,#REF!,15,0))</f>
        <v/>
      </c>
      <c r="AB52" s="67" t="str">
        <f>IF(B52="","",VLOOKUP(AD52,#REF!,16,0))</f>
        <v/>
      </c>
      <c r="AC52" s="145"/>
      <c r="AD52" s="57"/>
    </row>
    <row r="53" spans="1:30" ht="36" customHeight="1" x14ac:dyDescent="0.25">
      <c r="A53" s="8" t="s">
        <v>88</v>
      </c>
      <c r="B53" s="67"/>
      <c r="C53" s="42" t="str">
        <f>IF(B53="","",VLOOKUP(AD53,#REF!,3,0))</f>
        <v/>
      </c>
      <c r="D53" s="42"/>
      <c r="E53" s="42"/>
      <c r="F53" s="67"/>
      <c r="G53" s="67"/>
      <c r="H53" s="67" t="str">
        <f>IF(B53="","",VLOOKUP(AD53,#REF!,5,0))</f>
        <v/>
      </c>
      <c r="I53" s="67" t="str">
        <f>IF(B53="","",VLOOKUP(AD53,#REF!,19,0))</f>
        <v/>
      </c>
      <c r="J53" s="67" t="str">
        <f>IF(B53="","",VLOOKUP(AD53,#REF!,6,0))</f>
        <v/>
      </c>
      <c r="K53" s="67"/>
      <c r="L53" s="67"/>
      <c r="M53" s="42" t="str">
        <f>IFERROR(IF(B53="","",K53/VLOOKUP(AD53,Varsayımlar!B:R,17,0)),"")</f>
        <v/>
      </c>
      <c r="N53" s="67"/>
      <c r="O53" s="67"/>
      <c r="P53" s="67" t="str">
        <f>IF(B53="","",VLOOKUP(AD53,#REF!,7,0)*K53)</f>
        <v/>
      </c>
      <c r="Q53" s="67" t="str">
        <f>IF(B53="","",VLOOKUP(AD53,#REF!,8,0))</f>
        <v/>
      </c>
      <c r="R53" s="67" t="str">
        <f>IF(B53="","",VLOOKUP(AD53,#REF!,9,0))</f>
        <v/>
      </c>
      <c r="S53" s="67" t="str">
        <f>IF(B53="","",VLOOKUP(AD53,#REF!,10,0))</f>
        <v/>
      </c>
      <c r="T53" s="67" t="str">
        <f>IF(B53="","",VLOOKUP(AD53,#REF!,11,0))</f>
        <v/>
      </c>
      <c r="U53" s="67" t="str">
        <f>IF(B53="","",VLOOKUP(AD53,#REF!,12,0))</f>
        <v/>
      </c>
      <c r="V53" s="67" t="str">
        <f>IF(B53="","",VLOOKUP(AD53,#REF!,13,0))</f>
        <v/>
      </c>
      <c r="W53" s="67" t="str">
        <f>IF(B53="","",VLOOKUP(AD53,#REF!,14,0))</f>
        <v/>
      </c>
      <c r="X53" s="69"/>
      <c r="Y53" s="69"/>
      <c r="Z53" s="67"/>
      <c r="AA53" s="67" t="str">
        <f>IF(B53="","",VLOOKUP(AD53,#REF!,15,0))</f>
        <v/>
      </c>
      <c r="AB53" s="67" t="str">
        <f>IF(B53="","",VLOOKUP(AD53,#REF!,16,0))</f>
        <v/>
      </c>
      <c r="AC53" s="145"/>
      <c r="AD53" s="57"/>
    </row>
    <row r="54" spans="1:30" ht="36" customHeight="1" x14ac:dyDescent="0.25">
      <c r="A54" s="8" t="s">
        <v>89</v>
      </c>
      <c r="B54" s="67"/>
      <c r="C54" s="42" t="str">
        <f>IF(B54="","",VLOOKUP(AD54,#REF!,3,0))</f>
        <v/>
      </c>
      <c r="D54" s="42"/>
      <c r="E54" s="42"/>
      <c r="F54" s="67"/>
      <c r="G54" s="67"/>
      <c r="H54" s="67" t="str">
        <f>IF(B54="","",VLOOKUP(AD54,#REF!,5,0))</f>
        <v/>
      </c>
      <c r="I54" s="67" t="str">
        <f>IF(B54="","",VLOOKUP(AD54,#REF!,19,0))</f>
        <v/>
      </c>
      <c r="J54" s="67" t="str">
        <f>IF(B54="","",VLOOKUP(AD54,#REF!,6,0))</f>
        <v/>
      </c>
      <c r="K54" s="67"/>
      <c r="L54" s="67"/>
      <c r="M54" s="42" t="str">
        <f>IFERROR(IF(B54="","",K54/VLOOKUP(AD54,Varsayımlar!B:R,17,0)),"")</f>
        <v/>
      </c>
      <c r="N54" s="67"/>
      <c r="O54" s="67"/>
      <c r="P54" s="67" t="str">
        <f>IF(B54="","",VLOOKUP(AD54,#REF!,7,0)*K54)</f>
        <v/>
      </c>
      <c r="Q54" s="67" t="str">
        <f>IF(B54="","",VLOOKUP(AD54,#REF!,8,0))</f>
        <v/>
      </c>
      <c r="R54" s="67" t="str">
        <f>IF(B54="","",VLOOKUP(AD54,#REF!,9,0))</f>
        <v/>
      </c>
      <c r="S54" s="67" t="str">
        <f>IF(B54="","",VLOOKUP(AD54,#REF!,10,0))</f>
        <v/>
      </c>
      <c r="T54" s="67" t="str">
        <f>IF(B54="","",VLOOKUP(AD54,#REF!,11,0))</f>
        <v/>
      </c>
      <c r="U54" s="67" t="str">
        <f>IF(B54="","",VLOOKUP(AD54,#REF!,12,0))</f>
        <v/>
      </c>
      <c r="V54" s="67" t="str">
        <f>IF(B54="","",VLOOKUP(AD54,#REF!,13,0))</f>
        <v/>
      </c>
      <c r="W54" s="67" t="str">
        <f>IF(B54="","",VLOOKUP(AD54,#REF!,14,0))</f>
        <v/>
      </c>
      <c r="X54" s="69"/>
      <c r="Y54" s="69"/>
      <c r="Z54" s="67"/>
      <c r="AA54" s="67" t="str">
        <f>IF(B54="","",VLOOKUP(AD54,#REF!,15,0))</f>
        <v/>
      </c>
      <c r="AB54" s="67" t="str">
        <f>IF(B54="","",VLOOKUP(AD54,#REF!,16,0))</f>
        <v/>
      </c>
      <c r="AC54" s="145"/>
      <c r="AD54" s="57"/>
    </row>
    <row r="55" spans="1:30" x14ac:dyDescent="0.25">
      <c r="C55" s="141" t="str">
        <f>IF(B55="","",VLOOKUP(AD55,Varsayımlar!$B:$Q,3,0))</f>
        <v/>
      </c>
      <c r="H55" s="140" t="str">
        <f>IF(B55="","",VLOOKUP(AD55,Varsayımlar!$B:$Q,5,0))</f>
        <v/>
      </c>
      <c r="J55" s="140" t="str">
        <f>IF(B55="","",VLOOKUP(AD55,Varsayımlar!$B:$Q,6,0))</f>
        <v/>
      </c>
      <c r="P55" s="140" t="str">
        <f>IF(B55="","",VLOOKUP(AD55,Varsayımlar!$B:$Q,7,0)*K55)</f>
        <v/>
      </c>
      <c r="Q55" s="140" t="str">
        <f>IF(B55="","",VLOOKUP(AD55,Varsayımlar!$B:$Q,8,0))</f>
        <v/>
      </c>
      <c r="R55" s="140" t="str">
        <f>IF(B55="","",VLOOKUP(AD55,Varsayımlar!$B:$Q,9,0))</f>
        <v/>
      </c>
      <c r="S55" s="140" t="str">
        <f>IF(B55="","",VLOOKUP(AD55,Varsayımlar!$B:$Q,10,0))</f>
        <v/>
      </c>
      <c r="T55" s="140" t="str">
        <f>IF(B55="","",VLOOKUP(AD55,Varsayımlar!$B:$Q,11,0))</f>
        <v/>
      </c>
      <c r="U55" s="140" t="str">
        <f>IF(B55="","",VLOOKUP(AD55,Varsayımlar!$B:$Q,12,0))</f>
        <v/>
      </c>
      <c r="V55" s="140" t="str">
        <f>IF(B55="","",VLOOKUP(AD55,Varsayımlar!$B:$Q,13,0))</f>
        <v/>
      </c>
      <c r="W55" s="140" t="str">
        <f>IF(B55="","",VLOOKUP(AD55,Varsayımlar!$B:$Q,14,0))</f>
        <v/>
      </c>
      <c r="AA55" s="140" t="str">
        <f>IF(B55="","",VLOOKUP(AD55,Varsayımlar!$B:$Q,15,0))</f>
        <v/>
      </c>
      <c r="AB55" s="140" t="str">
        <f>IF(B55="","",VLOOKUP(AD55,Varsayımlar!$B:$Q,16,0))</f>
        <v/>
      </c>
      <c r="AD55" s="140" t="str">
        <f>IF(B55="","",CONCATENATE(B55,E55))</f>
        <v/>
      </c>
    </row>
    <row r="56" spans="1:30" ht="31.5" customHeight="1" x14ac:dyDescent="0.25">
      <c r="A56" s="182" t="s">
        <v>345</v>
      </c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4"/>
      <c r="AC56" s="38"/>
    </row>
    <row r="57" spans="1:30" ht="63" x14ac:dyDescent="0.25">
      <c r="A57" s="8" t="s">
        <v>0</v>
      </c>
      <c r="B57" s="8" t="s">
        <v>1</v>
      </c>
      <c r="C57" s="9" t="s">
        <v>31</v>
      </c>
      <c r="D57" s="9" t="s">
        <v>124</v>
      </c>
      <c r="E57" s="9" t="s">
        <v>36</v>
      </c>
      <c r="F57" s="8" t="s">
        <v>37</v>
      </c>
      <c r="G57" s="8" t="s">
        <v>13</v>
      </c>
      <c r="H57" s="8" t="s">
        <v>2</v>
      </c>
      <c r="I57" s="8" t="s">
        <v>49</v>
      </c>
      <c r="J57" s="8" t="s">
        <v>3</v>
      </c>
      <c r="K57" s="8" t="s">
        <v>21</v>
      </c>
      <c r="L57" s="8" t="s">
        <v>94</v>
      </c>
      <c r="M57" s="8" t="s">
        <v>20</v>
      </c>
      <c r="N57" s="8" t="s">
        <v>165</v>
      </c>
      <c r="O57" s="8" t="s">
        <v>123</v>
      </c>
      <c r="P57" s="8" t="s">
        <v>16</v>
      </c>
      <c r="Q57" s="8" t="s">
        <v>4</v>
      </c>
      <c r="R57" s="8" t="s">
        <v>5</v>
      </c>
      <c r="S57" s="8" t="s">
        <v>6</v>
      </c>
      <c r="T57" s="8" t="s">
        <v>28</v>
      </c>
      <c r="U57" s="8" t="s">
        <v>7</v>
      </c>
      <c r="V57" s="8" t="s">
        <v>8</v>
      </c>
      <c r="W57" s="8" t="s">
        <v>9</v>
      </c>
      <c r="X57" s="8" t="s">
        <v>10</v>
      </c>
      <c r="Y57" s="8" t="s">
        <v>11</v>
      </c>
      <c r="Z57" s="8" t="s">
        <v>12</v>
      </c>
      <c r="AA57" s="8" t="s">
        <v>14</v>
      </c>
      <c r="AB57" s="8" t="s">
        <v>15</v>
      </c>
      <c r="AC57" s="8" t="s">
        <v>208</v>
      </c>
      <c r="AD57" s="140" t="s">
        <v>41</v>
      </c>
    </row>
    <row r="58" spans="1:30" ht="47.25" x14ac:dyDescent="0.25">
      <c r="A58" s="8" t="s">
        <v>77</v>
      </c>
      <c r="B58" s="130" t="s">
        <v>119</v>
      </c>
      <c r="C58" s="130">
        <f>IF(B58="","",VLOOKUP(AD58,Varsayımlar!$B:$Q,3,0))</f>
        <v>8698829380698</v>
      </c>
      <c r="D58" s="130"/>
      <c r="E58" s="130" t="s">
        <v>120</v>
      </c>
      <c r="F58" s="130"/>
      <c r="G58" s="130"/>
      <c r="H58" s="130" t="str">
        <f>IF(B58="","",VLOOKUP(AD58,Varsayımlar!$B:$Q,5,0))</f>
        <v>Nimet 25 cm</v>
      </c>
      <c r="I58" s="130"/>
      <c r="J58" s="130" t="str">
        <f>IF(B58="","",VLOOKUP(AD58,Varsayımlar!$B:$Q,6,0))</f>
        <v>SADE</v>
      </c>
      <c r="K58" s="130">
        <v>4000</v>
      </c>
      <c r="L58" s="130"/>
      <c r="M58" s="130">
        <f>IFERROR(IF(B58="","",K58/VLOOKUP(AD58,Varsayımlar!B:R,17,0)),"")</f>
        <v>80</v>
      </c>
      <c r="N58" s="130"/>
      <c r="O58" s="130">
        <v>60</v>
      </c>
      <c r="P58" s="130">
        <f>IF(B58="","",VLOOKUP(AD58,Varsayımlar!$B:$Q,7,0)*K58)</f>
        <v>48000</v>
      </c>
      <c r="Q58" s="130">
        <f>IF(B58="","",VLOOKUP(AD58,Varsayımlar!$B:$Q,8,0))</f>
        <v>25</v>
      </c>
      <c r="R58" s="130" t="str">
        <f>IF(B58="","",VLOOKUP(AD58,Varsayımlar!$B:$Q,9,0))</f>
        <v>Standart</v>
      </c>
      <c r="S58" s="130">
        <f>IF(B58="","",VLOOKUP(AD58,Varsayımlar!$B:$Q,10,0))</f>
        <v>12</v>
      </c>
      <c r="T58" s="130">
        <f>IF(B58="","",VLOOKUP(AD58,Varsayımlar!$B:$Q,11,0))</f>
        <v>12</v>
      </c>
      <c r="U58" s="130">
        <f>IF(B58="","",VLOOKUP(AD58,Varsayımlar!$B:$Q,12,0))</f>
        <v>840</v>
      </c>
      <c r="V58" s="130" t="str">
        <f>IF(B58="","",VLOOKUP(AD58,Varsayımlar!$B:$Q,13,0))</f>
        <v>YURTİÇİ</v>
      </c>
      <c r="W58" s="130">
        <f>IF(B58="","",VLOOKUP(AD58,Varsayımlar!$B:$Q,14,0))</f>
        <v>5</v>
      </c>
      <c r="X58" s="130" t="s">
        <v>113</v>
      </c>
      <c r="Y58" s="130" t="s">
        <v>113</v>
      </c>
      <c r="Z58" s="130" t="s">
        <v>113</v>
      </c>
      <c r="AA58" s="130" t="str">
        <f>IF(B58="","",VLOOKUP(AD58,Varsayımlar!$B:$Q,15,0))</f>
        <v>Nimet Kolisi</v>
      </c>
      <c r="AB58" s="130" t="str">
        <f>IF(B58="","",VLOOKUP(AD58,Varsayımlar!$B:$Q,16,0))</f>
        <v>24-26 CM</v>
      </c>
      <c r="AC58" s="64" t="s">
        <v>360</v>
      </c>
      <c r="AD58" s="57" t="str">
        <f t="shared" ref="AD58:AD64" si="2">IF(B58="","",CONCATENATE(B58,E58))</f>
        <v>A101Nimet 25cm 12 pcs 840g</v>
      </c>
    </row>
    <row r="59" spans="1:30" ht="94.5" x14ac:dyDescent="0.25">
      <c r="A59" s="8" t="s">
        <v>78</v>
      </c>
      <c r="B59" s="75" t="s">
        <v>218</v>
      </c>
      <c r="C59" s="43">
        <f>IF(B59="","",VLOOKUP(AD59,Varsayımlar!$B:$Q,3,0))</f>
        <v>8698829380698</v>
      </c>
      <c r="D59" s="43" t="s">
        <v>161</v>
      </c>
      <c r="E59" s="75" t="s">
        <v>244</v>
      </c>
      <c r="F59" s="75" t="s">
        <v>561</v>
      </c>
      <c r="G59" s="43"/>
      <c r="H59" s="75" t="str">
        <f>IF(B59="","",VLOOKUP(AD59,Varsayımlar!$B:$Q,5,0))</f>
        <v>Tortillas Avrupa Pizza 26cm (742)</v>
      </c>
      <c r="I59" s="75">
        <f>IF(B59="","",VLOOKUP(AD59,Varsayımlar!B:T,19,0))</f>
        <v>0</v>
      </c>
      <c r="J59" s="75" t="str">
        <f>IF(B59="","",VLOOKUP(AD59,Varsayımlar!$B:$Q,6,0))</f>
        <v>SADE</v>
      </c>
      <c r="K59" s="75">
        <v>840</v>
      </c>
      <c r="L59" s="75"/>
      <c r="M59" s="75">
        <f>IFERROR(IF(B59="","",K59/VLOOKUP(AD59,Varsayımlar!B:R,17,0)),"")</f>
        <v>7</v>
      </c>
      <c r="N59" s="75"/>
      <c r="O59" s="75">
        <v>11</v>
      </c>
      <c r="P59" s="75">
        <f>IF(B59="","",VLOOKUP(AD59,Varsayımlar!$B:$Q,7,0)*K59)</f>
        <v>6720</v>
      </c>
      <c r="Q59" s="75">
        <f>IF(B59="","",VLOOKUP(AD59,Varsayımlar!$B:$Q,8,0))</f>
        <v>26</v>
      </c>
      <c r="R59" s="75" t="str">
        <f>IF(B59="","",VLOOKUP(AD59,Varsayımlar!$B:$Q,9,0))</f>
        <v>Irak Soft</v>
      </c>
      <c r="S59" s="75">
        <f>IF(B59="","",VLOOKUP(AD59,Varsayımlar!$B:$Q,10,0))</f>
        <v>4</v>
      </c>
      <c r="T59" s="75">
        <f>IF(B59="","",VLOOKUP(AD59,Varsayımlar!$B:$Q,11,0))</f>
        <v>8</v>
      </c>
      <c r="U59" s="75">
        <f>IF(B59="","",VLOOKUP(AD59,Varsayımlar!$B:$Q,12,0))</f>
        <v>480</v>
      </c>
      <c r="V59" s="75" t="str">
        <f>IF(B59="","",VLOOKUP(AD59,Varsayımlar!$B:$Q,13,0))</f>
        <v>Yurtdışı</v>
      </c>
      <c r="W59" s="75">
        <f>IF(B59="","",VLOOKUP(AD59,Varsayımlar!$B:$Q,14,0))</f>
        <v>9</v>
      </c>
      <c r="X59" s="76">
        <v>46213</v>
      </c>
      <c r="Y59" s="76">
        <v>46487</v>
      </c>
      <c r="Z59" s="75">
        <v>26071026</v>
      </c>
      <c r="AA59" s="75" t="str">
        <f>IF(B59="","",VLOOKUP(AD59,Varsayımlar!$B:$Q,15,0))</f>
        <v>26cm Pizza Perforeli-Bulgarca Etiket</v>
      </c>
      <c r="AB59" s="75" t="str">
        <f>IF(B59="","",VLOOKUP(AD59,Varsayımlar!$B:$Q,16,0))</f>
        <v>26 cm kesme -Beze 145-150g, Kesilmmeiş çap 27-28cm, Kesilmemiş ağı: 520-540g, Kesilmiş:475-485g</v>
      </c>
      <c r="AC59" s="75" t="str">
        <f>IF(B59="","",VLOOKUP(Sayfa1!AD81,Varsayımlar!B:S,18,0))</f>
        <v>80x120cm -Epal+Epal</v>
      </c>
      <c r="AD59" s="57" t="str">
        <f t="shared" si="2"/>
        <v>TASTE LAND-BULGARİSTANTortillas Pizza 26cm 4pcs 480g</v>
      </c>
    </row>
    <row r="60" spans="1:30" ht="48" customHeight="1" x14ac:dyDescent="0.25">
      <c r="A60" s="8" t="s">
        <v>79</v>
      </c>
      <c r="B60" s="149" t="s">
        <v>500</v>
      </c>
      <c r="C60" s="149">
        <f>IF(B60="","",VLOOKUP(AD60,Varsayımlar!$B:$Q,3,0))</f>
        <v>8698829380698</v>
      </c>
      <c r="D60" s="149"/>
      <c r="E60" s="149" t="s">
        <v>244</v>
      </c>
      <c r="F60" s="149">
        <v>26062201</v>
      </c>
      <c r="G60" s="149"/>
      <c r="H60" s="148" t="str">
        <f>IF(B60="","",VLOOKUP(AD60,Varsayımlar!$B:$Q,5,0))</f>
        <v xml:space="preserve">Tortillas Pizza 26cm </v>
      </c>
      <c r="I60" s="148">
        <f>IF(B60="","",VLOOKUP(AD60,Varsayımlar!B:T,19,0))</f>
        <v>0</v>
      </c>
      <c r="J60" s="148" t="str">
        <f>IF(B60="","",VLOOKUP(AD60,Varsayımlar!$B:$Q,6,0))</f>
        <v>Sade</v>
      </c>
      <c r="K60" s="149">
        <v>50</v>
      </c>
      <c r="L60" s="149"/>
      <c r="M60" s="149" t="str">
        <f>IFERROR(IF(B60="","",K60/VLOOKUP(AD60,#REF!,17,0)),"")</f>
        <v/>
      </c>
      <c r="N60" s="149"/>
      <c r="O60" s="149">
        <v>1</v>
      </c>
      <c r="P60" s="148">
        <f>IF(B60="","",VLOOKUP(AD60,Varsayımlar!$B:$Q,7,0)*K60)</f>
        <v>300</v>
      </c>
      <c r="Q60" s="148">
        <f>IF(B60="","",VLOOKUP(AD60,Varsayımlar!$B:$Q,8,0))</f>
        <v>26</v>
      </c>
      <c r="R60" s="148" t="str">
        <f>IF(B60="","",VLOOKUP(AD60,Varsayımlar!$B:$Q,9,0))</f>
        <v>Irak Soft</v>
      </c>
      <c r="S60" s="148">
        <f>IF(B60="","",VLOOKUP(AD60,Varsayımlar!$B:$Q,10,0))</f>
        <v>4</v>
      </c>
      <c r="T60" s="148">
        <f>IF(B60="","",VLOOKUP(AD60,Varsayımlar!$B:$Q,11,0))</f>
        <v>6</v>
      </c>
      <c r="U60" s="148">
        <f>IF(B60="","",VLOOKUP(AD60,Varsayımlar!$B:$Q,12,0))</f>
        <v>480</v>
      </c>
      <c r="V60" s="148" t="str">
        <f>IF(B60="","",VLOOKUP(AD60,Varsayımlar!$B:$Q,13,0))</f>
        <v>Yurtdışı</v>
      </c>
      <c r="W60" s="148">
        <f>IF(B60="","",VLOOKUP(AD60,Varsayımlar!$B:$Q,14,0))</f>
        <v>12</v>
      </c>
      <c r="X60" s="151">
        <v>46231</v>
      </c>
      <c r="Y60" s="151">
        <v>46596</v>
      </c>
      <c r="Z60" s="149">
        <v>26072826</v>
      </c>
      <c r="AA60" s="148" t="str">
        <f>IF(B60="","",VLOOKUP(AD60,Varsayımlar!$B:$Q,15,0))</f>
        <v>Pizza Kolisi-ETİKETLİ</v>
      </c>
      <c r="AB60" s="148" t="str">
        <f>IF(B60="","",VLOOKUP(AD60,Varsayımlar!$B:$Q,16,0))</f>
        <v>25-27 cm</v>
      </c>
      <c r="AC60" s="140">
        <f>IF(B60="","",VLOOKUP(Sayfa1!AD94,Varsayımlar!B:S,18,0))</f>
        <v>0</v>
      </c>
      <c r="AD60" s="140" t="str">
        <f>IF(B60="","",CONCATENATE(B60,E60))</f>
        <v>Fama GroupTortillas Pizza 26cm 4pcs 480g</v>
      </c>
    </row>
    <row r="61" spans="1:30" ht="54" customHeight="1" x14ac:dyDescent="0.25">
      <c r="A61" s="8" t="s">
        <v>80</v>
      </c>
      <c r="B61" s="148" t="s">
        <v>500</v>
      </c>
      <c r="C61" s="149">
        <f>IF(B61="","",VLOOKUP(AD61,Varsayımlar!$B:$Q,3,0))</f>
        <v>8698829380698</v>
      </c>
      <c r="D61" s="149"/>
      <c r="E61" s="150" t="s">
        <v>515</v>
      </c>
      <c r="F61" s="148">
        <v>26062201</v>
      </c>
      <c r="G61" s="148"/>
      <c r="H61" s="148" t="str">
        <f>IF(B61="","",VLOOKUP(AD61,Varsayımlar!$B:$Q,5,0))</f>
        <v>Tortillas 15cm</v>
      </c>
      <c r="I61" s="148">
        <f>IF(B61="","",VLOOKUP(AD61,Varsayımlar!B:T,19,0))</f>
        <v>0</v>
      </c>
      <c r="J61" s="148" t="str">
        <f>IF(B61="","",VLOOKUP(AD61,Varsayımlar!$B:$Q,6,0))</f>
        <v>Sade</v>
      </c>
      <c r="K61" s="148">
        <v>50</v>
      </c>
      <c r="L61" s="148"/>
      <c r="M61" s="148" t="str">
        <f>IFERROR(IF(B61="","",K61/VLOOKUP(AD61,#REF!,17,0)),"")</f>
        <v/>
      </c>
      <c r="N61" s="148"/>
      <c r="O61" s="148">
        <v>2</v>
      </c>
      <c r="P61" s="148">
        <f>IF(B61="","",VLOOKUP(AD61,Varsayımlar!$B:$Q,7,0)*K61)</f>
        <v>600</v>
      </c>
      <c r="Q61" s="148">
        <f>IF(B61="","",VLOOKUP(AD61,Varsayımlar!$B:$Q,8,0))</f>
        <v>15</v>
      </c>
      <c r="R61" s="148" t="str">
        <f>IF(B61="","",VLOOKUP(AD61,Varsayımlar!$B:$Q,9,0))</f>
        <v>Irak Soft</v>
      </c>
      <c r="S61" s="148">
        <f>IF(B61="","",VLOOKUP(AD61,Varsayımlar!$B:$Q,10,0))</f>
        <v>10</v>
      </c>
      <c r="T61" s="148">
        <f>IF(B61="","",VLOOKUP(AD61,Varsayımlar!$B:$Q,11,0))</f>
        <v>12</v>
      </c>
      <c r="U61" s="148">
        <f>IF(B61="","",VLOOKUP(AD61,Varsayımlar!$B:$Q,12,0))</f>
        <v>250</v>
      </c>
      <c r="V61" s="148" t="str">
        <f>IF(B61="","",VLOOKUP(AD61,Varsayımlar!$B:$Q,13,0))</f>
        <v>Yurtdışı</v>
      </c>
      <c r="W61" s="148">
        <f>IF(B61="","",VLOOKUP(AD61,Varsayımlar!$B:$Q,14,0))</f>
        <v>12</v>
      </c>
      <c r="X61" s="151">
        <v>46231</v>
      </c>
      <c r="Y61" s="151">
        <v>46596</v>
      </c>
      <c r="Z61" s="148">
        <v>26072815</v>
      </c>
      <c r="AA61" s="148" t="str">
        <f>IF(B61="","",VLOOKUP(AD61,Varsayımlar!$B:$Q,15,0))</f>
        <v>15cm koli</v>
      </c>
      <c r="AB61" s="148" t="str">
        <f>IF(B61="","",VLOOKUP(AD61,Varsayımlar!$B:$Q,16,0))</f>
        <v>14-16cm</v>
      </c>
      <c r="AC61" s="67"/>
      <c r="AD61" s="57" t="str">
        <f>IF(B61="","",CONCATENATE(B61,E61))</f>
        <v>Fama GroupTortillas 15cm 10pcs 250g</v>
      </c>
    </row>
    <row r="62" spans="1:30" ht="49.5" customHeight="1" x14ac:dyDescent="0.25">
      <c r="A62" s="8" t="s">
        <v>81</v>
      </c>
      <c r="B62" s="152" t="s">
        <v>518</v>
      </c>
      <c r="C62" s="153">
        <f>IF(B62="","",VLOOKUP(AD62,Varsayımlar!$B:$Q,3,0))</f>
        <v>8698829380698</v>
      </c>
      <c r="D62" s="154"/>
      <c r="E62" s="154" t="s">
        <v>515</v>
      </c>
      <c r="F62" s="152">
        <v>26062302</v>
      </c>
      <c r="G62" s="152"/>
      <c r="H62" s="152" t="str">
        <f>IF(B62="","",VLOOKUP(AD62,Varsayımlar!$B:$Q,5,0))</f>
        <v>Tortillas 15cm</v>
      </c>
      <c r="I62" s="152">
        <f>IF(B62="","",VLOOKUP(AD62,Varsayımlar!B:T,19,0))</f>
        <v>0</v>
      </c>
      <c r="J62" s="152" t="str">
        <f>IF(B62="","",VLOOKUP(AD62,Varsayımlar!$B:$Q,6,0))</f>
        <v>Sade</v>
      </c>
      <c r="K62" s="152">
        <v>10</v>
      </c>
      <c r="L62" s="152"/>
      <c r="M62" s="152" t="s">
        <v>424</v>
      </c>
      <c r="N62" s="152"/>
      <c r="O62" s="152">
        <v>0</v>
      </c>
      <c r="P62" s="152">
        <f>IF(B62="","",VLOOKUP(AD62,Varsayımlar!$B:$Q,7,0)*K62)</f>
        <v>120</v>
      </c>
      <c r="Q62" s="152">
        <f>IF(B62="","",VLOOKUP(AD62,Varsayımlar!$B:$Q,8,0))</f>
        <v>15</v>
      </c>
      <c r="R62" s="152" t="str">
        <f>IF(B62="","",VLOOKUP(AD62,Varsayımlar!$B:$Q,9,0))</f>
        <v>Irak Soft</v>
      </c>
      <c r="S62" s="152">
        <f>IF(B62="","",VLOOKUP(AD62,Varsayımlar!$B:$Q,10,0))</f>
        <v>10</v>
      </c>
      <c r="T62" s="152">
        <f>IF(B62="","",VLOOKUP(AD62,Varsayımlar!$B:$Q,11,0))</f>
        <v>12</v>
      </c>
      <c r="U62" s="152">
        <f>IF(B62="","",VLOOKUP(AD62,Varsayımlar!$B:$Q,12,0))</f>
        <v>250</v>
      </c>
      <c r="V62" s="152" t="str">
        <f>IF(B62="","",VLOOKUP(AD62,Varsayımlar!$B:$Q,13,0))</f>
        <v>Yurtiçi</v>
      </c>
      <c r="W62" s="152">
        <f>IF(B62="","",VLOOKUP(AD62,Varsayımlar!$B:$Q,14,0))</f>
        <v>6</v>
      </c>
      <c r="X62" s="155">
        <v>46231</v>
      </c>
      <c r="Y62" s="155">
        <v>46415</v>
      </c>
      <c r="Z62" s="152">
        <v>26072815</v>
      </c>
      <c r="AA62" s="152" t="str">
        <f>IF(B62="","",VLOOKUP(AD62,Varsayımlar!$B:$Q,15,0))</f>
        <v>15cm koli</v>
      </c>
      <c r="AB62" s="152" t="str">
        <f>IF(B62="","",VLOOKUP(AD62,Varsayımlar!$B:$Q,16,0))</f>
        <v>14-16cm</v>
      </c>
      <c r="AC62" s="8" t="e">
        <f>IF(B62="","",VLOOKUP(#REF!,#REF!,18,0))</f>
        <v>#REF!</v>
      </c>
      <c r="AD62" s="8" t="str">
        <f t="shared" ref="AD62" si="3">IF(B62="","",CONCATENATE(B62,E62))</f>
        <v>Yusuf KöseTortillas 15cm 10pcs 250g</v>
      </c>
    </row>
    <row r="63" spans="1:30" ht="51" customHeight="1" x14ac:dyDescent="0.25">
      <c r="A63" s="8" t="s">
        <v>82</v>
      </c>
      <c r="B63" s="164" t="s">
        <v>256</v>
      </c>
      <c r="C63" s="165">
        <f>IF(B63="","",VLOOKUP(AD63,Varsayımlar!$B:$Q,3,0))</f>
        <v>8698829380698</v>
      </c>
      <c r="D63" s="164"/>
      <c r="E63" s="164" t="s">
        <v>554</v>
      </c>
      <c r="F63" s="164">
        <v>20260702</v>
      </c>
      <c r="G63" s="164"/>
      <c r="H63" s="164" t="str">
        <f>IF(B63="","",VLOOKUP(AD63,Varsayımlar!$B:$Q,5,0))</f>
        <v xml:space="preserve">Tortillove 15cm </v>
      </c>
      <c r="I63" s="164">
        <f>IF(B63="","",VLOOKUP(AD63,Varsayımlar!B:T,19,0))</f>
        <v>0</v>
      </c>
      <c r="J63" s="164" t="str">
        <f>IF(B63="","",VLOOKUP(AD63,Varsayımlar!$B:$Q,6,0))</f>
        <v>Sade</v>
      </c>
      <c r="K63" s="164">
        <v>10</v>
      </c>
      <c r="L63" s="164"/>
      <c r="M63" s="164" t="str">
        <f>IFERROR(IF(B63="","",K63/VLOOKUP(AD63,Varsayımlar!B:R,17,0)),"")</f>
        <v/>
      </c>
      <c r="N63" s="164"/>
      <c r="O63" s="164">
        <v>0</v>
      </c>
      <c r="P63" s="164">
        <f>IF(B63="","",VLOOKUP(AD63,Varsayımlar!$B:$Q,7,0)*K63)</f>
        <v>120</v>
      </c>
      <c r="Q63" s="164">
        <f>IF(B63="","",VLOOKUP(AD63,Varsayımlar!$B:$Q,8,0))</f>
        <v>15</v>
      </c>
      <c r="R63" s="164" t="str">
        <f>IF(B63="","",VLOOKUP(AD63,Varsayımlar!$B:$Q,9,0))</f>
        <v>Irak soft</v>
      </c>
      <c r="S63" s="164">
        <f>IF(B63="","",VLOOKUP(AD63,Varsayımlar!$B:$Q,10,0))</f>
        <v>10</v>
      </c>
      <c r="T63" s="164">
        <f>IF(B63="","",VLOOKUP(AD63,Varsayımlar!$B:$Q,11,0))</f>
        <v>12</v>
      </c>
      <c r="U63" s="164">
        <f>IF(B63="","",VLOOKUP(AD63,Varsayımlar!$B:$Q,12,0))</f>
        <v>250</v>
      </c>
      <c r="V63" s="164" t="str">
        <f>IF(B63="","",VLOOKUP(AD63,Varsayımlar!$B:$Q,13,0))</f>
        <v>Yurtiçi</v>
      </c>
      <c r="W63" s="164">
        <f>IF(B63="","",VLOOKUP(AD63,Varsayımlar!$B:$Q,14,0))</f>
        <v>6</v>
      </c>
      <c r="X63" s="166" t="s">
        <v>113</v>
      </c>
      <c r="Y63" s="166" t="s">
        <v>113</v>
      </c>
      <c r="Z63" s="164" t="s">
        <v>113</v>
      </c>
      <c r="AA63" s="164" t="str">
        <f>IF(B63="","",VLOOKUP(AD63,Varsayımlar!$B:$Q,15,0))</f>
        <v>15cm Kolisi</v>
      </c>
      <c r="AB63" s="164" t="str">
        <f>IF(B63="","",VLOOKUP(AD63,Varsayımlar!$B:$Q,16,0))</f>
        <v>14-16cm</v>
      </c>
      <c r="AC63" s="75" t="e">
        <f>IF(B63="","",VLOOKUP(Sayfa1!AD119,Varsayımlar!B:S,18,0))</f>
        <v>#N/A</v>
      </c>
      <c r="AD63" s="57" t="str">
        <f>IF(B63="","",CONCATENATE(B63,E63))</f>
        <v>Ankara KahveTortillove 15cm 10pcs 250g</v>
      </c>
    </row>
    <row r="64" spans="1:30" ht="46.5" customHeight="1" x14ac:dyDescent="0.25">
      <c r="A64" s="8" t="s">
        <v>83</v>
      </c>
      <c r="B64" s="67" t="s">
        <v>460</v>
      </c>
      <c r="C64" s="42">
        <f>IF(B64="","",VLOOKUP(AD64,Varsayımlar!$B:$Q,3,0))</f>
        <v>8698829380698</v>
      </c>
      <c r="D64" s="67" t="s">
        <v>540</v>
      </c>
      <c r="E64" s="67" t="s">
        <v>461</v>
      </c>
      <c r="F64" s="67">
        <v>20260414</v>
      </c>
      <c r="G64" s="67"/>
      <c r="H64" s="67" t="str">
        <f>IF(B64="","",VLOOKUP(AD64,Varsayımlar!$B:$Q,5,0))</f>
        <v xml:space="preserve">Tortillove 15cm </v>
      </c>
      <c r="I64" s="67">
        <f>IF(B64="","",VLOOKUP(AD64,Varsayımlar!B:T,19,0))</f>
        <v>0</v>
      </c>
      <c r="J64" s="67" t="str">
        <f>IF(B64="","",VLOOKUP(AD64,Varsayımlar!$B:$Q,6,0))</f>
        <v>SADE</v>
      </c>
      <c r="K64" s="67">
        <v>300</v>
      </c>
      <c r="L64" s="67" t="s">
        <v>532</v>
      </c>
      <c r="M64" s="67">
        <f>IFERROR(IF(B64="","",K64/VLOOKUP(AD64,Varsayımlar!B:R,17,0)),"")</f>
        <v>3</v>
      </c>
      <c r="N64" s="67"/>
      <c r="O64" s="67">
        <v>9</v>
      </c>
      <c r="P64" s="67">
        <f>IF(B64="","",VLOOKUP(AD64,Varsayımlar!$B:$Q,7,0)*K64)</f>
        <v>3600</v>
      </c>
      <c r="Q64" s="67">
        <f>IF(B64="","",VLOOKUP(AD64,Varsayımlar!$B:$Q,8,0))</f>
        <v>15</v>
      </c>
      <c r="R64" s="67" t="str">
        <f>IF(B64="","",VLOOKUP(AD64,Varsayımlar!$B:$Q,9,0))</f>
        <v>Irak Soft</v>
      </c>
      <c r="S64" s="67">
        <f>IF(B64="","",VLOOKUP(AD64,Varsayımlar!$B:$Q,10,0))</f>
        <v>10</v>
      </c>
      <c r="T64" s="67">
        <f>IF(B64="","",VLOOKUP(AD64,Varsayımlar!$B:$Q,11,0))</f>
        <v>12</v>
      </c>
      <c r="U64" s="67">
        <f>IF(B64="","",VLOOKUP(AD64,Varsayımlar!$B:$Q,12,0))</f>
        <v>250</v>
      </c>
      <c r="V64" s="67" t="str">
        <f>IF(B64="","",VLOOKUP(AD64,Varsayımlar!$B:$Q,13,0))</f>
        <v>Yurtdışı</v>
      </c>
      <c r="W64" s="67">
        <f>IF(B64="","",VLOOKUP(AD64,Varsayımlar!$B:$Q,14,0))</f>
        <v>6</v>
      </c>
      <c r="X64" s="69">
        <v>46216</v>
      </c>
      <c r="Y64" s="69">
        <v>46400</v>
      </c>
      <c r="Z64" s="67">
        <v>26071315</v>
      </c>
      <c r="AA64" s="67" t="str">
        <f>IF(B64="","",VLOOKUP(AD64,Varsayımlar!$B:$Q,15,0))</f>
        <v>15cm koli</v>
      </c>
      <c r="AB64" s="67" t="str">
        <f>IF(B64="","",VLOOKUP(AD64,Varsayımlar!$B:$Q,16,0))</f>
        <v>14-16 cm</v>
      </c>
      <c r="AC64" s="80">
        <f>IF(B64="","",VLOOKUP(Sayfa1!AD85,Varsayımlar!B:S,18,0))</f>
        <v>0</v>
      </c>
      <c r="AD64" s="57" t="str">
        <f t="shared" si="2"/>
        <v>Yüksekbaş GıdaYüksekbaş 15cm 10 pcs 250g</v>
      </c>
    </row>
    <row r="65" spans="1:30" ht="51" customHeight="1" x14ac:dyDescent="0.25">
      <c r="A65" s="8" t="s">
        <v>87</v>
      </c>
      <c r="B65" s="160" t="s">
        <v>553</v>
      </c>
      <c r="C65" s="161">
        <f>IF(B65="","",VLOOKUP(AD65,Varsayımlar!$B:$Q,3,0))</f>
        <v>8698829380698</v>
      </c>
      <c r="D65" s="160"/>
      <c r="E65" s="162" t="s">
        <v>554</v>
      </c>
      <c r="F65" s="160">
        <v>20260629</v>
      </c>
      <c r="G65" s="160" t="s">
        <v>578</v>
      </c>
      <c r="H65" s="160" t="str">
        <f>IF(B65="","",VLOOKUP(AD65,Varsayımlar!$B:$Q,5,0))</f>
        <v xml:space="preserve">Tortillove 15cm </v>
      </c>
      <c r="I65" s="160">
        <f>IF(B65="","",VLOOKUP(AD65,Varsayımlar!B:T,19,0))</f>
        <v>0</v>
      </c>
      <c r="J65" s="160" t="str">
        <f>IF(B65="","",VLOOKUP(AD65,Varsayımlar!$B:$Q,6,0))</f>
        <v>Sade</v>
      </c>
      <c r="K65" s="160">
        <v>100</v>
      </c>
      <c r="L65" s="160"/>
      <c r="M65" s="160">
        <f>IFERROR(IF(B65="","",K65/VLOOKUP(AD65,Varsayımlar!B:R,17,0)),"")</f>
        <v>1</v>
      </c>
      <c r="N65" s="160"/>
      <c r="O65" s="160">
        <v>3</v>
      </c>
      <c r="P65" s="160">
        <f>IF(B65="","",VLOOKUP(AD65,Varsayımlar!$B:$Q,7,0)*K65)</f>
        <v>1200</v>
      </c>
      <c r="Q65" s="160">
        <f>IF(B65="","",VLOOKUP(AD65,Varsayımlar!$B:$Q,8,0))</f>
        <v>15</v>
      </c>
      <c r="R65" s="160" t="str">
        <f>IF(B65="","",VLOOKUP(AD65,Varsayımlar!$B:$Q,9,0))</f>
        <v>Irak soft</v>
      </c>
      <c r="S65" s="160">
        <f>IF(B65="","",VLOOKUP(AD65,Varsayımlar!$B:$Q,10,0))</f>
        <v>10</v>
      </c>
      <c r="T65" s="160">
        <f>IF(B65="","",VLOOKUP(AD65,Varsayımlar!$B:$Q,11,0))</f>
        <v>12</v>
      </c>
      <c r="U65" s="160">
        <f>IF(B65="","",VLOOKUP(AD65,Varsayımlar!$B:$Q,12,0))</f>
        <v>250</v>
      </c>
      <c r="V65" s="160" t="str">
        <f>IF(B65="","",VLOOKUP(AD65,Varsayımlar!$B:$Q,13,0))</f>
        <v>Yurtiçi</v>
      </c>
      <c r="W65" s="160">
        <f>IF(B65="","",VLOOKUP(AD65,Varsayımlar!$B:$Q,14,0))</f>
        <v>6</v>
      </c>
      <c r="X65" s="163">
        <v>46217</v>
      </c>
      <c r="Y65" s="163">
        <v>46401</v>
      </c>
      <c r="Z65" s="160">
        <v>26071430</v>
      </c>
      <c r="AA65" s="160" t="str">
        <f>IF(B65="","",VLOOKUP(AD65,Varsayımlar!$B:$Q,15,0))</f>
        <v>15cm kolisi</v>
      </c>
      <c r="AB65" s="160" t="str">
        <f>IF(B65="","",VLOOKUP(AD65,Varsayımlar!$B:$Q,16,0))</f>
        <v>14-16cm</v>
      </c>
      <c r="AC65" s="75" t="e">
        <f>IF(B65="","",VLOOKUP(Sayfa1!AD119,Varsayımlar!B:S,18,0))</f>
        <v>#N/A</v>
      </c>
      <c r="AD65" s="57" t="str">
        <f>IF(B65="","",CONCATENATE(B65,E65))</f>
        <v>GıdaserTortillove 15cm 10pcs 250g</v>
      </c>
    </row>
    <row r="66" spans="1:30" ht="43.5" customHeight="1" x14ac:dyDescent="0.25">
      <c r="A66" s="8" t="s">
        <v>84</v>
      </c>
      <c r="B66" s="54" t="s">
        <v>346</v>
      </c>
      <c r="C66" s="39">
        <f>IF(B66="","",VLOOKUP(AD66,Varsayımlar!$B:$Q,3,0))</f>
        <v>8698829380698</v>
      </c>
      <c r="D66" s="39">
        <v>49</v>
      </c>
      <c r="E66" s="55" t="s">
        <v>325</v>
      </c>
      <c r="F66" s="54"/>
      <c r="G66" s="54"/>
      <c r="H66" s="54" t="str">
        <f>IF(B66="","",VLOOKUP(AD66,Varsayımlar!$B:$Q,5,0))</f>
        <v>Hanami Tako 15cm</v>
      </c>
      <c r="I66" s="54" t="str">
        <f>IF(B66="","",VLOOKUP(AD66,Varsayımlar!B:T,19,0))</f>
        <v>Ambalaj kaç aylık kontrol?</v>
      </c>
      <c r="J66" s="54" t="str">
        <f>IF(B66="","",VLOOKUP(AD66,Varsayımlar!$B:$Q,6,0))</f>
        <v>SADE</v>
      </c>
      <c r="K66" s="54">
        <v>1248</v>
      </c>
      <c r="L66" s="54"/>
      <c r="M66" s="54"/>
      <c r="N66" s="54"/>
      <c r="O66" s="54">
        <v>35</v>
      </c>
      <c r="P66" s="54">
        <f>IF(B66="","",VLOOKUP(AD66,Varsayımlar!$B:$Q,7,0)*K66)</f>
        <v>24960</v>
      </c>
      <c r="Q66" s="54">
        <f>IF(B66="","",VLOOKUP(AD66,Varsayımlar!$B:$Q,8,0))</f>
        <v>15</v>
      </c>
      <c r="R66" s="54" t="str">
        <f>IF(B66="","",VLOOKUP(AD66,Varsayımlar!$B:$Q,9,0))</f>
        <v>Irak Soft</v>
      </c>
      <c r="S66" s="54">
        <f>IF(B66="","",VLOOKUP(AD66,Varsayımlar!$B:$Q,10,0))</f>
        <v>6</v>
      </c>
      <c r="T66" s="54">
        <f>IF(B66="","",VLOOKUP(AD66,Varsayımlar!$B:$Q,11,0))</f>
        <v>20</v>
      </c>
      <c r="U66" s="54">
        <f>IF(B66="","",VLOOKUP(AD66,Varsayımlar!$B:$Q,12,0))</f>
        <v>150</v>
      </c>
      <c r="V66" s="54" t="str">
        <f>IF(B66="","",VLOOKUP(AD66,Varsayımlar!$B:$Q,13,0))</f>
        <v>Yurtdışı</v>
      </c>
      <c r="W66" s="54">
        <f>IF(B66="","",VLOOKUP(AD66,Varsayımlar!$B:$Q,14,0))</f>
        <v>9</v>
      </c>
      <c r="X66" s="56">
        <v>46226</v>
      </c>
      <c r="Y66" s="56">
        <v>46500</v>
      </c>
      <c r="Z66" s="54">
        <v>26072315</v>
      </c>
      <c r="AA66" s="54" t="str">
        <f>IF(B66="","",VLOOKUP(AD66,Varsayımlar!$B:$Q,15,0))</f>
        <v>Hanami Tako 15cm-Üretim Tarihi Atılacak</v>
      </c>
      <c r="AB66" s="54" t="str">
        <f>IF(B66="","",VLOOKUP(AD66,Varsayımlar!$B:$Q,16,0))</f>
        <v>14-16 cm</v>
      </c>
      <c r="AC66" s="8" t="e">
        <f>IF(B66="","",VLOOKUP(#REF!,#REF!,18,0))</f>
        <v>#REF!</v>
      </c>
      <c r="AD66" s="8" t="str">
        <f>IF(B66="","",CONCATENATE(B66,E66))</f>
        <v>GermesHanami Germes Tako 15cm 6pcs 150g</v>
      </c>
    </row>
    <row r="67" spans="1:30" ht="94.5" x14ac:dyDescent="0.25">
      <c r="A67" s="8" t="s">
        <v>85</v>
      </c>
      <c r="B67" s="62" t="s">
        <v>456</v>
      </c>
      <c r="C67" s="32">
        <f>IF(B67="","",VLOOKUP(AD67,Varsayımlar!$B:$Q,3,0))</f>
        <v>8698829380698</v>
      </c>
      <c r="D67" s="32"/>
      <c r="E67" s="61" t="s">
        <v>484</v>
      </c>
      <c r="F67" s="159" t="s">
        <v>546</v>
      </c>
      <c r="G67" s="62"/>
      <c r="H67" s="62" t="str">
        <f>IF(B67="","",VLOOKUP(AD67,Varsayımlar!$B:$Q,5,0))</f>
        <v>Willifood 26 cm Pizza</v>
      </c>
      <c r="I67" s="62">
        <f>IF(B67="","",VLOOKUP(AD67,Varsayımlar!B:T,19,0))</f>
        <v>0</v>
      </c>
      <c r="J67" s="62" t="str">
        <f>IF(B67="","",VLOOKUP(AD67,Varsayımlar!$B:$Q,6,0))</f>
        <v>Pizza</v>
      </c>
      <c r="K67" s="62">
        <v>2250</v>
      </c>
      <c r="L67" s="62"/>
      <c r="M67" s="62" t="str">
        <f>IFERROR(IF(B67="","",K67/VLOOKUP(AD67,#REF!,17,0)),"")</f>
        <v/>
      </c>
      <c r="N67" s="62"/>
      <c r="O67" s="62">
        <v>25</v>
      </c>
      <c r="P67" s="62">
        <f>IF(B67="","",VLOOKUP(AD67,Varsayımlar!$B:$Q,7,0)*K67)</f>
        <v>27000</v>
      </c>
      <c r="Q67" s="62">
        <f>IF(B67="","",VLOOKUP(AD67,Varsayımlar!$B:$Q,8,0))</f>
        <v>26</v>
      </c>
      <c r="R67" s="62" t="str">
        <f>IF(B67="","",VLOOKUP(AD67,Varsayımlar!$B:$Q,9,0))</f>
        <v>Irak Soft</v>
      </c>
      <c r="S67" s="62">
        <f>IF(B67="","",VLOOKUP(AD67,Varsayımlar!$B:$Q,10,0))</f>
        <v>4</v>
      </c>
      <c r="T67" s="62">
        <f>IF(B67="","",VLOOKUP(AD67,Varsayımlar!$B:$Q,11,0))</f>
        <v>12</v>
      </c>
      <c r="U67" s="62">
        <f>IF(B67="","",VLOOKUP(AD67,Varsayımlar!$B:$Q,12,0))</f>
        <v>480</v>
      </c>
      <c r="V67" s="62" t="str">
        <f>IF(B67="","",VLOOKUP(AD67,Varsayımlar!$B:$Q,13,0))</f>
        <v>Yurtdışı</v>
      </c>
      <c r="W67" s="62">
        <f>IF(B67="","",VLOOKUP(AD67,Varsayımlar!$B:$Q,14,0))</f>
        <v>18</v>
      </c>
      <c r="X67" s="63"/>
      <c r="Y67" s="146" t="s">
        <v>523</v>
      </c>
      <c r="Z67" s="146" t="s">
        <v>522</v>
      </c>
      <c r="AA67" s="63" t="str">
        <f>IF(B67="","",VLOOKUP(AD67,Varsayımlar!$B:$Q,15,0))</f>
        <v>Dürümek Kolisi-Çift Etiket</v>
      </c>
      <c r="AB67" s="63" t="str">
        <f>IF(B67="","",VLOOKUP(AD67,Varsayımlar!$B:$Q,16,0))</f>
        <v>Kesme.Bezeler 145-150 g.Kesilmemiş 27-28 cm. Kesilmemiş ağ 520-540g. Kesilmiş ağ 475-485 g</v>
      </c>
      <c r="AC67" s="73" t="e">
        <f>IF(B67="","",VLOOKUP(#REF!,#REF!,18,0))</f>
        <v>#REF!</v>
      </c>
      <c r="AD67" s="73" t="str">
        <f>IF(B67="","",CONCATENATE(B67,E67))</f>
        <v>WillifoodWillifood Pizza 26cm 4 pcs 480g</v>
      </c>
    </row>
    <row r="68" spans="1:30" ht="33.75" customHeight="1" x14ac:dyDescent="0.25">
      <c r="A68" s="8" t="s">
        <v>86</v>
      </c>
      <c r="B68" s="67" t="s">
        <v>460</v>
      </c>
      <c r="C68" s="42">
        <f>IF(B68="","",VLOOKUP(AD68,Varsayımlar!$B:$Q,3,0))</f>
        <v>8698829380698</v>
      </c>
      <c r="D68" s="67" t="s">
        <v>539</v>
      </c>
      <c r="E68" s="67" t="s">
        <v>461</v>
      </c>
      <c r="F68" s="67">
        <v>20260626</v>
      </c>
      <c r="G68" s="67"/>
      <c r="H68" s="67" t="str">
        <f>IF(B68="","",VLOOKUP(AD68,Varsayımlar!$B:$Q,5,0))</f>
        <v xml:space="preserve">Tortillove 15cm </v>
      </c>
      <c r="I68" s="67">
        <f>IF(B68="","",VLOOKUP(AD68,Varsayımlar!B:T,19,0))</f>
        <v>0</v>
      </c>
      <c r="J68" s="67" t="str">
        <f>IF(B68="","",VLOOKUP(AD68,Varsayımlar!$B:$Q,6,0))</f>
        <v>SADE</v>
      </c>
      <c r="K68" s="67">
        <v>400</v>
      </c>
      <c r="L68" s="67"/>
      <c r="M68" s="67">
        <f>IFERROR(IF(B68="","",K68/VLOOKUP(AD68,Varsayımlar!B:R,17,0)),"")</f>
        <v>4</v>
      </c>
      <c r="N68" s="67"/>
      <c r="O68" s="67">
        <v>11</v>
      </c>
      <c r="P68" s="67">
        <f>IF(B68="","",VLOOKUP(AD68,Varsayımlar!$B:$Q,7,0)*K68)</f>
        <v>4800</v>
      </c>
      <c r="Q68" s="67">
        <f>IF(B68="","",VLOOKUP(AD68,Varsayımlar!$B:$Q,8,0))</f>
        <v>15</v>
      </c>
      <c r="R68" s="67" t="str">
        <f>IF(B68="","",VLOOKUP(AD68,Varsayımlar!$B:$Q,9,0))</f>
        <v>Irak Soft</v>
      </c>
      <c r="S68" s="67">
        <f>IF(B68="","",VLOOKUP(AD68,Varsayımlar!$B:$Q,10,0))</f>
        <v>10</v>
      </c>
      <c r="T68" s="67">
        <f>IF(B68="","",VLOOKUP(AD68,Varsayımlar!$B:$Q,11,0))</f>
        <v>12</v>
      </c>
      <c r="U68" s="67">
        <f>IF(B68="","",VLOOKUP(AD68,Varsayımlar!$B:$Q,12,0))</f>
        <v>250</v>
      </c>
      <c r="V68" s="67" t="str">
        <f>IF(B68="","",VLOOKUP(AD68,Varsayımlar!$B:$Q,13,0))</f>
        <v>Yurtdışı</v>
      </c>
      <c r="W68" s="67">
        <f>IF(B68="","",VLOOKUP(AD68,Varsayımlar!$B:$Q,14,0))</f>
        <v>6</v>
      </c>
      <c r="X68" s="69"/>
      <c r="Y68" s="69"/>
      <c r="Z68" s="67"/>
      <c r="AA68" s="67" t="str">
        <f>IF(B68="","",VLOOKUP(AD68,Varsayımlar!$B:$Q,15,0))</f>
        <v>15cm koli</v>
      </c>
      <c r="AB68" s="67" t="str">
        <f>IF(B68="","",VLOOKUP(AD68,Varsayımlar!$B:$Q,16,0))</f>
        <v>14-16 cm</v>
      </c>
      <c r="AC68" s="80">
        <f>IF(B68="","",VLOOKUP(Sayfa1!AD91,Varsayımlar!B:S,18,0))</f>
        <v>0</v>
      </c>
      <c r="AD68" s="57" t="str">
        <f t="shared" ref="AD68" si="4">IF(B68="","",CONCATENATE(B68,E68))</f>
        <v>Yüksekbaş GıdaYüksekbaş 15cm 10 pcs 250g</v>
      </c>
    </row>
    <row r="69" spans="1:30" ht="43.5" customHeight="1" x14ac:dyDescent="0.25">
      <c r="A69" s="8" t="s">
        <v>88</v>
      </c>
      <c r="B69" s="54" t="s">
        <v>575</v>
      </c>
      <c r="C69" s="39">
        <f>IF(B69="","",VLOOKUP(AD69,Varsayımlar!$B:$Q,3,0))</f>
        <v>8698829380698</v>
      </c>
      <c r="D69" s="39"/>
      <c r="E69" s="39" t="s">
        <v>515</v>
      </c>
      <c r="F69" s="54">
        <v>20260701</v>
      </c>
      <c r="G69" s="54"/>
      <c r="H69" s="54" t="str">
        <f>IF(B69="","",VLOOKUP(AD69,Varsayımlar!$B:$Q,5,0))</f>
        <v>Tortillas 15cm</v>
      </c>
      <c r="I69" s="54">
        <f>IF(B69="","",VLOOKUP(AD69,Varsayımlar!B:T,19,0))</f>
        <v>0</v>
      </c>
      <c r="J69" s="54" t="str">
        <f>IF(B69="","",VLOOKUP(AD69,Varsayımlar!$B:$Q,6,0))</f>
        <v>Sade</v>
      </c>
      <c r="K69" s="54">
        <v>100</v>
      </c>
      <c r="L69" s="54"/>
      <c r="M69" s="54"/>
      <c r="N69" s="54"/>
      <c r="O69" s="54">
        <v>35</v>
      </c>
      <c r="P69" s="54">
        <f>IF(B69="","",VLOOKUP(AD69,Varsayımlar!$B:$Q,7,0)*K69)</f>
        <v>1200</v>
      </c>
      <c r="Q69" s="54">
        <f>IF(B69="","",VLOOKUP(AD69,Varsayımlar!$B:$Q,8,0))</f>
        <v>15</v>
      </c>
      <c r="R69" s="54" t="str">
        <f>IF(B69="","",VLOOKUP(AD69,Varsayımlar!$B:$Q,9,0))</f>
        <v>Irak soft</v>
      </c>
      <c r="S69" s="54">
        <f>IF(B69="","",VLOOKUP(AD69,Varsayımlar!$B:$Q,10,0))</f>
        <v>10</v>
      </c>
      <c r="T69" s="54">
        <f>IF(B69="","",VLOOKUP(AD69,Varsayımlar!$B:$Q,11,0))</f>
        <v>12</v>
      </c>
      <c r="U69" s="54">
        <f>IF(B69="","",VLOOKUP(AD69,Varsayımlar!$B:$Q,12,0))</f>
        <v>250</v>
      </c>
      <c r="V69" s="54" t="str">
        <f>IF(B69="","",VLOOKUP(AD69,Varsayımlar!$B:$Q,13,0))</f>
        <v>Yurtiçi</v>
      </c>
      <c r="W69" s="54">
        <f>IF(B69="","",VLOOKUP(AD69,Varsayımlar!$B:$Q,14,0))</f>
        <v>6</v>
      </c>
      <c r="X69" s="56"/>
      <c r="Y69" s="56"/>
      <c r="Z69" s="54"/>
      <c r="AA69" s="54" t="str">
        <f>IF(B69="","",VLOOKUP(AD69,Varsayımlar!$B:$Q,15,0))</f>
        <v>15cm Kolisi</v>
      </c>
      <c r="AB69" s="54" t="str">
        <f>IF(B69="","",VLOOKUP(AD69,Varsayımlar!$B:$Q,16,0))</f>
        <v>14-15cm</v>
      </c>
      <c r="AC69" s="8" t="e">
        <f>IF(B69="","",VLOOKUP(#REF!,#REF!,18,0))</f>
        <v>#REF!</v>
      </c>
      <c r="AD69" s="8" t="str">
        <f>IF(B69="","",CONCATENATE(B69,E69))</f>
        <v>Ceylan DönerTortillas 15cm 10pcs 250g</v>
      </c>
    </row>
    <row r="70" spans="1:30" ht="51" customHeight="1" x14ac:dyDescent="0.25">
      <c r="A70" s="8" t="s">
        <v>89</v>
      </c>
      <c r="B70" s="160" t="s">
        <v>579</v>
      </c>
      <c r="C70" s="161">
        <f>IF(B70="","",VLOOKUP(AD70,Varsayımlar!$B:$Q,3,0))</f>
        <v>8698829380698</v>
      </c>
      <c r="D70" s="160"/>
      <c r="E70" s="160" t="s">
        <v>257</v>
      </c>
      <c r="F70" s="160">
        <v>20260701</v>
      </c>
      <c r="G70" s="160" t="s">
        <v>578</v>
      </c>
      <c r="H70" s="160" t="str">
        <f>IF(B70="","",VLOOKUP(AD70,Varsayımlar!$B:$Q,5,0))</f>
        <v xml:space="preserve">Tortillas Pizza 26cm </v>
      </c>
      <c r="I70" s="160" t="str">
        <f>IF(B70="","",VLOOKUP(AD70,Varsayımlar!B:T,19,0))</f>
        <v>Arka Kısma Bosnaca içerik Etiketli</v>
      </c>
      <c r="J70" s="160" t="str">
        <f>IF(B70="","",VLOOKUP(AD70,Varsayımlar!$B:$Q,6,0))</f>
        <v>Pizza</v>
      </c>
      <c r="K70" s="160">
        <v>300</v>
      </c>
      <c r="L70" s="160"/>
      <c r="M70" s="160">
        <f>IFERROR(IF(B70="","",K70/VLOOKUP(AD70,Varsayımlar!B:R,17,0)),"")</f>
        <v>2</v>
      </c>
      <c r="N70" s="160"/>
      <c r="O70" s="160">
        <v>7</v>
      </c>
      <c r="P70" s="160">
        <f>IF(B70="","",VLOOKUP(AD70,Varsayımlar!$B:$Q,7,0)*K70)</f>
        <v>1800</v>
      </c>
      <c r="Q70" s="160">
        <f>IF(B70="","",VLOOKUP(AD70,Varsayımlar!$B:$Q,8,0))</f>
        <v>26</v>
      </c>
      <c r="R70" s="160" t="str">
        <f>IF(B70="","",VLOOKUP(AD70,Varsayımlar!$B:$Q,9,0))</f>
        <v>Irak soft</v>
      </c>
      <c r="S70" s="160">
        <f>IF(B70="","",VLOOKUP(AD70,Varsayımlar!$B:$Q,10,0))</f>
        <v>4</v>
      </c>
      <c r="T70" s="160">
        <f>IF(B70="","",VLOOKUP(AD70,Varsayımlar!$B:$Q,11,0))</f>
        <v>6</v>
      </c>
      <c r="U70" s="160">
        <f>IF(B70="","",VLOOKUP(AD70,Varsayımlar!$B:$Q,12,0))</f>
        <v>480</v>
      </c>
      <c r="V70" s="160" t="str">
        <f>IF(B70="","",VLOOKUP(AD70,Varsayımlar!$B:$Q,13,0))</f>
        <v>Yurtdışı</v>
      </c>
      <c r="W70" s="160">
        <f>IF(B70="","",VLOOKUP(AD70,Varsayımlar!$B:$Q,14,0))</f>
        <v>6</v>
      </c>
      <c r="X70" s="160"/>
      <c r="Y70" s="160"/>
      <c r="Z70" s="160"/>
      <c r="AA70" s="160" t="str">
        <f>IF(B70="","",VLOOKUP(AD70,Varsayımlar!$B:$Q,15,0))</f>
        <v>Pizza Kolisi</v>
      </c>
      <c r="AB70" s="160" t="str">
        <f>IF(B70="","",VLOOKUP(AD70,Varsayımlar!$B:$Q,16,0))</f>
        <v>25-27cm</v>
      </c>
      <c r="AC70" s="75" t="e">
        <f>IF(B70="","",VLOOKUP(Sayfa1!AD130,Varsayımlar!B:S,18,0))</f>
        <v>#N/A</v>
      </c>
      <c r="AD70" s="57" t="str">
        <f t="shared" ref="AD70" si="5">IF(B70="","",CONCATENATE(B70,E70))</f>
        <v>BelamionixTortillas 26cm Pizza 4pcs 480g</v>
      </c>
    </row>
    <row r="71" spans="1:30" x14ac:dyDescent="0.25">
      <c r="A71" s="8" t="s">
        <v>90</v>
      </c>
      <c r="B71" s="67"/>
      <c r="C71" s="42" t="str">
        <f>IF(B71="","",VLOOKUP(AD71,#REF!,3,0))</f>
        <v/>
      </c>
      <c r="D71" s="42"/>
      <c r="E71" s="42"/>
      <c r="F71" s="67"/>
      <c r="G71" s="67"/>
      <c r="H71" s="67" t="str">
        <f>IF(B71="","",VLOOKUP(AD71,#REF!,5,0))</f>
        <v/>
      </c>
      <c r="I71" s="67" t="str">
        <f>IF(B71="","",VLOOKUP(AD71,#REF!,19,0))</f>
        <v/>
      </c>
      <c r="J71" s="67" t="str">
        <f>IF(B71="","",VLOOKUP(AD71,#REF!,6,0))</f>
        <v/>
      </c>
      <c r="K71" s="67"/>
      <c r="L71" s="67"/>
      <c r="M71" s="67" t="str">
        <f>IFERROR(IF(B71="","",K71/VLOOKUP(AD71,#REF!,17,0)),"")</f>
        <v/>
      </c>
      <c r="N71" s="67"/>
      <c r="O71" s="67"/>
      <c r="P71" s="67" t="str">
        <f>IF(B71="","",VLOOKUP(AD71,#REF!,7,0)*K71)</f>
        <v/>
      </c>
      <c r="Q71" s="67" t="str">
        <f>IF(B71="","",VLOOKUP(AD71,#REF!,8,0))</f>
        <v/>
      </c>
      <c r="R71" s="67" t="str">
        <f>IF(B71="","",VLOOKUP(AD71,#REF!,9,0))</f>
        <v/>
      </c>
      <c r="S71" s="67" t="str">
        <f>IF(B71="","",VLOOKUP(AD71,#REF!,10,0))</f>
        <v/>
      </c>
      <c r="T71" s="67" t="str">
        <f>IF(B71="","",VLOOKUP(AD71,#REF!,11,0))</f>
        <v/>
      </c>
      <c r="U71" s="67" t="str">
        <f>IF(B71="","",VLOOKUP(AD71,#REF!,12,0))</f>
        <v/>
      </c>
      <c r="V71" s="67" t="str">
        <f>IF(B71="","",VLOOKUP(AD71,#REF!,13,0))</f>
        <v/>
      </c>
      <c r="W71" s="67" t="str">
        <f>IF(B71="","",VLOOKUP(AD71,#REF!,14,0))</f>
        <v/>
      </c>
      <c r="X71" s="69"/>
      <c r="Y71" s="69"/>
      <c r="Z71" s="67"/>
      <c r="AA71" s="67" t="str">
        <f>IF(B71="","",VLOOKUP(AD71,#REF!,15,0))</f>
        <v/>
      </c>
      <c r="AB71" s="67" t="str">
        <f>IF(B71="","",VLOOKUP(AD71,#REF!,16,0))</f>
        <v/>
      </c>
    </row>
    <row r="72" spans="1:30" x14ac:dyDescent="0.25">
      <c r="A72" s="8" t="s">
        <v>91</v>
      </c>
      <c r="B72" s="67"/>
      <c r="C72" s="42" t="str">
        <f>IF(B72="","",VLOOKUP(AD72,#REF!,3,0))</f>
        <v/>
      </c>
      <c r="D72" s="42"/>
      <c r="E72" s="42"/>
      <c r="F72" s="67"/>
      <c r="G72" s="67"/>
      <c r="H72" s="67" t="str">
        <f>IF(B72="","",VLOOKUP(AD72,#REF!,5,0))</f>
        <v/>
      </c>
      <c r="I72" s="67" t="str">
        <f>IF(B72="","",VLOOKUP(AD72,#REF!,19,0))</f>
        <v/>
      </c>
      <c r="J72" s="67" t="str">
        <f>IF(B72="","",VLOOKUP(AD72,#REF!,6,0))</f>
        <v/>
      </c>
      <c r="K72" s="67"/>
      <c r="L72" s="67"/>
      <c r="M72" s="67" t="str">
        <f>IFERROR(IF(B72="","",K72/VLOOKUP(AD72,#REF!,17,0)),"")</f>
        <v/>
      </c>
      <c r="N72" s="67"/>
      <c r="O72" s="67"/>
      <c r="P72" s="67" t="str">
        <f>IF(B72="","",VLOOKUP(AD72,#REF!,7,0)*K72)</f>
        <v/>
      </c>
      <c r="Q72" s="67" t="str">
        <f>IF(B72="","",VLOOKUP(AD72,#REF!,8,0))</f>
        <v/>
      </c>
      <c r="R72" s="67" t="str">
        <f>IF(B72="","",VLOOKUP(AD72,#REF!,9,0))</f>
        <v/>
      </c>
      <c r="S72" s="67" t="str">
        <f>IF(B72="","",VLOOKUP(AD72,#REF!,10,0))</f>
        <v/>
      </c>
      <c r="T72" s="67" t="str">
        <f>IF(B72="","",VLOOKUP(AD72,#REF!,11,0))</f>
        <v/>
      </c>
      <c r="U72" s="67" t="str">
        <f>IF(B72="","",VLOOKUP(AD72,#REF!,12,0))</f>
        <v/>
      </c>
      <c r="V72" s="67" t="str">
        <f>IF(B72="","",VLOOKUP(AD72,#REF!,13,0))</f>
        <v/>
      </c>
      <c r="W72" s="67" t="str">
        <f>IF(B72="","",VLOOKUP(AD72,#REF!,14,0))</f>
        <v/>
      </c>
      <c r="X72" s="69"/>
      <c r="Y72" s="69"/>
      <c r="Z72" s="67"/>
      <c r="AA72" s="67" t="str">
        <f>IF(B72="","",VLOOKUP(AD72,#REF!,15,0))</f>
        <v/>
      </c>
      <c r="AB72" s="67" t="str">
        <f>IF(B72="","",VLOOKUP(AD72,#REF!,16,0))</f>
        <v/>
      </c>
    </row>
    <row r="73" spans="1:30" x14ac:dyDescent="0.25">
      <c r="A73" s="8" t="s">
        <v>92</v>
      </c>
      <c r="B73" s="67"/>
      <c r="C73" s="42" t="str">
        <f>IF(B73="","",VLOOKUP(AD73,#REF!,3,0))</f>
        <v/>
      </c>
      <c r="D73" s="42"/>
      <c r="E73" s="42"/>
      <c r="F73" s="67"/>
      <c r="G73" s="67"/>
      <c r="H73" s="67" t="str">
        <f>IF(B73="","",VLOOKUP(AD73,#REF!,5,0))</f>
        <v/>
      </c>
      <c r="I73" s="67" t="str">
        <f>IF(B73="","",VLOOKUP(AD73,#REF!,19,0))</f>
        <v/>
      </c>
      <c r="J73" s="67" t="str">
        <f>IF(B73="","",VLOOKUP(AD73,#REF!,6,0))</f>
        <v/>
      </c>
      <c r="K73" s="67"/>
      <c r="L73" s="67"/>
      <c r="M73" s="67" t="str">
        <f>IFERROR(IF(B73="","",K73/VLOOKUP(AD73,#REF!,17,0)),"")</f>
        <v/>
      </c>
      <c r="N73" s="67"/>
      <c r="O73" s="67"/>
      <c r="P73" s="67" t="str">
        <f>IF(B73="","",VLOOKUP(AD73,#REF!,7,0)*K73)</f>
        <v/>
      </c>
      <c r="Q73" s="67" t="str">
        <f>IF(B73="","",VLOOKUP(AD73,#REF!,8,0))</f>
        <v/>
      </c>
      <c r="R73" s="67" t="str">
        <f>IF(B73="","",VLOOKUP(AD73,#REF!,9,0))</f>
        <v/>
      </c>
      <c r="S73" s="67" t="str">
        <f>IF(B73="","",VLOOKUP(AD73,#REF!,10,0))</f>
        <v/>
      </c>
      <c r="T73" s="67" t="str">
        <f>IF(B73="","",VLOOKUP(AD73,#REF!,11,0))</f>
        <v/>
      </c>
      <c r="U73" s="67" t="str">
        <f>IF(B73="","",VLOOKUP(AD73,#REF!,12,0))</f>
        <v/>
      </c>
      <c r="V73" s="67" t="str">
        <f>IF(B73="","",VLOOKUP(AD73,#REF!,13,0))</f>
        <v/>
      </c>
      <c r="W73" s="67" t="str">
        <f>IF(B73="","",VLOOKUP(AD73,#REF!,14,0))</f>
        <v/>
      </c>
      <c r="X73" s="69"/>
      <c r="Y73" s="69"/>
      <c r="Z73" s="67"/>
      <c r="AA73" s="67" t="str">
        <f>IF(B73="","",VLOOKUP(AD73,#REF!,15,0))</f>
        <v/>
      </c>
      <c r="AB73" s="67" t="str">
        <f>IF(B73="","",VLOOKUP(AD73,#REF!,16,0))</f>
        <v/>
      </c>
    </row>
    <row r="74" spans="1:30" x14ac:dyDescent="0.25">
      <c r="A74" s="8" t="s">
        <v>93</v>
      </c>
      <c r="B74" s="67"/>
      <c r="C74" s="42" t="str">
        <f>IF(B74="","",VLOOKUP(AD74,#REF!,3,0))</f>
        <v/>
      </c>
      <c r="D74" s="42"/>
      <c r="E74" s="42"/>
      <c r="F74" s="67"/>
      <c r="G74" s="67"/>
      <c r="H74" s="67" t="str">
        <f>IF(B74="","",VLOOKUP(AD74,#REF!,5,0))</f>
        <v/>
      </c>
      <c r="I74" s="67" t="str">
        <f>IF(B74="","",VLOOKUP(AD74,#REF!,19,0))</f>
        <v/>
      </c>
      <c r="J74" s="67" t="str">
        <f>IF(B74="","",VLOOKUP(AD74,#REF!,6,0))</f>
        <v/>
      </c>
      <c r="K74" s="67"/>
      <c r="L74" s="67"/>
      <c r="M74" s="67" t="str">
        <f>IFERROR(IF(B74="","",K74/VLOOKUP(AD74,#REF!,17,0)),"")</f>
        <v/>
      </c>
      <c r="N74" s="67"/>
      <c r="O74" s="67"/>
      <c r="P74" s="67" t="str">
        <f>IF(B74="","",VLOOKUP(AD74,#REF!,7,0)*K74)</f>
        <v/>
      </c>
      <c r="Q74" s="67" t="str">
        <f>IF(B74="","",VLOOKUP(AD74,#REF!,8,0))</f>
        <v/>
      </c>
      <c r="R74" s="67" t="str">
        <f>IF(B74="","",VLOOKUP(AD74,#REF!,9,0))</f>
        <v/>
      </c>
      <c r="S74" s="67" t="str">
        <f>IF(B74="","",VLOOKUP(AD74,#REF!,10,0))</f>
        <v/>
      </c>
      <c r="T74" s="67" t="str">
        <f>IF(B74="","",VLOOKUP(AD74,#REF!,11,0))</f>
        <v/>
      </c>
      <c r="U74" s="67" t="str">
        <f>IF(B74="","",VLOOKUP(AD74,#REF!,12,0))</f>
        <v/>
      </c>
      <c r="V74" s="67" t="str">
        <f>IF(B74="","",VLOOKUP(AD74,#REF!,13,0))</f>
        <v/>
      </c>
      <c r="W74" s="67" t="str">
        <f>IF(B74="","",VLOOKUP(AD74,#REF!,14,0))</f>
        <v/>
      </c>
      <c r="X74" s="69"/>
      <c r="Y74" s="69"/>
      <c r="Z74" s="67"/>
      <c r="AA74" s="67" t="str">
        <f>IF(B74="","",VLOOKUP(AD74,#REF!,15,0))</f>
        <v/>
      </c>
      <c r="AB74" s="67" t="str">
        <f>IF(B74="","",VLOOKUP(AD74,#REF!,16,0))</f>
        <v/>
      </c>
    </row>
    <row r="75" spans="1:30" x14ac:dyDescent="0.25">
      <c r="A75" s="8" t="s">
        <v>135</v>
      </c>
      <c r="B75" s="67"/>
      <c r="C75" s="42" t="str">
        <f>IF(B75="","",VLOOKUP(AD75,#REF!,3,0))</f>
        <v/>
      </c>
      <c r="D75" s="42"/>
      <c r="E75" s="42"/>
      <c r="F75" s="67"/>
      <c r="G75" s="67"/>
      <c r="H75" s="67" t="str">
        <f>IF(B75="","",VLOOKUP(AD75,#REF!,5,0))</f>
        <v/>
      </c>
      <c r="I75" s="67" t="str">
        <f>IF(B75="","",VLOOKUP(AD75,#REF!,19,0))</f>
        <v/>
      </c>
      <c r="J75" s="67" t="str">
        <f>IF(B75="","",VLOOKUP(AD75,#REF!,6,0))</f>
        <v/>
      </c>
      <c r="K75" s="67"/>
      <c r="L75" s="67"/>
      <c r="M75" s="67" t="str">
        <f>IFERROR(IF(B75="","",K75/VLOOKUP(AD75,#REF!,17,0)),"")</f>
        <v/>
      </c>
      <c r="N75" s="67"/>
      <c r="O75" s="67"/>
      <c r="P75" s="67" t="str">
        <f>IF(B75="","",VLOOKUP(AD75,#REF!,7,0)*K75)</f>
        <v/>
      </c>
      <c r="Q75" s="67" t="str">
        <f>IF(B75="","",VLOOKUP(AD75,#REF!,8,0))</f>
        <v/>
      </c>
      <c r="R75" s="67" t="str">
        <f>IF(B75="","",VLOOKUP(AD75,#REF!,9,0))</f>
        <v/>
      </c>
      <c r="S75" s="67" t="str">
        <f>IF(B75="","",VLOOKUP(AD75,#REF!,10,0))</f>
        <v/>
      </c>
      <c r="T75" s="67" t="str">
        <f>IF(B75="","",VLOOKUP(AD75,#REF!,11,0))</f>
        <v/>
      </c>
      <c r="U75" s="67" t="str">
        <f>IF(B75="","",VLOOKUP(AD75,#REF!,12,0))</f>
        <v/>
      </c>
      <c r="V75" s="67" t="str">
        <f>IF(B75="","",VLOOKUP(AD75,#REF!,13,0))</f>
        <v/>
      </c>
      <c r="W75" s="67" t="str">
        <f>IF(B75="","",VLOOKUP(AD75,#REF!,14,0))</f>
        <v/>
      </c>
      <c r="X75" s="69"/>
      <c r="Y75" s="69"/>
      <c r="Z75" s="67"/>
      <c r="AA75" s="67" t="str">
        <f>IF(B75="","",VLOOKUP(AD75,#REF!,15,0))</f>
        <v/>
      </c>
      <c r="AB75" s="67" t="str">
        <f>IF(B75="","",VLOOKUP(AD75,#REF!,16,0))</f>
        <v/>
      </c>
    </row>
    <row r="76" spans="1:30" x14ac:dyDescent="0.25">
      <c r="A76" s="8" t="s">
        <v>136</v>
      </c>
      <c r="B76" s="67"/>
      <c r="C76" s="42" t="str">
        <f>IF(B76="","",VLOOKUP(AD76,#REF!,3,0))</f>
        <v/>
      </c>
      <c r="D76" s="42"/>
      <c r="E76" s="42"/>
      <c r="F76" s="67"/>
      <c r="G76" s="67"/>
      <c r="H76" s="67" t="str">
        <f>IF(B76="","",VLOOKUP(AD76,#REF!,5,0))</f>
        <v/>
      </c>
      <c r="I76" s="67" t="str">
        <f>IF(B76="","",VLOOKUP(AD76,#REF!,19,0))</f>
        <v/>
      </c>
      <c r="J76" s="67" t="str">
        <f>IF(B76="","",VLOOKUP(AD76,#REF!,6,0))</f>
        <v/>
      </c>
      <c r="K76" s="67"/>
      <c r="L76" s="67"/>
      <c r="M76" s="67" t="str">
        <f>IFERROR(IF(B76="","",K76/VLOOKUP(AD76,#REF!,17,0)),"")</f>
        <v/>
      </c>
      <c r="N76" s="67"/>
      <c r="O76" s="67"/>
      <c r="P76" s="67" t="str">
        <f>IF(B76="","",VLOOKUP(AD76,#REF!,7,0)*K76)</f>
        <v/>
      </c>
      <c r="Q76" s="67" t="str">
        <f>IF(B76="","",VLOOKUP(AD76,#REF!,8,0))</f>
        <v/>
      </c>
      <c r="R76" s="67" t="str">
        <f>IF(B76="","",VLOOKUP(AD76,#REF!,9,0))</f>
        <v/>
      </c>
      <c r="S76" s="67" t="str">
        <f>IF(B76="","",VLOOKUP(AD76,#REF!,10,0))</f>
        <v/>
      </c>
      <c r="T76" s="67" t="str">
        <f>IF(B76="","",VLOOKUP(AD76,#REF!,11,0))</f>
        <v/>
      </c>
      <c r="U76" s="67" t="str">
        <f>IF(B76="","",VLOOKUP(AD76,#REF!,12,0))</f>
        <v/>
      </c>
      <c r="V76" s="67" t="str">
        <f>IF(B76="","",VLOOKUP(AD76,#REF!,13,0))</f>
        <v/>
      </c>
      <c r="W76" s="67" t="str">
        <f>IF(B76="","",VLOOKUP(AD76,#REF!,14,0))</f>
        <v/>
      </c>
      <c r="X76" s="69"/>
      <c r="Y76" s="69"/>
      <c r="Z76" s="67"/>
      <c r="AA76" s="67" t="str">
        <f>IF(B76="","",VLOOKUP(AD76,#REF!,15,0))</f>
        <v/>
      </c>
      <c r="AB76" s="67" t="str">
        <f>IF(B76="","",VLOOKUP(AD76,#REF!,16,0))</f>
        <v/>
      </c>
    </row>
    <row r="77" spans="1:30" x14ac:dyDescent="0.25">
      <c r="A77" s="8" t="s">
        <v>137</v>
      </c>
      <c r="B77" s="67"/>
      <c r="C77" s="42" t="str">
        <f>IF(B77="","",VLOOKUP(AD77,#REF!,3,0))</f>
        <v/>
      </c>
      <c r="D77" s="42"/>
      <c r="E77" s="42"/>
      <c r="F77" s="67"/>
      <c r="G77" s="67"/>
      <c r="H77" s="67" t="str">
        <f>IF(B77="","",VLOOKUP(AD77,#REF!,5,0))</f>
        <v/>
      </c>
      <c r="I77" s="67" t="str">
        <f>IF(B77="","",VLOOKUP(AD77,#REF!,19,0))</f>
        <v/>
      </c>
      <c r="J77" s="67" t="str">
        <f>IF(B77="","",VLOOKUP(AD77,#REF!,6,0))</f>
        <v/>
      </c>
      <c r="K77" s="67"/>
      <c r="L77" s="67"/>
      <c r="M77" s="67" t="str">
        <f>IFERROR(IF(B77="","",K77/VLOOKUP(AD77,#REF!,17,0)),"")</f>
        <v/>
      </c>
      <c r="N77" s="67"/>
      <c r="O77" s="67"/>
      <c r="P77" s="67" t="str">
        <f>IF(B77="","",VLOOKUP(AD77,#REF!,7,0)*K77)</f>
        <v/>
      </c>
      <c r="Q77" s="67" t="str">
        <f>IF(B77="","",VLOOKUP(AD77,#REF!,8,0))</f>
        <v/>
      </c>
      <c r="R77" s="67" t="str">
        <f>IF(B77="","",VLOOKUP(AD77,#REF!,9,0))</f>
        <v/>
      </c>
      <c r="S77" s="67" t="str">
        <f>IF(B77="","",VLOOKUP(AD77,#REF!,10,0))</f>
        <v/>
      </c>
      <c r="T77" s="67" t="str">
        <f>IF(B77="","",VLOOKUP(AD77,#REF!,11,0))</f>
        <v/>
      </c>
      <c r="U77" s="67" t="str">
        <f>IF(B77="","",VLOOKUP(AD77,#REF!,12,0))</f>
        <v/>
      </c>
      <c r="V77" s="67" t="str">
        <f>IF(B77="","",VLOOKUP(AD77,#REF!,13,0))</f>
        <v/>
      </c>
      <c r="W77" s="67" t="str">
        <f>IF(B77="","",VLOOKUP(AD77,#REF!,14,0))</f>
        <v/>
      </c>
      <c r="X77" s="69"/>
      <c r="Y77" s="69"/>
      <c r="Z77" s="67"/>
      <c r="AA77" s="67" t="str">
        <f>IF(B77="","",VLOOKUP(AD77,#REF!,15,0))</f>
        <v/>
      </c>
      <c r="AB77" s="67" t="str">
        <f>IF(B77="","",VLOOKUP(AD77,#REF!,16,0))</f>
        <v/>
      </c>
    </row>
  </sheetData>
  <mergeCells count="6">
    <mergeCell ref="A56:AB56"/>
    <mergeCell ref="A1:AC1"/>
    <mergeCell ref="A2:Z2"/>
    <mergeCell ref="AB2:AC2"/>
    <mergeCell ref="B5:AB5"/>
    <mergeCell ref="A40:AB4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27</vt:i4>
      </vt:variant>
    </vt:vector>
  </HeadingPairs>
  <TitlesOfParts>
    <vt:vector size="27" baseType="lpstr">
      <vt:lpstr>Varsayımlar</vt:lpstr>
      <vt:lpstr>Sayfa1</vt:lpstr>
      <vt:lpstr>Sayfa2</vt:lpstr>
      <vt:lpstr>Sayfa3</vt:lpstr>
      <vt:lpstr>Sayfa4</vt:lpstr>
      <vt:lpstr>Sayfa5</vt:lpstr>
      <vt:lpstr>Sayfa6</vt:lpstr>
      <vt:lpstr>Sayfa7</vt:lpstr>
      <vt:lpstr>Sayfa8</vt:lpstr>
      <vt:lpstr>Sayfa9</vt:lpstr>
      <vt:lpstr>Sayfa10</vt:lpstr>
      <vt:lpstr>Sayfa11</vt:lpstr>
      <vt:lpstr>Sayfa12</vt:lpstr>
      <vt:lpstr>Sayfa13</vt:lpstr>
      <vt:lpstr>Sayfa14</vt:lpstr>
      <vt:lpstr>Sayfa15</vt:lpstr>
      <vt:lpstr>Sayfa16</vt:lpstr>
      <vt:lpstr>Sayfa17</vt:lpstr>
      <vt:lpstr>Sayfa18</vt:lpstr>
      <vt:lpstr>Sayfa19</vt:lpstr>
      <vt:lpstr>Sayfa20</vt:lpstr>
      <vt:lpstr>Sayfa21</vt:lpstr>
      <vt:lpstr>Sayfa22</vt:lpstr>
      <vt:lpstr>Sayfa23</vt:lpstr>
      <vt:lpstr>Sayfa24</vt:lpstr>
      <vt:lpstr>Sayfa25</vt:lpstr>
      <vt:lpstr>Sayfa26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2026-07-01T11:34:59Z</cp:lastPrinted>
  <dcterms:created xsi:type="dcterms:W3CDTF">2026-06-01T09:09:17Z</dcterms:created>
  <dcterms:modified xsi:type="dcterms:W3CDTF">2026-07-03T06:17:05Z</dcterms:modified>
</cp:coreProperties>
</file>